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AE359B3-1774-4D78-937E-F5A0DD9F193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C12" i="2"/>
  <c r="AD107" i="2"/>
  <c r="AC55" i="2"/>
  <c r="AD77" i="2"/>
  <c r="AE7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C23" i="2"/>
  <c r="AF75" i="2"/>
  <c r="AE106" i="2"/>
  <c r="AB104" i="2"/>
  <c r="AC36" i="2"/>
  <c r="AC8" i="2"/>
  <c r="AD71" i="2"/>
  <c r="AC92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43" i="2"/>
  <c r="AC82" i="2"/>
  <c r="AC110" i="2"/>
  <c r="AC91" i="2"/>
  <c r="AB51" i="2"/>
  <c r="AB76" i="2"/>
  <c r="AC16" i="2"/>
  <c r="AC104" i="2"/>
  <c r="AB82" i="2"/>
  <c r="AE85" i="2"/>
  <c r="AE49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B16" i="2"/>
  <c r="AC47" i="2"/>
  <c r="AB92" i="2"/>
  <c r="AC76" i="2"/>
  <c r="AB66" i="2"/>
  <c r="AB98" i="2"/>
  <c r="AE46" i="2"/>
  <c r="AF35" i="2"/>
  <c r="AE84" i="2"/>
  <c r="AB62" i="2"/>
  <c r="AD109" i="2"/>
  <c r="AD28" i="2"/>
  <c r="AD55" i="2"/>
  <c r="AC50" i="2"/>
  <c r="AF67" i="2"/>
  <c r="AF91" i="2"/>
  <c r="AF18" i="2"/>
  <c r="AE13" i="2"/>
  <c r="AC73" i="2"/>
  <c r="AF64" i="2"/>
  <c r="AE61" i="2"/>
  <c r="AE73" i="2"/>
  <c r="AF76" i="2"/>
  <c r="AC98" i="2"/>
  <c r="AD87" i="2"/>
  <c r="AE1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62" i="2"/>
  <c r="AC86" i="2"/>
  <c r="AF19" i="2"/>
  <c r="AF27" i="2"/>
  <c r="AF54" i="2"/>
  <c r="AE10" i="2"/>
  <c r="AE22" i="2"/>
  <c r="AE34" i="2"/>
  <c r="AF43" i="2"/>
  <c r="AB67" i="2"/>
  <c r="AB83" i="2"/>
  <c r="AE60" i="2"/>
  <c r="AF30" i="2"/>
  <c r="AD83" i="2"/>
  <c r="AE87" i="2"/>
  <c r="AD89" i="2"/>
  <c r="AC70" i="2"/>
  <c r="AD12" i="2"/>
  <c r="AD20" i="2"/>
  <c r="AD36" i="2"/>
  <c r="AD47" i="2"/>
  <c r="AC11" i="2"/>
  <c r="AC35" i="2"/>
  <c r="AD9" i="2"/>
  <c r="AF59" i="2"/>
  <c r="AB68" i="2"/>
  <c r="AE97" i="2"/>
  <c r="AE110" i="2"/>
  <c r="AD9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65" i="2"/>
  <c r="AE89" i="2"/>
  <c r="AE9" i="2"/>
  <c r="AC83" i="2"/>
  <c r="AD27" i="2"/>
  <c r="AF66" i="2"/>
  <c r="AC51" i="2"/>
  <c r="AF11" i="2"/>
  <c r="AF8" i="2"/>
  <c r="AB75" i="2"/>
  <c r="AB91" i="2"/>
  <c r="AC93" i="2"/>
  <c r="AD50" i="2"/>
  <c r="AC34" i="2"/>
  <c r="AE72" i="2"/>
  <c r="AC99" i="2"/>
  <c r="AD67" i="2"/>
  <c r="AE54" i="2"/>
  <c r="AD73" i="2"/>
  <c r="AC94" i="2"/>
  <c r="AD44" i="2"/>
  <c r="AC61" i="2"/>
  <c r="AB32" i="2"/>
  <c r="AB74" i="2"/>
  <c r="AB110" i="2"/>
  <c r="AC87" i="2"/>
  <c r="AC68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6" i="2"/>
  <c r="AC90" i="2"/>
  <c r="AD74" i="2"/>
  <c r="AD98" i="2"/>
  <c r="AB12" i="2"/>
  <c r="AE33" i="2"/>
  <c r="AC71" i="2"/>
  <c r="AF9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82" i="2"/>
  <c r="AD90" i="2"/>
  <c r="AD110" i="2"/>
  <c r="AB47" i="2"/>
  <c r="AC59" i="2"/>
  <c r="AE98" i="2"/>
  <c r="AD61" i="2"/>
  <c r="AF82" i="2"/>
  <c r="AC84" i="2"/>
  <c r="AC20" i="2"/>
  <c r="AF72" i="2"/>
  <c r="AF88" i="2"/>
  <c r="AF108" i="2"/>
  <c r="AE69" i="2"/>
  <c r="AE93" i="2"/>
  <c r="AF46" i="2"/>
  <c r="AF24" i="2"/>
  <c r="AB59" i="2"/>
  <c r="AD15" i="2"/>
  <c r="AC10" i="2"/>
  <c r="AD99" i="2"/>
  <c r="AE23" i="2"/>
  <c r="AC74" i="2"/>
  <c r="AB99" i="2"/>
  <c r="AD25" i="2"/>
  <c r="AF83" i="2"/>
  <c r="AF99" i="2"/>
  <c r="AE96" i="2"/>
  <c r="AF53" i="2"/>
  <c r="AE40" i="2"/>
  <c r="AC85" i="2"/>
  <c r="AB84" i="2"/>
  <c r="AC88" i="2"/>
  <c r="AB90" i="2"/>
  <c r="AE42" i="2"/>
  <c r="AF92" i="2"/>
  <c r="AF41" i="2"/>
  <c r="AE105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173" i="1"/>
  <c r="AA154" i="1"/>
  <c r="AA156" i="1" s="1"/>
  <c r="AA10" i="1"/>
  <c r="AA161" i="1"/>
  <c r="AA120" i="1"/>
  <c r="AA180" i="1"/>
  <c r="AA148" i="1"/>
  <c r="AA26" i="1"/>
  <c r="AA27" i="1" s="1"/>
  <c r="AA194" i="1"/>
  <c r="AA134" i="1"/>
  <c r="B1" i="9"/>
  <c r="AE111" i="2"/>
  <c r="AB113" i="2"/>
  <c r="AA74" i="1" s="1"/>
  <c r="AF113" i="2"/>
  <c r="AE113" i="2"/>
  <c r="A1" i="9"/>
  <c r="AB112" i="2"/>
  <c r="AA73" i="1" s="1"/>
  <c r="AF112" i="2"/>
  <c r="AC112" i="2"/>
  <c r="AD112" i="2"/>
  <c r="L1" i="9"/>
  <c r="AF111" i="2"/>
  <c r="AE112" i="2"/>
  <c r="AC111" i="2"/>
  <c r="AD113" i="2"/>
  <c r="AB111" i="2"/>
  <c r="AA253" i="1" l="1"/>
  <c r="AA252" i="1"/>
  <c r="AA231" i="1"/>
  <c r="AA138" i="1"/>
  <c r="AA128" i="1"/>
  <c r="AA33" i="1"/>
  <c r="AA183" i="1"/>
  <c r="AA37" i="1"/>
  <c r="AA179" i="1"/>
  <c r="AA185" i="1"/>
  <c r="AA184" i="1" s="1"/>
  <c r="AA16" i="1"/>
  <c r="AA98" i="1"/>
  <c r="AA244" i="1"/>
  <c r="AA246" i="1"/>
  <c r="AA248" i="1"/>
  <c r="AA157" i="1"/>
  <c r="AA165" i="1" s="1"/>
  <c r="AA182" i="1"/>
  <c r="AA129" i="1"/>
  <c r="AA168" i="1"/>
  <c r="AA109" i="1" s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1" i="1"/>
  <c r="AA186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29" i="1"/>
  <c r="AA112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AA92" i="2"/>
  <c r="BA24" i="3"/>
  <c r="BA23" i="3"/>
  <c r="Z42" i="2"/>
  <c r="FB13" i="4" a="1"/>
  <c r="FD5" i="4" a="1"/>
  <c r="Z85" i="2"/>
  <c r="Y34" i="2"/>
  <c r="Z58" i="2"/>
  <c r="BA34" i="3"/>
  <c r="Y54" i="2"/>
  <c r="EX16" i="4" a="1"/>
  <c r="FF14" i="4" a="1"/>
  <c r="FF12" i="4" a="1"/>
  <c r="FD16" i="4" a="1"/>
  <c r="FC6" i="4" a="1"/>
  <c r="FE15" i="4" a="1"/>
  <c r="BB27" i="3"/>
  <c r="Y48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65" i="2"/>
  <c r="AA33" i="2"/>
  <c r="BD46" i="3"/>
  <c r="Z88" i="2"/>
  <c r="BD17" i="3"/>
  <c r="BB23" i="3"/>
  <c r="Z82" i="2"/>
  <c r="EY11" i="4" a="1"/>
  <c r="EX6" i="4" a="1"/>
  <c r="FE11" i="4" a="1"/>
  <c r="Y109" i="2"/>
  <c r="BC23" i="3"/>
  <c r="FD7" i="4" a="1"/>
  <c r="Z16" i="2"/>
  <c r="Y95" i="2"/>
  <c r="Z63" i="2"/>
  <c r="BC46" i="3"/>
  <c r="FC7" i="4" a="1"/>
  <c r="EY16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BD25" i="3"/>
  <c r="AA49" i="2"/>
  <c r="Y18" i="2"/>
  <c r="AA45" i="2"/>
  <c r="FF15" i="4" a="1"/>
  <c r="EY13" i="4" a="1"/>
  <c r="EY12" i="4" a="1"/>
  <c r="AA12" i="2"/>
  <c r="Y74" i="2"/>
  <c r="BD24" i="3"/>
  <c r="BD15" i="3"/>
  <c r="Z69" i="2"/>
  <c r="BB31" i="3"/>
  <c r="BC26" i="3"/>
  <c r="AA59" i="2"/>
  <c r="EY14" i="4" a="1"/>
  <c r="FF11" i="4" a="1"/>
  <c r="FA16" i="4" a="1"/>
  <c r="FB11" i="4" a="1"/>
  <c r="FA14" i="4" a="1"/>
  <c r="Z74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57" i="2"/>
  <c r="BA7" i="3"/>
  <c r="BA11" i="3"/>
  <c r="Z33" i="2"/>
  <c r="AA75" i="2"/>
  <c r="Y87" i="2"/>
  <c r="FF9" i="4" a="1"/>
  <c r="BB13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D12" i="3"/>
  <c r="BA18" i="3"/>
  <c r="Z78" i="2"/>
  <c r="FF6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AA70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P25" i="3"/>
  <c r="BP35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Q10" i="3"/>
  <c r="BH28" i="3"/>
  <c r="BS10" i="3"/>
  <c r="BP32" i="3"/>
  <c r="BI46" i="3"/>
  <c r="BG16" i="3"/>
  <c r="BN27" i="3"/>
  <c r="BL7" i="3"/>
  <c r="BH11" i="3"/>
  <c r="BN9" i="3"/>
  <c r="BK19" i="3"/>
  <c r="Y28" i="2"/>
  <c r="Z13" i="2"/>
  <c r="BB30" i="3"/>
  <c r="AA66" i="2"/>
  <c r="Z61" i="2"/>
  <c r="BA32" i="3"/>
  <c r="AA16" i="2"/>
  <c r="Z46" i="2"/>
  <c r="Y90" i="2"/>
  <c r="BA8" i="3"/>
  <c r="Z65" i="2"/>
  <c r="BD38" i="3"/>
  <c r="Y27" i="2"/>
  <c r="BC40" i="3"/>
  <c r="Y63" i="2"/>
  <c r="FC14" i="4" a="1"/>
  <c r="EX13" i="4" a="1"/>
  <c r="EX9" i="4" a="1"/>
  <c r="FC15" i="4" a="1"/>
  <c r="Y50" i="2"/>
  <c r="BC7" i="3"/>
  <c r="AA108" i="2"/>
  <c r="Z90" i="2"/>
  <c r="Z32" i="2"/>
  <c r="BC30" i="3"/>
  <c r="Y89" i="2"/>
  <c r="FA6" i="4" a="1"/>
  <c r="EX8" i="4" a="1"/>
  <c r="FA9" i="4" a="1"/>
  <c r="EZ9" i="4" a="1"/>
  <c r="BS28" i="3"/>
  <c r="BE27" i="3"/>
  <c r="BJ46" i="3"/>
  <c r="BE29" i="3"/>
  <c r="BH29" i="3"/>
  <c r="BA31" i="3"/>
  <c r="Z47" i="2"/>
  <c r="Z96" i="2"/>
  <c r="BC29" i="3"/>
  <c r="Z105" i="2"/>
  <c r="Y79" i="2"/>
  <c r="FC16" i="4" a="1"/>
  <c r="BT11" i="3"/>
  <c r="AA72" i="2"/>
  <c r="FB8" i="4" a="1"/>
  <c r="BH15" i="3"/>
  <c r="BB25" i="3"/>
  <c r="Z79" i="2"/>
  <c r="BD27" i="3"/>
  <c r="FC8" i="4" a="1"/>
  <c r="BQ16" i="3"/>
  <c r="BI10" i="3"/>
  <c r="BS12" i="3"/>
  <c r="BG26" i="3"/>
  <c r="BT16" i="3"/>
  <c r="BE17" i="3"/>
  <c r="BJ31" i="3"/>
  <c r="BN10" i="3"/>
  <c r="BG45" i="3"/>
  <c r="BL20" i="3"/>
  <c r="BI30" i="3"/>
  <c r="Y60" i="2"/>
  <c r="Y26" i="2"/>
  <c r="BB20" i="3"/>
  <c r="BA19" i="3"/>
  <c r="Y49" i="2"/>
  <c r="Y82" i="2"/>
  <c r="BB26" i="3"/>
  <c r="Z34" i="2"/>
  <c r="Y110" i="2"/>
  <c r="FC5" i="4" a="1"/>
  <c r="FD11" i="4" a="1"/>
  <c r="AA57" i="2"/>
  <c r="EY7" i="4" a="1"/>
  <c r="BK6" i="3"/>
  <c r="Y105" i="2"/>
  <c r="FF13" i="4" a="1"/>
  <c r="BM29" i="3"/>
  <c r="Z10" i="2"/>
  <c r="BT33" i="3"/>
  <c r="BQ22" i="3"/>
  <c r="BG31" i="3"/>
  <c r="BS16" i="3"/>
  <c r="BI39" i="3"/>
  <c r="BP9" i="3"/>
  <c r="BM17" i="3"/>
  <c r="BH34" i="3"/>
  <c r="BF14" i="3"/>
  <c r="CL23" i="1" s="1"/>
  <c r="BT9" i="3"/>
  <c r="BN23" i="3"/>
  <c r="BG33" i="3"/>
  <c r="AA55" i="2"/>
  <c r="Y68" i="2"/>
  <c r="BD32" i="3"/>
  <c r="BA22" i="3"/>
  <c r="AA36" i="2"/>
  <c r="Y15" i="2"/>
  <c r="BA37" i="3"/>
  <c r="Z57" i="2"/>
  <c r="AA98" i="2"/>
  <c r="Z99" i="2"/>
  <c r="BC21" i="3"/>
  <c r="AA23" i="2"/>
  <c r="Y59" i="2"/>
  <c r="AA83" i="2"/>
  <c r="Z60" i="2"/>
  <c r="BD20" i="3"/>
  <c r="FC9" i="4" a="1"/>
  <c r="FD12" i="4" a="1"/>
  <c r="EZ15" i="4" a="1"/>
  <c r="FC11" i="4" a="1"/>
  <c r="BB12" i="3"/>
  <c r="AA25" i="2"/>
  <c r="BA30" i="3"/>
  <c r="BB29" i="3"/>
  <c r="FF16" i="4" a="1"/>
  <c r="FD8" i="4" a="1"/>
  <c r="EX15" i="4" a="1"/>
  <c r="EZ13" i="4" a="1"/>
  <c r="BA45" i="3"/>
  <c r="AA30" i="2"/>
  <c r="EX11" i="4" a="1"/>
  <c r="Z71" i="2"/>
  <c r="BQ28" i="3"/>
  <c r="BN38" i="3"/>
  <c r="BS18" i="3"/>
  <c r="BN7" i="3"/>
  <c r="BP41" i="3"/>
  <c r="BE21" i="3"/>
  <c r="BE8" i="3"/>
  <c r="BN26" i="3"/>
  <c r="BT18" i="3"/>
  <c r="BF25" i="3"/>
  <c r="CL36" i="1" s="1"/>
  <c r="BI34" i="3"/>
  <c r="Y13" i="2"/>
  <c r="Y10" i="2"/>
  <c r="BD33" i="3"/>
  <c r="BD23" i="3"/>
  <c r="AA8" i="2"/>
  <c r="Z19" i="2"/>
  <c r="BA40" i="3"/>
  <c r="Z23" i="2"/>
  <c r="AA71" i="2"/>
  <c r="AA52" i="2"/>
  <c r="Z87" i="2"/>
  <c r="Z24" i="2"/>
  <c r="Y83" i="2"/>
  <c r="C4" i="2"/>
  <c r="BC12" i="3"/>
  <c r="AA58" i="2"/>
  <c r="Y86" i="2"/>
  <c r="AA43" i="2"/>
  <c r="BD40" i="3"/>
  <c r="FB7" i="4" a="1"/>
  <c r="EX12" i="4" a="1"/>
  <c r="Y66" i="2"/>
  <c r="BC35" i="3"/>
  <c r="FA11" i="4" a="1"/>
  <c r="BL46" i="3"/>
  <c r="AA24" i="2"/>
  <c r="BA33" i="3"/>
  <c r="BD16" i="3"/>
  <c r="Z27" i="2"/>
  <c r="FA7" i="4" a="1"/>
  <c r="FF5" i="4" a="1"/>
  <c r="Y77" i="2"/>
  <c r="Z28" i="2"/>
  <c r="Z7" i="2"/>
  <c r="EY9" i="4" a="1"/>
  <c r="BV46" i="3"/>
  <c r="BF42" i="3"/>
  <c r="CL51" i="1" s="1"/>
  <c r="BF7" i="3"/>
  <c r="BK84" i="3"/>
  <c r="BC14" i="3"/>
  <c r="BC45" i="3"/>
  <c r="Y84" i="2"/>
  <c r="Y7" i="2"/>
  <c r="FE6" i="4" a="1"/>
  <c r="BH37" i="3"/>
  <c r="BE18" i="3"/>
  <c r="Y32" i="2"/>
  <c r="BQ34" i="3"/>
  <c r="BV16" i="3"/>
  <c r="BS22" i="3"/>
  <c r="BJ21" i="3"/>
  <c r="BP19" i="3"/>
  <c r="BM21" i="3"/>
  <c r="BK11" i="3"/>
  <c r="BF30" i="3"/>
  <c r="BT42" i="3"/>
  <c r="BH26" i="3"/>
  <c r="BK35" i="3"/>
  <c r="BA42" i="3"/>
  <c r="Y96" i="2"/>
  <c r="AA84" i="2"/>
  <c r="AA34" i="2"/>
  <c r="BC9" i="3"/>
  <c r="Y107" i="2"/>
  <c r="BB40" i="3"/>
  <c r="EX7" i="4" a="1"/>
  <c r="Z56" i="2"/>
  <c r="BI28" i="3"/>
  <c r="BL40" i="3"/>
  <c r="Z109" i="2"/>
  <c r="Z68" i="2"/>
  <c r="Z18" i="2"/>
  <c r="Y45" i="2"/>
  <c r="Y53" i="2"/>
  <c r="EY15" i="4" a="1"/>
  <c r="FD15" i="4" a="1"/>
  <c r="FE7" i="4" a="1"/>
  <c r="EY6" i="4" a="1"/>
  <c r="BS6" i="3"/>
  <c r="BF24" i="3"/>
  <c r="BL8" i="3"/>
  <c r="BD6" i="3"/>
  <c r="Y81" i="2"/>
  <c r="Y41" i="2"/>
  <c r="FE16" i="4" a="1"/>
  <c r="BQ40" i="3"/>
  <c r="BV22" i="3"/>
  <c r="BS24" i="3"/>
  <c r="BF31" i="3"/>
  <c r="BP13" i="3"/>
  <c r="BK22" i="3"/>
  <c r="BM14" i="3"/>
  <c r="BH33" i="3"/>
  <c r="BP14" i="3"/>
  <c r="BJ37" i="3"/>
  <c r="BJ16" i="3"/>
  <c r="AA110" i="2"/>
  <c r="AA90" i="2"/>
  <c r="BB9" i="3"/>
  <c r="Y6" i="2"/>
  <c r="Z53" i="2"/>
  <c r="AA41" i="2"/>
  <c r="BA41" i="3"/>
  <c r="AA5" i="2"/>
  <c r="AA96" i="2"/>
  <c r="AA21" i="2"/>
  <c r="BB8" i="3"/>
  <c r="BR5" i="3"/>
  <c r="BV28" i="3"/>
  <c r="BR11" i="3"/>
  <c r="BV34" i="3"/>
  <c r="BS30" i="3"/>
  <c r="BK9" i="3"/>
  <c r="BI7" i="3"/>
  <c r="BK30" i="3"/>
  <c r="BE32" i="3"/>
  <c r="BN12" i="3"/>
  <c r="BE31" i="3"/>
  <c r="BH42" i="3"/>
  <c r="BL35" i="3"/>
  <c r="AA19" i="2"/>
  <c r="Y72" i="2"/>
  <c r="BB17" i="3"/>
  <c r="Z25" i="2"/>
  <c r="Z44" i="2"/>
  <c r="Y78" i="2"/>
  <c r="BD19" i="3"/>
  <c r="AA104" i="2"/>
  <c r="AA46" i="2"/>
  <c r="BD41" i="3"/>
  <c r="Y56" i="2"/>
  <c r="BB42" i="3"/>
  <c r="BB10" i="3"/>
  <c r="BB39" i="3"/>
  <c r="Z51" i="2"/>
  <c r="BB11" i="3"/>
  <c r="FE12" i="4" a="1"/>
  <c r="EY5" i="4" a="1"/>
  <c r="FB5" i="4" a="1"/>
  <c r="EZ6" i="4" a="1"/>
  <c r="AA29" i="2"/>
  <c r="BD18" i="3"/>
  <c r="AA87" i="2"/>
  <c r="BD45" i="3"/>
  <c r="Z98" i="2"/>
  <c r="FB9" i="4" a="1"/>
  <c r="BC31" i="3"/>
  <c r="BB36" i="3"/>
  <c r="EZ16" i="4" a="1"/>
  <c r="BG12" i="3"/>
  <c r="BM16" i="3"/>
  <c r="AA93" i="2"/>
  <c r="Y98" i="2"/>
  <c r="BA21" i="3"/>
  <c r="Z41" i="2"/>
  <c r="BF9" i="3"/>
  <c r="Y44" i="2"/>
  <c r="BB46" i="3"/>
  <c r="AA97" i="2"/>
  <c r="BS41" i="3"/>
  <c r="BV38" i="3"/>
  <c r="BS34" i="3"/>
  <c r="BE24" i="3"/>
  <c r="BG8" i="3"/>
  <c r="BK36" i="3"/>
  <c r="BG35" i="3"/>
  <c r="BL25" i="3"/>
  <c r="BI33" i="3"/>
  <c r="BF45" i="3"/>
  <c r="CL63" i="1" s="1"/>
  <c r="BJ40" i="3"/>
  <c r="Y88" i="2"/>
  <c r="Y62" i="2"/>
  <c r="BA15" i="3"/>
  <c r="Z35" i="2"/>
  <c r="BA12" i="3"/>
  <c r="AA27" i="2"/>
  <c r="BA13" i="3"/>
  <c r="AA67" i="2"/>
  <c r="BA46" i="3"/>
  <c r="AA107" i="2"/>
  <c r="BB34" i="3"/>
  <c r="EZ14" i="4" a="1"/>
  <c r="FD13" i="4" a="1"/>
  <c r="FD9" i="4" a="1"/>
  <c r="BM45" i="3"/>
  <c r="BI14" i="3"/>
  <c r="BN40" i="3"/>
  <c r="Z89" i="2"/>
  <c r="Z9" i="2"/>
  <c r="Z110" i="2"/>
  <c r="AA6" i="2"/>
  <c r="BD11" i="3"/>
  <c r="BL11" i="3"/>
  <c r="BA9" i="3"/>
  <c r="BA14" i="3"/>
  <c r="BA38" i="3"/>
  <c r="FD14" i="4" a="1"/>
  <c r="BF15" i="3"/>
  <c r="CL24" i="1" s="1"/>
  <c r="Y11" i="2"/>
  <c r="BC22" i="3"/>
  <c r="Z26" i="2"/>
  <c r="FE5" i="4" a="1"/>
  <c r="FA13" i="4" a="1"/>
  <c r="BT6" i="3"/>
  <c r="BV40" i="3"/>
  <c r="BS38" i="3"/>
  <c r="BM30" i="3"/>
  <c r="BI11" i="3"/>
  <c r="BH8" i="3"/>
  <c r="BL27" i="3"/>
  <c r="BL33" i="3"/>
  <c r="BB22" i="3"/>
  <c r="BA35" i="3"/>
  <c r="Y8" i="2"/>
  <c r="AA31" i="2"/>
  <c r="BB35" i="3"/>
  <c r="FB16" i="4" a="1"/>
  <c r="BN11" i="3"/>
  <c r="BM46" i="3"/>
  <c r="Y42" i="2"/>
  <c r="Y69" i="2"/>
  <c r="BE13" i="3"/>
  <c r="AA77" i="2"/>
  <c r="BB33" i="3"/>
  <c r="FE9" i="4" a="1"/>
  <c r="AA52" i="1" l="1"/>
  <c r="AA54" i="1"/>
  <c r="AA193" i="1"/>
  <c r="AA195" i="1" s="1"/>
  <c r="BQ56" i="3"/>
  <c r="BQ62" i="3"/>
  <c r="BP92" i="3"/>
  <c r="BP57" i="3"/>
  <c r="BP60" i="3"/>
  <c r="CL253" i="1"/>
  <c r="CL194" i="1"/>
  <c r="CL231" i="1"/>
  <c r="CL10" i="1"/>
  <c r="CL252" i="1"/>
  <c r="CL65" i="1"/>
  <c r="CL26" i="1"/>
  <c r="CL27" i="1" s="1"/>
  <c r="CK25" i="1"/>
  <c r="CK22" i="1"/>
  <c r="CK21" i="1"/>
  <c r="CK39" i="1"/>
  <c r="CK35" i="1"/>
  <c r="CK14" i="1"/>
  <c r="CK46" i="1"/>
  <c r="CK63" i="1"/>
  <c r="CK13" i="1"/>
  <c r="CK47" i="1"/>
  <c r="CK8" i="1"/>
  <c r="CK15" i="1"/>
  <c r="CK32" i="1"/>
  <c r="CK36" i="1"/>
  <c r="CK24" i="1"/>
  <c r="CK51" i="1"/>
  <c r="CK64" i="1"/>
  <c r="CK9" i="1"/>
  <c r="CK20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FW14" i="4" a="1"/>
  <c r="GM15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BG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GI14" i="4" a="1"/>
  <c r="GL12" i="4" a="1"/>
  <c r="BV48" i="3"/>
  <c r="BE85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T49" i="3"/>
  <c r="BH62" i="3"/>
  <c r="BG86" i="3"/>
  <c r="BA67" i="3"/>
  <c r="BA70" i="3"/>
  <c r="BA63" i="3"/>
  <c r="BP56" i="3"/>
  <c r="BH96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L84" i="3"/>
  <c r="BC71" i="3"/>
  <c r="BG65" i="3"/>
  <c r="BB65" i="3"/>
  <c r="BH68" i="3"/>
  <c r="BI73" i="3"/>
  <c r="BC60" i="3"/>
  <c r="BL93" i="3"/>
  <c r="BE88" i="3"/>
  <c r="BQ63" i="3"/>
  <c r="BV60" i="3"/>
  <c r="BO82" i="3"/>
  <c r="BS57" i="3"/>
  <c r="BU70" i="3"/>
  <c r="BV79" i="3"/>
  <c r="BT59" i="3"/>
  <c r="BN67" i="3"/>
  <c r="BN63" i="3"/>
  <c r="BF75" i="3"/>
  <c r="BS67" i="3"/>
  <c r="BH91" i="3"/>
  <c r="BI56" i="3"/>
  <c r="BF62" i="3"/>
  <c r="CL124" i="1" s="1"/>
  <c r="BJ93" i="3"/>
  <c r="BJ81" i="3"/>
  <c r="BK76" i="3"/>
  <c r="FK15" i="4" a="1"/>
  <c r="GL6" i="4" a="1"/>
  <c r="GX9" i="4" a="1"/>
  <c r="FO5" i="4" a="1"/>
  <c r="FY6" i="4" a="1"/>
  <c r="FQ12" i="4" a="1"/>
  <c r="GO5" i="4" a="1"/>
  <c r="GM6" i="4" a="1"/>
  <c r="FO15" i="4" a="1"/>
  <c r="GD6" i="4" a="1"/>
  <c r="HF9" i="4" a="1"/>
  <c r="FI9" i="4" a="1"/>
  <c r="GW8" i="4" a="1"/>
  <c r="GZ6" i="4" a="1"/>
  <c r="FW5" i="4" a="1"/>
  <c r="HF5" i="4" a="1"/>
  <c r="GO6" i="4" a="1"/>
  <c r="HE9" i="4" a="1"/>
  <c r="FW12" i="4" a="1"/>
  <c r="GB13" i="4" a="1"/>
  <c r="GF9" i="4" a="1"/>
  <c r="GN12" i="4" a="1"/>
  <c r="GU13" i="4" a="1"/>
  <c r="GW14" i="4" a="1"/>
  <c r="FK12" i="4" a="1"/>
  <c r="FP15" i="4" a="1"/>
  <c r="HB15" i="4" a="1"/>
  <c r="GD16" i="4" a="1"/>
  <c r="HF16" i="4" a="1"/>
  <c r="FV9" i="4" a="1"/>
  <c r="GA14" i="4" a="1"/>
  <c r="HE13" i="4" a="1"/>
  <c r="FP13" i="4" a="1"/>
  <c r="FU15" i="4" a="1"/>
  <c r="HC15" i="4" a="1"/>
  <c r="FY16" i="4" a="1"/>
  <c r="GW16" i="4" a="1"/>
  <c r="GN13" i="4" a="1"/>
  <c r="BC63" i="3"/>
  <c r="BC86" i="3"/>
  <c r="BD47" i="3"/>
  <c r="BD91" i="3"/>
  <c r="BD68" i="3"/>
  <c r="FX14" i="4" a="1"/>
  <c r="FM8" i="4" a="1"/>
  <c r="FZ13" i="4" a="1"/>
  <c r="GE14" i="4" a="1"/>
  <c r="BG77" i="3"/>
  <c r="BF93" i="3"/>
  <c r="BO94" i="3"/>
  <c r="BT89" i="3"/>
  <c r="BF74" i="3"/>
  <c r="CL137" i="1" s="1"/>
  <c r="BK96" i="3"/>
  <c r="GC7" i="4" a="1"/>
  <c r="GP7" i="4" a="1"/>
  <c r="GF8" i="4" a="1"/>
  <c r="FR8" i="4" a="1"/>
  <c r="FQ11" i="4" a="1"/>
  <c r="GJ7" i="4" a="1"/>
  <c r="BC97" i="3"/>
  <c r="BG50" i="3"/>
  <c r="BJ95" i="3"/>
  <c r="FG8" i="4" a="1"/>
  <c r="GU14" i="4" a="1"/>
  <c r="GY12" i="4" a="1"/>
  <c r="BA48" i="3"/>
  <c r="BC72" i="3"/>
  <c r="BG91" i="3"/>
  <c r="BB95" i="3"/>
  <c r="BE55" i="3"/>
  <c r="BI89" i="3"/>
  <c r="BD50" i="3"/>
  <c r="BL68" i="3"/>
  <c r="BE97" i="3"/>
  <c r="BQ97" i="3"/>
  <c r="BV85" i="3"/>
  <c r="BO87" i="3"/>
  <c r="BS56" i="3"/>
  <c r="BR81" i="3"/>
  <c r="BV54" i="3"/>
  <c r="BT67" i="3"/>
  <c r="BN95" i="3"/>
  <c r="BN97" i="3"/>
  <c r="BO48" i="3"/>
  <c r="BS89" i="3"/>
  <c r="BE49" i="3"/>
  <c r="BI61" i="3"/>
  <c r="BJ49" i="3"/>
  <c r="BJ62" i="3"/>
  <c r="BJ83" i="3"/>
  <c r="BK86" i="3"/>
  <c r="GE15" i="4" a="1"/>
  <c r="FY8" i="4" a="1"/>
  <c r="HH9" i="4" a="1"/>
  <c r="GA5" i="4" a="1"/>
  <c r="GA7" i="4" a="1"/>
  <c r="GO12" i="4" a="1"/>
  <c r="FK6" i="4" a="1"/>
  <c r="FJ9" i="4" a="1"/>
  <c r="FI7" i="4" a="1"/>
  <c r="FU8" i="4" a="1"/>
  <c r="FP11" i="4" a="1"/>
  <c r="FZ5" i="4" a="1"/>
  <c r="GU5" i="4" a="1"/>
  <c r="GY7" i="4" a="1"/>
  <c r="GD5" i="4" a="1"/>
  <c r="GN5" i="4" a="1"/>
  <c r="FS7" i="4" a="1"/>
  <c r="FO11" i="4" a="1"/>
  <c r="FZ12" i="4" a="1"/>
  <c r="GG13" i="4" a="1"/>
  <c r="GQ11" i="4" a="1"/>
  <c r="GV12" i="4" a="1"/>
  <c r="GX13" i="4" a="1"/>
  <c r="GZ14" i="4" a="1"/>
  <c r="FV12" i="4" a="1"/>
  <c r="FS15" i="4" a="1"/>
  <c r="HF15" i="4" a="1"/>
  <c r="GF16" i="4" a="1"/>
  <c r="HH16" i="4" a="1"/>
  <c r="GQ9" i="4" a="1"/>
  <c r="GL14" i="4" a="1"/>
  <c r="FH15" i="4" a="1"/>
  <c r="GK13" i="4" a="1"/>
  <c r="GB15" i="4" a="1"/>
  <c r="HE15" i="4" a="1"/>
  <c r="GA16" i="4" a="1"/>
  <c r="GY16" i="4" a="1"/>
  <c r="FS14" i="4" a="1"/>
  <c r="BC64" i="3"/>
  <c r="BC79" i="3"/>
  <c r="BD48" i="3"/>
  <c r="BD57" i="3"/>
  <c r="BD81" i="3"/>
  <c r="BC84" i="3"/>
  <c r="BC69" i="3"/>
  <c r="BD84" i="3"/>
  <c r="BD58" i="3"/>
  <c r="BC48" i="3"/>
  <c r="BG94" i="3"/>
  <c r="GQ13" i="4" a="1"/>
  <c r="GB14" i="4" a="1"/>
  <c r="GU15" i="4" a="1"/>
  <c r="BA74" i="3"/>
  <c r="BA68" i="3"/>
  <c r="BR56" i="3"/>
  <c r="BE62" i="3"/>
  <c r="BB69" i="3"/>
  <c r="BF86" i="3"/>
  <c r="BI74" i="3"/>
  <c r="BQ55" i="3"/>
  <c r="BL80" i="3"/>
  <c r="BI47" i="3"/>
  <c r="BQ81" i="3"/>
  <c r="BT80" i="3"/>
  <c r="BO90" i="3"/>
  <c r="BS50" i="3"/>
  <c r="BR88" i="3"/>
  <c r="BV57" i="3"/>
  <c r="BT72" i="3"/>
  <c r="BN59" i="3"/>
  <c r="BP54" i="3"/>
  <c r="BO69" i="3"/>
  <c r="BS49" i="3"/>
  <c r="BE47" i="3"/>
  <c r="BI50" i="3"/>
  <c r="BJ74" i="3"/>
  <c r="BJ64" i="3"/>
  <c r="BK82" i="3"/>
  <c r="BK90" i="3"/>
  <c r="FM5" i="4" a="1"/>
  <c r="GU8" i="4" a="1"/>
  <c r="FR11" i="4" a="1"/>
  <c r="FH5" i="4" a="1"/>
  <c r="FL9" i="4" a="1"/>
  <c r="HD14" i="4" a="1"/>
  <c r="GI6" i="4" a="1"/>
  <c r="GK9" i="4" a="1"/>
  <c r="GP8" i="4" a="1"/>
  <c r="GG8" i="4" a="1"/>
  <c r="FX11" i="4" a="1"/>
  <c r="GJ5" i="4" a="1"/>
  <c r="FT6" i="4" a="1"/>
  <c r="GN9" i="4" a="1"/>
  <c r="GY5" i="4" a="1"/>
  <c r="GW6" i="4" a="1"/>
  <c r="FS9" i="4" a="1"/>
  <c r="FS11" i="4" a="1"/>
  <c r="GE12" i="4" a="1"/>
  <c r="GJ13" i="4" a="1"/>
  <c r="GT11" i="4" a="1"/>
  <c r="HA12" i="4" a="1"/>
  <c r="HC13" i="4" a="1"/>
  <c r="HE14" i="4" a="1"/>
  <c r="HB12" i="4" a="1"/>
  <c r="GC15" i="4" a="1"/>
  <c r="HH15" i="4" a="1"/>
  <c r="GH16" i="4" a="1"/>
  <c r="HE7" i="4" a="1"/>
  <c r="FU11" i="4" a="1"/>
  <c r="GQ14" i="4" a="1"/>
  <c r="FY15" i="4" a="1"/>
  <c r="GV13" i="4" a="1"/>
  <c r="GG15" i="4" a="1"/>
  <c r="HG15" i="4" a="1"/>
  <c r="GC16" i="4" a="1"/>
  <c r="HA16" i="4" a="1"/>
  <c r="BC55" i="3"/>
  <c r="BD95" i="3"/>
  <c r="Y113" i="2"/>
  <c r="BF84" i="3"/>
  <c r="CL146" i="1" s="1"/>
  <c r="HG6" i="4" a="1"/>
  <c r="GE6" i="4" a="1"/>
  <c r="GV11" i="4" a="1"/>
  <c r="FU12" i="4" a="1"/>
  <c r="BH70" i="3"/>
  <c r="BK66" i="3"/>
  <c r="FV7" i="4" a="1"/>
  <c r="GS13" i="4" a="1"/>
  <c r="BC59" i="3"/>
  <c r="BK78" i="3"/>
  <c r="BO57" i="3"/>
  <c r="BT48" i="3"/>
  <c r="BK63" i="3"/>
  <c r="HA7" i="4" a="1"/>
  <c r="HD8" i="4" a="1"/>
  <c r="GA8" i="4" a="1"/>
  <c r="FN9" i="4" a="1"/>
  <c r="HB16" i="4" a="1"/>
  <c r="HH13" i="4" a="1"/>
  <c r="BD65" i="3"/>
  <c r="FW16" i="4" a="1"/>
  <c r="BC89" i="3"/>
  <c r="BA50" i="3"/>
  <c r="BR61" i="3"/>
  <c r="BE56" i="3"/>
  <c r="BB74" i="3"/>
  <c r="BF88" i="3"/>
  <c r="CL127" i="1" s="1"/>
  <c r="BI97" i="3"/>
  <c r="BQ57" i="3"/>
  <c r="BL82" i="3"/>
  <c r="BI57" i="3"/>
  <c r="BQ82" i="3"/>
  <c r="BT84" i="3"/>
  <c r="BS85" i="3"/>
  <c r="BU62" i="3"/>
  <c r="BR72" i="3"/>
  <c r="BV84" i="3"/>
  <c r="BT56" i="3"/>
  <c r="BN55" i="3"/>
  <c r="BP69" i="3"/>
  <c r="BO54" i="3"/>
  <c r="BS54" i="3"/>
  <c r="BE79" i="3"/>
  <c r="BM69" i="3"/>
  <c r="BJ82" i="3"/>
  <c r="BJ92" i="3"/>
  <c r="BK55" i="3"/>
  <c r="BK57" i="3"/>
  <c r="FS5" i="4" a="1"/>
  <c r="GM5" i="4" a="1"/>
  <c r="GI9" i="4" a="1"/>
  <c r="FV5" i="4" a="1"/>
  <c r="GJ9" i="4" a="1"/>
  <c r="GO7" i="4" a="1"/>
  <c r="HB6" i="4" a="1"/>
  <c r="FJ11" i="4" a="1"/>
  <c r="GO9" i="4" a="1"/>
  <c r="GP5" i="4" a="1"/>
  <c r="HD5" i="4" a="1"/>
  <c r="GK6" i="4" a="1"/>
  <c r="GR6" i="4" a="1"/>
  <c r="HC11" i="4" a="1"/>
  <c r="GS6" i="4" a="1"/>
  <c r="HB7" i="4" a="1"/>
  <c r="GP11" i="4" a="1"/>
  <c r="GA11" i="4" a="1"/>
  <c r="GH12" i="4" a="1"/>
  <c r="GO13" i="4" a="1"/>
  <c r="HB11" i="4" a="1"/>
  <c r="HD12" i="4" a="1"/>
  <c r="HF13" i="4" a="1"/>
  <c r="HH14" i="4" a="1"/>
  <c r="FU13" i="4" a="1"/>
  <c r="GH15" i="4" a="1"/>
  <c r="FH16" i="4" a="1"/>
  <c r="GJ16" i="4" a="1"/>
  <c r="GO11" i="4" a="1"/>
  <c r="GJ11" i="4" a="1"/>
  <c r="HG14" i="4" a="1"/>
  <c r="HF6" i="4" a="1"/>
  <c r="HD13" i="4" a="1"/>
  <c r="GI15" i="4" a="1"/>
  <c r="FG16" i="4" a="1"/>
  <c r="GE16" i="4" a="1"/>
  <c r="HC16" i="4" a="1"/>
  <c r="BC54" i="3"/>
  <c r="BC83" i="3"/>
  <c r="BC74" i="3"/>
  <c r="BD72" i="3"/>
  <c r="BD67" i="3"/>
  <c r="BD90" i="3"/>
  <c r="BU48" i="3"/>
  <c r="GG5" i="4" a="1"/>
  <c r="GV5" i="4" a="1"/>
  <c r="GR15" i="4" a="1"/>
  <c r="GW11" i="4" a="1"/>
  <c r="GY9" i="4" a="1"/>
  <c r="BG78" i="3"/>
  <c r="BF69" i="3"/>
  <c r="BA58" i="3"/>
  <c r="BM64" i="3"/>
  <c r="BM70" i="3"/>
  <c r="BB63" i="3"/>
  <c r="BP86" i="3"/>
  <c r="BI96" i="3"/>
  <c r="BQ73" i="3"/>
  <c r="BL94" i="3"/>
  <c r="BI81" i="3"/>
  <c r="BQ69" i="3"/>
  <c r="BT90" i="3"/>
  <c r="BS73" i="3"/>
  <c r="BU71" i="3"/>
  <c r="BR59" i="3"/>
  <c r="BV80" i="3"/>
  <c r="BT55" i="3"/>
  <c r="BN90" i="3"/>
  <c r="BP95" i="3"/>
  <c r="BO85" i="3"/>
  <c r="BS94" i="3"/>
  <c r="BE54" i="3"/>
  <c r="BM75" i="3"/>
  <c r="BJ84" i="3"/>
  <c r="BJ94" i="3"/>
  <c r="BK88" i="3"/>
  <c r="BK91" i="3"/>
  <c r="GC5" i="4" a="1"/>
  <c r="FI6" i="4" a="1"/>
  <c r="FT12" i="4" a="1"/>
  <c r="GH5" i="4" a="1"/>
  <c r="GX6" i="4" a="1"/>
  <c r="GX8" i="4" a="1"/>
  <c r="FX7" i="4" a="1"/>
  <c r="FV11" i="4" a="1"/>
  <c r="FI5" i="4" a="1"/>
  <c r="FL6" i="4" a="1"/>
  <c r="GU6" i="4" a="1"/>
  <c r="FG7" i="4" a="1"/>
  <c r="GL7" i="4" a="1"/>
  <c r="FV13" i="4" a="1"/>
  <c r="FR7" i="4" a="1"/>
  <c r="FT9" i="4" a="1"/>
  <c r="FN13" i="4" a="1"/>
  <c r="GE11" i="4" a="1"/>
  <c r="GM12" i="4" a="1"/>
  <c r="GZ13" i="4" a="1"/>
  <c r="HG11" i="4" a="1"/>
  <c r="FG13" i="4" a="1"/>
  <c r="FI14" i="4" a="1"/>
  <c r="FY7" i="4" a="1"/>
  <c r="GF13" i="4" a="1"/>
  <c r="GJ15" i="4" a="1"/>
  <c r="FJ16" i="4" a="1"/>
  <c r="GL16" i="4" a="1"/>
  <c r="FH13" i="4" a="1"/>
  <c r="HE11" i="4" a="1"/>
  <c r="FI15" i="4" a="1"/>
  <c r="GD8" i="4" a="1"/>
  <c r="FG14" i="4" a="1"/>
  <c r="GK15" i="4" a="1"/>
  <c r="FI16" i="4" a="1"/>
  <c r="GG16" i="4" a="1"/>
  <c r="HE16" i="4" a="1"/>
  <c r="BC96" i="3"/>
  <c r="BC78" i="3"/>
  <c r="BC87" i="3"/>
  <c r="BD60" i="3"/>
  <c r="BD63" i="3"/>
  <c r="BG55" i="3"/>
  <c r="BH82" i="3"/>
  <c r="GZ8" i="4" a="1"/>
  <c r="GJ14" i="4" a="1"/>
  <c r="HC14" i="4" a="1"/>
  <c r="BH66" i="3"/>
  <c r="BU92" i="3"/>
  <c r="FI8" i="4" a="1"/>
  <c r="FJ12" i="4" a="1"/>
  <c r="FP9" i="4" a="1"/>
  <c r="GO14" i="4" a="1"/>
  <c r="FX16" i="4" a="1"/>
  <c r="GD12" i="4" a="1"/>
  <c r="GA12" i="4" a="1"/>
  <c r="GY15" i="4" a="1"/>
  <c r="FU16" i="4" a="1"/>
  <c r="GZ11" i="4" a="1"/>
  <c r="BC66" i="3"/>
  <c r="HG12" i="4" a="1"/>
  <c r="BD69" i="3"/>
  <c r="BA55" i="3"/>
  <c r="BN49" i="3"/>
  <c r="BM48" i="3"/>
  <c r="BB87" i="3"/>
  <c r="BD70" i="3"/>
  <c r="BB82" i="3"/>
  <c r="BH71" i="3"/>
  <c r="BL87" i="3"/>
  <c r="BF65" i="3"/>
  <c r="CL150" i="1" s="1"/>
  <c r="BU75" i="3"/>
  <c r="BO55" i="3"/>
  <c r="BS88" i="3"/>
  <c r="BU67" i="3"/>
  <c r="BR60" i="3"/>
  <c r="BV76" i="3"/>
  <c r="BT78" i="3"/>
  <c r="BN48" i="3"/>
  <c r="BP90" i="3"/>
  <c r="BO56" i="3"/>
  <c r="BS58" i="3"/>
  <c r="BE89" i="3"/>
  <c r="BM47" i="3"/>
  <c r="BJ47" i="3"/>
  <c r="BJ50" i="3"/>
  <c r="BK83" i="3"/>
  <c r="BK49" i="3"/>
  <c r="FL5" i="4" a="1"/>
  <c r="FG6" i="4" a="1"/>
  <c r="GJ12" i="4" a="1"/>
  <c r="GX7" i="4" a="1"/>
  <c r="GR7" i="4" a="1"/>
  <c r="GS9" i="4" a="1"/>
  <c r="GM8" i="4" a="1"/>
  <c r="GS5" i="4" a="1"/>
  <c r="GF5" i="4" a="1"/>
  <c r="FR6" i="4" a="1"/>
  <c r="GG12" i="4" a="1"/>
  <c r="FZ7" i="4" a="1"/>
  <c r="FO9" i="4" a="1"/>
  <c r="GT13" i="4" a="1"/>
  <c r="GM7" i="4" a="1"/>
  <c r="GM9" i="4" a="1"/>
  <c r="GL13" i="4" a="1"/>
  <c r="GK11" i="4" a="1"/>
  <c r="GP12" i="4" a="1"/>
  <c r="HE6" i="4" a="1"/>
  <c r="FH12" i="4" a="1"/>
  <c r="FJ13" i="4" a="1"/>
  <c r="FL14" i="4" a="1"/>
  <c r="FN8" i="4" a="1"/>
  <c r="FJ14" i="4" a="1"/>
  <c r="GL15" i="4" a="1"/>
  <c r="FL16" i="4" a="1"/>
  <c r="GN16" i="4" a="1"/>
  <c r="FN14" i="4" a="1"/>
  <c r="GI12" i="4" a="1"/>
  <c r="FM15" i="4" a="1"/>
  <c r="HH8" i="4" a="1"/>
  <c r="FR14" i="4" a="1"/>
  <c r="GO15" i="4" a="1"/>
  <c r="FK16" i="4" a="1"/>
  <c r="GI16" i="4" a="1"/>
  <c r="HG16" i="4" a="1"/>
  <c r="BC90" i="3"/>
  <c r="BC88" i="3"/>
  <c r="BC93" i="3"/>
  <c r="BD74" i="3"/>
  <c r="BD96" i="3"/>
  <c r="BB93" i="3"/>
  <c r="BA65" i="3"/>
  <c r="BA78" i="3"/>
  <c r="BK47" i="3"/>
  <c r="HH7" i="4" a="1"/>
  <c r="GB6" i="4" a="1"/>
  <c r="FO7" i="4" a="1"/>
  <c r="FW9" i="4" a="1"/>
  <c r="FV6" i="4" a="1"/>
  <c r="GA6" i="4" a="1"/>
  <c r="FI13" i="4" a="1"/>
  <c r="HC9" i="4" a="1"/>
  <c r="FT16" i="4" a="1"/>
  <c r="FX13" i="4" a="1"/>
  <c r="GX14" i="4" a="1"/>
  <c r="FQ16" i="4" a="1"/>
  <c r="BC95" i="3"/>
  <c r="BC76" i="3"/>
  <c r="BD66" i="3"/>
  <c r="BE80" i="3"/>
  <c r="BS97" i="3"/>
  <c r="BV55" i="3"/>
  <c r="BG90" i="3"/>
  <c r="FH14" i="4" a="1"/>
  <c r="FK9" i="4" a="1"/>
  <c r="GP14" i="4" a="1"/>
  <c r="GZ16" i="4" a="1"/>
  <c r="GQ16" i="4" a="1"/>
  <c r="BG97" i="3"/>
  <c r="BA47" i="3"/>
  <c r="BQ93" i="3"/>
  <c r="BS96" i="3"/>
  <c r="BR94" i="3"/>
  <c r="BN70" i="3"/>
  <c r="BH97" i="3"/>
  <c r="BK87" i="3"/>
  <c r="BA60" i="3"/>
  <c r="BN84" i="3"/>
  <c r="BM59" i="3"/>
  <c r="BB78" i="3"/>
  <c r="BD49" i="3"/>
  <c r="BB57" i="3"/>
  <c r="BH58" i="3"/>
  <c r="BL79" i="3"/>
  <c r="BF47" i="3"/>
  <c r="BU76" i="3"/>
  <c r="BO59" i="3"/>
  <c r="BS68" i="3"/>
  <c r="BU69" i="3"/>
  <c r="BR75" i="3"/>
  <c r="BV58" i="3"/>
  <c r="BT79" i="3"/>
  <c r="BN58" i="3"/>
  <c r="BP75" i="3"/>
  <c r="BO73" i="3"/>
  <c r="BP55" i="3"/>
  <c r="BE58" i="3"/>
  <c r="BM54" i="3"/>
  <c r="BJ58" i="3"/>
  <c r="BJ57" i="3"/>
  <c r="BK75" i="3"/>
  <c r="BK65" i="3"/>
  <c r="FX6" i="4" a="1"/>
  <c r="HH6" i="4" a="1"/>
  <c r="HE12" i="4" a="1"/>
  <c r="FS6" i="4" a="1"/>
  <c r="FT8" i="4" a="1"/>
  <c r="FG5" i="4" a="1"/>
  <c r="GY8" i="4" a="1"/>
  <c r="GK5" i="4" a="1"/>
  <c r="GT5" i="4" a="1"/>
  <c r="FK7" i="4" a="1"/>
  <c r="HH12" i="4" a="1"/>
  <c r="HC7" i="4" a="1"/>
  <c r="FJ6" i="4" a="1"/>
  <c r="GN14" i="4" a="1"/>
  <c r="FL8" i="4" a="1"/>
  <c r="FL7" i="4" a="1"/>
  <c r="GK14" i="4" a="1"/>
  <c r="GN11" i="4" a="1"/>
  <c r="GU12" i="4" a="1"/>
  <c r="GI7" i="4" a="1"/>
  <c r="FM12" i="4" a="1"/>
  <c r="FO13" i="4" a="1"/>
  <c r="FT14" i="4" a="1"/>
  <c r="GT8" i="4" a="1"/>
  <c r="FO14" i="4" a="1"/>
  <c r="GN15" i="4" a="1"/>
  <c r="FN16" i="4" a="1"/>
  <c r="GR16" i="4" a="1"/>
  <c r="GD14" i="4" a="1"/>
  <c r="GT12" i="4" a="1"/>
  <c r="FT15" i="4" a="1"/>
  <c r="GU9" i="4" a="1"/>
  <c r="GH14" i="4" a="1"/>
  <c r="GQ15" i="4" a="1"/>
  <c r="FM16" i="4" a="1"/>
  <c r="GK16" i="4" a="1"/>
  <c r="GL8" i="4" a="1"/>
  <c r="BC70" i="3"/>
  <c r="BC81" i="3"/>
  <c r="BC91" i="3"/>
  <c r="BD87" i="3"/>
  <c r="BD71" i="3"/>
  <c r="BF82" i="3"/>
  <c r="CL145" i="1" s="1"/>
  <c r="CL180" i="1" s="1"/>
  <c r="GJ6" i="4" a="1"/>
  <c r="GC9" i="4" a="1"/>
  <c r="GV16" i="4" a="1"/>
  <c r="BC61" i="3"/>
  <c r="BR54" i="3"/>
  <c r="BN68" i="3"/>
  <c r="BI63" i="3"/>
  <c r="HF7" i="4" a="1"/>
  <c r="GF6" i="4" a="1"/>
  <c r="GV14" i="4" a="1"/>
  <c r="FH11" i="4" a="1"/>
  <c r="HH11" i="4" a="1"/>
  <c r="GC11" i="4" a="1"/>
  <c r="BF60" i="3"/>
  <c r="CL122" i="1" s="1"/>
  <c r="BF55" i="3"/>
  <c r="BF58" i="3"/>
  <c r="CL119" i="1" s="1"/>
  <c r="FR9" i="4" a="1"/>
  <c r="FX9" i="4" a="1"/>
  <c r="HA6" i="4" a="1"/>
  <c r="GY13" i="4" a="1"/>
  <c r="GD9" i="4" a="1"/>
  <c r="GF12" i="4" a="1"/>
  <c r="GG11" i="4" a="1"/>
  <c r="GX15" i="4" a="1"/>
  <c r="FN15" i="4" a="1"/>
  <c r="GS16" i="4" a="1"/>
  <c r="BC75" i="3"/>
  <c r="BC62" i="3"/>
  <c r="BD80" i="3"/>
  <c r="FK14" i="4" a="1"/>
  <c r="BC80" i="3"/>
  <c r="BP73" i="3"/>
  <c r="BP71" i="3"/>
  <c r="BM71" i="3"/>
  <c r="BB67" i="3"/>
  <c r="BD94" i="3"/>
  <c r="BB54" i="3"/>
  <c r="BH67" i="3"/>
  <c r="BL61" i="3"/>
  <c r="BF94" i="3"/>
  <c r="BR62" i="3"/>
  <c r="BO66" i="3"/>
  <c r="BS47" i="3"/>
  <c r="BU89" i="3"/>
  <c r="BR69" i="3"/>
  <c r="BV96" i="3"/>
  <c r="BT60" i="3"/>
  <c r="BN60" i="3"/>
  <c r="BF77" i="3"/>
  <c r="CL140" i="1" s="1"/>
  <c r="BO91" i="3"/>
  <c r="BG47" i="3"/>
  <c r="BE77" i="3"/>
  <c r="BM55" i="3"/>
  <c r="BJ78" i="3"/>
  <c r="BJ69" i="3"/>
  <c r="BK59" i="3"/>
  <c r="BK97" i="3"/>
  <c r="FJ7" i="4" a="1"/>
  <c r="GQ7" i="4" a="1"/>
  <c r="GA13" i="4" a="1"/>
  <c r="GQ6" i="4" a="1"/>
  <c r="FL11" i="4" a="1"/>
  <c r="FU5" i="4" a="1"/>
  <c r="FQ6" i="4" a="1"/>
  <c r="FH8" i="4" a="1"/>
  <c r="GV6" i="4" a="1"/>
  <c r="HG7" i="4" a="1"/>
  <c r="HB13" i="4" a="1"/>
  <c r="GZ5" i="4" a="1"/>
  <c r="GV8" i="4" a="1"/>
  <c r="FJ15" i="4" a="1"/>
  <c r="HH5" i="4" a="1"/>
  <c r="HG8" i="4" a="1"/>
  <c r="FG15" i="4" a="1"/>
  <c r="GS11" i="4" a="1"/>
  <c r="HF12" i="4" a="1"/>
  <c r="GT7" i="4" a="1"/>
  <c r="FP12" i="4" a="1"/>
  <c r="FR13" i="4" a="1"/>
  <c r="FY14" i="4" a="1"/>
  <c r="GL9" i="4" a="1"/>
  <c r="FZ14" i="4" a="1"/>
  <c r="GP15" i="4" a="1"/>
  <c r="FP16" i="4" a="1"/>
  <c r="GT16" i="4" a="1"/>
  <c r="FV15" i="4" a="1"/>
  <c r="FM13" i="4" a="1"/>
  <c r="FX15" i="4" a="1"/>
  <c r="FI11" i="4" a="1"/>
  <c r="GM14" i="4" a="1"/>
  <c r="GS15" i="4" a="1"/>
  <c r="FO16" i="4" a="1"/>
  <c r="GM16" i="4" a="1"/>
  <c r="GG9" i="4" a="1"/>
  <c r="BC67" i="3"/>
  <c r="BC77" i="3"/>
  <c r="BC68" i="3"/>
  <c r="BD59" i="3"/>
  <c r="BD79" i="3"/>
  <c r="Z112" i="2"/>
  <c r="BH80" i="3"/>
  <c r="BE72" i="3"/>
  <c r="BR63" i="3"/>
  <c r="BO89" i="3"/>
  <c r="BS77" i="3"/>
  <c r="BR96" i="3"/>
  <c r="BV63" i="3"/>
  <c r="BN66" i="3"/>
  <c r="BO93" i="3"/>
  <c r="BE81" i="3"/>
  <c r="BJ80" i="3"/>
  <c r="BK67" i="3"/>
  <c r="GA15" i="4" a="1"/>
  <c r="BF83" i="3"/>
  <c r="CL160" i="1" s="1"/>
  <c r="BR90" i="3"/>
  <c r="BJ75" i="3"/>
  <c r="GD7" i="4" a="1"/>
  <c r="HD9" i="4" a="1"/>
  <c r="FZ8" i="4" a="1"/>
  <c r="HA11" i="4" a="1"/>
  <c r="FX12" i="4" a="1"/>
  <c r="FV16" i="4" a="1"/>
  <c r="GD15" i="4" a="1"/>
  <c r="GW15" i="4" a="1"/>
  <c r="BC92" i="3"/>
  <c r="BD77" i="3"/>
  <c r="BE60" i="3"/>
  <c r="BS62" i="3"/>
  <c r="BJ77" i="3"/>
  <c r="GH8" i="4" a="1"/>
  <c r="FT11" i="4" a="1"/>
  <c r="FT13" i="4" a="1"/>
  <c r="GH13" i="4" a="1"/>
  <c r="FV8" i="4" a="1"/>
  <c r="FQ15" i="4" a="1"/>
  <c r="BP64" i="3"/>
  <c r="BU90" i="3"/>
  <c r="BT62" i="3"/>
  <c r="BF73" i="3"/>
  <c r="BG84" i="3"/>
  <c r="BF68" i="3"/>
  <c r="CL134" i="1" s="1"/>
  <c r="BJ73" i="3"/>
  <c r="GH7" i="4" a="1"/>
  <c r="GH11" i="4" a="1"/>
  <c r="FU9" i="4" a="1"/>
  <c r="GP6" i="4" a="1"/>
  <c r="GO16" i="4" a="1"/>
  <c r="BD97" i="3"/>
  <c r="BU54" i="3"/>
  <c r="BU91" i="3"/>
  <c r="BO96" i="3"/>
  <c r="BJ96" i="3"/>
  <c r="FS13" i="4" a="1"/>
  <c r="GT6" i="4" a="1"/>
  <c r="FP7" i="4" a="1"/>
  <c r="FQ13" i="4" a="1"/>
  <c r="GE13" i="4" a="1"/>
  <c r="GT15" i="4" a="1"/>
  <c r="FS16" i="4" a="1"/>
  <c r="BD56" i="3"/>
  <c r="BU61" i="3"/>
  <c r="BH48" i="3"/>
  <c r="BV64" i="3"/>
  <c r="BV70" i="3"/>
  <c r="BI65" i="3"/>
  <c r="GR5" i="4" a="1"/>
  <c r="HF8" i="4" a="1"/>
  <c r="FZ15" i="4" a="1"/>
  <c r="FN11" i="4" a="1"/>
  <c r="BG63" i="3"/>
  <c r="BC49" i="3"/>
  <c r="BG83" i="3"/>
  <c r="BB55" i="3"/>
  <c r="BH64" i="3"/>
  <c r="BI69" i="3"/>
  <c r="BC57" i="3"/>
  <c r="BL64" i="3"/>
  <c r="BE70" i="3"/>
  <c r="BQ72" i="3"/>
  <c r="BV81" i="3"/>
  <c r="BO79" i="3"/>
  <c r="BS61" i="3"/>
  <c r="BU64" i="3"/>
  <c r="BV50" i="3"/>
  <c r="BT58" i="3"/>
  <c r="BN89" i="3"/>
  <c r="BN72" i="3"/>
  <c r="BF48" i="3"/>
  <c r="BS66" i="3"/>
  <c r="BH93" i="3"/>
  <c r="BI71" i="3"/>
  <c r="BF64" i="3"/>
  <c r="CL149" i="1" s="1"/>
  <c r="BJ89" i="3"/>
  <c r="BJ79" i="3"/>
  <c r="BK62" i="3"/>
  <c r="BK61" i="3"/>
  <c r="FN6" i="4" a="1"/>
  <c r="GH9" i="4" a="1"/>
  <c r="HA9" i="4" a="1"/>
  <c r="FS8" i="4" a="1"/>
  <c r="GU11" i="4" a="1"/>
  <c r="GU7" i="4" a="1"/>
  <c r="GB9" i="4" a="1"/>
  <c r="GS14" i="4" a="1"/>
  <c r="HE5" i="4" a="1"/>
  <c r="GT9" i="4" a="1"/>
  <c r="GZ7" i="4" a="1"/>
  <c r="FW8" i="4" a="1"/>
  <c r="GF11" i="4" a="1"/>
  <c r="FK5" i="4" a="1"/>
  <c r="GO8" i="4" a="1"/>
  <c r="GD11" i="4" a="1"/>
  <c r="GW9" i="4" a="1"/>
  <c r="FO12" i="4" a="1"/>
  <c r="FY13" i="4" a="1"/>
  <c r="GA9" i="4" a="1"/>
  <c r="GK12" i="4" a="1"/>
  <c r="GP13" i="4" a="1"/>
  <c r="GR14" i="4" a="1"/>
  <c r="GR11" i="4" a="1"/>
  <c r="HF14" i="4" a="1"/>
  <c r="GZ15" i="4" a="1"/>
  <c r="GB16" i="4" a="1"/>
  <c r="HD16" i="4" a="1"/>
  <c r="HB8" i="4" a="1"/>
  <c r="GC13" i="4" a="1"/>
  <c r="HA15" i="4" a="1"/>
  <c r="GU16" i="4" a="1"/>
  <c r="BC73" i="3"/>
  <c r="BD64" i="3"/>
  <c r="CH140" i="1" l="1"/>
  <c r="CI140" i="1" s="1"/>
  <c r="AA202" i="1"/>
  <c r="CO20" i="1"/>
  <c r="CS20" i="1" s="1"/>
  <c r="CL98" i="1"/>
  <c r="CL99" i="1" s="1"/>
  <c r="CL120" i="1"/>
  <c r="CL16" i="1"/>
  <c r="CK10" i="1"/>
  <c r="Z180" i="1"/>
  <c r="CH135" i="1"/>
  <c r="CI135" i="1" s="1"/>
  <c r="Z131" i="1"/>
  <c r="CH126" i="1"/>
  <c r="Z154" i="1"/>
  <c r="CL92" i="1"/>
  <c r="CL161" i="1"/>
  <c r="CL148" i="1"/>
  <c r="CL128" i="1"/>
  <c r="CL138" i="1"/>
  <c r="CL156" i="1"/>
  <c r="CL185" i="1" s="1"/>
  <c r="CL184" i="1" s="1"/>
  <c r="CK26" i="1"/>
  <c r="CK27" i="1" s="1"/>
  <c r="CK16" i="1"/>
  <c r="Z183" i="1"/>
  <c r="CK65" i="1"/>
  <c r="CJ149" i="1"/>
  <c r="JW9" i="4" s="1"/>
  <c r="CI73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U9" i="4" s="1"/>
  <c r="CJ140" i="1"/>
  <c r="CJ143" i="1"/>
  <c r="JY9" i="4" s="1"/>
  <c r="KA16" i="4" s="1"/>
  <c r="JS16" i="4" s="1"/>
  <c r="KD7" i="4" s="1"/>
  <c r="KC7" i="4" s="1"/>
  <c r="CJ159" i="1"/>
  <c r="KC16" i="4" s="1"/>
  <c r="KC21" i="4" s="1"/>
  <c r="JX9" i="4" s="1"/>
  <c r="JV9" i="4" s="1"/>
  <c r="JT9" i="4" s="1"/>
  <c r="KH7" i="4" s="1"/>
  <c r="KD16" i="4" s="1"/>
  <c r="CJ152" i="1"/>
  <c r="KB15" i="4" s="1"/>
  <c r="KA14" i="4" s="1"/>
  <c r="KB14" i="4" s="1"/>
  <c r="CJ73" i="1"/>
  <c r="CJ151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R16" i="4" s="1"/>
  <c r="JR21" i="4" s="1"/>
  <c r="CL77" i="1" s="1"/>
  <c r="KA9" i="4" s="1"/>
  <c r="JS9" i="4" s="1"/>
  <c r="KC9" i="4" s="1"/>
  <c r="CJ133" i="1"/>
  <c r="CK133" i="1" s="1"/>
  <c r="CM133" i="1" s="1"/>
  <c r="CN133" i="1" s="1"/>
  <c r="CO133" i="1" s="1"/>
  <c r="CP133" i="1" s="1"/>
  <c r="JU16" i="4" s="1"/>
  <c r="JV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Z16" i="4" s="1"/>
  <c r="JZ9" i="4" s="1"/>
  <c r="CG74" i="1"/>
  <c r="CJ150" i="1"/>
  <c r="KF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W15" i="4" s="1"/>
  <c r="JR9" i="4" s="1"/>
  <c r="CJ119" i="1"/>
  <c r="CJ146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KE16" i="4" s="1"/>
  <c r="CK73" i="1"/>
  <c r="CJ74" i="1"/>
  <c r="CJ134" i="1"/>
  <c r="CK33" i="1" s="1"/>
  <c r="CJ154" i="1"/>
  <c r="JX16" i="4" s="1"/>
  <c r="KG9" i="4" s="1"/>
  <c r="CK74" i="1"/>
  <c r="CJ142" i="1"/>
  <c r="CH73" i="1"/>
  <c r="CJ155" i="1"/>
  <c r="CJ124" i="1"/>
  <c r="CK124" i="1" s="1"/>
  <c r="CG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Z14" i="4" s="1"/>
  <c r="JS14" i="4" s="1"/>
  <c r="KD9" i="4" s="1"/>
  <c r="KA8" i="4" s="1"/>
  <c r="CJ145" i="1"/>
  <c r="CJ180" i="1" s="1"/>
  <c r="CK180" i="1" s="1"/>
  <c r="CH74" i="1"/>
  <c r="KF9" i="4" s="1"/>
  <c r="JT7" i="4" s="1"/>
  <c r="X73" i="1"/>
  <c r="KE7" i="4" s="1"/>
  <c r="KB8" i="4" s="1"/>
  <c r="KB9" i="4" s="1"/>
  <c r="Z74" i="1"/>
  <c r="CJ153" i="1"/>
  <c r="CJ183" i="1" s="1"/>
  <c r="CK183" i="1" s="1"/>
  <c r="KA15" i="4" s="1"/>
  <c r="JV14" i="4" s="1"/>
  <c r="KB16" i="4" s="1"/>
  <c r="CJ147" i="1"/>
  <c r="Y74" i="1"/>
  <c r="CI74" i="1"/>
  <c r="Z73" i="1"/>
  <c r="CJ160" i="1"/>
  <c r="CH145" i="1"/>
  <c r="CH180" i="1" s="1"/>
  <c r="CI180" i="1" s="1"/>
  <c r="X179" i="1"/>
  <c r="Z231" i="1"/>
  <c r="CK98" i="1"/>
  <c r="X10" i="1"/>
  <c r="X98" i="1" s="1"/>
  <c r="X180" i="1"/>
  <c r="X183" i="1"/>
  <c r="Y148" i="1"/>
  <c r="Y182" i="1" s="1"/>
  <c r="Z252" i="1"/>
  <c r="X252" i="1"/>
  <c r="Y10" i="1"/>
  <c r="Y134" i="1"/>
  <c r="Y173" i="1"/>
  <c r="X148" i="1"/>
  <c r="Y26" i="1"/>
  <c r="Y161" i="1"/>
  <c r="Z209" i="1" s="1"/>
  <c r="Y179" i="1"/>
  <c r="Z253" i="1"/>
  <c r="Z194" i="1"/>
  <c r="CH143" i="1"/>
  <c r="Z148" i="1"/>
  <c r="AA196" i="1" s="1"/>
  <c r="Y252" i="1"/>
  <c r="Y231" i="1"/>
  <c r="Y183" i="1"/>
  <c r="CH144" i="1"/>
  <c r="Z179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CW20" i="1"/>
  <c r="DA20" i="1" s="1"/>
  <c r="Z175" i="1"/>
  <c r="AA207" i="1"/>
  <c r="AA11" i="1"/>
  <c r="AA188" i="1"/>
  <c r="AA206" i="1"/>
  <c r="AA249" i="1"/>
  <c r="JY21" i="4"/>
  <c r="JQ16" i="4" s="1"/>
  <c r="KE9" i="4" s="1"/>
  <c r="KE21" i="4" s="1"/>
  <c r="JW16" i="4" s="1"/>
  <c r="KH16" i="4" s="1"/>
  <c r="JU7" i="4" s="1"/>
  <c r="KH9" i="4" s="1"/>
  <c r="JW8" i="4" s="1"/>
  <c r="KG21" i="4"/>
  <c r="KE8" i="4" s="1"/>
  <c r="JQ9" i="4" s="1"/>
  <c r="KB21" i="4"/>
  <c r="JT16" i="4" s="1"/>
  <c r="KB7" i="4" s="1"/>
  <c r="JT8" i="4" s="1"/>
  <c r="X27" i="1"/>
  <c r="CJ131" i="1"/>
  <c r="CK131" i="1" s="1"/>
  <c r="JU8" i="4"/>
  <c r="JU21" i="4"/>
  <c r="JV8" i="4"/>
  <c r="JQ15" i="4"/>
  <c r="CK99" i="1"/>
  <c r="CK11" i="1"/>
  <c r="CK12" i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CL19" i="1"/>
  <c r="CK28" i="1"/>
  <c r="CK17" i="1"/>
  <c r="CK140" i="1"/>
  <c r="CJ202" i="1"/>
  <c r="CL28" i="1"/>
  <c r="CL17" i="1"/>
  <c r="CL248" i="1"/>
  <c r="CL246" i="1"/>
  <c r="CL157" i="1"/>
  <c r="CL165" i="1" s="1"/>
  <c r="CL182" i="1"/>
  <c r="CL129" i="1"/>
  <c r="CL168" i="1"/>
  <c r="CL109" i="1" s="1"/>
  <c r="KF15" i="4"/>
  <c r="KD15" i="4"/>
  <c r="JR14" i="4"/>
  <c r="KA21" i="4"/>
  <c r="KA7" i="4"/>
  <c r="JQ21" i="4"/>
  <c r="CK77" i="1" s="1"/>
  <c r="JQ14" i="4"/>
  <c r="JW7" i="4"/>
  <c r="JQ7" i="4"/>
  <c r="JZ15" i="4"/>
  <c r="KH14" i="4"/>
  <c r="JZ21" i="4"/>
  <c r="KH15" i="4"/>
  <c r="KD8" i="4"/>
  <c r="KD20" i="4" s="1"/>
  <c r="KH21" i="4"/>
  <c r="JQ8" i="4"/>
  <c r="JW14" i="4"/>
  <c r="JW19" i="4" s="1"/>
  <c r="KA20" i="4"/>
  <c r="JY15" i="4"/>
  <c r="KG15" i="4"/>
  <c r="JZ7" i="4"/>
  <c r="KG14" i="4"/>
  <c r="JS8" i="4"/>
  <c r="JX21" i="4"/>
  <c r="JR15" i="4"/>
  <c r="JT14" i="4"/>
  <c r="JT19" i="4" s="1"/>
  <c r="JZ8" i="4"/>
  <c r="JX8" i="4"/>
  <c r="JY8" i="4"/>
  <c r="CL12" i="1"/>
  <c r="CL188" i="1"/>
  <c r="CI16" i="1"/>
  <c r="CL244" i="1"/>
  <c r="CL225" i="1"/>
  <c r="CL102" i="1"/>
  <c r="CL94" i="1"/>
  <c r="CJ148" i="1"/>
  <c r="CJ138" i="1"/>
  <c r="CJ120" i="1"/>
  <c r="JX15" i="4"/>
  <c r="JS15" i="4"/>
  <c r="JR8" i="4"/>
  <c r="KF21" i="4"/>
  <c r="JV15" i="4"/>
  <c r="KF14" i="4"/>
  <c r="CJ156" i="1"/>
  <c r="CJ185" i="1" s="1"/>
  <c r="CJ184" i="1" s="1"/>
  <c r="CK184" i="1" s="1"/>
  <c r="KH8" i="4"/>
  <c r="JR7" i="4"/>
  <c r="KC15" i="4"/>
  <c r="CJ161" i="1"/>
  <c r="JS21" i="4"/>
  <c r="KE15" i="4"/>
  <c r="KF7" i="4"/>
  <c r="KF19" i="4" s="1"/>
  <c r="KC14" i="4"/>
  <c r="KC19" i="4" s="1"/>
  <c r="KE14" i="4"/>
  <c r="KE19" i="4" s="1"/>
  <c r="JT15" i="4"/>
  <c r="JY14" i="4"/>
  <c r="CJ128" i="1"/>
  <c r="KC8" i="4"/>
  <c r="JS7" i="4"/>
  <c r="JS19" i="4" s="1"/>
  <c r="KG8" i="4"/>
  <c r="JY7" i="4"/>
  <c r="KD14" i="4"/>
  <c r="KD19" i="4" s="1"/>
  <c r="KD21" i="4"/>
  <c r="JX7" i="4"/>
  <c r="JU15" i="4"/>
  <c r="KF8" i="4"/>
  <c r="KG7" i="4"/>
  <c r="JX14" i="4"/>
  <c r="JV7" i="4"/>
  <c r="Y27" i="1"/>
  <c r="JV21" i="4"/>
  <c r="X16" i="1"/>
  <c r="Z248" i="1"/>
  <c r="X157" i="1"/>
  <c r="Y98" i="1"/>
  <c r="Y188" i="1"/>
  <c r="Y11" i="1"/>
  <c r="Y16" i="1"/>
  <c r="Y138" i="1"/>
  <c r="Y33" i="1"/>
  <c r="X182" i="1"/>
  <c r="X181" i="1" s="1"/>
  <c r="Y196" i="1"/>
  <c r="Z182" i="1"/>
  <c r="Z181" i="1" s="1"/>
  <c r="Z196" i="1"/>
  <c r="CH179" i="1"/>
  <c r="CI179" i="1" s="1"/>
  <c r="CH148" i="1"/>
  <c r="JU19" i="4"/>
  <c r="JV19" i="4"/>
  <c r="Z27" i="1"/>
  <c r="AB133" i="1"/>
  <c r="CQ133" i="1"/>
  <c r="CR133" i="1" s="1"/>
  <c r="CS133" i="1" s="1"/>
  <c r="CT133" i="1" s="1"/>
  <c r="KB19" i="4"/>
  <c r="CG27" i="1"/>
  <c r="CG16" i="1"/>
  <c r="CK18" i="1" s="1"/>
  <c r="X129" i="1"/>
  <c r="CI27" i="1"/>
  <c r="Y181" i="1"/>
  <c r="Y185" i="1"/>
  <c r="Y157" i="1"/>
  <c r="X138" i="1"/>
  <c r="X246" i="1" s="1"/>
  <c r="X33" i="1"/>
  <c r="X248" i="1"/>
  <c r="Y209" i="1"/>
  <c r="JW20" i="4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H92" i="1"/>
  <c r="CH94" i="1" s="1"/>
  <c r="X185" i="1"/>
  <c r="Y197" i="1"/>
  <c r="KH19" i="4"/>
  <c r="JZ20" i="4"/>
  <c r="KB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248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T20" i="4" l="1"/>
  <c r="JU20" i="4"/>
  <c r="JT21" i="4"/>
  <c r="KA19" i="4"/>
  <c r="CJ182" i="1"/>
  <c r="CJ92" i="1"/>
  <c r="CJ94" i="1" s="1"/>
  <c r="AA205" i="1"/>
  <c r="CK102" i="1"/>
  <c r="JX20" i="4"/>
  <c r="JS20" i="4"/>
  <c r="JV20" i="4"/>
  <c r="JW21" i="4"/>
  <c r="KH20" i="4"/>
  <c r="JR19" i="4"/>
  <c r="CL78" i="1" s="1"/>
  <c r="KE20" i="4"/>
  <c r="KF20" i="4"/>
  <c r="JZ19" i="4"/>
  <c r="JQ20" i="4"/>
  <c r="CK79" i="1" s="1"/>
  <c r="CK209" i="1"/>
  <c r="CJ248" i="1"/>
  <c r="JY20" i="4"/>
  <c r="JR20" i="4"/>
  <c r="CL79" i="1" s="1"/>
  <c r="CI17" i="1"/>
  <c r="CI28" i="1"/>
  <c r="CL166" i="1"/>
  <c r="KG20" i="4"/>
  <c r="KG19" i="4"/>
  <c r="JX19" i="4"/>
  <c r="CJ249" i="1"/>
  <c r="Z138" i="1"/>
  <c r="AA203" i="1" s="1"/>
  <c r="AA201" i="1" s="1"/>
  <c r="Z33" i="1"/>
  <c r="CI131" i="1"/>
  <c r="CI134" i="1" s="1"/>
  <c r="CJ33" i="1" s="1"/>
  <c r="CH134" i="1"/>
  <c r="CI206" i="1"/>
  <c r="CI249" i="1"/>
  <c r="CH168" i="1"/>
  <c r="CH129" i="1"/>
  <c r="Z185" i="1"/>
  <c r="Z157" i="1"/>
  <c r="Z197" i="1"/>
  <c r="Z198" i="1" s="1"/>
  <c r="CK34" i="1"/>
  <c r="CK38" i="1" s="1"/>
  <c r="CK29" i="1"/>
  <c r="CL202" i="1"/>
  <c r="CK202" i="1"/>
  <c r="CJ244" i="1"/>
  <c r="CJ246" i="1"/>
  <c r="X28" i="1"/>
  <c r="X17" i="1"/>
  <c r="CL31" i="1"/>
  <c r="CL250" i="1"/>
  <c r="CL34" i="1"/>
  <c r="CL38" i="1" s="1"/>
  <c r="CL232" i="1"/>
  <c r="CL233" i="1" s="1"/>
  <c r="CL29" i="1"/>
  <c r="CL186" i="1"/>
  <c r="CL181" i="1"/>
  <c r="KC20" i="4"/>
  <c r="JY19" i="4"/>
  <c r="CL206" i="1"/>
  <c r="CL249" i="1"/>
  <c r="Y165" i="1"/>
  <c r="Y166" i="1" s="1"/>
  <c r="CJ157" i="1"/>
  <c r="CJ165" i="1" s="1"/>
  <c r="CJ129" i="1"/>
  <c r="CJ206" i="1"/>
  <c r="X165" i="1"/>
  <c r="X166" i="1" s="1"/>
  <c r="Y198" i="1"/>
  <c r="Y18" i="1"/>
  <c r="Y28" i="1"/>
  <c r="Y17" i="1"/>
  <c r="Y246" i="1"/>
  <c r="Y244" i="1"/>
  <c r="CH182" i="1"/>
  <c r="CH157" i="1"/>
  <c r="X244" i="1"/>
  <c r="Y203" i="1"/>
  <c r="Y201" i="1" s="1"/>
  <c r="CK103" i="1"/>
  <c r="CK107" i="1"/>
  <c r="CU133" i="1"/>
  <c r="CV133" i="1" s="1"/>
  <c r="CW133" i="1" s="1"/>
  <c r="CX133" i="1" s="1"/>
  <c r="AC133" i="1"/>
  <c r="Z18" i="1"/>
  <c r="Z17" i="1"/>
  <c r="Z28" i="1"/>
  <c r="CH96" i="1"/>
  <c r="CG28" i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H109" i="1"/>
  <c r="Z186" i="1"/>
  <c r="AA189" i="1" s="1"/>
  <c r="AA190" i="1" s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Z184" i="1" l="1"/>
  <c r="X29" i="1"/>
  <c r="CI33" i="1"/>
  <c r="CH138" i="1"/>
  <c r="CI34" i="1"/>
  <c r="CI232" i="1"/>
  <c r="CI233" i="1" s="1"/>
  <c r="CI29" i="1"/>
  <c r="CJ96" i="1"/>
  <c r="CJ95" i="1"/>
  <c r="CJ181" i="1"/>
  <c r="CK181" i="1" s="1"/>
  <c r="CJ186" i="1"/>
  <c r="CI37" i="1"/>
  <c r="AA210" i="1"/>
  <c r="AA211" i="1" s="1"/>
  <c r="AA213" i="1"/>
  <c r="AA250" i="1"/>
  <c r="AA251" i="1" s="1"/>
  <c r="AA30" i="1"/>
  <c r="CL103" i="1"/>
  <c r="CL107" i="1"/>
  <c r="CL110" i="1" s="1"/>
  <c r="CL95" i="1"/>
  <c r="CL104" i="1"/>
  <c r="CL108" i="1"/>
  <c r="CL111" i="1" s="1"/>
  <c r="CL96" i="1"/>
  <c r="CL112" i="1"/>
  <c r="CL226" i="1"/>
  <c r="CK108" i="1"/>
  <c r="CK104" i="1"/>
  <c r="CI138" i="1"/>
  <c r="CJ203" i="1" s="1"/>
  <c r="CJ201" i="1" s="1"/>
  <c r="Z203" i="1"/>
  <c r="Z201" i="1" s="1"/>
  <c r="Z165" i="1"/>
  <c r="Z166" i="1" s="1"/>
  <c r="Z246" i="1"/>
  <c r="Z244" i="1"/>
  <c r="Y30" i="1"/>
  <c r="CK40" i="1"/>
  <c r="CK41" i="1"/>
  <c r="X34" i="1"/>
  <c r="X232" i="1"/>
  <c r="X233" i="1" s="1"/>
  <c r="X112" i="1"/>
  <c r="CL40" i="1"/>
  <c r="CL41" i="1"/>
  <c r="CL251" i="1"/>
  <c r="Y250" i="1"/>
  <c r="Y251" i="1" s="1"/>
  <c r="Y34" i="1"/>
  <c r="Y112" i="1"/>
  <c r="CJ166" i="1"/>
  <c r="CH186" i="1"/>
  <c r="CL189" i="1" s="1"/>
  <c r="CH181" i="1"/>
  <c r="CI181" i="1" s="1"/>
  <c r="Z189" i="1"/>
  <c r="Z190" i="1" s="1"/>
  <c r="Y29" i="1"/>
  <c r="Y232" i="1"/>
  <c r="Y233" i="1" s="1"/>
  <c r="CG29" i="1"/>
  <c r="CG34" i="1"/>
  <c r="CG38" i="1" s="1"/>
  <c r="CG41" i="1" s="1"/>
  <c r="CG232" i="1"/>
  <c r="CG233" i="1" s="1"/>
  <c r="CK30" i="1"/>
  <c r="CI250" i="1"/>
  <c r="CI251" i="1" s="1"/>
  <c r="CK112" i="1"/>
  <c r="Y189" i="1"/>
  <c r="Y190" i="1" s="1"/>
  <c r="Z250" i="1"/>
  <c r="Z251" i="1" s="1"/>
  <c r="Z34" i="1"/>
  <c r="Z112" i="1"/>
  <c r="Z29" i="1"/>
  <c r="Z232" i="1"/>
  <c r="Z233" i="1" s="1"/>
  <c r="Z30" i="1"/>
  <c r="CY133" i="1"/>
  <c r="CZ133" i="1" s="1"/>
  <c r="DA133" i="1" s="1"/>
  <c r="DB133" i="1" s="1"/>
  <c r="AE133" i="1" s="1"/>
  <c r="AD133" i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H246" i="1"/>
  <c r="CH165" i="1"/>
  <c r="CH166" i="1" s="1"/>
  <c r="CL114" i="1"/>
  <c r="CK182" i="1"/>
  <c r="CK186" i="1" s="1"/>
  <c r="CL113" i="1"/>
  <c r="CK42" i="1"/>
  <c r="CK48" i="1"/>
  <c r="CK43" i="1"/>
  <c r="CI203" i="1"/>
  <c r="CI201" i="1" s="1"/>
  <c r="X38" i="1"/>
  <c r="X55" i="1"/>
  <c r="Y55" i="1"/>
  <c r="Y38" i="1"/>
  <c r="CL44" i="1"/>
  <c r="CL234" i="1"/>
  <c r="CL48" i="1"/>
  <c r="CL42" i="1"/>
  <c r="CL245" i="1" s="1"/>
  <c r="CJ38" i="1"/>
  <c r="CL55" i="1"/>
  <c r="CK134" i="1"/>
  <c r="CL132" i="1"/>
  <c r="CL131" i="1" s="1"/>
  <c r="CG40" i="1"/>
  <c r="CI146" i="1"/>
  <c r="CI182" i="1"/>
  <c r="Z38" i="1"/>
  <c r="Z55" i="1"/>
  <c r="CN202" i="1"/>
  <c r="CO140" i="1"/>
  <c r="CN184" i="1"/>
  <c r="CM185" i="1"/>
  <c r="CH41" i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234" i="1" s="1"/>
  <c r="CJ40" i="1"/>
  <c r="CI41" i="1"/>
  <c r="CI40" i="1"/>
  <c r="CK66" i="1"/>
  <c r="CK52" i="1"/>
  <c r="Y40" i="1"/>
  <c r="Y41" i="1"/>
  <c r="X40" i="1"/>
  <c r="X41" i="1"/>
  <c r="CJ48" i="1"/>
  <c r="CI42" i="1"/>
  <c r="CI245" i="1" s="1"/>
  <c r="CI234" i="1"/>
  <c r="CI4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H44" i="1"/>
  <c r="CL43" i="1"/>
  <c r="CK44" i="1"/>
  <c r="CJ44" i="1"/>
  <c r="CJ42" i="1"/>
  <c r="CJ245" i="1" s="1"/>
  <c r="CL227" i="1"/>
  <c r="CL203" i="1"/>
  <c r="CL201" i="1" s="1"/>
  <c r="CI119" i="1"/>
  <c r="CL54" i="1"/>
  <c r="CJ227" i="1"/>
  <c r="Z41" i="1"/>
  <c r="Z40" i="1"/>
  <c r="CP140" i="1"/>
  <c r="CP202" i="1" s="1"/>
  <c r="CO202" i="1"/>
  <c r="CN185" i="1"/>
  <c r="CO184" i="1"/>
  <c r="CI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U8" i="3"/>
  <c r="AF13" i="3"/>
  <c r="AW9" i="3"/>
  <c r="ET16" i="4" a="1"/>
  <c r="EP9" i="4" a="1"/>
  <c r="EL11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N11" i="4" a="1"/>
  <c r="ER9" i="4" a="1"/>
  <c r="AY5" i="3"/>
  <c r="C6" i="6" a="1"/>
  <c r="AF18" i="3"/>
  <c r="AS38" i="3"/>
  <c r="AW42" i="3"/>
  <c r="F6" i="6" a="1"/>
  <c r="AE5" i="6" a="1"/>
  <c r="AD5" i="6" a="1"/>
  <c r="AW18" i="3"/>
  <c r="T6" i="6" a="1"/>
  <c r="AL6" i="6" a="1"/>
  <c r="AW24" i="3"/>
  <c r="M5" i="6" a="1"/>
  <c r="C6" i="4" a="1"/>
  <c r="EP6" i="4" a="1"/>
  <c r="EU13" i="4" a="1"/>
  <c r="ER15" i="4" a="1"/>
  <c r="AU45" i="3"/>
  <c r="AS28" i="3"/>
  <c r="AX5" i="6" a="1"/>
  <c r="AT33" i="3"/>
  <c r="EP11" i="4" a="1"/>
  <c r="AT27" i="3"/>
  <c r="AV23" i="3"/>
  <c r="D6" i="6" a="1"/>
  <c r="ET14" i="4" a="1"/>
  <c r="AZ32" i="3"/>
  <c r="AZ26" i="3"/>
  <c r="AF23" i="3"/>
  <c r="ER16" i="4" a="1"/>
  <c r="ET8" i="4" a="1"/>
  <c r="EM13" i="4" a="1"/>
  <c r="EV1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V8" i="4" a="1"/>
  <c r="EV12" i="4" a="1"/>
  <c r="AX25" i="3"/>
  <c r="AV30" i="3"/>
  <c r="N6" i="6" a="1"/>
  <c r="AS40" i="3"/>
  <c r="AY9" i="3"/>
  <c r="AV9" i="3"/>
  <c r="AS33" i="3"/>
  <c r="AX14" i="3"/>
  <c r="AV19" i="3"/>
  <c r="AS21" i="3"/>
  <c r="EW16" i="4" a="1"/>
  <c r="EL8" i="4" a="1"/>
  <c r="EN13" i="4" a="1"/>
  <c r="AU20" i="3"/>
  <c r="AV5" i="6" a="1"/>
  <c r="AS35" i="3"/>
  <c r="AX29" i="3"/>
  <c r="AK5" i="6" a="1"/>
  <c r="AX36" i="3"/>
  <c r="AX22" i="3"/>
  <c r="AZ14" i="3"/>
  <c r="AS17" i="3"/>
  <c r="AT40" i="3"/>
  <c r="AV39" i="3"/>
  <c r="AT14" i="3"/>
  <c r="AU14" i="3"/>
  <c r="AT12" i="3"/>
  <c r="AX37" i="3"/>
  <c r="AZ13" i="3"/>
  <c r="AR5" i="6" a="1"/>
  <c r="EU11" i="4" a="1"/>
  <c r="EV14" i="4" a="1"/>
  <c r="AT26" i="3"/>
  <c r="AX13" i="3"/>
  <c r="EL6" i="4" a="1"/>
  <c r="ES12" i="4" a="1"/>
  <c r="AY8" i="3"/>
  <c r="EM11" i="4" a="1"/>
  <c r="EV9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V46" i="3"/>
  <c r="G5" i="6" a="1"/>
  <c r="AF38" i="3"/>
  <c r="AS16" i="3"/>
  <c r="AS31" i="3"/>
  <c r="D5" i="6" a="1"/>
  <c r="AY39" i="3"/>
  <c r="AC6" i="6" a="1"/>
  <c r="EN5" i="4" a="1"/>
  <c r="ET6" i="4" a="1"/>
  <c r="EW8" i="4" a="1"/>
  <c r="EQ6" i="4" a="1"/>
  <c r="EO8" i="4" a="1"/>
  <c r="AF42" i="3"/>
  <c r="AS5" i="6" a="1"/>
  <c r="EU7" i="4" a="1"/>
  <c r="ER7" i="4" a="1"/>
  <c r="AI5" i="6" a="1"/>
  <c r="AS34" i="3"/>
  <c r="AU30" i="3"/>
  <c r="AF17" i="3"/>
  <c r="EL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7" i="3"/>
  <c r="AZ5" i="3"/>
  <c r="AV34" i="3"/>
  <c r="J5" i="6" a="1"/>
  <c r="AN5" i="6" a="1"/>
  <c r="AV35" i="3"/>
  <c r="AS23" i="3"/>
  <c r="AX18" i="3"/>
  <c r="AF15" i="3"/>
  <c r="AT19" i="3"/>
  <c r="ER14" i="4" a="1"/>
  <c r="EN6" i="4" a="1"/>
  <c r="EQ7" i="4" a="1"/>
  <c r="EW6" i="4" a="1"/>
  <c r="AV18" i="3"/>
  <c r="F46" i="3"/>
  <c r="AW15" i="3"/>
  <c r="ES5" i="4" a="1"/>
  <c r="ER6" i="4" a="1"/>
  <c r="EL12" i="4" a="1"/>
  <c r="EV11" i="4" a="1"/>
  <c r="AY13" i="3"/>
  <c r="AS25" i="3"/>
  <c r="AZ33" i="3"/>
  <c r="AF39" i="3"/>
  <c r="AU37" i="3"/>
  <c r="ES8" i="4" a="1"/>
  <c r="X5" i="6" a="1"/>
  <c r="EP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S11" i="3"/>
  <c r="EO12" i="4" a="1"/>
  <c r="EM6" i="4" a="1"/>
  <c r="AZ23" i="3"/>
  <c r="AF16" i="3"/>
  <c r="AZ19" i="3"/>
  <c r="EV15" i="4" a="1"/>
  <c r="EM9" i="4" a="1"/>
  <c r="ET11" i="4" a="1"/>
  <c r="EM7" i="4" a="1"/>
  <c r="ET9" i="4" a="1"/>
  <c r="AR5" i="3"/>
  <c r="AM5" i="6" a="1"/>
  <c r="EQ12" i="4" a="1"/>
  <c r="ES16" i="4" a="1"/>
  <c r="EM14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Y35" i="3"/>
  <c r="AV20" i="3"/>
  <c r="AV45" i="3"/>
  <c r="AX45" i="3"/>
  <c r="AF31" i="3"/>
  <c r="ER12" i="4" a="1"/>
  <c r="L5" i="6" a="1"/>
  <c r="F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X27" i="3"/>
  <c r="EO16" i="4" a="1"/>
  <c r="EW5" i="4" a="1"/>
  <c r="EP16" i="4" a="1"/>
  <c r="AZ27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W8" i="3"/>
  <c r="AX8" i="3"/>
  <c r="AH6" i="6" a="1"/>
  <c r="AZ29" i="3"/>
  <c r="AW25" i="3"/>
  <c r="AS27" i="3"/>
  <c r="EM15" i="4" a="1"/>
  <c r="EU9" i="4" a="1"/>
  <c r="ES6" i="4" a="1"/>
  <c r="EV6" i="4" a="1"/>
  <c r="ES14" i="4" a="1"/>
  <c r="ET5" i="4" a="1"/>
  <c r="EP7" i="4" a="1"/>
  <c r="EM16" i="4" a="1"/>
  <c r="EP14" i="4" a="1"/>
  <c r="EW7" i="4" a="1"/>
  <c r="EW11" i="4" a="1"/>
  <c r="EO15" i="4" a="1"/>
  <c r="ES9" i="4" a="1"/>
  <c r="AW29" i="3"/>
  <c r="AZ25" i="3"/>
  <c r="CK203" i="1" l="1"/>
  <c r="CK201" i="1" s="1"/>
  <c r="Z48" i="1"/>
  <c r="AA43" i="1"/>
  <c r="AB131" i="1"/>
  <c r="CQ131" i="1"/>
  <c r="CR131" i="1" s="1"/>
  <c r="CS131" i="1" s="1"/>
  <c r="CT131" i="1" s="1"/>
  <c r="CL69" i="1"/>
  <c r="Z42" i="1"/>
  <c r="Z245" i="1" s="1"/>
  <c r="CQ140" i="1"/>
  <c r="CJ54" i="1"/>
  <c r="CH193" i="1"/>
  <c r="CH195" i="1" s="1"/>
  <c r="CH66" i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C83" i="3"/>
  <c r="AV68" i="3"/>
  <c r="AU55" i="3"/>
  <c r="AF67" i="3"/>
  <c r="AT90" i="3"/>
  <c r="AY95" i="3"/>
  <c r="AU78" i="3"/>
  <c r="AV90" i="3"/>
  <c r="C73" i="3"/>
  <c r="AZ77" i="3"/>
  <c r="AF63" i="3"/>
  <c r="AV96" i="3"/>
  <c r="AZ60" i="3"/>
  <c r="AF89" i="3"/>
  <c r="AT54" i="3"/>
  <c r="AT57" i="3"/>
  <c r="AZ66" i="3"/>
  <c r="AF83" i="3"/>
  <c r="AZ67" i="3"/>
  <c r="AZ76" i="3"/>
  <c r="AU71" i="3"/>
  <c r="AT91" i="3"/>
  <c r="AU61" i="3"/>
  <c r="AW79" i="3"/>
  <c r="AS81" i="3"/>
  <c r="AY60" i="3"/>
  <c r="AX78" i="3"/>
  <c r="AY91" i="3"/>
  <c r="C58" i="3"/>
  <c r="AU83" i="3"/>
  <c r="AV60" i="3"/>
  <c r="AV54" i="3"/>
  <c r="AY83" i="3"/>
  <c r="AU97" i="3"/>
  <c r="AV73" i="3"/>
  <c r="AY97" i="3"/>
  <c r="AS68" i="3"/>
  <c r="C85" i="3"/>
  <c r="AY78" i="3"/>
  <c r="AW78" i="3"/>
  <c r="AS58" i="3"/>
  <c r="AS8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AV49" i="3"/>
  <c r="C80" i="3"/>
  <c r="AU75" i="3"/>
  <c r="AT61" i="3"/>
  <c r="AY54" i="3"/>
  <c r="AF62" i="3"/>
  <c r="AW95" i="3"/>
  <c r="C57" i="3"/>
  <c r="AT81" i="3"/>
  <c r="AF70" i="3"/>
  <c r="AX59" i="3"/>
  <c r="AU86" i="3"/>
  <c r="AU95" i="3"/>
  <c r="AF66" i="3"/>
  <c r="AS55" i="3"/>
  <c r="AY84" i="3"/>
  <c r="C84" i="3"/>
  <c r="AV66" i="3"/>
  <c r="AV92" i="3"/>
  <c r="AZ68" i="3"/>
  <c r="AU81" i="3"/>
  <c r="AF92" i="3"/>
  <c r="AS48" i="3"/>
  <c r="AZ75" i="3"/>
  <c r="AW88" i="3"/>
  <c r="AW67" i="3"/>
  <c r="AZ74" i="3"/>
  <c r="AS65" i="3"/>
  <c r="AS63" i="3"/>
  <c r="AT75" i="3"/>
  <c r="AV63" i="3"/>
  <c r="AY90" i="3"/>
  <c r="AU67" i="3"/>
  <c r="AZ56" i="3"/>
  <c r="AZ48" i="3"/>
  <c r="AT85" i="3"/>
  <c r="AY86" i="3"/>
  <c r="AS91" i="3"/>
  <c r="AY79" i="3"/>
  <c r="AT58" i="3"/>
  <c r="AX80" i="3"/>
  <c r="AU59" i="3"/>
  <c r="AT97" i="3"/>
  <c r="AU60" i="3"/>
  <c r="AY62" i="3"/>
  <c r="AZ84" i="3"/>
  <c r="AY71" i="3"/>
  <c r="AX89" i="3"/>
  <c r="AF49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T93" i="3"/>
  <c r="AY80" i="3"/>
  <c r="AS95" i="3"/>
  <c r="AV79" i="3"/>
  <c r="C87" i="3"/>
  <c r="AX77" i="3"/>
  <c r="AX91" i="3"/>
  <c r="AT74" i="3"/>
  <c r="AW57" i="3"/>
  <c r="AW60" i="3"/>
  <c r="AV88" i="3"/>
  <c r="AW63" i="3"/>
  <c r="C76" i="3"/>
  <c r="AS60" i="3"/>
  <c r="AX64" i="3"/>
  <c r="AS88" i="3"/>
  <c r="AV62" i="3"/>
  <c r="AS61" i="3"/>
  <c r="AZ95" i="3"/>
  <c r="AZ83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91" i="3"/>
  <c r="AX81" i="3"/>
  <c r="AZ54" i="3"/>
  <c r="AX63" i="3"/>
  <c r="AX74" i="3"/>
  <c r="AS57" i="3"/>
  <c r="AZ80" i="3"/>
  <c r="AW85" i="3"/>
  <c r="AS87" i="3"/>
  <c r="AU96" i="3"/>
  <c r="AV59" i="3"/>
  <c r="AF80" i="3"/>
  <c r="AW75" i="3"/>
  <c r="AY94" i="3"/>
  <c r="AT96" i="3"/>
  <c r="AX66" i="3"/>
  <c r="AU72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V97" i="3"/>
  <c r="AZ49" i="3"/>
  <c r="AX75" i="3"/>
  <c r="AY73" i="3"/>
  <c r="AV87" i="3"/>
  <c r="AT63" i="3"/>
  <c r="AX57" i="3"/>
  <c r="AF64" i="3"/>
  <c r="AZ81" i="3"/>
  <c r="AV95" i="3"/>
  <c r="AU49" i="3"/>
  <c r="AT95" i="3"/>
  <c r="AW80" i="3"/>
  <c r="AS82" i="3"/>
  <c r="AX90" i="3"/>
  <c r="AT48" i="3"/>
  <c r="AY70" i="3"/>
  <c r="C82" i="3"/>
  <c r="AW58" i="3"/>
  <c r="AU80" i="3"/>
  <c r="C93" i="3"/>
  <c r="AV77" i="3"/>
  <c r="AW76" i="3"/>
  <c r="AS83" i="3"/>
  <c r="AW96" i="3"/>
  <c r="AS73" i="3"/>
  <c r="AW8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U77" i="3"/>
  <c r="AT65" i="3"/>
  <c r="AY85" i="3"/>
  <c r="AV84" i="3"/>
  <c r="AF59" i="3"/>
  <c r="AS50" i="3"/>
  <c r="AS70" i="3"/>
  <c r="AV67" i="3"/>
  <c r="AF74" i="3"/>
  <c r="AS56" i="3"/>
  <c r="AF82" i="3"/>
  <c r="AF79" i="3"/>
  <c r="AS71" i="3"/>
  <c r="AU74" i="3"/>
  <c r="AY77" i="3"/>
  <c r="AX65" i="3"/>
  <c r="AY64" i="3"/>
  <c r="AZ86" i="3"/>
  <c r="AS72" i="3"/>
  <c r="AV78" i="3"/>
  <c r="AY65" i="3"/>
  <c r="AZ70" i="3"/>
  <c r="AW70" i="3"/>
  <c r="AY68" i="3"/>
  <c r="AX84" i="3"/>
  <c r="AT59" i="3"/>
  <c r="AF8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X62" i="3"/>
  <c r="AY75" i="3"/>
  <c r="C88" i="3"/>
  <c r="AU69" i="3"/>
  <c r="AT62" i="3"/>
  <c r="AF61" i="3"/>
  <c r="AF95" i="3"/>
  <c r="AX60" i="3"/>
  <c r="AZ50" i="3"/>
  <c r="AU76" i="3"/>
  <c r="AV56" i="3"/>
  <c r="AW84" i="3"/>
  <c r="AX86" i="3"/>
  <c r="AU64" i="3"/>
  <c r="AX87" i="3"/>
  <c r="C63" i="3"/>
  <c r="AW56" i="3"/>
  <c r="AF87" i="3"/>
  <c r="AS79" i="3"/>
  <c r="AT89" i="3"/>
  <c r="AU56" i="3"/>
  <c r="AT87" i="3"/>
  <c r="AX49" i="3"/>
  <c r="AS67" i="3"/>
  <c r="AY76" i="3"/>
  <c r="AY55" i="3"/>
  <c r="AT71" i="3"/>
  <c r="CQ202" i="1" l="1"/>
  <c r="CR140" i="1"/>
  <c r="CK69" i="1"/>
  <c r="CJ69" i="1"/>
  <c r="AC131" i="1"/>
  <c r="CU131" i="1"/>
  <c r="CV131" i="1" s="1"/>
  <c r="CW131" i="1" s="1"/>
  <c r="CX131" i="1" s="1"/>
  <c r="CL85" i="1"/>
  <c r="CL86" i="1"/>
  <c r="CL87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R202" i="1" l="1"/>
  <c r="CS140" i="1"/>
  <c r="CS202" i="1" s="1"/>
  <c r="CJ85" i="1"/>
  <c r="CJ86" i="1"/>
  <c r="CJ87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0" i="1" l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3" i="1" l="1"/>
  <c r="CF234" i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F35" i="3"/>
  <c r="CY6" i="4" a="1"/>
  <c r="CM12" i="4" a="1"/>
  <c r="AI16" i="4" a="1"/>
  <c r="BV5" i="4" a="1"/>
  <c r="BD6" i="4" a="1"/>
  <c r="CD5" i="4" a="1"/>
  <c r="BB13" i="4" a="1"/>
  <c r="EK5" i="4" a="1"/>
  <c r="AR11" i="4" a="1"/>
  <c r="X7" i="4" a="1"/>
  <c r="AA12" i="4" a="1"/>
  <c r="AE7" i="4" a="1"/>
  <c r="CU6" i="4" a="1"/>
  <c r="Y8" i="4" a="1"/>
  <c r="AF9" i="4" a="1"/>
  <c r="DD13" i="4" a="1"/>
  <c r="O6" i="4" a="1"/>
  <c r="BK12" i="4" a="1"/>
  <c r="BE6" i="4" a="1"/>
  <c r="DG16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G20" i="3"/>
  <c r="EH5" i="4" a="1"/>
  <c r="DM5" i="4" a="1"/>
  <c r="BC9" i="4" a="1"/>
  <c r="AI14" i="4" a="1"/>
  <c r="DT12" i="4" a="1"/>
  <c r="C15" i="4" a="1"/>
  <c r="EC7" i="4" a="1"/>
  <c r="CT14" i="4" a="1"/>
  <c r="AP9" i="4" a="1"/>
  <c r="EA5" i="4" a="1"/>
  <c r="DF7" i="4" a="1"/>
  <c r="DY16" i="4" a="1"/>
  <c r="CV6" i="4" a="1"/>
  <c r="AV16" i="4" a="1"/>
  <c r="AM5" i="4" a="1"/>
  <c r="DQ9" i="4" a="1"/>
  <c r="CP14" i="4" a="1"/>
  <c r="BE7" i="4" a="1"/>
  <c r="BC5" i="4" a="1"/>
  <c r="EI6" i="4" a="1"/>
  <c r="U9" i="4" a="1"/>
  <c r="CQ8" i="4" a="1"/>
  <c r="CA9" i="4" a="1"/>
  <c r="CN15" i="4" a="1"/>
  <c r="AM6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D6" i="3"/>
  <c r="F7" i="3"/>
  <c r="BO14" i="4" a="1"/>
  <c r="DZ14" i="4" a="1"/>
  <c r="AI9" i="4" a="1"/>
  <c r="CM16" i="4" a="1"/>
  <c r="DK5" i="4" a="1"/>
  <c r="L9" i="4" a="1"/>
  <c r="Q12" i="4" a="1"/>
  <c r="BK13" i="4" a="1"/>
  <c r="DG15" i="4" a="1"/>
  <c r="DM15" i="4" a="1"/>
  <c r="W5" i="4" a="1"/>
  <c r="DZ16" i="4" a="1"/>
  <c r="AC15" i="4" a="1"/>
  <c r="DE12" i="4" a="1"/>
  <c r="AY7" i="4" a="1"/>
  <c r="W13" i="4" a="1"/>
  <c r="BQ9" i="4" a="1"/>
  <c r="BD5" i="4" a="1"/>
  <c r="AU11" i="4" a="1"/>
  <c r="BS12" i="4" a="1"/>
  <c r="CS15" i="4" a="1"/>
  <c r="EA15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DO5" i="4" a="1"/>
  <c r="BN7" i="4" a="1"/>
  <c r="BV14" i="4" a="1"/>
  <c r="BW11" i="4" a="1"/>
  <c r="AG12" i="4" a="1"/>
  <c r="BZ8" i="4" a="1"/>
  <c r="DF5" i="4" a="1"/>
  <c r="DH12" i="4" a="1"/>
  <c r="EG5" i="4" a="1"/>
  <c r="Q14" i="4" a="1"/>
  <c r="BK6" i="4" a="1"/>
  <c r="V12" i="4" a="1"/>
  <c r="CO13" i="4" a="1"/>
  <c r="AI13" i="4" a="1"/>
  <c r="DI16" i="4" a="1"/>
  <c r="BZ9" i="4" a="1"/>
  <c r="DD9" i="4" a="1"/>
  <c r="DZ12" i="4" a="1"/>
  <c r="CP13" i="4" a="1"/>
  <c r="T8" i="4" a="1"/>
  <c r="EE12" i="4" a="1"/>
  <c r="Y6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AR91" i="3"/>
  <c r="H5" i="2"/>
  <c r="AA46" i="3"/>
  <c r="G5" i="3"/>
  <c r="AR40" i="3"/>
  <c r="G18" i="3"/>
  <c r="AR14" i="3"/>
  <c r="AR23" i="3"/>
  <c r="AZ15" i="4" a="1"/>
  <c r="Y5" i="4" a="1"/>
  <c r="BJ12" i="4" a="1"/>
  <c r="E14" i="4" a="1"/>
  <c r="DG8" i="4" a="1"/>
  <c r="AJ14" i="4" a="1"/>
  <c r="BG5" i="4" a="1"/>
  <c r="CB13" i="4" a="1"/>
  <c r="AH8" i="4" a="1"/>
  <c r="M7" i="4" a="1"/>
  <c r="CN8" i="4" a="1"/>
  <c r="DC12" i="4" a="1"/>
  <c r="P16" i="4" a="1"/>
  <c r="CC8" i="4" a="1"/>
  <c r="CB9" i="4" a="1"/>
  <c r="AX6" i="4" a="1"/>
  <c r="CU9" i="4" a="1"/>
  <c r="ED9" i="4" a="1"/>
  <c r="EB8" i="4" a="1"/>
  <c r="V5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D35" i="3"/>
  <c r="DT7" i="4" a="1"/>
  <c r="Z8" i="4" a="1"/>
  <c r="AO12" i="4" a="1"/>
  <c r="BI13" i="4" a="1"/>
  <c r="AK8" i="4" a="1"/>
  <c r="AI11" i="4" a="1"/>
  <c r="DP9" i="4" a="1"/>
  <c r="T7" i="4" a="1"/>
  <c r="K15" i="4" a="1"/>
  <c r="CY16" i="4" a="1"/>
  <c r="BX16" i="4" a="1"/>
  <c r="AO11" i="4" a="1"/>
  <c r="AO5" i="4" a="1"/>
  <c r="CA8" i="4" a="1"/>
  <c r="J7" i="4" a="1"/>
  <c r="CI13" i="4" a="1"/>
  <c r="C7" i="4" a="1"/>
  <c r="AB9" i="4" a="1"/>
  <c r="AH5" i="4" a="1"/>
  <c r="DF11" i="4" a="1"/>
  <c r="AI8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J23" i="2"/>
  <c r="N8" i="2"/>
  <c r="U9" i="2"/>
  <c r="W45" i="3"/>
  <c r="D26" i="3"/>
  <c r="AH46" i="3"/>
  <c r="F11" i="3"/>
  <c r="E12" i="3"/>
  <c r="G22" i="3"/>
  <c r="DO14" i="4" a="1"/>
  <c r="AK11" i="4" a="1"/>
  <c r="CF7" i="4" a="1"/>
  <c r="EG12" i="4" a="1"/>
  <c r="AD8" i="4" a="1"/>
  <c r="DP14" i="4" a="1"/>
  <c r="CF9" i="4" a="1"/>
  <c r="DM12" i="4" a="1"/>
  <c r="BA5" i="4" a="1"/>
  <c r="J5" i="4" a="1"/>
  <c r="AG15" i="4" a="1"/>
  <c r="DL6" i="4" a="1"/>
  <c r="CD8" i="4" a="1"/>
  <c r="BE8" i="4" a="1"/>
  <c r="X15" i="4" a="1"/>
  <c r="AL5" i="4" a="1"/>
  <c r="DW6" i="4" a="1"/>
  <c r="AF8" i="4" a="1"/>
  <c r="BO5" i="4" a="1"/>
  <c r="DG5" i="4" a="1"/>
  <c r="CE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F8" i="2"/>
  <c r="S10" i="2"/>
  <c r="C12" i="2"/>
  <c r="G27" i="3"/>
  <c r="I46" i="3"/>
  <c r="V46" i="3"/>
  <c r="F34" i="3"/>
  <c r="E46" i="3"/>
  <c r="D28" i="3"/>
  <c r="DA11" i="4" a="1"/>
  <c r="CC11" i="4" a="1"/>
  <c r="CT11" i="4" a="1"/>
  <c r="DV5" i="4" a="1"/>
  <c r="AN8" i="4" a="1"/>
  <c r="DY11" i="4" a="1"/>
  <c r="EI14" i="4" a="1"/>
  <c r="BG8" i="4" a="1"/>
  <c r="CQ13" i="4" a="1"/>
  <c r="R14" i="4" a="1"/>
  <c r="AE16" i="4" a="1"/>
  <c r="K14" i="4" a="1"/>
  <c r="AQ15" i="4" a="1"/>
  <c r="P9" i="4" a="1"/>
  <c r="BO12" i="4" a="1"/>
  <c r="DX13" i="4" a="1"/>
  <c r="AY9" i="4" a="1"/>
  <c r="EK8" i="4" a="1"/>
  <c r="DN12" i="4" a="1"/>
  <c r="AP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O8" i="2"/>
  <c r="G16" i="2"/>
  <c r="L12" i="2"/>
  <c r="X8" i="2"/>
  <c r="K23" i="2"/>
  <c r="J25" i="2"/>
  <c r="S20" i="2"/>
  <c r="P6" i="2"/>
  <c r="X27" i="2"/>
  <c r="T14" i="2"/>
  <c r="C18" i="2"/>
  <c r="J17" i="2"/>
  <c r="J5" i="2"/>
  <c r="C23" i="2"/>
  <c r="P21" i="2"/>
  <c r="J34" i="2"/>
  <c r="G11" i="3"/>
  <c r="AD18" i="3"/>
  <c r="C46" i="3"/>
  <c r="G10" i="3"/>
  <c r="F15" i="3"/>
  <c r="R45" i="3"/>
  <c r="CY15" i="4" a="1"/>
  <c r="EJ5" i="4" a="1"/>
  <c r="DK7" i="4" a="1"/>
  <c r="DU7" i="4" a="1"/>
  <c r="DR16" i="4" a="1"/>
  <c r="C9" i="4" a="1"/>
  <c r="CN16" i="4" a="1"/>
  <c r="DR5" i="4" a="1"/>
  <c r="DN9" i="4" a="1"/>
  <c r="R6" i="4" a="1"/>
  <c r="BS7" i="4" a="1"/>
  <c r="R11" i="4" a="1"/>
  <c r="DY8" i="4" a="1"/>
  <c r="M14" i="4" a="1"/>
  <c r="CW7" i="4" a="1"/>
  <c r="BI16" i="4" a="1"/>
  <c r="BL8" i="4" a="1"/>
  <c r="EA13" i="4" a="1"/>
  <c r="DR11" i="4" a="1"/>
  <c r="G12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M22" i="2"/>
  <c r="H22" i="2"/>
  <c r="T18" i="2"/>
  <c r="AR71" i="3"/>
  <c r="D33" i="3"/>
  <c r="F16" i="3"/>
  <c r="EI16" i="4" a="1"/>
  <c r="BW15" i="4" a="1"/>
  <c r="DQ13" i="4" a="1"/>
  <c r="CX15" i="4" a="1"/>
  <c r="BI7" i="4" a="1"/>
  <c r="BP8" i="4" a="1"/>
  <c r="CP12" i="4" a="1"/>
  <c r="BI9" i="4" a="1"/>
  <c r="AR13" i="4" a="1"/>
  <c r="CH15" i="4" a="1"/>
  <c r="CB14" i="4" a="1"/>
  <c r="AN9" i="4" a="1"/>
  <c r="BJ8" i="4" a="1"/>
  <c r="DM11" i="4" a="1"/>
  <c r="L7" i="4" a="1"/>
  <c r="CD16" i="4" a="1"/>
  <c r="AI15" i="4" a="1"/>
  <c r="CT13" i="4" a="1"/>
  <c r="AT5" i="4" a="1"/>
  <c r="BM6" i="4" a="1"/>
  <c r="DN14" i="4" a="1"/>
  <c r="CN13" i="4" a="1"/>
  <c r="BR15" i="4" a="1"/>
  <c r="AS14" i="4" a="1"/>
  <c r="CI5" i="4" a="1"/>
  <c r="C11" i="4" a="1"/>
  <c r="W9" i="4" a="1"/>
  <c r="AW15" i="4" a="1"/>
  <c r="R7" i="4" a="1"/>
  <c r="AO13" i="4" a="1"/>
  <c r="AT9" i="4" a="1"/>
  <c r="CK9" i="4" a="1"/>
  <c r="BR8" i="4" a="1"/>
  <c r="DS9" i="4" a="1"/>
  <c r="BM11" i="4" a="1"/>
  <c r="S8" i="4" a="1"/>
  <c r="DY9" i="4" a="1"/>
  <c r="DH16" i="4" a="1"/>
  <c r="J11" i="4" a="1"/>
  <c r="H7" i="4" a="1"/>
  <c r="CU15" i="4" a="1"/>
  <c r="Z12" i="4" a="1"/>
  <c r="G15" i="4" a="1"/>
  <c r="AF15" i="4" a="1"/>
  <c r="CV8" i="4" a="1"/>
  <c r="AQ11" i="4" a="1"/>
  <c r="CZ14" i="4" a="1"/>
  <c r="AL14" i="4" a="1"/>
  <c r="EK11" i="4" a="1"/>
  <c r="BO6" i="4" a="1"/>
  <c r="AC7" i="4" a="1"/>
  <c r="AI12" i="4" a="1"/>
  <c r="AV13" i="4" a="1"/>
  <c r="AJ6" i="4" a="1"/>
  <c r="CH9" i="4" a="1"/>
  <c r="D5" i="4" a="1"/>
  <c r="AH14" i="4" a="1"/>
  <c r="CJ16" i="4" a="1"/>
  <c r="CU7" i="4" a="1"/>
  <c r="BQ12" i="4" a="1"/>
  <c r="R15" i="4" a="1"/>
  <c r="EI13" i="4" a="1"/>
  <c r="BW14" i="4" a="1"/>
  <c r="K11" i="4" a="1"/>
  <c r="AP8" i="4" a="1"/>
  <c r="S13" i="4" a="1"/>
  <c r="BU5" i="4" a="1"/>
  <c r="DW12" i="4" a="1"/>
  <c r="P20" i="2"/>
  <c r="D46" i="3"/>
  <c r="CO9" i="4" a="1"/>
  <c r="DK13" i="4" a="1"/>
  <c r="AN11" i="4" a="1"/>
  <c r="T5" i="2"/>
  <c r="P23" i="2"/>
  <c r="G24" i="2"/>
  <c r="AR55" i="3"/>
  <c r="H45" i="3"/>
  <c r="E29" i="3"/>
  <c r="J9" i="4" a="1"/>
  <c r="CS14" i="4" a="1"/>
  <c r="M5" i="4" a="1"/>
  <c r="BI5" i="4" a="1"/>
  <c r="DQ11" i="4" a="1"/>
  <c r="CF6" i="4" a="1"/>
  <c r="CP8" i="4" a="1"/>
  <c r="AZ6" i="4" a="1"/>
  <c r="BH16" i="4" a="1"/>
  <c r="BV11" i="4" a="1"/>
  <c r="CB12" i="4" a="1"/>
  <c r="CM15" i="4" a="1"/>
  <c r="AR9" i="4" a="1"/>
  <c r="CV14" i="4" a="1"/>
  <c r="L11" i="4" a="1"/>
  <c r="CR16" i="4" a="1"/>
  <c r="DG9" i="4" a="1"/>
  <c r="U8" i="4" a="1"/>
  <c r="AZ13" i="4" a="1"/>
  <c r="BB5" i="4" a="1"/>
  <c r="BZ6" i="4" a="1"/>
  <c r="H5" i="4" a="1"/>
  <c r="CJ14" i="4" a="1"/>
  <c r="CG5" i="4" a="1"/>
  <c r="CU14" i="4" a="1"/>
  <c r="W7" i="4" a="1"/>
  <c r="CR12" i="4" a="1"/>
  <c r="EC5" i="4" a="1"/>
  <c r="DR9" i="4" a="1"/>
  <c r="EF8" i="4" a="1"/>
  <c r="EG9" i="4" a="1"/>
  <c r="DI9" i="4" a="1"/>
  <c r="BG13" i="4" a="1"/>
  <c r="AC13" i="4" a="1"/>
  <c r="BA11" i="4" a="1"/>
  <c r="BU11" i="4" a="1"/>
  <c r="DW11" i="4" a="1"/>
  <c r="L8" i="4" a="1"/>
  <c r="EA12" i="4" a="1"/>
  <c r="AO16" i="4" a="1"/>
  <c r="BE16" i="4" a="1"/>
  <c r="DB11" i="4" a="1"/>
  <c r="BY6" i="4" a="1"/>
  <c r="CW15" i="4" a="1"/>
  <c r="BC6" i="4" a="1"/>
  <c r="AT12" i="4" a="1"/>
  <c r="EJ9" i="4" a="1"/>
  <c r="W16" i="4" a="1"/>
  <c r="BI8" i="4" a="1"/>
  <c r="DH11" i="4" a="1"/>
  <c r="EB9" i="4" a="1"/>
  <c r="BK16" i="4" a="1"/>
  <c r="CG15" i="4" a="1"/>
  <c r="U13" i="4" a="1"/>
  <c r="DS11" i="4" a="1"/>
  <c r="DW16" i="4" a="1"/>
  <c r="DS14" i="4" a="1"/>
  <c r="DV6" i="4" a="1"/>
  <c r="CS6" i="4" a="1"/>
  <c r="BX6" i="4" a="1"/>
  <c r="DU16" i="4" a="1"/>
  <c r="EH9" i="4" a="1"/>
  <c r="CW11" i="4" a="1"/>
  <c r="EJ6" i="4" a="1"/>
  <c r="DD11" i="4" a="1"/>
  <c r="AT16" i="4" a="1"/>
  <c r="AI6" i="4" a="1"/>
  <c r="EE9" i="4" a="1"/>
  <c r="DE6" i="4" a="1"/>
  <c r="O5" i="4" a="1"/>
  <c r="BA13" i="4" a="1"/>
  <c r="BD8" i="4" a="1"/>
  <c r="BW9" i="4" a="1"/>
  <c r="K13" i="4" a="1"/>
  <c r="CK12" i="4" a="1"/>
  <c r="DA5" i="4" a="1"/>
  <c r="BN14" i="4" a="1"/>
  <c r="DK8" i="4" a="1"/>
  <c r="U8" i="2"/>
  <c r="DE11" i="4" a="1"/>
  <c r="V15" i="4" a="1"/>
  <c r="DL13" i="4" a="1"/>
  <c r="BG11" i="4" a="1"/>
  <c r="DF12" i="4" a="1"/>
  <c r="AW5" i="4" a="1"/>
  <c r="CD15" i="4" a="1"/>
  <c r="EF7" i="4" a="1"/>
  <c r="EC14" i="4" a="1"/>
  <c r="CO5" i="4" a="1"/>
  <c r="CQ7" i="4" a="1"/>
  <c r="DA9" i="4" a="1"/>
  <c r="M9" i="4" a="1"/>
  <c r="S9" i="4" a="1"/>
  <c r="CN6" i="4" a="1"/>
  <c r="DY7" i="4" a="1"/>
  <c r="BB7" i="4" a="1"/>
  <c r="AZ11" i="4" a="1"/>
  <c r="BL15" i="4" a="1"/>
  <c r="H8" i="4" a="1"/>
  <c r="AM14" i="4" a="1"/>
  <c r="DU15" i="4" a="1"/>
  <c r="DS7" i="4" a="1"/>
  <c r="BX15" i="4" a="1"/>
  <c r="EI7" i="4" a="1"/>
  <c r="EK6" i="4" a="1"/>
  <c r="CE16" i="4" a="1"/>
  <c r="Q6" i="4" a="1"/>
  <c r="EC6" i="4" a="1"/>
  <c r="BT11" i="4" a="1"/>
  <c r="BU15" i="4" a="1"/>
  <c r="DN13" i="4" a="1"/>
  <c r="AL11" i="4" a="1"/>
  <c r="BK7" i="4" a="1"/>
  <c r="DE9" i="4" a="1"/>
  <c r="D19" i="2"/>
  <c r="K17" i="2"/>
  <c r="G25" i="2"/>
  <c r="M24" i="2"/>
  <c r="E25" i="3"/>
  <c r="AR28" i="3"/>
  <c r="CB7" i="4" a="1"/>
  <c r="EG14" i="4" a="1"/>
  <c r="DO12" i="4" a="1"/>
  <c r="DX6" i="4" a="1"/>
  <c r="X6" i="4" a="1"/>
  <c r="DP5" i="4" a="1"/>
  <c r="AU7" i="4" a="1"/>
  <c r="BJ16" i="4" a="1"/>
  <c r="DI7" i="4" a="1"/>
  <c r="DK14" i="4" a="1"/>
  <c r="AH12" i="4" a="1"/>
  <c r="AX13" i="4" a="1"/>
  <c r="BZ13" i="4" a="1"/>
  <c r="CK13" i="4" a="1"/>
  <c r="I15" i="4" a="1"/>
  <c r="J12" i="4" a="1"/>
  <c r="Y7" i="4" a="1"/>
  <c r="AV12" i="4" a="1"/>
  <c r="H15" i="4" a="1"/>
  <c r="Y9" i="4" a="1"/>
  <c r="DJ11" i="4" a="1"/>
  <c r="AY8" i="4" a="1"/>
  <c r="CS16" i="4" a="1"/>
  <c r="M15" i="4" a="1"/>
  <c r="AX5" i="4" a="1"/>
  <c r="U15" i="2"/>
  <c r="R16" i="2"/>
  <c r="E39" i="3"/>
  <c r="BC15" i="4" a="1"/>
  <c r="AU5" i="4" a="1"/>
  <c r="CI8" i="4" a="1"/>
  <c r="BB11" i="4" a="1"/>
  <c r="BO15" i="4" a="1"/>
  <c r="CQ5" i="4" a="1"/>
  <c r="BP9" i="4" a="1"/>
  <c r="CD11" i="4" a="1"/>
  <c r="AE9" i="4" a="1"/>
  <c r="EB15" i="4" a="1"/>
  <c r="S5" i="4" a="1"/>
  <c r="R9" i="4" a="1"/>
  <c r="DZ8" i="4" a="1"/>
  <c r="DJ5" i="4" a="1"/>
  <c r="BI11" i="4" a="1"/>
  <c r="DG6" i="4" a="1"/>
  <c r="AW6" i="4" a="1"/>
  <c r="N8" i="4" a="1"/>
  <c r="BV12" i="4" a="1"/>
  <c r="N9" i="2"/>
  <c r="D33" i="2"/>
  <c r="C26" i="2"/>
  <c r="E20" i="3"/>
  <c r="D32" i="2"/>
  <c r="N35" i="2"/>
  <c r="F19" i="2"/>
  <c r="C65" i="2"/>
  <c r="L46" i="3"/>
  <c r="F28" i="3"/>
  <c r="AC11" i="4" a="1"/>
  <c r="CG12" i="4" a="1"/>
  <c r="P14" i="4" a="1"/>
  <c r="AK6" i="4" a="1"/>
  <c r="AH15" i="4" a="1"/>
  <c r="CA12" i="4" a="1"/>
  <c r="DW15" i="4" a="1"/>
  <c r="CT15" i="4" a="1"/>
  <c r="BS14" i="4" a="1"/>
  <c r="BD11" i="4" a="1"/>
  <c r="Y12" i="4" a="1"/>
  <c r="AX15" i="4" a="1"/>
  <c r="AO7" i="4" a="1"/>
  <c r="CL6" i="4" a="1"/>
  <c r="BJ7" i="4" a="1"/>
  <c r="AZ5" i="4" a="1"/>
  <c r="AX9" i="4" a="1"/>
  <c r="AE11" i="4" a="1"/>
  <c r="H14" i="4" a="1"/>
  <c r="CI11" i="4" a="1"/>
  <c r="CM11" i="4" a="1"/>
  <c r="DR7" i="4" a="1"/>
  <c r="DJ8" i="4" a="1"/>
  <c r="E13" i="4" a="1"/>
  <c r="EK14" i="4" a="1"/>
  <c r="AW13" i="4" a="1"/>
  <c r="BE13" i="4" a="1"/>
  <c r="C14" i="4" a="1"/>
  <c r="CA16" i="4" a="1"/>
  <c r="CP6" i="4" a="1"/>
  <c r="DY6" i="4" a="1"/>
  <c r="EB12" i="4" a="1"/>
  <c r="AB7" i="4" a="1"/>
  <c r="F5" i="4" a="1"/>
  <c r="BH13" i="4" a="1"/>
  <c r="CW12" i="4" a="1"/>
  <c r="DV11" i="4" a="1"/>
  <c r="DY12" i="4" a="1"/>
  <c r="BA8" i="4" a="1"/>
  <c r="L15" i="4" a="1"/>
  <c r="BQ14" i="4" a="1"/>
  <c r="EJ15" i="4" a="1"/>
  <c r="EE5" i="4" a="1"/>
  <c r="T14" i="4" a="1"/>
  <c r="AN14" i="4" a="1"/>
  <c r="DZ5" i="4" a="1"/>
  <c r="EJ11" i="4" a="1"/>
  <c r="AV7" i="4" a="1"/>
  <c r="BF6" i="4" a="1"/>
  <c r="AG6" i="4" a="1"/>
  <c r="EJ8" i="4" a="1"/>
  <c r="Q11" i="4" a="1"/>
  <c r="Q9" i="4" a="1"/>
  <c r="BL6" i="4" a="1"/>
  <c r="DT15" i="4" a="1"/>
  <c r="DV13" i="4" a="1"/>
  <c r="DV14" i="4" a="1"/>
  <c r="AD12" i="4" a="1"/>
  <c r="U5" i="4" a="1"/>
  <c r="AD16" i="4" a="1"/>
  <c r="E6" i="4" a="1"/>
  <c r="AG16" i="4" a="1"/>
  <c r="BA15" i="4" a="1"/>
  <c r="DS13" i="4" a="1"/>
  <c r="EF11" i="4" a="1"/>
  <c r="CG11" i="4" a="1"/>
  <c r="AN5" i="4" a="1"/>
  <c r="DD7" i="4" a="1"/>
  <c r="AE5" i="4" a="1"/>
  <c r="EF12" i="4" a="1"/>
  <c r="AM16" i="4" a="1"/>
  <c r="DC6" i="4" a="1"/>
  <c r="Z14" i="4" a="1"/>
  <c r="CE12" i="4" a="1"/>
  <c r="BE14" i="4" a="1"/>
  <c r="AL16" i="4" a="1"/>
  <c r="DW8" i="4" a="1"/>
  <c r="BW5" i="4" a="1"/>
  <c r="CA13" i="4" a="1"/>
  <c r="EH12" i="4" a="1"/>
  <c r="P15" i="4" a="1"/>
  <c r="CX13" i="4" a="1"/>
  <c r="EE7" i="4" a="1"/>
  <c r="EG13" i="4" a="1"/>
  <c r="ED12" i="4" a="1"/>
  <c r="BK14" i="4" a="1"/>
  <c r="CO11" i="4" a="1"/>
  <c r="CS9" i="4" a="1"/>
  <c r="D10" i="2"/>
  <c r="AU13" i="4" a="1"/>
  <c r="DE8" i="4" a="1"/>
  <c r="EB16" i="4" a="1"/>
  <c r="AB6" i="4" a="1"/>
  <c r="CE11" i="4" a="1"/>
  <c r="BT14" i="4" a="1"/>
  <c r="DL12" i="4" a="1"/>
  <c r="CX9" i="4" a="1"/>
  <c r="O35" i="2"/>
  <c r="D15" i="2"/>
  <c r="U16" i="2"/>
  <c r="E27" i="2"/>
  <c r="D39" i="3"/>
  <c r="EJ14" i="4" a="1"/>
  <c r="BD15" i="4" a="1"/>
  <c r="BZ5" i="4" a="1"/>
  <c r="BT9" i="4" a="1"/>
  <c r="EF13" i="4" a="1"/>
  <c r="DP12" i="4" a="1"/>
  <c r="DT16" i="4" a="1"/>
  <c r="AJ13" i="4" a="1"/>
  <c r="W6" i="4" a="1"/>
  <c r="BP12" i="4" a="1"/>
  <c r="CL11" i="4" a="1"/>
  <c r="T15" i="4" a="1"/>
  <c r="EC12" i="4" a="1"/>
  <c r="E8" i="4" a="1"/>
  <c r="CT9" i="4" a="1"/>
  <c r="BB9" i="4" a="1"/>
  <c r="CW13" i="4" a="1"/>
  <c r="K8" i="4" a="1"/>
  <c r="DD5" i="4" a="1"/>
  <c r="CA5" i="4" a="1"/>
  <c r="CY12" i="4" a="1"/>
  <c r="CG9" i="4" a="1"/>
  <c r="N15" i="4" a="1"/>
  <c r="M8" i="4" a="1"/>
  <c r="DH7" i="4" a="1"/>
  <c r="BR9" i="4" a="1"/>
  <c r="DN5" i="4" a="1"/>
  <c r="CY11" i="4" a="1"/>
  <c r="DE7" i="4" a="1"/>
  <c r="CY7" i="4" a="1"/>
  <c r="EH14" i="4" a="1"/>
  <c r="BY12" i="4" a="1"/>
  <c r="BH11" i="4" a="1"/>
  <c r="BF8" i="4" a="1"/>
  <c r="DK11" i="4" a="1"/>
  <c r="BF16" i="4" a="1"/>
  <c r="CC9" i="4" a="1"/>
  <c r="DJ12" i="4" a="1"/>
  <c r="AM15" i="4" a="1"/>
  <c r="DA6" i="4" a="1"/>
  <c r="BA16" i="4" a="1"/>
  <c r="T12" i="2"/>
  <c r="U16" i="4" a="1"/>
  <c r="D7" i="4" a="1"/>
  <c r="EI12" i="4" a="1"/>
  <c r="AL6" i="4" a="1"/>
  <c r="EE6" i="4" a="1"/>
  <c r="K6" i="4" a="1"/>
  <c r="X16" i="4" a="1"/>
  <c r="BX7" i="4" a="1"/>
  <c r="DZ15" i="4" a="1"/>
  <c r="K33" i="2"/>
  <c r="O22" i="2"/>
  <c r="Q20" i="2"/>
  <c r="X26" i="2"/>
  <c r="AR32" i="3"/>
  <c r="AL12" i="4" a="1"/>
  <c r="BO8" i="4" a="1"/>
  <c r="EE14" i="4" a="1"/>
  <c r="CH7" i="4" a="1"/>
  <c r="DL11" i="4" a="1"/>
  <c r="CR5" i="4" a="1"/>
  <c r="CT12" i="4" a="1"/>
  <c r="DL5" i="4" a="1"/>
  <c r="DS5" i="4" a="1"/>
  <c r="CG14" i="4" a="1"/>
  <c r="AL13" i="4" a="1"/>
  <c r="BU14" i="4" a="1"/>
  <c r="EB5" i="4" a="1"/>
  <c r="EA9" i="4" a="1"/>
  <c r="BW6" i="4" a="1"/>
  <c r="CQ15" i="4" a="1"/>
  <c r="CP15" i="4" a="1"/>
  <c r="CN12" i="4" a="1"/>
  <c r="AQ7" i="4" a="1"/>
  <c r="DB13" i="4" a="1"/>
  <c r="BK9" i="4" a="1"/>
  <c r="BZ7" i="4" a="1"/>
  <c r="D16" i="4" a="1"/>
  <c r="H12" i="4" a="1"/>
  <c r="DR8" i="4" a="1"/>
  <c r="AY14" i="4" a="1"/>
  <c r="M11" i="4" a="1"/>
  <c r="AH6" i="4" a="1"/>
  <c r="CD13" i="4" a="1"/>
  <c r="T13" i="4" a="1"/>
  <c r="V13" i="4" a="1"/>
  <c r="AF12" i="4" a="1"/>
  <c r="CA7" i="4" a="1"/>
  <c r="DU13" i="4" a="1"/>
  <c r="O14" i="4" a="1"/>
  <c r="AQ14" i="4" a="1"/>
  <c r="DJ13" i="4" a="1"/>
  <c r="CY5" i="4" a="1"/>
  <c r="AU6" i="4" a="1"/>
  <c r="DS15" i="4" a="1"/>
  <c r="BD13" i="4" a="1"/>
  <c r="CO8" i="4" a="1"/>
  <c r="EB7" i="4" a="1"/>
  <c r="E7" i="4" a="1"/>
  <c r="AN16" i="4" a="1"/>
  <c r="AJ11" i="4" a="1"/>
  <c r="Y13" i="4" a="1"/>
  <c r="DE5" i="4" a="1"/>
  <c r="N5" i="4" a="1"/>
  <c r="DN16" i="4" a="1"/>
  <c r="N16" i="4" a="1"/>
  <c r="AW16" i="4" a="1"/>
  <c r="DY15" i="4" a="1"/>
  <c r="BC11" i="4" a="1"/>
  <c r="DD15" i="4" a="1"/>
  <c r="CR14" i="4" a="1"/>
  <c r="BQ5" i="4" a="1"/>
  <c r="O13" i="4" a="1"/>
  <c r="BB15" i="4" a="1"/>
  <c r="G6" i="4" a="1"/>
  <c r="DD6" i="4" a="1"/>
  <c r="CM14" i="4" a="1"/>
  <c r="DY5" i="4" a="1"/>
  <c r="DN8" i="4" a="1"/>
  <c r="X11" i="4" a="1"/>
  <c r="BH9" i="4" a="1"/>
  <c r="CX12" i="4" a="1"/>
  <c r="AQ8" i="4" a="1"/>
  <c r="BH15" i="4" a="1"/>
  <c r="ED15" i="4" a="1"/>
  <c r="CZ7" i="4" a="1"/>
  <c r="AH16" i="4" a="1"/>
  <c r="BA12" i="4" a="1"/>
  <c r="CI9" i="4" a="1"/>
  <c r="L12" i="4" a="1"/>
  <c r="AS7" i="4" a="1"/>
  <c r="BF15" i="4" a="1"/>
  <c r="CM5" i="4" a="1"/>
  <c r="G5" i="4" a="1"/>
  <c r="BM7" i="4" a="1"/>
  <c r="CO12" i="4" a="1"/>
  <c r="T11" i="4" a="1"/>
  <c r="T22" i="2"/>
  <c r="M17" i="2"/>
  <c r="M6" i="2"/>
  <c r="M46" i="3"/>
  <c r="BM8" i="4" a="1"/>
  <c r="ED14" i="4" a="1"/>
  <c r="O7" i="4" a="1"/>
  <c r="CN7" i="4" a="1"/>
  <c r="H6" i="4" a="1"/>
  <c r="K9" i="4" a="1"/>
  <c r="N12" i="4" a="1"/>
  <c r="DO16" i="4" a="1"/>
  <c r="BB12" i="4" a="1"/>
  <c r="G8" i="4" a="1"/>
  <c r="F14" i="4" a="1"/>
  <c r="DM14" i="4" a="1"/>
  <c r="DH9" i="4" a="1"/>
  <c r="EC16" i="4" a="1"/>
  <c r="CR11" i="4" a="1"/>
  <c r="AP6" i="4" a="1"/>
  <c r="CB16" i="4" a="1"/>
  <c r="CL8" i="4" a="1"/>
  <c r="CK16" i="4" a="1"/>
  <c r="DJ15" i="4" a="1"/>
  <c r="CQ16" i="4" a="1"/>
  <c r="CI6" i="4" a="1"/>
  <c r="C14" i="2"/>
  <c r="P45" i="3"/>
  <c r="AG9" i="4" a="1"/>
  <c r="BP5" i="4" a="1"/>
  <c r="G11" i="4" a="1"/>
  <c r="V8" i="4" a="1"/>
  <c r="AU15" i="4" a="1"/>
  <c r="AF11" i="4" a="1"/>
  <c r="BZ14" i="4" a="1"/>
  <c r="CH12" i="4" a="1"/>
  <c r="CL5" i="4" a="1"/>
  <c r="CK8" i="4" a="1"/>
  <c r="AR6" i="4" a="1"/>
  <c r="EH11" i="4" a="1"/>
  <c r="R33" i="2"/>
  <c r="J7" i="2"/>
  <c r="G11" i="2"/>
  <c r="M9" i="2"/>
  <c r="E42" i="3"/>
  <c r="BF9" i="4" a="1"/>
  <c r="CG16" i="4" a="1"/>
  <c r="EG16" i="4" a="1"/>
  <c r="BR5" i="4" a="1"/>
  <c r="BH14" i="4" a="1"/>
  <c r="DU5" i="4" a="1"/>
  <c r="DP15" i="4" a="1"/>
  <c r="I5" i="4" a="1"/>
  <c r="CJ8" i="4" a="1"/>
  <c r="T6" i="4" a="1"/>
  <c r="AG14" i="4" a="1"/>
  <c r="BI15" i="4" a="1"/>
  <c r="CA11" i="4" a="1"/>
  <c r="BR6" i="4" a="1"/>
  <c r="BR11" i="4" a="1"/>
  <c r="AB16" i="4" a="1"/>
  <c r="CU5" i="4" a="1"/>
  <c r="DM8" i="4" a="1"/>
  <c r="EE13" i="4" a="1"/>
  <c r="DH5" i="4" a="1"/>
  <c r="E15" i="4" a="1"/>
  <c r="AS16" i="4" a="1"/>
  <c r="AL9" i="4" a="1"/>
  <c r="X12" i="4" a="1"/>
  <c r="AY15" i="4" a="1"/>
  <c r="CF5" i="4" a="1"/>
  <c r="BU16" i="4" a="1"/>
  <c r="EB13" i="4" a="1"/>
  <c r="DB15" i="4" a="1"/>
  <c r="AE8" i="4" a="1"/>
  <c r="DR13" i="4" a="1"/>
  <c r="DI6" i="4" a="1"/>
  <c r="DY13" i="4" a="1"/>
  <c r="AQ6" i="4" a="1"/>
  <c r="D35" i="2"/>
  <c r="CN11" i="4" a="1"/>
  <c r="CG8" i="4" a="1"/>
  <c r="AX16" i="4" a="1"/>
  <c r="D11" i="4" a="1"/>
  <c r="BJ15" i="4" a="1"/>
  <c r="CY8" i="4" a="1"/>
  <c r="CI12" i="4" a="1"/>
  <c r="DM16" i="4" a="1"/>
  <c r="BC14" i="4" a="1"/>
  <c r="DC11" i="4" a="1"/>
  <c r="DX9" i="4" a="1"/>
  <c r="BP14" i="4" a="1"/>
  <c r="BR14" i="4" a="1"/>
  <c r="G9" i="4" a="1"/>
  <c r="AJ8" i="4" a="1"/>
  <c r="BL7" i="4" a="1"/>
  <c r="BN8" i="4" a="1"/>
  <c r="O12" i="4" a="1"/>
  <c r="AR7" i="4" a="1"/>
  <c r="DM9" i="4" a="1"/>
  <c r="DW9" i="4" a="1"/>
  <c r="BG14" i="4" a="1"/>
  <c r="C30" i="2"/>
  <c r="BF13" i="4" a="1"/>
  <c r="DV7" i="4" a="1"/>
  <c r="CM13" i="4" a="1"/>
  <c r="C16" i="4" a="1"/>
  <c r="DR14" i="4" a="1"/>
  <c r="AV14" i="4" a="1"/>
  <c r="CH5" i="4" a="1"/>
  <c r="BC7" i="4" a="1"/>
  <c r="AV6" i="4" a="1"/>
  <c r="BW8" i="4" a="1"/>
  <c r="DU14" i="4" a="1"/>
  <c r="Y15" i="4" a="1"/>
  <c r="AN6" i="4" a="1"/>
  <c r="U25" i="2"/>
  <c r="X63" i="2"/>
  <c r="P25" i="2"/>
  <c r="AR86" i="3"/>
  <c r="D22" i="3"/>
  <c r="AG7" i="4" a="1"/>
  <c r="CX14" i="4" a="1"/>
  <c r="AE6" i="4" a="1"/>
  <c r="BI6" i="4" a="1"/>
  <c r="CM6" i="4" a="1"/>
  <c r="AY6" i="4" a="1"/>
  <c r="BO13" i="4" a="1"/>
  <c r="CH6" i="4" a="1"/>
  <c r="BM16" i="4" a="1"/>
  <c r="AJ5" i="4" a="1"/>
  <c r="EB6" i="4" a="1"/>
  <c r="DN15" i="4" a="1"/>
  <c r="D12" i="4" a="1"/>
  <c r="DG7" i="4" a="1"/>
  <c r="BN9" i="4" a="1"/>
  <c r="DX12" i="4" a="1"/>
  <c r="BT5" i="4" a="1"/>
  <c r="AX14" i="4" a="1"/>
  <c r="AC9" i="4" a="1"/>
  <c r="W15" i="4" a="1"/>
  <c r="BX13" i="4" a="1"/>
  <c r="CP7" i="4" a="1"/>
  <c r="CY9" i="4" a="1"/>
  <c r="EA14" i="4" a="1"/>
  <c r="P5" i="4" a="1"/>
  <c r="D28" i="2"/>
  <c r="CS5" i="4" a="1"/>
  <c r="AH7" i="4" a="1"/>
  <c r="EH6" i="4" a="1"/>
  <c r="DB9" i="4" a="1"/>
  <c r="S16" i="4" a="1"/>
  <c r="BX11" i="4" a="1"/>
  <c r="DU12" i="4" a="1"/>
  <c r="C12" i="4" a="1"/>
  <c r="AO6" i="4" a="1"/>
  <c r="DN11" i="4" a="1"/>
  <c r="Q16" i="4" a="1"/>
  <c r="AY13" i="4" a="1"/>
  <c r="AD14" i="4" a="1"/>
  <c r="DF8" i="4" a="1"/>
  <c r="CE8" i="4" a="1"/>
  <c r="ED13" i="4" a="1"/>
  <c r="EG15" i="4" a="1"/>
  <c r="AV5" i="4" a="1"/>
  <c r="O15" i="4" a="1"/>
  <c r="Z11" i="4" a="1"/>
  <c r="Z13" i="4" a="1"/>
  <c r="CJ15" i="4" a="1"/>
  <c r="D9" i="4" a="1"/>
  <c r="CC15" i="4" a="1"/>
  <c r="CN5" i="4" a="1"/>
  <c r="BN15" i="4" a="1"/>
  <c r="BP6" i="4" a="1"/>
  <c r="DK12" i="4" a="1"/>
  <c r="F26" i="3"/>
  <c r="DN6" i="4" a="1"/>
  <c r="CV7" i="4" a="1"/>
  <c r="CZ11" i="4" a="1"/>
  <c r="CZ13" i="4" a="1"/>
  <c r="CA14" i="4" a="1"/>
  <c r="CP11" i="4" a="1"/>
  <c r="DL8" i="4" a="1"/>
  <c r="W14" i="4" a="1"/>
  <c r="AS6" i="4" a="1"/>
  <c r="CQ11" i="4" a="1"/>
  <c r="CZ5" i="4" a="1"/>
  <c r="AX12" i="4" a="1"/>
  <c r="AU14" i="4" a="1"/>
  <c r="CZ6" i="4" a="1"/>
  <c r="DM7" i="4" a="1"/>
  <c r="DC7" i="4" a="1"/>
  <c r="DR15" i="4" a="1"/>
  <c r="CX11" i="4" a="1"/>
  <c r="E11" i="4" a="1"/>
  <c r="EI11" i="4" a="1"/>
  <c r="BY16" i="4" a="1"/>
  <c r="DT8" i="4" a="1"/>
  <c r="BZ12" i="4" a="1"/>
  <c r="DA16" i="4" a="1"/>
  <c r="CD6" i="4" a="1"/>
  <c r="AT7" i="4" a="1"/>
  <c r="BG16" i="4" a="1"/>
  <c r="AJ15" i="4" a="1"/>
  <c r="AK14" i="4" a="1"/>
  <c r="F13" i="4" a="1"/>
  <c r="N6" i="4" a="1"/>
  <c r="DO13" i="4" a="1"/>
  <c r="EG11" i="4" a="1"/>
  <c r="DB5" i="4" a="1"/>
  <c r="AF6" i="4" a="1"/>
  <c r="AP12" i="4" a="1"/>
  <c r="AE15" i="4" a="1"/>
  <c r="BR16" i="4" a="1"/>
  <c r="BI12" i="4" a="1"/>
  <c r="CE6" i="4" a="1"/>
  <c r="CW8" i="4" a="1"/>
  <c r="AW14" i="4" a="1"/>
  <c r="BL5" i="4" a="1"/>
  <c r="DD16" i="4" a="1"/>
  <c r="BR7" i="4" a="1"/>
  <c r="BP13" i="4" a="1"/>
  <c r="DC8" i="4" a="1"/>
  <c r="CB11" i="4" a="1"/>
  <c r="CZ8" i="4" a="1"/>
  <c r="AR14" i="4" a="1"/>
  <c r="DP16" i="4" a="1"/>
  <c r="CC14" i="4" a="1"/>
  <c r="CD7" i="4" a="1"/>
  <c r="BU9" i="4" a="1"/>
  <c r="AG5" i="4" a="1"/>
  <c r="DA15" i="4" a="1"/>
  <c r="AO15" i="4" a="1"/>
  <c r="S6" i="4" a="1"/>
  <c r="AS12" i="4" a="1"/>
  <c r="EE11" i="4" a="1"/>
  <c r="R5" i="4" a="1"/>
  <c r="CL13" i="4" a="1"/>
  <c r="AA5" i="4" a="1"/>
  <c r="EI15" i="4" a="1"/>
  <c r="J15" i="4" a="1"/>
  <c r="BD7" i="4" a="1"/>
  <c r="DP13" i="4" a="1"/>
  <c r="AL7" i="4" a="1"/>
  <c r="J6" i="4" a="1"/>
  <c r="AE14" i="4" a="1"/>
  <c r="AC8" i="4" a="1"/>
  <c r="CP16" i="4" a="1"/>
  <c r="BO11" i="4" a="1"/>
  <c r="CQ9" i="4" a="1"/>
  <c r="CO7" i="4" a="1"/>
  <c r="DV9" i="4" a="1"/>
  <c r="DO7" i="4" a="1"/>
  <c r="F93" i="3"/>
  <c r="F49" i="3"/>
  <c r="G80" i="3"/>
  <c r="F77" i="3"/>
  <c r="AD66" i="3"/>
  <c r="F69" i="3"/>
  <c r="G58" i="3"/>
  <c r="F85" i="3"/>
  <c r="G86" i="3"/>
  <c r="AD90" i="3"/>
  <c r="G67" i="3"/>
  <c r="G78" i="3"/>
  <c r="F58" i="3"/>
  <c r="F82" i="3"/>
  <c r="G83" i="3"/>
  <c r="F79" i="3"/>
  <c r="G71" i="3"/>
  <c r="F86" i="3"/>
  <c r="G82" i="3"/>
  <c r="G72" i="3"/>
  <c r="F74" i="3"/>
  <c r="F64" i="3"/>
  <c r="G66" i="3"/>
  <c r="G89" i="3"/>
  <c r="F88" i="3"/>
  <c r="G77" i="3"/>
  <c r="F59" i="3"/>
  <c r="F55" i="3"/>
  <c r="F60" i="3"/>
  <c r="G69" i="3"/>
  <c r="F95" i="3"/>
  <c r="G96" i="3"/>
  <c r="G73" i="3"/>
  <c r="F73" i="3"/>
  <c r="F91" i="3"/>
  <c r="F61" i="3"/>
  <c r="G76" i="3"/>
  <c r="AD58" i="3"/>
  <c r="F76" i="3"/>
  <c r="F65" i="3"/>
  <c r="G68" i="3"/>
  <c r="F67" i="3"/>
  <c r="AD93" i="3"/>
  <c r="G84" i="3"/>
  <c r="G59" i="3"/>
  <c r="G74" i="3"/>
  <c r="G62" i="3"/>
  <c r="G70" i="3"/>
  <c r="G92" i="3"/>
  <c r="G65" i="3"/>
  <c r="F48" i="3"/>
  <c r="G95" i="3"/>
  <c r="F56" i="3"/>
  <c r="AD82" i="3"/>
  <c r="F97" i="3"/>
  <c r="AD68" i="3"/>
  <c r="F70" i="3"/>
  <c r="G61" i="3"/>
  <c r="F72" i="3"/>
  <c r="G91" i="3"/>
  <c r="F75" i="3"/>
  <c r="F66" i="3"/>
  <c r="G56" i="3"/>
  <c r="G79" i="3"/>
  <c r="AD64" i="3"/>
  <c r="G97" i="3"/>
  <c r="AD97" i="3"/>
  <c r="F63" i="3"/>
  <c r="F57" i="3"/>
  <c r="F54" i="3"/>
  <c r="G63" i="3"/>
  <c r="F50" i="3"/>
  <c r="G54" i="3"/>
  <c r="AD83" i="3"/>
  <c r="G57" i="3"/>
  <c r="G85" i="3"/>
  <c r="F81" i="3"/>
  <c r="F80" i="3"/>
  <c r="G93" i="3"/>
  <c r="F84" i="3"/>
  <c r="F71" i="3"/>
  <c r="G60" i="3"/>
  <c r="G55" i="3"/>
  <c r="G75" i="3"/>
  <c r="F68" i="3"/>
  <c r="G88" i="3"/>
  <c r="F92" i="3"/>
  <c r="G90" i="3"/>
  <c r="F78" i="3"/>
  <c r="G81" i="3"/>
  <c r="G87" i="3"/>
  <c r="F83" i="3"/>
  <c r="F89" i="3"/>
  <c r="E95" i="3"/>
  <c r="G64" i="3"/>
  <c r="F87" i="3"/>
  <c r="F96" i="3"/>
  <c r="F94" i="3"/>
  <c r="F62" i="3"/>
  <c r="F47" i="3"/>
  <c r="F90" i="3"/>
  <c r="G94" i="3"/>
  <c r="E79" i="3" l="1"/>
  <c r="AD79" i="3"/>
  <c r="E54" i="3"/>
  <c r="E67" i="3"/>
  <c r="E57" i="3"/>
  <c r="E80" i="3"/>
  <c r="E69" i="3"/>
  <c r="E64" i="3"/>
  <c r="E87" i="3"/>
  <c r="E66" i="3"/>
  <c r="E85" i="3"/>
  <c r="E93" i="3"/>
  <c r="E89" i="3"/>
  <c r="E58" i="3"/>
  <c r="E86" i="3"/>
  <c r="E92" i="3"/>
  <c r="E78" i="3"/>
  <c r="E59" i="3"/>
  <c r="E75" i="3"/>
  <c r="E56" i="3"/>
  <c r="E77" i="3"/>
  <c r="E83" i="3"/>
  <c r="E68" i="3"/>
  <c r="E63" i="3"/>
  <c r="E76" i="3"/>
  <c r="E72" i="3"/>
  <c r="E65" i="3"/>
  <c r="E90" i="3"/>
  <c r="E94" i="3"/>
  <c r="E60" i="3"/>
  <c r="E55" i="3"/>
  <c r="E73" i="3"/>
  <c r="E97" i="3"/>
  <c r="E82" i="3"/>
  <c r="E84" i="3"/>
  <c r="E61" i="3"/>
  <c r="E70" i="3"/>
  <c r="E74" i="3"/>
  <c r="E88" i="3"/>
  <c r="E81" i="3"/>
  <c r="E96" i="3"/>
  <c r="E91" i="3"/>
  <c r="E71" i="3"/>
  <c r="E62" i="3"/>
  <c r="AD61" i="3"/>
  <c r="AD91" i="3"/>
  <c r="BJ154" i="1" s="1"/>
  <c r="BK154" i="1" s="1"/>
  <c r="AD63" i="3"/>
  <c r="BJ125" i="1" s="1"/>
  <c r="BK125" i="1" s="1"/>
  <c r="AD55" i="3"/>
  <c r="AD80" i="3"/>
  <c r="BJ159" i="1" s="1"/>
  <c r="AD87" i="3"/>
  <c r="BJ152" i="1" s="1"/>
  <c r="BK152" i="1" s="1"/>
  <c r="AD70" i="3"/>
  <c r="BJ133" i="1" s="1"/>
  <c r="AD78" i="3"/>
  <c r="BJ142" i="1" s="1"/>
  <c r="BK142" i="1" s="1"/>
  <c r="AD72" i="3"/>
  <c r="BJ135" i="1" s="1"/>
  <c r="BK135" i="1" s="1"/>
  <c r="AD59" i="3"/>
  <c r="AD88" i="3"/>
  <c r="BJ127" i="1" s="1"/>
  <c r="BK127" i="1" s="1"/>
  <c r="AD60" i="3"/>
  <c r="BJ122" i="1" s="1"/>
  <c r="BK122" i="1" s="1"/>
  <c r="AD67" i="3"/>
  <c r="AD84" i="3"/>
  <c r="BJ146" i="1" s="1"/>
  <c r="BK146" i="1" s="1"/>
  <c r="AD81" i="3"/>
  <c r="BJ144" i="1" s="1"/>
  <c r="BJ179" i="1" s="1"/>
  <c r="BK179" i="1" s="1"/>
  <c r="AD86" i="3"/>
  <c r="AD94" i="3"/>
  <c r="AD76" i="3"/>
  <c r="BJ143" i="1" s="1"/>
  <c r="AD54" i="3"/>
  <c r="AD56" i="3"/>
  <c r="BJ117" i="1" s="1"/>
  <c r="AD75" i="3"/>
  <c r="AD89" i="3"/>
  <c r="BJ153" i="1" s="1"/>
  <c r="BJ183" i="1" s="1"/>
  <c r="BK183" i="1" s="1"/>
  <c r="AD62" i="3"/>
  <c r="BJ124" i="1" s="1"/>
  <c r="BK124" i="1" s="1"/>
  <c r="AD71" i="3"/>
  <c r="AD92" i="3"/>
  <c r="BJ155" i="1" s="1"/>
  <c r="BK155" i="1" s="1"/>
  <c r="AD57" i="3"/>
  <c r="BJ118" i="1" s="1"/>
  <c r="BK118" i="1" s="1"/>
  <c r="AD77" i="3"/>
  <c r="BJ140" i="1" s="1"/>
  <c r="BK140" i="1" s="1"/>
  <c r="BL202" i="1" s="1"/>
  <c r="AD95" i="3"/>
  <c r="BJ164" i="1" s="1"/>
  <c r="AD65" i="3"/>
  <c r="BJ150" i="1" s="1"/>
  <c r="BK150" i="1" s="1"/>
  <c r="AD74" i="3"/>
  <c r="BJ137" i="1" s="1"/>
  <c r="BK137" i="1" s="1"/>
  <c r="AD69" i="3"/>
  <c r="BJ132" i="1" s="1"/>
  <c r="AD85" i="3"/>
  <c r="BJ147" i="1" s="1"/>
  <c r="BK147" i="1" s="1"/>
  <c r="AD96" i="3"/>
  <c r="BJ163" i="1" s="1"/>
  <c r="BK163" i="1" s="1"/>
  <c r="AD73" i="3"/>
  <c r="D64" i="3"/>
  <c r="AJ149" i="1" s="1"/>
  <c r="AK149" i="1" s="1"/>
  <c r="D79" i="3"/>
  <c r="AJ143" i="1" s="1"/>
  <c r="AK143" i="1" s="1"/>
  <c r="D62" i="3"/>
  <c r="AJ124" i="1" s="1"/>
  <c r="AK124" i="1" s="1"/>
  <c r="D83" i="3"/>
  <c r="AJ160" i="1" s="1"/>
  <c r="D92" i="3"/>
  <c r="AJ155" i="1" s="1"/>
  <c r="AK155" i="1" s="1"/>
  <c r="D85" i="3"/>
  <c r="AJ147" i="1" s="1"/>
  <c r="AK147" i="1" s="1"/>
  <c r="D55" i="3"/>
  <c r="D74" i="3"/>
  <c r="AJ137" i="1" s="1"/>
  <c r="AK137" i="1" s="1"/>
  <c r="D73" i="3"/>
  <c r="D59" i="3"/>
  <c r="D89" i="3"/>
  <c r="AJ153" i="1" s="1"/>
  <c r="D81" i="3"/>
  <c r="AJ144" i="1" s="1"/>
  <c r="D61" i="3"/>
  <c r="D60" i="3"/>
  <c r="AJ122" i="1" s="1"/>
  <c r="AK122" i="1" s="1"/>
  <c r="D80" i="3"/>
  <c r="AJ159" i="1" s="1"/>
  <c r="D91" i="3"/>
  <c r="AJ154" i="1" s="1"/>
  <c r="AK154" i="1" s="1"/>
  <c r="D94" i="3"/>
  <c r="D84" i="3"/>
  <c r="AJ146" i="1" s="1"/>
  <c r="AK146" i="1" s="1"/>
  <c r="D88" i="3"/>
  <c r="AJ127" i="1" s="1"/>
  <c r="AK127" i="1" s="1"/>
  <c r="D63" i="3"/>
  <c r="AJ125" i="1" s="1"/>
  <c r="AK125" i="1" s="1"/>
  <c r="D69" i="3"/>
  <c r="AJ132" i="1" s="1"/>
  <c r="D71" i="3"/>
  <c r="D65" i="3"/>
  <c r="AJ150" i="1" s="1"/>
  <c r="AK150" i="1" s="1"/>
  <c r="D93" i="3"/>
  <c r="D78" i="3"/>
  <c r="AJ142" i="1" s="1"/>
  <c r="AK142" i="1" s="1"/>
  <c r="D96" i="3"/>
  <c r="AJ163" i="1" s="1"/>
  <c r="AK163" i="1" s="1"/>
  <c r="D90" i="3"/>
  <c r="AJ126" i="1" s="1"/>
  <c r="AK126" i="1" s="1"/>
  <c r="D72" i="3"/>
  <c r="AJ135" i="1" s="1"/>
  <c r="AK135" i="1" s="1"/>
  <c r="D67" i="3"/>
  <c r="D57" i="3"/>
  <c r="AJ118" i="1" s="1"/>
  <c r="AK118" i="1" s="1"/>
  <c r="D58" i="3"/>
  <c r="AJ119" i="1" s="1"/>
  <c r="D87" i="3"/>
  <c r="AJ152" i="1" s="1"/>
  <c r="AK152" i="1" s="1"/>
  <c r="D97" i="3"/>
  <c r="D75" i="3"/>
  <c r="D82" i="3"/>
  <c r="AJ145" i="1" s="1"/>
  <c r="D86" i="3"/>
  <c r="D76" i="3"/>
  <c r="D70" i="3"/>
  <c r="AJ133" i="1" s="1"/>
  <c r="D56" i="3"/>
  <c r="AJ117" i="1" s="1"/>
  <c r="AK117" i="1" s="1"/>
  <c r="D66" i="3"/>
  <c r="AJ151" i="1" s="1"/>
  <c r="AK151" i="1" s="1"/>
  <c r="D77" i="3"/>
  <c r="AJ140" i="1" s="1"/>
  <c r="AK140" i="1" s="1"/>
  <c r="D68" i="3"/>
  <c r="AJ131" i="1" s="1"/>
  <c r="D54" i="3"/>
  <c r="D95" i="3"/>
  <c r="AJ164" i="1" s="1"/>
  <c r="AK164" i="1" s="1"/>
  <c r="JD9" i="4" s="1"/>
  <c r="JB16" i="4" s="1"/>
  <c r="IX16" i="4" s="1"/>
  <c r="IW16" i="4" s="1"/>
  <c r="AL47" i="1"/>
  <c r="IJ9" i="4" s="1"/>
  <c r="O36" i="1"/>
  <c r="W132" i="1"/>
  <c r="T36" i="1"/>
  <c r="B39" i="1"/>
  <c r="JA9" i="4" s="1"/>
  <c r="JA16" i="4" s="1"/>
  <c r="C51" i="1"/>
  <c r="IC16" i="4" s="1"/>
  <c r="AK51" i="1"/>
  <c r="F13" i="1"/>
  <c r="I9" i="1"/>
  <c r="Q46" i="1"/>
  <c r="HY9" i="4" s="1"/>
  <c r="B20" i="1"/>
  <c r="L8" i="1"/>
  <c r="L231" i="1" s="1"/>
  <c r="L21" i="1"/>
  <c r="IQ9" i="4" s="1"/>
  <c r="IH9" i="4" s="1"/>
  <c r="II9" i="4" s="1"/>
  <c r="J46" i="1"/>
  <c r="HV16" i="4" s="1"/>
  <c r="HU16" i="4" s="1"/>
  <c r="S15" i="1"/>
  <c r="IO9" i="4" s="1"/>
  <c r="IF9" i="4" s="1"/>
  <c r="IL9" i="4" s="1"/>
  <c r="D32" i="1"/>
  <c r="D194" i="1" s="1"/>
  <c r="C23" i="1"/>
  <c r="N51" i="1"/>
  <c r="IV9" i="4" s="1"/>
  <c r="JF16" i="4" s="1"/>
  <c r="IA16" i="4" s="1"/>
  <c r="HY16" i="4" s="1"/>
  <c r="HX16" i="4" s="1"/>
  <c r="AL32" i="1"/>
  <c r="AL194" i="1" s="1"/>
  <c r="E22" i="1"/>
  <c r="M51" i="1"/>
  <c r="C45" i="1"/>
  <c r="AK9" i="1"/>
  <c r="C46" i="1"/>
  <c r="HT9" i="4" s="1"/>
  <c r="IG15" i="4" s="1"/>
  <c r="T23" i="1"/>
  <c r="IZ7" i="4" s="1"/>
  <c r="BX32" i="1"/>
  <c r="BX194" i="1" s="1"/>
  <c r="AK36" i="1"/>
  <c r="F36" i="1"/>
  <c r="J21" i="1"/>
  <c r="C22" i="1"/>
  <c r="HQ8" i="4" s="1"/>
  <c r="IW9" i="4" s="1"/>
  <c r="IP15" i="4" s="1"/>
  <c r="IM9" i="4" s="1"/>
  <c r="JG9" i="4" s="1"/>
  <c r="JH9" i="4" s="1"/>
  <c r="II16" i="4" s="1"/>
  <c r="JF9" i="4" s="1"/>
  <c r="IG16" i="4" s="1"/>
  <c r="AK39" i="1"/>
  <c r="O35" i="1"/>
  <c r="IS9" i="4" s="1"/>
  <c r="JE9" i="4" s="1"/>
  <c r="JC9" i="4" s="1"/>
  <c r="AL20" i="1"/>
  <c r="S25" i="1"/>
  <c r="JI9" i="4" s="1"/>
  <c r="HS9" i="4" s="1"/>
  <c r="IZ9" i="4" s="1"/>
  <c r="HR16" i="4" s="1"/>
  <c r="IL16" i="4" s="1"/>
  <c r="IR9" i="4" s="1"/>
  <c r="AL24" i="1"/>
  <c r="AM13" i="1"/>
  <c r="BJ25" i="1"/>
  <c r="AM15" i="1"/>
  <c r="B35" i="1"/>
  <c r="I21" i="1"/>
  <c r="B25" i="1"/>
  <c r="S20" i="1"/>
  <c r="W32" i="1"/>
  <c r="O8" i="1"/>
  <c r="I36" i="1"/>
  <c r="J35" i="1"/>
  <c r="K15" i="1"/>
  <c r="IF16" i="4" s="1"/>
  <c r="IE9" i="4" s="1"/>
  <c r="AJ32" i="1"/>
  <c r="AJ194" i="1" s="1"/>
  <c r="AL45" i="1"/>
  <c r="B15" i="1"/>
  <c r="P9" i="1"/>
  <c r="C25" i="1"/>
  <c r="P47" i="1"/>
  <c r="R8" i="1"/>
  <c r="R231" i="1" s="1"/>
  <c r="O20" i="1"/>
  <c r="F8" i="1"/>
  <c r="F231" i="1" s="1"/>
  <c r="IV16" i="4" s="1"/>
  <c r="IS16" i="4" s="1"/>
  <c r="HQ9" i="4" s="1"/>
  <c r="IG9" i="4" s="1"/>
  <c r="JB8" i="4" s="1"/>
  <c r="HP9" i="4" s="1"/>
  <c r="IB15" i="4" s="1"/>
  <c r="IQ16" i="4" s="1"/>
  <c r="JG16" i="4" s="1"/>
  <c r="IP8" i="4" s="1"/>
  <c r="IP9" i="4" s="1"/>
  <c r="AK14" i="1"/>
  <c r="AL15" i="1"/>
  <c r="AJ47" i="1"/>
  <c r="I35" i="1"/>
  <c r="BX73" i="1"/>
  <c r="S8" i="1"/>
  <c r="S231" i="1" s="1"/>
  <c r="V23" i="1"/>
  <c r="N13" i="1"/>
  <c r="G8" i="1"/>
  <c r="G231" i="1" s="1"/>
  <c r="S39" i="1"/>
  <c r="T15" i="1"/>
  <c r="ID15" i="4" s="1"/>
  <c r="IM16" i="4" s="1"/>
  <c r="IM21" i="4" s="1"/>
  <c r="BG77" i="1" s="1"/>
  <c r="HV9" i="4" s="1"/>
  <c r="JB9" i="4" s="1"/>
  <c r="AJ46" i="1"/>
  <c r="AJ24" i="1"/>
  <c r="AK47" i="1"/>
  <c r="BX164" i="1"/>
  <c r="BY164" i="1" s="1"/>
  <c r="S13" i="1"/>
  <c r="D35" i="1"/>
  <c r="O45" i="1"/>
  <c r="V15" i="1"/>
  <c r="P127" i="1"/>
  <c r="M13" i="1"/>
  <c r="W22" i="1"/>
  <c r="IE16" i="4" s="1"/>
  <c r="IO16" i="4" s="1"/>
  <c r="IU9" i="4" s="1"/>
  <c r="BX35" i="1"/>
  <c r="BX23" i="1"/>
  <c r="AM25" i="1"/>
  <c r="BX154" i="1"/>
  <c r="BY154" i="1" s="1"/>
  <c r="C13" i="1"/>
  <c r="M8" i="1"/>
  <c r="M231" i="1" s="1"/>
  <c r="M9" i="1"/>
  <c r="M10" i="1" s="1"/>
  <c r="I23" i="1"/>
  <c r="F46" i="1"/>
  <c r="P39" i="1"/>
  <c r="R36" i="1"/>
  <c r="HW16" i="4" s="1"/>
  <c r="IZ16" i="4" s="1"/>
  <c r="HZ9" i="4" s="1"/>
  <c r="IT9" i="4" s="1"/>
  <c r="IX9" i="4" s="1"/>
  <c r="IN9" i="4" s="1"/>
  <c r="IM14" i="4" s="1"/>
  <c r="BX15" i="1"/>
  <c r="AJ20" i="1"/>
  <c r="BX152" i="1"/>
  <c r="BY152" i="1" s="1"/>
  <c r="D25" i="1"/>
  <c r="H9" i="1"/>
  <c r="T51" i="1"/>
  <c r="V24" i="1"/>
  <c r="D46" i="1"/>
  <c r="IA9" i="4" s="1"/>
  <c r="AJ8" i="1"/>
  <c r="AJ231" i="1" s="1"/>
  <c r="W47" i="1"/>
  <c r="K8" i="1"/>
  <c r="K231" i="1" s="1"/>
  <c r="G13" i="1"/>
  <c r="G32" i="1"/>
  <c r="G194" i="1" s="1"/>
  <c r="T24" i="1"/>
  <c r="R23" i="1"/>
  <c r="M20" i="1"/>
  <c r="H22" i="1"/>
  <c r="T13" i="1"/>
  <c r="E8" i="1"/>
  <c r="F21" i="1"/>
  <c r="S51" i="1"/>
  <c r="HU14" i="4" s="1"/>
  <c r="IJ14" i="4" s="1"/>
  <c r="JA7" i="4" s="1"/>
  <c r="HT8" i="4" s="1"/>
  <c r="IK16" i="4" s="1"/>
  <c r="AM9" i="1"/>
  <c r="AL8" i="1"/>
  <c r="D122" i="1"/>
  <c r="Q9" i="1"/>
  <c r="K45" i="1"/>
  <c r="E51" i="1"/>
  <c r="L25" i="1"/>
  <c r="JD14" i="4" s="1"/>
  <c r="JC16" i="4" s="1"/>
  <c r="JF7" i="4" s="1"/>
  <c r="HS14" i="4" s="1"/>
  <c r="HZ16" i="4" s="1"/>
  <c r="IB14" i="4" s="1"/>
  <c r="HQ16" i="4" s="1"/>
  <c r="II15" i="4" s="1"/>
  <c r="IY16" i="4" s="1"/>
  <c r="AL46" i="1"/>
  <c r="AJ14" i="1"/>
  <c r="F25" i="1"/>
  <c r="E20" i="1"/>
  <c r="V9" i="1"/>
  <c r="V10" i="1" s="1"/>
  <c r="V98" i="1" s="1"/>
  <c r="U24" i="1"/>
  <c r="H39" i="1"/>
  <c r="F39" i="1"/>
  <c r="M21" i="1"/>
  <c r="V45" i="1"/>
  <c r="G163" i="1"/>
  <c r="O23" i="1"/>
  <c r="F22" i="1"/>
  <c r="W9" i="1"/>
  <c r="W10" i="1" s="1"/>
  <c r="W188" i="1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L10" i="1" s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IJ16" i="4" s="1"/>
  <c r="IJ21" i="4" s="1"/>
  <c r="BD77" i="1" s="1"/>
  <c r="IB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M8" i="4" s="1"/>
  <c r="HW15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JH16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60" i="1"/>
  <c r="BJ149" i="1"/>
  <c r="AL135" i="1"/>
  <c r="AM135" i="1" s="1"/>
  <c r="AL133" i="1"/>
  <c r="AL163" i="1"/>
  <c r="AM163" i="1" s="1"/>
  <c r="BJ131" i="1"/>
  <c r="BJ145" i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1" i="1"/>
  <c r="BK151" i="1" s="1"/>
  <c r="AL140" i="1"/>
  <c r="AM140" i="1" s="1"/>
  <c r="AM202" i="1" s="1"/>
  <c r="AL137" i="1"/>
  <c r="AM137" i="1" s="1"/>
  <c r="AL143" i="1"/>
  <c r="IC14" i="4"/>
  <c r="HP14" i="4"/>
  <c r="JA21" i="4"/>
  <c r="BU77" i="1" s="1"/>
  <c r="JA14" i="4"/>
  <c r="IL14" i="4"/>
  <c r="IE8" i="4"/>
  <c r="IO14" i="4"/>
  <c r="IY15" i="4"/>
  <c r="IK7" i="4"/>
  <c r="HY15" i="4"/>
  <c r="IV8" i="4"/>
  <c r="IV7" i="4"/>
  <c r="II14" i="4"/>
  <c r="JC15" i="4"/>
  <c r="P231" i="1"/>
  <c r="HS15" i="4"/>
  <c r="IR15" i="4"/>
  <c r="JA15" i="4"/>
  <c r="IX8" i="4"/>
  <c r="IT8" i="4"/>
  <c r="JD8" i="4"/>
  <c r="JF14" i="4"/>
  <c r="IP7" i="4"/>
  <c r="JH14" i="4"/>
  <c r="JB14" i="4"/>
  <c r="CP77" i="1"/>
  <c r="CN63" i="1"/>
  <c r="CM65" i="1"/>
  <c r="HP21" i="4" l="1"/>
  <c r="AJ77" i="1" s="1"/>
  <c r="IU8" i="4" s="1"/>
  <c r="IO15" i="4" s="1"/>
  <c r="JI15" i="4" s="1"/>
  <c r="HR8" i="4" s="1"/>
  <c r="I253" i="1"/>
  <c r="E231" i="1"/>
  <c r="U253" i="1"/>
  <c r="U194" i="1"/>
  <c r="AJ37" i="1"/>
  <c r="BX252" i="1"/>
  <c r="AK10" i="1"/>
  <c r="AK231" i="1"/>
  <c r="W98" i="1"/>
  <c r="E10" i="1"/>
  <c r="V16" i="1"/>
  <c r="V17" i="1" s="1"/>
  <c r="AM252" i="1"/>
  <c r="JB21" i="4"/>
  <c r="BV77" i="1" s="1"/>
  <c r="IG21" i="4"/>
  <c r="BA77" i="1" s="1"/>
  <c r="IY9" i="4" s="1"/>
  <c r="IT16" i="4" s="1"/>
  <c r="IA21" i="4"/>
  <c r="AU77" i="1" s="1"/>
  <c r="HS16" i="4" s="1"/>
  <c r="HS21" i="4" s="1"/>
  <c r="AM77" i="1" s="1"/>
  <c r="IU16" i="4" s="1"/>
  <c r="IU21" i="4" s="1"/>
  <c r="BO77" i="1" s="1"/>
  <c r="IN16" i="4" s="1"/>
  <c r="IN21" i="4" s="1"/>
  <c r="BH77" i="1" s="1"/>
  <c r="IX14" i="4" s="1"/>
  <c r="HW9" i="4" s="1"/>
  <c r="IR16" i="4" s="1"/>
  <c r="IR21" i="4" s="1"/>
  <c r="BL77" i="1" s="1"/>
  <c r="BL94" i="1" s="1"/>
  <c r="JF15" i="4" s="1"/>
  <c r="IK9" i="4" s="1"/>
  <c r="O10" i="1"/>
  <c r="IP21" i="4"/>
  <c r="BJ77" i="1" s="1"/>
  <c r="G252" i="1"/>
  <c r="B16" i="1"/>
  <c r="B17" i="1" s="1"/>
  <c r="R10" i="1"/>
  <c r="R98" i="1" s="1"/>
  <c r="G183" i="1"/>
  <c r="Q10" i="1"/>
  <c r="JD21" i="4"/>
  <c r="BX77" i="1" s="1"/>
  <c r="IW21" i="4"/>
  <c r="BQ77" i="1" s="1"/>
  <c r="IF21" i="4"/>
  <c r="AZ77" i="1" s="1"/>
  <c r="JF21" i="4"/>
  <c r="BZ77" i="1" s="1"/>
  <c r="BZ94" i="1" s="1"/>
  <c r="IO21" i="4"/>
  <c r="BI77" i="1" s="1"/>
  <c r="HT21" i="4"/>
  <c r="AN77" i="1" s="1"/>
  <c r="CA98" i="1"/>
  <c r="CA99" i="1" s="1"/>
  <c r="BX231" i="1"/>
  <c r="JH21" i="4"/>
  <c r="CB77" i="1" s="1"/>
  <c r="H252" i="1"/>
  <c r="IS21" i="4"/>
  <c r="BM77" i="1" s="1"/>
  <c r="IQ21" i="4"/>
  <c r="BK77" i="1" s="1"/>
  <c r="H10" i="1"/>
  <c r="H16" i="1" s="1"/>
  <c r="H17" i="1" s="1"/>
  <c r="IV21" i="4"/>
  <c r="BP77" i="1" s="1"/>
  <c r="X11" i="1"/>
  <c r="W11" i="1"/>
  <c r="C194" i="1"/>
  <c r="K253" i="1"/>
  <c r="W253" i="1"/>
  <c r="W194" i="1"/>
  <c r="K10" i="1"/>
  <c r="JC21" i="4"/>
  <c r="BW77" i="1" s="1"/>
  <c r="R252" i="1"/>
  <c r="G10" i="1"/>
  <c r="O231" i="1"/>
  <c r="O253" i="1"/>
  <c r="BX253" i="1"/>
  <c r="O252" i="1"/>
  <c r="IW8" i="4"/>
  <c r="HV21" i="4"/>
  <c r="AP77" i="1" s="1"/>
  <c r="IO7" i="4"/>
  <c r="IH8" i="4"/>
  <c r="HZ15" i="4"/>
  <c r="II7" i="4"/>
  <c r="HU7" i="4"/>
  <c r="IG14" i="4"/>
  <c r="HZ8" i="4"/>
  <c r="HS8" i="4"/>
  <c r="IR7" i="4"/>
  <c r="HW8" i="4"/>
  <c r="IY14" i="4"/>
  <c r="HR7" i="4"/>
  <c r="IN8" i="4"/>
  <c r="HX21" i="4"/>
  <c r="AR77" i="1" s="1"/>
  <c r="K252" i="1"/>
  <c r="L252" i="1"/>
  <c r="L26" i="1"/>
  <c r="B253" i="1"/>
  <c r="IW7" i="4"/>
  <c r="M252" i="1"/>
  <c r="N231" i="1"/>
  <c r="N10" i="1"/>
  <c r="J253" i="1"/>
  <c r="J231" i="1"/>
  <c r="J10" i="1"/>
  <c r="J252" i="1"/>
  <c r="G26" i="1"/>
  <c r="IZ8" i="4"/>
  <c r="AK26" i="1"/>
  <c r="W26" i="1"/>
  <c r="BJ180" i="1"/>
  <c r="BK180" i="1" s="1"/>
  <c r="L253" i="1"/>
  <c r="L194" i="1"/>
  <c r="W16" i="1"/>
  <c r="V11" i="1"/>
  <c r="W27" i="1"/>
  <c r="IA7" i="4"/>
  <c r="IW15" i="4"/>
  <c r="IX21" i="4"/>
  <c r="BR77" i="1" s="1"/>
  <c r="IE14" i="4"/>
  <c r="HV14" i="4"/>
  <c r="JB15" i="4"/>
  <c r="JB20" i="4" s="1"/>
  <c r="BV79" i="1" s="1"/>
  <c r="BV108" i="1" s="1"/>
  <c r="ID14" i="4"/>
  <c r="JC14" i="4"/>
  <c r="IJ8" i="4"/>
  <c r="IX15" i="4"/>
  <c r="IX20" i="4" s="1"/>
  <c r="BR79" i="1" s="1"/>
  <c r="BR108" i="1" s="1"/>
  <c r="IH14" i="4"/>
  <c r="JE15" i="4"/>
  <c r="IS8" i="4"/>
  <c r="IT15" i="4"/>
  <c r="IT20" i="4" s="1"/>
  <c r="BN79" i="1" s="1"/>
  <c r="BN108" i="1" s="1"/>
  <c r="JE7" i="4"/>
  <c r="HQ14" i="4"/>
  <c r="P252" i="1"/>
  <c r="J26" i="1"/>
  <c r="O26" i="1"/>
  <c r="HY21" i="4"/>
  <c r="AS77" i="1" s="1"/>
  <c r="JI8" i="4"/>
  <c r="JI20" i="4" s="1"/>
  <c r="CC79" i="1" s="1"/>
  <c r="HR15" i="4"/>
  <c r="HR20" i="4" s="1"/>
  <c r="AL79" i="1" s="1"/>
  <c r="HT14" i="4"/>
  <c r="JF8" i="4"/>
  <c r="JF20" i="4" s="1"/>
  <c r="BZ79" i="1" s="1"/>
  <c r="IQ8" i="4"/>
  <c r="IM15" i="4"/>
  <c r="IM20" i="4" s="1"/>
  <c r="BG79" i="1" s="1"/>
  <c r="BG108" i="1" s="1"/>
  <c r="IA14" i="4"/>
  <c r="IA19" i="4" s="1"/>
  <c r="AU78" i="1" s="1"/>
  <c r="AU107" i="1" s="1"/>
  <c r="IT7" i="4"/>
  <c r="JG14" i="4"/>
  <c r="JH7" i="4"/>
  <c r="JH19" i="4" s="1"/>
  <c r="CB78" i="1" s="1"/>
  <c r="IU14" i="4"/>
  <c r="IU19" i="4" s="1"/>
  <c r="BO78" i="1" s="1"/>
  <c r="BO107" i="1" s="1"/>
  <c r="IU15" i="4"/>
  <c r="IU20" i="4" s="1"/>
  <c r="BO79" i="1" s="1"/>
  <c r="BO108" i="1" s="1"/>
  <c r="HQ7" i="4"/>
  <c r="IE15" i="4"/>
  <c r="IE20" i="4" s="1"/>
  <c r="AY79" i="1" s="1"/>
  <c r="AY108" i="1" s="1"/>
  <c r="JG15" i="4"/>
  <c r="JG20" i="4" s="1"/>
  <c r="CA79" i="1" s="1"/>
  <c r="IL21" i="4"/>
  <c r="BF77" i="1" s="1"/>
  <c r="JE8" i="4"/>
  <c r="E26" i="1"/>
  <c r="BX179" i="1"/>
  <c r="BY179" i="1" s="1"/>
  <c r="Q183" i="1"/>
  <c r="IN15" i="4"/>
  <c r="IN20" i="4" s="1"/>
  <c r="BH79" i="1" s="1"/>
  <c r="BH108" i="1" s="1"/>
  <c r="IE21" i="4"/>
  <c r="AY77" i="1" s="1"/>
  <c r="IB8" i="4"/>
  <c r="IB20" i="4" s="1"/>
  <c r="AV79" i="1" s="1"/>
  <c r="AV108" i="1" s="1"/>
  <c r="IL8" i="4"/>
  <c r="HT15" i="4"/>
  <c r="HT20" i="4" s="1"/>
  <c r="AN79" i="1" s="1"/>
  <c r="AN108" i="1" s="1"/>
  <c r="JH8" i="4"/>
  <c r="JB7" i="4"/>
  <c r="JB19" i="4" s="1"/>
  <c r="BV78" i="1" s="1"/>
  <c r="BV107" i="1" s="1"/>
  <c r="HQ21" i="4"/>
  <c r="AK77" i="1" s="1"/>
  <c r="IX7" i="4"/>
  <c r="IX19" i="4" s="1"/>
  <c r="BR78" i="1" s="1"/>
  <c r="BR107" i="1" s="1"/>
  <c r="JG21" i="4"/>
  <c r="CA77" i="1" s="1"/>
  <c r="IU7" i="4"/>
  <c r="HX8" i="4"/>
  <c r="JH15" i="4"/>
  <c r="JH20" i="4" s="1"/>
  <c r="CB79" i="1" s="1"/>
  <c r="IW14" i="4"/>
  <c r="IA8" i="4"/>
  <c r="IH7" i="4"/>
  <c r="IS7" i="4"/>
  <c r="HS7" i="4"/>
  <c r="HS19" i="4" s="1"/>
  <c r="AM78" i="1" s="1"/>
  <c r="IF15" i="4"/>
  <c r="HZ7" i="4"/>
  <c r="N252" i="1"/>
  <c r="T10" i="1"/>
  <c r="HV8" i="4"/>
  <c r="IH15" i="4"/>
  <c r="HY8" i="4"/>
  <c r="HY20" i="4" s="1"/>
  <c r="AS79" i="1" s="1"/>
  <c r="AS108" i="1" s="1"/>
  <c r="IV14" i="4"/>
  <c r="IV19" i="4" s="1"/>
  <c r="BP78" i="1" s="1"/>
  <c r="BP107" i="1" s="1"/>
  <c r="F253" i="1"/>
  <c r="HT7" i="4"/>
  <c r="HU15" i="4"/>
  <c r="HW14" i="4"/>
  <c r="S252" i="1"/>
  <c r="BX183" i="1"/>
  <c r="BY183" i="1" s="1"/>
  <c r="JI7" i="4"/>
  <c r="HQ15" i="4"/>
  <c r="HQ20" i="4" s="1"/>
  <c r="AK79" i="1" s="1"/>
  <c r="IR8" i="4"/>
  <c r="IR20" i="4" s="1"/>
  <c r="BL79" i="1" s="1"/>
  <c r="BL96" i="1" s="1"/>
  <c r="JA8" i="4"/>
  <c r="JA20" i="4" s="1"/>
  <c r="BU79" i="1" s="1"/>
  <c r="BU108" i="1" s="1"/>
  <c r="S10" i="1"/>
  <c r="IJ15" i="4"/>
  <c r="IJ20" i="4" s="1"/>
  <c r="BD79" i="1" s="1"/>
  <c r="BD108" i="1" s="1"/>
  <c r="HX14" i="4"/>
  <c r="IJ7" i="4"/>
  <c r="IJ19" i="4" s="1"/>
  <c r="BD78" i="1" s="1"/>
  <c r="BD107" i="1" s="1"/>
  <c r="HP15" i="4"/>
  <c r="BX134" i="1"/>
  <c r="BY134" i="1" s="1"/>
  <c r="BY138" i="1" s="1"/>
  <c r="BZ203" i="1" s="1"/>
  <c r="BZ201" i="1" s="1"/>
  <c r="S253" i="1"/>
  <c r="IC15" i="4"/>
  <c r="IZ21" i="4"/>
  <c r="BT77" i="1" s="1"/>
  <c r="ID7" i="4"/>
  <c r="AJ33" i="1"/>
  <c r="HX7" i="4"/>
  <c r="IL7" i="4"/>
  <c r="IL19" i="4" s="1"/>
  <c r="BF78" i="1" s="1"/>
  <c r="BF107" i="1" s="1"/>
  <c r="IF14" i="4"/>
  <c r="IR14" i="4"/>
  <c r="IR19" i="4" s="1"/>
  <c r="BL78" i="1" s="1"/>
  <c r="BX161" i="1"/>
  <c r="BY209" i="1" s="1"/>
  <c r="IZ15" i="4"/>
  <c r="IQ14" i="4"/>
  <c r="IF7" i="4"/>
  <c r="IC8" i="4"/>
  <c r="HP7" i="4"/>
  <c r="HP19" i="4" s="1"/>
  <c r="AJ78" i="1" s="1"/>
  <c r="JG8" i="4"/>
  <c r="HW21" i="4"/>
  <c r="AQ77" i="1" s="1"/>
  <c r="ID8" i="4"/>
  <c r="ID20" i="4" s="1"/>
  <c r="AX79" i="1" s="1"/>
  <c r="AX108" i="1" s="1"/>
  <c r="IY8" i="4"/>
  <c r="IY20" i="4" s="1"/>
  <c r="BS79" i="1" s="1"/>
  <c r="BS108" i="1" s="1"/>
  <c r="JD15" i="4"/>
  <c r="JD20" i="4" s="1"/>
  <c r="BX79" i="1" s="1"/>
  <c r="BX108" i="1" s="1"/>
  <c r="IG8" i="4"/>
  <c r="IG20" i="4" s="1"/>
  <c r="BA79" i="1" s="1"/>
  <c r="BA108" i="1" s="1"/>
  <c r="HZ21" i="4"/>
  <c r="AT77" i="1" s="1"/>
  <c r="IK8" i="4"/>
  <c r="II21" i="4"/>
  <c r="BC77" i="1" s="1"/>
  <c r="IC7" i="4"/>
  <c r="IC19" i="4" s="1"/>
  <c r="AW78" i="1" s="1"/>
  <c r="AW107" i="1" s="1"/>
  <c r="AM10" i="1"/>
  <c r="IN7" i="4"/>
  <c r="HY7" i="4"/>
  <c r="II8" i="4"/>
  <c r="II20" i="4" s="1"/>
  <c r="BC79" i="1" s="1"/>
  <c r="BC108" i="1" s="1"/>
  <c r="IY7" i="4"/>
  <c r="IV15" i="4"/>
  <c r="IV20" i="4" s="1"/>
  <c r="BP79" i="1" s="1"/>
  <c r="BP108" i="1" s="1"/>
  <c r="IK14" i="4"/>
  <c r="IK19" i="4" s="1"/>
  <c r="BE78" i="1" s="1"/>
  <c r="BE107" i="1" s="1"/>
  <c r="JC7" i="4"/>
  <c r="HU8" i="4"/>
  <c r="IN14" i="4"/>
  <c r="IN19" i="4" s="1"/>
  <c r="BH78" i="1" s="1"/>
  <c r="BH107" i="1" s="1"/>
  <c r="JD7" i="4"/>
  <c r="JD19" i="4" s="1"/>
  <c r="BX78" i="1" s="1"/>
  <c r="HV15" i="4"/>
  <c r="IO8" i="4"/>
  <c r="IO20" i="4" s="1"/>
  <c r="BI79" i="1" s="1"/>
  <c r="BI108" i="1" s="1"/>
  <c r="JI14" i="4"/>
  <c r="HY14" i="4"/>
  <c r="HY19" i="4" s="1"/>
  <c r="AS78" i="1" s="1"/>
  <c r="AS107" i="1" s="1"/>
  <c r="P183" i="1"/>
  <c r="R253" i="1"/>
  <c r="I252" i="1"/>
  <c r="N253" i="1"/>
  <c r="BX26" i="1"/>
  <c r="HP8" i="4"/>
  <c r="D26" i="1"/>
  <c r="AJ26" i="1"/>
  <c r="BY120" i="1"/>
  <c r="BZ207" i="1" s="1"/>
  <c r="R26" i="1"/>
  <c r="K26" i="1"/>
  <c r="V26" i="1"/>
  <c r="V27" i="1" s="1"/>
  <c r="AM26" i="1"/>
  <c r="IP14" i="4"/>
  <c r="IP19" i="4" s="1"/>
  <c r="BJ78" i="1" s="1"/>
  <c r="BJ107" i="1" s="1"/>
  <c r="IT14" i="4"/>
  <c r="IT19" i="4" s="1"/>
  <c r="BN78" i="1" s="1"/>
  <c r="BN107" i="1" s="1"/>
  <c r="JG7" i="4"/>
  <c r="T26" i="1"/>
  <c r="HV7" i="4"/>
  <c r="IQ7" i="4"/>
  <c r="JC8" i="4"/>
  <c r="JC20" i="4" s="1"/>
  <c r="BW79" i="1" s="1"/>
  <c r="BW108" i="1" s="1"/>
  <c r="IS15" i="4"/>
  <c r="IY21" i="4"/>
  <c r="BS77" i="1" s="1"/>
  <c r="IQ15" i="4"/>
  <c r="IK15" i="4"/>
  <c r="IG7" i="4"/>
  <c r="D252" i="1"/>
  <c r="I26" i="1"/>
  <c r="C26" i="1"/>
  <c r="U26" i="1"/>
  <c r="H253" i="1"/>
  <c r="BX180" i="1"/>
  <c r="BY180" i="1" s="1"/>
  <c r="I10" i="1"/>
  <c r="D10" i="1"/>
  <c r="BY128" i="1"/>
  <c r="B26" i="1"/>
  <c r="B27" i="1" s="1"/>
  <c r="BX10" i="1"/>
  <c r="BY12" i="1" s="1"/>
  <c r="H26" i="1"/>
  <c r="Q26" i="1"/>
  <c r="N26" i="1"/>
  <c r="M26" i="1"/>
  <c r="IA15" i="4"/>
  <c r="P10" i="1"/>
  <c r="IF8" i="4"/>
  <c r="S26" i="1"/>
  <c r="D253" i="1"/>
  <c r="P26" i="1"/>
  <c r="IZ14" i="4"/>
  <c r="IZ19" i="4" s="1"/>
  <c r="BT78" i="1" s="1"/>
  <c r="BT107" i="1" s="1"/>
  <c r="IE7" i="4"/>
  <c r="AL10" i="1"/>
  <c r="F26" i="1"/>
  <c r="HX15" i="4"/>
  <c r="IL15" i="4"/>
  <c r="IL20" i="4" s="1"/>
  <c r="BF79" i="1" s="1"/>
  <c r="BF108" i="1" s="1"/>
  <c r="HZ14" i="4"/>
  <c r="HR14" i="4"/>
  <c r="HW7" i="4"/>
  <c r="AL26" i="1"/>
  <c r="AL27" i="1" s="1"/>
  <c r="IS14" i="4"/>
  <c r="BX156" i="1"/>
  <c r="BX185" i="1" s="1"/>
  <c r="C10" i="1"/>
  <c r="G253" i="1"/>
  <c r="V253" i="1"/>
  <c r="V188" i="1"/>
  <c r="AJ179" i="1"/>
  <c r="AL183" i="1"/>
  <c r="AM183" i="1" s="1"/>
  <c r="U98" i="1"/>
  <c r="U16" i="1"/>
  <c r="U17" i="1" s="1"/>
  <c r="C253" i="1"/>
  <c r="M253" i="1"/>
  <c r="Q253" i="1"/>
  <c r="P253" i="1"/>
  <c r="F252" i="1"/>
  <c r="BX120" i="1"/>
  <c r="BX92" i="1" s="1"/>
  <c r="BX94" i="1" s="1"/>
  <c r="C252" i="1"/>
  <c r="AL231" i="1"/>
  <c r="AL252" i="1"/>
  <c r="T252" i="1"/>
  <c r="X188" i="1"/>
  <c r="AL253" i="1"/>
  <c r="AJ183" i="1"/>
  <c r="T253" i="1"/>
  <c r="Q231" i="1"/>
  <c r="BX128" i="1"/>
  <c r="AJ10" i="1"/>
  <c r="F10" i="1"/>
  <c r="AL180" i="1"/>
  <c r="AM180" i="1" s="1"/>
  <c r="AM98" i="1"/>
  <c r="AM99" i="1" s="1"/>
  <c r="AM253" i="1"/>
  <c r="AL179" i="1"/>
  <c r="AM179" i="1" s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JF19" i="4"/>
  <c r="BZ78" i="1" s="1"/>
  <c r="L16" i="1"/>
  <c r="L98" i="1"/>
  <c r="M188" i="1"/>
  <c r="M16" i="1"/>
  <c r="M17" i="1" s="1"/>
  <c r="IB19" i="4"/>
  <c r="AV78" i="1" s="1"/>
  <c r="AV107" i="1" s="1"/>
  <c r="JA19" i="4"/>
  <c r="BU78" i="1" s="1"/>
  <c r="BU107" i="1" s="1"/>
  <c r="O16" i="1"/>
  <c r="O17" i="1" s="1"/>
  <c r="O98" i="1"/>
  <c r="IP20" i="4"/>
  <c r="BJ79" i="1" s="1"/>
  <c r="BJ108" i="1" s="1"/>
  <c r="M11" i="1"/>
  <c r="R16" i="1"/>
  <c r="M98" i="1"/>
  <c r="E98" i="1"/>
  <c r="E16" i="1"/>
  <c r="AL202" i="1"/>
  <c r="AK202" i="1"/>
  <c r="BK202" i="1"/>
  <c r="AK16" i="1"/>
  <c r="Q16" i="1"/>
  <c r="Q17" i="1" s="1"/>
  <c r="Q98" i="1"/>
  <c r="BY202" i="1"/>
  <c r="CM32" i="1"/>
  <c r="AB77" i="1"/>
  <c r="CQ77" i="1"/>
  <c r="AC140" i="1"/>
  <c r="CN65" i="1"/>
  <c r="CO63" i="1"/>
  <c r="IA20" i="4" l="1"/>
  <c r="AU79" i="1" s="1"/>
  <c r="AU108" i="1" s="1"/>
  <c r="ID19" i="4"/>
  <c r="AX78" i="1" s="1"/>
  <c r="AX107" i="1" s="1"/>
  <c r="E27" i="1"/>
  <c r="G188" i="1"/>
  <c r="AK27" i="1"/>
  <c r="AM102" i="1"/>
  <c r="R188" i="1"/>
  <c r="H98" i="1"/>
  <c r="H11" i="1"/>
  <c r="G98" i="1"/>
  <c r="G16" i="1"/>
  <c r="H188" i="1"/>
  <c r="K11" i="1"/>
  <c r="K98" i="1"/>
  <c r="K16" i="1"/>
  <c r="L188" i="1"/>
  <c r="L11" i="1"/>
  <c r="IS20" i="4"/>
  <c r="BM79" i="1" s="1"/>
  <c r="BM108" i="1" s="1"/>
  <c r="IT21" i="4"/>
  <c r="BN77" i="1" s="1"/>
  <c r="IH16" i="4"/>
  <c r="IH21" i="4" s="1"/>
  <c r="BB77" i="1" s="1"/>
  <c r="IK21" i="4"/>
  <c r="BE77" i="1" s="1"/>
  <c r="JI16" i="4" s="1"/>
  <c r="HR9" i="4"/>
  <c r="HR21" i="4" s="1"/>
  <c r="AL77" i="1" s="1"/>
  <c r="IW20" i="4"/>
  <c r="BQ79" i="1" s="1"/>
  <c r="BQ108" i="1" s="1"/>
  <c r="JC19" i="4"/>
  <c r="BW78" i="1" s="1"/>
  <c r="BW107" i="1" s="1"/>
  <c r="JE20" i="4"/>
  <c r="BY79" i="1" s="1"/>
  <c r="BY108" i="1" s="1"/>
  <c r="JG19" i="4"/>
  <c r="CA78" i="1" s="1"/>
  <c r="IW19" i="4"/>
  <c r="BQ78" i="1" s="1"/>
  <c r="BQ107" i="1" s="1"/>
  <c r="IH20" i="4"/>
  <c r="BB79" i="1" s="1"/>
  <c r="BB108" i="1" s="1"/>
  <c r="IZ20" i="4"/>
  <c r="BT79" i="1" s="1"/>
  <c r="BT108" i="1" s="1"/>
  <c r="IY19" i="4"/>
  <c r="BS78" i="1" s="1"/>
  <c r="BS107" i="1" s="1"/>
  <c r="IQ20" i="4"/>
  <c r="BK79" i="1" s="1"/>
  <c r="BK108" i="1" s="1"/>
  <c r="IK20" i="4"/>
  <c r="BE79" i="1" s="1"/>
  <c r="BE108" i="1" s="1"/>
  <c r="IG19" i="4"/>
  <c r="BA78" i="1" s="1"/>
  <c r="BA107" i="1" s="1"/>
  <c r="HR19" i="4"/>
  <c r="AL78" i="1" s="1"/>
  <c r="CB94" i="1"/>
  <c r="CB102" i="1"/>
  <c r="CB85" i="1"/>
  <c r="R11" i="1"/>
  <c r="II19" i="4"/>
  <c r="BC78" i="1" s="1"/>
  <c r="BC107" i="1" s="1"/>
  <c r="IO19" i="4"/>
  <c r="BI78" i="1" s="1"/>
  <c r="BI107" i="1" s="1"/>
  <c r="HZ20" i="4"/>
  <c r="AT79" i="1" s="1"/>
  <c r="AT108" i="1" s="1"/>
  <c r="HS20" i="4"/>
  <c r="AM79" i="1" s="1"/>
  <c r="HW20" i="4"/>
  <c r="AQ79" i="1" s="1"/>
  <c r="AQ108" i="1" s="1"/>
  <c r="HU19" i="4"/>
  <c r="AO78" i="1" s="1"/>
  <c r="AO107" i="1" s="1"/>
  <c r="N188" i="1"/>
  <c r="O188" i="1"/>
  <c r="HV19" i="4"/>
  <c r="AP78" i="1" s="1"/>
  <c r="AP107" i="1" s="1"/>
  <c r="IH19" i="4"/>
  <c r="BB78" i="1" s="1"/>
  <c r="BB107" i="1" s="1"/>
  <c r="HT19" i="4"/>
  <c r="AN78" i="1" s="1"/>
  <c r="AN107" i="1" s="1"/>
  <c r="IC20" i="4"/>
  <c r="AW79" i="1" s="1"/>
  <c r="AW108" i="1" s="1"/>
  <c r="HV20" i="4"/>
  <c r="AP79" i="1" s="1"/>
  <c r="AP108" i="1" s="1"/>
  <c r="AJ27" i="1"/>
  <c r="HX20" i="4"/>
  <c r="AR79" i="1" s="1"/>
  <c r="AR108" i="1" s="1"/>
  <c r="HZ19" i="4"/>
  <c r="AT78" i="1" s="1"/>
  <c r="AT107" i="1" s="1"/>
  <c r="HQ19" i="4"/>
  <c r="AK78" i="1" s="1"/>
  <c r="IF19" i="4"/>
  <c r="AZ78" i="1" s="1"/>
  <c r="AZ107" i="1" s="1"/>
  <c r="N11" i="1"/>
  <c r="N98" i="1"/>
  <c r="N16" i="1"/>
  <c r="O11" i="1"/>
  <c r="K188" i="1"/>
  <c r="J16" i="1"/>
  <c r="J17" i="1" s="1"/>
  <c r="J98" i="1"/>
  <c r="BX27" i="1"/>
  <c r="C27" i="1"/>
  <c r="HX19" i="4"/>
  <c r="AR78" i="1" s="1"/>
  <c r="AR107" i="1" s="1"/>
  <c r="HP20" i="4"/>
  <c r="AJ79" i="1" s="1"/>
  <c r="AL16" i="1"/>
  <c r="AL17" i="1" s="1"/>
  <c r="AL12" i="1"/>
  <c r="C16" i="1"/>
  <c r="C188" i="1"/>
  <c r="C11" i="1"/>
  <c r="BY206" i="1"/>
  <c r="X18" i="1"/>
  <c r="W17" i="1"/>
  <c r="W28" i="1"/>
  <c r="W18" i="1"/>
  <c r="BZ206" i="1"/>
  <c r="BZ205" i="1" s="1"/>
  <c r="BZ249" i="1"/>
  <c r="BZ251" i="1" s="1"/>
  <c r="IQ19" i="4"/>
  <c r="BK78" i="1" s="1"/>
  <c r="BK107" i="1" s="1"/>
  <c r="HU20" i="4"/>
  <c r="AO79" i="1" s="1"/>
  <c r="AO108" i="1" s="1"/>
  <c r="JI19" i="4"/>
  <c r="CC78" i="1" s="1"/>
  <c r="CC95" i="1" s="1"/>
  <c r="IF20" i="4"/>
  <c r="AZ79" i="1" s="1"/>
  <c r="AZ108" i="1" s="1"/>
  <c r="IE19" i="4"/>
  <c r="AY78" i="1" s="1"/>
  <c r="AY107" i="1" s="1"/>
  <c r="IS19" i="4"/>
  <c r="BM78" i="1" s="1"/>
  <c r="BM107" i="1" s="1"/>
  <c r="BX184" i="1"/>
  <c r="AL184" i="1"/>
  <c r="D27" i="1"/>
  <c r="CA94" i="1"/>
  <c r="CA102" i="1"/>
  <c r="T11" i="1"/>
  <c r="T98" i="1"/>
  <c r="T188" i="1"/>
  <c r="T16" i="1"/>
  <c r="U188" i="1"/>
  <c r="U11" i="1"/>
  <c r="S98" i="1"/>
  <c r="S11" i="1"/>
  <c r="S16" i="1"/>
  <c r="T18" i="1" s="1"/>
  <c r="S188" i="1"/>
  <c r="AM16" i="1"/>
  <c r="AM12" i="1"/>
  <c r="J11" i="1"/>
  <c r="I188" i="1"/>
  <c r="I98" i="1"/>
  <c r="I16" i="1"/>
  <c r="E188" i="1"/>
  <c r="D16" i="1"/>
  <c r="E11" i="1"/>
  <c r="D188" i="1"/>
  <c r="P98" i="1"/>
  <c r="P188" i="1"/>
  <c r="AJ16" i="1"/>
  <c r="AK19" i="1" s="1"/>
  <c r="AM225" i="1"/>
  <c r="AK12" i="1"/>
  <c r="BY129" i="1"/>
  <c r="BX138" i="1"/>
  <c r="B28" i="1"/>
  <c r="HW19" i="4"/>
  <c r="AQ78" i="1" s="1"/>
  <c r="AQ107" i="1" s="1"/>
  <c r="F11" i="1"/>
  <c r="AM27" i="1"/>
  <c r="BZ33" i="1"/>
  <c r="Q11" i="1"/>
  <c r="J188" i="1"/>
  <c r="I11" i="1"/>
  <c r="BY33" i="1"/>
  <c r="BY207" i="1"/>
  <c r="BY92" i="1"/>
  <c r="BX129" i="1"/>
  <c r="D11" i="1"/>
  <c r="F188" i="1"/>
  <c r="BX95" i="1"/>
  <c r="BK249" i="1"/>
  <c r="BX181" i="1"/>
  <c r="Q188" i="1"/>
  <c r="P11" i="1"/>
  <c r="BX16" i="1"/>
  <c r="CB18" i="1" s="1"/>
  <c r="F16" i="1"/>
  <c r="F17" i="1" s="1"/>
  <c r="V28" i="1"/>
  <c r="CC188" i="1"/>
  <c r="P16" i="1"/>
  <c r="P18" i="1" s="1"/>
  <c r="G11" i="1"/>
  <c r="CB11" i="1"/>
  <c r="F98" i="1"/>
  <c r="BX248" i="1"/>
  <c r="AJ12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168" i="1"/>
  <c r="BX157" i="1"/>
  <c r="V18" i="1"/>
  <c r="BY249" i="1"/>
  <c r="BX186" i="1"/>
  <c r="CB189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6" i="1"/>
  <c r="CC104" i="1"/>
  <c r="CC108" i="1"/>
  <c r="BZ108" i="1"/>
  <c r="BZ111" i="1" s="1"/>
  <c r="BZ96" i="1"/>
  <c r="CB96" i="1"/>
  <c r="CB108" i="1"/>
  <c r="CB111" i="1" s="1"/>
  <c r="CB114" i="1" s="1"/>
  <c r="CC87" i="1"/>
  <c r="R17" i="1"/>
  <c r="BX96" i="1"/>
  <c r="CB104" i="1"/>
  <c r="BL108" i="1"/>
  <c r="BL111" i="1" s="1"/>
  <c r="CB87" i="1"/>
  <c r="R18" i="1"/>
  <c r="AK28" i="1"/>
  <c r="AK17" i="1"/>
  <c r="K17" i="1"/>
  <c r="L18" i="1"/>
  <c r="G17" i="1"/>
  <c r="H18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P17" i="1" l="1"/>
  <c r="JI21" i="4"/>
  <c r="CC77" i="1" s="1"/>
  <c r="IM7" i="4"/>
  <c r="AL28" i="1"/>
  <c r="AM19" i="1"/>
  <c r="AM108" i="1"/>
  <c r="AM104" i="1"/>
  <c r="N17" i="1"/>
  <c r="K18" i="1"/>
  <c r="AL107" i="1"/>
  <c r="O18" i="1"/>
  <c r="CA103" i="1"/>
  <c r="CA107" i="1"/>
  <c r="N18" i="1"/>
  <c r="AL19" i="1"/>
  <c r="CA95" i="1"/>
  <c r="BY205" i="1"/>
  <c r="C18" i="1"/>
  <c r="C28" i="1"/>
  <c r="D18" i="1"/>
  <c r="C17" i="1"/>
  <c r="W232" i="1"/>
  <c r="W233" i="1" s="1"/>
  <c r="X30" i="1"/>
  <c r="X250" i="1"/>
  <c r="W34" i="1"/>
  <c r="W38" i="1" s="1"/>
  <c r="W29" i="1"/>
  <c r="W112" i="1"/>
  <c r="U18" i="1"/>
  <c r="T17" i="1"/>
  <c r="AM17" i="1"/>
  <c r="AM28" i="1"/>
  <c r="D17" i="1"/>
  <c r="D28" i="1"/>
  <c r="E18" i="1"/>
  <c r="BX246" i="1"/>
  <c r="BY203" i="1"/>
  <c r="BY201" i="1" s="1"/>
  <c r="B29" i="1"/>
  <c r="B112" i="1"/>
  <c r="BX165" i="1"/>
  <c r="BX166" i="1" s="1"/>
  <c r="V34" i="1"/>
  <c r="V38" i="1" s="1"/>
  <c r="V112" i="1"/>
  <c r="V232" i="1"/>
  <c r="V233" i="1" s="1"/>
  <c r="V29" i="1"/>
  <c r="BY37" i="1"/>
  <c r="BX109" i="1"/>
  <c r="AJ28" i="1"/>
  <c r="AJ17" i="1"/>
  <c r="CC107" i="1"/>
  <c r="CC103" i="1"/>
  <c r="CC86" i="1"/>
  <c r="S17" i="1"/>
  <c r="S18" i="1"/>
  <c r="I18" i="1"/>
  <c r="J18" i="1"/>
  <c r="I17" i="1"/>
  <c r="BY96" i="1"/>
  <c r="W30" i="1"/>
  <c r="W250" i="1"/>
  <c r="F18" i="1"/>
  <c r="BX28" i="1"/>
  <c r="CB30" i="1" s="1"/>
  <c r="Q18" i="1"/>
  <c r="G18" i="1"/>
  <c r="BX17" i="1"/>
  <c r="BY19" i="1"/>
  <c r="AJ166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AK232" i="1"/>
  <c r="AK233" i="1" s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CC94" i="1" l="1"/>
  <c r="CC102" i="1"/>
  <c r="CC85" i="1"/>
  <c r="IM19" i="4"/>
  <c r="BG78" i="1" s="1"/>
  <c r="BG107" i="1" s="1"/>
  <c r="JE14" i="4"/>
  <c r="AM226" i="1"/>
  <c r="AL232" i="1"/>
  <c r="AL233" i="1" s="1"/>
  <c r="AL34" i="1"/>
  <c r="AL38" i="1" s="1"/>
  <c r="AL29" i="1"/>
  <c r="AL250" i="1"/>
  <c r="AL251" i="1" s="1"/>
  <c r="AL31" i="1"/>
  <c r="AM250" i="1"/>
  <c r="AM251" i="1" s="1"/>
  <c r="AM31" i="1"/>
  <c r="AM232" i="1"/>
  <c r="AM233" i="1" s="1"/>
  <c r="AM29" i="1"/>
  <c r="AM34" i="1"/>
  <c r="AM38" i="1" s="1"/>
  <c r="C29" i="1"/>
  <c r="C30" i="1"/>
  <c r="C250" i="1"/>
  <c r="D30" i="1"/>
  <c r="W41" i="1"/>
  <c r="X43" i="1" s="1"/>
  <c r="W40" i="1"/>
  <c r="D29" i="1"/>
  <c r="D34" i="1"/>
  <c r="D38" i="1" s="1"/>
  <c r="D250" i="1"/>
  <c r="E30" i="1"/>
  <c r="D232" i="1"/>
  <c r="D233" i="1" s="1"/>
  <c r="D112" i="1"/>
  <c r="V41" i="1"/>
  <c r="V40" i="1"/>
  <c r="BX110" i="1"/>
  <c r="BX111" i="1"/>
  <c r="CF90" i="1"/>
  <c r="CE90" i="1"/>
  <c r="AJ232" i="1"/>
  <c r="AJ233" i="1" s="1"/>
  <c r="AJ34" i="1"/>
  <c r="AJ38" i="1" s="1"/>
  <c r="AJ29" i="1"/>
  <c r="AM112" i="1"/>
  <c r="AK31" i="1"/>
  <c r="BY31" i="1"/>
  <c r="BY250" i="1"/>
  <c r="BY251" i="1" s="1"/>
  <c r="BX34" i="1"/>
  <c r="BX29" i="1"/>
  <c r="BX232" i="1"/>
  <c r="BX233" i="1" s="1"/>
  <c r="CA112" i="1"/>
  <c r="AK203" i="1"/>
  <c r="AK201" i="1" s="1"/>
  <c r="AL203" i="1"/>
  <c r="AL201" i="1" s="1"/>
  <c r="AL111" i="1"/>
  <c r="AL110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40" i="1" l="1"/>
  <c r="V42" i="1"/>
  <c r="V245" i="1" s="1"/>
  <c r="V48" i="1"/>
  <c r="AL41" i="1"/>
  <c r="D41" i="1"/>
  <c r="D40" i="1"/>
  <c r="W48" i="1"/>
  <c r="W52" i="1" s="1"/>
  <c r="W234" i="1"/>
  <c r="W42" i="1"/>
  <c r="W245" i="1" s="1"/>
  <c r="W43" i="1"/>
  <c r="JE19" i="4"/>
  <c r="BY78" i="1" s="1"/>
  <c r="IC9" i="4"/>
  <c r="IC21" i="4" s="1"/>
  <c r="AW77" i="1" s="1"/>
  <c r="HU9" i="4" s="1"/>
  <c r="HU21" i="4" s="1"/>
  <c r="AO77" i="1" s="1"/>
  <c r="ID16" i="4" s="1"/>
  <c r="AM40" i="1"/>
  <c r="AM41" i="1"/>
  <c r="AJ40" i="1"/>
  <c r="AJ41" i="1"/>
  <c r="BX38" i="1"/>
  <c r="CA55" i="1"/>
  <c r="AK234" i="1"/>
  <c r="AK48" i="1"/>
  <c r="AK119" i="1" s="1"/>
  <c r="AK120" i="1" s="1"/>
  <c r="AK129" i="1" s="1"/>
  <c r="AK42" i="1"/>
  <c r="AL44" i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234" i="1" l="1"/>
  <c r="AM44" i="1"/>
  <c r="AL48" i="1"/>
  <c r="D234" i="1"/>
  <c r="D42" i="1"/>
  <c r="AL42" i="1"/>
  <c r="AL245" i="1" s="1"/>
  <c r="BY95" i="1"/>
  <c r="BY107" i="1"/>
  <c r="BY89" i="1"/>
  <c r="ID21" i="4"/>
  <c r="AX77" i="1" s="1"/>
  <c r="JE16" i="4"/>
  <c r="JE21" i="4" s="1"/>
  <c r="BY77" i="1" s="1"/>
  <c r="AM227" i="1"/>
  <c r="AK44" i="1"/>
  <c r="AL193" i="1"/>
  <c r="AL195" i="1" s="1"/>
  <c r="AL66" i="1"/>
  <c r="AL52" i="1"/>
  <c r="AM42" i="1"/>
  <c r="AM245" i="1" s="1"/>
  <c r="AM234" i="1"/>
  <c r="AJ234" i="1"/>
  <c r="AJ48" i="1"/>
  <c r="AJ42" i="1"/>
  <c r="BX40" i="1"/>
  <c r="BX41" i="1"/>
  <c r="T250" i="1"/>
  <c r="P250" i="1"/>
  <c r="D193" i="1"/>
  <c r="D195" i="1" s="1"/>
  <c r="D52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B43" i="1" l="1"/>
  <c r="BX234" i="1"/>
  <c r="BX42" i="1"/>
  <c r="BX245" i="1" s="1"/>
  <c r="BY94" i="1"/>
  <c r="IB9" i="4"/>
  <c r="IB21" i="4" s="1"/>
  <c r="AV77" i="1" s="1"/>
  <c r="BX48" i="1"/>
  <c r="BY44" i="1"/>
  <c r="AJ66" i="1"/>
  <c r="AJ52" i="1"/>
  <c r="AJ207" i="1"/>
  <c r="AJ205" i="1" s="1"/>
  <c r="AJ193" i="1"/>
  <c r="AJ195" i="1" s="1"/>
  <c r="AJ199" i="1" s="1"/>
  <c r="AJ213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AJ210" i="1"/>
  <c r="AJ211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W92" i="2"/>
  <c r="U111" i="2"/>
  <c r="U87" i="2"/>
  <c r="E51" i="2"/>
  <c r="W69" i="2"/>
  <c r="W106" i="2"/>
  <c r="N111" i="2"/>
  <c r="H71" i="2"/>
  <c r="F61" i="2"/>
  <c r="R76" i="2"/>
  <c r="K40" i="2"/>
  <c r="D95" i="2"/>
  <c r="L64" i="2"/>
  <c r="I55" i="2"/>
  <c r="S47" i="2"/>
  <c r="K112" i="2"/>
  <c r="H80" i="2"/>
  <c r="H58" i="2"/>
  <c r="R45" i="2"/>
  <c r="U110" i="2"/>
  <c r="V97" i="2"/>
  <c r="F66" i="2"/>
  <c r="K83" i="2"/>
  <c r="Q44" i="2"/>
  <c r="J95" i="2"/>
  <c r="F62" i="2"/>
  <c r="S54" i="2"/>
  <c r="H59" i="2"/>
  <c r="N92" i="2"/>
  <c r="E96" i="2"/>
  <c r="N77" i="2"/>
  <c r="AP84" i="3"/>
  <c r="AP86" i="3"/>
  <c r="AP59" i="3"/>
  <c r="AP91" i="3"/>
  <c r="AP95" i="3"/>
  <c r="AP72" i="3"/>
  <c r="AP69" i="3"/>
  <c r="S7" i="3"/>
  <c r="AL33" i="3"/>
  <c r="AN33" i="3"/>
  <c r="AJ31" i="3"/>
  <c r="AH31" i="3"/>
  <c r="AD50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O48" i="3" s="1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83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G12" i="3"/>
  <c r="D49" i="3"/>
  <c r="AB32" i="3"/>
  <c r="V14" i="3"/>
  <c r="I32" i="3"/>
  <c r="AN26" i="3"/>
  <c r="V36" i="3"/>
  <c r="AK25" i="3"/>
  <c r="K22" i="3"/>
  <c r="P38" i="3"/>
  <c r="S18" i="3"/>
  <c r="F69" i="2"/>
  <c r="I38" i="3"/>
  <c r="AE32" i="3"/>
  <c r="AN9" i="3"/>
  <c r="W29" i="3"/>
  <c r="AG28" i="3"/>
  <c r="AC25" i="3"/>
  <c r="O6" i="3"/>
  <c r="AH40" i="3"/>
  <c r="AP31" i="3"/>
  <c r="T14" i="3"/>
  <c r="R51" i="2"/>
  <c r="R64" i="2"/>
  <c r="K72" i="2"/>
  <c r="S93" i="2"/>
  <c r="R111" i="2"/>
  <c r="O63" i="2"/>
  <c r="C106" i="2"/>
  <c r="U61" i="2"/>
  <c r="D55" i="2"/>
  <c r="U89" i="2"/>
  <c r="I42" i="2"/>
  <c r="M79" i="2"/>
  <c r="K71" i="2"/>
  <c r="G56" i="2"/>
  <c r="O79" i="2"/>
  <c r="S59" i="2"/>
  <c r="K78" i="2"/>
  <c r="T112" i="2"/>
  <c r="V68" i="2"/>
  <c r="O88" i="2"/>
  <c r="D75" i="2"/>
  <c r="R68" i="2"/>
  <c r="T62" i="2"/>
  <c r="G78" i="2"/>
  <c r="U85" i="2"/>
  <c r="U108" i="2"/>
  <c r="X109" i="2"/>
  <c r="N61" i="2"/>
  <c r="T110" i="2"/>
  <c r="X84" i="2"/>
  <c r="U113" i="2"/>
  <c r="AP70" i="3"/>
  <c r="AB55" i="3"/>
  <c r="AP71" i="3"/>
  <c r="AP58" i="3"/>
  <c r="AP74" i="3"/>
  <c r="AB70" i="3"/>
  <c r="AP73" i="3"/>
  <c r="Z30" i="3"/>
  <c r="J36" i="3"/>
  <c r="H41" i="3"/>
  <c r="AK31" i="3"/>
  <c r="X30" i="3"/>
  <c r="AN22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L24" i="3"/>
  <c r="AL23" i="3"/>
  <c r="AH5" i="3"/>
  <c r="K7" i="3"/>
  <c r="D47" i="3"/>
  <c r="AO42" i="3"/>
  <c r="P14" i="3"/>
  <c r="P9" i="3"/>
  <c r="AK19" i="3"/>
  <c r="AH12" i="3"/>
  <c r="Q11" i="3"/>
  <c r="M41" i="3"/>
  <c r="AG35" i="3"/>
  <c r="AD39" i="3"/>
  <c r="N25" i="3"/>
  <c r="AH39" i="3"/>
  <c r="C87" i="2"/>
  <c r="M35" i="3"/>
  <c r="AQ29" i="3"/>
  <c r="AE21" i="3"/>
  <c r="AN12" i="3"/>
  <c r="AJ16" i="3"/>
  <c r="AB37" i="3"/>
  <c r="AM12" i="3"/>
  <c r="L31" i="3"/>
  <c r="AI5" i="3"/>
  <c r="AM5" i="3"/>
  <c r="AL22" i="3"/>
  <c r="AP28" i="3"/>
  <c r="R28" i="3"/>
  <c r="AK36" i="3"/>
  <c r="V7" i="3"/>
  <c r="R105" i="2"/>
  <c r="M89" i="2"/>
  <c r="H111" i="2"/>
  <c r="S107" i="2"/>
  <c r="G52" i="2"/>
  <c r="R93" i="2"/>
  <c r="S72" i="2"/>
  <c r="D71" i="2"/>
  <c r="T83" i="2"/>
  <c r="J58" i="2"/>
  <c r="N86" i="2"/>
  <c r="C52" i="2"/>
  <c r="V81" i="2"/>
  <c r="D58" i="2"/>
  <c r="G54" i="2"/>
  <c r="G49" i="2"/>
  <c r="W45" i="2"/>
  <c r="V108" i="2"/>
  <c r="G85" i="2"/>
  <c r="S65" i="2"/>
  <c r="J88" i="2"/>
  <c r="R104" i="2"/>
  <c r="X74" i="2"/>
  <c r="M67" i="2"/>
  <c r="L46" i="2"/>
  <c r="G62" i="2"/>
  <c r="X54" i="2"/>
  <c r="U65" i="2"/>
  <c r="X68" i="2"/>
  <c r="L40" i="2"/>
  <c r="E42" i="2"/>
  <c r="AB88" i="3"/>
  <c r="AB77" i="3"/>
  <c r="AP78" i="3"/>
  <c r="AB63" i="3"/>
  <c r="AP54" i="3"/>
  <c r="AP77" i="3"/>
  <c r="AB85" i="3"/>
  <c r="W5" i="3"/>
  <c r="L19" i="3"/>
  <c r="Y22" i="3"/>
  <c r="M17" i="3"/>
  <c r="M10" i="3"/>
  <c r="O29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D29" i="3"/>
  <c r="AB15" i="3"/>
  <c r="W8" i="3"/>
  <c r="H33" i="3"/>
  <c r="AE15" i="3"/>
  <c r="X42" i="3"/>
  <c r="U13" i="3"/>
  <c r="AN30" i="3"/>
  <c r="C78" i="2"/>
  <c r="N110" i="2"/>
  <c r="N54" i="2"/>
  <c r="S111" i="2"/>
  <c r="C51" i="2"/>
  <c r="J98" i="2"/>
  <c r="V45" i="2"/>
  <c r="C56" i="2"/>
  <c r="AB72" i="3"/>
  <c r="AP61" i="3"/>
  <c r="AP92" i="3"/>
  <c r="AB69" i="3"/>
  <c r="O23" i="3"/>
  <c r="AH33" i="3"/>
  <c r="R74" i="2"/>
  <c r="Q88" i="2"/>
  <c r="E71" i="2"/>
  <c r="O86" i="2"/>
  <c r="R84" i="2"/>
  <c r="S71" i="2"/>
  <c r="E54" i="2"/>
  <c r="C105" i="2"/>
  <c r="O60" i="2"/>
  <c r="V47" i="2"/>
  <c r="N106" i="2"/>
  <c r="Q107" i="2"/>
  <c r="W82" i="2"/>
  <c r="H47" i="2"/>
  <c r="K57" i="2"/>
  <c r="W110" i="2"/>
  <c r="H106" i="2"/>
  <c r="V77" i="2"/>
  <c r="Q50" i="2"/>
  <c r="F77" i="2"/>
  <c r="G42" i="2"/>
  <c r="T74" i="2"/>
  <c r="C61" i="2"/>
  <c r="N67" i="2"/>
  <c r="Q73" i="2"/>
  <c r="H97" i="2"/>
  <c r="F81" i="2"/>
  <c r="E77" i="2"/>
  <c r="F82" i="2"/>
  <c r="G83" i="2"/>
  <c r="V95" i="2"/>
  <c r="AP56" i="3"/>
  <c r="AP97" i="3"/>
  <c r="C47" i="3"/>
  <c r="AP47" i="3"/>
  <c r="AP85" i="3"/>
  <c r="AP89" i="3"/>
  <c r="AB84" i="3"/>
  <c r="I22" i="3"/>
  <c r="N24" i="3"/>
  <c r="C23" i="3"/>
  <c r="T17" i="3"/>
  <c r="W28" i="3"/>
  <c r="S16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A24" i="3"/>
  <c r="U20" i="3"/>
  <c r="I105" i="2"/>
  <c r="U70" i="2"/>
  <c r="K64" i="2"/>
  <c r="L105" i="2"/>
  <c r="AB58" i="3"/>
  <c r="AP80" i="3"/>
  <c r="AB74" i="3"/>
  <c r="K13" i="3"/>
  <c r="AQ13" i="3"/>
  <c r="Y17" i="3"/>
  <c r="X12" i="3"/>
  <c r="AI16" i="3"/>
  <c r="X7" i="3"/>
  <c r="I9" i="3"/>
  <c r="AG17" i="3"/>
  <c r="H13" i="3"/>
  <c r="AD20" i="3"/>
  <c r="AI21" i="3"/>
  <c r="AB38" i="3"/>
  <c r="AG15" i="3"/>
  <c r="P8" i="3"/>
  <c r="O41" i="3"/>
  <c r="I13" i="3"/>
  <c r="C17" i="3"/>
  <c r="W7" i="3"/>
  <c r="L30" i="3"/>
  <c r="R17" i="3"/>
  <c r="X38" i="3"/>
  <c r="C34" i="3"/>
  <c r="AG32" i="3"/>
  <c r="V27" i="3"/>
  <c r="AG30" i="3"/>
  <c r="AL15" i="3"/>
  <c r="X13" i="3"/>
  <c r="H85" i="2"/>
  <c r="Q93" i="2"/>
  <c r="D91" i="2"/>
  <c r="L108" i="2"/>
  <c r="Q90" i="2"/>
  <c r="R83" i="2"/>
  <c r="L60" i="2"/>
  <c r="D112" i="2"/>
  <c r="E107" i="2"/>
  <c r="V66" i="2"/>
  <c r="O55" i="2"/>
  <c r="W53" i="2"/>
  <c r="X48" i="2"/>
  <c r="F56" i="2"/>
  <c r="F58" i="2"/>
  <c r="P58" i="2"/>
  <c r="Q72" i="2"/>
  <c r="T48" i="2"/>
  <c r="N66" i="2"/>
  <c r="G110" i="2"/>
  <c r="W89" i="2"/>
  <c r="P108" i="2"/>
  <c r="P82" i="2"/>
  <c r="T47" i="2"/>
  <c r="L98" i="2"/>
  <c r="J87" i="2"/>
  <c r="J44" i="2"/>
  <c r="N99" i="2"/>
  <c r="F64" i="2"/>
  <c r="U106" i="2"/>
  <c r="J48" i="2"/>
  <c r="C104" i="2"/>
  <c r="V53" i="2"/>
  <c r="O52" i="2"/>
  <c r="D40" i="2"/>
  <c r="G74" i="2"/>
  <c r="M56" i="2"/>
  <c r="K41" i="2"/>
  <c r="I88" i="2"/>
  <c r="D94" i="2"/>
  <c r="K77" i="2"/>
  <c r="I58" i="2"/>
  <c r="W52" i="2"/>
  <c r="G51" i="2"/>
  <c r="O61" i="2"/>
  <c r="X85" i="2"/>
  <c r="M47" i="2"/>
  <c r="F88" i="2"/>
  <c r="AP96" i="3"/>
  <c r="AB47" i="3"/>
  <c r="AB94" i="3"/>
  <c r="AP81" i="3"/>
  <c r="AB56" i="3"/>
  <c r="AP67" i="3"/>
  <c r="H20" i="3"/>
  <c r="AI6" i="3"/>
  <c r="AJ38" i="3"/>
  <c r="U21" i="3"/>
  <c r="AO33" i="3"/>
  <c r="W26" i="3"/>
  <c r="AE1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W107" i="2"/>
  <c r="C55" i="2"/>
  <c r="U94" i="2"/>
  <c r="G93" i="2"/>
  <c r="W80" i="2"/>
  <c r="R80" i="2"/>
  <c r="E98" i="2"/>
  <c r="G50" i="2"/>
  <c r="J113" i="2"/>
  <c r="R72" i="2"/>
  <c r="L45" i="2"/>
  <c r="J79" i="2"/>
  <c r="F51" i="2"/>
  <c r="J76" i="2"/>
  <c r="H89" i="2"/>
  <c r="N74" i="2"/>
  <c r="J40" i="2"/>
  <c r="F112" i="2"/>
  <c r="E50" i="2"/>
  <c r="H62" i="2"/>
  <c r="P53" i="2"/>
  <c r="D60" i="2"/>
  <c r="M109" i="2"/>
  <c r="H42" i="2"/>
  <c r="R73" i="2"/>
  <c r="I81" i="2"/>
  <c r="T93" i="2"/>
  <c r="W86" i="2"/>
  <c r="U43" i="2"/>
  <c r="P57" i="2"/>
  <c r="H88" i="2"/>
  <c r="J60" i="2"/>
  <c r="D41" i="2"/>
  <c r="P56" i="2"/>
  <c r="I40" i="2"/>
  <c r="H109" i="2"/>
  <c r="K63" i="2"/>
  <c r="W112" i="2"/>
  <c r="O47" i="2"/>
  <c r="S98" i="2"/>
  <c r="AB65" i="3"/>
  <c r="AB57" i="3"/>
  <c r="AP90" i="3"/>
  <c r="AP65" i="3"/>
  <c r="AB62" i="3"/>
  <c r="AB97" i="3"/>
  <c r="AB66" i="3"/>
  <c r="C28" i="3"/>
  <c r="AN8" i="3"/>
  <c r="Z19" i="3"/>
  <c r="AJ17" i="3"/>
  <c r="AL20" i="3"/>
  <c r="J41" i="3"/>
  <c r="R24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S40" i="3"/>
  <c r="AK22" i="3"/>
  <c r="AE42" i="3"/>
  <c r="W6" i="3"/>
  <c r="AC7" i="3"/>
  <c r="C15" i="3"/>
  <c r="Y16" i="3"/>
  <c r="S38" i="3"/>
  <c r="AB42" i="3"/>
  <c r="I21" i="3"/>
  <c r="L38" i="3"/>
  <c r="L36" i="3"/>
  <c r="T68" i="2"/>
  <c r="V62" i="2"/>
  <c r="D54" i="2"/>
  <c r="C60" i="2"/>
  <c r="U109" i="2"/>
  <c r="V99" i="2"/>
  <c r="P43" i="2"/>
  <c r="R70" i="2"/>
  <c r="X76" i="2"/>
  <c r="J97" i="2"/>
  <c r="N69" i="2"/>
  <c r="K89" i="2"/>
  <c r="I111" i="2"/>
  <c r="V70" i="2"/>
  <c r="X43" i="2"/>
  <c r="T96" i="2"/>
  <c r="Q98" i="2"/>
  <c r="J96" i="2"/>
  <c r="T52" i="2"/>
  <c r="P52" i="2"/>
  <c r="J90" i="2"/>
  <c r="P74" i="2"/>
  <c r="C66" i="2"/>
  <c r="T70" i="2"/>
  <c r="H77" i="2"/>
  <c r="H93" i="2"/>
  <c r="G60" i="2"/>
  <c r="D107" i="2"/>
  <c r="O108" i="2"/>
  <c r="R60" i="2"/>
  <c r="AP68" i="3"/>
  <c r="C48" i="3"/>
  <c r="AP83" i="3"/>
  <c r="AP57" i="3"/>
  <c r="AP87" i="3"/>
  <c r="C49" i="3"/>
  <c r="AP49" i="3"/>
  <c r="H34" i="3"/>
  <c r="H17" i="3"/>
  <c r="V16" i="3"/>
  <c r="R18" i="3"/>
  <c r="AM32" i="3"/>
  <c r="T25" i="3"/>
  <c r="Z10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AB30" i="3"/>
  <c r="S27" i="3"/>
  <c r="AL39" i="3"/>
  <c r="AG8" i="3"/>
  <c r="AP11" i="3"/>
  <c r="C40" i="3"/>
  <c r="X25" i="3"/>
  <c r="E50" i="3"/>
  <c r="J63" i="2"/>
  <c r="X69" i="2"/>
  <c r="R89" i="2"/>
  <c r="K51" i="2"/>
  <c r="J84" i="2"/>
  <c r="J73" i="2"/>
  <c r="N43" i="2"/>
  <c r="J105" i="2"/>
  <c r="O53" i="2"/>
  <c r="K68" i="2"/>
  <c r="M72" i="2"/>
  <c r="C93" i="2"/>
  <c r="K69" i="2"/>
  <c r="H61" i="2"/>
  <c r="X91" i="2"/>
  <c r="J49" i="2"/>
  <c r="D67" i="2"/>
  <c r="R94" i="2"/>
  <c r="O91" i="2"/>
  <c r="X86" i="2"/>
  <c r="H90" i="2"/>
  <c r="T49" i="2"/>
  <c r="T57" i="2"/>
  <c r="W79" i="2"/>
  <c r="R40" i="2"/>
  <c r="N98" i="2"/>
  <c r="Q47" i="2"/>
  <c r="M108" i="2"/>
  <c r="F97" i="2"/>
  <c r="L78" i="2"/>
  <c r="AB61" i="3"/>
  <c r="AP66" i="3"/>
  <c r="AB93" i="3"/>
  <c r="AP79" i="3"/>
  <c r="AP94" i="3"/>
  <c r="AB86" i="3"/>
  <c r="AP64" i="3"/>
  <c r="AM33" i="3"/>
  <c r="AP12" i="3"/>
  <c r="L32" i="3"/>
  <c r="AK5" i="3"/>
  <c r="J16" i="3"/>
  <c r="AO39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V71" i="2"/>
  <c r="S49" i="2"/>
  <c r="O96" i="2"/>
  <c r="N52" i="2"/>
  <c r="D87" i="2"/>
  <c r="C62" i="2"/>
  <c r="O51" i="2"/>
  <c r="G88" i="2"/>
  <c r="M81" i="2"/>
  <c r="E91" i="2"/>
  <c r="V93" i="2"/>
  <c r="L66" i="2"/>
  <c r="R71" i="2"/>
  <c r="H67" i="2"/>
  <c r="S110" i="2"/>
  <c r="C40" i="2"/>
  <c r="Q60" i="2"/>
  <c r="T109" i="2"/>
  <c r="E73" i="2"/>
  <c r="S90" i="2"/>
  <c r="X80" i="2"/>
  <c r="E112" i="2"/>
  <c r="L61" i="2"/>
  <c r="G76" i="2"/>
  <c r="C79" i="2"/>
  <c r="O50" i="2"/>
  <c r="C95" i="2"/>
  <c r="I73" i="2"/>
  <c r="D42" i="2"/>
  <c r="X45" i="2"/>
  <c r="AB81" i="3"/>
  <c r="AB78" i="3"/>
  <c r="AB90" i="3"/>
  <c r="AB96" i="3"/>
  <c r="AB87" i="3"/>
  <c r="AP50" i="3"/>
  <c r="AB76" i="3"/>
  <c r="C21" i="3"/>
  <c r="T8" i="3"/>
  <c r="AC18" i="3"/>
  <c r="N26" i="3"/>
  <c r="AQ39" i="3"/>
  <c r="R25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G53" i="2"/>
  <c r="N113" i="2"/>
  <c r="I51" i="2"/>
  <c r="R99" i="2"/>
  <c r="C91" i="2"/>
  <c r="AB49" i="3"/>
  <c r="AP25" i="3"/>
  <c r="O28" i="3"/>
  <c r="W18" i="3"/>
  <c r="AM8" i="3"/>
  <c r="K35" i="3"/>
  <c r="N10" i="3"/>
  <c r="G32" i="3"/>
  <c r="AN34" i="3"/>
  <c r="M31" i="3"/>
  <c r="P21" i="3"/>
  <c r="O19" i="3"/>
  <c r="AG18" i="3"/>
  <c r="G39" i="3"/>
  <c r="S23" i="3"/>
  <c r="AL38" i="3"/>
  <c r="AE30" i="3"/>
  <c r="P11" i="3"/>
  <c r="AL13" i="3"/>
  <c r="U39" i="3"/>
  <c r="Y8" i="3"/>
  <c r="AQ27" i="3"/>
  <c r="AK42" i="3"/>
  <c r="AN16" i="3"/>
  <c r="M28" i="3"/>
  <c r="P28" i="3"/>
  <c r="AP29" i="3"/>
  <c r="P26" i="3"/>
  <c r="AQ10" i="3"/>
  <c r="Y27" i="3"/>
  <c r="AH30" i="3"/>
  <c r="AQ16" i="3"/>
  <c r="T36" i="3"/>
  <c r="AN13" i="3"/>
  <c r="AA38" i="3"/>
  <c r="I5" i="3"/>
  <c r="K26" i="3"/>
  <c r="AJ7" i="3"/>
  <c r="AP21" i="3"/>
  <c r="AA35" i="3"/>
  <c r="AQ28" i="3"/>
  <c r="AQ11" i="3"/>
  <c r="AJ29" i="3"/>
  <c r="T31" i="3"/>
  <c r="U42" i="3"/>
  <c r="S28" i="3"/>
  <c r="AD49" i="3"/>
  <c r="AC24" i="3"/>
  <c r="D68" i="2"/>
  <c r="J67" i="2"/>
  <c r="AP88" i="3"/>
  <c r="P41" i="3"/>
  <c r="I8" i="3"/>
  <c r="R23" i="3"/>
  <c r="AI35" i="3"/>
  <c r="N12" i="3"/>
  <c r="M19" i="3"/>
  <c r="U8" i="3"/>
  <c r="AE12" i="3"/>
  <c r="U16" i="3"/>
  <c r="H8" i="3"/>
  <c r="T15" i="3"/>
  <c r="AD23" i="3"/>
  <c r="AP32" i="3"/>
  <c r="X33" i="3"/>
  <c r="AB31" i="3"/>
  <c r="K16" i="3"/>
  <c r="U63" i="2"/>
  <c r="I45" i="2"/>
  <c r="H63" i="2"/>
  <c r="G55" i="2"/>
  <c r="V79" i="2"/>
  <c r="AB67" i="3"/>
  <c r="Q34" i="3"/>
  <c r="G41" i="3"/>
  <c r="P30" i="3"/>
  <c r="L8" i="3"/>
  <c r="T35" i="3"/>
  <c r="G40" i="3"/>
  <c r="AK30" i="3"/>
  <c r="J7" i="3"/>
  <c r="S30" i="3"/>
  <c r="L26" i="3"/>
  <c r="W36" i="3"/>
  <c r="J21" i="3"/>
  <c r="S24" i="3"/>
  <c r="AI27" i="3"/>
  <c r="AE29" i="3"/>
  <c r="S19" i="3"/>
  <c r="J32" i="3"/>
  <c r="AE17" i="3"/>
  <c r="J9" i="3"/>
  <c r="AO18" i="3"/>
  <c r="AN10" i="3"/>
  <c r="Y14" i="3"/>
  <c r="O36" i="3"/>
  <c r="AQ25" i="3"/>
  <c r="J39" i="3"/>
  <c r="AK38" i="3"/>
  <c r="V35" i="3"/>
  <c r="O31" i="3"/>
  <c r="AE26" i="3"/>
  <c r="AM6" i="3"/>
  <c r="W30" i="3"/>
  <c r="AE27" i="3"/>
  <c r="O33" i="3"/>
  <c r="W14" i="3"/>
  <c r="AH20" i="3"/>
  <c r="AO22" i="3"/>
  <c r="AI33" i="3"/>
  <c r="V15" i="3"/>
  <c r="AM27" i="3"/>
  <c r="AP38" i="3"/>
  <c r="Q10" i="3"/>
  <c r="M40" i="3"/>
  <c r="J19" i="3"/>
  <c r="U12" i="3"/>
  <c r="V13" i="3"/>
  <c r="AQ24" i="3"/>
  <c r="AB36" i="3"/>
  <c r="U27" i="3"/>
  <c r="AP42" i="3"/>
  <c r="Q13" i="3"/>
  <c r="AE13" i="3"/>
  <c r="K33" i="3"/>
  <c r="M21" i="3"/>
  <c r="AI14" i="3"/>
  <c r="C26" i="3"/>
  <c r="O12" i="3"/>
  <c r="T5" i="3"/>
  <c r="AA16" i="3"/>
  <c r="O14" i="3"/>
  <c r="AI29" i="3"/>
  <c r="AO8" i="3"/>
  <c r="W61" i="2"/>
  <c r="N91" i="2"/>
  <c r="J51" i="2"/>
  <c r="O66" i="2"/>
  <c r="C63" i="2"/>
  <c r="AB91" i="3"/>
  <c r="T24" i="3"/>
  <c r="AI41" i="3"/>
  <c r="AP13" i="3"/>
  <c r="AC22" i="3"/>
  <c r="AJ30" i="3"/>
  <c r="AH37" i="3"/>
  <c r="J18" i="3"/>
  <c r="AB10" i="3"/>
  <c r="AB12" i="3"/>
  <c r="U22" i="3"/>
  <c r="O7" i="3"/>
  <c r="I14" i="3"/>
  <c r="AC14" i="3"/>
  <c r="V11" i="3"/>
  <c r="W13" i="3"/>
  <c r="U23" i="3"/>
  <c r="AL12" i="3"/>
  <c r="AN40" i="3"/>
  <c r="Z20" i="3"/>
  <c r="AL25" i="3"/>
  <c r="L13" i="3"/>
  <c r="N13" i="3"/>
  <c r="U29" i="3"/>
  <c r="AQ31" i="3"/>
  <c r="Y10" i="3"/>
  <c r="AD42" i="3"/>
  <c r="T42" i="3"/>
  <c r="AC10" i="3"/>
  <c r="AP35" i="3"/>
  <c r="AK23" i="3"/>
  <c r="O13" i="3"/>
  <c r="K9" i="3"/>
  <c r="L53" i="2"/>
  <c r="Q42" i="2"/>
  <c r="D56" i="2"/>
  <c r="Q51" i="2"/>
  <c r="AB89" i="3"/>
  <c r="AP60" i="3"/>
  <c r="S31" i="3"/>
  <c r="X27" i="3"/>
  <c r="Y13" i="3"/>
  <c r="AE39" i="3"/>
  <c r="AC42" i="3"/>
  <c r="AA42" i="3"/>
  <c r="N20" i="3"/>
  <c r="T22" i="3"/>
  <c r="C42" i="3"/>
  <c r="V38" i="3"/>
  <c r="AO10" i="3"/>
  <c r="Q9" i="3"/>
  <c r="S41" i="3"/>
  <c r="AE38" i="3"/>
  <c r="J29" i="3"/>
  <c r="T21" i="3"/>
  <c r="I10" i="3"/>
  <c r="AP39" i="3"/>
  <c r="AL40" i="3"/>
  <c r="AB7" i="3"/>
  <c r="Z32" i="3"/>
  <c r="Z41" i="3"/>
  <c r="AD27" i="3"/>
  <c r="AG33" i="3"/>
  <c r="J33" i="3"/>
  <c r="AQ35" i="3"/>
  <c r="AL14" i="3"/>
  <c r="AD34" i="3"/>
  <c r="AH9" i="3"/>
  <c r="V10" i="3"/>
  <c r="X41" i="3"/>
  <c r="M14" i="3"/>
  <c r="AJ9" i="3"/>
  <c r="AK16" i="3"/>
  <c r="X23" i="3"/>
  <c r="V19" i="3"/>
  <c r="N41" i="3"/>
  <c r="H22" i="3"/>
  <c r="J24" i="3"/>
  <c r="N23" i="3"/>
  <c r="S15" i="3"/>
  <c r="AE22" i="3"/>
  <c r="AN41" i="3"/>
  <c r="R113" i="2"/>
  <c r="S113" i="2"/>
  <c r="D106" i="2"/>
  <c r="K106" i="2"/>
  <c r="AP75" i="3"/>
  <c r="T23" i="3"/>
  <c r="Y40" i="3"/>
  <c r="O37" i="3"/>
  <c r="AE14" i="3"/>
  <c r="AB34" i="3"/>
  <c r="AN32" i="3"/>
  <c r="V18" i="3"/>
  <c r="J34" i="3"/>
  <c r="P18" i="3"/>
  <c r="L28" i="3"/>
  <c r="H35" i="3"/>
  <c r="AM20" i="3"/>
  <c r="W31" i="3"/>
  <c r="X29" i="3"/>
  <c r="AL21" i="3"/>
  <c r="AI36" i="3"/>
  <c r="AO30" i="3"/>
  <c r="AA14" i="3"/>
  <c r="X32" i="3"/>
  <c r="Q14" i="3"/>
  <c r="V6" i="3"/>
  <c r="AE37" i="3"/>
  <c r="AL18" i="3"/>
  <c r="AO35" i="3"/>
  <c r="Q37" i="3"/>
  <c r="K31" i="3"/>
  <c r="AI40" i="3"/>
  <c r="AJ40" i="3"/>
  <c r="AJ27" i="3"/>
  <c r="AG40" i="3"/>
  <c r="L21" i="3"/>
  <c r="Y41" i="3"/>
  <c r="AQ7" i="3"/>
  <c r="AE16" i="3"/>
  <c r="N33" i="3"/>
  <c r="H29" i="3"/>
  <c r="X18" i="3"/>
  <c r="AO26" i="3"/>
  <c r="AO13" i="3"/>
  <c r="T82" i="2"/>
  <c r="AG39" i="3"/>
  <c r="R32" i="3"/>
  <c r="AM39" i="3"/>
  <c r="AB18" i="3"/>
  <c r="T39" i="3"/>
  <c r="AD22" i="3"/>
  <c r="Q17" i="3"/>
  <c r="I11" i="3"/>
  <c r="AK15" i="3"/>
  <c r="L56" i="2"/>
  <c r="P93" i="2"/>
  <c r="G67" i="2"/>
  <c r="S66" i="2"/>
  <c r="AB80" i="3"/>
  <c r="R29" i="3"/>
  <c r="X31" i="3"/>
  <c r="G42" i="3"/>
  <c r="AJ24" i="3"/>
  <c r="AP23" i="3"/>
  <c r="AE7" i="3"/>
  <c r="M25" i="3"/>
  <c r="S9" i="3"/>
  <c r="AP9" i="3"/>
  <c r="J15" i="3"/>
  <c r="AN14" i="3"/>
  <c r="M6" i="3"/>
  <c r="AL34" i="3"/>
  <c r="K18" i="3"/>
  <c r="P19" i="3"/>
  <c r="P40" i="3"/>
  <c r="AQ30" i="3"/>
  <c r="R39" i="3"/>
  <c r="S26" i="3"/>
  <c r="I33" i="3"/>
  <c r="AG31" i="3"/>
  <c r="X9" i="3"/>
  <c r="N6" i="3"/>
  <c r="AM35" i="3"/>
  <c r="AM28" i="3"/>
  <c r="C13" i="3"/>
  <c r="C10" i="3"/>
  <c r="H31" i="3"/>
  <c r="L41" i="3"/>
  <c r="R43" i="2"/>
  <c r="O21" i="3"/>
  <c r="AI38" i="3"/>
  <c r="Y31" i="3"/>
  <c r="I29" i="3"/>
  <c r="E48" i="3"/>
  <c r="AO23" i="3"/>
  <c r="AK20" i="3"/>
  <c r="AA23" i="3"/>
  <c r="Q28" i="3"/>
  <c r="Z42" i="3"/>
  <c r="H30" i="3"/>
  <c r="AA27" i="3"/>
  <c r="AH18" i="3"/>
  <c r="AH8" i="3"/>
  <c r="K20" i="3"/>
  <c r="AJ35" i="3"/>
  <c r="AJ10" i="3"/>
  <c r="AB17" i="3"/>
  <c r="O44" i="2"/>
  <c r="H68" i="2"/>
  <c r="F59" i="2"/>
  <c r="W96" i="2"/>
  <c r="AB92" i="3"/>
  <c r="O22" i="3"/>
  <c r="W22" i="3"/>
  <c r="R35" i="3"/>
  <c r="V12" i="3"/>
  <c r="W12" i="3"/>
  <c r="AH14" i="3"/>
  <c r="AP16" i="3"/>
  <c r="W24" i="3"/>
  <c r="I41" i="3"/>
  <c r="AQ23" i="3"/>
  <c r="AI19" i="3"/>
  <c r="I35" i="3"/>
  <c r="I34" i="3"/>
  <c r="AG36" i="3"/>
  <c r="AQ42" i="3"/>
  <c r="Y32" i="3"/>
  <c r="AN5" i="3"/>
  <c r="Z40" i="3"/>
  <c r="G38" i="3"/>
  <c r="AE36" i="3"/>
  <c r="R41" i="3"/>
  <c r="T7" i="3"/>
  <c r="AC21" i="3"/>
  <c r="AK6" i="3"/>
  <c r="R31" i="3"/>
  <c r="AP24" i="3"/>
  <c r="AC35" i="3"/>
  <c r="V28" i="3"/>
  <c r="G59" i="2"/>
  <c r="M51" i="2"/>
  <c r="S42" i="2"/>
  <c r="C108" i="2"/>
  <c r="AB50" i="3"/>
  <c r="AI12" i="3"/>
  <c r="AO15" i="3"/>
  <c r="L11" i="3"/>
  <c r="AA30" i="3"/>
  <c r="M23" i="3"/>
  <c r="G35" i="3"/>
  <c r="AO14" i="3"/>
  <c r="T41" i="3"/>
  <c r="AC8" i="3"/>
  <c r="AJ8" i="3"/>
  <c r="AO25" i="3"/>
  <c r="W11" i="3"/>
  <c r="X26" i="3"/>
  <c r="AP18" i="3"/>
  <c r="AK10" i="3"/>
  <c r="AH34" i="3"/>
  <c r="M37" i="3"/>
  <c r="Y20" i="3"/>
  <c r="AB35" i="3"/>
  <c r="AN28" i="3"/>
  <c r="I20" i="3"/>
  <c r="J40" i="3"/>
  <c r="AM10" i="3"/>
  <c r="C29" i="3"/>
  <c r="P7" i="3"/>
  <c r="AI7" i="3"/>
  <c r="S22" i="3"/>
  <c r="N11" i="3"/>
  <c r="AB40" i="3"/>
  <c r="AM18" i="3"/>
  <c r="K28" i="3"/>
  <c r="S20" i="3"/>
  <c r="H12" i="3"/>
  <c r="K41" i="3"/>
  <c r="AA26" i="3"/>
  <c r="T13" i="3"/>
  <c r="AA37" i="3"/>
  <c r="K5" i="3"/>
  <c r="J11" i="3"/>
  <c r="E88" i="2"/>
  <c r="H69" i="2"/>
  <c r="G80" i="2"/>
  <c r="X78" i="2"/>
  <c r="O109" i="2"/>
  <c r="AB71" i="3"/>
  <c r="O39" i="3"/>
  <c r="AD24" i="3"/>
  <c r="AH17" i="3"/>
  <c r="AL37" i="3"/>
  <c r="AM14" i="3"/>
  <c r="Z28" i="3"/>
  <c r="AC13" i="3"/>
  <c r="AJ14" i="3"/>
  <c r="I25" i="3"/>
  <c r="AN17" i="3"/>
  <c r="AH10" i="3"/>
  <c r="Q22" i="3"/>
  <c r="AO29" i="3"/>
  <c r="R38" i="3"/>
  <c r="AQ40" i="3"/>
  <c r="AK39" i="3"/>
  <c r="P24" i="3"/>
  <c r="O10" i="3"/>
  <c r="AD25" i="3"/>
  <c r="AP20" i="3"/>
  <c r="Q6" i="3"/>
  <c r="T20" i="3"/>
  <c r="N38" i="3"/>
  <c r="L12" i="3"/>
  <c r="C4" i="3"/>
  <c r="U7" i="3"/>
  <c r="Z39" i="3"/>
  <c r="AP27" i="3"/>
  <c r="V17" i="3"/>
  <c r="AM36" i="3"/>
  <c r="C18" i="3"/>
  <c r="W39" i="3"/>
  <c r="J22" i="3"/>
  <c r="V37" i="3"/>
  <c r="U17" i="3"/>
  <c r="AI26" i="3"/>
  <c r="AJ6" i="3"/>
  <c r="AO40" i="3"/>
  <c r="AO27" i="3"/>
  <c r="R59" i="2"/>
  <c r="M42" i="2"/>
  <c r="AM16" i="3"/>
  <c r="AI24" i="3"/>
  <c r="AG37" i="3"/>
  <c r="X16" i="3"/>
  <c r="AG26" i="3"/>
  <c r="AE18" i="3"/>
  <c r="T16" i="3"/>
  <c r="AG6" i="3"/>
  <c r="AH29" i="3"/>
  <c r="K24" i="3"/>
  <c r="Q40" i="3"/>
  <c r="Q41" i="3"/>
  <c r="V32" i="3"/>
  <c r="J23" i="3"/>
  <c r="R21" i="3"/>
  <c r="Z13" i="3"/>
  <c r="Y12" i="3"/>
  <c r="S25" i="3"/>
  <c r="X20" i="3"/>
  <c r="AL11" i="3"/>
  <c r="V23" i="3"/>
  <c r="L80" i="2"/>
  <c r="M63" i="2"/>
  <c r="T105" i="2"/>
  <c r="T63" i="2"/>
  <c r="AP62" i="3"/>
  <c r="P39" i="3"/>
  <c r="Z8" i="3"/>
  <c r="S32" i="3"/>
  <c r="H6" i="3"/>
  <c r="Y18" i="3"/>
  <c r="C41" i="3"/>
  <c r="AB11" i="3"/>
  <c r="AB21" i="3"/>
  <c r="AQ9" i="3"/>
  <c r="AJ5" i="3"/>
  <c r="AB6" i="3"/>
  <c r="AQ33" i="3"/>
  <c r="AK7" i="3"/>
  <c r="O27" i="3"/>
  <c r="M5" i="3"/>
  <c r="P17" i="3"/>
  <c r="AA11" i="3"/>
  <c r="AC26" i="3"/>
  <c r="V30" i="3"/>
  <c r="U35" i="3"/>
  <c r="AM34" i="3"/>
  <c r="AB14" i="3"/>
  <c r="U18" i="3"/>
  <c r="AH27" i="3"/>
  <c r="AK32" i="3"/>
  <c r="AG41" i="3"/>
  <c r="Q20" i="3"/>
  <c r="AC11" i="3"/>
  <c r="O40" i="3"/>
  <c r="AO19" i="3"/>
  <c r="G47" i="3"/>
  <c r="I17" i="3"/>
  <c r="AN15" i="3"/>
  <c r="N27" i="3"/>
  <c r="K8" i="3"/>
  <c r="AO5" i="3"/>
  <c r="V20" i="3"/>
  <c r="S37" i="3"/>
  <c r="L35" i="3"/>
  <c r="T86" i="2"/>
  <c r="AB54" i="3"/>
  <c r="V31" i="3"/>
  <c r="AH22" i="3"/>
  <c r="P27" i="3"/>
  <c r="M38" i="3"/>
  <c r="M24" i="3"/>
  <c r="AM83" i="3"/>
  <c r="H75" i="3"/>
  <c r="J91" i="3"/>
  <c r="P59" i="3"/>
  <c r="H97" i="3"/>
  <c r="J95" i="3"/>
  <c r="N77" i="3"/>
  <c r="U48" i="3"/>
  <c r="V92" i="3"/>
  <c r="AG61" i="3"/>
  <c r="V54" i="3"/>
  <c r="S96" i="3"/>
  <c r="U86" i="3"/>
  <c r="AQ87" i="3"/>
  <c r="W78" i="3"/>
  <c r="R93" i="3"/>
  <c r="K90" i="3"/>
  <c r="T67" i="3"/>
  <c r="R80" i="3"/>
  <c r="AN49" i="3"/>
  <c r="Q72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W92" i="3"/>
  <c r="AM72" i="3"/>
  <c r="AE91" i="3"/>
  <c r="AG96" i="3"/>
  <c r="U73" i="3"/>
  <c r="J57" i="3"/>
  <c r="T66" i="3"/>
  <c r="K83" i="3"/>
  <c r="AH62" i="3"/>
  <c r="R59" i="3"/>
  <c r="AE57" i="3"/>
  <c r="I60" i="3"/>
  <c r="S67" i="3"/>
  <c r="I95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P64" i="3"/>
  <c r="AC88" i="3"/>
  <c r="AM79" i="3"/>
  <c r="AG57" i="3"/>
  <c r="S92" i="3"/>
  <c r="I70" i="3"/>
  <c r="M70" i="3"/>
  <c r="AI67" i="3"/>
  <c r="V90" i="3"/>
  <c r="AM55" i="3"/>
  <c r="S91" i="3"/>
  <c r="T85" i="3"/>
  <c r="AC80" i="3"/>
  <c r="T83" i="3"/>
  <c r="AA75" i="3"/>
  <c r="AQ71" i="3"/>
  <c r="AE87" i="3"/>
  <c r="T68" i="3"/>
  <c r="V76" i="3"/>
  <c r="R97" i="3"/>
  <c r="W63" i="3"/>
  <c r="AQ93" i="3"/>
  <c r="AJ75" i="3"/>
  <c r="AH55" i="3"/>
  <c r="L93" i="3"/>
  <c r="AH49" i="3"/>
  <c r="AK97" i="3"/>
  <c r="Q88" i="3"/>
  <c r="L78" i="3"/>
  <c r="AH69" i="3"/>
  <c r="S70" i="3"/>
  <c r="H60" i="3"/>
  <c r="AM58" i="3"/>
  <c r="AJ58" i="3"/>
  <c r="AQ91" i="3"/>
  <c r="AK65" i="3"/>
  <c r="S63" i="3"/>
  <c r="AM80" i="3"/>
  <c r="AI84" i="3"/>
  <c r="H58" i="3"/>
  <c r="M95" i="3"/>
  <c r="M59" i="3"/>
  <c r="N71" i="3"/>
  <c r="M48" i="3"/>
  <c r="S87" i="3"/>
  <c r="AG73" i="3"/>
  <c r="S73" i="3"/>
  <c r="AQ72" i="3"/>
  <c r="W75" i="3"/>
  <c r="I80" i="3"/>
  <c r="K89" i="3"/>
  <c r="Q86" i="3"/>
  <c r="N50" i="3"/>
  <c r="AA88" i="3"/>
  <c r="S47" i="3"/>
  <c r="S69" i="3"/>
  <c r="AK93" i="3"/>
  <c r="H69" i="3"/>
  <c r="R74" i="3"/>
  <c r="AI97" i="3"/>
  <c r="AM81" i="3"/>
  <c r="L94" i="3"/>
  <c r="H85" i="3"/>
  <c r="AE68" i="3"/>
  <c r="P50" i="3"/>
  <c r="J81" i="3"/>
  <c r="H84" i="3"/>
  <c r="Q68" i="3"/>
  <c r="AQ94" i="3"/>
  <c r="N56" i="3"/>
  <c r="AM88" i="3"/>
  <c r="AJ47" i="3"/>
  <c r="AG85" i="3"/>
  <c r="U58" i="3"/>
  <c r="AQ78" i="3"/>
  <c r="AA85" i="3"/>
  <c r="S76" i="3"/>
  <c r="M57" i="3"/>
  <c r="M72" i="3"/>
  <c r="AJ88" i="3"/>
  <c r="AM67" i="3"/>
  <c r="AK96" i="3"/>
  <c r="H76" i="3"/>
  <c r="L82" i="3"/>
  <c r="J56" i="3"/>
  <c r="P61" i="3"/>
  <c r="Q75" i="3"/>
  <c r="AA95" i="3"/>
  <c r="V87" i="3"/>
  <c r="AH56" i="3"/>
  <c r="AG49" i="3"/>
  <c r="AH64" i="3"/>
  <c r="R54" i="3"/>
  <c r="H47" i="3"/>
  <c r="P69" i="3"/>
  <c r="AC86" i="3"/>
  <c r="H70" i="3"/>
  <c r="AQ58" i="3"/>
  <c r="J92" i="3"/>
  <c r="Q71" i="3"/>
  <c r="K54" i="3"/>
  <c r="AI87" i="3"/>
  <c r="S58" i="3"/>
  <c r="AI88" i="3"/>
  <c r="W89" i="3"/>
  <c r="AG70" i="3"/>
  <c r="U69" i="3"/>
  <c r="S65" i="3"/>
  <c r="AH70" i="3"/>
  <c r="I54" i="3"/>
  <c r="S93" i="3"/>
  <c r="AJ50" i="3"/>
  <c r="V61" i="3"/>
  <c r="AQ82" i="3"/>
  <c r="Q97" i="3"/>
  <c r="AG95" i="3"/>
  <c r="U94" i="3"/>
  <c r="N89" i="3"/>
  <c r="AM56" i="3"/>
  <c r="AE83" i="3"/>
  <c r="J97" i="3"/>
  <c r="V67" i="3"/>
  <c r="K94" i="3"/>
  <c r="Q89" i="3"/>
  <c r="J59" i="3"/>
  <c r="N70" i="3"/>
  <c r="R83" i="3"/>
  <c r="H93" i="3"/>
  <c r="J75" i="3"/>
  <c r="AA86" i="3"/>
  <c r="AQ66" i="3"/>
  <c r="AG94" i="3"/>
  <c r="U93" i="3"/>
  <c r="AH87" i="3"/>
  <c r="Q90" i="3"/>
  <c r="L95" i="3"/>
  <c r="AG91" i="3"/>
  <c r="AH58" i="3"/>
  <c r="T73" i="3"/>
  <c r="S83" i="3"/>
  <c r="J84" i="3"/>
  <c r="R78" i="3"/>
  <c r="S75" i="3"/>
  <c r="U84" i="3"/>
  <c r="AH50" i="3"/>
  <c r="AQ92" i="3"/>
  <c r="J73" i="3"/>
  <c r="P56" i="3"/>
  <c r="H55" i="3"/>
  <c r="AC79" i="3"/>
  <c r="R79" i="3"/>
  <c r="U95" i="3"/>
  <c r="Q66" i="3"/>
  <c r="AG83" i="3"/>
  <c r="AA92" i="3"/>
  <c r="AG47" i="3"/>
  <c r="S59" i="3"/>
  <c r="AN58" i="3"/>
  <c r="W80" i="3"/>
  <c r="AK68" i="3"/>
  <c r="AJ61" i="3"/>
  <c r="L69" i="3"/>
  <c r="AJ95" i="3"/>
  <c r="AN90" i="3"/>
  <c r="W96" i="3"/>
  <c r="AA76" i="3"/>
  <c r="AH66" i="3"/>
  <c r="AH71" i="3"/>
  <c r="R47" i="3"/>
  <c r="T58" i="3"/>
  <c r="AH77" i="3"/>
  <c r="I57" i="3"/>
  <c r="AJ65" i="3"/>
  <c r="W65" i="3"/>
  <c r="AN62" i="3"/>
  <c r="AH73" i="3"/>
  <c r="AC69" i="3"/>
  <c r="AI56" i="3"/>
  <c r="L64" i="3"/>
  <c r="H91" i="3"/>
  <c r="AA83" i="3"/>
  <c r="AA91" i="3"/>
  <c r="M76" i="3"/>
  <c r="W81" i="3"/>
  <c r="AM96" i="3"/>
  <c r="AG90" i="3"/>
  <c r="AJ76" i="3"/>
  <c r="W76" i="3"/>
  <c r="I87" i="3"/>
  <c r="P66" i="3"/>
  <c r="J70" i="3"/>
  <c r="AI96" i="3"/>
  <c r="N64" i="3"/>
  <c r="L84" i="3"/>
  <c r="AA81" i="3"/>
  <c r="Q93" i="3"/>
  <c r="AG71" i="3"/>
  <c r="R50" i="3"/>
  <c r="W94" i="3"/>
  <c r="S84" i="3"/>
  <c r="I86" i="3"/>
  <c r="U67" i="3"/>
  <c r="I66" i="3"/>
  <c r="AN72" i="3"/>
  <c r="AI64" i="3"/>
  <c r="Q58" i="3"/>
  <c r="H81" i="3"/>
  <c r="AN75" i="3"/>
  <c r="T49" i="3"/>
  <c r="N85" i="3"/>
  <c r="J48" i="3"/>
  <c r="AK48" i="3"/>
  <c r="J66" i="3"/>
  <c r="U60" i="3"/>
  <c r="Q76" i="3"/>
  <c r="K63" i="3"/>
  <c r="AH76" i="3"/>
  <c r="R84" i="3"/>
  <c r="AG58" i="3"/>
  <c r="J69" i="3"/>
  <c r="T54" i="3"/>
  <c r="U66" i="3"/>
  <c r="V96" i="3"/>
  <c r="H77" i="3"/>
  <c r="W50" i="3"/>
  <c r="AH48" i="3"/>
  <c r="AK80" i="3"/>
  <c r="H79" i="3"/>
  <c r="AI47" i="3"/>
  <c r="L88" i="3"/>
  <c r="AJ70" i="3"/>
  <c r="L56" i="3"/>
  <c r="Q55" i="3"/>
  <c r="P79" i="3"/>
  <c r="H80" i="3"/>
  <c r="Q60" i="3"/>
  <c r="AE49" i="3"/>
  <c r="N84" i="3"/>
  <c r="AK60" i="3"/>
  <c r="AK95" i="3"/>
  <c r="AC83" i="3"/>
  <c r="AA89" i="3"/>
  <c r="AA58" i="3"/>
  <c r="AA97" i="3"/>
  <c r="AA55" i="3"/>
  <c r="N96" i="3"/>
  <c r="AJ57" i="3"/>
  <c r="AG86" i="3"/>
  <c r="W82" i="3"/>
  <c r="AM71" i="3"/>
  <c r="AE93" i="3"/>
  <c r="AC73" i="3"/>
  <c r="AH74" i="3"/>
  <c r="AE65" i="3"/>
  <c r="I68" i="3"/>
  <c r="P76" i="3"/>
  <c r="V85" i="3"/>
  <c r="W85" i="3"/>
  <c r="V49" i="3"/>
  <c r="N93" i="3"/>
  <c r="AM74" i="3"/>
  <c r="H72" i="3"/>
  <c r="AI77" i="3"/>
  <c r="J79" i="3"/>
  <c r="H73" i="3"/>
  <c r="J94" i="3"/>
  <c r="N92" i="3"/>
  <c r="AG84" i="3"/>
  <c r="AG59" i="3"/>
  <c r="R90" i="3"/>
  <c r="V86" i="3"/>
  <c r="S82" i="3"/>
  <c r="U91" i="3"/>
  <c r="R82" i="3"/>
  <c r="W97" i="3"/>
  <c r="V77" i="3"/>
  <c r="AK94" i="3"/>
  <c r="AI50" i="3"/>
  <c r="H90" i="3"/>
  <c r="L57" i="3"/>
  <c r="K47" i="3"/>
  <c r="AE54" i="3"/>
  <c r="V88" i="3"/>
  <c r="AQ85" i="3"/>
  <c r="AK86" i="3"/>
  <c r="AE97" i="3"/>
  <c r="V84" i="3"/>
  <c r="T76" i="3"/>
  <c r="AA70" i="3"/>
  <c r="M54" i="3"/>
  <c r="AH60" i="3"/>
  <c r="P73" i="3"/>
  <c r="J76" i="3"/>
  <c r="N68" i="3"/>
  <c r="N61" i="3"/>
  <c r="N94" i="3"/>
  <c r="AM60" i="3"/>
  <c r="U47" i="3"/>
  <c r="S55" i="3"/>
  <c r="AH83" i="3"/>
  <c r="V95" i="3"/>
  <c r="AQ86" i="3"/>
  <c r="AA80" i="3"/>
  <c r="Q48" i="3"/>
  <c r="N87" i="3"/>
  <c r="AC94" i="3"/>
  <c r="AQ96" i="3"/>
  <c r="H78" i="3"/>
  <c r="AM50" i="3"/>
  <c r="H66" i="3"/>
  <c r="H61" i="3"/>
  <c r="L86" i="3"/>
  <c r="AJ87" i="3"/>
  <c r="Q63" i="3"/>
  <c r="W68" i="3"/>
  <c r="N88" i="3"/>
  <c r="V60" i="3"/>
  <c r="AG64" i="3"/>
  <c r="AG66" i="3"/>
  <c r="S56" i="3"/>
  <c r="U87" i="3"/>
  <c r="AQ79" i="3"/>
  <c r="W70" i="3"/>
  <c r="R76" i="3"/>
  <c r="K56" i="3"/>
  <c r="T70" i="3"/>
  <c r="R72" i="3"/>
  <c r="Q78" i="3"/>
  <c r="N72" i="3"/>
  <c r="AG97" i="3"/>
  <c r="AQ65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E63" i="3"/>
  <c r="X71" i="3"/>
  <c r="AN47" i="3"/>
  <c r="AC92" i="3"/>
  <c r="AK76" i="3"/>
  <c r="Q77" i="3"/>
  <c r="Y71" i="3"/>
  <c r="V73" i="3"/>
  <c r="M79" i="3"/>
  <c r="I73" i="3"/>
  <c r="T91" i="3"/>
  <c r="R77" i="3"/>
  <c r="AN92" i="3"/>
  <c r="AQ67" i="3"/>
  <c r="AM93" i="3"/>
  <c r="AI93" i="3"/>
  <c r="AK57" i="3"/>
  <c r="AJ91" i="3"/>
  <c r="M50" i="3"/>
  <c r="P75" i="3"/>
  <c r="P57" i="3"/>
  <c r="AN85" i="3"/>
  <c r="M65" i="3"/>
  <c r="AN65" i="3"/>
  <c r="M71" i="3"/>
  <c r="AN79" i="3"/>
  <c r="X73" i="3"/>
  <c r="AA50" i="3"/>
  <c r="V65" i="3"/>
  <c r="W66" i="3"/>
  <c r="AA54" i="3"/>
  <c r="S78" i="3"/>
  <c r="N65" i="3"/>
  <c r="AC59" i="3"/>
  <c r="AA71" i="3"/>
  <c r="AK66" i="3"/>
  <c r="K67" i="3"/>
  <c r="AC61" i="3"/>
  <c r="I50" i="3"/>
  <c r="AI65" i="3"/>
  <c r="N69" i="3"/>
  <c r="L67" i="3"/>
  <c r="H64" i="3"/>
  <c r="AE64" i="3"/>
  <c r="L77" i="3"/>
  <c r="H62" i="3"/>
  <c r="AE82" i="3"/>
  <c r="H48" i="3"/>
  <c r="U56" i="3"/>
  <c r="Q96" i="3"/>
  <c r="I79" i="3"/>
  <c r="N47" i="3"/>
  <c r="AM61" i="3"/>
  <c r="X92" i="3"/>
  <c r="AG81" i="3"/>
  <c r="U63" i="3"/>
  <c r="AJ96" i="3"/>
  <c r="S54" i="3"/>
  <c r="U97" i="3"/>
  <c r="Y75" i="3"/>
  <c r="I47" i="3"/>
  <c r="AH68" i="3"/>
  <c r="AN74" i="3"/>
  <c r="AQ47" i="3"/>
  <c r="P68" i="3"/>
  <c r="M80" i="3"/>
  <c r="N95" i="3"/>
  <c r="AG92" i="3"/>
  <c r="X79" i="3"/>
  <c r="R89" i="3"/>
  <c r="AA57" i="3"/>
  <c r="AK71" i="3"/>
  <c r="AG87" i="3"/>
  <c r="S57" i="3"/>
  <c r="Y49" i="3"/>
  <c r="AQ76" i="3"/>
  <c r="I88" i="3"/>
  <c r="K50" i="3"/>
  <c r="T97" i="3"/>
  <c r="R58" i="3"/>
  <c r="M58" i="3"/>
  <c r="AG63" i="3"/>
  <c r="R92" i="3"/>
  <c r="R73" i="3"/>
  <c r="O65" i="3"/>
  <c r="Q91" i="3"/>
  <c r="AM85" i="3"/>
  <c r="AK55" i="3"/>
  <c r="O49" i="3"/>
  <c r="L89" i="3"/>
  <c r="AI72" i="3"/>
  <c r="P90" i="3"/>
  <c r="AE48" i="3"/>
  <c r="M68" i="3"/>
  <c r="M89" i="3"/>
  <c r="N81" i="3"/>
  <c r="AG48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C95" i="3"/>
  <c r="R63" i="3"/>
  <c r="J82" i="3"/>
  <c r="V81" i="3"/>
  <c r="J54" i="3"/>
  <c r="AK58" i="3"/>
  <c r="S88" i="3"/>
  <c r="V63" i="3"/>
  <c r="R91" i="3"/>
  <c r="AC93" i="3"/>
  <c r="I96" i="3"/>
  <c r="P82" i="3"/>
  <c r="AK74" i="3"/>
  <c r="AK83" i="3"/>
  <c r="AI73" i="3"/>
  <c r="Q56" i="3"/>
  <c r="M86" i="3"/>
  <c r="O67" i="3"/>
  <c r="T86" i="3"/>
  <c r="AA96" i="3"/>
  <c r="AA90" i="3"/>
  <c r="T64" i="3"/>
  <c r="N58" i="3"/>
  <c r="J50" i="3"/>
  <c r="K48" i="3"/>
  <c r="W60" i="3"/>
  <c r="AK82" i="3"/>
  <c r="AA61" i="3"/>
  <c r="AH67" i="3"/>
  <c r="S61" i="3"/>
  <c r="K74" i="3"/>
  <c r="AH86" i="3"/>
  <c r="Y95" i="3"/>
  <c r="R75" i="3"/>
  <c r="H95" i="3"/>
  <c r="P91" i="3"/>
  <c r="AC96" i="3"/>
  <c r="S89" i="3"/>
  <c r="I71" i="3"/>
  <c r="AE62" i="3"/>
  <c r="J61" i="3"/>
  <c r="AK50" i="3"/>
  <c r="AH81" i="3"/>
  <c r="K81" i="3"/>
  <c r="I94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I82" i="3"/>
  <c r="AM95" i="3"/>
  <c r="Q65" i="3"/>
  <c r="X48" i="3"/>
  <c r="N60" i="3"/>
  <c r="W54" i="3"/>
  <c r="U72" i="3"/>
  <c r="AH92" i="3"/>
  <c r="P81" i="3"/>
  <c r="I91" i="3"/>
  <c r="AJ78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S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T59" i="3"/>
  <c r="R95" i="3"/>
  <c r="T48" i="3"/>
  <c r="Y86" i="3"/>
  <c r="AM97" i="3"/>
  <c r="U88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J71" i="3"/>
  <c r="K73" i="3"/>
  <c r="W93" i="3"/>
  <c r="AK87" i="3"/>
  <c r="Q50" i="3"/>
  <c r="AH85" i="3"/>
  <c r="Q84" i="3"/>
  <c r="AC47" i="3"/>
  <c r="K87" i="3"/>
  <c r="AH91" i="3"/>
  <c r="Y65" i="3"/>
  <c r="R69" i="3"/>
  <c r="M63" i="3"/>
  <c r="O82" i="3"/>
  <c r="T88" i="3"/>
  <c r="AH6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H56" i="3"/>
  <c r="AA67" i="3"/>
  <c r="J63" i="3"/>
  <c r="AC62" i="3"/>
  <c r="R57" i="3"/>
  <c r="AQ68" i="3"/>
  <c r="U70" i="3"/>
  <c r="R81" i="3"/>
  <c r="AJ92" i="3"/>
  <c r="AH93" i="3"/>
  <c r="AI78" i="3"/>
  <c r="O78" i="3"/>
  <c r="AE55" i="3"/>
  <c r="U64" i="3"/>
  <c r="T50" i="3"/>
  <c r="U54" i="3"/>
  <c r="J49" i="3"/>
  <c r="J88" i="3"/>
  <c r="AA47" i="3"/>
  <c r="J64" i="3"/>
  <c r="AH82" i="3"/>
  <c r="U71" i="3"/>
  <c r="AG54" i="3"/>
  <c r="AQ55" i="3"/>
  <c r="AI79" i="3"/>
  <c r="P70" i="3"/>
  <c r="AN80" i="3"/>
  <c r="Y97" i="3"/>
  <c r="P48" i="3"/>
  <c r="M84" i="3"/>
  <c r="O93" i="3"/>
  <c r="I55" i="3"/>
  <c r="N75" i="3"/>
  <c r="I83" i="3"/>
  <c r="Y92" i="3"/>
  <c r="AN54" i="3"/>
  <c r="U76" i="3"/>
  <c r="T92" i="3"/>
  <c r="R68" i="3"/>
  <c r="AM65" i="3"/>
  <c r="AK92" i="3"/>
  <c r="P63" i="3"/>
  <c r="X66" i="3"/>
  <c r="R65" i="3"/>
  <c r="P77" i="3"/>
  <c r="AC89" i="3"/>
  <c r="AA84" i="3"/>
  <c r="Q49" i="3"/>
  <c r="X61" i="3"/>
  <c r="AM73" i="3"/>
  <c r="AN66" i="3"/>
  <c r="H49" i="3"/>
  <c r="AI70" i="3"/>
  <c r="AC56" i="3"/>
  <c r="AG67" i="3"/>
  <c r="Y70" i="3"/>
  <c r="AQ80" i="3"/>
  <c r="AM69" i="3"/>
  <c r="AE81" i="3"/>
  <c r="AI60" i="3"/>
  <c r="O87" i="3"/>
  <c r="U68" i="3"/>
  <c r="AG76" i="3"/>
  <c r="AQ56" i="3"/>
  <c r="R61" i="3"/>
  <c r="K97" i="3"/>
  <c r="N79" i="3"/>
  <c r="L50" i="3"/>
  <c r="AC72" i="3"/>
  <c r="K84" i="3"/>
  <c r="Y81" i="3"/>
  <c r="V74" i="3"/>
  <c r="AK59" i="3"/>
  <c r="AM62" i="3"/>
  <c r="H74" i="3"/>
  <c r="W62" i="3"/>
  <c r="AH61" i="3"/>
  <c r="J77" i="3"/>
  <c r="N49" i="3"/>
  <c r="Q57" i="3"/>
  <c r="X47" i="3"/>
  <c r="U65" i="3"/>
  <c r="R70" i="3"/>
  <c r="X88" i="3"/>
  <c r="Y58" i="3"/>
  <c r="AK81" i="3"/>
  <c r="J47" i="3"/>
  <c r="AG60" i="3"/>
  <c r="AQ61" i="3"/>
  <c r="R71" i="3"/>
  <c r="V48" i="3"/>
  <c r="N57" i="3"/>
  <c r="P89" i="3"/>
  <c r="J78" i="3"/>
  <c r="W58" i="3"/>
  <c r="I89" i="3"/>
  <c r="AI86" i="3"/>
  <c r="K69" i="3"/>
  <c r="AE86" i="3"/>
  <c r="Q92" i="3"/>
  <c r="K93" i="3"/>
  <c r="T71" i="3"/>
  <c r="AH54" i="3"/>
  <c r="V68" i="3"/>
  <c r="V58" i="3"/>
  <c r="AE60" i="3"/>
  <c r="AK88" i="3"/>
  <c r="M81" i="3"/>
  <c r="AH95" i="3"/>
  <c r="Y77" i="3"/>
  <c r="AC48" i="3"/>
  <c r="O55" i="3"/>
  <c r="AE76" i="3"/>
  <c r="P55" i="3"/>
  <c r="H82" i="3"/>
  <c r="AQ88" i="3"/>
  <c r="AM66" i="3"/>
  <c r="Q79" i="3"/>
  <c r="V91" i="3"/>
  <c r="AH88" i="3"/>
  <c r="J74" i="3"/>
  <c r="Y50" i="3"/>
  <c r="AH57" i="3"/>
  <c r="S49" i="3"/>
  <c r="H68" i="3"/>
  <c r="AE75" i="3"/>
  <c r="T63" i="3"/>
  <c r="AC77" i="3"/>
  <c r="I97" i="3"/>
  <c r="AE88" i="3"/>
  <c r="I76" i="3"/>
  <c r="N73" i="3"/>
  <c r="X77" i="3"/>
  <c r="U81" i="3"/>
  <c r="R64" i="3"/>
  <c r="I67" i="3"/>
  <c r="L55" i="3"/>
  <c r="T77" i="3"/>
  <c r="AM54" i="3"/>
  <c r="U89" i="3"/>
  <c r="W95" i="3"/>
  <c r="U92" i="3"/>
  <c r="AC49" i="3"/>
  <c r="AC87" i="3"/>
  <c r="AG55" i="3"/>
  <c r="V72" i="3"/>
  <c r="W55" i="3"/>
  <c r="AG65" i="3"/>
  <c r="AQ77" i="3"/>
  <c r="P97" i="3"/>
  <c r="O79" i="3"/>
  <c r="O56" i="3"/>
  <c r="M73" i="3"/>
  <c r="M66" i="3"/>
  <c r="AJ71" i="3"/>
  <c r="K78" i="3"/>
  <c r="P65" i="3"/>
  <c r="K57" i="3"/>
  <c r="M47" i="3"/>
  <c r="AJ55" i="3"/>
  <c r="I74" i="3"/>
  <c r="N86" i="3"/>
  <c r="H94" i="3"/>
  <c r="AM47" i="3"/>
  <c r="AC97" i="3"/>
  <c r="AH72" i="3"/>
  <c r="AE70" i="3"/>
  <c r="K61" i="3"/>
  <c r="H86" i="3"/>
  <c r="AE50" i="3"/>
  <c r="L97" i="3"/>
  <c r="AE66" i="3"/>
  <c r="T57" i="3"/>
  <c r="I69" i="3"/>
  <c r="AA64" i="3"/>
  <c r="Y79" i="3"/>
  <c r="AA74" i="3"/>
  <c r="L60" i="3"/>
  <c r="P80" i="3"/>
  <c r="I84" i="3"/>
  <c r="V93" i="3"/>
  <c r="I78" i="3"/>
  <c r="O96" i="3"/>
  <c r="X67" i="3"/>
  <c r="O75" i="3"/>
  <c r="M62" i="3"/>
  <c r="S86" i="3"/>
  <c r="AG79" i="3"/>
  <c r="AN97" i="3"/>
  <c r="X75" i="3"/>
  <c r="V75" i="3"/>
  <c r="AH97" i="3"/>
  <c r="Q80" i="3"/>
  <c r="AH78" i="3"/>
  <c r="K92" i="3"/>
  <c r="K65" i="3"/>
  <c r="X70" i="3"/>
  <c r="AA79" i="3"/>
  <c r="V71" i="3"/>
  <c r="AA48" i="3"/>
  <c r="L76" i="3"/>
  <c r="Y66" i="3"/>
  <c r="AG82" i="3"/>
  <c r="AC64" i="3"/>
  <c r="AC85" i="3"/>
  <c r="X85" i="3"/>
  <c r="W47" i="3"/>
  <c r="S50" i="3"/>
  <c r="AI83" i="3"/>
  <c r="P67" i="3"/>
  <c r="W61" i="3"/>
  <c r="I65" i="3"/>
  <c r="L92" i="3"/>
  <c r="AC78" i="3"/>
  <c r="W57" i="3"/>
  <c r="AE92" i="3"/>
  <c r="AQ84" i="3"/>
  <c r="L65" i="3"/>
  <c r="P93" i="3"/>
  <c r="W69" i="3"/>
  <c r="X82" i="3"/>
  <c r="AQ64" i="3"/>
  <c r="AC70" i="3"/>
  <c r="W83" i="3"/>
  <c r="AJ73" i="3"/>
  <c r="AA78" i="3"/>
  <c r="J65" i="3"/>
  <c r="U50" i="3"/>
  <c r="Q85" i="3"/>
  <c r="L47" i="3"/>
  <c r="K82" i="3"/>
  <c r="AA65" i="3"/>
  <c r="Q82" i="3"/>
  <c r="N59" i="3"/>
  <c r="X93" i="3"/>
  <c r="T62" i="3"/>
  <c r="L90" i="3"/>
  <c r="L75" i="3"/>
  <c r="AQ54" i="3"/>
  <c r="W71" i="3"/>
  <c r="AC54" i="3"/>
  <c r="J55" i="3"/>
  <c r="Q61" i="3"/>
  <c r="AN77" i="3"/>
  <c r="H65" i="3"/>
  <c r="AA56" i="3"/>
  <c r="X68" i="3"/>
  <c r="H50" i="3"/>
  <c r="AC67" i="3"/>
  <c r="Y93" i="3"/>
  <c r="Y67" i="3"/>
  <c r="K58" i="3"/>
  <c r="AM77" i="3"/>
  <c r="U82" i="3"/>
  <c r="T89" i="3"/>
  <c r="U90" i="3"/>
  <c r="U77" i="3"/>
  <c r="U83" i="3"/>
  <c r="V94" i="3"/>
  <c r="AQ48" i="3"/>
  <c r="AN68" i="3"/>
  <c r="J86" i="3"/>
  <c r="V57" i="3"/>
  <c r="AM76" i="3"/>
  <c r="K77" i="3"/>
  <c r="W64" i="3"/>
  <c r="H71" i="3"/>
  <c r="AI80" i="3"/>
  <c r="AE95" i="3"/>
  <c r="N82" i="3"/>
  <c r="X84" i="3"/>
  <c r="N90" i="3"/>
  <c r="AN73" i="3"/>
  <c r="L49" i="3"/>
  <c r="AA94" i="3"/>
  <c r="AJ56" i="3"/>
  <c r="AK79" i="3"/>
  <c r="AH63" i="3"/>
  <c r="V62" i="3"/>
  <c r="R94" i="3"/>
  <c r="N66" i="3"/>
  <c r="AH90" i="3"/>
  <c r="T87" i="3"/>
  <c r="AJ49" i="3"/>
  <c r="P74" i="3"/>
  <c r="AK73" i="3"/>
  <c r="Q95" i="3"/>
  <c r="AJ97" i="3"/>
  <c r="K59" i="3"/>
  <c r="O59" i="3"/>
  <c r="X50" i="3"/>
  <c r="K85" i="3"/>
  <c r="U78" i="3"/>
  <c r="AN84" i="3"/>
  <c r="L68" i="3"/>
  <c r="O81" i="3"/>
  <c r="AM78" i="3"/>
  <c r="S66" i="3"/>
  <c r="AM68" i="3"/>
  <c r="AA60" i="3"/>
  <c r="J89" i="3"/>
  <c r="V70" i="3"/>
  <c r="AM90" i="3"/>
  <c r="T61" i="3"/>
  <c r="AM49" i="3"/>
  <c r="AI48" i="3"/>
  <c r="I72" i="3"/>
  <c r="O50" i="3" l="1"/>
  <c r="Z80" i="3"/>
  <c r="X59" i="3"/>
  <c r="AL83" i="3"/>
  <c r="Z75" i="3"/>
  <c r="X58" i="3"/>
  <c r="Y59" i="3"/>
  <c r="Y76" i="3"/>
  <c r="AL95" i="3"/>
  <c r="O61" i="3"/>
  <c r="O68" i="3"/>
  <c r="AL55" i="3"/>
  <c r="O85" i="3"/>
  <c r="Z69" i="3"/>
  <c r="Y68" i="3"/>
  <c r="AL48" i="3"/>
  <c r="X72" i="3"/>
  <c r="Y87" i="3"/>
  <c r="X94" i="3"/>
  <c r="O76" i="3"/>
  <c r="Y83" i="3"/>
  <c r="O66" i="3"/>
  <c r="Z70" i="3"/>
  <c r="AL93" i="3"/>
  <c r="Y96" i="3"/>
  <c r="Z64" i="3"/>
  <c r="X89" i="3"/>
  <c r="O58" i="3"/>
  <c r="O64" i="3"/>
  <c r="O47" i="3"/>
  <c r="X54" i="3"/>
  <c r="Z76" i="3"/>
  <c r="Y84" i="3"/>
  <c r="X80" i="3"/>
  <c r="O63" i="3"/>
  <c r="O83" i="3"/>
  <c r="X49" i="3"/>
  <c r="O86" i="3"/>
  <c r="Z48" i="3"/>
  <c r="Y64" i="3"/>
  <c r="X65" i="3"/>
  <c r="Y91" i="3"/>
  <c r="X56" i="3"/>
  <c r="O70" i="3"/>
  <c r="X76" i="3"/>
  <c r="AL79" i="3"/>
  <c r="Y60" i="3"/>
  <c r="Y48" i="3"/>
  <c r="Y61" i="3"/>
  <c r="AL94" i="3"/>
  <c r="Z72" i="3"/>
  <c r="Z68" i="3"/>
  <c r="X86" i="3"/>
  <c r="Y74" i="3"/>
  <c r="Z54" i="3"/>
  <c r="X97" i="3"/>
  <c r="Z57" i="3"/>
  <c r="Z96" i="3"/>
  <c r="Z63" i="3"/>
  <c r="Y89" i="3"/>
  <c r="Y88" i="3"/>
  <c r="AL50" i="3"/>
  <c r="O90" i="3"/>
  <c r="X63" i="3"/>
  <c r="AL96" i="3"/>
  <c r="O71" i="3"/>
  <c r="Y63" i="3"/>
  <c r="O57" i="3"/>
  <c r="O62" i="3"/>
  <c r="Z97" i="3"/>
  <c r="Z82" i="3"/>
  <c r="Y69" i="3"/>
  <c r="X90" i="3"/>
  <c r="AL66" i="3"/>
  <c r="O92" i="3"/>
  <c r="Z89" i="3"/>
  <c r="O95" i="3"/>
  <c r="Z49" i="3"/>
  <c r="AL68" i="3"/>
  <c r="Y80" i="3"/>
  <c r="X81" i="3"/>
  <c r="O74" i="3"/>
  <c r="O84" i="3"/>
  <c r="Z47" i="3"/>
  <c r="Y56" i="3"/>
  <c r="AL85" i="3"/>
  <c r="AL77" i="3"/>
  <c r="X62" i="3"/>
  <c r="AL86" i="3"/>
  <c r="X60" i="3"/>
  <c r="AL57" i="3"/>
  <c r="Y82" i="3"/>
  <c r="O94" i="3"/>
  <c r="AL64" i="3"/>
  <c r="Z85" i="3"/>
  <c r="Z92" i="3"/>
  <c r="Y54" i="3"/>
  <c r="Y62" i="3"/>
  <c r="Z88" i="3"/>
  <c r="O91" i="3"/>
  <c r="X78" i="3"/>
  <c r="X55" i="3"/>
  <c r="AL73" i="3"/>
  <c r="Z61" i="3"/>
  <c r="AL59" i="3"/>
  <c r="Z83" i="3"/>
  <c r="Y57" i="3"/>
  <c r="AL54" i="3"/>
  <c r="Z74" i="3"/>
  <c r="AL56" i="3"/>
  <c r="Z84" i="3"/>
  <c r="AL65" i="3"/>
  <c r="Z78" i="3"/>
  <c r="AL67" i="3"/>
  <c r="AL82" i="3"/>
  <c r="AL81" i="3"/>
  <c r="Z66" i="3"/>
  <c r="AL63" i="3"/>
  <c r="AL62" i="3"/>
  <c r="Z90" i="3"/>
  <c r="Z77" i="3"/>
  <c r="AL92" i="3"/>
  <c r="Z79" i="3"/>
  <c r="Z59" i="3"/>
  <c r="Z95" i="3"/>
  <c r="AL80" i="3"/>
  <c r="AL58" i="3"/>
  <c r="Z87" i="3"/>
  <c r="AL71" i="3"/>
  <c r="Z67" i="3"/>
  <c r="AL70" i="3"/>
  <c r="Z71" i="3"/>
  <c r="AL49" i="3"/>
  <c r="AL47" i="3"/>
  <c r="Z81" i="3"/>
  <c r="Z86" i="3"/>
  <c r="Z60" i="3"/>
  <c r="Z62" i="3"/>
  <c r="Z50" i="3"/>
  <c r="AL75" i="3"/>
  <c r="AL69" i="3"/>
  <c r="AL76" i="3"/>
  <c r="AL91" i="3"/>
  <c r="AL84" i="3"/>
  <c r="AL90" i="3"/>
  <c r="AL60" i="3"/>
  <c r="Z94" i="3"/>
  <c r="Z56" i="3"/>
  <c r="AL88" i="3"/>
  <c r="AL78" i="3"/>
  <c r="Z91" i="3"/>
  <c r="AL74" i="3"/>
  <c r="AL87" i="3"/>
  <c r="AL72" i="3"/>
  <c r="AN82" i="3"/>
  <c r="AN91" i="3"/>
  <c r="K49" i="3"/>
  <c r="AJ93" i="3"/>
  <c r="M49" i="3"/>
  <c r="K68" i="3"/>
  <c r="U57" i="3"/>
  <c r="U79" i="3"/>
  <c r="U74" i="3"/>
  <c r="U49" i="3"/>
  <c r="BA73" i="1" s="1"/>
  <c r="U85" i="3"/>
  <c r="U61" i="3"/>
  <c r="U80" i="3"/>
  <c r="Y47" i="3"/>
  <c r="Y85" i="3"/>
  <c r="Y90" i="3"/>
  <c r="Y94" i="3"/>
  <c r="Z55" i="3"/>
  <c r="Z73" i="3"/>
  <c r="Z65" i="3"/>
  <c r="BF150" i="1" s="1"/>
  <c r="BG150" i="1" s="1"/>
  <c r="Z93" i="3"/>
  <c r="Z58" i="3"/>
  <c r="BF119" i="1" s="1"/>
  <c r="AL97" i="3"/>
  <c r="AL89" i="3"/>
  <c r="BR153" i="1" s="1"/>
  <c r="AL61" i="3"/>
  <c r="Q87" i="3"/>
  <c r="Q73" i="3"/>
  <c r="Q94" i="3"/>
  <c r="Q64" i="3"/>
  <c r="Q74" i="3"/>
  <c r="Q81" i="3"/>
  <c r="S81" i="3"/>
  <c r="S48" i="3"/>
  <c r="S95" i="3"/>
  <c r="S85" i="3"/>
  <c r="S71" i="3"/>
  <c r="S60" i="3"/>
  <c r="S79" i="3"/>
  <c r="AH79" i="3"/>
  <c r="BN143" i="1" s="1"/>
  <c r="AH84" i="3"/>
  <c r="BN146" i="1" s="1"/>
  <c r="BO146" i="1" s="1"/>
  <c r="AH96" i="3"/>
  <c r="BN163" i="1" s="1"/>
  <c r="BO163" i="1" s="1"/>
  <c r="AH94" i="3"/>
  <c r="AH59" i="3"/>
  <c r="AI49" i="3"/>
  <c r="BO73" i="1" s="1"/>
  <c r="AI95" i="3"/>
  <c r="AI94" i="3"/>
  <c r="AI71" i="3"/>
  <c r="AI81" i="3"/>
  <c r="AI75" i="3"/>
  <c r="AI63" i="3"/>
  <c r="AI61" i="3"/>
  <c r="AI57" i="3"/>
  <c r="AI54" i="3"/>
  <c r="AI68" i="3"/>
  <c r="AI69" i="3"/>
  <c r="AI90" i="3"/>
  <c r="AI89" i="3"/>
  <c r="AI58" i="3"/>
  <c r="AM89" i="3"/>
  <c r="AM64" i="3"/>
  <c r="AM91" i="3"/>
  <c r="AM75" i="3"/>
  <c r="AM63" i="3"/>
  <c r="AM59" i="3"/>
  <c r="W86" i="3"/>
  <c r="W59" i="3"/>
  <c r="W84" i="3"/>
  <c r="W48" i="3"/>
  <c r="W74" i="3"/>
  <c r="W56" i="3"/>
  <c r="W67" i="3"/>
  <c r="W79" i="3"/>
  <c r="N78" i="3"/>
  <c r="AT142" i="1" s="1"/>
  <c r="N48" i="3"/>
  <c r="N97" i="3"/>
  <c r="N91" i="3"/>
  <c r="AT154" i="1" s="1"/>
  <c r="AU154" i="1" s="1"/>
  <c r="N80" i="3"/>
  <c r="AT159" i="1" s="1"/>
  <c r="N54" i="3"/>
  <c r="J85" i="3"/>
  <c r="AP147" i="1" s="1"/>
  <c r="AQ147" i="1" s="1"/>
  <c r="J83" i="3"/>
  <c r="AP160" i="1" s="1"/>
  <c r="J90" i="3"/>
  <c r="AP126" i="1" s="1"/>
  <c r="AQ126" i="1" s="1"/>
  <c r="J68" i="3"/>
  <c r="AP131" i="1" s="1"/>
  <c r="J80" i="3"/>
  <c r="AP159" i="1" s="1"/>
  <c r="J60" i="3"/>
  <c r="AP122" i="1" s="1"/>
  <c r="AQ122" i="1" s="1"/>
  <c r="AQ73" i="3"/>
  <c r="AQ70" i="3"/>
  <c r="AQ75" i="3"/>
  <c r="AQ60" i="3"/>
  <c r="AQ81" i="3"/>
  <c r="AQ97" i="3"/>
  <c r="AQ57" i="3"/>
  <c r="AQ95" i="3"/>
  <c r="R86" i="3"/>
  <c r="R66" i="3"/>
  <c r="AX151" i="1" s="1"/>
  <c r="AY151" i="1" s="1"/>
  <c r="R49" i="3"/>
  <c r="AX73" i="1" s="1"/>
  <c r="R55" i="3"/>
  <c r="H92" i="3"/>
  <c r="AN155" i="1" s="1"/>
  <c r="AO155" i="1" s="1"/>
  <c r="H67" i="3"/>
  <c r="H96" i="3"/>
  <c r="AN163" i="1" s="1"/>
  <c r="AO163" i="1" s="1"/>
  <c r="L63" i="3"/>
  <c r="AR125" i="1" s="1"/>
  <c r="AS125" i="1" s="1"/>
  <c r="L59" i="3"/>
  <c r="L62" i="3"/>
  <c r="AR124" i="1" s="1"/>
  <c r="L79" i="3"/>
  <c r="AR143" i="1" s="1"/>
  <c r="AS143" i="1" s="1"/>
  <c r="L73" i="3"/>
  <c r="L70" i="3"/>
  <c r="AR133" i="1" s="1"/>
  <c r="L58" i="3"/>
  <c r="AR119" i="1" s="1"/>
  <c r="L61" i="3"/>
  <c r="L66" i="3"/>
  <c r="AR151" i="1" s="1"/>
  <c r="AS151" i="1" s="1"/>
  <c r="AA87" i="3"/>
  <c r="AA59" i="3"/>
  <c r="AA72" i="3"/>
  <c r="AA93" i="3"/>
  <c r="AA63" i="3"/>
  <c r="AA82" i="3"/>
  <c r="V79" i="3"/>
  <c r="BB143" i="1" s="1"/>
  <c r="V64" i="3"/>
  <c r="BB149" i="1" s="1"/>
  <c r="BC149" i="1" s="1"/>
  <c r="V69" i="3"/>
  <c r="BB132" i="1" s="1"/>
  <c r="V50" i="3"/>
  <c r="BB74" i="1" s="1"/>
  <c r="V66" i="3"/>
  <c r="BB151" i="1" s="1"/>
  <c r="BC151" i="1" s="1"/>
  <c r="V97" i="3"/>
  <c r="V56" i="3"/>
  <c r="BB117" i="1" s="1"/>
  <c r="V47" i="3"/>
  <c r="AG93" i="3"/>
  <c r="AG80" i="3"/>
  <c r="AG62" i="3"/>
  <c r="AG56" i="3"/>
  <c r="AG75" i="3"/>
  <c r="AK77" i="3"/>
  <c r="AK85" i="3"/>
  <c r="AK49" i="3"/>
  <c r="BQ73" i="1" s="1"/>
  <c r="AK54" i="3"/>
  <c r="AK61" i="3"/>
  <c r="AK56" i="3"/>
  <c r="AK89" i="3"/>
  <c r="AK69" i="3"/>
  <c r="P58" i="3"/>
  <c r="AV119" i="1" s="1"/>
  <c r="P72" i="3"/>
  <c r="AV135" i="1" s="1"/>
  <c r="AW135" i="1" s="1"/>
  <c r="P88" i="3"/>
  <c r="AV127" i="1" s="1"/>
  <c r="AW127" i="1" s="1"/>
  <c r="P47" i="3"/>
  <c r="P85" i="3"/>
  <c r="AV147" i="1" s="1"/>
  <c r="AW147" i="1" s="1"/>
  <c r="P96" i="3"/>
  <c r="AV163" i="1" s="1"/>
  <c r="AW163" i="1" s="1"/>
  <c r="P62" i="3"/>
  <c r="AV124" i="1" s="1"/>
  <c r="P94" i="3"/>
  <c r="P54" i="3"/>
  <c r="P87" i="3"/>
  <c r="AV152" i="1" s="1"/>
  <c r="AW152" i="1" s="1"/>
  <c r="P78" i="3"/>
  <c r="AV142" i="1" s="1"/>
  <c r="AW142" i="1" s="1"/>
  <c r="P84" i="3"/>
  <c r="AV146" i="1" s="1"/>
  <c r="AW146" i="1" s="1"/>
  <c r="AE72" i="3"/>
  <c r="AE79" i="3"/>
  <c r="AE85" i="3"/>
  <c r="AE90" i="3"/>
  <c r="AE69" i="3"/>
  <c r="AE58" i="3"/>
  <c r="AE96" i="3"/>
  <c r="AE73" i="3"/>
  <c r="AE80" i="3"/>
  <c r="AE56" i="3"/>
  <c r="AE74" i="3"/>
  <c r="AE67" i="3"/>
  <c r="AE47" i="3"/>
  <c r="AE78" i="3"/>
  <c r="AE84" i="3"/>
  <c r="AC71" i="3"/>
  <c r="AC65" i="3"/>
  <c r="AC76" i="3"/>
  <c r="AC75" i="3"/>
  <c r="AC66" i="3"/>
  <c r="AC63" i="3"/>
  <c r="AC81" i="3"/>
  <c r="AC58" i="3"/>
  <c r="AC57" i="3"/>
  <c r="I49" i="3"/>
  <c r="AO73" i="1" s="1"/>
  <c r="I93" i="3"/>
  <c r="I75" i="3"/>
  <c r="I58" i="3"/>
  <c r="I77" i="3"/>
  <c r="I62" i="3"/>
  <c r="I48" i="3"/>
  <c r="I64" i="3"/>
  <c r="I81" i="3"/>
  <c r="T84" i="3"/>
  <c r="AZ146" i="1" s="1"/>
  <c r="BA146" i="1" s="1"/>
  <c r="T65" i="3"/>
  <c r="AZ150" i="1" s="1"/>
  <c r="BA150" i="1" s="1"/>
  <c r="T96" i="3"/>
  <c r="AZ163" i="1" s="1"/>
  <c r="BA163" i="1" s="1"/>
  <c r="T69" i="3"/>
  <c r="AZ132" i="1" s="1"/>
  <c r="T93" i="3"/>
  <c r="T75" i="3"/>
  <c r="AZ137" i="1" s="1"/>
  <c r="BA137" i="1" s="1"/>
  <c r="T78" i="3"/>
  <c r="AZ142" i="1" s="1"/>
  <c r="BA142" i="1" s="1"/>
  <c r="T94" i="3"/>
  <c r="T55" i="3"/>
  <c r="T47" i="3"/>
  <c r="AN64" i="3"/>
  <c r="BT149" i="1" s="1"/>
  <c r="BU149" i="1" s="1"/>
  <c r="AN94" i="3"/>
  <c r="AN88" i="3"/>
  <c r="BT127" i="1" s="1"/>
  <c r="BU127" i="1" s="1"/>
  <c r="AN48" i="3"/>
  <c r="AN78" i="3"/>
  <c r="BT142" i="1" s="1"/>
  <c r="BU142" i="1" s="1"/>
  <c r="AN67" i="3"/>
  <c r="AN83" i="3"/>
  <c r="BT160" i="1" s="1"/>
  <c r="AN71" i="3"/>
  <c r="AN96" i="3"/>
  <c r="BT163" i="1" s="1"/>
  <c r="BU163" i="1" s="1"/>
  <c r="AN76" i="3"/>
  <c r="BT143" i="1" s="1"/>
  <c r="AN70" i="3"/>
  <c r="BT133" i="1" s="1"/>
  <c r="AN63" i="3"/>
  <c r="BT125" i="1" s="1"/>
  <c r="BU125" i="1" s="1"/>
  <c r="AN59" i="3"/>
  <c r="AN60" i="3"/>
  <c r="BT122" i="1" s="1"/>
  <c r="BU122" i="1" s="1"/>
  <c r="AN89" i="3"/>
  <c r="BT153" i="1" s="1"/>
  <c r="AN69" i="3"/>
  <c r="BT132" i="1" s="1"/>
  <c r="K91" i="3"/>
  <c r="K62" i="3"/>
  <c r="K75" i="3"/>
  <c r="K79" i="3"/>
  <c r="K86" i="3"/>
  <c r="K72" i="3"/>
  <c r="K80" i="3"/>
  <c r="K55" i="3"/>
  <c r="K70" i="3"/>
  <c r="K64" i="3"/>
  <c r="AJ94" i="3"/>
  <c r="AJ67" i="3"/>
  <c r="AJ63" i="3"/>
  <c r="BP125" i="1" s="1"/>
  <c r="BQ125" i="1" s="1"/>
  <c r="AJ84" i="3"/>
  <c r="BP146" i="1" s="1"/>
  <c r="BQ146" i="1" s="1"/>
  <c r="AJ54" i="3"/>
  <c r="AJ69" i="3"/>
  <c r="BP132" i="1" s="1"/>
  <c r="AJ66" i="3"/>
  <c r="BP151" i="1" s="1"/>
  <c r="BQ151" i="1" s="1"/>
  <c r="AJ48" i="3"/>
  <c r="AJ59" i="3"/>
  <c r="AJ89" i="3"/>
  <c r="BP153" i="1" s="1"/>
  <c r="AJ60" i="3"/>
  <c r="BP122" i="1" s="1"/>
  <c r="BQ122" i="1" s="1"/>
  <c r="AJ79" i="3"/>
  <c r="BP143" i="1" s="1"/>
  <c r="BQ143" i="1" s="1"/>
  <c r="AJ74" i="3"/>
  <c r="BP137" i="1" s="1"/>
  <c r="BQ137" i="1" s="1"/>
  <c r="AJ81" i="3"/>
  <c r="BP144" i="1" s="1"/>
  <c r="AJ64" i="3"/>
  <c r="BP149" i="1" s="1"/>
  <c r="BQ149" i="1" s="1"/>
  <c r="AJ72" i="3"/>
  <c r="BP135" i="1" s="1"/>
  <c r="BQ135" i="1" s="1"/>
  <c r="AJ82" i="3"/>
  <c r="BP145" i="1" s="1"/>
  <c r="AJ85" i="3"/>
  <c r="BP147" i="1" s="1"/>
  <c r="BQ147" i="1" s="1"/>
  <c r="AJ83" i="3"/>
  <c r="BP160" i="1" s="1"/>
  <c r="M96" i="3"/>
  <c r="M90" i="3"/>
  <c r="M83" i="3"/>
  <c r="M67" i="3"/>
  <c r="M88" i="3"/>
  <c r="M91" i="3"/>
  <c r="M64" i="3"/>
  <c r="M82" i="3"/>
  <c r="M77" i="3"/>
  <c r="M74" i="3"/>
  <c r="M93" i="3"/>
  <c r="M60" i="3"/>
  <c r="M92" i="3"/>
  <c r="M69" i="3"/>
  <c r="M78" i="3"/>
  <c r="M94" i="3"/>
  <c r="M61" i="3"/>
  <c r="AO97" i="3"/>
  <c r="AO69" i="3"/>
  <c r="AO60" i="3"/>
  <c r="AO62" i="3"/>
  <c r="AO84" i="3"/>
  <c r="AO78" i="3"/>
  <c r="AO50" i="3"/>
  <c r="BU74" i="1" s="1"/>
  <c r="AO71" i="3"/>
  <c r="AO82" i="3"/>
  <c r="AO88" i="3"/>
  <c r="AO49" i="3"/>
  <c r="BU73" i="1" s="1"/>
  <c r="AO58" i="3"/>
  <c r="AO68" i="3"/>
  <c r="AO92" i="3"/>
  <c r="AO80" i="3"/>
  <c r="AO76" i="3"/>
  <c r="AO81" i="3"/>
  <c r="AO73" i="3"/>
  <c r="AO63" i="3"/>
  <c r="AO66" i="3"/>
  <c r="AO48" i="3"/>
  <c r="AO74" i="3"/>
  <c r="AO47" i="3"/>
  <c r="AO94" i="3"/>
  <c r="AO91" i="3"/>
  <c r="AO65" i="3"/>
  <c r="AO54" i="3"/>
  <c r="AO96" i="3"/>
  <c r="AO77" i="3"/>
  <c r="AO56" i="3"/>
  <c r="AO59" i="3"/>
  <c r="AO70" i="3"/>
  <c r="AO75" i="3"/>
  <c r="AO87" i="3"/>
  <c r="AO55" i="3"/>
  <c r="AO86" i="3"/>
  <c r="AO93" i="3"/>
  <c r="AO57" i="3"/>
  <c r="AO64" i="3"/>
  <c r="AO61" i="3"/>
  <c r="AO72" i="3"/>
  <c r="AO85" i="3"/>
  <c r="AO83" i="3"/>
  <c r="AO67" i="3"/>
  <c r="AO89" i="3"/>
  <c r="AO95" i="3"/>
  <c r="AO79" i="3"/>
  <c r="AO90" i="3"/>
  <c r="S135" i="1"/>
  <c r="S131" i="1" s="1"/>
  <c r="AR46" i="1"/>
  <c r="BB9" i="1"/>
  <c r="BT24" i="1"/>
  <c r="AO21" i="1"/>
  <c r="BI15" i="1"/>
  <c r="AW9" i="1"/>
  <c r="BA25" i="1"/>
  <c r="BH23" i="1"/>
  <c r="BS45" i="1"/>
  <c r="BA46" i="1"/>
  <c r="BI47" i="1"/>
  <c r="BG15" i="1"/>
  <c r="AV21" i="1"/>
  <c r="BH8" i="1"/>
  <c r="BH231" i="1" s="1"/>
  <c r="BH22" i="1"/>
  <c r="BH15" i="1"/>
  <c r="BE25" i="1"/>
  <c r="AN8" i="1"/>
  <c r="BV124" i="1"/>
  <c r="BW124" i="1" s="1"/>
  <c r="S132" i="1"/>
  <c r="L132" i="1"/>
  <c r="K147" i="1"/>
  <c r="BB35" i="1"/>
  <c r="BR15" i="1"/>
  <c r="BD9" i="1"/>
  <c r="AY36" i="1"/>
  <c r="BE14" i="1"/>
  <c r="AX22" i="1"/>
  <c r="AP35" i="1"/>
  <c r="BN39" i="1"/>
  <c r="BM8" i="1"/>
  <c r="AZ20" i="1"/>
  <c r="BK25" i="1"/>
  <c r="BM47" i="1"/>
  <c r="BD20" i="1"/>
  <c r="BS20" i="1"/>
  <c r="L118" i="1"/>
  <c r="BP8" i="1"/>
  <c r="BP231" i="1" s="1"/>
  <c r="BO47" i="1"/>
  <c r="BA21" i="1"/>
  <c r="AI25" i="1"/>
  <c r="BB21" i="1"/>
  <c r="AR14" i="1"/>
  <c r="AZ9" i="1"/>
  <c r="AW8" i="1"/>
  <c r="BV9" i="1"/>
  <c r="BJ36" i="1"/>
  <c r="BJ252" i="1" s="1"/>
  <c r="AU13" i="1"/>
  <c r="BU39" i="1"/>
  <c r="BN13" i="1"/>
  <c r="BT21" i="1"/>
  <c r="AO36" i="1"/>
  <c r="BP23" i="1"/>
  <c r="BF32" i="1"/>
  <c r="BF194" i="1" s="1"/>
  <c r="BS23" i="1"/>
  <c r="BN21" i="1"/>
  <c r="W160" i="1"/>
  <c r="F147" i="1"/>
  <c r="AP15" i="1"/>
  <c r="BG47" i="1"/>
  <c r="AN14" i="1"/>
  <c r="AY9" i="1"/>
  <c r="AQ32" i="1"/>
  <c r="BS25" i="1"/>
  <c r="AT15" i="1"/>
  <c r="AI39" i="1"/>
  <c r="BS13" i="1"/>
  <c r="AO9" i="1"/>
  <c r="BT32" i="1"/>
  <c r="BH46" i="1"/>
  <c r="BE9" i="1"/>
  <c r="BN45" i="1"/>
  <c r="BQ13" i="1"/>
  <c r="BV25" i="1"/>
  <c r="BD47" i="1"/>
  <c r="BC15" i="1"/>
  <c r="BU36" i="1"/>
  <c r="BU23" i="1"/>
  <c r="AM46" i="1"/>
  <c r="AS35" i="1"/>
  <c r="AR15" i="1"/>
  <c r="BU24" i="1"/>
  <c r="BO14" i="1"/>
  <c r="BH74" i="1"/>
  <c r="B79" i="1"/>
  <c r="R118" i="1"/>
  <c r="L150" i="1"/>
  <c r="BB32" i="1"/>
  <c r="BI46" i="1"/>
  <c r="BQ8" i="1"/>
  <c r="BI22" i="1"/>
  <c r="BW51" i="1"/>
  <c r="AO45" i="1"/>
  <c r="AO46" i="1"/>
  <c r="BW35" i="1"/>
  <c r="BV20" i="1"/>
  <c r="BN23" i="1"/>
  <c r="BC14" i="1"/>
  <c r="BB14" i="1"/>
  <c r="AX46" i="1"/>
  <c r="BH155" i="1"/>
  <c r="BI155" i="1" s="1"/>
  <c r="G136" i="1"/>
  <c r="BH21" i="1"/>
  <c r="BP13" i="1"/>
  <c r="BP46" i="1"/>
  <c r="AQ9" i="1"/>
  <c r="BN25" i="1"/>
  <c r="BF51" i="1"/>
  <c r="AW32" i="1"/>
  <c r="AW194" i="1" s="1"/>
  <c r="BG35" i="1"/>
  <c r="BQ9" i="1"/>
  <c r="BU35" i="1"/>
  <c r="AO39" i="1"/>
  <c r="AU22" i="1"/>
  <c r="Q119" i="1"/>
  <c r="AI13" i="1"/>
  <c r="BS32" i="1"/>
  <c r="BS194" i="1" s="1"/>
  <c r="BS46" i="1"/>
  <c r="AT8" i="1"/>
  <c r="AY47" i="1"/>
  <c r="AQ25" i="1"/>
  <c r="BR45" i="1"/>
  <c r="AS8" i="1"/>
  <c r="AS231" i="1" s="1"/>
  <c r="BT23" i="1"/>
  <c r="AP24" i="1"/>
  <c r="AS36" i="1"/>
  <c r="BV35" i="1"/>
  <c r="AM51" i="1"/>
  <c r="AX39" i="1"/>
  <c r="BH159" i="1"/>
  <c r="F137" i="1"/>
  <c r="O172" i="1"/>
  <c r="K127" i="1"/>
  <c r="BQ24" i="1"/>
  <c r="AO15" i="1"/>
  <c r="AW21" i="1"/>
  <c r="BH25" i="1"/>
  <c r="BU47" i="1"/>
  <c r="BD25" i="1"/>
  <c r="AN39" i="1"/>
  <c r="BK20" i="1"/>
  <c r="AR22" i="1"/>
  <c r="BU46" i="1"/>
  <c r="BR25" i="1"/>
  <c r="BB8" i="1"/>
  <c r="AW23" i="1"/>
  <c r="BG23" i="1"/>
  <c r="BR22" i="1"/>
  <c r="BD39" i="1"/>
  <c r="BS9" i="1"/>
  <c r="AN46" i="1"/>
  <c r="AR32" i="1"/>
  <c r="AR194" i="1" s="1"/>
  <c r="AV25" i="1"/>
  <c r="AP45" i="1"/>
  <c r="BB25" i="1"/>
  <c r="BH45" i="1"/>
  <c r="BK23" i="1"/>
  <c r="AZ35" i="1"/>
  <c r="J77" i="1"/>
  <c r="C77" i="1"/>
  <c r="R74" i="1"/>
  <c r="Q74" i="1"/>
  <c r="AY24" i="1"/>
  <c r="AT35" i="1"/>
  <c r="BD35" i="1"/>
  <c r="BQ20" i="1"/>
  <c r="AS23" i="1"/>
  <c r="BB13" i="1"/>
  <c r="BJ45" i="1"/>
  <c r="BR23" i="1"/>
  <c r="BW46" i="1"/>
  <c r="AO13" i="1"/>
  <c r="AZ22" i="1"/>
  <c r="AP39" i="1"/>
  <c r="BU13" i="1"/>
  <c r="AI51" i="1"/>
  <c r="AT9" i="1"/>
  <c r="BG51" i="1"/>
  <c r="BI51" i="1"/>
  <c r="BV122" i="1"/>
  <c r="BW122" i="1" s="1"/>
  <c r="BH153" i="1"/>
  <c r="P150" i="1"/>
  <c r="C127" i="1"/>
  <c r="P118" i="1"/>
  <c r="BQ35" i="1"/>
  <c r="BV46" i="1"/>
  <c r="BI13" i="1"/>
  <c r="AZ51" i="1"/>
  <c r="BJ51" i="1"/>
  <c r="BE13" i="1"/>
  <c r="BA39" i="1"/>
  <c r="BR36" i="1"/>
  <c r="BF9" i="1"/>
  <c r="BR14" i="1"/>
  <c r="BA35" i="1"/>
  <c r="BB15" i="1"/>
  <c r="BI23" i="1"/>
  <c r="AO23" i="1"/>
  <c r="BH14" i="1"/>
  <c r="BH13" i="1"/>
  <c r="AP25" i="1"/>
  <c r="BH154" i="1"/>
  <c r="BI154" i="1" s="1"/>
  <c r="B132" i="1"/>
  <c r="I150" i="1"/>
  <c r="BU8" i="1"/>
  <c r="BU231" i="1" s="1"/>
  <c r="BO39" i="1"/>
  <c r="AU23" i="1"/>
  <c r="BG20" i="1"/>
  <c r="AU14" i="1"/>
  <c r="AI47" i="1"/>
  <c r="BO23" i="1"/>
  <c r="AS22" i="1"/>
  <c r="BV51" i="1"/>
  <c r="BA14" i="1"/>
  <c r="AW13" i="1"/>
  <c r="BB24" i="1"/>
  <c r="BN9" i="1"/>
  <c r="BC23" i="1"/>
  <c r="BS8" i="1"/>
  <c r="BK47" i="1"/>
  <c r="BB46" i="1"/>
  <c r="BW36" i="1"/>
  <c r="BE23" i="1"/>
  <c r="BT13" i="1"/>
  <c r="BU25" i="1"/>
  <c r="BK21" i="1"/>
  <c r="BK39" i="1"/>
  <c r="AP22" i="1"/>
  <c r="AR47" i="1"/>
  <c r="AZ46" i="1"/>
  <c r="AW45" i="1"/>
  <c r="U146" i="1"/>
  <c r="G132" i="1"/>
  <c r="H122" i="1"/>
  <c r="T132" i="1"/>
  <c r="AQ20" i="1"/>
  <c r="BJ35" i="1"/>
  <c r="AZ24" i="1"/>
  <c r="BA20" i="1"/>
  <c r="BK14" i="1"/>
  <c r="AT14" i="1"/>
  <c r="BO46" i="1"/>
  <c r="AX35" i="1"/>
  <c r="BV127" i="1"/>
  <c r="BW127" i="1" s="1"/>
  <c r="I137" i="1"/>
  <c r="C136" i="1"/>
  <c r="BJ73" i="1"/>
  <c r="AY32" i="1"/>
  <c r="AY194" i="1" s="1"/>
  <c r="BA51" i="1"/>
  <c r="BP39" i="1"/>
  <c r="BW15" i="1"/>
  <c r="BW32" i="1"/>
  <c r="BG46" i="1"/>
  <c r="BV22" i="1"/>
  <c r="AQ47" i="1"/>
  <c r="BW20" i="1"/>
  <c r="BW13" i="1"/>
  <c r="AV47" i="1"/>
  <c r="BV39" i="1"/>
  <c r="AV32" i="1"/>
  <c r="AV194" i="1" s="1"/>
  <c r="AS32" i="1"/>
  <c r="BT20" i="1"/>
  <c r="BQ51" i="1"/>
  <c r="AV15" i="1"/>
  <c r="AY35" i="1"/>
  <c r="BM25" i="1"/>
  <c r="AV22" i="1"/>
  <c r="BT45" i="1"/>
  <c r="AM47" i="1"/>
  <c r="AT13" i="1"/>
  <c r="AQ46" i="1"/>
  <c r="BC25" i="1"/>
  <c r="AU32" i="1"/>
  <c r="BV36" i="1"/>
  <c r="BH73" i="1"/>
  <c r="H150" i="1"/>
  <c r="M74" i="1"/>
  <c r="AW20" i="1"/>
  <c r="BF24" i="1"/>
  <c r="BQ14" i="1"/>
  <c r="AV45" i="1"/>
  <c r="AT24" i="1"/>
  <c r="AX36" i="1"/>
  <c r="AT47" i="1"/>
  <c r="BI25" i="1"/>
  <c r="AI22" i="1"/>
  <c r="BV74" i="1"/>
  <c r="BH152" i="1"/>
  <c r="BI152" i="1" s="1"/>
  <c r="BH163" i="1"/>
  <c r="BI163" i="1" s="1"/>
  <c r="BH126" i="1"/>
  <c r="BI126" i="1" s="1"/>
  <c r="BH142" i="1"/>
  <c r="BH144" i="1"/>
  <c r="W122" i="1"/>
  <c r="C118" i="1"/>
  <c r="H143" i="1"/>
  <c r="B171" i="1"/>
  <c r="N149" i="1"/>
  <c r="B146" i="1"/>
  <c r="F144" i="1"/>
  <c r="F179" i="1" s="1"/>
  <c r="D73" i="1"/>
  <c r="W147" i="1"/>
  <c r="D143" i="1"/>
  <c r="R67" i="1"/>
  <c r="G137" i="1"/>
  <c r="Q140" i="1"/>
  <c r="U172" i="1"/>
  <c r="N150" i="1"/>
  <c r="B131" i="1"/>
  <c r="C126" i="1"/>
  <c r="C154" i="1" s="1"/>
  <c r="M151" i="1"/>
  <c r="R163" i="1"/>
  <c r="U140" i="1"/>
  <c r="AZ25" i="1"/>
  <c r="BB22" i="1"/>
  <c r="AQ14" i="1"/>
  <c r="BT15" i="1"/>
  <c r="BE39" i="1"/>
  <c r="BR32" i="1"/>
  <c r="BR194" i="1" s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P20" i="1"/>
  <c r="BV14" i="1"/>
  <c r="BV149" i="1"/>
  <c r="BW149" i="1" s="1"/>
  <c r="BV143" i="1"/>
  <c r="BW143" i="1" s="1"/>
  <c r="BV151" i="1"/>
  <c r="BW151" i="1" s="1"/>
  <c r="K160" i="1"/>
  <c r="L79" i="1"/>
  <c r="P124" i="1"/>
  <c r="V146" i="1"/>
  <c r="S155" i="1"/>
  <c r="S163" i="1"/>
  <c r="W135" i="1"/>
  <c r="W131" i="1" s="1"/>
  <c r="C137" i="1"/>
  <c r="I163" i="1"/>
  <c r="B172" i="1"/>
  <c r="L142" i="1"/>
  <c r="J136" i="1"/>
  <c r="M119" i="1"/>
  <c r="I143" i="1"/>
  <c r="J150" i="1"/>
  <c r="I132" i="1"/>
  <c r="AK74" i="1"/>
  <c r="BD36" i="1"/>
  <c r="BV15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BF13" i="1"/>
  <c r="AZ36" i="1"/>
  <c r="AX25" i="1"/>
  <c r="BB20" i="1"/>
  <c r="AN21" i="1"/>
  <c r="AN45" i="1"/>
  <c r="BV73" i="1"/>
  <c r="AI73" i="1"/>
  <c r="BV152" i="1"/>
  <c r="BW152" i="1" s="1"/>
  <c r="BV118" i="1"/>
  <c r="BW118" i="1" s="1"/>
  <c r="BV160" i="1"/>
  <c r="BV131" i="1"/>
  <c r="N79" i="1"/>
  <c r="C78" i="1"/>
  <c r="G172" i="1"/>
  <c r="G145" i="1"/>
  <c r="G180" i="1" s="1"/>
  <c r="O151" i="1"/>
  <c r="S151" i="1"/>
  <c r="W119" i="1"/>
  <c r="W144" i="1"/>
  <c r="O119" i="1"/>
  <c r="C153" i="1"/>
  <c r="C183" i="1" s="1"/>
  <c r="S136" i="1"/>
  <c r="AO22" i="1"/>
  <c r="BH51" i="1"/>
  <c r="BE20" i="1"/>
  <c r="AI24" i="1"/>
  <c r="BC8" i="1"/>
  <c r="BC231" i="1" s="1"/>
  <c r="BK51" i="1"/>
  <c r="BD8" i="1"/>
  <c r="BN8" i="1"/>
  <c r="BQ32" i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BT39" i="1"/>
  <c r="AO25" i="1"/>
  <c r="BV21" i="1"/>
  <c r="AZ15" i="1"/>
  <c r="BI21" i="1"/>
  <c r="AN51" i="1"/>
  <c r="BO45" i="1"/>
  <c r="BR20" i="1"/>
  <c r="AX8" i="1"/>
  <c r="AX231" i="1" s="1"/>
  <c r="BG8" i="1"/>
  <c r="BG231" i="1" s="1"/>
  <c r="BN15" i="1"/>
  <c r="AI36" i="1"/>
  <c r="BV8" i="1"/>
  <c r="AS9" i="1"/>
  <c r="AY45" i="1"/>
  <c r="BN51" i="1"/>
  <c r="BW25" i="1"/>
  <c r="AT45" i="1"/>
  <c r="AQ39" i="1"/>
  <c r="BJ32" i="1"/>
  <c r="AS39" i="1"/>
  <c r="BH9" i="1"/>
  <c r="BH10" i="1" s="1"/>
  <c r="BQ22" i="1"/>
  <c r="AR36" i="1"/>
  <c r="BR9" i="1"/>
  <c r="BP21" i="1"/>
  <c r="AI32" i="1"/>
  <c r="BH151" i="1"/>
  <c r="BI151" i="1" s="1"/>
  <c r="BH124" i="1"/>
  <c r="BI124" i="1" s="1"/>
  <c r="BV150" i="1"/>
  <c r="BW150" i="1" s="1"/>
  <c r="BV126" i="1"/>
  <c r="BW126" i="1" s="1"/>
  <c r="BH118" i="1"/>
  <c r="BI118" i="1" s="1"/>
  <c r="BH150" i="1"/>
  <c r="BI150" i="1" s="1"/>
  <c r="N124" i="1"/>
  <c r="V73" i="1"/>
  <c r="J132" i="1"/>
  <c r="O127" i="1"/>
  <c r="C117" i="1"/>
  <c r="O155" i="1"/>
  <c r="T119" i="1"/>
  <c r="V135" i="1"/>
  <c r="V131" i="1" s="1"/>
  <c r="S172" i="1"/>
  <c r="Q143" i="1"/>
  <c r="G118" i="1"/>
  <c r="D149" i="1"/>
  <c r="E73" i="1"/>
  <c r="I144" i="1"/>
  <c r="I179" i="1" s="1"/>
  <c r="E150" i="1"/>
  <c r="I146" i="1"/>
  <c r="K122" i="1"/>
  <c r="Q142" i="1"/>
  <c r="I74" i="1"/>
  <c r="F149" i="1"/>
  <c r="Q147" i="1"/>
  <c r="V147" i="1"/>
  <c r="F172" i="1"/>
  <c r="V78" i="1"/>
  <c r="AS25" i="1"/>
  <c r="AR13" i="1"/>
  <c r="AT25" i="1"/>
  <c r="AP13" i="1"/>
  <c r="AW25" i="1"/>
  <c r="BI45" i="1"/>
  <c r="AY13" i="1"/>
  <c r="BG32" i="1"/>
  <c r="BB51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Z32" i="1"/>
  <c r="AZ194" i="1" s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K13" i="1"/>
  <c r="BC47" i="1"/>
  <c r="BA22" i="1"/>
  <c r="BO8" i="1"/>
  <c r="AN9" i="1"/>
  <c r="BH117" i="1"/>
  <c r="BI117" i="1" s="1"/>
  <c r="BV144" i="1"/>
  <c r="BV163" i="1"/>
  <c r="BW163" i="1" s="1"/>
  <c r="L124" i="1"/>
  <c r="W170" i="1"/>
  <c r="F150" i="1"/>
  <c r="V151" i="1"/>
  <c r="J145" i="1"/>
  <c r="J180" i="1" s="1"/>
  <c r="J117" i="1"/>
  <c r="L127" i="1"/>
  <c r="N151" i="1"/>
  <c r="B63" i="1"/>
  <c r="I125" i="1"/>
  <c r="T77" i="1"/>
  <c r="E133" i="1"/>
  <c r="I126" i="1"/>
  <c r="I154" i="1" s="1"/>
  <c r="S124" i="1"/>
  <c r="O79" i="1"/>
  <c r="F67" i="1"/>
  <c r="S125" i="1"/>
  <c r="P142" i="1"/>
  <c r="E127" i="1"/>
  <c r="W125" i="1"/>
  <c r="D78" i="1"/>
  <c r="C73" i="1"/>
  <c r="Q164" i="1"/>
  <c r="K79" i="1"/>
  <c r="P172" i="1"/>
  <c r="G170" i="1"/>
  <c r="BR24" i="1"/>
  <c r="AI45" i="1"/>
  <c r="AX21" i="1"/>
  <c r="AI21" i="1"/>
  <c r="BM24" i="1"/>
  <c r="BO22" i="1"/>
  <c r="BJ9" i="1"/>
  <c r="BJ10" i="1" s="1"/>
  <c r="BM21" i="1"/>
  <c r="BO20" i="1"/>
  <c r="BD14" i="1"/>
  <c r="BE21" i="1"/>
  <c r="BH137" i="1"/>
  <c r="BI137" i="1" s="1"/>
  <c r="BV159" i="1"/>
  <c r="BH119" i="1"/>
  <c r="J133" i="1"/>
  <c r="BA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U194" i="1" s="1"/>
  <c r="BS35" i="1"/>
  <c r="AM73" i="1"/>
  <c r="AN24" i="1"/>
  <c r="AI8" i="1"/>
  <c r="AI180" i="1" s="1"/>
  <c r="BP14" i="1"/>
  <c r="BK32" i="1"/>
  <c r="BK203" i="1" s="1"/>
  <c r="BK201" i="1" s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AV10" i="1" s="1"/>
  <c r="BK15" i="1"/>
  <c r="AP36" i="1"/>
  <c r="AP252" i="1" s="1"/>
  <c r="BG21" i="1"/>
  <c r="BQ21" i="1"/>
  <c r="BE45" i="1"/>
  <c r="AZ45" i="1"/>
  <c r="BN24" i="1"/>
  <c r="BS15" i="1"/>
  <c r="BK36" i="1"/>
  <c r="AO20" i="1"/>
  <c r="BS36" i="1"/>
  <c r="BS252" i="1" s="1"/>
  <c r="BP36" i="1"/>
  <c r="AY20" i="1"/>
  <c r="BC32" i="1"/>
  <c r="BC194" i="1" s="1"/>
  <c r="AZ21" i="1"/>
  <c r="AI35" i="1"/>
  <c r="BH146" i="1"/>
  <c r="BI146" i="1" s="1"/>
  <c r="BV153" i="1"/>
  <c r="BV147" i="1"/>
  <c r="BW147" i="1" s="1"/>
  <c r="BV117" i="1"/>
  <c r="U171" i="1"/>
  <c r="F164" i="1"/>
  <c r="D145" i="1"/>
  <c r="D180" i="1" s="1"/>
  <c r="P143" i="1"/>
  <c r="M137" i="1"/>
  <c r="F118" i="1"/>
  <c r="E145" i="1"/>
  <c r="E180" i="1" s="1"/>
  <c r="P149" i="1"/>
  <c r="U145" i="1"/>
  <c r="U180" i="1" s="1"/>
  <c r="G77" i="1"/>
  <c r="V67" i="1"/>
  <c r="J155" i="1"/>
  <c r="G124" i="1"/>
  <c r="P78" i="1"/>
  <c r="M77" i="1"/>
  <c r="U124" i="1"/>
  <c r="B64" i="1"/>
  <c r="D153" i="1"/>
  <c r="D183" i="1" s="1"/>
  <c r="R140" i="1"/>
  <c r="N135" i="1"/>
  <c r="N131" i="1" s="1"/>
  <c r="D140" i="1"/>
  <c r="AU35" i="1"/>
  <c r="BH132" i="1"/>
  <c r="BV155" i="1"/>
  <c r="BW155" i="1" s="1"/>
  <c r="BH135" i="1"/>
  <c r="BI135" i="1" s="1"/>
  <c r="B127" i="1"/>
  <c r="U122" i="1"/>
  <c r="B150" i="1"/>
  <c r="M153" i="1"/>
  <c r="M183" i="1" s="1"/>
  <c r="M67" i="1"/>
  <c r="B160" i="1"/>
  <c r="BD51" i="1"/>
  <c r="BK24" i="1"/>
  <c r="BH24" i="1"/>
  <c r="BJ39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U39" i="1"/>
  <c r="AS13" i="1"/>
  <c r="AS21" i="1"/>
  <c r="BH147" i="1"/>
  <c r="BI147" i="1" s="1"/>
  <c r="BV140" i="1"/>
  <c r="BH125" i="1"/>
  <c r="BI125" i="1" s="1"/>
  <c r="BV142" i="1"/>
  <c r="BW142" i="1" s="1"/>
  <c r="BH140" i="1"/>
  <c r="BH127" i="1"/>
  <c r="BI127" i="1" s="1"/>
  <c r="D118" i="1"/>
  <c r="W136" i="1"/>
  <c r="W153" i="1"/>
  <c r="L137" i="1"/>
  <c r="F170" i="1"/>
  <c r="U79" i="1"/>
  <c r="V122" i="1"/>
  <c r="F163" i="1"/>
  <c r="F153" i="1"/>
  <c r="F183" i="1" s="1"/>
  <c r="B151" i="1"/>
  <c r="M135" i="1"/>
  <c r="M131" i="1" s="1"/>
  <c r="S164" i="1"/>
  <c r="C140" i="1"/>
  <c r="D202" i="1" s="1"/>
  <c r="R142" i="1"/>
  <c r="Q172" i="1"/>
  <c r="F151" i="1"/>
  <c r="R78" i="1"/>
  <c r="AX32" i="1"/>
  <c r="BV32" i="1"/>
  <c r="BV194" i="1" s="1"/>
  <c r="BS14" i="1"/>
  <c r="BP20" i="1"/>
  <c r="BT14" i="1"/>
  <c r="BK22" i="1"/>
  <c r="BW39" i="1"/>
  <c r="AS46" i="1"/>
  <c r="B126" i="1"/>
  <c r="B154" i="1" s="1"/>
  <c r="AT36" i="1"/>
  <c r="BM46" i="1"/>
  <c r="AW15" i="1"/>
  <c r="BN14" i="1"/>
  <c r="AV23" i="1"/>
  <c r="BU51" i="1"/>
  <c r="BR35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BH133" i="1"/>
  <c r="BV137" i="1"/>
  <c r="BW137" i="1" s="1"/>
  <c r="BV119" i="1"/>
  <c r="BV133" i="1"/>
  <c r="T74" i="1"/>
  <c r="S67" i="1"/>
  <c r="T79" i="1"/>
  <c r="T170" i="1"/>
  <c r="F160" i="1"/>
  <c r="Q136" i="1"/>
  <c r="C159" i="1"/>
  <c r="U136" i="1"/>
  <c r="S73" i="1"/>
  <c r="J160" i="1"/>
  <c r="N146" i="1"/>
  <c r="F127" i="1"/>
  <c r="J140" i="1"/>
  <c r="L146" i="1"/>
  <c r="H118" i="1"/>
  <c r="B77" i="1"/>
  <c r="N132" i="1"/>
  <c r="R172" i="1"/>
  <c r="J142" i="1"/>
  <c r="Q133" i="1"/>
  <c r="Q150" i="1"/>
  <c r="AZ23" i="1"/>
  <c r="AU8" i="1"/>
  <c r="BI36" i="1"/>
  <c r="BM32" i="1"/>
  <c r="BC39" i="1"/>
  <c r="AY25" i="1"/>
  <c r="BQ36" i="1"/>
  <c r="BT47" i="1"/>
  <c r="BB23" i="1"/>
  <c r="AJ73" i="1"/>
  <c r="BM14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BJ74" i="1"/>
  <c r="BV132" i="1"/>
  <c r="BV135" i="1"/>
  <c r="BW135" i="1" s="1"/>
  <c r="BV164" i="1"/>
  <c r="BW164" i="1" s="1"/>
  <c r="BV154" i="1"/>
  <c r="BW154" i="1" s="1"/>
  <c r="BV146" i="1"/>
  <c r="BW146" i="1" s="1"/>
  <c r="M145" i="1"/>
  <c r="M180" i="1" s="1"/>
  <c r="R153" i="1"/>
  <c r="R183" i="1" s="1"/>
  <c r="I171" i="1"/>
  <c r="J164" i="1"/>
  <c r="T67" i="1"/>
  <c r="Q122" i="1"/>
  <c r="G147" i="1"/>
  <c r="J73" i="1"/>
  <c r="R124" i="1"/>
  <c r="K133" i="1"/>
  <c r="C171" i="1"/>
  <c r="Q144" i="1"/>
  <c r="Q179" i="1" s="1"/>
  <c r="G140" i="1"/>
  <c r="V77" i="1"/>
  <c r="D150" i="1"/>
  <c r="T126" i="1"/>
  <c r="T154" i="1" s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U209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AK73" i="1"/>
  <c r="BV13" i="1"/>
  <c r="BN35" i="1"/>
  <c r="BH164" i="1"/>
  <c r="BI164" i="1" s="1"/>
  <c r="BH149" i="1"/>
  <c r="BV145" i="1"/>
  <c r="BV125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P134" i="1" s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Q120" i="1" s="1"/>
  <c r="E143" i="1"/>
  <c r="R126" i="1"/>
  <c r="R154" i="1" s="1"/>
  <c r="F159" i="1"/>
  <c r="V149" i="1"/>
  <c r="P122" i="1"/>
  <c r="M126" i="1"/>
  <c r="M154" i="1" s="1"/>
  <c r="U155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AZ154" i="1"/>
  <c r="BA154" i="1" s="1"/>
  <c r="BT131" i="1"/>
  <c r="BP155" i="1"/>
  <c r="BQ155" i="1" s="1"/>
  <c r="BP73" i="1"/>
  <c r="AP146" i="1"/>
  <c r="AQ146" i="1" s="1"/>
  <c r="BI73" i="1"/>
  <c r="AX144" i="1"/>
  <c r="AZ152" i="1"/>
  <c r="BA152" i="1" s="1"/>
  <c r="AZ117" i="1"/>
  <c r="BA117" i="1" s="1"/>
  <c r="BN164" i="1"/>
  <c r="BO164" i="1" s="1"/>
  <c r="BT151" i="1"/>
  <c r="BU151" i="1" s="1"/>
  <c r="BN119" i="1"/>
  <c r="AX118" i="1"/>
  <c r="AY118" i="1" s="1"/>
  <c r="BW74" i="1"/>
  <c r="BN126" i="1"/>
  <c r="BO126" i="1" s="1"/>
  <c r="AP125" i="1"/>
  <c r="AQ125" i="1" s="1"/>
  <c r="AT131" i="1"/>
  <c r="AZ131" i="1"/>
  <c r="BD147" i="1"/>
  <c r="BE147" i="1" s="1"/>
  <c r="AP143" i="1"/>
  <c r="AQ143" i="1" s="1"/>
  <c r="BB135" i="1"/>
  <c r="BC135" i="1" s="1"/>
  <c r="AN117" i="1"/>
  <c r="AR164" i="1"/>
  <c r="AS164" i="1" s="1"/>
  <c r="AT151" i="1"/>
  <c r="AU151" i="1" s="1"/>
  <c r="AX74" i="1"/>
  <c r="BN122" i="1"/>
  <c r="BO122" i="1" s="1"/>
  <c r="BP127" i="1"/>
  <c r="BQ127" i="1" s="1"/>
  <c r="AZ160" i="1"/>
  <c r="AW73" i="1"/>
  <c r="BP126" i="1"/>
  <c r="BQ126" i="1" s="1"/>
  <c r="BD152" i="1"/>
  <c r="BE152" i="1" s="1"/>
  <c r="BG73" i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AZ135" i="1"/>
  <c r="BA135" i="1" s="1"/>
  <c r="BT146" i="1"/>
  <c r="BU146" i="1" s="1"/>
  <c r="BP124" i="1"/>
  <c r="BQ124" i="1" s="1"/>
  <c r="BP142" i="1"/>
  <c r="BQ142" i="1" s="1"/>
  <c r="BT74" i="1"/>
  <c r="AX147" i="1"/>
  <c r="AY147" i="1" s="1"/>
  <c r="AX152" i="1"/>
  <c r="AY152" i="1" s="1"/>
  <c r="BB124" i="1"/>
  <c r="AZ147" i="1"/>
  <c r="BA147" i="1" s="1"/>
  <c r="BP131" i="1"/>
  <c r="AV144" i="1"/>
  <c r="BW73" i="1"/>
  <c r="BN155" i="1"/>
  <c r="BO155" i="1" s="1"/>
  <c r="BP119" i="1"/>
  <c r="BD74" i="1"/>
  <c r="AT125" i="1"/>
  <c r="AU125" i="1" s="1"/>
  <c r="BN125" i="1"/>
  <c r="BO125" i="1" s="1"/>
  <c r="BB146" i="1"/>
  <c r="BC146" i="1" s="1"/>
  <c r="AT122" i="1"/>
  <c r="AU122" i="1" s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AT133" i="1"/>
  <c r="AX150" i="1"/>
  <c r="AY150" i="1" s="1"/>
  <c r="BN132" i="1"/>
  <c r="AY74" i="1"/>
  <c r="BB160" i="1"/>
  <c r="BD131" i="1"/>
  <c r="BA74" i="1"/>
  <c r="BB127" i="1"/>
  <c r="BC127" i="1" s="1"/>
  <c r="AT144" i="1"/>
  <c r="BC73" i="1"/>
  <c r="BD151" i="1"/>
  <c r="BE151" i="1" s="1"/>
  <c r="BT159" i="1"/>
  <c r="AV149" i="1"/>
  <c r="AW149" i="1" s="1"/>
  <c r="BN142" i="1"/>
  <c r="BO142" i="1" s="1"/>
  <c r="AZ144" i="1"/>
  <c r="AP124" i="1"/>
  <c r="AQ124" i="1" s="1"/>
  <c r="BP117" i="1"/>
  <c r="BQ117" i="1" s="1"/>
  <c r="AP150" i="1"/>
  <c r="AQ150" i="1" s="1"/>
  <c r="BD164" i="1"/>
  <c r="BE164" i="1" s="1"/>
  <c r="AV159" i="1"/>
  <c r="AV117" i="1"/>
  <c r="AW117" i="1" s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N73" i="1"/>
  <c r="AV160" i="1"/>
  <c r="AR144" i="1"/>
  <c r="AV151" i="1"/>
  <c r="AW151" i="1" s="1"/>
  <c r="AR147" i="1"/>
  <c r="AS147" i="1" s="1"/>
  <c r="BB145" i="1"/>
  <c r="AT118" i="1"/>
  <c r="AU118" i="1" s="1"/>
  <c r="AX163" i="1"/>
  <c r="AY163" i="1" s="1"/>
  <c r="BB140" i="1"/>
  <c r="BC140" i="1" s="1"/>
  <c r="BB153" i="1"/>
  <c r="AX155" i="1"/>
  <c r="AY155" i="1" s="1"/>
  <c r="BN159" i="1"/>
  <c r="AZ126" i="1"/>
  <c r="BA126" i="1" s="1"/>
  <c r="AX131" i="1"/>
  <c r="BN144" i="1"/>
  <c r="BS73" i="1"/>
  <c r="BQ74" i="1"/>
  <c r="AT135" i="1"/>
  <c r="AU135" i="1" s="1"/>
  <c r="AT126" i="1"/>
  <c r="AU126" i="1" s="1"/>
  <c r="AZ122" i="1"/>
  <c r="BA122" i="1" s="1"/>
  <c r="BD163" i="1"/>
  <c r="BE163" i="1" s="1"/>
  <c r="BT119" i="1"/>
  <c r="BB154" i="1"/>
  <c r="BC154" i="1" s="1"/>
  <c r="AX119" i="1"/>
  <c r="AX135" i="1"/>
  <c r="AY135" i="1" s="1"/>
  <c r="AX145" i="1"/>
  <c r="AZ133" i="1"/>
  <c r="AZ155" i="1"/>
  <c r="BA155" i="1" s="1"/>
  <c r="BN150" i="1"/>
  <c r="BO150" i="1" s="1"/>
  <c r="AQ74" i="1"/>
  <c r="AZ127" i="1"/>
  <c r="BA127" i="1" s="1"/>
  <c r="BD146" i="1"/>
  <c r="BE146" i="1" s="1"/>
  <c r="BT135" i="1"/>
  <c r="BU135" i="1" s="1"/>
  <c r="BP74" i="1"/>
  <c r="AV154" i="1"/>
  <c r="AW154" i="1" s="1"/>
  <c r="BN74" i="1"/>
  <c r="AN164" i="1"/>
  <c r="AO164" i="1" s="1"/>
  <c r="AT150" i="1"/>
  <c r="AX149" i="1"/>
  <c r="AX132" i="1"/>
  <c r="AX137" i="1"/>
  <c r="AY137" i="1" s="1"/>
  <c r="BE73" i="1"/>
  <c r="BN133" i="1"/>
  <c r="BN124" i="1"/>
  <c r="BN145" i="1"/>
  <c r="BN154" i="1"/>
  <c r="BO154" i="1" s="1"/>
  <c r="AY73" i="1"/>
  <c r="AZ151" i="1"/>
  <c r="BA151" i="1" s="1"/>
  <c r="BD145" i="1"/>
  <c r="AP118" i="1"/>
  <c r="AQ118" i="1" s="1"/>
  <c r="AZ118" i="1"/>
  <c r="BA118" i="1" s="1"/>
  <c r="AX126" i="1"/>
  <c r="AY126" i="1" s="1"/>
  <c r="AX142" i="1"/>
  <c r="AY142" i="1" s="1"/>
  <c r="BN147" i="1"/>
  <c r="BO147" i="1" s="1"/>
  <c r="BB122" i="1"/>
  <c r="BC122" i="1" s="1"/>
  <c r="AP149" i="1"/>
  <c r="AQ149" i="1" s="1"/>
  <c r="AW74" i="1"/>
  <c r="AT127" i="1"/>
  <c r="AU127" i="1" s="1"/>
  <c r="AT145" i="1"/>
  <c r="AT155" i="1"/>
  <c r="AU155" i="1" s="1"/>
  <c r="AT146" i="1"/>
  <c r="AU146" i="1" s="1"/>
  <c r="AT117" i="1"/>
  <c r="BB150" i="1"/>
  <c r="BC150" i="1" s="1"/>
  <c r="BD140" i="1"/>
  <c r="BE140" i="1" s="1"/>
  <c r="AP74" i="1"/>
  <c r="BG74" i="1"/>
  <c r="AZ164" i="1"/>
  <c r="BA164" i="1" s="1"/>
  <c r="BK73" i="1"/>
  <c r="AT143" i="1"/>
  <c r="AU143" i="1" s="1"/>
  <c r="AT119" i="1"/>
  <c r="BN153" i="1"/>
  <c r="BB133" i="1"/>
  <c r="BB142" i="1"/>
  <c r="BC142" i="1" s="1"/>
  <c r="AZ149" i="1"/>
  <c r="BA149" i="1" s="1"/>
  <c r="AN146" i="1"/>
  <c r="AO146" i="1" s="1"/>
  <c r="BT150" i="1"/>
  <c r="BU150" i="1" s="1"/>
  <c r="AN159" i="1"/>
  <c r="AP144" i="1"/>
  <c r="AN152" i="1"/>
  <c r="AO152" i="1" s="1"/>
  <c r="AR74" i="1"/>
  <c r="BT147" i="1"/>
  <c r="BU147" i="1" s="1"/>
  <c r="BP152" i="1"/>
  <c r="BQ152" i="1" s="1"/>
  <c r="AV74" i="1"/>
  <c r="AP127" i="1"/>
  <c r="AQ127" i="1" s="1"/>
  <c r="AV118" i="1"/>
  <c r="AW118" i="1" s="1"/>
  <c r="AR117" i="1"/>
  <c r="AP153" i="1"/>
  <c r="BP133" i="1"/>
  <c r="AN147" i="1"/>
  <c r="AO147" i="1" s="1"/>
  <c r="AR137" i="1"/>
  <c r="AS137" i="1" s="1"/>
  <c r="BI74" i="1"/>
  <c r="AS74" i="1"/>
  <c r="AR150" i="1"/>
  <c r="AS150" i="1" s="1"/>
  <c r="AN154" i="1"/>
  <c r="AO154" i="1" s="1"/>
  <c r="BP154" i="1"/>
  <c r="BQ154" i="1" s="1"/>
  <c r="AN151" i="1"/>
  <c r="AO151" i="1" s="1"/>
  <c r="AN135" i="1"/>
  <c r="AO135" i="1" s="1"/>
  <c r="AR127" i="1"/>
  <c r="AS127" i="1" s="1"/>
  <c r="BS74" i="1"/>
  <c r="AR149" i="1"/>
  <c r="AS149" i="1" s="1"/>
  <c r="AP73" i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BK74" i="1"/>
  <c r="AX117" i="1"/>
  <c r="AX154" i="1"/>
  <c r="AY154" i="1" s="1"/>
  <c r="BB125" i="1"/>
  <c r="BC125" i="1" s="1"/>
  <c r="AX124" i="1"/>
  <c r="BT124" i="1"/>
  <c r="AP155" i="1"/>
  <c r="AQ155" i="1" s="1"/>
  <c r="AT164" i="1"/>
  <c r="AU164" i="1" s="1"/>
  <c r="AT152" i="1"/>
  <c r="AU152" i="1" s="1"/>
  <c r="BC74" i="1"/>
  <c r="AZ124" i="1"/>
  <c r="BA124" i="1" s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AZ74" i="1"/>
  <c r="BD133" i="1"/>
  <c r="BN140" i="1"/>
  <c r="BB164" i="1"/>
  <c r="BC164" i="1" s="1"/>
  <c r="AZ119" i="1"/>
  <c r="BD118" i="1"/>
  <c r="BE118" i="1" s="1"/>
  <c r="BT164" i="1"/>
  <c r="BU164" i="1" s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B159" i="1"/>
  <c r="BT118" i="1"/>
  <c r="BU118" i="1" s="1"/>
  <c r="BP163" i="1"/>
  <c r="BQ163" i="1" s="1"/>
  <c r="BM73" i="1"/>
  <c r="AX127" i="1"/>
  <c r="AY127" i="1" s="1"/>
  <c r="BN151" i="1"/>
  <c r="BO151" i="1" s="1"/>
  <c r="BN117" i="1"/>
  <c r="BO117" i="1" s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BN135" i="1"/>
  <c r="BO135" i="1" s="1"/>
  <c r="BB152" i="1"/>
  <c r="BC152" i="1" s="1"/>
  <c r="AZ125" i="1"/>
  <c r="BA125" i="1" s="1"/>
  <c r="BP118" i="1"/>
  <c r="BQ118" i="1" s="1"/>
  <c r="AP152" i="1"/>
  <c r="AQ152" i="1" s="1"/>
  <c r="AT163" i="1"/>
  <c r="AU163" i="1" s="1"/>
  <c r="AT147" i="1"/>
  <c r="AU147" i="1" s="1"/>
  <c r="BT126" i="1"/>
  <c r="BU126" i="1" s="1"/>
  <c r="BB118" i="1"/>
  <c r="BC118" i="1" s="1"/>
  <c r="AZ73" i="1"/>
  <c r="AP164" i="1"/>
  <c r="AQ164" i="1" s="1"/>
  <c r="AN145" i="1"/>
  <c r="BD154" i="1"/>
  <c r="BE154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N153" i="1"/>
  <c r="AV155" i="1"/>
  <c r="AW155" i="1" s="1"/>
  <c r="AR132" i="1"/>
  <c r="AR131" i="1"/>
  <c r="AR159" i="1"/>
  <c r="BD132" i="1"/>
  <c r="AN144" i="1"/>
  <c r="AR145" i="1"/>
  <c r="AN149" i="1"/>
  <c r="AO149" i="1" s="1"/>
  <c r="AR155" i="1"/>
  <c r="AS155" i="1" s="1"/>
  <c r="AP154" i="1"/>
  <c r="AQ154" i="1" s="1"/>
  <c r="AN127" i="1"/>
  <c r="AO127" i="1" s="1"/>
  <c r="AN131" i="1"/>
  <c r="AT132" i="1"/>
  <c r="AT73" i="1"/>
  <c r="AN73" i="1"/>
  <c r="AN125" i="1"/>
  <c r="AO125" i="1" s="1"/>
  <c r="AO74" i="1"/>
  <c r="AV137" i="1"/>
  <c r="AW137" i="1" s="1"/>
  <c r="AV143" i="1"/>
  <c r="AP137" i="1"/>
  <c r="AQ137" i="1" s="1"/>
  <c r="AT137" i="1"/>
  <c r="AU137" i="1" s="1"/>
  <c r="BD137" i="1"/>
  <c r="BE137" i="1" s="1"/>
  <c r="BN137" i="1"/>
  <c r="BO137" i="1" s="1"/>
  <c r="BT137" i="1"/>
  <c r="BU137" i="1" s="1"/>
  <c r="BB137" i="1"/>
  <c r="BC137" i="1" s="1"/>
  <c r="AX143" i="1"/>
  <c r="AZ143" i="1"/>
  <c r="AT231" i="1"/>
  <c r="BQ10" i="1"/>
  <c r="BQ231" i="1"/>
  <c r="BB194" i="1"/>
  <c r="BB253" i="1"/>
  <c r="BU252" i="1"/>
  <c r="AT10" i="1"/>
  <c r="AS252" i="1"/>
  <c r="BS10" i="1"/>
  <c r="BB231" i="1"/>
  <c r="AS253" i="1"/>
  <c r="AS194" i="1"/>
  <c r="BS253" i="1"/>
  <c r="CQ134" i="1"/>
  <c r="DB77" i="1"/>
  <c r="CY65" i="1"/>
  <c r="CZ63" i="1"/>
  <c r="AR134" i="1" l="1"/>
  <c r="BP183" i="1"/>
  <c r="BQ183" i="1" s="1"/>
  <c r="BP179" i="1"/>
  <c r="BQ179" i="1" s="1"/>
  <c r="BP180" i="1"/>
  <c r="BQ180" i="1" s="1"/>
  <c r="AT252" i="1"/>
  <c r="AP26" i="1"/>
  <c r="BF252" i="1"/>
  <c r="BB252" i="1"/>
  <c r="R120" i="1"/>
  <c r="BT252" i="1"/>
  <c r="BR151" i="1"/>
  <c r="BS151" i="1" s="1"/>
  <c r="BR144" i="1"/>
  <c r="V134" i="1"/>
  <c r="F156" i="1"/>
  <c r="F185" i="1" s="1"/>
  <c r="BR146" i="1"/>
  <c r="BS146" i="1" s="1"/>
  <c r="J202" i="1"/>
  <c r="BG10" i="1"/>
  <c r="AV252" i="1"/>
  <c r="O202" i="1"/>
  <c r="L202" i="1"/>
  <c r="BR126" i="1"/>
  <c r="BS126" i="1" s="1"/>
  <c r="BF125" i="1"/>
  <c r="BG125" i="1" s="1"/>
  <c r="BR159" i="1"/>
  <c r="BF74" i="1"/>
  <c r="BD135" i="1"/>
  <c r="BE135" i="1" s="1"/>
  <c r="BF147" i="1"/>
  <c r="BG147" i="1" s="1"/>
  <c r="BF154" i="1"/>
  <c r="BG154" i="1" s="1"/>
  <c r="BR127" i="1"/>
  <c r="BS127" i="1" s="1"/>
  <c r="BF151" i="1"/>
  <c r="BG151" i="1" s="1"/>
  <c r="BF124" i="1"/>
  <c r="BG124" i="1" s="1"/>
  <c r="BF163" i="1"/>
  <c r="BG163" i="1" s="1"/>
  <c r="BR132" i="1"/>
  <c r="BF164" i="1"/>
  <c r="BG164" i="1" s="1"/>
  <c r="BF118" i="1"/>
  <c r="BG118" i="1" s="1"/>
  <c r="BF117" i="1"/>
  <c r="BG117" i="1" s="1"/>
  <c r="BR149" i="1"/>
  <c r="BS149" i="1" s="1"/>
  <c r="BR73" i="1"/>
  <c r="BF132" i="1"/>
  <c r="AT179" i="1"/>
  <c r="AU179" i="1" s="1"/>
  <c r="BR145" i="1"/>
  <c r="BD126" i="1"/>
  <c r="BE126" i="1" s="1"/>
  <c r="BD117" i="1"/>
  <c r="BR135" i="1"/>
  <c r="BS135" i="1" s="1"/>
  <c r="BF160" i="1"/>
  <c r="BR118" i="1"/>
  <c r="BS118" i="1" s="1"/>
  <c r="BF145" i="1"/>
  <c r="BD122" i="1"/>
  <c r="BE122" i="1" s="1"/>
  <c r="BF131" i="1"/>
  <c r="BF153" i="1"/>
  <c r="BF135" i="1"/>
  <c r="BG135" i="1" s="1"/>
  <c r="BD150" i="1"/>
  <c r="BE150" i="1" s="1"/>
  <c r="BR74" i="1"/>
  <c r="BD124" i="1"/>
  <c r="BE124" i="1" s="1"/>
  <c r="BR164" i="1"/>
  <c r="BS164" i="1" s="1"/>
  <c r="BR142" i="1"/>
  <c r="BS142" i="1" s="1"/>
  <c r="BF142" i="1"/>
  <c r="BG142" i="1" s="1"/>
  <c r="BR133" i="1"/>
  <c r="BR155" i="1"/>
  <c r="BS155" i="1" s="1"/>
  <c r="BR150" i="1"/>
  <c r="BS150" i="1" s="1"/>
  <c r="BD119" i="1"/>
  <c r="BF122" i="1"/>
  <c r="BG122" i="1" s="1"/>
  <c r="BF140" i="1"/>
  <c r="BG140" i="1" s="1"/>
  <c r="BD142" i="1"/>
  <c r="BE142" i="1" s="1"/>
  <c r="BD153" i="1"/>
  <c r="BF126" i="1"/>
  <c r="BG126" i="1" s="1"/>
  <c r="BD73" i="1"/>
  <c r="BR124" i="1"/>
  <c r="BS124" i="1" s="1"/>
  <c r="BD159" i="1"/>
  <c r="BR154" i="1"/>
  <c r="BS154" i="1" s="1"/>
  <c r="BF144" i="1"/>
  <c r="BR140" i="1"/>
  <c r="BF152" i="1"/>
  <c r="BG152" i="1" s="1"/>
  <c r="BD144" i="1"/>
  <c r="BF146" i="1"/>
  <c r="BG146" i="1" s="1"/>
  <c r="BF127" i="1"/>
  <c r="BG127" i="1" s="1"/>
  <c r="BR152" i="1"/>
  <c r="BS152" i="1" s="1"/>
  <c r="BR119" i="1"/>
  <c r="BR125" i="1"/>
  <c r="BS125" i="1" s="1"/>
  <c r="BR117" i="1"/>
  <c r="BF149" i="1"/>
  <c r="BG149" i="1" s="1"/>
  <c r="BR147" i="1"/>
  <c r="BS147" i="1" s="1"/>
  <c r="BR160" i="1"/>
  <c r="BR122" i="1"/>
  <c r="BS122" i="1" s="1"/>
  <c r="BF133" i="1"/>
  <c r="BR131" i="1"/>
  <c r="BR163" i="1"/>
  <c r="BS163" i="1" s="1"/>
  <c r="BF155" i="1"/>
  <c r="BG155" i="1" s="1"/>
  <c r="BF159" i="1"/>
  <c r="BF73" i="1"/>
  <c r="BD125" i="1"/>
  <c r="BE125" i="1" s="1"/>
  <c r="AU74" i="1"/>
  <c r="BF137" i="1"/>
  <c r="BG137" i="1" s="1"/>
  <c r="BR137" i="1"/>
  <c r="BS137" i="1" s="1"/>
  <c r="BF143" i="1"/>
  <c r="BD143" i="1"/>
  <c r="BR143" i="1"/>
  <c r="BH183" i="1"/>
  <c r="BI183" i="1" s="1"/>
  <c r="BH179" i="1"/>
  <c r="BI179" i="1" s="1"/>
  <c r="BM10" i="1"/>
  <c r="BU10" i="1"/>
  <c r="AN10" i="1"/>
  <c r="BV179" i="1"/>
  <c r="BW179" i="1" s="1"/>
  <c r="G173" i="1"/>
  <c r="BR26" i="1"/>
  <c r="BH120" i="1"/>
  <c r="BH92" i="1" s="1"/>
  <c r="BH96" i="1" s="1"/>
  <c r="BM252" i="1"/>
  <c r="AS98" i="1"/>
  <c r="AS99" i="1" s="1"/>
  <c r="BP10" i="1"/>
  <c r="BP252" i="1"/>
  <c r="AW252" i="1"/>
  <c r="AN252" i="1"/>
  <c r="F173" i="1"/>
  <c r="BH252" i="1"/>
  <c r="BP253" i="1"/>
  <c r="G202" i="1"/>
  <c r="H161" i="1"/>
  <c r="C202" i="1"/>
  <c r="O128" i="1"/>
  <c r="U161" i="1"/>
  <c r="V209" i="1" s="1"/>
  <c r="Q134" i="1"/>
  <c r="J156" i="1"/>
  <c r="K120" i="1"/>
  <c r="J134" i="1"/>
  <c r="O156" i="1"/>
  <c r="I120" i="1"/>
  <c r="U120" i="1"/>
  <c r="I173" i="1"/>
  <c r="R161" i="1"/>
  <c r="L156" i="1"/>
  <c r="U128" i="1"/>
  <c r="Q202" i="1"/>
  <c r="BH180" i="1"/>
  <c r="BI180" i="1" s="1"/>
  <c r="AQ73" i="1"/>
  <c r="AR183" i="1"/>
  <c r="AV183" i="1"/>
  <c r="AT183" i="1"/>
  <c r="AU183" i="1" s="1"/>
  <c r="BB180" i="1"/>
  <c r="BC180" i="1" s="1"/>
  <c r="BB183" i="1"/>
  <c r="AX180" i="1"/>
  <c r="AY180" i="1" s="1"/>
  <c r="BT154" i="1"/>
  <c r="BU154" i="1" s="1"/>
  <c r="AS73" i="1"/>
  <c r="BT145" i="1"/>
  <c r="AN180" i="1"/>
  <c r="AO180" i="1" s="1"/>
  <c r="AN183" i="1"/>
  <c r="AO183" i="1" s="1"/>
  <c r="AN179" i="1"/>
  <c r="AO179" i="1" s="1"/>
  <c r="AW10" i="1"/>
  <c r="BM231" i="1"/>
  <c r="AW253" i="1"/>
  <c r="BT194" i="1"/>
  <c r="AN231" i="1"/>
  <c r="AN98" i="1"/>
  <c r="AN99" i="1" s="1"/>
  <c r="AQ194" i="1"/>
  <c r="BB10" i="1"/>
  <c r="AW231" i="1"/>
  <c r="AX10" i="1"/>
  <c r="AV26" i="1"/>
  <c r="AW26" i="1"/>
  <c r="AX252" i="1"/>
  <c r="N156" i="1"/>
  <c r="N185" i="1" s="1"/>
  <c r="N184" i="1" s="1"/>
  <c r="BN252" i="1"/>
  <c r="AU26" i="1"/>
  <c r="BG252" i="1"/>
  <c r="BD252" i="1"/>
  <c r="BU26" i="1"/>
  <c r="BB26" i="1"/>
  <c r="BV183" i="1"/>
  <c r="R202" i="1"/>
  <c r="AQ252" i="1"/>
  <c r="BF26" i="1"/>
  <c r="BI26" i="1"/>
  <c r="AU10" i="1"/>
  <c r="BP26" i="1"/>
  <c r="BO252" i="1"/>
  <c r="AU252" i="1"/>
  <c r="AY26" i="1"/>
  <c r="BV26" i="1"/>
  <c r="AO26" i="1"/>
  <c r="BE252" i="1"/>
  <c r="BD26" i="1"/>
  <c r="J161" i="1"/>
  <c r="H120" i="1"/>
  <c r="D134" i="1"/>
  <c r="BV180" i="1"/>
  <c r="BW180" i="1" s="1"/>
  <c r="D128" i="1"/>
  <c r="T202" i="1"/>
  <c r="L173" i="1"/>
  <c r="B128" i="1"/>
  <c r="J120" i="1"/>
  <c r="V173" i="1"/>
  <c r="F128" i="1"/>
  <c r="F37" i="1" s="1"/>
  <c r="Q148" i="1"/>
  <c r="F148" i="1"/>
  <c r="Q161" i="1"/>
  <c r="I128" i="1"/>
  <c r="N128" i="1"/>
  <c r="V161" i="1"/>
  <c r="W209" i="1" s="1"/>
  <c r="D65" i="1"/>
  <c r="D107" i="1" s="1"/>
  <c r="W173" i="1"/>
  <c r="C156" i="1"/>
  <c r="W134" i="1"/>
  <c r="O173" i="1"/>
  <c r="F120" i="1"/>
  <c r="AZ183" i="1"/>
  <c r="BA183" i="1" s="1"/>
  <c r="AX179" i="1"/>
  <c r="AY179" i="1" s="1"/>
  <c r="AT180" i="1"/>
  <c r="AU180" i="1" s="1"/>
  <c r="AP179" i="1"/>
  <c r="AQ179" i="1" s="1"/>
  <c r="AP183" i="1"/>
  <c r="AQ183" i="1" s="1"/>
  <c r="AQ231" i="1"/>
  <c r="AQ253" i="1"/>
  <c r="BJ253" i="1"/>
  <c r="BJ194" i="1"/>
  <c r="AI194" i="1"/>
  <c r="AI203" i="1"/>
  <c r="AI201" i="1" s="1"/>
  <c r="AI33" i="1"/>
  <c r="BG194" i="1"/>
  <c r="BG253" i="1"/>
  <c r="AY10" i="1"/>
  <c r="AY231" i="1"/>
  <c r="AY252" i="1"/>
  <c r="BR231" i="1"/>
  <c r="BR252" i="1"/>
  <c r="BR10" i="1"/>
  <c r="AV231" i="1"/>
  <c r="AY98" i="1"/>
  <c r="AY99" i="1" s="1"/>
  <c r="AR231" i="1"/>
  <c r="AU98" i="1"/>
  <c r="AU99" i="1" s="1"/>
  <c r="BO10" i="1"/>
  <c r="BO231" i="1"/>
  <c r="AU231" i="1"/>
  <c r="AX98" i="1"/>
  <c r="AX99" i="1" s="1"/>
  <c r="AV98" i="1"/>
  <c r="AV99" i="1" s="1"/>
  <c r="AW98" i="1"/>
  <c r="AW99" i="1" s="1"/>
  <c r="BM194" i="1"/>
  <c r="BM253" i="1"/>
  <c r="BM203" i="1"/>
  <c r="BM201" i="1" s="1"/>
  <c r="BM33" i="1"/>
  <c r="BA194" i="1"/>
  <c r="BA253" i="1"/>
  <c r="BV134" i="1"/>
  <c r="AM48" i="1"/>
  <c r="BV231" i="1"/>
  <c r="BX98" i="1"/>
  <c r="BX99" i="1" s="1"/>
  <c r="BY98" i="1"/>
  <c r="BY99" i="1" s="1"/>
  <c r="BW10" i="1"/>
  <c r="BW11" i="1" s="1"/>
  <c r="BW231" i="1"/>
  <c r="BZ98" i="1"/>
  <c r="BZ99" i="1" s="1"/>
  <c r="BW252" i="1"/>
  <c r="AZ10" i="1"/>
  <c r="BN26" i="1"/>
  <c r="AO10" i="1"/>
  <c r="BH161" i="1"/>
  <c r="AS26" i="1"/>
  <c r="BK26" i="1"/>
  <c r="AQ26" i="1"/>
  <c r="BC26" i="1"/>
  <c r="B134" i="1"/>
  <c r="BS26" i="1"/>
  <c r="BS27" i="1" s="1"/>
  <c r="AZ252" i="1"/>
  <c r="BE26" i="1"/>
  <c r="BO26" i="1"/>
  <c r="B156" i="1"/>
  <c r="B185" i="1" s="1"/>
  <c r="B184" i="1" s="1"/>
  <c r="AR26" i="1"/>
  <c r="AI37" i="1"/>
  <c r="AS10" i="1"/>
  <c r="T120" i="1"/>
  <c r="AT26" i="1"/>
  <c r="BA26" i="1"/>
  <c r="L128" i="1"/>
  <c r="BV161" i="1"/>
  <c r="BW209" i="1" s="1"/>
  <c r="BM26" i="1"/>
  <c r="BG26" i="1"/>
  <c r="N134" i="1"/>
  <c r="BQ252" i="1"/>
  <c r="BW26" i="1"/>
  <c r="R128" i="1"/>
  <c r="R37" i="1" s="1"/>
  <c r="M128" i="1"/>
  <c r="T134" i="1"/>
  <c r="T33" i="1" s="1"/>
  <c r="M134" i="1"/>
  <c r="S120" i="1"/>
  <c r="G120" i="1"/>
  <c r="E202" i="1"/>
  <c r="V128" i="1"/>
  <c r="S161" i="1"/>
  <c r="T209" i="1" s="1"/>
  <c r="E120" i="1"/>
  <c r="O134" i="1"/>
  <c r="D148" i="1"/>
  <c r="U148" i="1"/>
  <c r="C161" i="1"/>
  <c r="K134" i="1"/>
  <c r="D173" i="1"/>
  <c r="F134" i="1"/>
  <c r="P173" i="1"/>
  <c r="B173" i="1"/>
  <c r="R173" i="1"/>
  <c r="R156" i="1"/>
  <c r="R185" i="1" s="1"/>
  <c r="D161" i="1"/>
  <c r="V202" i="1"/>
  <c r="K161" i="1"/>
  <c r="E134" i="1"/>
  <c r="B120" i="1"/>
  <c r="U202" i="1"/>
  <c r="R148" i="1"/>
  <c r="R157" i="1" s="1"/>
  <c r="U173" i="1"/>
  <c r="C173" i="1"/>
  <c r="H173" i="1"/>
  <c r="L134" i="1"/>
  <c r="N148" i="1"/>
  <c r="T156" i="1"/>
  <c r="V148" i="1"/>
  <c r="S173" i="1"/>
  <c r="C128" i="1"/>
  <c r="G161" i="1"/>
  <c r="S148" i="1"/>
  <c r="B161" i="1"/>
  <c r="C209" i="1" s="1"/>
  <c r="M148" i="1"/>
  <c r="M182" i="1" s="1"/>
  <c r="M181" i="1" s="1"/>
  <c r="K202" i="1"/>
  <c r="K128" i="1"/>
  <c r="N173" i="1"/>
  <c r="M120" i="1"/>
  <c r="V120" i="1"/>
  <c r="I202" i="1"/>
  <c r="E148" i="1"/>
  <c r="F161" i="1"/>
  <c r="Q156" i="1"/>
  <c r="N202" i="1"/>
  <c r="E173" i="1"/>
  <c r="M173" i="1"/>
  <c r="G128" i="1"/>
  <c r="AV179" i="1"/>
  <c r="AW179" i="1" s="1"/>
  <c r="AZ180" i="1"/>
  <c r="BA180" i="1" s="1"/>
  <c r="BT179" i="1"/>
  <c r="BU179" i="1" s="1"/>
  <c r="BT183" i="1"/>
  <c r="BU183" i="1" s="1"/>
  <c r="AZ179" i="1"/>
  <c r="BA179" i="1" s="1"/>
  <c r="BN179" i="1"/>
  <c r="BO179" i="1" s="1"/>
  <c r="BN180" i="1"/>
  <c r="BO180" i="1" s="1"/>
  <c r="BD180" i="1"/>
  <c r="BE180" i="1" s="1"/>
  <c r="BN183" i="1"/>
  <c r="BO183" i="1" s="1"/>
  <c r="AV180" i="1"/>
  <c r="AW180" i="1" s="1"/>
  <c r="AX183" i="1"/>
  <c r="AY183" i="1" s="1"/>
  <c r="BB179" i="1"/>
  <c r="BC179" i="1" s="1"/>
  <c r="AP180" i="1"/>
  <c r="AQ180" i="1" s="1"/>
  <c r="AT16" i="1"/>
  <c r="BS231" i="1"/>
  <c r="BS98" i="1"/>
  <c r="BS99" i="1" s="1"/>
  <c r="BW194" i="1"/>
  <c r="BW253" i="1"/>
  <c r="AU194" i="1"/>
  <c r="AU253" i="1"/>
  <c r="BI142" i="1"/>
  <c r="BH148" i="1"/>
  <c r="BN33" i="1"/>
  <c r="BN194" i="1"/>
  <c r="BN253" i="1"/>
  <c r="AO98" i="1"/>
  <c r="AO99" i="1" s="1"/>
  <c r="AQ98" i="1"/>
  <c r="AQ99" i="1" s="1"/>
  <c r="AQ104" i="1" s="1"/>
  <c r="AP98" i="1"/>
  <c r="AP99" i="1" s="1"/>
  <c r="AR98" i="1"/>
  <c r="AR99" i="1" s="1"/>
  <c r="AO252" i="1"/>
  <c r="AO231" i="1"/>
  <c r="BO194" i="1"/>
  <c r="BO253" i="1"/>
  <c r="BF253" i="1"/>
  <c r="BH98" i="1"/>
  <c r="BH99" i="1" s="1"/>
  <c r="BH103" i="1" s="1"/>
  <c r="BI98" i="1"/>
  <c r="BI99" i="1" s="1"/>
  <c r="BI103" i="1" s="1"/>
  <c r="BF231" i="1"/>
  <c r="BF10" i="1"/>
  <c r="BD10" i="1"/>
  <c r="BD231" i="1"/>
  <c r="BO98" i="1"/>
  <c r="BO99" i="1" s="1"/>
  <c r="BN231" i="1"/>
  <c r="BP98" i="1"/>
  <c r="BP99" i="1" s="1"/>
  <c r="BQ98" i="1"/>
  <c r="BQ99" i="1" s="1"/>
  <c r="BN10" i="1"/>
  <c r="BQ194" i="1"/>
  <c r="BQ253" i="1"/>
  <c r="AZ98" i="1"/>
  <c r="AZ99" i="1" s="1"/>
  <c r="AZ253" i="1"/>
  <c r="AZ231" i="1"/>
  <c r="BA98" i="1"/>
  <c r="BA99" i="1" s="1"/>
  <c r="BB98" i="1"/>
  <c r="BB99" i="1" s="1"/>
  <c r="BJ16" i="1"/>
  <c r="BJ27" i="1"/>
  <c r="AP231" i="1"/>
  <c r="AP10" i="1"/>
  <c r="BK194" i="1"/>
  <c r="BK253" i="1"/>
  <c r="BK33" i="1"/>
  <c r="AT194" i="1"/>
  <c r="AT253" i="1"/>
  <c r="BA231" i="1"/>
  <c r="BA10" i="1"/>
  <c r="BA252" i="1"/>
  <c r="BK252" i="1"/>
  <c r="BK37" i="1"/>
  <c r="BW117" i="1"/>
  <c r="BV120" i="1"/>
  <c r="AP253" i="1"/>
  <c r="AP194" i="1"/>
  <c r="BW98" i="1"/>
  <c r="BW99" i="1" s="1"/>
  <c r="BU98" i="1"/>
  <c r="BU99" i="1" s="1"/>
  <c r="BU102" i="1" s="1"/>
  <c r="BT253" i="1"/>
  <c r="BT231" i="1"/>
  <c r="BT10" i="1"/>
  <c r="BV98" i="1"/>
  <c r="BV99" i="1" s="1"/>
  <c r="BW140" i="1"/>
  <c r="BX202" i="1" s="1"/>
  <c r="BW202" i="1"/>
  <c r="BI140" i="1"/>
  <c r="BJ202" i="1" s="1"/>
  <c r="BI202" i="1"/>
  <c r="AX194" i="1"/>
  <c r="AX253" i="1"/>
  <c r="BI253" i="1"/>
  <c r="BI194" i="1"/>
  <c r="BK10" i="1"/>
  <c r="BM98" i="1"/>
  <c r="BM99" i="1" s="1"/>
  <c r="BK231" i="1"/>
  <c r="BN98" i="1"/>
  <c r="BN99" i="1" s="1"/>
  <c r="BI231" i="1"/>
  <c r="BL98" i="1"/>
  <c r="BL99" i="1" s="1"/>
  <c r="BI10" i="1"/>
  <c r="BI252" i="1"/>
  <c r="BK98" i="1"/>
  <c r="BK99" i="1" s="1"/>
  <c r="BJ98" i="1"/>
  <c r="BJ99" i="1" s="1"/>
  <c r="BE194" i="1"/>
  <c r="BE253" i="1"/>
  <c r="AN33" i="1"/>
  <c r="AN253" i="1"/>
  <c r="AN194" i="1"/>
  <c r="BW125" i="1"/>
  <c r="BW128" i="1" s="1"/>
  <c r="BV128" i="1"/>
  <c r="AR252" i="1"/>
  <c r="AR10" i="1"/>
  <c r="BG98" i="1"/>
  <c r="BG99" i="1" s="1"/>
  <c r="F202" i="1"/>
  <c r="I148" i="1"/>
  <c r="I182" i="1" s="1"/>
  <c r="I181" i="1" s="1"/>
  <c r="V156" i="1"/>
  <c r="I134" i="1"/>
  <c r="S156" i="1"/>
  <c r="H134" i="1"/>
  <c r="H138" i="1" s="1"/>
  <c r="G156" i="1"/>
  <c r="BH156" i="1"/>
  <c r="BH185" i="1" s="1"/>
  <c r="BH134" i="1"/>
  <c r="BH138" i="1" s="1"/>
  <c r="J148" i="1"/>
  <c r="T173" i="1"/>
  <c r="U134" i="1"/>
  <c r="U33" i="1" s="1"/>
  <c r="S134" i="1"/>
  <c r="D120" i="1"/>
  <c r="C134" i="1"/>
  <c r="J173" i="1"/>
  <c r="AX26" i="1"/>
  <c r="BH26" i="1"/>
  <c r="AN26" i="1"/>
  <c r="AN27" i="1" s="1"/>
  <c r="AI26" i="1"/>
  <c r="BV252" i="1"/>
  <c r="BT26" i="1"/>
  <c r="AZ26" i="1"/>
  <c r="BQ26" i="1"/>
  <c r="BQ27" i="1" s="1"/>
  <c r="AQ10" i="1"/>
  <c r="BV10" i="1"/>
  <c r="K148" i="1"/>
  <c r="P120" i="1"/>
  <c r="Q207" i="1" s="1"/>
  <c r="T148" i="1"/>
  <c r="AV253" i="1"/>
  <c r="BD253" i="1"/>
  <c r="P202" i="1"/>
  <c r="O120" i="1"/>
  <c r="P156" i="1"/>
  <c r="P185" i="1" s="1"/>
  <c r="P184" i="1" s="1"/>
  <c r="T128" i="1"/>
  <c r="Q128" i="1"/>
  <c r="BF98" i="1"/>
  <c r="BF99" i="1" s="1"/>
  <c r="BR253" i="1"/>
  <c r="BE10" i="1"/>
  <c r="BR183" i="1"/>
  <c r="BS183" i="1" s="1"/>
  <c r="BR179" i="1"/>
  <c r="BS179" i="1" s="1"/>
  <c r="H148" i="1"/>
  <c r="O148" i="1"/>
  <c r="C148" i="1"/>
  <c r="G134" i="1"/>
  <c r="G138" i="1" s="1"/>
  <c r="K156" i="1"/>
  <c r="U156" i="1"/>
  <c r="U185" i="1" s="1"/>
  <c r="E156" i="1"/>
  <c r="I156" i="1"/>
  <c r="I185" i="1" s="1"/>
  <c r="B148" i="1"/>
  <c r="S128" i="1"/>
  <c r="BP194" i="1"/>
  <c r="BR98" i="1"/>
  <c r="BR99" i="1" s="1"/>
  <c r="AR179" i="1"/>
  <c r="AS179" i="1" s="1"/>
  <c r="BR180" i="1"/>
  <c r="BS180" i="1" s="1"/>
  <c r="S202" i="1"/>
  <c r="E128" i="1"/>
  <c r="C120" i="1"/>
  <c r="M161" i="1"/>
  <c r="N209" i="1" s="1"/>
  <c r="C65" i="1"/>
  <c r="C66" i="1" s="1"/>
  <c r="M202" i="1"/>
  <c r="L161" i="1"/>
  <c r="K173" i="1"/>
  <c r="Q173" i="1"/>
  <c r="P148" i="1"/>
  <c r="BV253" i="1"/>
  <c r="AR253" i="1"/>
  <c r="BU253" i="1"/>
  <c r="BT98" i="1"/>
  <c r="BT99" i="1" s="1"/>
  <c r="AY253" i="1"/>
  <c r="AO253" i="1"/>
  <c r="P128" i="1"/>
  <c r="AT98" i="1"/>
  <c r="AT99" i="1" s="1"/>
  <c r="J128" i="1"/>
  <c r="BI149" i="1"/>
  <c r="H156" i="1"/>
  <c r="D156" i="1"/>
  <c r="BV148" i="1"/>
  <c r="R175" i="1"/>
  <c r="BM37" i="1"/>
  <c r="BI128" i="1"/>
  <c r="BJ206" i="1" s="1"/>
  <c r="O161" i="1"/>
  <c r="P209" i="1" s="1"/>
  <c r="AI231" i="1"/>
  <c r="BV156" i="1"/>
  <c r="BV185" i="1" s="1"/>
  <c r="AI10" i="1"/>
  <c r="AI182" i="1"/>
  <c r="R134" i="1"/>
  <c r="BC10" i="1"/>
  <c r="AI185" i="1"/>
  <c r="G148" i="1"/>
  <c r="AI183" i="1"/>
  <c r="AI184" i="1" s="1"/>
  <c r="W202" i="1"/>
  <c r="N120" i="1"/>
  <c r="M156" i="1"/>
  <c r="L148" i="1"/>
  <c r="AI179" i="1"/>
  <c r="BC253" i="1"/>
  <c r="BC252" i="1"/>
  <c r="BH253" i="1"/>
  <c r="AL98" i="1"/>
  <c r="AL99" i="1" s="1"/>
  <c r="W128" i="1"/>
  <c r="L120" i="1"/>
  <c r="BE98" i="1"/>
  <c r="BE99" i="1" s="1"/>
  <c r="BD98" i="1"/>
  <c r="BD99" i="1" s="1"/>
  <c r="BC98" i="1"/>
  <c r="BC99" i="1" s="1"/>
  <c r="H202" i="1"/>
  <c r="H128" i="1"/>
  <c r="BH128" i="1"/>
  <c r="N161" i="1"/>
  <c r="I161" i="1"/>
  <c r="J209" i="1" s="1"/>
  <c r="B65" i="1"/>
  <c r="R207" i="1"/>
  <c r="P138" i="1"/>
  <c r="P33" i="1"/>
  <c r="D209" i="1"/>
  <c r="D182" i="1"/>
  <c r="D181" i="1" s="1"/>
  <c r="Q54" i="1"/>
  <c r="Q175" i="1"/>
  <c r="K33" i="1"/>
  <c r="K138" i="1"/>
  <c r="N196" i="1"/>
  <c r="AN161" i="1"/>
  <c r="AO209" i="1" s="1"/>
  <c r="R182" i="1"/>
  <c r="R181" i="1" s="1"/>
  <c r="S196" i="1"/>
  <c r="AV161" i="1"/>
  <c r="AW209" i="1" s="1"/>
  <c r="BN161" i="1"/>
  <c r="BO209" i="1" s="1"/>
  <c r="AX161" i="1"/>
  <c r="AY209" i="1" s="1"/>
  <c r="V138" i="1"/>
  <c r="V33" i="1"/>
  <c r="AZ134" i="1"/>
  <c r="BP134" i="1"/>
  <c r="BT161" i="1"/>
  <c r="BU209" i="1" s="1"/>
  <c r="BP161" i="1"/>
  <c r="BQ209" i="1" s="1"/>
  <c r="BB161" i="1"/>
  <c r="AZ161" i="1"/>
  <c r="BA209" i="1" s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V202" i="1" s="1"/>
  <c r="BU202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AQ128" i="1"/>
  <c r="AT202" i="1"/>
  <c r="AN134" i="1"/>
  <c r="AP161" i="1"/>
  <c r="BN134" i="1"/>
  <c r="AX134" i="1"/>
  <c r="BB134" i="1"/>
  <c r="AT161" i="1"/>
  <c r="AU209" i="1" s="1"/>
  <c r="AZ120" i="1"/>
  <c r="AR156" i="1"/>
  <c r="BN120" i="1"/>
  <c r="AS202" i="1"/>
  <c r="BP156" i="1"/>
  <c r="BP185" i="1" s="1"/>
  <c r="BP184" i="1" s="1"/>
  <c r="BT120" i="1"/>
  <c r="BE202" i="1"/>
  <c r="BP148" i="1"/>
  <c r="BP182" i="1" s="1"/>
  <c r="BP181" i="1" s="1"/>
  <c r="AZ128" i="1"/>
  <c r="BQ202" i="1"/>
  <c r="BB156" i="1"/>
  <c r="BB185" i="1" s="1"/>
  <c r="AP128" i="1"/>
  <c r="AP120" i="1"/>
  <c r="AP92" i="1" s="1"/>
  <c r="BP120" i="1"/>
  <c r="BP92" i="1" s="1"/>
  <c r="BP94" i="1" s="1"/>
  <c r="BN156" i="1"/>
  <c r="BN185" i="1" s="1"/>
  <c r="AN156" i="1"/>
  <c r="AN185" i="1" s="1"/>
  <c r="BP128" i="1"/>
  <c r="BA128" i="1"/>
  <c r="AT128" i="1"/>
  <c r="AP156" i="1"/>
  <c r="AV156" i="1"/>
  <c r="AV185" i="1" s="1"/>
  <c r="BF120" i="1"/>
  <c r="BQ128" i="1"/>
  <c r="AZ156" i="1"/>
  <c r="AZ185" i="1" s="1"/>
  <c r="AV120" i="1"/>
  <c r="AU128" i="1"/>
  <c r="AW143" i="1"/>
  <c r="AV148" i="1"/>
  <c r="BC143" i="1"/>
  <c r="BB148" i="1"/>
  <c r="BO143" i="1"/>
  <c r="BN148" i="1"/>
  <c r="BU143" i="1"/>
  <c r="AY143" i="1"/>
  <c r="AX148" i="1"/>
  <c r="BA143" i="1"/>
  <c r="AZ148" i="1"/>
  <c r="AU202" i="1"/>
  <c r="AV202" i="1"/>
  <c r="BB202" i="1"/>
  <c r="BA202" i="1"/>
  <c r="BH94" i="1"/>
  <c r="BH95" i="1"/>
  <c r="AY202" i="1"/>
  <c r="AZ202" i="1"/>
  <c r="BQ11" i="1"/>
  <c r="BU11" i="1"/>
  <c r="BQ16" i="1"/>
  <c r="BQ12" i="1"/>
  <c r="BC202" i="1"/>
  <c r="BD202" i="1"/>
  <c r="BU16" i="1"/>
  <c r="BM16" i="1"/>
  <c r="BM12" i="1"/>
  <c r="AS134" i="1"/>
  <c r="AS33" i="1"/>
  <c r="AS183" i="1"/>
  <c r="BY11" i="1"/>
  <c r="BP16" i="1"/>
  <c r="BQ188" i="1"/>
  <c r="BC183" i="1"/>
  <c r="BS16" i="1"/>
  <c r="AW183" i="1"/>
  <c r="BG202" i="1"/>
  <c r="BP11" i="1"/>
  <c r="BB16" i="1"/>
  <c r="AN102" i="1"/>
  <c r="AN103" i="1"/>
  <c r="AN104" i="1"/>
  <c r="AX12" i="1"/>
  <c r="AX16" i="1"/>
  <c r="BB11" i="1"/>
  <c r="AX11" i="1"/>
  <c r="AV27" i="1"/>
  <c r="AV16" i="1"/>
  <c r="AW12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G27" i="1"/>
  <c r="BJ225" i="1"/>
  <c r="BJ244" i="1"/>
  <c r="BH12" i="1"/>
  <c r="BG16" i="1"/>
  <c r="AV11" i="1"/>
  <c r="F184" i="1"/>
  <c r="CQ138" i="1"/>
  <c r="CR32" i="1"/>
  <c r="AE77" i="1"/>
  <c r="AB125" i="1"/>
  <c r="AB128" i="1" s="1"/>
  <c r="AB249" i="1" s="1"/>
  <c r="AD142" i="1"/>
  <c r="CZ65" i="1"/>
  <c r="DA63" i="1"/>
  <c r="BE117" i="1" l="1"/>
  <c r="BD120" i="1"/>
  <c r="AT184" i="1"/>
  <c r="AQ27" i="1"/>
  <c r="V249" i="1"/>
  <c r="V251" i="1" s="1"/>
  <c r="BT180" i="1"/>
  <c r="BU180" i="1" s="1"/>
  <c r="CB188" i="1"/>
  <c r="BZ225" i="1"/>
  <c r="BA188" i="1"/>
  <c r="AW102" i="1"/>
  <c r="AW16" i="1"/>
  <c r="BH184" i="1"/>
  <c r="J157" i="1"/>
  <c r="AX27" i="1"/>
  <c r="C157" i="1"/>
  <c r="CA11" i="1"/>
  <c r="BB225" i="1"/>
  <c r="BW134" i="1"/>
  <c r="AW103" i="1"/>
  <c r="R54" i="1"/>
  <c r="P197" i="1"/>
  <c r="H168" i="1"/>
  <c r="H109" i="1" s="1"/>
  <c r="H175" i="1"/>
  <c r="H54" i="1"/>
  <c r="S209" i="1"/>
  <c r="R248" i="1"/>
  <c r="V207" i="1"/>
  <c r="J185" i="1"/>
  <c r="C185" i="1"/>
  <c r="I129" i="1"/>
  <c r="I55" i="1" s="1"/>
  <c r="Q33" i="1"/>
  <c r="Q138" i="1"/>
  <c r="U168" i="1"/>
  <c r="U109" i="1" s="1"/>
  <c r="U37" i="1"/>
  <c r="U129" i="1"/>
  <c r="U55" i="1" s="1"/>
  <c r="O185" i="1"/>
  <c r="O197" i="1"/>
  <c r="X58" i="1"/>
  <c r="BV138" i="1"/>
  <c r="AW104" i="1"/>
  <c r="BS140" i="1"/>
  <c r="BR202" i="1"/>
  <c r="AW225" i="1"/>
  <c r="AU12" i="1"/>
  <c r="AU16" i="1"/>
  <c r="AU27" i="1"/>
  <c r="BW183" i="1"/>
  <c r="AX225" i="1"/>
  <c r="BP27" i="1"/>
  <c r="Q58" i="1"/>
  <c r="BB27" i="1"/>
  <c r="AO27" i="1"/>
  <c r="BW16" i="1"/>
  <c r="BZ244" i="1"/>
  <c r="BX12" i="1"/>
  <c r="AZ11" i="1"/>
  <c r="BW33" i="1"/>
  <c r="BW27" i="1"/>
  <c r="BF179" i="1"/>
  <c r="BG179" i="1" s="1"/>
  <c r="BF180" i="1"/>
  <c r="BG180" i="1" s="1"/>
  <c r="BF183" i="1"/>
  <c r="BG183" i="1" s="1"/>
  <c r="BH202" i="1"/>
  <c r="BD183" i="1"/>
  <c r="BE183" i="1" s="1"/>
  <c r="BD179" i="1"/>
  <c r="BE179" i="1" s="1"/>
  <c r="BD161" i="1"/>
  <c r="BE209" i="1" s="1"/>
  <c r="BR134" i="1"/>
  <c r="BS128" i="1"/>
  <c r="BE128" i="1"/>
  <c r="BF161" i="1"/>
  <c r="BG209" i="1" s="1"/>
  <c r="BF134" i="1"/>
  <c r="BS117" i="1"/>
  <c r="BR120" i="1"/>
  <c r="BR92" i="1" s="1"/>
  <c r="BD156" i="1"/>
  <c r="BD185" i="1" s="1"/>
  <c r="BG128" i="1"/>
  <c r="BF156" i="1"/>
  <c r="BF185" i="1" s="1"/>
  <c r="BR128" i="1"/>
  <c r="BR249" i="1" s="1"/>
  <c r="BD128" i="1"/>
  <c r="BG143" i="1"/>
  <c r="BF148" i="1"/>
  <c r="BE143" i="1"/>
  <c r="BD148" i="1"/>
  <c r="BS143" i="1"/>
  <c r="BR148" i="1"/>
  <c r="BT27" i="1"/>
  <c r="AZ27" i="1"/>
  <c r="U54" i="1"/>
  <c r="I248" i="1"/>
  <c r="I175" i="1"/>
  <c r="I54" i="1"/>
  <c r="I207" i="1"/>
  <c r="J138" i="1"/>
  <c r="J33" i="1"/>
  <c r="B138" i="1"/>
  <c r="B33" i="1"/>
  <c r="I209" i="1"/>
  <c r="H248" i="1"/>
  <c r="F175" i="1"/>
  <c r="F54" i="1"/>
  <c r="F129" i="1"/>
  <c r="F55" i="1" s="1"/>
  <c r="O206" i="1"/>
  <c r="F182" i="1"/>
  <c r="F157" i="1"/>
  <c r="J248" i="1"/>
  <c r="K209" i="1"/>
  <c r="R209" i="1"/>
  <c r="Q248" i="1"/>
  <c r="K207" i="1"/>
  <c r="J175" i="1"/>
  <c r="J54" i="1"/>
  <c r="J207" i="1"/>
  <c r="D33" i="1"/>
  <c r="D138" i="1"/>
  <c r="L185" i="1"/>
  <c r="L184" i="1" s="1"/>
  <c r="O37" i="1"/>
  <c r="B37" i="1"/>
  <c r="K54" i="1"/>
  <c r="K175" i="1"/>
  <c r="U248" i="1"/>
  <c r="U175" i="1"/>
  <c r="M138" i="1"/>
  <c r="M33" i="1"/>
  <c r="S207" i="1"/>
  <c r="S54" i="1"/>
  <c r="Q182" i="1"/>
  <c r="Q181" i="1" s="1"/>
  <c r="R196" i="1"/>
  <c r="D66" i="1"/>
  <c r="D108" i="1"/>
  <c r="I37" i="1"/>
  <c r="M206" i="1"/>
  <c r="W138" i="1"/>
  <c r="X203" i="1" s="1"/>
  <c r="X201" i="1" s="1"/>
  <c r="W33" i="1"/>
  <c r="V248" i="1"/>
  <c r="C197" i="1"/>
  <c r="BF202" i="1"/>
  <c r="BT156" i="1"/>
  <c r="BT185" i="1" s="1"/>
  <c r="BT184" i="1" s="1"/>
  <c r="BR161" i="1"/>
  <c r="BF128" i="1"/>
  <c r="BR156" i="1"/>
  <c r="BR185" i="1" s="1"/>
  <c r="AV184" i="1"/>
  <c r="BA11" i="1"/>
  <c r="AO11" i="1"/>
  <c r="AS11" i="1"/>
  <c r="AO188" i="1"/>
  <c r="AO16" i="1"/>
  <c r="BV184" i="1"/>
  <c r="BB184" i="1"/>
  <c r="BF184" i="1"/>
  <c r="BD11" i="1"/>
  <c r="AR225" i="1"/>
  <c r="AS27" i="1"/>
  <c r="BO27" i="1"/>
  <c r="AR27" i="1"/>
  <c r="BW249" i="1"/>
  <c r="E175" i="1"/>
  <c r="H197" i="1"/>
  <c r="M197" i="1"/>
  <c r="C249" i="1"/>
  <c r="C251" i="1" s="1"/>
  <c r="AI181" i="1"/>
  <c r="AZ16" i="1"/>
  <c r="D249" i="1"/>
  <c r="D251" i="1" s="1"/>
  <c r="T138" i="1"/>
  <c r="T244" i="1" s="1"/>
  <c r="N168" i="1"/>
  <c r="N109" i="1" s="1"/>
  <c r="M175" i="1"/>
  <c r="M54" i="1"/>
  <c r="M207" i="1"/>
  <c r="D206" i="1"/>
  <c r="D129" i="1"/>
  <c r="D55" i="1" s="1"/>
  <c r="D37" i="1"/>
  <c r="F33" i="1"/>
  <c r="F138" i="1"/>
  <c r="E207" i="1"/>
  <c r="D54" i="1"/>
  <c r="D175" i="1"/>
  <c r="O54" i="1"/>
  <c r="C37" i="1"/>
  <c r="E196" i="1"/>
  <c r="R129" i="1"/>
  <c r="R55" i="1" s="1"/>
  <c r="L138" i="1"/>
  <c r="L33" i="1"/>
  <c r="C138" i="1"/>
  <c r="C33" i="1"/>
  <c r="U207" i="1"/>
  <c r="J182" i="1"/>
  <c r="J181" i="1" s="1"/>
  <c r="R168" i="1"/>
  <c r="R109" i="1" s="1"/>
  <c r="S197" i="1"/>
  <c r="N138" i="1"/>
  <c r="N33" i="1"/>
  <c r="V37" i="1"/>
  <c r="V168" i="1"/>
  <c r="V109" i="1" s="1"/>
  <c r="S182" i="1"/>
  <c r="S157" i="1"/>
  <c r="T175" i="1"/>
  <c r="T248" i="1"/>
  <c r="T54" i="1"/>
  <c r="T207" i="1"/>
  <c r="S33" i="1"/>
  <c r="S138" i="1"/>
  <c r="S249" i="1"/>
  <c r="S251" i="1" s="1"/>
  <c r="S37" i="1"/>
  <c r="O129" i="1"/>
  <c r="O55" i="1" s="1"/>
  <c r="E182" i="1"/>
  <c r="E181" i="1" s="1"/>
  <c r="F196" i="1"/>
  <c r="U249" i="1"/>
  <c r="U251" i="1" s="1"/>
  <c r="T185" i="1"/>
  <c r="T184" i="1" s="1"/>
  <c r="Q168" i="1"/>
  <c r="Q109" i="1" s="1"/>
  <c r="V182" i="1"/>
  <c r="V181" i="1" s="1"/>
  <c r="T196" i="1"/>
  <c r="F249" i="1"/>
  <c r="F251" i="1" s="1"/>
  <c r="G206" i="1"/>
  <c r="G249" i="1"/>
  <c r="G251" i="1" s="1"/>
  <c r="O168" i="1"/>
  <c r="O109" i="1" s="1"/>
  <c r="C206" i="1"/>
  <c r="B168" i="1"/>
  <c r="B109" i="1" s="1"/>
  <c r="B129" i="1"/>
  <c r="B55" i="1" s="1"/>
  <c r="K129" i="1"/>
  <c r="K55" i="1" s="1"/>
  <c r="K37" i="1"/>
  <c r="K168" i="1"/>
  <c r="K109" i="1" s="1"/>
  <c r="C168" i="1"/>
  <c r="C109" i="1" s="1"/>
  <c r="S129" i="1"/>
  <c r="S55" i="1" s="1"/>
  <c r="H182" i="1"/>
  <c r="P175" i="1"/>
  <c r="G129" i="1"/>
  <c r="G55" i="1" s="1"/>
  <c r="G37" i="1"/>
  <c r="G168" i="1"/>
  <c r="G109" i="1" s="1"/>
  <c r="V206" i="1"/>
  <c r="S248" i="1"/>
  <c r="S175" i="1"/>
  <c r="Q185" i="1"/>
  <c r="Q157" i="1"/>
  <c r="R197" i="1"/>
  <c r="H209" i="1"/>
  <c r="G248" i="1"/>
  <c r="T157" i="1"/>
  <c r="O249" i="1"/>
  <c r="O251" i="1" s="1"/>
  <c r="N249" i="1"/>
  <c r="N251" i="1" s="1"/>
  <c r="N37" i="1"/>
  <c r="N206" i="1"/>
  <c r="L37" i="1"/>
  <c r="L249" i="1"/>
  <c r="L251" i="1" s="1"/>
  <c r="L206" i="1"/>
  <c r="P207" i="1"/>
  <c r="P54" i="1"/>
  <c r="P248" i="1"/>
  <c r="B157" i="1"/>
  <c r="B182" i="1"/>
  <c r="O138" i="1"/>
  <c r="O33" i="1"/>
  <c r="M209" i="1"/>
  <c r="V54" i="1"/>
  <c r="V129" i="1"/>
  <c r="V55" i="1" s="1"/>
  <c r="V175" i="1"/>
  <c r="Q129" i="1"/>
  <c r="Q55" i="1" s="1"/>
  <c r="R206" i="1"/>
  <c r="Q37" i="1"/>
  <c r="N182" i="1"/>
  <c r="N157" i="1"/>
  <c r="E157" i="1"/>
  <c r="G185" i="1"/>
  <c r="G197" i="1"/>
  <c r="M249" i="1"/>
  <c r="M251" i="1" s="1"/>
  <c r="M37" i="1"/>
  <c r="M129" i="1"/>
  <c r="M55" i="1" s="1"/>
  <c r="V185" i="1"/>
  <c r="V157" i="1"/>
  <c r="AX184" i="1"/>
  <c r="AZ184" i="1"/>
  <c r="BT148" i="1"/>
  <c r="O58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A27" i="1"/>
  <c r="AP27" i="1"/>
  <c r="AQ188" i="1"/>
  <c r="BM27" i="1"/>
  <c r="BM225" i="1"/>
  <c r="BM11" i="1"/>
  <c r="BS102" i="1"/>
  <c r="BS103" i="1"/>
  <c r="BS104" i="1"/>
  <c r="BU27" i="1"/>
  <c r="BA12" i="1"/>
  <c r="AI27" i="1"/>
  <c r="BH27" i="1"/>
  <c r="AS16" i="1"/>
  <c r="AW11" i="1"/>
  <c r="BJ11" i="1"/>
  <c r="BF16" i="1"/>
  <c r="BF28" i="1" s="1"/>
  <c r="BV27" i="1"/>
  <c r="BC27" i="1"/>
  <c r="AY188" i="1"/>
  <c r="BT225" i="1"/>
  <c r="BS225" i="1"/>
  <c r="AY11" i="1"/>
  <c r="BR16" i="1"/>
  <c r="BS11" i="1"/>
  <c r="BR12" i="1"/>
  <c r="AY12" i="1"/>
  <c r="AZ188" i="1"/>
  <c r="AY225" i="1"/>
  <c r="AQ103" i="1"/>
  <c r="AR102" i="1"/>
  <c r="AR103" i="1"/>
  <c r="AR104" i="1"/>
  <c r="BQ225" i="1"/>
  <c r="BO12" i="1"/>
  <c r="AQ102" i="1"/>
  <c r="AX188" i="1"/>
  <c r="AZ225" i="1"/>
  <c r="AV102" i="1"/>
  <c r="AV104" i="1"/>
  <c r="AV103" i="1"/>
  <c r="AY102" i="1"/>
  <c r="AY103" i="1"/>
  <c r="AY104" i="1"/>
  <c r="AX102" i="1"/>
  <c r="AX104" i="1"/>
  <c r="AX103" i="1"/>
  <c r="BH104" i="1"/>
  <c r="BH102" i="1"/>
  <c r="BP225" i="1"/>
  <c r="BO225" i="1"/>
  <c r="BB104" i="1"/>
  <c r="BB103" i="1"/>
  <c r="BB102" i="1"/>
  <c r="BN27" i="1"/>
  <c r="BI104" i="1"/>
  <c r="BO188" i="1"/>
  <c r="BI102" i="1"/>
  <c r="BN225" i="1"/>
  <c r="BA104" i="1"/>
  <c r="BA102" i="1"/>
  <c r="BA103" i="1"/>
  <c r="BG188" i="1"/>
  <c r="BF11" i="1"/>
  <c r="AN188" i="1"/>
  <c r="BX188" i="1"/>
  <c r="U196" i="1"/>
  <c r="H157" i="1"/>
  <c r="L168" i="1"/>
  <c r="L109" i="1" s="1"/>
  <c r="BV11" i="1"/>
  <c r="BR27" i="1"/>
  <c r="BU225" i="1"/>
  <c r="BS12" i="1"/>
  <c r="V58" i="1"/>
  <c r="BR225" i="1"/>
  <c r="BO16" i="1"/>
  <c r="BP12" i="1"/>
  <c r="BX102" i="1"/>
  <c r="BX103" i="1"/>
  <c r="BX104" i="1"/>
  <c r="AV225" i="1"/>
  <c r="AT188" i="1"/>
  <c r="AS188" i="1"/>
  <c r="G175" i="1"/>
  <c r="G207" i="1"/>
  <c r="H207" i="1"/>
  <c r="G54" i="1"/>
  <c r="F207" i="1"/>
  <c r="E129" i="1"/>
  <c r="E55" i="1" s="1"/>
  <c r="U182" i="1"/>
  <c r="U181" i="1" s="1"/>
  <c r="V196" i="1"/>
  <c r="D248" i="1"/>
  <c r="D168" i="1"/>
  <c r="D109" i="1" s="1"/>
  <c r="E209" i="1"/>
  <c r="L209" i="1"/>
  <c r="K248" i="1"/>
  <c r="E33" i="1"/>
  <c r="E138" i="1"/>
  <c r="B175" i="1"/>
  <c r="B248" i="1"/>
  <c r="B54" i="1"/>
  <c r="F168" i="1"/>
  <c r="F109" i="1" s="1"/>
  <c r="F248" i="1"/>
  <c r="G209" i="1"/>
  <c r="AT17" i="1"/>
  <c r="AT28" i="1"/>
  <c r="BG12" i="1"/>
  <c r="BI225" i="1"/>
  <c r="BF27" i="1"/>
  <c r="BD188" i="1"/>
  <c r="BH11" i="1"/>
  <c r="BD16" i="1"/>
  <c r="BD27" i="1"/>
  <c r="BQ102" i="1"/>
  <c r="BQ103" i="1"/>
  <c r="BQ104" i="1"/>
  <c r="BN11" i="1"/>
  <c r="BS188" i="1"/>
  <c r="BN16" i="1"/>
  <c r="BN188" i="1"/>
  <c r="BN12" i="1"/>
  <c r="BR11" i="1"/>
  <c r="BR188" i="1"/>
  <c r="AZ102" i="1"/>
  <c r="AZ103" i="1"/>
  <c r="AZ104" i="1"/>
  <c r="AQ225" i="1"/>
  <c r="AT11" i="1"/>
  <c r="AS225" i="1"/>
  <c r="AP12" i="1"/>
  <c r="AP188" i="1"/>
  <c r="BA16" i="1"/>
  <c r="BA225" i="1"/>
  <c r="BB12" i="1"/>
  <c r="BB188" i="1"/>
  <c r="R58" i="1"/>
  <c r="BW103" i="1"/>
  <c r="BW104" i="1"/>
  <c r="BW102" i="1"/>
  <c r="BY188" i="1"/>
  <c r="BT16" i="1"/>
  <c r="BT19" i="1" s="1"/>
  <c r="BU12" i="1"/>
  <c r="BT188" i="1"/>
  <c r="BX11" i="1"/>
  <c r="BU188" i="1"/>
  <c r="BT12" i="1"/>
  <c r="BV103" i="1"/>
  <c r="BV104" i="1"/>
  <c r="BV102" i="1"/>
  <c r="BK11" i="1"/>
  <c r="BP188" i="1"/>
  <c r="BL188" i="1"/>
  <c r="BO11" i="1"/>
  <c r="U58" i="1"/>
  <c r="BK188" i="1"/>
  <c r="BJ12" i="1"/>
  <c r="BI16" i="1"/>
  <c r="BL244" i="1"/>
  <c r="BL225" i="1"/>
  <c r="BI27" i="1"/>
  <c r="BM188" i="1"/>
  <c r="T58" i="1"/>
  <c r="BK225" i="1"/>
  <c r="BV129" i="1"/>
  <c r="BV168" i="1"/>
  <c r="AV188" i="1"/>
  <c r="AU225" i="1"/>
  <c r="AR16" i="1"/>
  <c r="AR188" i="1"/>
  <c r="AW188" i="1"/>
  <c r="AW17" i="1"/>
  <c r="AW28" i="1"/>
  <c r="BA18" i="1"/>
  <c r="I33" i="1"/>
  <c r="I138" i="1"/>
  <c r="T197" i="1"/>
  <c r="S185" i="1"/>
  <c r="AQ11" i="1"/>
  <c r="AR12" i="1"/>
  <c r="AU188" i="1"/>
  <c r="AU11" i="1"/>
  <c r="AQ16" i="1"/>
  <c r="AT225" i="1"/>
  <c r="P58" i="1"/>
  <c r="BV12" i="1"/>
  <c r="BV188" i="1"/>
  <c r="S168" i="1"/>
  <c r="S109" i="1" s="1"/>
  <c r="S206" i="1"/>
  <c r="S205" i="1" s="1"/>
  <c r="K249" i="1"/>
  <c r="K251" i="1" s="1"/>
  <c r="J249" i="1"/>
  <c r="J251" i="1" s="1"/>
  <c r="J168" i="1"/>
  <c r="J109" i="1" s="1"/>
  <c r="AL225" i="1"/>
  <c r="N58" i="1"/>
  <c r="AJ12" i="1"/>
  <c r="AM11" i="1"/>
  <c r="AL244" i="1"/>
  <c r="BH188" i="1"/>
  <c r="BE225" i="1"/>
  <c r="BC12" i="1"/>
  <c r="L182" i="1"/>
  <c r="L157" i="1"/>
  <c r="L165" i="1" s="1"/>
  <c r="X206" i="1"/>
  <c r="W249" i="1"/>
  <c r="W251" i="1" s="1"/>
  <c r="W206" i="1"/>
  <c r="W37" i="1"/>
  <c r="X249" i="1"/>
  <c r="X251" i="1" s="1"/>
  <c r="L207" i="1"/>
  <c r="L129" i="1"/>
  <c r="L55" i="1" s="1"/>
  <c r="BY104" i="1"/>
  <c r="BY102" i="1"/>
  <c r="BY103" i="1"/>
  <c r="BZ103" i="1"/>
  <c r="BZ102" i="1"/>
  <c r="BZ104" i="1"/>
  <c r="BH248" i="1"/>
  <c r="BI209" i="1"/>
  <c r="AO103" i="1"/>
  <c r="AO104" i="1"/>
  <c r="AO102" i="1"/>
  <c r="AP103" i="1"/>
  <c r="AP104" i="1"/>
  <c r="AP102" i="1"/>
  <c r="BJ28" i="1"/>
  <c r="BJ17" i="1"/>
  <c r="BM102" i="1"/>
  <c r="BM104" i="1"/>
  <c r="BM103" i="1"/>
  <c r="BL103" i="1"/>
  <c r="BL102" i="1"/>
  <c r="BL104" i="1"/>
  <c r="BK104" i="1"/>
  <c r="BK103" i="1"/>
  <c r="BK102" i="1"/>
  <c r="BV16" i="1"/>
  <c r="BZ11" i="1"/>
  <c r="BX244" i="1"/>
  <c r="CA188" i="1"/>
  <c r="BW12" i="1"/>
  <c r="BY225" i="1"/>
  <c r="BX225" i="1"/>
  <c r="BW188" i="1"/>
  <c r="BV225" i="1"/>
  <c r="W58" i="1"/>
  <c r="BZ188" i="1"/>
  <c r="BW225" i="1"/>
  <c r="BI249" i="1"/>
  <c r="AP181" i="1"/>
  <c r="BH182" i="1"/>
  <c r="BH181" i="1" s="1"/>
  <c r="BH157" i="1"/>
  <c r="BH165" i="1" s="1"/>
  <c r="BO102" i="1"/>
  <c r="BO103" i="1"/>
  <c r="BO104" i="1"/>
  <c r="BP103" i="1"/>
  <c r="BP102" i="1"/>
  <c r="BP104" i="1"/>
  <c r="BV92" i="1"/>
  <c r="BV248" i="1"/>
  <c r="BU104" i="1"/>
  <c r="BU103" i="1"/>
  <c r="BN103" i="1"/>
  <c r="BN104" i="1"/>
  <c r="BN102" i="1"/>
  <c r="BJ102" i="1"/>
  <c r="BJ103" i="1"/>
  <c r="BJ104" i="1"/>
  <c r="BX206" i="1"/>
  <c r="BX249" i="1"/>
  <c r="BW206" i="1"/>
  <c r="BG104" i="1"/>
  <c r="BG102" i="1"/>
  <c r="BF103" i="1"/>
  <c r="BF104" i="1"/>
  <c r="BF102" i="1"/>
  <c r="BR102" i="1"/>
  <c r="BR104" i="1"/>
  <c r="BR103" i="1"/>
  <c r="BT103" i="1"/>
  <c r="BT104" i="1"/>
  <c r="AT103" i="1"/>
  <c r="AT104" i="1"/>
  <c r="AT102" i="1"/>
  <c r="BV182" i="1"/>
  <c r="BV157" i="1"/>
  <c r="BV165" i="1" s="1"/>
  <c r="AL104" i="1"/>
  <c r="AL102" i="1"/>
  <c r="BE104" i="1"/>
  <c r="BE102" i="1"/>
  <c r="BE103" i="1"/>
  <c r="BD102" i="1"/>
  <c r="BD103" i="1"/>
  <c r="BC103" i="1"/>
  <c r="BC102" i="1"/>
  <c r="BH129" i="1"/>
  <c r="BH168" i="1"/>
  <c r="E54" i="1"/>
  <c r="K196" i="1"/>
  <c r="K157" i="1"/>
  <c r="Q249" i="1"/>
  <c r="Q251" i="1" s="1"/>
  <c r="BF188" i="1"/>
  <c r="E197" i="1"/>
  <c r="AI186" i="1"/>
  <c r="L248" i="1"/>
  <c r="K182" i="1"/>
  <c r="K181" i="1" s="1"/>
  <c r="L196" i="1"/>
  <c r="T168" i="1"/>
  <c r="T109" i="1" s="1"/>
  <c r="U206" i="1"/>
  <c r="R249" i="1"/>
  <c r="R251" i="1" s="1"/>
  <c r="Q206" i="1"/>
  <c r="O157" i="1"/>
  <c r="P196" i="1"/>
  <c r="P198" i="1" s="1"/>
  <c r="P199" i="1" s="1"/>
  <c r="O196" i="1"/>
  <c r="O182" i="1"/>
  <c r="O181" i="1" s="1"/>
  <c r="K185" i="1"/>
  <c r="K197" i="1"/>
  <c r="E206" i="1"/>
  <c r="F206" i="1"/>
  <c r="E168" i="1"/>
  <c r="E109" i="1" s="1"/>
  <c r="E37" i="1"/>
  <c r="C207" i="1"/>
  <c r="D207" i="1"/>
  <c r="C129" i="1"/>
  <c r="C55" i="1" s="1"/>
  <c r="Q196" i="1"/>
  <c r="P182" i="1"/>
  <c r="P157" i="1"/>
  <c r="P165" i="1" s="1"/>
  <c r="P249" i="1"/>
  <c r="P251" i="1" s="1"/>
  <c r="P168" i="1"/>
  <c r="P109" i="1" s="1"/>
  <c r="H185" i="1"/>
  <c r="I197" i="1"/>
  <c r="D197" i="1"/>
  <c r="D157" i="1"/>
  <c r="D185" i="1"/>
  <c r="G182" i="1"/>
  <c r="G181" i="1" s="1"/>
  <c r="G196" i="1"/>
  <c r="N207" i="1"/>
  <c r="O207" i="1"/>
  <c r="N129" i="1"/>
  <c r="N55" i="1" s="1"/>
  <c r="H246" i="1"/>
  <c r="H244" i="1"/>
  <c r="BH225" i="1"/>
  <c r="BE11" i="1"/>
  <c r="P206" i="1"/>
  <c r="I157" i="1"/>
  <c r="H129" i="1"/>
  <c r="H55" i="1" s="1"/>
  <c r="C108" i="1"/>
  <c r="P129" i="1"/>
  <c r="P55" i="1" s="1"/>
  <c r="T249" i="1"/>
  <c r="T251" i="1" s="1"/>
  <c r="C107" i="1"/>
  <c r="C54" i="1"/>
  <c r="C175" i="1"/>
  <c r="BQ28" i="1"/>
  <c r="BD12" i="1"/>
  <c r="BI11" i="1"/>
  <c r="M168" i="1"/>
  <c r="M109" i="1" s="1"/>
  <c r="G157" i="1"/>
  <c r="G165" i="1" s="1"/>
  <c r="T129" i="1"/>
  <c r="T55" i="1" s="1"/>
  <c r="U197" i="1"/>
  <c r="J129" i="1"/>
  <c r="J55" i="1" s="1"/>
  <c r="BF12" i="1"/>
  <c r="BE188" i="1"/>
  <c r="AR181" i="1"/>
  <c r="I196" i="1"/>
  <c r="T37" i="1"/>
  <c r="J37" i="1"/>
  <c r="BE16" i="1"/>
  <c r="BE12" i="1"/>
  <c r="F197" i="1"/>
  <c r="K206" i="1"/>
  <c r="K205" i="1" s="1"/>
  <c r="T206" i="1"/>
  <c r="BJ249" i="1"/>
  <c r="E185" i="1"/>
  <c r="E184" i="1" s="1"/>
  <c r="T182" i="1"/>
  <c r="Q197" i="1"/>
  <c r="M196" i="1"/>
  <c r="J206" i="1"/>
  <c r="J205" i="1" s="1"/>
  <c r="M248" i="1"/>
  <c r="O175" i="1"/>
  <c r="BJ188" i="1"/>
  <c r="BI134" i="1"/>
  <c r="BJ33" i="1" s="1"/>
  <c r="C248" i="1"/>
  <c r="BG225" i="1"/>
  <c r="BD225" i="1"/>
  <c r="BC11" i="1"/>
  <c r="BC188" i="1"/>
  <c r="BC225" i="1"/>
  <c r="BC16" i="1"/>
  <c r="BT102" i="1"/>
  <c r="AI16" i="1"/>
  <c r="BG103" i="1"/>
  <c r="V197" i="1"/>
  <c r="U157" i="1"/>
  <c r="L197" i="1"/>
  <c r="P37" i="1"/>
  <c r="J197" i="1"/>
  <c r="D196" i="1"/>
  <c r="G33" i="1"/>
  <c r="U138" i="1"/>
  <c r="U244" i="1" s="1"/>
  <c r="J196" i="1"/>
  <c r="H33" i="1"/>
  <c r="BI188" i="1"/>
  <c r="BI33" i="1"/>
  <c r="S58" i="1"/>
  <c r="AW202" i="1"/>
  <c r="C196" i="1"/>
  <c r="C182" i="1"/>
  <c r="C181" i="1" s="1"/>
  <c r="M185" i="1"/>
  <c r="M157" i="1"/>
  <c r="BI206" i="1"/>
  <c r="N197" i="1"/>
  <c r="AL103" i="1"/>
  <c r="BD104" i="1"/>
  <c r="BC104" i="1"/>
  <c r="H37" i="1"/>
  <c r="I206" i="1"/>
  <c r="I249" i="1"/>
  <c r="I251" i="1" s="1"/>
  <c r="BG11" i="1"/>
  <c r="BF225" i="1"/>
  <c r="B108" i="1"/>
  <c r="B66" i="1"/>
  <c r="R138" i="1"/>
  <c r="R33" i="1"/>
  <c r="I168" i="1"/>
  <c r="I109" i="1" s="1"/>
  <c r="O209" i="1"/>
  <c r="N248" i="1"/>
  <c r="H196" i="1"/>
  <c r="O248" i="1"/>
  <c r="B107" i="1"/>
  <c r="H249" i="1"/>
  <c r="H251" i="1" s="1"/>
  <c r="H206" i="1"/>
  <c r="L54" i="1"/>
  <c r="L175" i="1"/>
  <c r="N175" i="1"/>
  <c r="N54" i="1"/>
  <c r="P244" i="1"/>
  <c r="P246" i="1"/>
  <c r="C68" i="1"/>
  <c r="C69" i="1"/>
  <c r="G244" i="1"/>
  <c r="G246" i="1"/>
  <c r="H203" i="1"/>
  <c r="H201" i="1" s="1"/>
  <c r="AR202" i="1"/>
  <c r="AQ202" i="1"/>
  <c r="BB168" i="1"/>
  <c r="J184" i="1"/>
  <c r="AV168" i="1"/>
  <c r="K244" i="1"/>
  <c r="K246" i="1"/>
  <c r="C184" i="1"/>
  <c r="BS33" i="1"/>
  <c r="BS134" i="1"/>
  <c r="BR138" i="1"/>
  <c r="V244" i="1"/>
  <c r="V246" i="1"/>
  <c r="AQ249" i="1"/>
  <c r="AN92" i="1"/>
  <c r="AN95" i="1" s="1"/>
  <c r="AN248" i="1"/>
  <c r="AV249" i="1"/>
  <c r="Q246" i="1"/>
  <c r="Q244" i="1"/>
  <c r="Q203" i="1"/>
  <c r="Q201" i="1" s="1"/>
  <c r="AR206" i="1"/>
  <c r="AR249" i="1"/>
  <c r="AO134" i="1"/>
  <c r="AO33" i="1"/>
  <c r="AN138" i="1"/>
  <c r="AN246" i="1" s="1"/>
  <c r="BC33" i="1"/>
  <c r="BB138" i="1"/>
  <c r="BC134" i="1"/>
  <c r="AV206" i="1"/>
  <c r="BT129" i="1"/>
  <c r="I184" i="1"/>
  <c r="I186" i="1"/>
  <c r="U184" i="1"/>
  <c r="BN168" i="1"/>
  <c r="BN129" i="1"/>
  <c r="BC206" i="1"/>
  <c r="BC249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P249" i="1"/>
  <c r="BP206" i="1"/>
  <c r="BP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AP202" i="1"/>
  <c r="AO202" i="1"/>
  <c r="AZ168" i="1"/>
  <c r="AZ249" i="1"/>
  <c r="AZ129" i="1"/>
  <c r="AZ206" i="1"/>
  <c r="AN184" i="1"/>
  <c r="AT129" i="1"/>
  <c r="AT249" i="1"/>
  <c r="AT206" i="1"/>
  <c r="AT168" i="1"/>
  <c r="AV92" i="1"/>
  <c r="AV248" i="1"/>
  <c r="AQ206" i="1"/>
  <c r="AP206" i="1"/>
  <c r="AP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T92" i="1"/>
  <c r="BT248" i="1"/>
  <c r="AP168" i="1"/>
  <c r="AP129" i="1"/>
  <c r="AP95" i="1"/>
  <c r="AP94" i="1"/>
  <c r="AP96" i="1"/>
  <c r="AP185" i="1"/>
  <c r="AP157" i="1"/>
  <c r="BF92" i="1"/>
  <c r="BP96" i="1"/>
  <c r="AV129" i="1"/>
  <c r="BQ249" i="1"/>
  <c r="BP248" i="1"/>
  <c r="BP129" i="1"/>
  <c r="BP157" i="1"/>
  <c r="BQ206" i="1"/>
  <c r="BP95" i="1"/>
  <c r="AV182" i="1"/>
  <c r="AV186" i="1" s="1"/>
  <c r="AV157" i="1"/>
  <c r="BB182" i="1"/>
  <c r="BB157" i="1"/>
  <c r="AX182" i="1"/>
  <c r="AX157" i="1"/>
  <c r="BN182" i="1"/>
  <c r="BN157" i="1"/>
  <c r="AZ182" i="1"/>
  <c r="AZ157" i="1"/>
  <c r="BQ17" i="1"/>
  <c r="BU18" i="1"/>
  <c r="BU28" i="1"/>
  <c r="BY18" i="1"/>
  <c r="BU17" i="1"/>
  <c r="AS138" i="1"/>
  <c r="AT33" i="1"/>
  <c r="BP28" i="1"/>
  <c r="BP18" i="1"/>
  <c r="BP17" i="1"/>
  <c r="BQ19" i="1"/>
  <c r="BN184" i="1"/>
  <c r="BM17" i="1"/>
  <c r="BQ18" i="1"/>
  <c r="BM28" i="1"/>
  <c r="BM19" i="1"/>
  <c r="BW18" i="1"/>
  <c r="Q59" i="1"/>
  <c r="AU19" i="1"/>
  <c r="AV19" i="1"/>
  <c r="AU28" i="1"/>
  <c r="AU17" i="1"/>
  <c r="BS28" i="1"/>
  <c r="BS17" i="1"/>
  <c r="BH28" i="1"/>
  <c r="BH17" i="1"/>
  <c r="BL18" i="1"/>
  <c r="BB18" i="1"/>
  <c r="AX19" i="1"/>
  <c r="AX17" i="1"/>
  <c r="AX18" i="1"/>
  <c r="AX28" i="1"/>
  <c r="AT95" i="1"/>
  <c r="AT96" i="1"/>
  <c r="AT94" i="1"/>
  <c r="BG17" i="1"/>
  <c r="BH19" i="1"/>
  <c r="BG28" i="1"/>
  <c r="AN28" i="1"/>
  <c r="AN18" i="1"/>
  <c r="AN19" i="1"/>
  <c r="AN17" i="1"/>
  <c r="AV28" i="1"/>
  <c r="AV17" i="1"/>
  <c r="AW19" i="1"/>
  <c r="BW17" i="1"/>
  <c r="X59" i="1"/>
  <c r="CA18" i="1"/>
  <c r="BX19" i="1"/>
  <c r="BW28" i="1"/>
  <c r="BW138" i="1"/>
  <c r="BX33" i="1"/>
  <c r="BV244" i="1"/>
  <c r="BV246" i="1"/>
  <c r="BR96" i="1"/>
  <c r="BR94" i="1"/>
  <c r="BR95" i="1"/>
  <c r="BH246" i="1"/>
  <c r="BH244" i="1"/>
  <c r="BB17" i="1"/>
  <c r="BB28" i="1"/>
  <c r="CR194" i="1"/>
  <c r="CR132" i="1"/>
  <c r="CQ203" i="1"/>
  <c r="CQ201" i="1" s="1"/>
  <c r="AB206" i="1"/>
  <c r="DB63" i="1"/>
  <c r="DB65" i="1" s="1"/>
  <c r="DA65" i="1"/>
  <c r="L205" i="1" l="1"/>
  <c r="I198" i="1"/>
  <c r="I199" i="1" s="1"/>
  <c r="Q198" i="1"/>
  <c r="Q199" i="1" s="1"/>
  <c r="K165" i="1"/>
  <c r="Q205" i="1"/>
  <c r="O198" i="1"/>
  <c r="O199" i="1" s="1"/>
  <c r="AZ28" i="1"/>
  <c r="BH206" i="1"/>
  <c r="BD184" i="1"/>
  <c r="D165" i="1"/>
  <c r="O205" i="1"/>
  <c r="BR184" i="1"/>
  <c r="C198" i="1"/>
  <c r="C199" i="1" s="1"/>
  <c r="I205" i="1"/>
  <c r="J165" i="1"/>
  <c r="F246" i="1"/>
  <c r="F244" i="1"/>
  <c r="L203" i="1"/>
  <c r="L201" i="1" s="1"/>
  <c r="K203" i="1"/>
  <c r="K201" i="1" s="1"/>
  <c r="W203" i="1"/>
  <c r="W201" i="1" s="1"/>
  <c r="L244" i="1"/>
  <c r="L246" i="1"/>
  <c r="J246" i="1"/>
  <c r="J244" i="1"/>
  <c r="F181" i="1"/>
  <c r="F186" i="1"/>
  <c r="S181" i="1"/>
  <c r="S198" i="1"/>
  <c r="S199" i="1" s="1"/>
  <c r="H198" i="1"/>
  <c r="H199" i="1" s="1"/>
  <c r="G203" i="1"/>
  <c r="G201" i="1" s="1"/>
  <c r="B110" i="1"/>
  <c r="B113" i="1" s="1"/>
  <c r="N203" i="1"/>
  <c r="N201" i="1" s="1"/>
  <c r="M203" i="1"/>
  <c r="M201" i="1" s="1"/>
  <c r="M244" i="1"/>
  <c r="M246" i="1"/>
  <c r="K166" i="1"/>
  <c r="D69" i="1"/>
  <c r="D68" i="1"/>
  <c r="B186" i="1"/>
  <c r="B181" i="1"/>
  <c r="J186" i="1"/>
  <c r="BF206" i="1"/>
  <c r="BF168" i="1"/>
  <c r="BR129" i="1"/>
  <c r="BS249" i="1"/>
  <c r="BS206" i="1"/>
  <c r="BR168" i="1"/>
  <c r="BD248" i="1"/>
  <c r="BT249" i="1"/>
  <c r="BT206" i="1"/>
  <c r="BD206" i="1"/>
  <c r="BD129" i="1"/>
  <c r="BE249" i="1"/>
  <c r="BE206" i="1"/>
  <c r="BD168" i="1"/>
  <c r="BD249" i="1"/>
  <c r="BH249" i="1"/>
  <c r="BR206" i="1"/>
  <c r="BF248" i="1"/>
  <c r="BD182" i="1"/>
  <c r="BD157" i="1"/>
  <c r="BF182" i="1"/>
  <c r="BF157" i="1"/>
  <c r="BR182" i="1"/>
  <c r="T246" i="1"/>
  <c r="BH186" i="1"/>
  <c r="BL189" i="1" s="1"/>
  <c r="U246" i="1"/>
  <c r="U203" i="1"/>
  <c r="U201" i="1" s="1"/>
  <c r="B111" i="1"/>
  <c r="B114" i="1" s="1"/>
  <c r="N198" i="1"/>
  <c r="N199" i="1" s="1"/>
  <c r="M165" i="1"/>
  <c r="M166" i="1" s="1"/>
  <c r="BG249" i="1"/>
  <c r="BS209" i="1"/>
  <c r="BR248" i="1"/>
  <c r="BF249" i="1"/>
  <c r="BF129" i="1"/>
  <c r="BG206" i="1"/>
  <c r="BR186" i="1"/>
  <c r="BR157" i="1"/>
  <c r="BE28" i="1"/>
  <c r="BE17" i="1"/>
  <c r="BC19" i="1"/>
  <c r="AJ19" i="1"/>
  <c r="AI17" i="1"/>
  <c r="AM18" i="1"/>
  <c r="AI28" i="1"/>
  <c r="N59" i="1"/>
  <c r="BC28" i="1"/>
  <c r="BC17" i="1"/>
  <c r="BG18" i="1"/>
  <c r="AO19" i="1"/>
  <c r="AZ18" i="1"/>
  <c r="AO18" i="1"/>
  <c r="AO28" i="1"/>
  <c r="AO17" i="1"/>
  <c r="H181" i="1"/>
  <c r="Q165" i="1"/>
  <c r="Q166" i="1" s="1"/>
  <c r="R198" i="1"/>
  <c r="R199" i="1" s="1"/>
  <c r="P205" i="1"/>
  <c r="BA19" i="1"/>
  <c r="AZ17" i="1"/>
  <c r="G205" i="1"/>
  <c r="L166" i="1"/>
  <c r="K198" i="1"/>
  <c r="K199" i="1" s="1"/>
  <c r="E198" i="1"/>
  <c r="E199" i="1" s="1"/>
  <c r="U205" i="1"/>
  <c r="E205" i="1"/>
  <c r="F205" i="1"/>
  <c r="C205" i="1"/>
  <c r="D205" i="1"/>
  <c r="D198" i="1"/>
  <c r="D199" i="1" s="1"/>
  <c r="G198" i="1"/>
  <c r="G199" i="1" s="1"/>
  <c r="N205" i="1"/>
  <c r="C111" i="1"/>
  <c r="C114" i="1" s="1"/>
  <c r="C110" i="1"/>
  <c r="C113" i="1" s="1"/>
  <c r="G166" i="1"/>
  <c r="U198" i="1"/>
  <c r="U199" i="1" s="1"/>
  <c r="H165" i="1"/>
  <c r="H166" i="1" s="1"/>
  <c r="F198" i="1"/>
  <c r="F199" i="1" s="1"/>
  <c r="T205" i="1"/>
  <c r="M198" i="1"/>
  <c r="M199" i="1" s="1"/>
  <c r="C203" i="1"/>
  <c r="C201" i="1" s="1"/>
  <c r="V165" i="1"/>
  <c r="V166" i="1" s="1"/>
  <c r="M205" i="1"/>
  <c r="D203" i="1"/>
  <c r="D201" i="1" s="1"/>
  <c r="F165" i="1"/>
  <c r="F166" i="1" s="1"/>
  <c r="N246" i="1"/>
  <c r="S244" i="1"/>
  <c r="C165" i="1"/>
  <c r="V205" i="1"/>
  <c r="S165" i="1"/>
  <c r="S166" i="1" s="1"/>
  <c r="T198" i="1"/>
  <c r="T199" i="1" s="1"/>
  <c r="B165" i="1"/>
  <c r="N165" i="1"/>
  <c r="L186" i="1"/>
  <c r="T165" i="1"/>
  <c r="N244" i="1"/>
  <c r="S246" i="1"/>
  <c r="T203" i="1"/>
  <c r="T201" i="1" s="1"/>
  <c r="R205" i="1"/>
  <c r="L181" i="1"/>
  <c r="V203" i="1"/>
  <c r="V201" i="1" s="1"/>
  <c r="P186" i="1"/>
  <c r="P181" i="1"/>
  <c r="O165" i="1"/>
  <c r="O166" i="1" s="1"/>
  <c r="O246" i="1"/>
  <c r="P203" i="1"/>
  <c r="P201" i="1" s="1"/>
  <c r="Q186" i="1"/>
  <c r="Q184" i="1"/>
  <c r="K184" i="1"/>
  <c r="K186" i="1"/>
  <c r="E186" i="1"/>
  <c r="U186" i="1"/>
  <c r="V184" i="1"/>
  <c r="V186" i="1"/>
  <c r="T186" i="1"/>
  <c r="T181" i="1"/>
  <c r="O203" i="1"/>
  <c r="O201" i="1" s="1"/>
  <c r="O244" i="1"/>
  <c r="N186" i="1"/>
  <c r="N181" i="1"/>
  <c r="G186" i="1"/>
  <c r="G184" i="1"/>
  <c r="O186" i="1"/>
  <c r="M186" i="1"/>
  <c r="M184" i="1"/>
  <c r="BS19" i="1"/>
  <c r="BF29" i="1"/>
  <c r="BF34" i="1"/>
  <c r="BF38" i="1" s="1"/>
  <c r="BF232" i="1"/>
  <c r="BF233" i="1" s="1"/>
  <c r="BO28" i="1"/>
  <c r="V59" i="1"/>
  <c r="AT29" i="1"/>
  <c r="AY18" i="1"/>
  <c r="S59" i="1"/>
  <c r="BC18" i="1"/>
  <c r="BR19" i="1"/>
  <c r="AZ232" i="1"/>
  <c r="AZ233" i="1" s="1"/>
  <c r="BN18" i="1"/>
  <c r="BN17" i="1"/>
  <c r="BN19" i="1"/>
  <c r="BO19" i="1"/>
  <c r="BK18" i="1"/>
  <c r="AV18" i="1"/>
  <c r="BT28" i="1"/>
  <c r="BT17" i="1"/>
  <c r="AY19" i="1"/>
  <c r="AS18" i="1"/>
  <c r="AQ28" i="1"/>
  <c r="AQ18" i="1"/>
  <c r="AR19" i="1"/>
  <c r="BF18" i="1"/>
  <c r="BT182" i="1"/>
  <c r="BT157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AS17" i="1"/>
  <c r="AS28" i="1"/>
  <c r="AT19" i="1"/>
  <c r="AW18" i="1"/>
  <c r="BF17" i="1"/>
  <c r="BJ18" i="1"/>
  <c r="BF19" i="1"/>
  <c r="BP19" i="1"/>
  <c r="BS18" i="1"/>
  <c r="BO18" i="1"/>
  <c r="BO17" i="1"/>
  <c r="AT34" i="1"/>
  <c r="AT38" i="1" s="1"/>
  <c r="AT232" i="1"/>
  <c r="AT233" i="1" s="1"/>
  <c r="BD19" i="1"/>
  <c r="BR28" i="1"/>
  <c r="BR17" i="1"/>
  <c r="AZ29" i="1"/>
  <c r="AZ34" i="1"/>
  <c r="AZ38" i="1" s="1"/>
  <c r="BH18" i="1"/>
  <c r="BR18" i="1"/>
  <c r="BN28" i="1"/>
  <c r="U59" i="1"/>
  <c r="BG19" i="1"/>
  <c r="T59" i="1"/>
  <c r="AR18" i="1"/>
  <c r="BU19" i="1"/>
  <c r="BX18" i="1"/>
  <c r="BT18" i="1"/>
  <c r="BI19" i="1"/>
  <c r="O59" i="1"/>
  <c r="P59" i="1"/>
  <c r="AQ17" i="1"/>
  <c r="R59" i="1"/>
  <c r="BB19" i="1"/>
  <c r="BA28" i="1"/>
  <c r="BA17" i="1"/>
  <c r="BH166" i="1"/>
  <c r="BV166" i="1"/>
  <c r="I165" i="1"/>
  <c r="I166" i="1" s="1"/>
  <c r="V198" i="1"/>
  <c r="V199" i="1" s="1"/>
  <c r="U165" i="1"/>
  <c r="U166" i="1" s="1"/>
  <c r="L198" i="1"/>
  <c r="L199" i="1" s="1"/>
  <c r="J198" i="1"/>
  <c r="J199" i="1" s="1"/>
  <c r="H205" i="1"/>
  <c r="D110" i="1"/>
  <c r="D113" i="1" s="1"/>
  <c r="D111" i="1"/>
  <c r="D114" i="1" s="1"/>
  <c r="E244" i="1"/>
  <c r="E203" i="1"/>
  <c r="E201" i="1" s="1"/>
  <c r="E246" i="1"/>
  <c r="F203" i="1"/>
  <c r="F201" i="1" s="1"/>
  <c r="E165" i="1"/>
  <c r="E166" i="1" s="1"/>
  <c r="BD18" i="1"/>
  <c r="BD28" i="1"/>
  <c r="BD30" i="1" s="1"/>
  <c r="BD17" i="1"/>
  <c r="BJ19" i="1"/>
  <c r="BI28" i="1"/>
  <c r="BM18" i="1"/>
  <c r="BI17" i="1"/>
  <c r="BW37" i="1"/>
  <c r="BV109" i="1"/>
  <c r="AR28" i="1"/>
  <c r="AS19" i="1"/>
  <c r="AR17" i="1"/>
  <c r="AW232" i="1"/>
  <c r="AW233" i="1" s="1"/>
  <c r="BA30" i="1"/>
  <c r="AW29" i="1"/>
  <c r="AW34" i="1"/>
  <c r="AW38" i="1" s="1"/>
  <c r="I244" i="1"/>
  <c r="I246" i="1"/>
  <c r="J203" i="1"/>
  <c r="J201" i="1" s="1"/>
  <c r="I203" i="1"/>
  <c r="I201" i="1" s="1"/>
  <c r="S184" i="1"/>
  <c r="S186" i="1"/>
  <c r="AU18" i="1"/>
  <c r="AQ19" i="1"/>
  <c r="BW19" i="1"/>
  <c r="BV19" i="1"/>
  <c r="BV17" i="1"/>
  <c r="BZ18" i="1"/>
  <c r="BQ29" i="1"/>
  <c r="BQ232" i="1"/>
  <c r="BQ233" i="1" s="1"/>
  <c r="BQ34" i="1"/>
  <c r="BQ38" i="1" s="1"/>
  <c r="BE18" i="1"/>
  <c r="BI18" i="1"/>
  <c r="BJ232" i="1"/>
  <c r="BJ233" i="1" s="1"/>
  <c r="BJ34" i="1"/>
  <c r="BJ38" i="1" s="1"/>
  <c r="BJ29" i="1"/>
  <c r="BJ30" i="1"/>
  <c r="BV18" i="1"/>
  <c r="BV28" i="1"/>
  <c r="BV96" i="1"/>
  <c r="BV95" i="1"/>
  <c r="BV94" i="1"/>
  <c r="H184" i="1"/>
  <c r="H186" i="1"/>
  <c r="D184" i="1"/>
  <c r="D186" i="1"/>
  <c r="BV186" i="1"/>
  <c r="BV181" i="1"/>
  <c r="BH109" i="1"/>
  <c r="BI37" i="1"/>
  <c r="BI138" i="1"/>
  <c r="P166" i="1"/>
  <c r="J166" i="1"/>
  <c r="C186" i="1"/>
  <c r="C189" i="1" s="1"/>
  <c r="C190" i="1" s="1"/>
  <c r="BE19" i="1"/>
  <c r="R244" i="1"/>
  <c r="R246" i="1"/>
  <c r="R165" i="1"/>
  <c r="R166" i="1" s="1"/>
  <c r="R203" i="1"/>
  <c r="R201" i="1" s="1"/>
  <c r="S203" i="1"/>
  <c r="S201" i="1" s="1"/>
  <c r="S210" i="1" s="1"/>
  <c r="S211" i="1" s="1"/>
  <c r="B68" i="1"/>
  <c r="B69" i="1"/>
  <c r="C70" i="1" s="1"/>
  <c r="D70" i="1"/>
  <c r="C85" i="1"/>
  <c r="B89" i="1"/>
  <c r="C87" i="1"/>
  <c r="C86" i="1"/>
  <c r="D166" i="1"/>
  <c r="D244" i="1"/>
  <c r="H213" i="1"/>
  <c r="Q213" i="1"/>
  <c r="Q210" i="1"/>
  <c r="Q211" i="1" s="1"/>
  <c r="AW37" i="1"/>
  <c r="AV109" i="1"/>
  <c r="BS138" i="1"/>
  <c r="BT33" i="1"/>
  <c r="BR246" i="1"/>
  <c r="BR244" i="1"/>
  <c r="AP33" i="1"/>
  <c r="AO138" i="1"/>
  <c r="AN94" i="1"/>
  <c r="AN96" i="1"/>
  <c r="J189" i="1"/>
  <c r="J190" i="1" s="1"/>
  <c r="BB109" i="1"/>
  <c r="BC37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X203" i="1"/>
  <c r="BX201" i="1" s="1"/>
  <c r="BW203" i="1"/>
  <c r="BW201" i="1" s="1"/>
  <c r="AZ186" i="1"/>
  <c r="AZ189" i="1" s="1"/>
  <c r="AZ181" i="1"/>
  <c r="BU30" i="1"/>
  <c r="BU29" i="1"/>
  <c r="BU232" i="1"/>
  <c r="BU233" i="1" s="1"/>
  <c r="BY30" i="1"/>
  <c r="BU34" i="1"/>
  <c r="BU38" i="1" s="1"/>
  <c r="AS203" i="1"/>
  <c r="AS201" i="1" s="1"/>
  <c r="AT203" i="1"/>
  <c r="AT20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AX226" i="1"/>
  <c r="AW226" i="1"/>
  <c r="AW112" i="1"/>
  <c r="AU31" i="1"/>
  <c r="AU250" i="1"/>
  <c r="AU251" i="1" s="1"/>
  <c r="AU232" i="1"/>
  <c r="AU233" i="1" s="1"/>
  <c r="AU29" i="1"/>
  <c r="AU34" i="1"/>
  <c r="AU38" i="1" s="1"/>
  <c r="AV31" i="1"/>
  <c r="AV250" i="1"/>
  <c r="AV251" i="1" s="1"/>
  <c r="BS34" i="1"/>
  <c r="BS38" i="1" s="1"/>
  <c r="BS29" i="1"/>
  <c r="BS232" i="1"/>
  <c r="BS233" i="1" s="1"/>
  <c r="AX112" i="1"/>
  <c r="Q60" i="1"/>
  <c r="AV34" i="1"/>
  <c r="AZ30" i="1"/>
  <c r="AV29" i="1"/>
  <c r="AV232" i="1"/>
  <c r="AV233" i="1" s="1"/>
  <c r="AW250" i="1"/>
  <c r="AW251" i="1" s="1"/>
  <c r="AW31" i="1"/>
  <c r="BG29" i="1"/>
  <c r="BG250" i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W30" i="1"/>
  <c r="AN250" i="1"/>
  <c r="AN251" i="1" s="1"/>
  <c r="AN34" i="1"/>
  <c r="AN31" i="1"/>
  <c r="AN29" i="1"/>
  <c r="AN232" i="1"/>
  <c r="AN233" i="1" s="1"/>
  <c r="AN226" i="1"/>
  <c r="AN112" i="1"/>
  <c r="AN30" i="1"/>
  <c r="AX250" i="1"/>
  <c r="AX251" i="1" s="1"/>
  <c r="AX232" i="1"/>
  <c r="AX233" i="1" s="1"/>
  <c r="AX30" i="1"/>
  <c r="BB30" i="1"/>
  <c r="AX34" i="1"/>
  <c r="AX31" i="1"/>
  <c r="AX29" i="1"/>
  <c r="BB34" i="1"/>
  <c r="BF30" i="1"/>
  <c r="BB232" i="1"/>
  <c r="BB233" i="1" s="1"/>
  <c r="BB29" i="1"/>
  <c r="BW232" i="1"/>
  <c r="BW233" i="1" s="1"/>
  <c r="BX31" i="1"/>
  <c r="X60" i="1"/>
  <c r="BW29" i="1"/>
  <c r="BZ112" i="1"/>
  <c r="BZ226" i="1"/>
  <c r="BW34" i="1"/>
  <c r="CA30" i="1"/>
  <c r="BX250" i="1"/>
  <c r="BX251" i="1" s="1"/>
  <c r="BC250" i="1"/>
  <c r="BC251" i="1" s="1"/>
  <c r="AO232" i="1"/>
  <c r="AO233" i="1" s="1"/>
  <c r="AO34" i="1"/>
  <c r="AO38" i="1" s="1"/>
  <c r="AO40" i="1" s="1"/>
  <c r="AO250" i="1"/>
  <c r="AO251" i="1" s="1"/>
  <c r="AO30" i="1"/>
  <c r="AO29" i="1"/>
  <c r="CR134" i="1"/>
  <c r="AE142" i="1"/>
  <c r="AC124" i="1"/>
  <c r="BS250" i="1" l="1"/>
  <c r="BS251" i="1" s="1"/>
  <c r="BS112" i="1"/>
  <c r="BT226" i="1"/>
  <c r="AZ41" i="1"/>
  <c r="AZ40" i="1"/>
  <c r="BR250" i="1"/>
  <c r="BR251" i="1" s="1"/>
  <c r="BR29" i="1"/>
  <c r="BR31" i="1"/>
  <c r="BS31" i="1"/>
  <c r="BR232" i="1"/>
  <c r="BR233" i="1" s="1"/>
  <c r="BR34" i="1"/>
  <c r="BN112" i="1"/>
  <c r="BN226" i="1"/>
  <c r="BG251" i="1"/>
  <c r="BH112" i="1"/>
  <c r="BH251" i="1"/>
  <c r="BN34" i="1"/>
  <c r="BR30" i="1"/>
  <c r="BN29" i="1"/>
  <c r="BN31" i="1"/>
  <c r="BN232" i="1"/>
  <c r="BN233" i="1" s="1"/>
  <c r="BN250" i="1"/>
  <c r="BN251" i="1" s="1"/>
  <c r="BN30" i="1"/>
  <c r="BD112" i="1"/>
  <c r="BB250" i="1"/>
  <c r="BB251" i="1" s="1"/>
  <c r="BB31" i="1"/>
  <c r="BE226" i="1"/>
  <c r="BE112" i="1"/>
  <c r="BU31" i="1"/>
  <c r="BT232" i="1"/>
  <c r="BT233" i="1" s="1"/>
  <c r="BT30" i="1"/>
  <c r="BU112" i="1"/>
  <c r="AV30" i="1"/>
  <c r="BQ40" i="1"/>
  <c r="BQ41" i="1"/>
  <c r="AW40" i="1"/>
  <c r="AW41" i="1"/>
  <c r="AT41" i="1"/>
  <c r="AT40" i="1"/>
  <c r="AY112" i="1"/>
  <c r="BT186" i="1"/>
  <c r="BT181" i="1"/>
  <c r="BK30" i="1"/>
  <c r="BK31" i="1"/>
  <c r="BK29" i="1"/>
  <c r="BL31" i="1"/>
  <c r="BK232" i="1"/>
  <c r="BK233" i="1" s="1"/>
  <c r="BM112" i="1"/>
  <c r="BM226" i="1"/>
  <c r="AU30" i="1"/>
  <c r="BA112" i="1"/>
  <c r="AY226" i="1"/>
  <c r="AY31" i="1"/>
  <c r="AY250" i="1"/>
  <c r="AY251" i="1" s="1"/>
  <c r="AZ112" i="1"/>
  <c r="BT112" i="1"/>
  <c r="BT31" i="1"/>
  <c r="AV112" i="1"/>
  <c r="AZ226" i="1"/>
  <c r="BB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R112" i="1"/>
  <c r="AS30" i="1"/>
  <c r="BT34" i="1"/>
  <c r="BU250" i="1"/>
  <c r="BU251" i="1" s="1"/>
  <c r="BT29" i="1"/>
  <c r="BX30" i="1"/>
  <c r="N166" i="1"/>
  <c r="P213" i="1"/>
  <c r="H189" i="1"/>
  <c r="H190" i="1" s="1"/>
  <c r="T166" i="1"/>
  <c r="U213" i="1"/>
  <c r="V189" i="1"/>
  <c r="V190" i="1" s="1"/>
  <c r="K213" i="1"/>
  <c r="R210" i="1"/>
  <c r="R211" i="1" s="1"/>
  <c r="K210" i="1"/>
  <c r="K211" i="1" s="1"/>
  <c r="D210" i="1"/>
  <c r="D211" i="1" s="1"/>
  <c r="D213" i="1"/>
  <c r="C244" i="1"/>
  <c r="C166" i="1"/>
  <c r="T213" i="1"/>
  <c r="T210" i="1"/>
  <c r="T211" i="1" s="1"/>
  <c r="B166" i="1"/>
  <c r="B244" i="1"/>
  <c r="J210" i="1"/>
  <c r="J211" i="1" s="1"/>
  <c r="I210" i="1"/>
  <c r="I211" i="1" s="1"/>
  <c r="M213" i="1"/>
  <c r="N213" i="1"/>
  <c r="P210" i="1"/>
  <c r="P211" i="1" s="1"/>
  <c r="N210" i="1"/>
  <c r="N211" i="1" s="1"/>
  <c r="M210" i="1"/>
  <c r="M211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V210" i="1"/>
  <c r="V211" i="1" s="1"/>
  <c r="V213" i="1"/>
  <c r="O213" i="1"/>
  <c r="Q189" i="1"/>
  <c r="Q190" i="1" s="1"/>
  <c r="O210" i="1"/>
  <c r="O211" i="1" s="1"/>
  <c r="BR165" i="1"/>
  <c r="BR166" i="1" s="1"/>
  <c r="L213" i="1"/>
  <c r="L210" i="1"/>
  <c r="L211" i="1" s="1"/>
  <c r="L189" i="1"/>
  <c r="L190" i="1" s="1"/>
  <c r="K189" i="1"/>
  <c r="K190" i="1" s="1"/>
  <c r="F189" i="1"/>
  <c r="F190" i="1" s="1"/>
  <c r="G189" i="1"/>
  <c r="G190" i="1" s="1"/>
  <c r="BF166" i="1"/>
  <c r="BT165" i="1"/>
  <c r="BT166" i="1" s="1"/>
  <c r="S189" i="1"/>
  <c r="S190" i="1" s="1"/>
  <c r="R189" i="1"/>
  <c r="R190" i="1" s="1"/>
  <c r="T189" i="1"/>
  <c r="T190" i="1" s="1"/>
  <c r="U189" i="1"/>
  <c r="U190" i="1" s="1"/>
  <c r="P189" i="1"/>
  <c r="P190" i="1" s="1"/>
  <c r="O189" i="1"/>
  <c r="O190" i="1" s="1"/>
  <c r="M189" i="1"/>
  <c r="M190" i="1" s="1"/>
  <c r="N189" i="1"/>
  <c r="N190" i="1" s="1"/>
  <c r="BL112" i="1"/>
  <c r="AQ250" i="1"/>
  <c r="AQ251" i="1" s="1"/>
  <c r="AT30" i="1"/>
  <c r="BS226" i="1"/>
  <c r="BF31" i="1"/>
  <c r="BO29" i="1"/>
  <c r="BO34" i="1"/>
  <c r="BO38" i="1" s="1"/>
  <c r="BP250" i="1"/>
  <c r="BP251" i="1" s="1"/>
  <c r="BC31" i="1"/>
  <c r="AI29" i="1"/>
  <c r="AI34" i="1"/>
  <c r="AI232" i="1"/>
  <c r="AI233" i="1" s="1"/>
  <c r="BS30" i="1"/>
  <c r="BC34" i="1"/>
  <c r="BC232" i="1"/>
  <c r="BC233" i="1" s="1"/>
  <c r="AP250" i="1"/>
  <c r="AP251" i="1" s="1"/>
  <c r="BJ112" i="1"/>
  <c r="BI112" i="1"/>
  <c r="BJ226" i="1"/>
  <c r="BG226" i="1"/>
  <c r="BH30" i="1"/>
  <c r="AO226" i="1"/>
  <c r="AO112" i="1"/>
  <c r="BO226" i="1"/>
  <c r="BA226" i="1"/>
  <c r="AQ31" i="1"/>
  <c r="BO30" i="1"/>
  <c r="BF250" i="1"/>
  <c r="BF251" i="1" s="1"/>
  <c r="BE232" i="1"/>
  <c r="BE233" i="1" s="1"/>
  <c r="BE29" i="1"/>
  <c r="BF41" i="1"/>
  <c r="BP31" i="1"/>
  <c r="AJ31" i="1"/>
  <c r="AM30" i="1"/>
  <c r="N60" i="1"/>
  <c r="BR226" i="1"/>
  <c r="BR112" i="1"/>
  <c r="AQ112" i="1"/>
  <c r="AR226" i="1"/>
  <c r="AP112" i="1"/>
  <c r="BQ112" i="1"/>
  <c r="BP112" i="1"/>
  <c r="BO112" i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E34" i="1"/>
  <c r="BE38" i="1" s="1"/>
  <c r="BF40" i="1"/>
  <c r="BO232" i="1"/>
  <c r="BO233" i="1" s="1"/>
  <c r="AL112" i="1"/>
  <c r="AL226" i="1"/>
  <c r="BG30" i="1"/>
  <c r="BC29" i="1"/>
  <c r="BC30" i="1"/>
  <c r="AQ226" i="1"/>
  <c r="V60" i="1"/>
  <c r="AP226" i="1"/>
  <c r="BK226" i="1"/>
  <c r="BD226" i="1"/>
  <c r="BI226" i="1"/>
  <c r="BI250" i="1"/>
  <c r="BI251" i="1" s="1"/>
  <c r="AR30" i="1"/>
  <c r="AO31" i="1"/>
  <c r="BP226" i="1"/>
  <c r="BO31" i="1"/>
  <c r="BO250" i="1"/>
  <c r="BO251" i="1" s="1"/>
  <c r="BQ226" i="1"/>
  <c r="BC112" i="1"/>
  <c r="BC226" i="1"/>
  <c r="BB226" i="1"/>
  <c r="R60" i="1"/>
  <c r="BH226" i="1"/>
  <c r="T60" i="1"/>
  <c r="BG112" i="1"/>
  <c r="BI31" i="1"/>
  <c r="H210" i="1"/>
  <c r="H211" i="1" s="1"/>
  <c r="J213" i="1"/>
  <c r="I213" i="1"/>
  <c r="I189" i="1"/>
  <c r="I190" i="1" s="1"/>
  <c r="U210" i="1"/>
  <c r="U211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E30" i="1"/>
  <c r="BI232" i="1"/>
  <c r="BI233" i="1" s="1"/>
  <c r="BI34" i="1"/>
  <c r="BI29" i="1"/>
  <c r="BL226" i="1"/>
  <c r="BJ31" i="1"/>
  <c r="BJ250" i="1"/>
  <c r="BJ251" i="1" s="1"/>
  <c r="BM30" i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T250" i="1"/>
  <c r="BT251" i="1" s="1"/>
  <c r="AU226" i="1"/>
  <c r="AU112" i="1"/>
  <c r="AV226" i="1"/>
  <c r="AY30" i="1"/>
  <c r="BV110" i="1"/>
  <c r="BV111" i="1"/>
  <c r="BD31" i="1"/>
  <c r="BF112" i="1"/>
  <c r="BF226" i="1"/>
  <c r="AR34" i="1"/>
  <c r="AR38" i="1" s="1"/>
  <c r="AR232" i="1"/>
  <c r="AR233" i="1" s="1"/>
  <c r="BA31" i="1"/>
  <c r="BA34" i="1"/>
  <c r="BA232" i="1"/>
  <c r="BA233" i="1" s="1"/>
  <c r="BA29" i="1"/>
  <c r="BA250" i="1"/>
  <c r="BA251" i="1" s="1"/>
  <c r="AS31" i="1"/>
  <c r="AR29" i="1"/>
  <c r="BJ40" i="1"/>
  <c r="BJ41" i="1"/>
  <c r="BV232" i="1"/>
  <c r="BV233" i="1" s="1"/>
  <c r="BV29" i="1"/>
  <c r="BZ30" i="1"/>
  <c r="BV34" i="1"/>
  <c r="BX226" i="1"/>
  <c r="BV226" i="1"/>
  <c r="BV112" i="1"/>
  <c r="BX112" i="1"/>
  <c r="BW31" i="1"/>
  <c r="BY226" i="1"/>
  <c r="BW112" i="1"/>
  <c r="BV250" i="1"/>
  <c r="BV251" i="1" s="1"/>
  <c r="BV31" i="1"/>
  <c r="BV30" i="1"/>
  <c r="BW226" i="1"/>
  <c r="BW250" i="1"/>
  <c r="BW251" i="1" s="1"/>
  <c r="BY112" i="1"/>
  <c r="E189" i="1"/>
  <c r="E190" i="1" s="1"/>
  <c r="D189" i="1"/>
  <c r="D190" i="1" s="1"/>
  <c r="BV189" i="1"/>
  <c r="BZ189" i="1"/>
  <c r="BH110" i="1"/>
  <c r="BH113" i="1" s="1"/>
  <c r="BH111" i="1"/>
  <c r="BH114" i="1" s="1"/>
  <c r="BJ203" i="1"/>
  <c r="BJ201" i="1" s="1"/>
  <c r="BI203" i="1"/>
  <c r="BI201" i="1" s="1"/>
  <c r="S213" i="1"/>
  <c r="B87" i="1"/>
  <c r="B85" i="1"/>
  <c r="B86" i="1"/>
  <c r="R213" i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N111" i="1"/>
  <c r="BN114" i="1" s="1"/>
  <c r="BN110" i="1"/>
  <c r="BN113" i="1" s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1" i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U41" i="1"/>
  <c r="BY43" i="1" s="1"/>
  <c r="BU40" i="1"/>
  <c r="BP40" i="1"/>
  <c r="BP41" i="1"/>
  <c r="BQ44" i="1" s="1"/>
  <c r="BM40" i="1"/>
  <c r="BM41" i="1"/>
  <c r="AU41" i="1"/>
  <c r="AU40" i="1"/>
  <c r="AZ234" i="1"/>
  <c r="AZ48" i="1"/>
  <c r="AZ42" i="1"/>
  <c r="AZ245" i="1" s="1"/>
  <c r="BR38" i="1"/>
  <c r="AP55" i="1"/>
  <c r="AO41" i="1"/>
  <c r="AX38" i="1"/>
  <c r="AZ55" i="1"/>
  <c r="BN38" i="1"/>
  <c r="BH41" i="1"/>
  <c r="BH40" i="1"/>
  <c r="AQ38" i="1"/>
  <c r="BZ55" i="1"/>
  <c r="BW38" i="1"/>
  <c r="BB38" i="1"/>
  <c r="AN55" i="1"/>
  <c r="AN38" i="1"/>
  <c r="AV38" i="1"/>
  <c r="AX55" i="1"/>
  <c r="BT38" i="1"/>
  <c r="BT55" i="1"/>
  <c r="BZ113" i="1"/>
  <c r="BZ114" i="1"/>
  <c r="BG38" i="1"/>
  <c r="BH55" i="1"/>
  <c r="BS40" i="1"/>
  <c r="BS41" i="1"/>
  <c r="BQ42" i="1"/>
  <c r="BQ245" i="1" s="1"/>
  <c r="BQ48" i="1"/>
  <c r="BQ234" i="1"/>
  <c r="AT48" i="1"/>
  <c r="AT234" i="1"/>
  <c r="AT42" i="1"/>
  <c r="AT245" i="1" s="1"/>
  <c r="AW48" i="1"/>
  <c r="AW234" i="1"/>
  <c r="AW42" i="1"/>
  <c r="AW245" i="1" s="1"/>
  <c r="CR138" i="1"/>
  <c r="CS32" i="1"/>
  <c r="BJ43" i="1" l="1"/>
  <c r="BB113" i="1"/>
  <c r="BP113" i="1"/>
  <c r="BP114" i="1"/>
  <c r="BF114" i="1"/>
  <c r="BF113" i="1"/>
  <c r="BR113" i="1"/>
  <c r="BR114" i="1"/>
  <c r="AP113" i="1"/>
  <c r="AP114" i="1"/>
  <c r="BL113" i="1"/>
  <c r="BL114" i="1"/>
  <c r="BK41" i="1"/>
  <c r="BK40" i="1"/>
  <c r="AY40" i="1"/>
  <c r="AY41" i="1"/>
  <c r="AP40" i="1"/>
  <c r="AP41" i="1"/>
  <c r="AP43" i="1" s="1"/>
  <c r="BE40" i="1"/>
  <c r="BE41" i="1"/>
  <c r="BF234" i="1"/>
  <c r="BF42" i="1"/>
  <c r="BF245" i="1" s="1"/>
  <c r="BF48" i="1"/>
  <c r="BO41" i="1"/>
  <c r="BO40" i="1"/>
  <c r="AL114" i="1"/>
  <c r="AL113" i="1"/>
  <c r="AI38" i="1"/>
  <c r="AL55" i="1"/>
  <c r="BC38" i="1"/>
  <c r="BR55" i="1"/>
  <c r="BP55" i="1"/>
  <c r="BJ113" i="1"/>
  <c r="BJ114" i="1"/>
  <c r="BN55" i="1"/>
  <c r="AR40" i="1"/>
  <c r="AR41" i="1"/>
  <c r="BD40" i="1"/>
  <c r="BD41" i="1"/>
  <c r="BF55" i="1"/>
  <c r="AR55" i="1"/>
  <c r="BJ55" i="1"/>
  <c r="AS40" i="1"/>
  <c r="AS41" i="1"/>
  <c r="AS44" i="1" s="1"/>
  <c r="BI38" i="1"/>
  <c r="BL55" i="1"/>
  <c r="AT55" i="1"/>
  <c r="AV55" i="1"/>
  <c r="BA38" i="1"/>
  <c r="BD55" i="1"/>
  <c r="BB55" i="1"/>
  <c r="BJ234" i="1"/>
  <c r="BJ48" i="1"/>
  <c r="BJ42" i="1"/>
  <c r="BJ245" i="1" s="1"/>
  <c r="BV38" i="1"/>
  <c r="BV55" i="1"/>
  <c r="BX55" i="1"/>
  <c r="BY55" i="1"/>
  <c r="BV113" i="1"/>
  <c r="BV114" i="1"/>
  <c r="BX113" i="1"/>
  <c r="BX114" i="1"/>
  <c r="BU42" i="1"/>
  <c r="BU245" i="1" s="1"/>
  <c r="BU234" i="1"/>
  <c r="BU48" i="1"/>
  <c r="BU43" i="1"/>
  <c r="BP48" i="1"/>
  <c r="BP43" i="1"/>
  <c r="BP234" i="1"/>
  <c r="BP42" i="1"/>
  <c r="BP245" i="1" s="1"/>
  <c r="BM48" i="1"/>
  <c r="BM44" i="1"/>
  <c r="BM234" i="1"/>
  <c r="BQ43" i="1"/>
  <c r="BM42" i="1"/>
  <c r="BM245" i="1" s="1"/>
  <c r="AU42" i="1"/>
  <c r="AU245" i="1" s="1"/>
  <c r="AU234" i="1"/>
  <c r="AU48" i="1"/>
  <c r="AU44" i="1"/>
  <c r="AO48" i="1"/>
  <c r="AZ66" i="1"/>
  <c r="AZ52" i="1"/>
  <c r="AZ193" i="1"/>
  <c r="AZ195" i="1" s="1"/>
  <c r="BR41" i="1"/>
  <c r="BR40" i="1"/>
  <c r="AO43" i="1"/>
  <c r="BH43" i="1"/>
  <c r="AO234" i="1"/>
  <c r="AO42" i="1"/>
  <c r="AO245" i="1" s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AY43" i="1" l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BM227" i="1"/>
  <c r="BD43" i="1"/>
  <c r="BO234" i="1"/>
  <c r="BO48" i="1"/>
  <c r="BO43" i="1"/>
  <c r="AI40" i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D48" i="1"/>
  <c r="BD234" i="1"/>
  <c r="BD42" i="1"/>
  <c r="BD245" i="1" s="1"/>
  <c r="BE44" i="1"/>
  <c r="BO42" i="1"/>
  <c r="BO245" i="1" s="1"/>
  <c r="BP44" i="1"/>
  <c r="AI41" i="1"/>
  <c r="AU227" i="1"/>
  <c r="AP44" i="1"/>
  <c r="AR48" i="1"/>
  <c r="AR234" i="1"/>
  <c r="AR42" i="1"/>
  <c r="AR245" i="1" s="1"/>
  <c r="AS48" i="1"/>
  <c r="AS42" i="1"/>
  <c r="AS245" i="1" s="1"/>
  <c r="AS234" i="1"/>
  <c r="AT44" i="1"/>
  <c r="AW43" i="1"/>
  <c r="BI41" i="1"/>
  <c r="BI44" i="1" s="1"/>
  <c r="BI40" i="1"/>
  <c r="AS43" i="1"/>
  <c r="BA41" i="1"/>
  <c r="BA40" i="1"/>
  <c r="BJ66" i="1"/>
  <c r="BJ193" i="1"/>
  <c r="BJ195" i="1" s="1"/>
  <c r="BJ52" i="1"/>
  <c r="BV40" i="1"/>
  <c r="BV41" i="1"/>
  <c r="BV43" i="1" s="1"/>
  <c r="BK193" i="1"/>
  <c r="BK195" i="1" s="1"/>
  <c r="BK119" i="1"/>
  <c r="BK120" i="1" s="1"/>
  <c r="BK66" i="1"/>
  <c r="BU119" i="1"/>
  <c r="BU120" i="1" s="1"/>
  <c r="BU52" i="1"/>
  <c r="BU193" i="1"/>
  <c r="BU195" i="1" s="1"/>
  <c r="BU66" i="1"/>
  <c r="BS44" i="1"/>
  <c r="BS227" i="1"/>
  <c r="BM66" i="1"/>
  <c r="BM52" i="1"/>
  <c r="BP52" i="1"/>
  <c r="BP193" i="1"/>
  <c r="BP195" i="1" s="1"/>
  <c r="BP66" i="1"/>
  <c r="BM119" i="1"/>
  <c r="BM120" i="1" s="1"/>
  <c r="BM193" i="1"/>
  <c r="BM195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43" i="1"/>
  <c r="AX48" i="1"/>
  <c r="AX234" i="1"/>
  <c r="AX42" i="1"/>
  <c r="AX245" i="1" s="1"/>
  <c r="AZ227" i="1"/>
  <c r="AX44" i="1"/>
  <c r="AY44" i="1"/>
  <c r="AX43" i="1"/>
  <c r="BH52" i="1"/>
  <c r="BH66" i="1"/>
  <c r="BH193" i="1"/>
  <c r="BH195" i="1" s="1"/>
  <c r="BT227" i="1"/>
  <c r="BT44" i="1"/>
  <c r="BK43" i="1"/>
  <c r="BG48" i="1"/>
  <c r="BH227" i="1"/>
  <c r="BG42" i="1"/>
  <c r="BG245" i="1" s="1"/>
  <c r="BH44" i="1"/>
  <c r="BG227" i="1"/>
  <c r="BG234" i="1"/>
  <c r="BG44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AY193" i="1" l="1"/>
  <c r="AY195" i="1" s="1"/>
  <c r="AY66" i="1"/>
  <c r="BK52" i="1"/>
  <c r="AP193" i="1"/>
  <c r="AP195" i="1" s="1"/>
  <c r="AP66" i="1"/>
  <c r="AP52" i="1"/>
  <c r="BE66" i="1"/>
  <c r="BE193" i="1"/>
  <c r="BE195" i="1" s="1"/>
  <c r="BE52" i="1"/>
  <c r="BF227" i="1"/>
  <c r="BC43" i="1"/>
  <c r="BD52" i="1"/>
  <c r="BD66" i="1"/>
  <c r="BO66" i="1"/>
  <c r="BO119" i="1"/>
  <c r="BO120" i="1" s="1"/>
  <c r="AJ44" i="1"/>
  <c r="AI48" i="1"/>
  <c r="AY119" i="1"/>
  <c r="AY120" i="1" s="1"/>
  <c r="AY52" i="1"/>
  <c r="BE119" i="1"/>
  <c r="BE120" i="1" s="1"/>
  <c r="BD44" i="1"/>
  <c r="BC48" i="1"/>
  <c r="BC234" i="1"/>
  <c r="BC42" i="1"/>
  <c r="BC245" i="1" s="1"/>
  <c r="BD193" i="1"/>
  <c r="BD195" i="1" s="1"/>
  <c r="BO52" i="1"/>
  <c r="BO193" i="1"/>
  <c r="BO195" i="1" s="1"/>
  <c r="AI42" i="1"/>
  <c r="AI234" i="1"/>
  <c r="AM43" i="1"/>
  <c r="AL227" i="1"/>
  <c r="BG43" i="1"/>
  <c r="BQ54" i="1"/>
  <c r="BC44" i="1"/>
  <c r="BE227" i="1"/>
  <c r="AR66" i="1"/>
  <c r="AR193" i="1"/>
  <c r="AR195" i="1" s="1"/>
  <c r="AR52" i="1"/>
  <c r="AS52" i="1"/>
  <c r="AS119" i="1"/>
  <c r="AS120" i="1" s="1"/>
  <c r="AS193" i="1"/>
  <c r="AS195" i="1" s="1"/>
  <c r="AS66" i="1"/>
  <c r="BI43" i="1"/>
  <c r="BK227" i="1"/>
  <c r="BM43" i="1"/>
  <c r="BL227" i="1"/>
  <c r="BI48" i="1"/>
  <c r="BI234" i="1"/>
  <c r="BJ44" i="1"/>
  <c r="BI42" i="1"/>
  <c r="BI245" i="1" s="1"/>
  <c r="BW227" i="1"/>
  <c r="BV227" i="1"/>
  <c r="BD227" i="1"/>
  <c r="BB227" i="1"/>
  <c r="BB44" i="1"/>
  <c r="BC227" i="1"/>
  <c r="BA227" i="1"/>
  <c r="BJ227" i="1"/>
  <c r="BI227" i="1"/>
  <c r="BX227" i="1"/>
  <c r="BW44" i="1"/>
  <c r="BY227" i="1"/>
  <c r="BE43" i="1"/>
  <c r="BA43" i="1"/>
  <c r="BA48" i="1"/>
  <c r="BA44" i="1"/>
  <c r="BA42" i="1"/>
  <c r="BA245" i="1" s="1"/>
  <c r="BA234" i="1"/>
  <c r="BV44" i="1"/>
  <c r="BZ43" i="1"/>
  <c r="BV234" i="1"/>
  <c r="BV48" i="1"/>
  <c r="BV54" i="1" s="1"/>
  <c r="BV42" i="1"/>
  <c r="BV245" i="1" s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O54" i="1"/>
  <c r="BN207" i="1"/>
  <c r="BN205" i="1" s="1"/>
  <c r="BU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AQ119" i="1"/>
  <c r="AQ120" i="1" s="1"/>
  <c r="AQ193" i="1"/>
  <c r="AQ195" i="1" s="1"/>
  <c r="AQ52" i="1"/>
  <c r="AQ66" i="1"/>
  <c r="AR54" i="1"/>
  <c r="AT54" i="1"/>
  <c r="P61" i="1"/>
  <c r="BG52" i="1"/>
  <c r="BG66" i="1"/>
  <c r="BG119" i="1"/>
  <c r="BG120" i="1" s="1"/>
  <c r="BH54" i="1"/>
  <c r="BG193" i="1"/>
  <c r="BG195" i="1" s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S61" i="1" l="1"/>
  <c r="BE54" i="1"/>
  <c r="T61" i="1"/>
  <c r="BK54" i="1"/>
  <c r="BL54" i="1"/>
  <c r="BI52" i="1"/>
  <c r="BI193" i="1"/>
  <c r="BI195" i="1" s="1"/>
  <c r="BI66" i="1"/>
  <c r="BI119" i="1"/>
  <c r="BI120" i="1" s="1"/>
  <c r="BX54" i="1"/>
  <c r="BY54" i="1"/>
  <c r="BB54" i="1"/>
  <c r="R61" i="1"/>
  <c r="BD54" i="1"/>
  <c r="AS54" i="1"/>
  <c r="BJ54" i="1"/>
  <c r="BA193" i="1"/>
  <c r="BA195" i="1" s="1"/>
  <c r="BA119" i="1"/>
  <c r="BA120" i="1" s="1"/>
  <c r="BA66" i="1"/>
  <c r="BA52" i="1"/>
  <c r="BV52" i="1"/>
  <c r="BV66" i="1"/>
  <c r="BV193" i="1"/>
  <c r="BV19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R69" i="1"/>
  <c r="BR86" i="1" s="1"/>
  <c r="BT69" i="1"/>
  <c r="BS69" i="1"/>
  <c r="AS95" i="1"/>
  <c r="AS96" i="1"/>
  <c r="AS94" i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G69" i="1"/>
  <c r="BH69" i="1"/>
  <c r="BE69" i="1"/>
  <c r="BE86" i="1" s="1"/>
  <c r="BZ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L69" i="1" l="1"/>
  <c r="BK69" i="1"/>
  <c r="BI92" i="1"/>
  <c r="BI129" i="1"/>
  <c r="BI55" i="1" s="1"/>
  <c r="BI207" i="1"/>
  <c r="BI205" i="1" s="1"/>
  <c r="BI54" i="1"/>
  <c r="BJ207" i="1"/>
  <c r="BJ205" i="1" s="1"/>
  <c r="BJ69" i="1"/>
  <c r="BF89" i="1" s="1"/>
  <c r="BI69" i="1"/>
  <c r="BA54" i="1"/>
  <c r="BA207" i="1"/>
  <c r="BA205" i="1" s="1"/>
  <c r="BA92" i="1"/>
  <c r="BB207" i="1"/>
  <c r="BB205" i="1" s="1"/>
  <c r="BA129" i="1"/>
  <c r="BA55" i="1" s="1"/>
  <c r="BA69" i="1"/>
  <c r="BD69" i="1"/>
  <c r="BB69" i="1"/>
  <c r="BB70" i="1" s="1"/>
  <c r="BC69" i="1"/>
  <c r="BV69" i="1"/>
  <c r="BX69" i="1"/>
  <c r="BX70" i="1" s="1"/>
  <c r="BY69" i="1"/>
  <c r="BW69" i="1"/>
  <c r="BL85" i="1"/>
  <c r="BL86" i="1"/>
  <c r="BN89" i="1"/>
  <c r="BR85" i="1"/>
  <c r="BR87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I95" i="1"/>
  <c r="BI96" i="1"/>
  <c r="BI94" i="1"/>
  <c r="BQ89" i="1"/>
  <c r="BU87" i="1"/>
  <c r="BU86" i="1"/>
  <c r="BC95" i="1"/>
  <c r="BC94" i="1"/>
  <c r="BC96" i="1"/>
  <c r="BQ86" i="1"/>
  <c r="BM89" i="1"/>
  <c r="AQ86" i="1"/>
  <c r="AQ85" i="1"/>
  <c r="BU70" i="1"/>
  <c r="AX70" i="1"/>
  <c r="CD70" i="1"/>
  <c r="BZ87" i="1"/>
  <c r="AN87" i="1"/>
  <c r="AR70" i="1"/>
  <c r="AN86" i="1"/>
  <c r="AN85" i="1"/>
  <c r="BO85" i="1"/>
  <c r="BK89" i="1"/>
  <c r="BO86" i="1"/>
  <c r="BO70" i="1"/>
  <c r="BO87" i="1"/>
  <c r="AP89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AW87" i="1"/>
  <c r="AV89" i="1"/>
  <c r="AZ87" i="1"/>
  <c r="AZ86" i="1"/>
  <c r="AZ85" i="1"/>
  <c r="AY87" i="1"/>
  <c r="AU89" i="1"/>
  <c r="AY70" i="1"/>
  <c r="AT86" i="1"/>
  <c r="AM89" i="1"/>
  <c r="BS70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AX85" i="1"/>
  <c r="AT89" i="1"/>
  <c r="AX87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V70" i="1" l="1"/>
  <c r="BA70" i="1"/>
  <c r="BD70" i="1"/>
  <c r="BJ87" i="1"/>
  <c r="BM70" i="1"/>
  <c r="BI87" i="1"/>
  <c r="BI85" i="1"/>
  <c r="BI86" i="1"/>
  <c r="BE89" i="1"/>
  <c r="BY70" i="1"/>
  <c r="BW70" i="1"/>
  <c r="BC70" i="1"/>
  <c r="BZ70" i="1"/>
  <c r="BW85" i="1"/>
  <c r="AW89" i="1"/>
  <c r="BE70" i="1"/>
  <c r="BA87" i="1"/>
  <c r="BX86" i="1"/>
  <c r="BT89" i="1"/>
  <c r="BX87" i="1"/>
  <c r="CB70" i="1"/>
  <c r="BX85" i="1"/>
  <c r="BH70" i="1"/>
  <c r="BD86" i="1"/>
  <c r="AZ89" i="1"/>
  <c r="BD85" i="1"/>
  <c r="BD87" i="1"/>
  <c r="BW86" i="1"/>
  <c r="BC87" i="1"/>
  <c r="AY89" i="1"/>
  <c r="BG70" i="1"/>
  <c r="BC86" i="1"/>
  <c r="BC85" i="1"/>
  <c r="CC70" i="1"/>
  <c r="BY87" i="1"/>
  <c r="BU89" i="1"/>
  <c r="BY86" i="1"/>
  <c r="BY85" i="1"/>
  <c r="AX89" i="1"/>
  <c r="BF70" i="1"/>
  <c r="BB87" i="1"/>
  <c r="BB86" i="1"/>
  <c r="BB85" i="1"/>
  <c r="BA96" i="1"/>
  <c r="BA94" i="1"/>
  <c r="BA95" i="1"/>
  <c r="BV86" i="1"/>
  <c r="BV85" i="1"/>
  <c r="BV87" i="1"/>
  <c r="BR89" i="1"/>
  <c r="BA85" i="1"/>
  <c r="BA86" i="1"/>
  <c r="CA70" i="1"/>
  <c r="BS89" i="1"/>
  <c r="BW87" i="1"/>
  <c r="CB90" i="1"/>
  <c r="BT90" i="1"/>
  <c r="BH90" i="1"/>
  <c r="BM90" i="1"/>
  <c r="BN90" i="1"/>
  <c r="BB90" i="1"/>
  <c r="BI90" i="1"/>
  <c r="AW90" i="1"/>
  <c r="BL90" i="1"/>
  <c r="AZ90" i="1"/>
  <c r="AR90" i="1"/>
  <c r="AV90" i="1"/>
  <c r="AS90" i="1"/>
  <c r="AU90" i="1"/>
  <c r="AT90" i="1"/>
  <c r="AQ90" i="1"/>
  <c r="AP90" i="1"/>
  <c r="AO90" i="1"/>
  <c r="BP90" i="1"/>
  <c r="BO90" i="1"/>
  <c r="AY90" i="1"/>
  <c r="AX90" i="1"/>
  <c r="BR90" i="1"/>
  <c r="BC90" i="1"/>
  <c r="BF90" i="1"/>
  <c r="BS90" i="1"/>
  <c r="BD90" i="1"/>
  <c r="BQ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J90" i="1" l="1"/>
  <c r="BX90" i="1"/>
  <c r="BE90" i="1"/>
  <c r="BA90" i="1"/>
  <c r="BK90" i="1"/>
  <c r="BG90" i="1"/>
  <c r="BY90" i="1"/>
  <c r="CA90" i="1"/>
  <c r="BZ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28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Y253" i="1"/>
  <c r="CY10" i="1"/>
  <c r="CY231" i="1"/>
  <c r="CU15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157" i="1"/>
  <c r="CY145" i="1"/>
  <c r="CY16" i="1"/>
  <c r="CY153" i="1"/>
  <c r="CY146" i="1"/>
  <c r="CY152" i="1"/>
  <c r="CY156" i="1" s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48" i="1"/>
  <c r="CY157" i="1" s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7" i="1"/>
  <c r="AA86" i="1"/>
  <c r="AA85" i="1"/>
  <c r="AA108" i="1"/>
  <c r="AA111" i="1"/>
  <c r="AA114" i="1"/>
  <c r="AA99" i="1"/>
  <c r="AA92" i="1"/>
  <c r="AA102" i="1"/>
  <c r="AA104" i="1"/>
  <c r="AA103" i="1"/>
  <c r="AA95" i="1"/>
  <c r="AA96" i="1"/>
  <c r="AA9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Z65" i="1"/>
  <c r="Y63" i="1"/>
  <c r="AC65" i="1"/>
  <c r="Z99" i="1"/>
  <c r="Z107" i="1"/>
  <c r="Z110" i="1"/>
  <c r="Z113" i="1"/>
  <c r="Z92" i="1"/>
  <c r="Z66" i="1"/>
  <c r="X63" i="1"/>
  <c r="Y65" i="1"/>
  <c r="AD63" i="1"/>
  <c r="Z108" i="1"/>
  <c r="Z111" i="1"/>
  <c r="AD65" i="1"/>
  <c r="Y108" i="1"/>
  <c r="Y111" i="1"/>
  <c r="Y114" i="1"/>
  <c r="Y107" i="1"/>
  <c r="Y110" i="1"/>
  <c r="Y113" i="1"/>
  <c r="Y99" i="1"/>
  <c r="X65" i="1"/>
  <c r="Z68" i="1"/>
  <c r="Z69" i="1"/>
  <c r="Z94" i="1"/>
  <c r="Z104" i="1"/>
  <c r="W63" i="1"/>
  <c r="V63" i="1"/>
  <c r="W65" i="1"/>
  <c r="U63" i="1"/>
  <c r="T63" i="1"/>
  <c r="S63" i="1"/>
  <c r="R63" i="1"/>
  <c r="Q63" i="1"/>
  <c r="P63" i="1"/>
  <c r="O63" i="1"/>
  <c r="N63" i="1"/>
  <c r="M63" i="1"/>
  <c r="M65" i="1"/>
  <c r="M66" i="1"/>
  <c r="M69" i="1"/>
  <c r="M70" i="1"/>
  <c r="M85" i="1"/>
  <c r="L63" i="1"/>
  <c r="K63" i="1"/>
  <c r="J63" i="1"/>
  <c r="I63" i="1"/>
  <c r="H63" i="1"/>
  <c r="G63" i="1"/>
  <c r="F63" i="1"/>
  <c r="F65" i="1"/>
  <c r="F66" i="1"/>
  <c r="F69" i="1"/>
  <c r="F85" i="1"/>
  <c r="N65" i="1"/>
  <c r="N66" i="1"/>
  <c r="N69" i="1"/>
  <c r="H65" i="1"/>
  <c r="W108" i="1"/>
  <c r="X66" i="1"/>
  <c r="W66" i="1"/>
  <c r="W69" i="1"/>
  <c r="W86" i="1"/>
  <c r="I65" i="1"/>
  <c r="I66" i="1"/>
  <c r="I69" i="1"/>
  <c r="I87" i="1"/>
  <c r="I70" i="1"/>
  <c r="N99" i="1"/>
  <c r="F86" i="1"/>
  <c r="Y103" i="1"/>
  <c r="N108" i="1"/>
  <c r="N68" i="1"/>
  <c r="Q65" i="1"/>
  <c r="Q66" i="1"/>
  <c r="Q69" i="1"/>
  <c r="Q87" i="1"/>
  <c r="Q85" i="1"/>
  <c r="P89" i="1"/>
  <c r="K65" i="1"/>
  <c r="K107" i="1"/>
  <c r="K110" i="1"/>
  <c r="K113" i="1"/>
  <c r="Z114" i="1"/>
  <c r="E63" i="1"/>
  <c r="E65" i="1"/>
  <c r="E66" i="1"/>
  <c r="E69" i="1"/>
  <c r="E86" i="1"/>
  <c r="G65" i="1"/>
  <c r="G92" i="1"/>
  <c r="G96" i="1"/>
  <c r="T65" i="1"/>
  <c r="T107" i="1"/>
  <c r="T110" i="1"/>
  <c r="T113" i="1"/>
  <c r="W107" i="1"/>
  <c r="W110" i="1"/>
  <c r="W113" i="1"/>
  <c r="W70" i="1"/>
  <c r="G94" i="1"/>
  <c r="T92" i="1"/>
  <c r="T96" i="1"/>
  <c r="E108" i="1"/>
  <c r="E111" i="1"/>
  <c r="R65" i="1"/>
  <c r="X99" i="1"/>
  <c r="Y89" i="1"/>
  <c r="R66" i="1"/>
  <c r="R69" i="1"/>
  <c r="Q89" i="1"/>
  <c r="M68" i="1"/>
  <c r="Z96" i="1"/>
  <c r="X108" i="1"/>
  <c r="M89" i="1"/>
  <c r="Y92" i="1"/>
  <c r="U65" i="1"/>
  <c r="U99" i="1"/>
  <c r="U103" i="1"/>
  <c r="Y104" i="1"/>
  <c r="N85" i="1"/>
  <c r="L65" i="1"/>
  <c r="N92" i="1"/>
  <c r="Z85" i="1"/>
  <c r="Z70" i="1"/>
  <c r="V65" i="1"/>
  <c r="V99" i="1"/>
  <c r="P65" i="1"/>
  <c r="P66" i="1"/>
  <c r="P99" i="1"/>
  <c r="P108" i="1"/>
  <c r="W92" i="1"/>
  <c r="N86" i="1"/>
  <c r="L89" i="1"/>
  <c r="U108" i="1"/>
  <c r="O65" i="1"/>
  <c r="Z89" i="1"/>
  <c r="AB108" i="1"/>
  <c r="AB107" i="1"/>
  <c r="AB111" i="1"/>
  <c r="AC92" i="1"/>
  <c r="AC66" i="1"/>
  <c r="AC69" i="1"/>
  <c r="AC85" i="1"/>
  <c r="AC107" i="1"/>
  <c r="AC86" i="1"/>
  <c r="AD107" i="1"/>
  <c r="K66" i="1"/>
  <c r="K69" i="1"/>
  <c r="U66" i="1"/>
  <c r="U69" i="1"/>
  <c r="U70" i="1"/>
  <c r="S65" i="1"/>
  <c r="S66" i="1"/>
  <c r="K87" i="1"/>
  <c r="Z103" i="1"/>
  <c r="Y102" i="1"/>
  <c r="Y66" i="1"/>
  <c r="I99" i="1"/>
  <c r="V66" i="1"/>
  <c r="W94" i="1"/>
  <c r="V108" i="1"/>
  <c r="F70" i="1"/>
  <c r="O66" i="1"/>
  <c r="V68" i="1"/>
  <c r="M108" i="1"/>
  <c r="F107" i="1"/>
  <c r="J89" i="1"/>
  <c r="F87" i="1"/>
  <c r="O69" i="1"/>
  <c r="O86" i="1"/>
  <c r="Q107" i="1"/>
  <c r="AC68" i="1"/>
  <c r="K68" i="1"/>
  <c r="M86" i="1"/>
  <c r="I68" i="1"/>
  <c r="P68" i="1"/>
  <c r="AC99" i="1"/>
  <c r="AE63" i="1"/>
  <c r="AE65" i="1"/>
  <c r="AE99" i="1"/>
  <c r="AB114" i="1"/>
  <c r="AC103" i="1"/>
  <c r="AD92" i="1"/>
  <c r="AD108" i="1"/>
  <c r="O68" i="1"/>
  <c r="G66" i="1"/>
  <c r="G69" i="1"/>
  <c r="G87" i="1"/>
  <c r="J65" i="1"/>
  <c r="J66" i="1"/>
  <c r="J69" i="1"/>
  <c r="J85" i="1"/>
  <c r="I108" i="1"/>
  <c r="I104" i="1"/>
  <c r="P103" i="1"/>
  <c r="U86" i="1"/>
  <c r="H99" i="1"/>
  <c r="M92" i="1"/>
  <c r="Q110" i="1"/>
  <c r="P104" i="1"/>
  <c r="M99" i="1"/>
  <c r="Z86" i="1"/>
  <c r="O107" i="1"/>
  <c r="Q92" i="1"/>
  <c r="O110" i="1"/>
  <c r="V92" i="1"/>
  <c r="T95" i="1"/>
  <c r="F99" i="1"/>
  <c r="S99" i="1"/>
  <c r="I86" i="1"/>
  <c r="S92" i="1"/>
  <c r="J70" i="1"/>
  <c r="P69" i="1"/>
  <c r="P86" i="1"/>
  <c r="S69" i="1"/>
  <c r="S70" i="1"/>
  <c r="G85" i="1"/>
  <c r="S87" i="1"/>
  <c r="T66" i="1"/>
  <c r="T69" i="1"/>
  <c r="F104" i="1"/>
  <c r="N102" i="1"/>
  <c r="N95" i="1"/>
  <c r="AC102" i="1"/>
  <c r="J108" i="1"/>
  <c r="J111" i="1"/>
  <c r="G108" i="1"/>
  <c r="N70" i="1"/>
  <c r="E99" i="1"/>
  <c r="O85" i="1"/>
  <c r="K92" i="1"/>
  <c r="R107" i="1"/>
  <c r="F108" i="1"/>
  <c r="F111" i="1"/>
  <c r="F114" i="1"/>
  <c r="L107" i="1"/>
  <c r="AD95" i="1"/>
  <c r="U102" i="1"/>
  <c r="G99" i="1"/>
  <c r="Q70" i="1"/>
  <c r="P85" i="1"/>
  <c r="J107" i="1"/>
  <c r="R87" i="1"/>
  <c r="Q86" i="1"/>
  <c r="X102" i="1"/>
  <c r="R85" i="1"/>
  <c r="Y96" i="1"/>
  <c r="Y94" i="1"/>
  <c r="G102" i="1"/>
  <c r="Z95" i="1"/>
  <c r="AC87" i="1"/>
  <c r="E104" i="1"/>
  <c r="H89" i="1"/>
  <c r="W87" i="1"/>
  <c r="X103" i="1"/>
  <c r="E70" i="1"/>
  <c r="K108" i="1"/>
  <c r="K111" i="1"/>
  <c r="K114" i="1"/>
  <c r="M102" i="1"/>
  <c r="O70" i="1"/>
  <c r="O89" i="1"/>
  <c r="P87" i="1"/>
  <c r="N111" i="1"/>
  <c r="H107" i="1"/>
  <c r="H110" i="1"/>
  <c r="H113" i="1"/>
  <c r="L110" i="1"/>
  <c r="T94" i="1"/>
  <c r="L66" i="1"/>
  <c r="L69" i="1"/>
  <c r="L87" i="1"/>
  <c r="D89" i="1"/>
  <c r="S94" i="1"/>
  <c r="W85" i="1"/>
  <c r="Q95" i="1"/>
  <c r="S104" i="1"/>
  <c r="M104" i="1"/>
  <c r="T68" i="1"/>
  <c r="P111" i="1"/>
  <c r="H92" i="1"/>
  <c r="H96" i="1"/>
  <c r="F92" i="1"/>
  <c r="F94" i="1"/>
  <c r="F96" i="1"/>
  <c r="H108" i="1"/>
  <c r="H111" i="1"/>
  <c r="O108" i="1"/>
  <c r="G107" i="1"/>
  <c r="M107" i="1"/>
  <c r="AD94" i="1"/>
  <c r="AE66" i="1"/>
  <c r="AE69" i="1"/>
  <c r="AD89" i="1"/>
  <c r="T108" i="1"/>
  <c r="T111" i="1"/>
  <c r="T114" i="1"/>
  <c r="G70" i="1"/>
  <c r="J87" i="1"/>
  <c r="N87" i="1"/>
  <c r="R108" i="1"/>
  <c r="R111" i="1"/>
  <c r="R114" i="1"/>
  <c r="U107" i="1"/>
  <c r="U110" i="1"/>
  <c r="L108" i="1"/>
  <c r="L111" i="1"/>
  <c r="K99" i="1"/>
  <c r="X92" i="1"/>
  <c r="Z87" i="1"/>
  <c r="R99" i="1"/>
  <c r="N107" i="1"/>
  <c r="O111" i="1"/>
  <c r="S108" i="1"/>
  <c r="S111" i="1"/>
  <c r="S114" i="1"/>
  <c r="J92" i="1"/>
  <c r="J95" i="1"/>
  <c r="AD96" i="1"/>
  <c r="AE107" i="1"/>
  <c r="AE110" i="1"/>
  <c r="AC110" i="1"/>
  <c r="K104" i="1"/>
  <c r="AE108" i="1"/>
  <c r="AE111" i="1"/>
  <c r="AE114" i="1"/>
  <c r="AE86" i="1"/>
  <c r="W99" i="1"/>
  <c r="X94" i="1"/>
  <c r="I89" i="1"/>
  <c r="L99" i="1"/>
  <c r="M87" i="1"/>
  <c r="R92" i="1"/>
  <c r="R70" i="1"/>
  <c r="G68" i="1"/>
  <c r="H66" i="1"/>
  <c r="H69" i="1"/>
  <c r="H86" i="1"/>
  <c r="W68" i="1"/>
  <c r="Z102" i="1"/>
  <c r="K86" i="1"/>
  <c r="N96" i="1"/>
  <c r="I92" i="1"/>
  <c r="L92" i="1"/>
  <c r="E107" i="1"/>
  <c r="E110" i="1"/>
  <c r="E113" i="1"/>
  <c r="E92" i="1"/>
  <c r="E94" i="1"/>
  <c r="E95" i="1"/>
  <c r="P107" i="1"/>
  <c r="P110" i="1"/>
  <c r="P113" i="1"/>
  <c r="S107" i="1"/>
  <c r="S110" i="1"/>
  <c r="AE92" i="1"/>
  <c r="E89" i="1"/>
  <c r="I111" i="1"/>
  <c r="W111" i="1"/>
  <c r="AB99" i="1"/>
  <c r="AD99" i="1"/>
  <c r="AE102" i="1"/>
  <c r="AB92" i="1"/>
  <c r="AB110" i="1"/>
  <c r="AC70" i="1"/>
  <c r="AC104" i="1"/>
  <c r="AD66" i="1"/>
  <c r="AD69" i="1"/>
  <c r="AD86" i="1"/>
  <c r="AD111" i="1"/>
  <c r="AD114" i="1"/>
  <c r="T99" i="1"/>
  <c r="T103" i="1"/>
  <c r="AD103" i="1"/>
  <c r="E96" i="1"/>
  <c r="Y69" i="1"/>
  <c r="U92" i="1"/>
  <c r="V107" i="1"/>
  <c r="O113" i="1"/>
  <c r="O92" i="1"/>
  <c r="H95" i="1"/>
  <c r="V110" i="1"/>
  <c r="F95" i="1"/>
  <c r="Q96" i="1"/>
  <c r="Q99" i="1"/>
  <c r="O99" i="1"/>
  <c r="AB66" i="1"/>
  <c r="J99" i="1"/>
  <c r="P92" i="1"/>
  <c r="V104" i="1"/>
  <c r="K70" i="1"/>
  <c r="O104" i="1"/>
  <c r="F103" i="1"/>
  <c r="S89" i="1"/>
  <c r="Q108" i="1"/>
  <c r="F110" i="1"/>
  <c r="F113" i="1"/>
  <c r="G86" i="1"/>
  <c r="AB68" i="1"/>
  <c r="I107" i="1"/>
  <c r="G111" i="1"/>
  <c r="I85" i="1"/>
  <c r="T86" i="1"/>
  <c r="V111" i="1"/>
  <c r="U113" i="1"/>
  <c r="U87" i="1"/>
  <c r="AC108" i="1"/>
  <c r="N110" i="1"/>
  <c r="N113" i="1"/>
  <c r="U111" i="1"/>
  <c r="U114" i="1"/>
  <c r="J96" i="1"/>
  <c r="J114" i="1"/>
  <c r="V95" i="1"/>
  <c r="G110" i="1"/>
  <c r="AD110" i="1"/>
  <c r="AD104" i="1"/>
  <c r="V89" i="1"/>
  <c r="V69" i="1"/>
  <c r="F68" i="1"/>
  <c r="F89" i="1"/>
  <c r="L102" i="1"/>
  <c r="T87" i="1"/>
  <c r="R95" i="1"/>
  <c r="Y68" i="1"/>
  <c r="Y95" i="1"/>
  <c r="AB69" i="1"/>
  <c r="AA89" i="1"/>
  <c r="S102" i="1"/>
  <c r="J103" i="1"/>
  <c r="N94" i="1"/>
  <c r="M111" i="1"/>
  <c r="M114" i="1"/>
  <c r="O96" i="1"/>
  <c r="X69" i="1"/>
  <c r="N104" i="1"/>
  <c r="O102" i="1"/>
  <c r="X111" i="1"/>
  <c r="L103" i="1"/>
  <c r="R110" i="1"/>
  <c r="S103" i="1"/>
  <c r="Q102" i="1"/>
  <c r="Q103" i="1"/>
  <c r="I114" i="1"/>
  <c r="R89" i="1"/>
  <c r="J110" i="1"/>
  <c r="X68" i="1"/>
  <c r="R86" i="1"/>
  <c r="E68" i="1"/>
  <c r="X107" i="1"/>
  <c r="X110" i="1"/>
  <c r="AB102" i="1"/>
  <c r="AD85" i="1"/>
  <c r="AE87" i="1"/>
  <c r="P70" i="1"/>
  <c r="J68" i="1"/>
  <c r="X95" i="1"/>
  <c r="I102" i="1"/>
  <c r="H85" i="1"/>
  <c r="AE70" i="1"/>
  <c r="W102" i="1"/>
  <c r="Y70" i="1"/>
  <c r="AD68" i="1"/>
  <c r="AB103" i="1"/>
  <c r="S85" i="1"/>
  <c r="F102" i="1"/>
  <c r="AC111" i="1"/>
  <c r="AC114" i="1"/>
  <c r="J94" i="1"/>
  <c r="G95" i="1"/>
  <c r="E87" i="1"/>
  <c r="S113" i="1"/>
  <c r="AE95" i="1"/>
  <c r="E103" i="1"/>
  <c r="M94" i="1"/>
  <c r="X96" i="1"/>
  <c r="N114" i="1"/>
  <c r="Q94" i="1"/>
  <c r="U94" i="1"/>
  <c r="AC95" i="1"/>
  <c r="AE103" i="1"/>
  <c r="W96" i="1"/>
  <c r="N89" i="1"/>
  <c r="S86" i="1"/>
  <c r="O103" i="1"/>
  <c r="Y87" i="1"/>
  <c r="U104" i="1"/>
  <c r="E85" i="1"/>
  <c r="Y85" i="1"/>
  <c r="I110" i="1"/>
  <c r="I113" i="1"/>
  <c r="T85" i="1"/>
  <c r="U96" i="1"/>
  <c r="K95" i="1"/>
  <c r="V113" i="1"/>
  <c r="H68" i="1"/>
  <c r="N103" i="1"/>
  <c r="M110" i="1"/>
  <c r="M113" i="1"/>
  <c r="V102" i="1"/>
  <c r="H104" i="1"/>
  <c r="H102" i="1"/>
  <c r="M95" i="1"/>
  <c r="T89" i="1"/>
  <c r="O87" i="1"/>
  <c r="T104" i="1"/>
  <c r="M96" i="1"/>
  <c r="U95" i="1"/>
  <c r="Q113" i="1"/>
  <c r="AC94" i="1"/>
  <c r="Q104" i="1"/>
  <c r="U85" i="1"/>
  <c r="S96" i="1"/>
  <c r="S68" i="1"/>
  <c r="I103" i="1"/>
  <c r="M103" i="1"/>
  <c r="E114" i="1"/>
  <c r="E102" i="1"/>
  <c r="O95" i="1"/>
  <c r="K96" i="1"/>
  <c r="O114" i="1"/>
  <c r="AD87" i="1"/>
  <c r="AE113" i="1"/>
  <c r="AC96" i="1"/>
  <c r="K102" i="1"/>
  <c r="S95" i="1"/>
  <c r="AB89" i="1"/>
  <c r="K85" i="1"/>
  <c r="V87" i="1"/>
  <c r="J86" i="1"/>
  <c r="R96" i="1"/>
  <c r="W114" i="1"/>
  <c r="X89" i="1"/>
  <c r="G104" i="1"/>
  <c r="R113" i="1"/>
  <c r="K89" i="1"/>
  <c r="Q111" i="1"/>
  <c r="Q114" i="1"/>
  <c r="W104" i="1"/>
  <c r="W103" i="1"/>
  <c r="J113" i="1"/>
  <c r="X86" i="1"/>
  <c r="L86" i="1"/>
  <c r="L85" i="1"/>
  <c r="L70" i="1"/>
  <c r="K103" i="1"/>
  <c r="X104" i="1"/>
  <c r="I94" i="1"/>
  <c r="X85" i="1"/>
  <c r="G103" i="1"/>
  <c r="L68" i="1"/>
  <c r="R68" i="1"/>
  <c r="AB86" i="1"/>
  <c r="V103" i="1"/>
  <c r="R102" i="1"/>
  <c r="AC113" i="1"/>
  <c r="W95" i="1"/>
  <c r="AB87" i="1"/>
  <c r="T70" i="1"/>
  <c r="V96" i="1"/>
  <c r="H103" i="1"/>
  <c r="L95" i="1"/>
  <c r="AC89" i="1"/>
  <c r="Y86" i="1"/>
  <c r="G113" i="1"/>
  <c r="H114" i="1"/>
  <c r="U68" i="1"/>
  <c r="V94" i="1"/>
  <c r="P102" i="1"/>
  <c r="P96" i="1"/>
  <c r="L113" i="1"/>
  <c r="AE104" i="1"/>
  <c r="L104" i="1"/>
  <c r="Q68" i="1"/>
  <c r="L94" i="1"/>
  <c r="V70" i="1"/>
  <c r="G89" i="1"/>
  <c r="G114" i="1"/>
  <c r="V114" i="1"/>
  <c r="K94" i="1"/>
  <c r="AD102" i="1"/>
  <c r="AD70" i="1"/>
  <c r="T102" i="1"/>
  <c r="O94" i="1"/>
  <c r="H94" i="1"/>
  <c r="P114" i="1"/>
  <c r="L114" i="1"/>
  <c r="AE68" i="1"/>
  <c r="V85" i="1"/>
  <c r="L96" i="1"/>
  <c r="H87" i="1"/>
  <c r="AB70" i="1"/>
  <c r="I96" i="1"/>
  <c r="AE96" i="1"/>
  <c r="W89" i="1"/>
  <c r="U89" i="1"/>
  <c r="X87" i="1"/>
  <c r="I95" i="1"/>
  <c r="X70" i="1"/>
  <c r="AB95" i="1"/>
  <c r="AD113" i="1"/>
  <c r="AB94" i="1"/>
  <c r="H70" i="1"/>
  <c r="J104" i="1"/>
  <c r="AB96" i="1"/>
  <c r="AE94" i="1"/>
  <c r="AB113" i="1"/>
  <c r="AB104" i="1"/>
  <c r="J102" i="1"/>
  <c r="R103" i="1"/>
  <c r="X113" i="1"/>
  <c r="AE85" i="1"/>
  <c r="R104" i="1"/>
  <c r="P94" i="1"/>
  <c r="AB85" i="1"/>
  <c r="R94" i="1"/>
  <c r="V86" i="1"/>
  <c r="X114" i="1"/>
  <c r="P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<sst xmlns="http://schemas.openxmlformats.org/spreadsheetml/2006/main" count="663" uniqueCount="524">
  <si>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</si>
  <si>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</si>
  <si>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</si>
  <si>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</si>
  <si>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</si>
  <si>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</si>
  <si>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</si>
  <si>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</si>
  <si>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</si>
  <si>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</si>
  <si>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</si>
  <si>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</si>
  <si>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</si>
  <si>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</si>
  <si>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</si>
  <si>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</si>
  <si>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</si>
  <si>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</si>
  <si>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</si>
  <si>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</si>
  <si>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</si>
  <si>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</si>
  <si>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</si>
  <si>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</si>
  <si>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</si>
  <si>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</si>
  <si>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</si>
  <si>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</si>
  <si>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</si>
  <si>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</si>
  <si>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</si>
  <si>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</si>
  <si>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</si>
  <si>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</si>
  <si>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</si>
  <si>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</si>
  <si>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</si>
  <si>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</si>
  <si>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</si>
  <si>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</si>
  <si>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</si>
  <si>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</si>
  <si>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</si>
  <si>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</si>
  <si>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</si>
  <si>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</si>
  <si>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</si>
  <si>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</si>
  <si>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</si>
  <si>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</si>
  <si>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</si>
  <si>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</si>
  <si>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</si>
  <si>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</si>
  <si>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</si>
  <si>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</si>
  <si>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</si>
  <si>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</si>
  <si>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</si>
  <si>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</si>
  <si>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</si>
  <si>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</si>
  <si>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</si>
  <si>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</si>
  <si>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</si>
  <si>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</si>
  <si>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</si>
  <si>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</si>
  <si>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</si>
  <si>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</si>
  <si>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</si>
  <si>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</si>
  <si>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</si>
  <si>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</si>
  <si>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</si>
  <si>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</si>
  <si>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</si>
  <si>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</si>
  <si>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</si>
  <si>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</si>
  <si>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</si>
  <si>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</si>
  <si>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</si>
  <si>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</si>
  <si>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</si>
  <si>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</si>
  <si>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</si>
  <si>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</si>
  <si>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</si>
  <si>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</si>
  <si>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</si>
  <si>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</si>
  <si>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</si>
  <si>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</si>
  <si>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</si>
  <si>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</si>
  <si>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</si>
  <si>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</si>
  <si>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</si>
  <si>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</si>
  <si>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</si>
  <si>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</si>
  <si>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</si>
  <si>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</si>
  <si>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</si>
  <si>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</si>
  <si>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</si>
  <si>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</si>
  <si>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</si>
  <si>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</si>
  <si>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</si>
  <si>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</si>
  <si>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</si>
  <si>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</si>
  <si>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</si>
  <si>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</si>
  <si>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</si>
  <si>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</si>
  <si>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</si>
  <si>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</si>
  <si>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</si>
  <si>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</si>
  <si>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</si>
  <si>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</si>
  <si>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</si>
  <si>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</si>
  <si>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</si>
  <si>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</si>
  <si>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</si>
  <si>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</si>
  <si>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</si>
  <si>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</si>
  <si>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</si>
  <si>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</si>
  <si>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</si>
  <si>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</si>
  <si>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</si>
  <si>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</si>
  <si>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</si>
  <si>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</si>
  <si>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</si>
  <si>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</si>
  <si>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</si>
  <si>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</si>
  <si>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</si>
  <si>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</si>
  <si>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</si>
  <si>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</si>
  <si>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</si>
  <si>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</si>
  <si>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</si>
  <si>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</si>
  <si>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</si>
  <si>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</si>
  <si>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</si>
  <si>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</si>
  <si>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</si>
  <si>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</si>
  <si>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</si>
  <si>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</si>
  <si>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</si>
  <si>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</si>
  <si>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</si>
  <si>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</si>
  <si>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</si>
  <si>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</si>
  <si>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</si>
  <si>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</si>
  <si>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</si>
  <si>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</si>
  <si>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</si>
  <si>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</si>
  <si>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</si>
  <si>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</si>
  <si>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</si>
  <si>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</si>
  <si>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</si>
  <si>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</si>
  <si>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</si>
  <si>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</si>
  <si>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</si>
  <si>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</si>
  <si>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</si>
  <si>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</si>
  <si>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</si>
  <si>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</si>
  <si>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</si>
  <si>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</si>
  <si>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</si>
  <si>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</si>
  <si>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</si>
  <si>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</si>
  <si>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</si>
  <si>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</si>
  <si>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</si>
  <si>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</si>
  <si>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</si>
  <si>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</si>
  <si>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</si>
  <si>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</si>
  <si>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</si>
  <si>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</si>
  <si>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</si>
  <si>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</si>
  <si>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</si>
  <si>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</si>
  <si>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</si>
  <si>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</si>
  <si>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</si>
  <si>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</si>
  <si>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</si>
  <si>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</si>
  <si>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</si>
  <si>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</si>
  <si>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</si>
  <si>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</si>
  <si>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</si>
  <si>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</si>
  <si>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</si>
  <si>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</si>
  <si>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</si>
  <si>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</si>
  <si>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</si>
  <si>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</si>
  <si>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</si>
  <si>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</si>
  <si>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</si>
  <si>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</si>
  <si>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</si>
  <si>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</si>
  <si>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</si>
  <si>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</si>
  <si>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</si>
  <si>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</si>
  <si>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</si>
  <si>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</si>
  <si>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</si>
  <si>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</si>
  <si>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</si>
  <si>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</si>
  <si>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</si>
  <si>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</si>
  <si>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</si>
  <si>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</si>
  <si>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</si>
  <si>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</si>
  <si>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</si>
  <si>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</si>
  <si>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</si>
  <si>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</si>
  <si>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</si>
  <si>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</si>
  <si>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</si>
  <si>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</si>
  <si>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</si>
  <si>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</si>
  <si>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</si>
  <si>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</si>
  <si>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</si>
  <si>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</si>
  <si>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</si>
  <si>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</si>
  <si>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</si>
  <si>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</si>
  <si>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</si>
  <si>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</si>
  <si>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</si>
  <si>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</si>
  <si>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</si>
  <si>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</si>
  <si>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</si>
  <si>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</si>
  <si>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</si>
  <si>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</si>
  <si>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</si>
  <si>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</si>
  <si>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</si>
  <si>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</si>
  <si>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</si>
  <si>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</si>
  <si>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</si>
  <si>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</si>
  <si>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</si>
  <si>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</si>
  <si>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</si>
  <si>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</si>
  <si>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</si>
  <si>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</si>
  <si>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</si>
  <si>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</si>
  <si>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</si>
  <si>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</si>
  <si>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</si>
  <si>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</si>
  <si>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</si>
  <si>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</si>
  <si>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</si>
  <si>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</si>
  <si>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</si>
  <si>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</si>
  <si>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</si>
  <si>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</si>
  <si>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</si>
  <si>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</si>
  <si>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</si>
  <si>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</si>
  <si>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</si>
  <si>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</si>
  <si>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</si>
  <si>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</si>
  <si>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</si>
  <si>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</si>
  <si>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</si>
  <si>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</si>
  <si>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</si>
  <si>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</si>
  <si>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</si>
  <si>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</si>
  <si>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</si>
  <si>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</si>
  <si>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</si>
  <si>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</si>
  <si>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</si>
  <si>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</si>
  <si>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</si>
  <si>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</si>
  <si>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</si>
  <si>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</si>
  <si>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</si>
  <si>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</si>
  <si>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</si>
  <si>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</si>
  <si>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</si>
  <si>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</si>
  <si>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</si>
  <si>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</si>
  <si>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</si>
  <si>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</si>
  <si>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</si>
  <si>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</si>
  <si>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</si>
  <si>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</si>
  <si>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</si>
  <si>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</si>
  <si>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</si>
  <si>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</si>
  <si>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</si>
  <si>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</si>
  <si>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</si>
  <si>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</si>
  <si>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</si>
  <si>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</si>
  <si>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</si>
  <si>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</si>
  <si>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</si>
  <si>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</si>
  <si>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</si>
  <si>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</si>
  <si>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</si>
  <si>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</si>
  <si>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</si>
  <si>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</si>
  <si>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</si>
  <si>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</si>
  <si>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</si>
  <si>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</si>
  <si>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</si>
  <si>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</si>
  <si>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</si>
  <si>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</si>
  <si>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</si>
  <si>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</si>
  <si>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</si>
  <si>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</si>
  <si>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</si>
  <si>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</si>
  <si>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</si>
  <si>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</si>
  <si>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</si>
  <si>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</si>
  <si>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</si>
  <si>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</si>
  <si>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</si>
  <si>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</si>
  <si>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</si>
  <si>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</si>
  <si>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</si>
  <si>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</si>
  <si>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</si>
  <si>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</si>
  <si>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</si>
  <si>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</si>
  <si>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</si>
  <si>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</si>
  <si>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</si>
  <si>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</si>
  <si>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</si>
  <si>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</si>
  <si>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</si>
  <si>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</si>
  <si>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</si>
  <si>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</si>
  <si>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</si>
  <si>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</si>
  <si>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</si>
  <si>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</si>
  <si>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</si>
  <si>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</si>
  <si>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</si>
  <si>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</si>
  <si>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</si>
  <si>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</si>
  <si>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</si>
  <si>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</si>
  <si>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</si>
  <si>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</si>
  <si>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</si>
  <si>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</si>
  <si>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</si>
  <si>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</si>
  <si>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</si>
  <si>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</si>
  <si>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</si>
  <si>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</si>
  <si>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</si>
  <si>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</si>
  <si>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</si>
  <si>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</si>
  <si>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</si>
  <si>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</si>
  <si>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</si>
  <si>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</si>
  <si>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</si>
  <si>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</si>
  <si>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</si>
  <si>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</si>
  <si>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</si>
  <si>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</si>
  <si>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</si>
  <si>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</si>
  <si>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</si>
  <si>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</si>
  <si>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</si>
  <si>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</si>
  <si>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</si>
  <si>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</si>
  <si>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</si>
  <si>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</si>
  <si>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</si>
  <si>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</si>
  <si>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</si>
  <si>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</si>
  <si>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</si>
  <si>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</si>
  <si>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</si>
  <si>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</si>
  <si>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</si>
  <si>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</si>
  <si>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</si>
  <si>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</si>
  <si>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</si>
  <si>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</si>
  <si>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</si>
  <si>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</si>
  <si>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</si>
  <si>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</si>
  <si>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</si>
  <si>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</si>
  <si>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</si>
  <si>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</si>
  <si>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</si>
  <si>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</si>
  <si>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</si>
  <si>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</si>
  <si>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</si>
  <si>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</si>
  <si>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</si>
  <si>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</si>
  <si>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</si>
  <si>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</si>
  <si>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</si>
  <si>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</si>
  <si>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</si>
  <si>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</si>
  <si>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</si>
  <si>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</si>
  <si>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</si>
  <si>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</si>
  <si>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</si>
  <si>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</si>
  <si>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</si>
  <si>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</si>
  <si>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</si>
  <si>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</si>
  <si>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</si>
  <si>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</si>
  <si>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</si>
  <si>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</si>
  <si>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</si>
  <si>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</si>
  <si>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</si>
  <si>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</si>
  <si>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</si>
  <si>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</si>
  <si>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</si>
  <si>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</si>
  <si>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</si>
  <si>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</si>
  <si>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</si>
  <si>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</si>
  <si>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</si>
  <si>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</si>
  <si>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</si>
  <si>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</si>
  <si>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</si>
  <si>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PSP Projects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</si>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</sst>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PSP Projects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178.64699999999999</v>
      </c>
      <c r="N8" s="25">
        <f>'Annual Raw'!O6</f>
        <v>257.262</v>
      </c>
      <c r="O8" s="25">
        <f>'Annual Raw'!P6</f>
        <v>210.43299999999999</v>
      </c>
      <c r="P8" s="25">
        <f>'Annual Raw'!Q6</f>
        <v>280.50700000000001</v>
      </c>
      <c r="Q8" s="25">
        <f>'Annual Raw'!R6</f>
        <v>475.97089999999997</v>
      </c>
      <c r="R8" s="25">
        <f>'Annual Raw'!S6</f>
        <v>444.7783</v>
      </c>
      <c r="S8" s="25">
        <f>'Annual Raw'!T6</f>
        <v>751.64689999999996</v>
      </c>
      <c r="T8" s="25">
        <f>'Annual Raw'!U6</f>
        <v>1050.4066</v>
      </c>
      <c r="U8" s="25">
        <f>'Annual Raw'!V6</f>
        <v>1499.2592999999999</v>
      </c>
      <c r="V8" s="25">
        <f>'Annual Raw'!W6</f>
        <v>1240.8624</v>
      </c>
      <c r="W8" s="25">
        <f>'Annual Raw'!X6</f>
        <v>1748.0633</v>
      </c>
      <c r="X8" s="25">
        <f>'Annual Raw'!Y6</f>
        <v>1937.806</v>
      </c>
      <c r="Y8" s="25">
        <f>'Annual Raw'!Z6</f>
        <v>2505.7885000000001</v>
      </c>
      <c r="Z8" s="25">
        <f>'Annual Raw'!AA6</f>
        <v>2512.1257000000001</v>
      </c>
      <c r="AA8" s="25">
        <f>'Annual Raw'!AB6</f>
        <v>3148.6619000000001</v>
      </c>
      <c r="AB8" s="17">
        <f>+SUM(CM8:CP8)</f>
        <v>4288.0856894321987</v>
      </c>
      <c r="AC8" s="17">
        <f>+SUM(CQ8:CT8)</f>
        <v>5879.9124401577101</v>
      </c>
      <c r="AD8" s="17">
        <f>+SUM(CU8:CX8)</f>
        <v>8070.8837696788069</v>
      </c>
      <c r="AE8" s="17">
        <f>+SUM(CY8:DB8)</f>
        <v>11080.033901105824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108.08200000000001</v>
      </c>
      <c r="AY8" s="25">
        <f>'QTR Raw'!S6+'QTR Raw'!S8</f>
        <v>86.061999999999998</v>
      </c>
      <c r="AZ8" s="25">
        <f>'QTR Raw'!T6+'QTR Raw'!T8</f>
        <v>77.638999999999996</v>
      </c>
      <c r="BA8" s="25">
        <f>'QTR Raw'!U6+'QTR Raw'!U8</f>
        <v>75.406999999999996</v>
      </c>
      <c r="BB8" s="25">
        <f>'QTR Raw'!V6+'QTR Raw'!V8</f>
        <v>161.65100000000001</v>
      </c>
      <c r="BC8" s="25">
        <f>'QTR Raw'!W6+'QTR Raw'!W8</f>
        <v>155.80099999999999</v>
      </c>
      <c r="BD8" s="25">
        <f>'QTR Raw'!X6+'QTR Raw'!X8</f>
        <v>139.553</v>
      </c>
      <c r="BE8" s="25">
        <f>'QTR Raw'!Y6+'QTR Raw'!Y8</f>
        <v>170.8</v>
      </c>
      <c r="BF8" s="25">
        <f>'QTR Raw'!Z6+'QTR Raw'!Z8</f>
        <v>263.67700000000002</v>
      </c>
      <c r="BG8" s="25">
        <f>'QTR Raw'!AA6+'QTR Raw'!AA8</f>
        <v>238.22</v>
      </c>
      <c r="BH8" s="25">
        <f>'QTR Raw'!AB6+'QTR Raw'!AB8</f>
        <v>212.06100000000001</v>
      </c>
      <c r="BI8" s="25">
        <f>'QTR Raw'!AC6+'QTR Raw'!AC8</f>
        <v>261.96699999999998</v>
      </c>
      <c r="BJ8" s="25">
        <f>'QTR Raw'!AD6+'QTR Raw'!AD8</f>
        <v>338.55900000000003</v>
      </c>
      <c r="BK8" s="25">
        <f>'QTR Raw'!AE6+'QTR Raw'!AE8</f>
        <v>307.68299999999999</v>
      </c>
      <c r="BL8" s="25">
        <f>'QTR Raw'!AF6+'QTR Raw'!AF8</f>
        <v>312.113</v>
      </c>
      <c r="BM8" s="25">
        <f>'QTR Raw'!AG6+'QTR Raw'!AG8</f>
        <v>423.06599999999997</v>
      </c>
      <c r="BN8" s="25">
        <f>'QTR Raw'!AH6+'QTR Raw'!AH8</f>
        <v>456.39699999999999</v>
      </c>
      <c r="BO8" s="25">
        <f>'QTR Raw'!AI6+'QTR Raw'!AI8</f>
        <v>106.892</v>
      </c>
      <c r="BP8" s="25">
        <f>'QTR Raw'!AJ6+'QTR Raw'!AJ8</f>
        <v>243.08600000000001</v>
      </c>
      <c r="BQ8" s="25">
        <f>'QTR Raw'!AK6+'QTR Raw'!AK8</f>
        <v>390.15899999999999</v>
      </c>
      <c r="BR8" s="25">
        <f>'QTR Raw'!AL6+'QTR Raw'!AL8</f>
        <v>500.726</v>
      </c>
      <c r="BS8" s="25">
        <f>'QTR Raw'!AM6+'QTR Raw'!AM8</f>
        <v>317.35599999999999</v>
      </c>
      <c r="BT8" s="25">
        <f>'QTR Raw'!AN6+'QTR Raw'!AN8</f>
        <v>390.44099999999997</v>
      </c>
      <c r="BU8" s="25">
        <f>'QTR Raw'!AO6+'QTR Raw'!AO8</f>
        <v>485.62</v>
      </c>
      <c r="BV8" s="25">
        <f>'QTR Raw'!AP6+'QTR Raw'!AP8</f>
        <v>554.64700000000005</v>
      </c>
      <c r="BW8" s="25">
        <f>'QTR Raw'!AQ6+'QTR Raw'!AQ8</f>
        <v>348.08199999999999</v>
      </c>
      <c r="BX8" s="25">
        <f>'QTR Raw'!AR6+'QTR Raw'!AR8</f>
        <v>359.98200000000003</v>
      </c>
      <c r="BY8" s="25">
        <f>'QTR Raw'!AS6+'QTR Raw'!AS8</f>
        <v>500.15699999999998</v>
      </c>
      <c r="BZ8" s="25">
        <f>'QTR Raw'!AT6+'QTR Raw'!AT8</f>
        <v>729.58399999999995</v>
      </c>
      <c r="CA8" s="25">
        <f>'QTR Raw'!AU6+'QTR Raw'!AU8</f>
        <v>513.62699999999995</v>
      </c>
      <c r="CB8" s="25">
        <f>'QTR Raw'!AV6+'QTR Raw'!AV8</f>
        <v>619.65300000000002</v>
      </c>
      <c r="CC8" s="25">
        <f>'QTR Raw'!AW6+'QTR Raw'!AW8</f>
        <v>704.75</v>
      </c>
      <c r="CD8" s="25">
        <f>'QTR Raw'!AX6+'QTR Raw'!AX8</f>
        <v>667.75900000000001</v>
      </c>
      <c r="CE8" s="25">
        <f>'QTR Raw'!AY6+'QTR Raw'!AY8</f>
        <v>623.06200000000001</v>
      </c>
      <c r="CF8" s="25">
        <f>'QTR Raw'!AZ6+'QTR Raw'!AZ8</f>
        <v>585.96600000000001</v>
      </c>
      <c r="CG8" s="25">
        <f>'QTR Raw'!BA6+'QTR Raw'!BA8</f>
        <v>630.21</v>
      </c>
      <c r="CH8" s="25">
        <f>'QTR Raw'!BB6+'QTR Raw'!BB8</f>
        <v>672.88699999999994</v>
      </c>
      <c r="CI8" s="25">
        <f>'QTR Raw'!BC6+'QTR Raw'!BC8</f>
        <v>517.76199999999994</v>
      </c>
      <c r="CJ8" s="25">
        <f>'QTR Raw'!BD6+'QTR Raw'!BD8</f>
        <v>702.86599999999999</v>
      </c>
      <c r="CK8" s="25">
        <f>'QTR Raw'!BE6+'QTR Raw'!BE8</f>
        <v>812.79399999999998</v>
      </c>
      <c r="CL8" s="25">
        <f>'QTR Raw'!BF6+'QTR Raw'!BF8</f>
        <v>1115.24</v>
      </c>
      <c r="CM8" s="17">
        <f t="shared" ref="CM8:DB8" si="33">+CI10+(CM11*CI10)</f>
        <v>644.3043985965885</v>
      </c>
      <c r="CN8" s="17">
        <f t="shared" si="33"/>
        <v>947.29068035624141</v>
      </c>
      <c r="CO8" s="17">
        <f t="shared" si="33"/>
        <v>1125.5717445856183</v>
      </c>
      <c r="CP8" s="17">
        <f t="shared" si="33"/>
        <v>1570.9188658937505</v>
      </c>
      <c r="CQ8" s="17">
        <f t="shared" si="33"/>
        <v>867.48621944222464</v>
      </c>
      <c r="CR8" s="17">
        <f t="shared" si="33"/>
        <v>1299.5778610691109</v>
      </c>
      <c r="CS8" s="17">
        <f t="shared" si="33"/>
        <v>1550.9511190135472</v>
      </c>
      <c r="CT8" s="17">
        <f t="shared" si="33"/>
        <v>2161.8972406328276</v>
      </c>
      <c r="CU8" s="17">
        <f t="shared" si="33"/>
        <v>1186.8085918848515</v>
      </c>
      <c r="CV8" s="17">
        <f t="shared" si="33"/>
        <v>1785.0066168628955</v>
      </c>
      <c r="CW8" s="17">
        <f t="shared" si="33"/>
        <v>2130.9102646862439</v>
      </c>
      <c r="CX8" s="17">
        <f t="shared" si="33"/>
        <v>2968.1582962448156</v>
      </c>
      <c r="CY8" s="17">
        <f t="shared" si="33"/>
        <v>1628.4521115117175</v>
      </c>
      <c r="CZ8" s="17">
        <f t="shared" si="33"/>
        <v>2451.0524696908833</v>
      </c>
      <c r="DA8" s="17">
        <f t="shared" si="33"/>
        <v>2925.8142228067586</v>
      </c>
      <c r="DB8" s="17">
        <f t="shared" si="33"/>
        <v>4074.715097096464</v>
      </c>
      <c r="DE8" s="119"/>
      <c r="DF8" s="25">
        <v>728.04595281143793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5.0000000000000001E-3</v>
      </c>
      <c r="N9" s="92">
        <f>'Annual Raw'!O7+'Annual Raw'!O8+'Annual Raw'!O9</f>
        <v>1.7000000000000001E-2</v>
      </c>
      <c r="O9" s="92">
        <f>'Annual Raw'!P7+'Annual Raw'!P8+'Annual Raw'!P9</f>
        <v>1.0999999999999999E-2</v>
      </c>
      <c r="P9" s="92">
        <f>'Annual Raw'!Q7+'Annual Raw'!Q8+'Annual Raw'!Q9</f>
        <v>4.4999999999999998E-2</v>
      </c>
      <c r="Q9" s="92">
        <f>'Annual Raw'!R7+'Annual Raw'!R8+'Annual Raw'!R9</f>
        <v>1E-3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178.642</v>
      </c>
      <c r="N10" s="26">
        <f t="shared" si="34"/>
        <v>257.245</v>
      </c>
      <c r="O10" s="26">
        <f t="shared" si="34"/>
        <v>210.422</v>
      </c>
      <c r="P10" s="26">
        <f t="shared" si="34"/>
        <v>280.46199999999999</v>
      </c>
      <c r="Q10" s="26">
        <f t="shared" si="34"/>
        <v>475.9699</v>
      </c>
      <c r="R10" s="26">
        <f t="shared" si="34"/>
        <v>444.7783</v>
      </c>
      <c r="S10" s="26">
        <f t="shared" si="34"/>
        <v>751.64689999999996</v>
      </c>
      <c r="T10" s="26">
        <f t="shared" si="34"/>
        <v>1050.4066</v>
      </c>
      <c r="U10" s="26">
        <f t="shared" si="34"/>
        <v>1499.2592999999999</v>
      </c>
      <c r="V10" s="26">
        <f>+V8-V9</f>
        <v>1240.8624</v>
      </c>
      <c r="W10" s="26">
        <f>+W8-W9</f>
        <v>1748.0633</v>
      </c>
      <c r="X10" s="26">
        <f>+X8-X9</f>
        <v>1937.806</v>
      </c>
      <c r="Y10" s="26">
        <f>+Y8-Y9</f>
        <v>2505.7885000000001</v>
      </c>
      <c r="Z10" s="26">
        <f>+Z8-Z9</f>
        <v>2512.1257000000001</v>
      </c>
      <c r="AA10" s="26">
        <f>+AA8-AA9</f>
        <v>3148.6619000000001</v>
      </c>
      <c r="AB10" s="27">
        <f t="shared" ref="AB10:AD10" si="35">+AB8-AB9</f>
        <v>4288.0856894321987</v>
      </c>
      <c r="AC10" s="27">
        <f t="shared" si="35"/>
        <v>5879.9124401577101</v>
      </c>
      <c r="AD10" s="27">
        <f t="shared" si="35"/>
        <v>8070.8837696788069</v>
      </c>
      <c r="AE10" s="27">
        <f t="shared" ref="AE10" si="36">+AE8-AE9</f>
        <v>11080.033901105824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108.08200000000001</v>
      </c>
      <c r="AY10" s="26">
        <f t="shared" si="42"/>
        <v>86.061999999999998</v>
      </c>
      <c r="AZ10" s="26">
        <f t="shared" si="42"/>
        <v>77.638999999999996</v>
      </c>
      <c r="BA10" s="26">
        <f t="shared" si="42"/>
        <v>75.406999999999996</v>
      </c>
      <c r="BB10" s="26">
        <f t="shared" si="42"/>
        <v>161.65100000000001</v>
      </c>
      <c r="BC10" s="26">
        <f t="shared" si="42"/>
        <v>155.80099999999999</v>
      </c>
      <c r="BD10" s="26">
        <f t="shared" si="42"/>
        <v>139.553</v>
      </c>
      <c r="BE10" s="26">
        <f t="shared" si="42"/>
        <v>170.8</v>
      </c>
      <c r="BF10" s="26">
        <f t="shared" si="42"/>
        <v>263.67700000000002</v>
      </c>
      <c r="BG10" s="26">
        <f t="shared" si="42"/>
        <v>238.22</v>
      </c>
      <c r="BH10" s="26">
        <f t="shared" si="42"/>
        <v>212.06100000000001</v>
      </c>
      <c r="BI10" s="26">
        <f t="shared" si="42"/>
        <v>261.96699999999998</v>
      </c>
      <c r="BJ10" s="26">
        <f t="shared" si="42"/>
        <v>338.55900000000003</v>
      </c>
      <c r="BK10" s="26">
        <f t="shared" si="42"/>
        <v>307.68299999999999</v>
      </c>
      <c r="BL10" s="26">
        <f t="shared" si="42"/>
        <v>312.113</v>
      </c>
      <c r="BM10" s="26">
        <f t="shared" si="42"/>
        <v>423.06599999999997</v>
      </c>
      <c r="BN10" s="26">
        <f t="shared" si="42"/>
        <v>456.39699999999999</v>
      </c>
      <c r="BO10" s="26">
        <f t="shared" si="42"/>
        <v>106.892</v>
      </c>
      <c r="BP10" s="26">
        <f t="shared" si="42"/>
        <v>243.08600000000001</v>
      </c>
      <c r="BQ10" s="26">
        <f t="shared" si="42"/>
        <v>390.15899999999999</v>
      </c>
      <c r="BR10" s="26">
        <f t="shared" si="42"/>
        <v>500.726</v>
      </c>
      <c r="BS10" s="26">
        <f t="shared" si="42"/>
        <v>317.35599999999999</v>
      </c>
      <c r="BT10" s="26">
        <f t="shared" si="42"/>
        <v>390.44099999999997</v>
      </c>
      <c r="BU10" s="26">
        <f t="shared" si="42"/>
        <v>485.62</v>
      </c>
      <c r="BV10" s="26">
        <f t="shared" si="42"/>
        <v>554.64700000000005</v>
      </c>
      <c r="BW10" s="26">
        <f t="shared" si="42"/>
        <v>348.08199999999999</v>
      </c>
      <c r="BX10" s="26">
        <f t="shared" si="42"/>
        <v>359.98200000000003</v>
      </c>
      <c r="BY10" s="26">
        <f t="shared" si="42"/>
        <v>500.15699999999998</v>
      </c>
      <c r="BZ10" s="26">
        <f t="shared" si="42"/>
        <v>729.58399999999995</v>
      </c>
      <c r="CA10" s="26">
        <f t="shared" si="42"/>
        <v>513.62699999999995</v>
      </c>
      <c r="CB10" s="26">
        <f t="shared" si="42"/>
        <v>619.65300000000002</v>
      </c>
      <c r="CC10" s="26">
        <f t="shared" si="42"/>
        <v>704.75</v>
      </c>
      <c r="CD10" s="26">
        <f t="shared" si="42"/>
        <v>667.75900000000001</v>
      </c>
      <c r="CE10" s="26">
        <f t="shared" si="42"/>
        <v>623.06200000000001</v>
      </c>
      <c r="CF10" s="26">
        <f t="shared" si="42"/>
        <v>585.96600000000001</v>
      </c>
      <c r="CG10" s="26">
        <f t="shared" ref="CG10:CH10" si="43">+CG8-CG9</f>
        <v>630.21</v>
      </c>
      <c r="CH10" s="26">
        <f t="shared" si="43"/>
        <v>672.88699999999994</v>
      </c>
      <c r="CI10" s="26">
        <f t="shared" ref="CI10:CJ10" si="44">+CI8-CI9</f>
        <v>517.76199999999994</v>
      </c>
      <c r="CJ10" s="26">
        <f t="shared" si="44"/>
        <v>702.86599999999999</v>
      </c>
      <c r="CK10" s="26">
        <f t="shared" ref="CK10:CL10" si="45">+CK8-CK9</f>
        <v>812.79399999999998</v>
      </c>
      <c r="CL10" s="26">
        <f t="shared" si="45"/>
        <v>1115.24</v>
      </c>
      <c r="CM10" s="27">
        <f t="shared" ref="CM10:DB10" si="46">+CM8-CM9</f>
        <v>644.3043985965885</v>
      </c>
      <c r="CN10" s="27">
        <f t="shared" si="46"/>
        <v>947.29068035624141</v>
      </c>
      <c r="CO10" s="27">
        <f t="shared" si="46"/>
        <v>1125.5717445856183</v>
      </c>
      <c r="CP10" s="27">
        <f t="shared" si="46"/>
        <v>1570.9188658937505</v>
      </c>
      <c r="CQ10" s="27">
        <f t="shared" si="46"/>
        <v>867.48621944222464</v>
      </c>
      <c r="CR10" s="27">
        <f t="shared" si="46"/>
        <v>1299.5778610691109</v>
      </c>
      <c r="CS10" s="27">
        <f t="shared" si="46"/>
        <v>1550.9511190135472</v>
      </c>
      <c r="CT10" s="27">
        <f t="shared" si="46"/>
        <v>2161.8972406328276</v>
      </c>
      <c r="CU10" s="27">
        <f t="shared" si="46"/>
        <v>1186.8085918848515</v>
      </c>
      <c r="CV10" s="27">
        <f t="shared" si="46"/>
        <v>1785.0066168628955</v>
      </c>
      <c r="CW10" s="27">
        <f t="shared" si="46"/>
        <v>2130.9102646862439</v>
      </c>
      <c r="CX10" s="27">
        <f t="shared" si="46"/>
        <v>2968.1582962448156</v>
      </c>
      <c r="CY10" s="27">
        <f t="shared" si="46"/>
        <v>1628.4521115117175</v>
      </c>
      <c r="CZ10" s="27">
        <f t="shared" si="46"/>
        <v>2451.0524696908833</v>
      </c>
      <c r="DA10" s="27">
        <f t="shared" si="46"/>
        <v>2925.8142228067586</v>
      </c>
      <c r="DB10" s="27">
        <f t="shared" si="46"/>
        <v>4074.715097096464</v>
      </c>
      <c r="DE10" s="121"/>
      <c r="DF10" s="26">
        <v>728.04595281143793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>
        <f t="shared" si="50"/>
        <v>0.44000291084963239</v>
      </c>
      <c r="O11" s="39">
        <f t="shared" si="50"/>
        <v>-0.1820171431903439</v>
      </c>
      <c r="P11" s="39">
        <f t="shared" si="50"/>
        <v>0.33285492961762553</v>
      </c>
      <c r="Q11" s="39">
        <f t="shared" si="50"/>
        <v>0.69709229770878056</v>
      </c>
      <c r="R11" s="39">
        <f t="shared" si="50"/>
        <v>-6.5532715409104658E-2</v>
      </c>
      <c r="S11" s="39">
        <f t="shared" ref="S11:AA11" si="51">S10/R10-1</f>
        <v>0.68993608725965272</v>
      </c>
      <c r="T11" s="39">
        <f t="shared" si="51"/>
        <v>0.39747346792756022</v>
      </c>
      <c r="U11" s="39">
        <f t="shared" si="51"/>
        <v>0.42731328992030315</v>
      </c>
      <c r="V11" s="39">
        <f t="shared" si="51"/>
        <v>-0.17234970628496349</v>
      </c>
      <c r="W11" s="39">
        <f t="shared" si="51"/>
        <v>0.40874870573884747</v>
      </c>
      <c r="X11" s="39">
        <f t="shared" si="51"/>
        <v>0.10854452467482156</v>
      </c>
      <c r="Y11" s="39">
        <f t="shared" si="51"/>
        <v>0.29310596623191376</v>
      </c>
      <c r="Z11" s="39">
        <f t="shared" si="51"/>
        <v>2.5290242971423016E-3</v>
      </c>
      <c r="AA11" s="39">
        <f t="shared" si="51"/>
        <v>0.25338548942833561</v>
      </c>
      <c r="AB11" s="40">
        <f t="shared" ref="AB11" si="52">AB10/AA10-1</f>
        <v>0.36187556035540003</v>
      </c>
      <c r="AC11" s="40">
        <f t="shared" ref="AC11" si="53">AC10/AB10-1</f>
        <v>0.37122083512661597</v>
      </c>
      <c r="AD11" s="40">
        <f t="shared" ref="AD11" si="54">AD10/AC10-1</f>
        <v>0.37261972041582481</v>
      </c>
      <c r="AE11" s="40">
        <f t="shared" ref="AE11" si="55">AE10/AD10-1</f>
        <v>0.37284022633704339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>
        <f t="shared" si="56"/>
        <v>0.49563294535630353</v>
      </c>
      <c r="BC11" s="39">
        <f t="shared" si="56"/>
        <v>0.81033441007645646</v>
      </c>
      <c r="BD11" s="39">
        <f t="shared" si="56"/>
        <v>0.79746003941318166</v>
      </c>
      <c r="BE11" s="39">
        <f t="shared" si="56"/>
        <v>1.2650417070033289</v>
      </c>
      <c r="BF11" s="39">
        <f t="shared" si="56"/>
        <v>0.63114982276632992</v>
      </c>
      <c r="BG11" s="39">
        <f t="shared" si="56"/>
        <v>0.52900173939833506</v>
      </c>
      <c r="BH11" s="39">
        <f t="shared" si="56"/>
        <v>0.51957320874506463</v>
      </c>
      <c r="BI11" s="39">
        <f t="shared" si="56"/>
        <v>0.53376463700234167</v>
      </c>
      <c r="BJ11" s="39">
        <f t="shared" si="56"/>
        <v>0.28399139856718647</v>
      </c>
      <c r="BK11" s="39">
        <f t="shared" si="56"/>
        <v>0.2915918058937117</v>
      </c>
      <c r="BL11" s="39">
        <f t="shared" si="56"/>
        <v>0.4718076402544551</v>
      </c>
      <c r="BM11" s="39">
        <f t="shared" si="56"/>
        <v>0.61495913607439112</v>
      </c>
      <c r="BN11" s="39">
        <f t="shared" si="56"/>
        <v>0.34805750253279322</v>
      </c>
      <c r="BO11" s="39">
        <f t="shared" si="56"/>
        <v>-0.65259049086234855</v>
      </c>
      <c r="BP11" s="39">
        <f t="shared" si="56"/>
        <v>-0.22116028489681616</v>
      </c>
      <c r="BQ11" s="39">
        <f t="shared" si="56"/>
        <v>-7.7782190012905761E-2</v>
      </c>
      <c r="BR11" s="39">
        <f t="shared" si="56"/>
        <v>9.7128158160548761E-2</v>
      </c>
      <c r="BS11" s="39">
        <f t="shared" si="56"/>
        <v>1.9689406129551323</v>
      </c>
      <c r="BT11" s="39">
        <f t="shared" si="56"/>
        <v>0.60618464247221127</v>
      </c>
      <c r="BU11" s="39">
        <f t="shared" si="56"/>
        <v>0.24467204396156439</v>
      </c>
      <c r="BV11" s="39">
        <f t="shared" si="56"/>
        <v>0.10768564045006657</v>
      </c>
      <c r="BW11" s="39">
        <f t="shared" si="56"/>
        <v>9.6818714629627323E-2</v>
      </c>
      <c r="BX11" s="39">
        <f t="shared" si="56"/>
        <v>-7.8011786671993821E-2</v>
      </c>
      <c r="BY11" s="39">
        <f t="shared" si="56"/>
        <v>2.9934928544952832E-2</v>
      </c>
      <c r="BZ11" s="39">
        <f t="shared" si="56"/>
        <v>0.31540240909984174</v>
      </c>
      <c r="CA11" s="39">
        <f t="shared" si="56"/>
        <v>0.47559195821674183</v>
      </c>
      <c r="CB11" s="39">
        <f t="shared" si="56"/>
        <v>0.72134440055336091</v>
      </c>
      <c r="CC11" s="39">
        <f t="shared" si="56"/>
        <v>0.40905755592743875</v>
      </c>
      <c r="CD11" s="39">
        <f t="shared" si="56"/>
        <v>-8.4740071054189681E-2</v>
      </c>
      <c r="CE11" s="39">
        <f t="shared" si="56"/>
        <v>0.21306317619595561</v>
      </c>
      <c r="CF11" s="39">
        <f t="shared" si="56"/>
        <v>-5.4364297437436759E-2</v>
      </c>
      <c r="CG11" s="39">
        <f t="shared" si="56"/>
        <v>-0.10576800283788568</v>
      </c>
      <c r="CH11" s="39">
        <f t="shared" si="56"/>
        <v>7.6794172747951528E-3</v>
      </c>
      <c r="CI11" s="39">
        <f t="shared" si="56"/>
        <v>-0.16900404775126721</v>
      </c>
      <c r="CJ11" s="39">
        <f>+IF(CF10&lt;0,1-CJ10/CF10,CJ10/CF10-1)</f>
        <v>0.19949962967134605</v>
      </c>
      <c r="CK11" s="39">
        <f>+IF(CG10&lt;0,1-CK10/CG10,CK10/CG10-1)</f>
        <v>0.28971929991590084</v>
      </c>
      <c r="CL11" s="39">
        <f>+IF(CH10&lt;0,1-CL10/CH10,CL10/CH10-1)</f>
        <v>0.65739566970382857</v>
      </c>
      <c r="CM11" s="40">
        <f t="shared" ref="CM11" si="57">+AVERAGE(CI11:CL11)</f>
        <v>0.24440263788495206</v>
      </c>
      <c r="CN11" s="40">
        <f t="shared" ref="CN11" si="58">+AVERAGE(CJ11:CM11)</f>
        <v>0.34775430929400686</v>
      </c>
      <c r="CO11" s="40">
        <f t="shared" ref="CO11" si="59">+AVERAGE(CK11:CN11)</f>
        <v>0.38481797919967209</v>
      </c>
      <c r="CP11" s="40">
        <f t="shared" ref="CP11" si="60">+AVERAGE(CL11:CO11)</f>
        <v>0.40859264902061487</v>
      </c>
      <c r="CQ11" s="40">
        <f t="shared" ref="CQ11" si="61">+AVERAGE(CM11:CP11)</f>
        <v>0.34639189384981151</v>
      </c>
      <c r="CR11" s="40">
        <f t="shared" ref="CR11" si="62">+AVERAGE(CN11:CQ11)</f>
        <v>0.3718892078410263</v>
      </c>
      <c r="CS11" s="40">
        <f t="shared" ref="CS11" si="63">+AVERAGE(CO11:CR11)</f>
        <v>0.37792293247778119</v>
      </c>
      <c r="CT11" s="40">
        <f t="shared" ref="CT11" si="64">+AVERAGE(CP11:CS11)</f>
        <v>0.37619917079730847</v>
      </c>
      <c r="CU11" s="40">
        <f t="shared" ref="CU11" si="65">+AVERAGE(CQ11:CT11)</f>
        <v>0.36810080124148187</v>
      </c>
      <c r="CV11" s="40">
        <f t="shared" ref="CV11" si="66">+AVERAGE(CR11:CU11)</f>
        <v>0.3735280280893995</v>
      </c>
      <c r="CW11" s="40">
        <f t="shared" ref="CW11" si="67">+AVERAGE(CS11:CV11)</f>
        <v>0.37393773315149276</v>
      </c>
      <c r="CX11" s="40">
        <f t="shared" ref="CX11" si="68">+AVERAGE(CT11:CW11)</f>
        <v>0.37294143331992069</v>
      </c>
      <c r="CY11" s="40">
        <f t="shared" ref="CY11" si="69">+AVERAGE(CU11:CX11)</f>
        <v>0.37212699895057366</v>
      </c>
      <c r="CZ11" s="40">
        <f t="shared" ref="CZ11" si="70">+AVERAGE(CV11:CY11)</f>
        <v>0.37313354837784662</v>
      </c>
      <c r="DA11" s="40">
        <f t="shared" ref="DA11" si="71">+AVERAGE(CW11:CZ11)</f>
        <v>0.37303492844995839</v>
      </c>
      <c r="DB11" s="40">
        <f t="shared" ref="DB11" si="72">+AVERAGE(CX11:DA11)</f>
        <v>0.37280922727457483</v>
      </c>
      <c r="DE11" s="122"/>
      <c r="DF11" s="39">
        <v>8.1973574777693708E-2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>
        <f t="shared" si="74"/>
        <v>-0.20373420180973711</v>
      </c>
      <c r="AZ12" s="39">
        <f t="shared" si="74"/>
        <v>-9.7871302084543754E-2</v>
      </c>
      <c r="BA12" s="39">
        <f t="shared" si="74"/>
        <v>-2.8748438284882605E-2</v>
      </c>
      <c r="BB12" s="39">
        <f t="shared" si="74"/>
        <v>1.1437134483536013</v>
      </c>
      <c r="BC12" s="39">
        <f t="shared" si="74"/>
        <v>-3.618907399273763E-2</v>
      </c>
      <c r="BD12" s="39">
        <f t="shared" si="74"/>
        <v>-0.10428687877484732</v>
      </c>
      <c r="BE12" s="39">
        <f t="shared" si="74"/>
        <v>0.2239077626421504</v>
      </c>
      <c r="BF12" s="39">
        <f t="shared" si="74"/>
        <v>0.54377634660421537</v>
      </c>
      <c r="BG12" s="39">
        <f t="shared" si="74"/>
        <v>-9.6546153058476913E-2</v>
      </c>
      <c r="BH12" s="39">
        <f t="shared" si="74"/>
        <v>-0.10981025942406175</v>
      </c>
      <c r="BI12" s="39">
        <f t="shared" si="74"/>
        <v>0.23533794521387708</v>
      </c>
      <c r="BJ12" s="39">
        <f t="shared" si="74"/>
        <v>0.29237270343211175</v>
      </c>
      <c r="BK12" s="39">
        <f t="shared" si="74"/>
        <v>-9.1198284493987813E-2</v>
      </c>
      <c r="BL12" s="39">
        <f t="shared" si="74"/>
        <v>1.4397935537550088E-2</v>
      </c>
      <c r="BM12" s="39">
        <f t="shared" si="74"/>
        <v>0.35548983861614225</v>
      </c>
      <c r="BN12" s="39">
        <f t="shared" si="74"/>
        <v>7.8784397706268106E-2</v>
      </c>
      <c r="BO12" s="39">
        <f t="shared" si="74"/>
        <v>-0.76579162439718051</v>
      </c>
      <c r="BP12" s="39">
        <f t="shared" si="74"/>
        <v>1.2741271563821428</v>
      </c>
      <c r="BQ12" s="39">
        <f t="shared" si="74"/>
        <v>0.60502455920949783</v>
      </c>
      <c r="BR12" s="39">
        <f t="shared" si="74"/>
        <v>0.28338959244820705</v>
      </c>
      <c r="BS12" s="39">
        <f t="shared" si="74"/>
        <v>-0.36620826559835118</v>
      </c>
      <c r="BT12" s="39">
        <f t="shared" si="74"/>
        <v>0.23029342441926404</v>
      </c>
      <c r="BU12" s="39">
        <f t="shared" si="74"/>
        <v>0.24377306686541633</v>
      </c>
      <c r="BV12" s="39">
        <f t="shared" si="74"/>
        <v>0.14214200403607768</v>
      </c>
      <c r="BW12" s="39">
        <f t="shared" si="74"/>
        <v>-0.37242606558766211</v>
      </c>
      <c r="BX12" s="39">
        <f t="shared" si="74"/>
        <v>3.4187346659695139E-2</v>
      </c>
      <c r="BY12" s="39">
        <f t="shared" si="74"/>
        <v>0.38939446972348613</v>
      </c>
      <c r="BZ12" s="39">
        <f t="shared" si="74"/>
        <v>0.45870996507096762</v>
      </c>
      <c r="CA12" s="39">
        <f t="shared" si="74"/>
        <v>-0.29600018640759662</v>
      </c>
      <c r="CB12" s="39">
        <f t="shared" si="74"/>
        <v>0.20642606405037123</v>
      </c>
      <c r="CC12" s="39">
        <f t="shared" si="74"/>
        <v>0.13733008635478239</v>
      </c>
      <c r="CD12" s="39">
        <f t="shared" si="74"/>
        <v>-5.2488116353316738E-2</v>
      </c>
      <c r="CE12" s="39">
        <f t="shared" si="74"/>
        <v>-6.6935825649673042E-2</v>
      </c>
      <c r="CF12" s="39">
        <f t="shared" si="74"/>
        <v>-5.9538216100484376E-2</v>
      </c>
      <c r="CG12" s="39">
        <f t="shared" si="74"/>
        <v>7.5506087383909737E-2</v>
      </c>
      <c r="CH12" s="39">
        <f t="shared" si="74"/>
        <v>6.7718696942288936E-2</v>
      </c>
      <c r="CI12" s="39">
        <f t="shared" si="74"/>
        <v>-0.23053647937915278</v>
      </c>
      <c r="CJ12" s="39">
        <f>+IF(CI10&lt;0,1-CJ10/CI10,CJ10/CI10-1)</f>
        <v>0.35750788972539516</v>
      </c>
      <c r="CK12" s="39">
        <f>+IF(CJ10&lt;0,1-CK10/CJ10,CK10/CJ10-1)</f>
        <v>0.15639965512629717</v>
      </c>
      <c r="CL12" s="39">
        <f>+IF(CK10&lt;0,1-CL10/CK10,CL10/CK10-1)</f>
        <v>0.37210658543247122</v>
      </c>
      <c r="CM12" s="40">
        <f t="shared" ref="CM12" si="75">+CM10/CL10-1</f>
        <v>-0.42227287525860935</v>
      </c>
      <c r="CN12" s="40">
        <f t="shared" ref="CN12" si="76">+CN10/CM10-1</f>
        <v>0.47025331880336663</v>
      </c>
      <c r="CO12" s="40">
        <f t="shared" ref="CO12" si="77">+CO10/CN10-1</f>
        <v>0.18820101150190971</v>
      </c>
      <c r="CP12" s="40">
        <f t="shared" ref="CP12" si="78">+CP10/CO10-1</f>
        <v>0.39566302499187889</v>
      </c>
      <c r="CQ12" s="40">
        <f t="shared" ref="CQ12" si="79">+CQ10/CP10-1</f>
        <v>-0.44778419925036583</v>
      </c>
      <c r="CR12" s="40">
        <f t="shared" ref="CR12" si="80">+CR10/CQ10-1</f>
        <v>0.498096260139685</v>
      </c>
      <c r="CS12" s="40">
        <f t="shared" ref="CS12" si="81">+CS10/CR10-1</f>
        <v>0.19342685457694819</v>
      </c>
      <c r="CT12" s="40">
        <f t="shared" ref="CT12" si="82">+CT10/CS10-1</f>
        <v>0.39391707071197768</v>
      </c>
      <c r="CU12" s="40">
        <f t="shared" ref="CU12" si="83">+CU10/CT10-1</f>
        <v>-0.45103376350235291</v>
      </c>
      <c r="CV12" s="40">
        <f t="shared" ref="CV12" si="84">+CV10/CU10-1</f>
        <v>0.50403917621459504</v>
      </c>
      <c r="CW12" s="40">
        <f t="shared" ref="CW12" si="85">+CW10/CV10-1</f>
        <v>0.19378283786491801</v>
      </c>
      <c r="CX12" s="40">
        <f t="shared" ref="CX12" si="86">+CX10/CW10-1</f>
        <v>0.39290628302541331</v>
      </c>
      <c r="CY12" s="40">
        <f t="shared" ref="CY12" si="87">+CY10/CX10-1</f>
        <v>-0.4513594124774396</v>
      </c>
      <c r="CZ12" s="40">
        <f t="shared" ref="CZ12" si="88">+CZ10/CY10-1</f>
        <v>0.50514249228706709</v>
      </c>
      <c r="DA12" s="40">
        <f t="shared" ref="DA12" si="89">+DA10/CZ10-1</f>
        <v>0.19369709909790322</v>
      </c>
      <c r="DB12" s="40">
        <f t="shared" ref="DB12" si="90">+DB10/DA10-1</f>
        <v>0.39267731537225048</v>
      </c>
      <c r="DE12" s="122"/>
      <c r="DF12" s="39">
        <v>-0.10426756003189253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1.4890000000000001</v>
      </c>
      <c r="N13" s="23">
        <f>'Annual Raw'!O11</f>
        <v>-0.79100000000000004</v>
      </c>
      <c r="O13" s="23">
        <f>'Annual Raw'!P11</f>
        <v>0.46100000000000002</v>
      </c>
      <c r="P13" s="23">
        <f>'Annual Raw'!Q11</f>
        <v>-1.6919999999999999</v>
      </c>
      <c r="Q13" s="23">
        <f>'Annual Raw'!R11</f>
        <v>-4.4714999999999998</v>
      </c>
      <c r="R13" s="23">
        <f>'Annual Raw'!S11</f>
        <v>6.3970000000000002</v>
      </c>
      <c r="S13" s="23">
        <f>'Annual Raw'!T11</f>
        <v>-10.254200000000001</v>
      </c>
      <c r="T13" s="23">
        <f>'Annual Raw'!U11</f>
        <v>-17.9148</v>
      </c>
      <c r="U13" s="23">
        <f>'Annual Raw'!V11</f>
        <v>8.3940999999999999</v>
      </c>
      <c r="V13" s="23">
        <f>'Annual Raw'!W11</f>
        <v>-2.3652000000000002</v>
      </c>
      <c r="W13" s="23">
        <f>'Annual Raw'!X11</f>
        <v>3.5867</v>
      </c>
      <c r="X13" s="23">
        <f>'Annual Raw'!Y11</f>
        <v>-21.261500000000002</v>
      </c>
      <c r="Y13" s="23">
        <f>'Annual Raw'!Z11</f>
        <v>-169.25030000000001</v>
      </c>
      <c r="Z13" s="23">
        <f>'Annual Raw'!AA11</f>
        <v>32.242199999999997</v>
      </c>
      <c r="AA13" s="23">
        <f>'Annual Raw'!AB11</f>
        <v>19.7882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0.04</v>
      </c>
      <c r="AY13" s="23">
        <f>'QTR Raw'!S10</f>
        <v>0.57699999999999996</v>
      </c>
      <c r="AZ13" s="23">
        <f>'QTR Raw'!T10</f>
        <v>0.72199999999999998</v>
      </c>
      <c r="BA13" s="23">
        <f>'QTR Raw'!U10</f>
        <v>-3.395</v>
      </c>
      <c r="BB13" s="23">
        <f>'QTR Raw'!V10</f>
        <v>4.0549999999999997</v>
      </c>
      <c r="BC13" s="23">
        <f>'QTR Raw'!W10</f>
        <v>-7.2130000000000001</v>
      </c>
      <c r="BD13" s="23">
        <f>'QTR Raw'!X10</f>
        <v>4.7949999999999999</v>
      </c>
      <c r="BE13" s="23">
        <f>'QTR Raw'!Y10</f>
        <v>-4.165</v>
      </c>
      <c r="BF13" s="23">
        <f>'QTR Raw'!Z10</f>
        <v>-3.6720000000000002</v>
      </c>
      <c r="BG13" s="23">
        <f>'QTR Raw'!AA10</f>
        <v>9.0510000000000002</v>
      </c>
      <c r="BH13" s="23">
        <f>'QTR Raw'!AB10</f>
        <v>-12.63</v>
      </c>
      <c r="BI13" s="23">
        <f>'QTR Raw'!AC10</f>
        <v>-37.744999999999997</v>
      </c>
      <c r="BJ13" s="23">
        <f>'QTR Raw'!AD10</f>
        <v>-5.9729999999999999</v>
      </c>
      <c r="BK13" s="23">
        <f>'QTR Raw'!AE10</f>
        <v>-0.36299999999999999</v>
      </c>
      <c r="BL13" s="23">
        <f>'QTR Raw'!AF10</f>
        <v>-27.414999999999999</v>
      </c>
      <c r="BM13" s="23">
        <f>'QTR Raw'!AG10</f>
        <v>28.15</v>
      </c>
      <c r="BN13" s="23">
        <f>'QTR Raw'!AH10</f>
        <v>8.0220000000000002</v>
      </c>
      <c r="BO13" s="23">
        <f>'QTR Raw'!AI10</f>
        <v>-3.5179999999999998</v>
      </c>
      <c r="BP13" s="23">
        <f>'QTR Raw'!AJ10</f>
        <v>-3.9039999999999999</v>
      </c>
      <c r="BQ13" s="23">
        <f>'QTR Raw'!AK10</f>
        <v>-1.8540000000000001</v>
      </c>
      <c r="BR13" s="23">
        <f>'QTR Raw'!AL10</f>
        <v>6.91</v>
      </c>
      <c r="BS13" s="23">
        <f>'QTR Raw'!AM10</f>
        <v>-3.9990000000000001</v>
      </c>
      <c r="BT13" s="23">
        <f>'QTR Raw'!AN10</f>
        <v>3.9289999999999998</v>
      </c>
      <c r="BU13" s="23">
        <f>'QTR Raw'!AO10</f>
        <v>-2.87</v>
      </c>
      <c r="BV13" s="23">
        <f>'QTR Raw'!AP10</f>
        <v>6.5259999999999998</v>
      </c>
      <c r="BW13" s="23">
        <f>'QTR Raw'!AQ10</f>
        <v>-0.74099999999999999</v>
      </c>
      <c r="BX13" s="23">
        <f>'QTR Raw'!AR10</f>
        <v>-34.542000000000002</v>
      </c>
      <c r="BY13" s="23">
        <f>'QTR Raw'!AS10</f>
        <v>15.362</v>
      </c>
      <c r="BZ13" s="23">
        <f>'QTR Raw'!AT10</f>
        <v>-1.34</v>
      </c>
      <c r="CA13" s="23">
        <f>'QTR Raw'!AU10</f>
        <v>-15.846</v>
      </c>
      <c r="CB13" s="23">
        <f>'QTR Raw'!AV10</f>
        <v>-47.433</v>
      </c>
      <c r="CC13" s="23">
        <f>'QTR Raw'!AW10</f>
        <v>-43.491999999999997</v>
      </c>
      <c r="CD13" s="23">
        <f>'QTR Raw'!AX10</f>
        <v>-62.478999999999999</v>
      </c>
      <c r="CE13" s="23">
        <f>'QTR Raw'!AY10</f>
        <v>20.257999999999999</v>
      </c>
      <c r="CF13" s="23">
        <f>'QTR Raw'!AZ10</f>
        <v>-18.311</v>
      </c>
      <c r="CG13" s="23">
        <f>'QTR Raw'!BA10</f>
        <v>19.742000000000001</v>
      </c>
      <c r="CH13" s="23">
        <f>'QTR Raw'!BB10</f>
        <v>10.553000000000001</v>
      </c>
      <c r="CI13" s="23">
        <f>'QTR Raw'!BC10</f>
        <v>-10.000999999999999</v>
      </c>
      <c r="CJ13" s="23">
        <f>'QTR Raw'!BD10</f>
        <v>20.888999999999999</v>
      </c>
      <c r="CK13" s="23">
        <f>'QTR Raw'!BE10</f>
        <v>-7.0250000000000004</v>
      </c>
      <c r="CL13" s="23">
        <f>'QTR Raw'!BF10</f>
        <v>15.925000000000001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19.788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63.99</v>
      </c>
      <c r="N15" s="23">
        <f>'Annual Raw'!O12</f>
        <v>98.759</v>
      </c>
      <c r="O15" s="23">
        <f>'Annual Raw'!P12</f>
        <v>79.269000000000005</v>
      </c>
      <c r="P15" s="23">
        <f>'Annual Raw'!Q12</f>
        <v>133.327</v>
      </c>
      <c r="Q15" s="23">
        <f>'Annual Raw'!R12</f>
        <v>210.6876</v>
      </c>
      <c r="R15" s="23">
        <f>'Annual Raw'!S12</f>
        <v>149.7063</v>
      </c>
      <c r="S15" s="23">
        <f>'Annual Raw'!T12</f>
        <v>299.63279999999997</v>
      </c>
      <c r="T15" s="23">
        <f>'Annual Raw'!U12</f>
        <v>433.69900000000001</v>
      </c>
      <c r="U15" s="23">
        <f>'Annual Raw'!V12</f>
        <v>526.65930000000003</v>
      </c>
      <c r="V15" s="23">
        <f>'Annual Raw'!W12</f>
        <v>398.13290000000001</v>
      </c>
      <c r="W15" s="23">
        <f>'Annual Raw'!X12</f>
        <v>495.39080000000001</v>
      </c>
      <c r="X15" s="23">
        <f>'Annual Raw'!Y12</f>
        <v>602.77449999999999</v>
      </c>
      <c r="Y15" s="23">
        <f>'Annual Raw'!Z12</f>
        <v>958.85040000000004</v>
      </c>
      <c r="Z15" s="23">
        <f>'Annual Raw'!AA12</f>
        <v>785.96469999999999</v>
      </c>
      <c r="AA15" s="23">
        <f>'Annual Raw'!AB12</f>
        <v>1168.2686000000001</v>
      </c>
      <c r="AB15" s="24">
        <f>+SUM(CM15:CP15)</f>
        <v>1607.599362017309</v>
      </c>
      <c r="AC15" s="24">
        <f>+SUM(CQ15:CT15)</f>
        <v>2199.182325468109</v>
      </c>
      <c r="AD15" s="24">
        <f>+SUM(CU15:CX15)</f>
        <v>3016.9530132885966</v>
      </c>
      <c r="AE15" s="24">
        <f>+SUM(CY15:DB15)</f>
        <v>4141.3568796218569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44.844999999999999</v>
      </c>
      <c r="AY15" s="23">
        <f>'QTR Raw'!S11</f>
        <v>32.972999999999999</v>
      </c>
      <c r="AZ15" s="23">
        <f>'QTR Raw'!T11</f>
        <v>19.257999999999999</v>
      </c>
      <c r="BA15" s="23">
        <f>'QTR Raw'!U11</f>
        <v>27.425000000000001</v>
      </c>
      <c r="BB15" s="23">
        <f>'QTR Raw'!V11</f>
        <v>49.317</v>
      </c>
      <c r="BC15" s="23">
        <f>'QTR Raw'!W11</f>
        <v>73.287999999999997</v>
      </c>
      <c r="BD15" s="23">
        <f>'QTR Raw'!X11</f>
        <v>56.923999999999999</v>
      </c>
      <c r="BE15" s="23">
        <f>'QTR Raw'!Y11</f>
        <v>60.612000000000002</v>
      </c>
      <c r="BF15" s="23">
        <f>'QTR Raw'!Z11</f>
        <v>92.838999999999999</v>
      </c>
      <c r="BG15" s="23">
        <f>'QTR Raw'!AA11</f>
        <v>109.63800000000001</v>
      </c>
      <c r="BH15" s="23">
        <f>'QTR Raw'!AB11</f>
        <v>85.725999999999999</v>
      </c>
      <c r="BI15" s="23">
        <f>'QTR Raw'!AC11</f>
        <v>135.36600000000001</v>
      </c>
      <c r="BJ15" s="23">
        <f>'QTR Raw'!AD11</f>
        <v>132.99600000000001</v>
      </c>
      <c r="BK15" s="23">
        <f>'QTR Raw'!AE11</f>
        <v>115.223</v>
      </c>
      <c r="BL15" s="23">
        <f>'QTR Raw'!AF11</f>
        <v>123.64400000000001</v>
      </c>
      <c r="BM15" s="23">
        <f>'QTR Raw'!AG11</f>
        <v>140.05500000000001</v>
      </c>
      <c r="BN15" s="23">
        <f>'QTR Raw'!AH11</f>
        <v>147.738</v>
      </c>
      <c r="BO15" s="23">
        <f>'QTR Raw'!AI11</f>
        <v>35.912999999999997</v>
      </c>
      <c r="BP15" s="23">
        <f>'QTR Raw'!AJ11</f>
        <v>74.653999999999996</v>
      </c>
      <c r="BQ15" s="23">
        <f>'QTR Raw'!AK11</f>
        <v>141.95400000000001</v>
      </c>
      <c r="BR15" s="23">
        <f>'QTR Raw'!AL11</f>
        <v>145.61099999999999</v>
      </c>
      <c r="BS15" s="23">
        <f>'QTR Raw'!AM11</f>
        <v>103.044</v>
      </c>
      <c r="BT15" s="23">
        <f>'QTR Raw'!AN11</f>
        <v>125.538</v>
      </c>
      <c r="BU15" s="23">
        <f>'QTR Raw'!AO11</f>
        <v>130.23099999999999</v>
      </c>
      <c r="BV15" s="23">
        <f>'QTR Raw'!AP11</f>
        <v>136.577</v>
      </c>
      <c r="BW15" s="23">
        <f>'QTR Raw'!AQ11</f>
        <v>104.449</v>
      </c>
      <c r="BX15" s="23">
        <f>'QTR Raw'!AR11</f>
        <v>116.852</v>
      </c>
      <c r="BY15" s="23">
        <f>'QTR Raw'!AS11</f>
        <v>154.054</v>
      </c>
      <c r="BZ15" s="23">
        <f>'QTR Raw'!AT11</f>
        <v>227.41900000000001</v>
      </c>
      <c r="CA15" s="23">
        <f>'QTR Raw'!AU11</f>
        <v>209.23500000000001</v>
      </c>
      <c r="CB15" s="23">
        <f>'QTR Raw'!AV11</f>
        <v>270.03199999999998</v>
      </c>
      <c r="CC15" s="23">
        <f>'QTR Raw'!AW11</f>
        <v>251.303</v>
      </c>
      <c r="CD15" s="23">
        <f>'QTR Raw'!AX11</f>
        <v>228.28</v>
      </c>
      <c r="CE15" s="23">
        <f>'QTR Raw'!AY11</f>
        <v>173.86699999999999</v>
      </c>
      <c r="CF15" s="23">
        <f>'QTR Raw'!AZ11</f>
        <v>196.886</v>
      </c>
      <c r="CG15" s="23">
        <f>'QTR Raw'!BA11</f>
        <v>208.41900000000001</v>
      </c>
      <c r="CH15" s="23">
        <f>'QTR Raw'!BB11</f>
        <v>206.79300000000001</v>
      </c>
      <c r="CI15" s="23">
        <f>'QTR Raw'!BC11</f>
        <v>200.648</v>
      </c>
      <c r="CJ15" s="23">
        <f>'QTR Raw'!BD11</f>
        <v>302.44600000000003</v>
      </c>
      <c r="CK15" s="23">
        <f>'QTR Raw'!BE11</f>
        <v>310.56700000000001</v>
      </c>
      <c r="CL15" s="23">
        <f>'QTR Raw'!BF11</f>
        <v>354.608</v>
      </c>
      <c r="CM15" s="24">
        <f t="shared" ref="CM15:DB15" si="91">+CM10-CM16</f>
        <v>247.08064594858973</v>
      </c>
      <c r="CN15" s="24">
        <f t="shared" si="91"/>
        <v>366.88760128952242</v>
      </c>
      <c r="CO15" s="24">
        <f t="shared" si="91"/>
        <v>415.47286123568404</v>
      </c>
      <c r="CP15" s="24">
        <f t="shared" si="91"/>
        <v>578.15825354351284</v>
      </c>
      <c r="CQ15" s="24">
        <f t="shared" si="91"/>
        <v>327.03064716842539</v>
      </c>
      <c r="CR15" s="24">
        <f t="shared" si="91"/>
        <v>487.81229781779246</v>
      </c>
      <c r="CS15" s="24">
        <f t="shared" si="91"/>
        <v>577.53874196023867</v>
      </c>
      <c r="CT15" s="24">
        <f t="shared" si="91"/>
        <v>806.80063852165244</v>
      </c>
      <c r="CU15" s="24">
        <f t="shared" si="91"/>
        <v>444.43514396495812</v>
      </c>
      <c r="CV15" s="24">
        <f t="shared" si="91"/>
        <v>667.32895799753646</v>
      </c>
      <c r="CW15" s="24">
        <f t="shared" si="91"/>
        <v>795.84157428328058</v>
      </c>
      <c r="CX15" s="24">
        <f t="shared" si="91"/>
        <v>1109.3473370428212</v>
      </c>
      <c r="CY15" s="24">
        <f t="shared" si="91"/>
        <v>608.86029191739055</v>
      </c>
      <c r="CZ15" s="24">
        <f t="shared" si="91"/>
        <v>916.05982338112199</v>
      </c>
      <c r="DA15" s="24">
        <f t="shared" si="91"/>
        <v>1093.4167953043375</v>
      </c>
      <c r="DB15" s="24">
        <f t="shared" si="91"/>
        <v>1523.0199690190066</v>
      </c>
      <c r="DE15" s="123"/>
      <c r="DF15" s="23">
        <v>277.51245663322999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113.16299999999998</v>
      </c>
      <c r="N16" s="31">
        <f t="shared" si="92"/>
        <v>159.27699999999999</v>
      </c>
      <c r="O16" s="31">
        <f t="shared" si="92"/>
        <v>130.69199999999998</v>
      </c>
      <c r="P16" s="31">
        <f t="shared" si="92"/>
        <v>148.827</v>
      </c>
      <c r="Q16" s="31">
        <f t="shared" si="92"/>
        <v>269.75379999999996</v>
      </c>
      <c r="R16" s="31">
        <f t="shared" si="92"/>
        <v>288.67500000000001</v>
      </c>
      <c r="S16" s="31">
        <f t="shared" si="92"/>
        <v>462.26829999999995</v>
      </c>
      <c r="T16" s="31">
        <f t="shared" si="92"/>
        <v>634.62239999999997</v>
      </c>
      <c r="U16" s="31">
        <f t="shared" ref="U16:Z16" si="93">U10-U13-U15-U14</f>
        <v>964.20589999999993</v>
      </c>
      <c r="V16" s="31">
        <f t="shared" si="93"/>
        <v>845.09469999999988</v>
      </c>
      <c r="W16" s="31">
        <f t="shared" si="93"/>
        <v>1249.0857999999998</v>
      </c>
      <c r="X16" s="31">
        <f t="shared" si="93"/>
        <v>1356.2930000000001</v>
      </c>
      <c r="Y16" s="31">
        <f t="shared" si="93"/>
        <v>1716.1884000000002</v>
      </c>
      <c r="Z16" s="31">
        <f t="shared" si="93"/>
        <v>1693.9187999999999</v>
      </c>
      <c r="AA16" s="31">
        <f t="shared" ref="AA16" si="94">AA10-AA13-AA15-AA14</f>
        <v>1960.6051</v>
      </c>
      <c r="AB16" s="32">
        <f t="shared" ref="AA16:AD16" si="95">AB10-AB13-AB15-AB14</f>
        <v>2680.4863274148897</v>
      </c>
      <c r="AC16" s="32">
        <f t="shared" si="95"/>
        <v>3680.7301146896011</v>
      </c>
      <c r="AD16" s="32">
        <f t="shared" si="95"/>
        <v>5053.9307563902103</v>
      </c>
      <c r="AE16" s="32">
        <f t="shared" ref="AE16" si="96">AE10-AE13-AE15-AE14</f>
        <v>6938.6770214839671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63.197000000000003</v>
      </c>
      <c r="AY16" s="31">
        <f t="shared" si="101"/>
        <v>52.512</v>
      </c>
      <c r="AZ16" s="31">
        <f t="shared" si="101"/>
        <v>57.659000000000006</v>
      </c>
      <c r="BA16" s="31">
        <f t="shared" si="101"/>
        <v>51.376999999999995</v>
      </c>
      <c r="BB16" s="31">
        <f t="shared" si="101"/>
        <v>108.279</v>
      </c>
      <c r="BC16" s="31">
        <f t="shared" si="101"/>
        <v>89.725999999999985</v>
      </c>
      <c r="BD16" s="31">
        <f t="shared" si="101"/>
        <v>77.834000000000003</v>
      </c>
      <c r="BE16" s="31">
        <f t="shared" si="101"/>
        <v>114.35300000000001</v>
      </c>
      <c r="BF16" s="31">
        <f t="shared" si="101"/>
        <v>174.51000000000005</v>
      </c>
      <c r="BG16" s="31">
        <f t="shared" si="101"/>
        <v>119.53100000000001</v>
      </c>
      <c r="BH16" s="31">
        <f t="shared" si="101"/>
        <v>138.965</v>
      </c>
      <c r="BI16" s="31">
        <f t="shared" si="101"/>
        <v>164.34599999999998</v>
      </c>
      <c r="BJ16" s="31">
        <f t="shared" si="101"/>
        <v>211.53600000000003</v>
      </c>
      <c r="BK16" s="31">
        <f t="shared" si="101"/>
        <v>192.82299999999998</v>
      </c>
      <c r="BL16" s="31">
        <f t="shared" si="101"/>
        <v>215.88400000000001</v>
      </c>
      <c r="BM16" s="31">
        <f t="shared" si="101"/>
        <v>254.86099999999999</v>
      </c>
      <c r="BN16" s="31">
        <f t="shared" si="101"/>
        <v>300.637</v>
      </c>
      <c r="BO16" s="31">
        <f t="shared" si="101"/>
        <v>74.497</v>
      </c>
      <c r="BP16" s="31">
        <f t="shared" si="101"/>
        <v>172.33600000000001</v>
      </c>
      <c r="BQ16" s="31">
        <f t="shared" si="101"/>
        <v>250.05899999999997</v>
      </c>
      <c r="BR16" s="31">
        <f t="shared" si="101"/>
        <v>348.20499999999998</v>
      </c>
      <c r="BS16" s="31">
        <f t="shared" si="101"/>
        <v>218.31100000000004</v>
      </c>
      <c r="BT16" s="31">
        <f t="shared" si="101"/>
        <v>260.97399999999999</v>
      </c>
      <c r="BU16" s="31">
        <f t="shared" si="101"/>
        <v>358.25900000000001</v>
      </c>
      <c r="BV16" s="31">
        <f t="shared" si="101"/>
        <v>411.5440000000001</v>
      </c>
      <c r="BW16" s="31">
        <f t="shared" si="101"/>
        <v>244.37399999999997</v>
      </c>
      <c r="BX16" s="31">
        <f t="shared" si="101"/>
        <v>277.67200000000003</v>
      </c>
      <c r="BY16" s="31">
        <f t="shared" si="101"/>
        <v>330.74099999999999</v>
      </c>
      <c r="BZ16" s="31">
        <f t="shared" si="101"/>
        <v>503.505</v>
      </c>
      <c r="CA16" s="31">
        <f t="shared" si="101"/>
        <v>320.23799999999994</v>
      </c>
      <c r="CB16" s="31">
        <f t="shared" si="101"/>
        <v>397.05400000000003</v>
      </c>
      <c r="CC16" s="31">
        <f t="shared" si="101"/>
        <v>496.93899999999996</v>
      </c>
      <c r="CD16" s="31">
        <f t="shared" si="101"/>
        <v>501.95800000000008</v>
      </c>
      <c r="CE16" s="31">
        <f t="shared" ref="CE16:CF16" si="102">CE10-CE13-CE15-CE14</f>
        <v>428.93700000000001</v>
      </c>
      <c r="CF16" s="31">
        <f t="shared" si="102"/>
        <v>407.39100000000008</v>
      </c>
      <c r="CG16" s="31">
        <f t="shared" ref="CG16:CH16" si="103">CG10-CG13-CG15-CG14</f>
        <v>402.04900000000009</v>
      </c>
      <c r="CH16" s="31">
        <f t="shared" si="103"/>
        <v>455.54099999999994</v>
      </c>
      <c r="CI16" s="31">
        <f t="shared" ref="CI16:CJ16" si="104">CI10-CI13-CI15-CI14</f>
        <v>327.1149999999999</v>
      </c>
      <c r="CJ16" s="31">
        <f t="shared" si="104"/>
        <v>379.53099999999995</v>
      </c>
      <c r="CK16" s="31">
        <f t="shared" ref="CK16:CL16" si="105">CK10-CK13-CK15-CK14</f>
        <v>509.25199999999995</v>
      </c>
      <c r="CL16" s="31">
        <f t="shared" si="105"/>
        <v>744.70700000000011</v>
      </c>
      <c r="CM16" s="32">
        <f t="shared" ref="CM16:DB16" si="106">+CM17*CM10</f>
        <v>397.22375264799877</v>
      </c>
      <c r="CN16" s="32">
        <f t="shared" si="106"/>
        <v>580.40307906671899</v>
      </c>
      <c r="CO16" s="32">
        <f t="shared" si="106"/>
        <v>710.09888334993423</v>
      </c>
      <c r="CP16" s="32">
        <f t="shared" si="106"/>
        <v>992.76061235023769</v>
      </c>
      <c r="CQ16" s="32">
        <f t="shared" si="106"/>
        <v>540.45557227379925</v>
      </c>
      <c r="CR16" s="32">
        <f t="shared" si="106"/>
        <v>811.76556325131844</v>
      </c>
      <c r="CS16" s="32">
        <f t="shared" si="106"/>
        <v>973.41237705330855</v>
      </c>
      <c r="CT16" s="32">
        <f t="shared" si="106"/>
        <v>1355.0966021111751</v>
      </c>
      <c r="CU16" s="32">
        <f t="shared" si="106"/>
        <v>742.37344791989335</v>
      </c>
      <c r="CV16" s="32">
        <f t="shared" si="106"/>
        <v>1117.677658865359</v>
      </c>
      <c r="CW16" s="32">
        <f t="shared" si="106"/>
        <v>1335.0686904029633</v>
      </c>
      <c r="CX16" s="32">
        <f t="shared" si="106"/>
        <v>1858.8109592019944</v>
      </c>
      <c r="CY16" s="32">
        <f t="shared" si="106"/>
        <v>1019.5918195943269</v>
      </c>
      <c r="CZ16" s="32">
        <f t="shared" si="106"/>
        <v>1534.9926463097613</v>
      </c>
      <c r="DA16" s="32">
        <f t="shared" si="106"/>
        <v>1832.3974275024211</v>
      </c>
      <c r="DB16" s="32">
        <f t="shared" si="106"/>
        <v>2551.6951280774574</v>
      </c>
      <c r="DE16" s="124"/>
      <c r="DF16" s="31">
        <v>450.53349617820794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>
        <f t="shared" si="107"/>
        <v>0.63346245563753201</v>
      </c>
      <c r="N17" s="41">
        <f t="shared" si="107"/>
        <v>0.61916460961340347</v>
      </c>
      <c r="O17" s="41">
        <f t="shared" si="107"/>
        <v>0.62109475244983881</v>
      </c>
      <c r="P17" s="41">
        <f t="shared" si="107"/>
        <v>0.53064942844306895</v>
      </c>
      <c r="Q17" s="41">
        <f t="shared" si="107"/>
        <v>0.56674550218406661</v>
      </c>
      <c r="R17" s="41">
        <f t="shared" si="107"/>
        <v>0.64903121397784025</v>
      </c>
      <c r="S17" s="41">
        <f t="shared" si="107"/>
        <v>0.61500725939267487</v>
      </c>
      <c r="T17" s="41">
        <f t="shared" si="107"/>
        <v>0.60416832872146842</v>
      </c>
      <c r="U17" s="41">
        <f t="shared" si="107"/>
        <v>0.64312150673335822</v>
      </c>
      <c r="V17" s="41">
        <f>V16/V10</f>
        <v>0.6810543215750593</v>
      </c>
      <c r="W17" s="41">
        <f>W16/W10</f>
        <v>0.71455410110148743</v>
      </c>
      <c r="X17" s="41">
        <f>X16/X10</f>
        <v>0.69991165266285693</v>
      </c>
      <c r="Y17" s="41">
        <f>Y16/Y10</f>
        <v>0.68488956669726919</v>
      </c>
      <c r="Z17" s="41">
        <f>Z16/Z10</f>
        <v>0.67429699079150374</v>
      </c>
      <c r="AA17" s="41">
        <f>AA16/AA10</f>
        <v>0.62267882747271153</v>
      </c>
      <c r="AB17" s="42">
        <f t="shared" ref="AA17:AD17" si="108">AB16/AB10</f>
        <v>0.62510092417715257</v>
      </c>
      <c r="AC17" s="42">
        <f t="shared" si="108"/>
        <v>0.6259838309073319</v>
      </c>
      <c r="AD17" s="42">
        <f t="shared" si="108"/>
        <v>0.62619297968050647</v>
      </c>
      <c r="AE17" s="42">
        <f t="shared" ref="AE17" si="109">AE16/AE10</f>
        <v>0.6262324721580016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>
        <f t="shared" si="114"/>
        <v>0.58471345830017951</v>
      </c>
      <c r="AY17" s="41">
        <f t="shared" si="114"/>
        <v>0.61016476493690597</v>
      </c>
      <c r="AZ17" s="41">
        <f t="shared" si="114"/>
        <v>0.74265510890145425</v>
      </c>
      <c r="BA17" s="41">
        <f t="shared" si="114"/>
        <v>0.68132931955919207</v>
      </c>
      <c r="BB17" s="41">
        <f t="shared" si="114"/>
        <v>0.66983192185634477</v>
      </c>
      <c r="BC17" s="41">
        <f t="shared" si="114"/>
        <v>0.57590131000442868</v>
      </c>
      <c r="BD17" s="41">
        <f t="shared" si="114"/>
        <v>0.55773792036000658</v>
      </c>
      <c r="BE17" s="41">
        <f t="shared" si="114"/>
        <v>0.6695140515222483</v>
      </c>
      <c r="BF17" s="41">
        <f t="shared" si="114"/>
        <v>0.66183246927111594</v>
      </c>
      <c r="BG17" s="41">
        <f t="shared" si="114"/>
        <v>0.501767273948451</v>
      </c>
      <c r="BH17" s="41">
        <f t="shared" si="114"/>
        <v>0.65530672778115728</v>
      </c>
      <c r="BI17" s="41">
        <f t="shared" si="114"/>
        <v>0.62735382700874531</v>
      </c>
      <c r="BJ17" s="41">
        <f t="shared" si="114"/>
        <v>0.62481280958414931</v>
      </c>
      <c r="BK17" s="41">
        <f t="shared" si="114"/>
        <v>0.62669370748465136</v>
      </c>
      <c r="BL17" s="41">
        <f t="shared" si="114"/>
        <v>0.69168538317852835</v>
      </c>
      <c r="BM17" s="41">
        <f t="shared" si="114"/>
        <v>0.60241428051415147</v>
      </c>
      <c r="BN17" s="41">
        <f t="shared" si="114"/>
        <v>0.65871817737627547</v>
      </c>
      <c r="BO17" s="41">
        <f t="shared" si="114"/>
        <v>0.69693709538599713</v>
      </c>
      <c r="BP17" s="41">
        <f t="shared" si="114"/>
        <v>0.70895074171280947</v>
      </c>
      <c r="BQ17" s="41">
        <f t="shared" si="114"/>
        <v>0.64091562670603519</v>
      </c>
      <c r="BR17" s="41">
        <f t="shared" si="114"/>
        <v>0.6954002787951894</v>
      </c>
      <c r="BS17" s="41">
        <f t="shared" si="114"/>
        <v>0.68790569581164385</v>
      </c>
      <c r="BT17" s="41">
        <f t="shared" si="114"/>
        <v>0.66840828703952715</v>
      </c>
      <c r="BU17" s="41">
        <f t="shared" si="114"/>
        <v>0.73773526625756769</v>
      </c>
      <c r="BV17" s="41">
        <f t="shared" si="114"/>
        <v>0.74199265478763976</v>
      </c>
      <c r="BW17" s="41">
        <f t="shared" si="114"/>
        <v>0.70205871030389377</v>
      </c>
      <c r="BX17" s="41">
        <f t="shared" si="114"/>
        <v>0.77134967859504089</v>
      </c>
      <c r="BY17" s="41">
        <f t="shared" si="114"/>
        <v>0.6612743598510068</v>
      </c>
      <c r="BZ17" s="41">
        <f t="shared" si="114"/>
        <v>0.69012615408232636</v>
      </c>
      <c r="CA17" s="41">
        <f t="shared" si="114"/>
        <v>0.62348357855019299</v>
      </c>
      <c r="CB17" s="41">
        <f t="shared" si="114"/>
        <v>0.64076830096844528</v>
      </c>
      <c r="CC17" s="41">
        <f t="shared" si="114"/>
        <v>0.70512805959560121</v>
      </c>
      <c r="CD17" s="41">
        <f t="shared" si="114"/>
        <v>0.75170533081545898</v>
      </c>
      <c r="CE17" s="41">
        <f t="shared" ref="CE17:CF17" si="115">CE16/CE10</f>
        <v>0.68843389582417158</v>
      </c>
      <c r="CF17" s="41">
        <f t="shared" si="115"/>
        <v>0.69524682319451991</v>
      </c>
      <c r="CG17" s="41">
        <f t="shared" ref="CG17:CH17" si="116">CG16/CG10</f>
        <v>0.63796036241887633</v>
      </c>
      <c r="CH17" s="41">
        <f t="shared" si="116"/>
        <v>0.67699480001842804</v>
      </c>
      <c r="CI17" s="41">
        <f t="shared" ref="CI17:CJ17" si="117">CI16/CI10</f>
        <v>0.63178641924281798</v>
      </c>
      <c r="CJ17" s="41">
        <f t="shared" si="117"/>
        <v>0.53997632550158914</v>
      </c>
      <c r="CK17" s="41">
        <f t="shared" ref="CK17:CL17" si="118">CK16/CK10</f>
        <v>0.62654497941667875</v>
      </c>
      <c r="CL17" s="41">
        <f t="shared" si="118"/>
        <v>0.66775492270722003</v>
      </c>
      <c r="CM17" s="42">
        <f t="shared" ref="CM17:DB17" si="119">AVERAGE(CI17:CL17)</f>
        <v>0.6165156617170765</v>
      </c>
      <c r="CN17" s="42">
        <f t="shared" si="119"/>
        <v>0.61269797233564105</v>
      </c>
      <c r="CO17" s="42">
        <f t="shared" si="119"/>
        <v>0.63087838404415408</v>
      </c>
      <c r="CP17" s="42">
        <f t="shared" si="119"/>
        <v>0.63196173520102294</v>
      </c>
      <c r="CQ17" s="42">
        <f t="shared" si="119"/>
        <v>0.62301343832447365</v>
      </c>
      <c r="CR17" s="42">
        <f t="shared" si="119"/>
        <v>0.6246378824763229</v>
      </c>
      <c r="CS17" s="42">
        <f t="shared" si="119"/>
        <v>0.62762286001149337</v>
      </c>
      <c r="CT17" s="42">
        <f t="shared" si="119"/>
        <v>0.62680897900332821</v>
      </c>
      <c r="CU17" s="42">
        <f t="shared" si="119"/>
        <v>0.62552078995390448</v>
      </c>
      <c r="CV17" s="42">
        <f t="shared" si="119"/>
        <v>0.62614762786126221</v>
      </c>
      <c r="CW17" s="42">
        <f t="shared" si="119"/>
        <v>0.62652506420749698</v>
      </c>
      <c r="CX17" s="42">
        <f t="shared" si="119"/>
        <v>0.62625061525649794</v>
      </c>
      <c r="CY17" s="42">
        <f t="shared" si="119"/>
        <v>0.62611102431979038</v>
      </c>
      <c r="CZ17" s="42">
        <f t="shared" si="119"/>
        <v>0.62625858291126191</v>
      </c>
      <c r="DA17" s="42">
        <f t="shared" si="119"/>
        <v>0.62628632167376186</v>
      </c>
      <c r="DB17" s="42">
        <f t="shared" si="119"/>
        <v>0.62622663604032802</v>
      </c>
      <c r="DE17" s="125"/>
      <c r="DF17" s="41">
        <v>0.61882563104487853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>
        <f t="shared" si="120"/>
        <v>0.40750068485282309</v>
      </c>
      <c r="O18" s="39">
        <f t="shared" si="120"/>
        <v>-0.17946721748902861</v>
      </c>
      <c r="P18" s="39">
        <f t="shared" si="120"/>
        <v>0.1387613625929669</v>
      </c>
      <c r="Q18" s="39">
        <f t="shared" si="120"/>
        <v>0.81253267216298086</v>
      </c>
      <c r="R18" s="39">
        <f t="shared" si="120"/>
        <v>7.0142478067037661E-2</v>
      </c>
      <c r="S18" s="39">
        <f t="shared" si="120"/>
        <v>0.601345111284316</v>
      </c>
      <c r="T18" s="39">
        <f t="shared" si="120"/>
        <v>0.3728442984301541</v>
      </c>
      <c r="U18" s="39">
        <f t="shared" si="120"/>
        <v>0.51933795592465692</v>
      </c>
      <c r="V18" s="39">
        <f t="shared" si="120"/>
        <v>-0.12353295079401616</v>
      </c>
      <c r="W18" s="39">
        <f t="shared" si="120"/>
        <v>0.47804240163853828</v>
      </c>
      <c r="X18" s="39">
        <f t="shared" si="120"/>
        <v>8.5828531554838161E-2</v>
      </c>
      <c r="Y18" s="39">
        <f t="shared" si="120"/>
        <v>0.26535225058302303</v>
      </c>
      <c r="Z18" s="39">
        <f t="shared" si="120"/>
        <v>-1.2976197718152838E-2</v>
      </c>
      <c r="AA18" s="39">
        <f t="shared" si="120"/>
        <v>0.15743747575149425</v>
      </c>
      <c r="AB18" s="40">
        <f t="shared" si="120"/>
        <v>0.36717298522527031</v>
      </c>
      <c r="AC18" s="40">
        <f t="shared" si="120"/>
        <v>0.37315757855007048</v>
      </c>
      <c r="AD18" s="40">
        <f t="shared" si="120"/>
        <v>0.37307832927500906</v>
      </c>
      <c r="AE18" s="40">
        <f t="shared" si="120"/>
        <v>0.37292680805147094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>
        <f t="shared" ref="BB18" si="135">+IF(AX16&lt;0,1-BB16/AX16,BB16/AX16-1)</f>
        <v>0.71335664667626619</v>
      </c>
      <c r="BC18" s="39">
        <f t="shared" ref="BC18" si="136">+IF(AY16&lt;0,1-BC16/AY16,BC16/AY16-1)</f>
        <v>0.70867611212675174</v>
      </c>
      <c r="BD18" s="39">
        <f t="shared" ref="BD18" si="137">+IF(AZ16&lt;0,1-BD16/AZ16,BD16/AZ16-1)</f>
        <v>0.34990201009382749</v>
      </c>
      <c r="BE18" s="39">
        <f t="shared" ref="BE18" si="138">+IF(BA16&lt;0,1-BE16/BA16,BE16/BA16-1)</f>
        <v>1.2257625007298989</v>
      </c>
      <c r="BF18" s="39">
        <f t="shared" ref="BF18" si="139">+IF(BB16&lt;0,1-BF16/BB16,BF16/BB16-1)</f>
        <v>0.61166985288006037</v>
      </c>
      <c r="BG18" s="39">
        <f t="shared" ref="BG18" si="140">+IF(BC16&lt;0,1-BG16/BC16,BG16/BC16-1)</f>
        <v>0.33217796402380606</v>
      </c>
      <c r="BH18" s="39">
        <f t="shared" ref="BH18" si="141">+IF(BD16&lt;0,1-BH16/BD16,BH16/BD16-1)</f>
        <v>0.78540226636174415</v>
      </c>
      <c r="BI18" s="39">
        <f t="shared" ref="BI18" si="142">+IF(BE16&lt;0,1-BI16/BE16,BI16/BE16-1)</f>
        <v>0.43718135947460901</v>
      </c>
      <c r="BJ18" s="39">
        <f t="shared" ref="BJ18" si="143">+IF(BF16&lt;0,1-BJ16/BF16,BJ16/BF16-1)</f>
        <v>0.21217122227952534</v>
      </c>
      <c r="BK18" s="39">
        <f t="shared" ref="BK18" si="144">+IF(BG16&lt;0,1-BK16/BG16,BK16/BG16-1)</f>
        <v>0.61316311249801281</v>
      </c>
      <c r="BL18" s="39">
        <f t="shared" ref="BL18" si="145">+IF(BH16&lt;0,1-BL16/BH16,BL16/BH16-1)</f>
        <v>0.55351347461591049</v>
      </c>
      <c r="BM18" s="39">
        <f t="shared" ref="BM18" si="146">+IF(BI16&lt;0,1-BM16/BI16,BM16/BI16-1)</f>
        <v>0.5507587650444794</v>
      </c>
      <c r="BN18" s="39">
        <f t="shared" ref="BN18" si="147">+IF(BJ16&lt;0,1-BN16/BJ16,BN16/BJ16-1)</f>
        <v>0.42120962862113287</v>
      </c>
      <c r="BO18" s="39">
        <f t="shared" ref="BO18" si="148">+IF(BK16&lt;0,1-BO16/BK16,BO16/BK16-1)</f>
        <v>-0.61365086115245582</v>
      </c>
      <c r="BP18" s="39">
        <f t="shared" ref="BP18" si="149">+IF(BL16&lt;0,1-BP16/BL16,BP16/BL16-1)</f>
        <v>-0.2017194419225139</v>
      </c>
      <c r="BQ18" s="39">
        <f t="shared" ref="BQ18" si="150">+IF(BM16&lt;0,1-BQ16/BM16,BQ16/BM16-1)</f>
        <v>-1.8841643091724647E-2</v>
      </c>
      <c r="BR18" s="39">
        <f t="shared" ref="BR18" si="151">+IF(BN16&lt;0,1-BR16/BN16,BR16/BN16-1)</f>
        <v>0.15822403762677251</v>
      </c>
      <c r="BS18" s="39">
        <f t="shared" ref="BS18" si="152">+IF(BO16&lt;0,1-BS16/BO16,BS16/BO16-1)</f>
        <v>1.9304669986710881</v>
      </c>
      <c r="BT18" s="39">
        <f t="shared" ref="BT18" si="153">+IF(BP16&lt;0,1-BT16/BP16,BT16/BP16-1)</f>
        <v>0.51433246680902411</v>
      </c>
      <c r="BU18" s="39">
        <f t="shared" ref="BU18" si="154">+IF(BQ16&lt;0,1-BU16/BQ16,BU16/BQ16-1)</f>
        <v>0.43269788329954162</v>
      </c>
      <c r="BV18" s="39">
        <f t="shared" ref="BV18" si="155">+IF(BR16&lt;0,1-BV16/BR16,BV16/BR16-1)</f>
        <v>0.18190146609037816</v>
      </c>
      <c r="BW18" s="39">
        <f t="shared" ref="BW18" si="156">+IF(BS16&lt;0,1-BW16/BS16,BW16/BS16-1)</f>
        <v>0.11938473095721203</v>
      </c>
      <c r="BX18" s="39">
        <f t="shared" ref="BX18" si="157">+IF(BT16&lt;0,1-BX16/BT16,BX16/BT16-1)</f>
        <v>6.398338531807779E-2</v>
      </c>
      <c r="BY18" s="39">
        <f t="shared" ref="BY18" si="158">+IF(BU16&lt;0,1-BY16/BU16,BY16/BU16-1)</f>
        <v>-7.6810352287032591E-2</v>
      </c>
      <c r="BZ18" s="39">
        <f t="shared" ref="BZ18" si="159">+IF(BV16&lt;0,1-BZ16/BV16,BZ16/BV16-1)</f>
        <v>0.22345362828761894</v>
      </c>
      <c r="CA18" s="39">
        <f t="shared" ref="CA18" si="160">+IF(BW16&lt;0,1-CA16/BW16,CA16/BW16-1)</f>
        <v>0.31044219106778947</v>
      </c>
      <c r="CB18" s="39">
        <f t="shared" ref="CB18" si="161">+IF(BX16&lt;0,1-CB16/BX16,CB16/BX16-1)</f>
        <v>0.42993892074101825</v>
      </c>
      <c r="CC18" s="39">
        <f t="shared" ref="CC18" si="162">+IF(BY16&lt;0,1-CC16/BY16,CC16/BY16-1)</f>
        <v>0.50250195772522899</v>
      </c>
      <c r="CD18" s="39">
        <f t="shared" ref="CD18" si="163">+IF(BZ16&lt;0,1-CD16/BZ16,CD16/BZ16-1)</f>
        <v>-3.0724620410917947E-3</v>
      </c>
      <c r="CE18" s="39">
        <f t="shared" ref="CE18" si="164">+IF(CA16&lt;0,1-CE16/CA16,CE16/CA16-1)</f>
        <v>0.33943192250763521</v>
      </c>
      <c r="CF18" s="39">
        <f t="shared" ref="CF18" si="165">+IF(CB16&lt;0,1-CF16/CB16,CF16/CB16-1)</f>
        <v>2.6034242193757162E-2</v>
      </c>
      <c r="CG18" s="39">
        <f t="shared" ref="CG18" si="166">+IF(CC16&lt;0,1-CG16/CC16,CG16/CC16-1)</f>
        <v>-0.19094898971503516</v>
      </c>
      <c r="CH18" s="39">
        <f t="shared" ref="CH18:CL18" si="167">+IF(CD16&lt;0,1-CH16/CD16,CH16/CD16-1)</f>
        <v>-9.2471880117460326E-2</v>
      </c>
      <c r="CI18" s="39">
        <f t="shared" si="167"/>
        <v>-0.2373821796674106</v>
      </c>
      <c r="CJ18" s="39">
        <f t="shared" si="167"/>
        <v>-6.8386390470089209E-2</v>
      </c>
      <c r="CK18" s="39">
        <f t="shared" si="167"/>
        <v>0.26664162825924165</v>
      </c>
      <c r="CL18" s="39">
        <f t="shared" si="167"/>
        <v>0.63477491597902325</v>
      </c>
      <c r="CM18" s="40">
        <f t="shared" ref="CM18" si="168">+CM16/CI16-1</f>
        <v>0.21432448113965696</v>
      </c>
      <c r="CN18" s="40">
        <f t="shared" ref="CN18" si="169">+CN16/CJ16-1</f>
        <v>0.52926395753369038</v>
      </c>
      <c r="CO18" s="40">
        <f t="shared" ref="CO18" si="170">+CO16/CK16-1</f>
        <v>0.3943958656027553</v>
      </c>
      <c r="CP18" s="40">
        <f t="shared" ref="CP18" si="171">+CP16/CL16-1</f>
        <v>0.3330888689783198</v>
      </c>
      <c r="CQ18" s="40">
        <f t="shared" ref="CQ18" si="172">+CQ16/CM16-1</f>
        <v>0.36058221259675238</v>
      </c>
      <c r="CR18" s="40">
        <f t="shared" ref="CR18" si="173">+CR16/CN16-1</f>
        <v>0.39862380564318767</v>
      </c>
      <c r="CS18" s="40">
        <f t="shared" ref="CS18" si="174">+CS16/CO16-1</f>
        <v>0.37081243172947564</v>
      </c>
      <c r="CT18" s="40">
        <f t="shared" ref="CT18" si="175">+CT16/CP16-1</f>
        <v>0.36497820849595541</v>
      </c>
      <c r="CU18" s="40">
        <f t="shared" ref="CU18" si="176">+CU16/CQ16-1</f>
        <v>0.37360679768105132</v>
      </c>
      <c r="CV18" s="40">
        <f t="shared" ref="CV18" si="177">+CV16/CR16-1</f>
        <v>0.37684783570861069</v>
      </c>
      <c r="CW18" s="40">
        <f t="shared" ref="CW18" si="178">+CW16/CS16-1</f>
        <v>0.37153453343633491</v>
      </c>
      <c r="CX18" s="40">
        <f t="shared" ref="CX18" si="179">+CX16/CT16-1</f>
        <v>0.37171841203502143</v>
      </c>
      <c r="CY18" s="40">
        <f t="shared" ref="CY18" si="180">+CY16/CU16-1</f>
        <v>0.37342172251875461</v>
      </c>
      <c r="CZ18" s="40">
        <f t="shared" ref="CZ18" si="181">+CZ16/CV16-1</f>
        <v>0.37337687134951869</v>
      </c>
      <c r="DA18" s="40">
        <f t="shared" ref="DA18" si="182">+DA16/CW16-1</f>
        <v>0.37251172218663098</v>
      </c>
      <c r="DB18" s="40">
        <f t="shared" ref="DB18" si="183">+DB16/CX16-1</f>
        <v>0.37275666223364912</v>
      </c>
      <c r="DE18" s="122"/>
      <c r="DF18" s="39">
        <v>-1.0992432781663952E-2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>
        <f t="shared" ref="AY19" si="198">+IF(AX16&lt;0,1-AY16/AX16,AY16/AX16-1)</f>
        <v>-0.16907448138361003</v>
      </c>
      <c r="AZ19" s="39">
        <f t="shared" ref="AZ19" si="199">+IF(AY16&lt;0,1-AZ16/AY16,AZ16/AY16-1)</f>
        <v>9.8015691651432091E-2</v>
      </c>
      <c r="BA19" s="39">
        <f t="shared" ref="BA19" si="200">+IF(AZ16&lt;0,1-BA16/AZ16,BA16/AZ16-1)</f>
        <v>-0.10895090098683657</v>
      </c>
      <c r="BB19" s="39">
        <f t="shared" ref="BB19" si="201">+IF(BA16&lt;0,1-BB16/BA16,BB16/BA16-1)</f>
        <v>1.1075383926659792</v>
      </c>
      <c r="BC19" s="39">
        <f t="shared" ref="BC19" si="202">+IF(BB16&lt;0,1-BC16/BB16,BC16/BB16-1)</f>
        <v>-0.17134439734389872</v>
      </c>
      <c r="BD19" s="39">
        <f t="shared" ref="BD19" si="203">+IF(BC16&lt;0,1-BD16/BC16,BD16/BC16-1)</f>
        <v>-0.13253683436239194</v>
      </c>
      <c r="BE19" s="39">
        <f t="shared" ref="BE19" si="204">+IF(BD16&lt;0,1-BE16/BD16,BE16/BD16-1)</f>
        <v>0.46919084204846206</v>
      </c>
      <c r="BF19" s="39">
        <f t="shared" ref="BF19" si="205">+IF(BE16&lt;0,1-BF16/BE16,BF16/BE16-1)</f>
        <v>0.52606402980245415</v>
      </c>
      <c r="BG19" s="39">
        <f t="shared" ref="BG19" si="206">+IF(BF16&lt;0,1-BG16/BF16,BG16/BF16-1)</f>
        <v>-0.31504784826084475</v>
      </c>
      <c r="BH19" s="39">
        <f t="shared" ref="BH19" si="207">+IF(BG16&lt;0,1-BH16/BG16,BH16/BG16-1)</f>
        <v>0.16258543808719073</v>
      </c>
      <c r="BI19" s="39">
        <f t="shared" ref="BI19" si="208">+IF(BH16&lt;0,1-BI16/BH16,BI16/BH16-1)</f>
        <v>0.1826431115748568</v>
      </c>
      <c r="BJ19" s="39">
        <f t="shared" ref="BJ19" si="209">+IF(BI16&lt;0,1-BJ16/BI16,BJ16/BI16-1)</f>
        <v>0.28713811105837728</v>
      </c>
      <c r="BK19" s="39">
        <f t="shared" ref="BK19" si="210">+IF(BJ16&lt;0,1-BK16/BJ16,BK16/BJ16-1)</f>
        <v>-8.8462483927085889E-2</v>
      </c>
      <c r="BL19" s="39">
        <f t="shared" ref="BL19" si="211">+IF(BK16&lt;0,1-BL16/BK16,BL16/BK16-1)</f>
        <v>0.11959672860602755</v>
      </c>
      <c r="BM19" s="39">
        <f t="shared" ref="BM19" si="212">+IF(BL16&lt;0,1-BM16/BL16,BM16/BL16-1)</f>
        <v>0.18054603398121194</v>
      </c>
      <c r="BN19" s="39">
        <f t="shared" ref="BN19" si="213">+IF(BM16&lt;0,1-BN16/BM16,BN16/BM16-1)</f>
        <v>0.17961163143831338</v>
      </c>
      <c r="BO19" s="39">
        <f t="shared" ref="BO19" si="214">+IF(BN16&lt;0,1-BO16/BN16,BO16/BN16-1)</f>
        <v>-0.75220282267319061</v>
      </c>
      <c r="BP19" s="39">
        <f t="shared" ref="BP19" si="215">+IF(BO16&lt;0,1-BP16/BO16,BP16/BO16-1)</f>
        <v>1.3133280534786635</v>
      </c>
      <c r="BQ19" s="39">
        <f t="shared" ref="BQ19" si="216">+IF(BP16&lt;0,1-BQ16/BP16,BQ16/BP16-1)</f>
        <v>0.45099688979667607</v>
      </c>
      <c r="BR19" s="39">
        <f t="shared" ref="BR19" si="217">+IF(BQ16&lt;0,1-BR16/BQ16,BR16/BQ16-1)</f>
        <v>0.39249137203619955</v>
      </c>
      <c r="BS19" s="39">
        <f t="shared" ref="BS19" si="218">+IF(BR16&lt;0,1-BS16/BR16,BS16/BR16-1)</f>
        <v>-0.37303887078014375</v>
      </c>
      <c r="BT19" s="39">
        <f t="shared" ref="BT19" si="219">+IF(BS16&lt;0,1-BT16/BS16,BT16/BS16-1)</f>
        <v>0.19542304327312854</v>
      </c>
      <c r="BU19" s="39">
        <f t="shared" ref="BU19" si="220">+IF(BT16&lt;0,1-BU16/BT16,BU16/BT16-1)</f>
        <v>0.37277659843509325</v>
      </c>
      <c r="BV19" s="39">
        <f t="shared" ref="BV19" si="221">+IF(BU16&lt;0,1-BV16/BU16,BV16/BU16-1)</f>
        <v>0.14873317906877448</v>
      </c>
      <c r="BW19" s="39">
        <f t="shared" ref="BW19" si="222">+IF(BV16&lt;0,1-BW16/BV16,BW16/BV16-1)</f>
        <v>-0.40620200999164147</v>
      </c>
      <c r="BX19" s="39">
        <f t="shared" ref="BX19" si="223">+IF(BW16&lt;0,1-BX16/BW16,BX16/BW16-1)</f>
        <v>0.13625835809046816</v>
      </c>
      <c r="BY19" s="39">
        <f t="shared" ref="BY19" si="224">+IF(BX16&lt;0,1-BY16/BX16,BY16/BX16-1)</f>
        <v>0.19112117894494207</v>
      </c>
      <c r="BZ19" s="39">
        <f t="shared" ref="BZ19" si="225">+IF(BY16&lt;0,1-BZ16/BY16,BZ16/BY16-1)</f>
        <v>0.52235434977822526</v>
      </c>
      <c r="CA19" s="39">
        <f t="shared" ref="CA19" si="226">+IF(BZ16&lt;0,1-CA16/BZ16,CA16/BZ16-1)</f>
        <v>-0.36398248279560297</v>
      </c>
      <c r="CB19" s="39">
        <f t="shared" ref="CB19" si="227">+IF(CA16&lt;0,1-CB16/CA16,CB16/CA16-1)</f>
        <v>0.23987159550084658</v>
      </c>
      <c r="CC19" s="39">
        <f t="shared" ref="CC19" si="228">+IF(CB16&lt;0,1-CC16/CB16,CC16/CB16-1)</f>
        <v>0.25156527827449149</v>
      </c>
      <c r="CD19" s="39">
        <f t="shared" ref="CD19" si="229">+IF(CC16&lt;0,1-CD16/CC16,CD16/CC16-1)</f>
        <v>1.0099831166400897E-2</v>
      </c>
      <c r="CE19" s="39">
        <f t="shared" ref="CE19" si="230">+IF(CD16&lt;0,1-CE16/CD16,CE16/CD16-1)</f>
        <v>-0.1454723303543326</v>
      </c>
      <c r="CF19" s="39">
        <f t="shared" ref="CF19" si="231">+IF(CE16&lt;0,1-CF16/CE16,CF16/CE16-1)</f>
        <v>-5.0231152826638703E-2</v>
      </c>
      <c r="CG19" s="39">
        <f t="shared" ref="CG19" si="232">+IF(CF16&lt;0,1-CG16/CF16,CG16/CF16-1)</f>
        <v>-1.3112709902771469E-2</v>
      </c>
      <c r="CH19" s="39">
        <f t="shared" ref="CH19:CL19" si="233">+IF(CG16&lt;0,1-CH16/CG16,CH16/CG16-1)</f>
        <v>0.13304845926740239</v>
      </c>
      <c r="CI19" s="39">
        <f t="shared" si="233"/>
        <v>-0.28191973938679515</v>
      </c>
      <c r="CJ19" s="39">
        <f t="shared" si="233"/>
        <v>0.1602372254405946</v>
      </c>
      <c r="CK19" s="39">
        <f t="shared" si="233"/>
        <v>0.34179289702290472</v>
      </c>
      <c r="CL19" s="39">
        <f t="shared" si="233"/>
        <v>0.462354590654529</v>
      </c>
      <c r="CM19" s="40">
        <f t="shared" ref="CM19" si="234">+CM16/CL16-1</f>
        <v>-0.46660397626449235</v>
      </c>
      <c r="CN19" s="40">
        <f t="shared" ref="CN19" si="235">+CN16/CM16-1</f>
        <v>0.46114897509929431</v>
      </c>
      <c r="CO19" s="40">
        <f t="shared" ref="CO19" si="236">+CO16/CN16-1</f>
        <v>0.22345816030432597</v>
      </c>
      <c r="CP19" s="40">
        <f t="shared" ref="CP19" si="237">+CP16/CO16-1</f>
        <v>0.3980596725724026</v>
      </c>
      <c r="CQ19" s="40">
        <f t="shared" ref="CQ19" si="238">+CQ16/CP16-1</f>
        <v>-0.45560332919097413</v>
      </c>
      <c r="CR19" s="40">
        <f t="shared" ref="CR19" si="239">+CR16/CQ16-1</f>
        <v>0.50200239371400412</v>
      </c>
      <c r="CS19" s="40">
        <f t="shared" ref="CS19" si="240">+CS16/CR16-1</f>
        <v>0.19912992262760598</v>
      </c>
      <c r="CT19" s="40">
        <f t="shared" ref="CT19" si="241">+CT16/CS16-1</f>
        <v>0.39210948417698588</v>
      </c>
      <c r="CU19" s="40">
        <f t="shared" ref="CU19" si="242">+CU16/CT16-1</f>
        <v>-0.45216197371957734</v>
      </c>
      <c r="CV19" s="40">
        <f t="shared" ref="CV19" si="243">+CV16/CU16-1</f>
        <v>0.50554638234578042</v>
      </c>
      <c r="CW19" s="40">
        <f t="shared" ref="CW19" si="244">+CW16/CV16-1</f>
        <v>0.19450243978062032</v>
      </c>
      <c r="CX19" s="40">
        <f t="shared" ref="CX19" si="245">+CX16/CW16-1</f>
        <v>0.39229612121377078</v>
      </c>
      <c r="CY19" s="40">
        <f t="shared" ref="CY19" si="246">+CY16/CX16-1</f>
        <v>-0.45148170417929556</v>
      </c>
      <c r="CZ19" s="40">
        <f t="shared" ref="CZ19" si="247">+CZ16/CY16-1</f>
        <v>0.50549721644540169</v>
      </c>
      <c r="DA19" s="40">
        <f t="shared" ref="DA19" si="248">+DA16/CZ16-1</f>
        <v>0.19374997131591698</v>
      </c>
      <c r="DB19" s="40">
        <f t="shared" ref="DB19" si="249">+DB16/DA16-1</f>
        <v>0.39254459200777614</v>
      </c>
      <c r="DE19" s="122"/>
      <c r="DF19" s="39">
        <v>-0.11530343292081724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5.0720000000000001</v>
      </c>
      <c r="N20" s="23">
        <f>'Annual Raw'!O14</f>
        <v>6.141</v>
      </c>
      <c r="O20" s="23">
        <f>'Annual Raw'!P14</f>
        <v>6.95</v>
      </c>
      <c r="P20" s="23">
        <f>'Annual Raw'!Q14</f>
        <v>8.0779999999999994</v>
      </c>
      <c r="Q20" s="23">
        <f>'Annual Raw'!R14</f>
        <v>11.099</v>
      </c>
      <c r="R20" s="23">
        <f>'Annual Raw'!S14</f>
        <v>15.1629</v>
      </c>
      <c r="S20" s="23">
        <f>'Annual Raw'!T14</f>
        <v>22.615500000000001</v>
      </c>
      <c r="T20" s="23">
        <f>'Annual Raw'!U14</f>
        <v>34.992600000000003</v>
      </c>
      <c r="U20" s="23">
        <f>'Annual Raw'!V14</f>
        <v>51.166600000000003</v>
      </c>
      <c r="V20" s="23">
        <f>'Annual Raw'!W14</f>
        <v>43.953299999999999</v>
      </c>
      <c r="W20" s="23">
        <f>'Annual Raw'!X14</f>
        <v>55.529200000000003</v>
      </c>
      <c r="X20" s="23">
        <f>'Annual Raw'!Y14</f>
        <v>73.051500000000004</v>
      </c>
      <c r="Y20" s="23">
        <f>'Annual Raw'!Z14</f>
        <v>104.1508</v>
      </c>
      <c r="Z20" s="23">
        <f>'Annual Raw'!AA14</f>
        <v>109.0055</v>
      </c>
      <c r="AA20" s="23">
        <f>'Annual Raw'!AB14</f>
        <v>133.1515</v>
      </c>
      <c r="AB20" s="76">
        <f t="shared" ref="AB20:AB25" si="250">+SUM(CM20:CP20)</f>
        <v>155.95250000000001</v>
      </c>
      <c r="AC20" s="76">
        <f t="shared" ref="AC20:AC25" si="251">+SUM(CQ20:CT20)</f>
        <v>166.86917500000004</v>
      </c>
      <c r="AD20" s="76">
        <f t="shared" ref="AD20:AD25" si="252">+SUM(CU20:CX20)</f>
        <v>178.55001725000002</v>
      </c>
      <c r="AE20" s="76">
        <f t="shared" ref="AE20:AE25" si="253">+SUM(CY20:DB20)</f>
        <v>191.04851845750005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3.3069999999999999</v>
      </c>
      <c r="AY20" s="23">
        <f>'QTR Raw'!S16</f>
        <v>4.6239999999999997</v>
      </c>
      <c r="AZ20" s="23">
        <f>'QTR Raw'!T16</f>
        <v>4.7729999999999997</v>
      </c>
      <c r="BA20" s="23">
        <f>'QTR Raw'!U16</f>
        <v>4.7110000000000003</v>
      </c>
      <c r="BB20" s="23">
        <f>'QTR Raw'!V16</f>
        <v>6.7279999999999998</v>
      </c>
      <c r="BC20" s="23">
        <f>'QTR Raw'!W16</f>
        <v>5.9889999999999999</v>
      </c>
      <c r="BD20" s="23">
        <f>'QTR Raw'!X16</f>
        <v>6.7320000000000002</v>
      </c>
      <c r="BE20" s="23">
        <f>'QTR Raw'!Y16</f>
        <v>7.3970000000000002</v>
      </c>
      <c r="BF20" s="23">
        <f>'QTR Raw'!Z16</f>
        <v>8.4949999999999992</v>
      </c>
      <c r="BG20" s="23">
        <f>'QTR Raw'!AA16</f>
        <v>10.003</v>
      </c>
      <c r="BH20" s="23">
        <f>'QTR Raw'!AB16</f>
        <v>10.786</v>
      </c>
      <c r="BI20" s="23">
        <f>'QTR Raw'!AC16</f>
        <v>10.743</v>
      </c>
      <c r="BJ20" s="23">
        <f>'QTR Raw'!AD16</f>
        <v>11.68</v>
      </c>
      <c r="BK20" s="23">
        <f>'QTR Raw'!AE16</f>
        <v>13.798</v>
      </c>
      <c r="BL20" s="23">
        <f>'QTR Raw'!AF16</f>
        <v>14.617000000000001</v>
      </c>
      <c r="BM20" s="23">
        <f>'QTR Raw'!AG16</f>
        <v>15.236000000000001</v>
      </c>
      <c r="BN20" s="23">
        <f>'QTR Raw'!AH16</f>
        <v>15.834</v>
      </c>
      <c r="BO20" s="23">
        <f>'QTR Raw'!AI16</f>
        <v>9.7010000000000005</v>
      </c>
      <c r="BP20" s="23">
        <f>'QTR Raw'!AJ16</f>
        <v>13.286</v>
      </c>
      <c r="BQ20" s="23">
        <f>'QTR Raw'!AK16</f>
        <v>13.693</v>
      </c>
      <c r="BR20" s="23">
        <f>'QTR Raw'!AL16</f>
        <v>14.218</v>
      </c>
      <c r="BS20" s="23">
        <f>'QTR Raw'!AM16</f>
        <v>15.188000000000001</v>
      </c>
      <c r="BT20" s="23">
        <f>'QTR Raw'!AN16</f>
        <v>15.513</v>
      </c>
      <c r="BU20" s="23">
        <f>'QTR Raw'!AO16</f>
        <v>16.393000000000001</v>
      </c>
      <c r="BV20" s="23">
        <f>'QTR Raw'!AP16</f>
        <v>25.245000000000001</v>
      </c>
      <c r="BW20" s="23">
        <f>'QTR Raw'!AQ16</f>
        <v>21.791</v>
      </c>
      <c r="BX20" s="23">
        <f>'QTR Raw'!AR16</f>
        <v>22.486999999999998</v>
      </c>
      <c r="BY20" s="23">
        <f>'QTR Raw'!AS16</f>
        <v>23.475999999999999</v>
      </c>
      <c r="BZ20" s="23">
        <f>'QTR Raw'!AT16</f>
        <v>25.698</v>
      </c>
      <c r="CA20" s="23">
        <f>'QTR Raw'!AU16</f>
        <v>28.187999999999999</v>
      </c>
      <c r="CB20" s="23">
        <f>'QTR Raw'!AV16</f>
        <v>29.561</v>
      </c>
      <c r="CC20" s="23">
        <f>'QTR Raw'!AW16</f>
        <v>33.752000000000002</v>
      </c>
      <c r="CD20" s="23">
        <f>'QTR Raw'!AX16</f>
        <v>33.549999999999997</v>
      </c>
      <c r="CE20" s="23">
        <f>'QTR Raw'!AY16</f>
        <v>32.618000000000002</v>
      </c>
      <c r="CF20" s="23">
        <f>'QTR Raw'!AZ16</f>
        <v>30.495000000000001</v>
      </c>
      <c r="CG20" s="23">
        <f>'QTR Raw'!BA16</f>
        <v>33.329000000000001</v>
      </c>
      <c r="CH20" s="23">
        <f>'QTR Raw'!BB16</f>
        <v>23.064</v>
      </c>
      <c r="CI20" s="23">
        <f>'QTR Raw'!BC16</f>
        <v>35.039000000000001</v>
      </c>
      <c r="CJ20" s="23">
        <f>'QTR Raw'!BD16</f>
        <v>33.252000000000002</v>
      </c>
      <c r="CK20" s="23">
        <f>'QTR Raw'!BE16</f>
        <v>41.029000000000003</v>
      </c>
      <c r="CL20" s="23">
        <f>'QTR Raw'!BF16</f>
        <v>36.43</v>
      </c>
      <c r="CM20" s="24">
        <f t="shared" ref="CM20:DB20" si="254">CI20*107%</f>
        <v>37.491730000000004</v>
      </c>
      <c r="CN20" s="24">
        <f t="shared" si="254"/>
        <v>35.579640000000005</v>
      </c>
      <c r="CO20" s="24">
        <f t="shared" si="254"/>
        <v>43.901030000000006</v>
      </c>
      <c r="CP20" s="24">
        <f t="shared" si="254"/>
        <v>38.9801</v>
      </c>
      <c r="CQ20" s="24">
        <f t="shared" si="254"/>
        <v>40.116151100000003</v>
      </c>
      <c r="CR20" s="24">
        <f t="shared" si="254"/>
        <v>38.070214800000009</v>
      </c>
      <c r="CS20" s="24">
        <f t="shared" si="254"/>
        <v>46.97410210000001</v>
      </c>
      <c r="CT20" s="24">
        <f t="shared" si="254"/>
        <v>41.708707000000004</v>
      </c>
      <c r="CU20" s="24">
        <f t="shared" si="254"/>
        <v>42.924281677000003</v>
      </c>
      <c r="CV20" s="24">
        <f t="shared" si="254"/>
        <v>40.735129836000013</v>
      </c>
      <c r="CW20" s="24">
        <f t="shared" si="254"/>
        <v>50.262289247000012</v>
      </c>
      <c r="CX20" s="24">
        <f t="shared" si="254"/>
        <v>44.62831649000001</v>
      </c>
      <c r="CY20" s="24">
        <f t="shared" si="254"/>
        <v>45.928981394390007</v>
      </c>
      <c r="CZ20" s="24">
        <f t="shared" si="254"/>
        <v>43.586588924520015</v>
      </c>
      <c r="DA20" s="24">
        <f t="shared" si="254"/>
        <v>53.780649494290017</v>
      </c>
      <c r="DB20" s="24">
        <f t="shared" si="254"/>
        <v>47.752298644300012</v>
      </c>
      <c r="DE20" s="123"/>
      <c r="DF20" s="23">
        <v>24.67848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3.75</v>
      </c>
      <c r="N21" s="23">
        <f>'Annual Raw'!O17</f>
        <v>6.2119999999999997</v>
      </c>
      <c r="O21" s="23">
        <f>'Annual Raw'!P17</f>
        <v>8.7249999999999996</v>
      </c>
      <c r="P21" s="23">
        <f>'Annual Raw'!Q17</f>
        <v>21.440999999999999</v>
      </c>
      <c r="Q21" s="23">
        <f>'Annual Raw'!R17</f>
        <v>16.772300000000001</v>
      </c>
      <c r="R21" s="23">
        <f>'Annual Raw'!S17</f>
        <v>15.834199999999999</v>
      </c>
      <c r="S21" s="23">
        <f>'Annual Raw'!T17</f>
        <v>15.1594</v>
      </c>
      <c r="T21" s="23">
        <f>'Annual Raw'!U17</f>
        <v>17.2027</v>
      </c>
      <c r="U21" s="23">
        <f>'Annual Raw'!V17</f>
        <v>23.3706</v>
      </c>
      <c r="V21" s="23">
        <f>'Annual Raw'!W17</f>
        <v>20.522300000000001</v>
      </c>
      <c r="W21" s="23">
        <f>'Annual Raw'!X17</f>
        <v>33.427</v>
      </c>
      <c r="X21" s="23">
        <f>'Annual Raw'!Y17</f>
        <v>39.753700000000002</v>
      </c>
      <c r="Y21" s="23">
        <f>'Annual Raw'!Z17</f>
        <v>51.5672</v>
      </c>
      <c r="Z21" s="23">
        <f>'Annual Raw'!AA17</f>
        <v>46.395899999999997</v>
      </c>
      <c r="AA21" s="23">
        <f>'Annual Raw'!AB17</f>
        <v>61.109499999999997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0.61</v>
      </c>
      <c r="N22" s="23">
        <f>'Annual Raw'!O19-'Annual Raw'!O20</f>
        <v>0.42699999999999999</v>
      </c>
      <c r="O22" s="23">
        <f>'Annual Raw'!P19-'Annual Raw'!P20</f>
        <v>1.175</v>
      </c>
      <c r="P22" s="23">
        <f>'Annual Raw'!Q19-'Annual Raw'!Q20</f>
        <v>0.27700000000000002</v>
      </c>
      <c r="Q22" s="23">
        <f>'Annual Raw'!R19-'Annual Raw'!R20</f>
        <v>1.0398000000000001</v>
      </c>
      <c r="R22" s="23">
        <f>'Annual Raw'!S19-'Annual Raw'!S20</f>
        <v>1.9714</v>
      </c>
      <c r="S22" s="23">
        <f>'Annual Raw'!T19-'Annual Raw'!T20</f>
        <v>2.1516000000000002</v>
      </c>
      <c r="T22" s="23">
        <f>'Annual Raw'!U19-'Annual Raw'!U20</f>
        <v>4.1134000000000004</v>
      </c>
      <c r="U22" s="23">
        <f>'Annual Raw'!V19-'Annual Raw'!V20</f>
        <v>3.6741000000000001</v>
      </c>
      <c r="V22" s="23">
        <f>'Annual Raw'!W19-'Annual Raw'!W20</f>
        <v>7.5781999999999998</v>
      </c>
      <c r="W22" s="23">
        <f>'Annual Raw'!X19-'Annual Raw'!X20</f>
        <v>7.4656000000000002</v>
      </c>
      <c r="X22" s="23">
        <f>'Annual Raw'!Y19-'Annual Raw'!Y20</f>
        <v>10.3406</v>
      </c>
      <c r="Y22" s="23">
        <f>'Annual Raw'!Z19-'Annual Raw'!Z20</f>
        <v>23.254100000000001</v>
      </c>
      <c r="Z22" s="23">
        <f>'Annual Raw'!AA19-'Annual Raw'!AA20</f>
        <v>21.493300000000001</v>
      </c>
      <c r="AA22" s="23">
        <f>'Annual Raw'!AB19-'Annual Raw'!AB20</f>
        <v>52.101199999999999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87.013999999999996</v>
      </c>
      <c r="N23" s="23">
        <f>'Annual Raw'!O15+'Annual Raw'!O16</f>
        <v>122.788</v>
      </c>
      <c r="O23" s="23">
        <f>'Annual Raw'!P15+'Annual Raw'!P16</f>
        <v>95.173000000000002</v>
      </c>
      <c r="P23" s="23">
        <f>'Annual Raw'!Q15+'Annual Raw'!Q16</f>
        <v>93.757000000000005</v>
      </c>
      <c r="Q23" s="23">
        <f>'Annual Raw'!R15+'Annual Raw'!R16</f>
        <v>204.78100000000001</v>
      </c>
      <c r="R23" s="23">
        <f>'Annual Raw'!S15+'Annual Raw'!S16</f>
        <v>181.10939999999999</v>
      </c>
      <c r="S23" s="23">
        <f>'Annual Raw'!T15+'Annual Raw'!T16</f>
        <v>306.46120000000002</v>
      </c>
      <c r="T23" s="23">
        <f>'Annual Raw'!U15+'Annual Raw'!U16</f>
        <v>412.65140000000002</v>
      </c>
      <c r="U23" s="23">
        <f>'Annual Raw'!V15+'Annual Raw'!V16</f>
        <v>675.73109999999997</v>
      </c>
      <c r="V23" s="23">
        <f>'Annual Raw'!W15+'Annual Raw'!W16</f>
        <v>623.15089999999998</v>
      </c>
      <c r="W23" s="23">
        <f>'Annual Raw'!X15+'Annual Raw'!X16</f>
        <v>868.96109999999999</v>
      </c>
      <c r="X23" s="23">
        <f>'Annual Raw'!Y15+'Annual Raw'!Y16</f>
        <v>973.87360000000001</v>
      </c>
      <c r="Y23" s="23">
        <f>'Annual Raw'!Z15+'Annual Raw'!Z16</f>
        <v>1234.1396</v>
      </c>
      <c r="Z23" s="23">
        <f>'Annual Raw'!AA15+'Annual Raw'!AA16</f>
        <v>1301.9754</v>
      </c>
      <c r="AA23" s="23">
        <f>'Annual Raw'!AB15+'Annual Raw'!AB16</f>
        <v>1486.1828</v>
      </c>
      <c r="AB23" s="76">
        <f t="shared" si="250"/>
        <v>2264.6074592381169</v>
      </c>
      <c r="AC23" s="76">
        <f t="shared" si="251"/>
        <v>3157.5581764561748</v>
      </c>
      <c r="AD23" s="76">
        <f t="shared" si="252"/>
        <v>4386.470664166558</v>
      </c>
      <c r="AE23" s="76">
        <f t="shared" si="253"/>
        <v>6076.4936002829327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50.622999999999998</v>
      </c>
      <c r="AY23" s="23">
        <f>'QTR Raw'!S14</f>
        <v>36.051000000000002</v>
      </c>
      <c r="AZ23" s="23">
        <f>'QTR Raw'!T14</f>
        <v>41.637</v>
      </c>
      <c r="BA23" s="23">
        <f>'QTR Raw'!U14</f>
        <v>37.225000000000001</v>
      </c>
      <c r="BB23" s="23">
        <f>'QTR Raw'!V14</f>
        <v>68.137</v>
      </c>
      <c r="BC23" s="23">
        <f>'QTR Raw'!W14</f>
        <v>63.826999999999998</v>
      </c>
      <c r="BD23" s="23">
        <f>'QTR Raw'!X14</f>
        <v>52.462000000000003</v>
      </c>
      <c r="BE23" s="23">
        <f>'QTR Raw'!Y14</f>
        <v>80.400999999999996</v>
      </c>
      <c r="BF23" s="23">
        <f>'QTR Raw'!Z14</f>
        <v>129.72499999999999</v>
      </c>
      <c r="BG23" s="23">
        <f>'QTR Raw'!AA14</f>
        <v>76.11</v>
      </c>
      <c r="BH23" s="23">
        <f>'QTR Raw'!AB14</f>
        <v>99.322000000000003</v>
      </c>
      <c r="BI23" s="23">
        <f>'QTR Raw'!AC14</f>
        <v>116.98</v>
      </c>
      <c r="BJ23" s="23">
        <f>'QTR Raw'!AD14</f>
        <v>149.77600000000001</v>
      </c>
      <c r="BK23" s="23">
        <f>'QTR Raw'!AE14</f>
        <v>135.88200000000001</v>
      </c>
      <c r="BL23" s="23">
        <f>'QTR Raw'!AF14</f>
        <v>158.44900000000001</v>
      </c>
      <c r="BM23" s="23">
        <f>'QTR Raw'!AG14</f>
        <v>185.65100000000001</v>
      </c>
      <c r="BN23" s="23">
        <f>'QTR Raw'!AH14</f>
        <v>233.86099999999999</v>
      </c>
      <c r="BO23" s="23">
        <f>'QTR Raw'!AI14</f>
        <v>63.500999999999998</v>
      </c>
      <c r="BP23" s="23">
        <f>'QTR Raw'!AJ14</f>
        <v>133.446</v>
      </c>
      <c r="BQ23" s="23">
        <f>'QTR Raw'!AK14</f>
        <v>191.51900000000001</v>
      </c>
      <c r="BR23" s="23">
        <f>'QTR Raw'!AL14</f>
        <v>270.96199999999999</v>
      </c>
      <c r="BS23" s="23">
        <f>'QTR Raw'!AM14</f>
        <v>163.73400000000001</v>
      </c>
      <c r="BT23" s="23">
        <f>'QTR Raw'!AN14</f>
        <v>190.75399999999999</v>
      </c>
      <c r="BU23" s="23">
        <f>'QTR Raw'!AO14</f>
        <v>265.86799999999999</v>
      </c>
      <c r="BV23" s="23">
        <f>'QTR Raw'!AP14</f>
        <v>297.95299999999997</v>
      </c>
      <c r="BW23" s="23">
        <f>'QTR Raw'!AQ14</f>
        <v>174.709</v>
      </c>
      <c r="BX23" s="23">
        <f>'QTR Raw'!AR14</f>
        <v>215.71</v>
      </c>
      <c r="BY23" s="23">
        <f>'QTR Raw'!AS14</f>
        <v>245.47399999999999</v>
      </c>
      <c r="BZ23" s="23">
        <f>'QTR Raw'!AT14</f>
        <v>396.88499999999999</v>
      </c>
      <c r="CA23" s="23">
        <f>'QTR Raw'!AU14</f>
        <v>225.876</v>
      </c>
      <c r="CB23" s="23">
        <f>'QTR Raw'!AV14</f>
        <v>294.99299999999999</v>
      </c>
      <c r="CC23" s="23">
        <f>'QTR Raw'!AW14</f>
        <v>393.58199999999999</v>
      </c>
      <c r="CD23" s="23">
        <f>'QTR Raw'!AX14</f>
        <v>415.75099999999998</v>
      </c>
      <c r="CE23" s="23">
        <f>'QTR Raw'!AY14</f>
        <v>322.36200000000002</v>
      </c>
      <c r="CF23" s="23">
        <f>'QTR Raw'!AZ14</f>
        <v>339.29899999999998</v>
      </c>
      <c r="CG23" s="23">
        <f>'QTR Raw'!BA14</f>
        <v>333.19600000000003</v>
      </c>
      <c r="CH23" s="23">
        <f>'QTR Raw'!BB14</f>
        <v>400.12799999999999</v>
      </c>
      <c r="CI23" s="23">
        <f>'QTR Raw'!BC14</f>
        <v>267.28300000000002</v>
      </c>
      <c r="CJ23" s="23">
        <f>'QTR Raw'!BD14</f>
        <v>296.35000000000002</v>
      </c>
      <c r="CK23" s="23">
        <f>'QTR Raw'!BE14</f>
        <v>413.69099999999997</v>
      </c>
      <c r="CL23" s="23">
        <f>'QTR Raw'!BF14</f>
        <v>648.48099999999999</v>
      </c>
      <c r="CM23" s="24">
        <f t="shared" ref="CM23:DB23" si="255">CM26-CM20-CM21-CM22-CM24-CM25</f>
        <v>321.13328845812384</v>
      </c>
      <c r="CN23" s="24">
        <f t="shared" si="255"/>
        <v>485.22628105526252</v>
      </c>
      <c r="CO23" s="24">
        <f t="shared" si="255"/>
        <v>597.67021207576363</v>
      </c>
      <c r="CP23" s="24">
        <f t="shared" si="255"/>
        <v>860.57767764896698</v>
      </c>
      <c r="CQ23" s="24">
        <f t="shared" si="255"/>
        <v>447.63236023906319</v>
      </c>
      <c r="CR23" s="24">
        <f t="shared" si="255"/>
        <v>694.45868454944298</v>
      </c>
      <c r="CS23" s="24">
        <f t="shared" si="255"/>
        <v>832.62817487271354</v>
      </c>
      <c r="CT23" s="24">
        <f t="shared" si="255"/>
        <v>1182.838956794955</v>
      </c>
      <c r="CU23" s="24">
        <f t="shared" si="255"/>
        <v>627.46884674653029</v>
      </c>
      <c r="CV23" s="24">
        <f t="shared" si="255"/>
        <v>968.72953289912471</v>
      </c>
      <c r="CW23" s="24">
        <f t="shared" si="255"/>
        <v>1155.8088534426292</v>
      </c>
      <c r="CX23" s="24">
        <f t="shared" si="255"/>
        <v>1634.4634310782744</v>
      </c>
      <c r="CY23" s="24">
        <f t="shared" si="255"/>
        <v>874.99531333807738</v>
      </c>
      <c r="CZ23" s="24">
        <f t="shared" si="255"/>
        <v>1342.9344804805428</v>
      </c>
      <c r="DA23" s="24">
        <f t="shared" si="255"/>
        <v>1601.4222948810689</v>
      </c>
      <c r="DB23" s="24">
        <f t="shared" si="255"/>
        <v>2257.1415115832442</v>
      </c>
      <c r="DE23" s="123"/>
      <c r="DF23" s="23">
        <v>383.2482739794782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1.292</v>
      </c>
      <c r="N24" s="23">
        <f>'Annual Raw'!O13</f>
        <v>1.724</v>
      </c>
      <c r="O24" s="23">
        <f>'Annual Raw'!P13</f>
        <v>1.9139999999999999</v>
      </c>
      <c r="P24" s="23">
        <f>'Annual Raw'!Q13</f>
        <v>2.8090000000000002</v>
      </c>
      <c r="Q24" s="23">
        <f>'Annual Raw'!R13</f>
        <v>1.1611</v>
      </c>
      <c r="R24" s="23">
        <f>'Annual Raw'!S13</f>
        <v>7.3906000000000001</v>
      </c>
      <c r="S24" s="23">
        <f>'Annual Raw'!T13</f>
        <v>11.1021</v>
      </c>
      <c r="T24" s="23">
        <f>'Annual Raw'!U13</f>
        <v>16.584700000000002</v>
      </c>
      <c r="U24" s="23">
        <f>'Annual Raw'!V13</f>
        <v>18.6615</v>
      </c>
      <c r="V24" s="23">
        <f>'Annual Raw'!W13</f>
        <v>14.764200000000001</v>
      </c>
      <c r="W24" s="23">
        <f>'Annual Raw'!X13</f>
        <v>24.9039</v>
      </c>
      <c r="X24" s="23">
        <f>'Annual Raw'!Y13</f>
        <v>28.300699999999999</v>
      </c>
      <c r="Y24" s="23">
        <f>'Annual Raw'!Z13</f>
        <v>41.417299999999997</v>
      </c>
      <c r="Z24" s="23">
        <f>'Annual Raw'!AA13</f>
        <v>35.014800000000001</v>
      </c>
      <c r="AA24" s="23">
        <f>'Annual Raw'!AB13</f>
        <v>36.935299999999998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1.0999999999999999E-2</v>
      </c>
      <c r="N25" s="23">
        <f>'Annual Raw'!O18</f>
        <v>0.01</v>
      </c>
      <c r="O25" s="23">
        <f>'Annual Raw'!P18</f>
        <v>1.2E-2</v>
      </c>
      <c r="P25" s="23">
        <f>'Annual Raw'!Q18</f>
        <v>5.3999999999999999E-2</v>
      </c>
      <c r="Q25" s="23">
        <f>'Annual Raw'!R18</f>
        <v>3.4500000000000003E-2</v>
      </c>
      <c r="R25" s="23">
        <f>'Annual Raw'!S18</f>
        <v>0.1118</v>
      </c>
      <c r="S25" s="23">
        <f>'Annual Raw'!T18</f>
        <v>0.27739999999999998</v>
      </c>
      <c r="T25" s="23">
        <f>'Annual Raw'!U18</f>
        <v>0.51619999999999999</v>
      </c>
      <c r="U25" s="23">
        <f>'Annual Raw'!V18</f>
        <v>0.77029999999999998</v>
      </c>
      <c r="V25" s="23">
        <f>'Annual Raw'!W18</f>
        <v>0.18909999999999999</v>
      </c>
      <c r="W25" s="23">
        <f>'Annual Raw'!X18</f>
        <v>0.3599</v>
      </c>
      <c r="X25" s="23">
        <f>'Annual Raw'!Y18</f>
        <v>0.90910000000000002</v>
      </c>
      <c r="Y25" s="23">
        <f>'Annual Raw'!Z18</f>
        <v>0.72419999999999995</v>
      </c>
      <c r="Z25" s="23">
        <f>'Annual Raw'!AA18</f>
        <v>0.60470000000000002</v>
      </c>
      <c r="AA25" s="23">
        <f>'Annual Raw'!AB18</f>
        <v>2.0748000000000002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97.748999999999995</v>
      </c>
      <c r="N26" s="22">
        <f t="shared" si="257"/>
        <v>137.30199999999996</v>
      </c>
      <c r="O26" s="22">
        <f t="shared" si="257"/>
        <v>113.949</v>
      </c>
      <c r="P26" s="22">
        <f t="shared" si="257"/>
        <v>126.416</v>
      </c>
      <c r="Q26" s="22">
        <f t="shared" si="257"/>
        <v>234.88770000000002</v>
      </c>
      <c r="R26" s="22">
        <f t="shared" si="257"/>
        <v>221.58029999999999</v>
      </c>
      <c r="S26" s="22">
        <f t="shared" si="257"/>
        <v>357.7672</v>
      </c>
      <c r="T26" s="22">
        <f t="shared" si="257"/>
        <v>486.06100000000004</v>
      </c>
      <c r="U26" s="22">
        <f t="shared" si="257"/>
        <v>773.37419999999997</v>
      </c>
      <c r="V26" s="22">
        <f t="shared" si="257"/>
        <v>710.15800000000002</v>
      </c>
      <c r="W26" s="22">
        <f t="shared" si="257"/>
        <v>990.64670000000001</v>
      </c>
      <c r="X26" s="22">
        <f t="shared" si="257"/>
        <v>1126.2292000000002</v>
      </c>
      <c r="Y26" s="22">
        <f t="shared" si="257"/>
        <v>1455.2532000000001</v>
      </c>
      <c r="Z26" s="22">
        <f t="shared" ref="Z26:AA26" si="258">+SUM(Z20:Z25)</f>
        <v>1514.4896000000001</v>
      </c>
      <c r="AA26" s="22">
        <f t="shared" si="258"/>
        <v>1771.5551000000003</v>
      </c>
      <c r="AB26" s="21">
        <f t="shared" si="257"/>
        <v>2420.5599592381168</v>
      </c>
      <c r="AC26" s="21">
        <f t="shared" si="257"/>
        <v>3324.4273514561746</v>
      </c>
      <c r="AD26" s="21">
        <f t="shared" si="257"/>
        <v>4565.0206814165576</v>
      </c>
      <c r="AE26" s="21">
        <f t="shared" si="257"/>
        <v>6267.5421187404327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53.93</v>
      </c>
      <c r="AY26" s="22">
        <f t="shared" si="259"/>
        <v>40.675000000000004</v>
      </c>
      <c r="AZ26" s="22">
        <f t="shared" si="259"/>
        <v>46.41</v>
      </c>
      <c r="BA26" s="22">
        <f t="shared" si="259"/>
        <v>41.936</v>
      </c>
      <c r="BB26" s="22">
        <f t="shared" si="259"/>
        <v>74.864999999999995</v>
      </c>
      <c r="BC26" s="22">
        <f t="shared" si="259"/>
        <v>69.816000000000003</v>
      </c>
      <c r="BD26" s="22">
        <f t="shared" si="259"/>
        <v>59.194000000000003</v>
      </c>
      <c r="BE26" s="22">
        <f t="shared" si="259"/>
        <v>87.798000000000002</v>
      </c>
      <c r="BF26" s="22">
        <f t="shared" si="259"/>
        <v>138.22</v>
      </c>
      <c r="BG26" s="22">
        <f t="shared" si="259"/>
        <v>86.113</v>
      </c>
      <c r="BH26" s="22">
        <f t="shared" si="259"/>
        <v>110.108</v>
      </c>
      <c r="BI26" s="22">
        <f t="shared" si="259"/>
        <v>127.723</v>
      </c>
      <c r="BJ26" s="22">
        <f t="shared" si="259"/>
        <v>161.45600000000002</v>
      </c>
      <c r="BK26" s="22">
        <f t="shared" si="259"/>
        <v>149.68</v>
      </c>
      <c r="BL26" s="22">
        <f t="shared" si="259"/>
        <v>173.066</v>
      </c>
      <c r="BM26" s="22">
        <f t="shared" si="259"/>
        <v>200.887</v>
      </c>
      <c r="BN26" s="22">
        <f t="shared" si="259"/>
        <v>249.69499999999999</v>
      </c>
      <c r="BO26" s="22">
        <f t="shared" ref="BO26:CH26" si="260">+SUM(BO20:BO25)</f>
        <v>73.201999999999998</v>
      </c>
      <c r="BP26" s="22">
        <f t="shared" si="260"/>
        <v>146.732</v>
      </c>
      <c r="BQ26" s="22">
        <f t="shared" si="260"/>
        <v>205.21200000000002</v>
      </c>
      <c r="BR26" s="22">
        <f t="shared" si="260"/>
        <v>285.18</v>
      </c>
      <c r="BS26" s="22">
        <f t="shared" si="260"/>
        <v>178.922</v>
      </c>
      <c r="BT26" s="22">
        <f t="shared" si="260"/>
        <v>206.267</v>
      </c>
      <c r="BU26" s="22">
        <f t="shared" si="260"/>
        <v>282.26099999999997</v>
      </c>
      <c r="BV26" s="22">
        <f t="shared" si="260"/>
        <v>323.19799999999998</v>
      </c>
      <c r="BW26" s="22">
        <f t="shared" si="260"/>
        <v>196.5</v>
      </c>
      <c r="BX26" s="22">
        <f t="shared" si="260"/>
        <v>238.197</v>
      </c>
      <c r="BY26" s="22">
        <f t="shared" si="260"/>
        <v>268.95</v>
      </c>
      <c r="BZ26" s="22">
        <f t="shared" si="260"/>
        <v>422.58299999999997</v>
      </c>
      <c r="CA26" s="22">
        <f t="shared" si="260"/>
        <v>254.06399999999999</v>
      </c>
      <c r="CB26" s="22">
        <f t="shared" si="260"/>
        <v>324.55399999999997</v>
      </c>
      <c r="CC26" s="22">
        <f t="shared" si="260"/>
        <v>427.334</v>
      </c>
      <c r="CD26" s="22">
        <f t="shared" si="260"/>
        <v>449.30099999999999</v>
      </c>
      <c r="CE26" s="22">
        <f t="shared" si="260"/>
        <v>354.98</v>
      </c>
      <c r="CF26" s="22">
        <f t="shared" si="260"/>
        <v>369.79399999999998</v>
      </c>
      <c r="CG26" s="22">
        <f t="shared" si="260"/>
        <v>366.52500000000003</v>
      </c>
      <c r="CH26" s="22">
        <f t="shared" si="260"/>
        <v>423.19200000000001</v>
      </c>
      <c r="CI26" s="22">
        <f t="shared" ref="CI26:CJ26" si="261">+SUM(CI20:CI25)</f>
        <v>302.322</v>
      </c>
      <c r="CJ26" s="22">
        <f t="shared" si="261"/>
        <v>329.60200000000003</v>
      </c>
      <c r="CK26" s="22">
        <f t="shared" ref="CK26:CL26" si="262">+SUM(CK20:CK25)</f>
        <v>454.71999999999997</v>
      </c>
      <c r="CL26" s="22">
        <f t="shared" si="262"/>
        <v>684.91099999999994</v>
      </c>
      <c r="CM26" s="21">
        <f t="shared" ref="CM26:DB26" si="263">CM27*CM10</f>
        <v>358.62501845812386</v>
      </c>
      <c r="CN26" s="21">
        <f t="shared" si="263"/>
        <v>520.8059210552625</v>
      </c>
      <c r="CO26" s="21">
        <f t="shared" si="263"/>
        <v>641.57124207576362</v>
      </c>
      <c r="CP26" s="21">
        <f t="shared" si="263"/>
        <v>899.55777764896698</v>
      </c>
      <c r="CQ26" s="21">
        <f t="shared" si="263"/>
        <v>487.74851133906321</v>
      </c>
      <c r="CR26" s="21">
        <f t="shared" si="263"/>
        <v>732.52889934944301</v>
      </c>
      <c r="CS26" s="21">
        <f t="shared" si="263"/>
        <v>879.60227697271353</v>
      </c>
      <c r="CT26" s="21">
        <f t="shared" si="263"/>
        <v>1224.547663794955</v>
      </c>
      <c r="CU26" s="21">
        <f t="shared" si="263"/>
        <v>670.39312842353024</v>
      </c>
      <c r="CV26" s="21">
        <f t="shared" si="263"/>
        <v>1009.4646627351248</v>
      </c>
      <c r="CW26" s="21">
        <f t="shared" si="263"/>
        <v>1206.0711426896291</v>
      </c>
      <c r="CX26" s="21">
        <f t="shared" si="263"/>
        <v>1679.0917475682745</v>
      </c>
      <c r="CY26" s="21">
        <f t="shared" si="263"/>
        <v>920.92429473246739</v>
      </c>
      <c r="CZ26" s="21">
        <f t="shared" si="263"/>
        <v>1386.5210694050629</v>
      </c>
      <c r="DA26" s="21">
        <f t="shared" si="263"/>
        <v>1655.2029443753588</v>
      </c>
      <c r="DB26" s="21">
        <f t="shared" si="263"/>
        <v>2304.8938102275442</v>
      </c>
      <c r="DE26" s="126"/>
      <c r="DF26" s="22">
        <v>407.92675397947818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>
        <f t="shared" si="265"/>
        <v>0.54717815519306767</v>
      </c>
      <c r="N27" s="44">
        <f t="shared" si="265"/>
        <v>0.53374020875041284</v>
      </c>
      <c r="O27" s="44">
        <f t="shared" si="265"/>
        <v>0.54152607617074255</v>
      </c>
      <c r="P27" s="44">
        <f t="shared" si="265"/>
        <v>0.45074199000221066</v>
      </c>
      <c r="Q27" s="44">
        <f t="shared" si="265"/>
        <v>0.49349276078172177</v>
      </c>
      <c r="R27" s="44">
        <f t="shared" si="265"/>
        <v>0.49818145354663207</v>
      </c>
      <c r="S27" s="44">
        <f t="shared" si="265"/>
        <v>0.47597774965878265</v>
      </c>
      <c r="T27" s="44">
        <f t="shared" si="265"/>
        <v>0.46273604906899862</v>
      </c>
      <c r="U27" s="44">
        <f t="shared" si="265"/>
        <v>0.5158375205676563</v>
      </c>
      <c r="V27" s="44">
        <f t="shared" si="265"/>
        <v>0.57231003211959686</v>
      </c>
      <c r="W27" s="44">
        <f t="shared" si="265"/>
        <v>0.56671099953874671</v>
      </c>
      <c r="X27" s="44">
        <f t="shared" si="265"/>
        <v>0.58118779692084765</v>
      </c>
      <c r="Y27" s="44">
        <f t="shared" si="265"/>
        <v>0.58075659617721132</v>
      </c>
      <c r="Z27" s="44">
        <f t="shared" ref="Z27:AA27" si="266">Z26/Z10</f>
        <v>0.60287174324119219</v>
      </c>
      <c r="AA27" s="44">
        <f t="shared" si="266"/>
        <v>0.56263744926058912</v>
      </c>
      <c r="AB27" s="52">
        <f t="shared" si="265"/>
        <v>0.56448497874085912</v>
      </c>
      <c r="AC27" s="52">
        <f t="shared" si="265"/>
        <v>0.56538722052245516</v>
      </c>
      <c r="AD27" s="52">
        <f t="shared" si="265"/>
        <v>0.56561596123669977</v>
      </c>
      <c r="AE27" s="52">
        <f t="shared" si="265"/>
        <v>0.56566091536190255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>
        <f t="shared" si="267"/>
        <v>0.49897300197997813</v>
      </c>
      <c r="AY27" s="44">
        <f t="shared" si="267"/>
        <v>0.47262438706978693</v>
      </c>
      <c r="AZ27" s="44">
        <f t="shared" si="267"/>
        <v>0.59776658638055613</v>
      </c>
      <c r="BA27" s="44">
        <f t="shared" si="267"/>
        <v>0.55612874136353396</v>
      </c>
      <c r="BB27" s="44">
        <f t="shared" si="267"/>
        <v>0.4631273546096219</v>
      </c>
      <c r="BC27" s="44">
        <f t="shared" si="267"/>
        <v>0.44811008915218775</v>
      </c>
      <c r="BD27" s="44">
        <f t="shared" si="267"/>
        <v>0.42416859544402485</v>
      </c>
      <c r="BE27" s="44">
        <f t="shared" si="267"/>
        <v>0.51403981264637</v>
      </c>
      <c r="BF27" s="44">
        <f t="shared" si="267"/>
        <v>0.52420195921525192</v>
      </c>
      <c r="BG27" s="44">
        <f t="shared" si="267"/>
        <v>0.36148518176475525</v>
      </c>
      <c r="BH27" s="44">
        <f t="shared" si="267"/>
        <v>0.51922795799321897</v>
      </c>
      <c r="BI27" s="44">
        <f t="shared" si="267"/>
        <v>0.4875537758572645</v>
      </c>
      <c r="BJ27" s="44">
        <f t="shared" si="267"/>
        <v>0.47689176775687547</v>
      </c>
      <c r="BK27" s="44">
        <f t="shared" si="267"/>
        <v>0.48647471586015478</v>
      </c>
      <c r="BL27" s="44">
        <f t="shared" si="267"/>
        <v>0.55449789018720785</v>
      </c>
      <c r="BM27" s="44">
        <f t="shared" si="267"/>
        <v>0.47483607758600316</v>
      </c>
      <c r="BN27" s="44">
        <f t="shared" si="267"/>
        <v>0.54710044106337241</v>
      </c>
      <c r="BO27" s="44">
        <f t="shared" ref="BO27:CH27" si="268">BO26/BO10</f>
        <v>0.68482206339108631</v>
      </c>
      <c r="BP27" s="44">
        <f t="shared" si="268"/>
        <v>0.60362176349111007</v>
      </c>
      <c r="BQ27" s="44">
        <f t="shared" si="268"/>
        <v>0.52597018138758822</v>
      </c>
      <c r="BR27" s="44">
        <f t="shared" si="268"/>
        <v>0.56953303802878219</v>
      </c>
      <c r="BS27" s="44">
        <f t="shared" si="268"/>
        <v>0.56378956124982671</v>
      </c>
      <c r="BT27" s="44">
        <f t="shared" si="268"/>
        <v>0.52829236683647463</v>
      </c>
      <c r="BU27" s="44">
        <f t="shared" si="268"/>
        <v>0.58123841686915689</v>
      </c>
      <c r="BV27" s="44">
        <f t="shared" si="268"/>
        <v>0.58270936289207365</v>
      </c>
      <c r="BW27" s="44">
        <f t="shared" si="268"/>
        <v>0.56452215282605822</v>
      </c>
      <c r="BX27" s="44">
        <f t="shared" si="268"/>
        <v>0.66169141790422847</v>
      </c>
      <c r="BY27" s="44">
        <f t="shared" si="268"/>
        <v>0.53773115241814073</v>
      </c>
      <c r="BZ27" s="44">
        <f t="shared" si="268"/>
        <v>0.57921089278273652</v>
      </c>
      <c r="CA27" s="44">
        <f t="shared" si="268"/>
        <v>0.49464689356283842</v>
      </c>
      <c r="CB27" s="44">
        <f t="shared" si="268"/>
        <v>0.52376733429838951</v>
      </c>
      <c r="CC27" s="44">
        <f t="shared" si="268"/>
        <v>0.60636253990776867</v>
      </c>
      <c r="CD27" s="44">
        <f t="shared" si="268"/>
        <v>0.67284903685311614</v>
      </c>
      <c r="CE27" s="44">
        <f t="shared" si="268"/>
        <v>0.56973463315047301</v>
      </c>
      <c r="CF27" s="44">
        <f t="shared" si="268"/>
        <v>0.63108439738824429</v>
      </c>
      <c r="CG27" s="44">
        <f t="shared" si="268"/>
        <v>0.58159185033560246</v>
      </c>
      <c r="CH27" s="44">
        <f t="shared" si="268"/>
        <v>0.6289198632162607</v>
      </c>
      <c r="CI27" s="44">
        <f t="shared" ref="CI27:CJ27" si="269">CI26/CI10</f>
        <v>0.58390148369327999</v>
      </c>
      <c r="CJ27" s="44">
        <f t="shared" si="269"/>
        <v>0.46894002555252357</v>
      </c>
      <c r="CK27" s="44">
        <f t="shared" ref="CK27:CL27" si="270">CK26/CK10</f>
        <v>0.55945294871763318</v>
      </c>
      <c r="CL27" s="44">
        <f t="shared" si="270"/>
        <v>0.61413776406872056</v>
      </c>
      <c r="CM27" s="52">
        <f t="shared" ref="CM27:DB27" si="271">AVERAGE(CI27:CL27)</f>
        <v>0.55660805550803938</v>
      </c>
      <c r="CN27" s="52">
        <f t="shared" si="271"/>
        <v>0.54978469846172917</v>
      </c>
      <c r="CO27" s="52">
        <f t="shared" si="271"/>
        <v>0.56999586668903057</v>
      </c>
      <c r="CP27" s="52">
        <f t="shared" si="271"/>
        <v>0.57263159618187998</v>
      </c>
      <c r="CQ27" s="52">
        <f t="shared" si="271"/>
        <v>0.56225505421016975</v>
      </c>
      <c r="CR27" s="52">
        <f t="shared" si="271"/>
        <v>0.56366680388570234</v>
      </c>
      <c r="CS27" s="52">
        <f t="shared" si="271"/>
        <v>0.56713733024169566</v>
      </c>
      <c r="CT27" s="52">
        <f t="shared" si="271"/>
        <v>0.56642269612986196</v>
      </c>
      <c r="CU27" s="52">
        <f t="shared" si="271"/>
        <v>0.5648704711168574</v>
      </c>
      <c r="CV27" s="52">
        <f t="shared" si="271"/>
        <v>0.56552432534352937</v>
      </c>
      <c r="CW27" s="52">
        <f t="shared" si="271"/>
        <v>0.5659887057079861</v>
      </c>
      <c r="CX27" s="52">
        <f t="shared" si="271"/>
        <v>0.56570154957455876</v>
      </c>
      <c r="CY27" s="52">
        <f t="shared" si="271"/>
        <v>0.5655212629357329</v>
      </c>
      <c r="CZ27" s="52">
        <f t="shared" si="271"/>
        <v>0.56568396089045181</v>
      </c>
      <c r="DA27" s="52">
        <f t="shared" si="271"/>
        <v>0.56572386977718236</v>
      </c>
      <c r="DB27" s="52">
        <f t="shared" si="271"/>
        <v>0.56565766079448143</v>
      </c>
      <c r="DE27" s="128"/>
      <c r="DF27" s="44">
        <v>0.56030358029492433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0</v>
      </c>
      <c r="K28" s="26">
        <f t="shared" si="273"/>
        <v>0</v>
      </c>
      <c r="L28" s="26">
        <f t="shared" si="273"/>
        <v>0</v>
      </c>
      <c r="M28" s="26">
        <f t="shared" si="273"/>
        <v>15.413999999999987</v>
      </c>
      <c r="N28" s="26">
        <f t="shared" si="273"/>
        <v>21.975000000000023</v>
      </c>
      <c r="O28" s="26">
        <f t="shared" si="273"/>
        <v>16.742999999999981</v>
      </c>
      <c r="P28" s="26">
        <f t="shared" si="273"/>
        <v>22.411000000000001</v>
      </c>
      <c r="Q28" s="26">
        <f t="shared" si="273"/>
        <v>34.866099999999932</v>
      </c>
      <c r="R28" s="26">
        <f t="shared" si="273"/>
        <v>67.094700000000017</v>
      </c>
      <c r="S28" s="26">
        <f t="shared" si="273"/>
        <v>104.50109999999995</v>
      </c>
      <c r="T28" s="26">
        <f t="shared" si="273"/>
        <v>148.56139999999994</v>
      </c>
      <c r="U28" s="26">
        <f t="shared" si="273"/>
        <v>190.83169999999996</v>
      </c>
      <c r="V28" s="26">
        <f t="shared" si="273"/>
        <v>134.93669999999986</v>
      </c>
      <c r="W28" s="26">
        <f t="shared" si="273"/>
        <v>258.43909999999983</v>
      </c>
      <c r="X28" s="26">
        <f t="shared" si="273"/>
        <v>230.0637999999999</v>
      </c>
      <c r="Y28" s="26">
        <f t="shared" si="273"/>
        <v>260.93520000000012</v>
      </c>
      <c r="Z28" s="26">
        <f t="shared" ref="Z28:AA28" si="274">Z16-Z26</f>
        <v>179.42919999999981</v>
      </c>
      <c r="AA28" s="26">
        <f t="shared" si="274"/>
        <v>189.04999999999973</v>
      </c>
      <c r="AB28" s="27">
        <f t="shared" si="273"/>
        <v>259.92636817677294</v>
      </c>
      <c r="AC28" s="27">
        <f t="shared" si="273"/>
        <v>356.3027632334265</v>
      </c>
      <c r="AD28" s="27">
        <f t="shared" si="273"/>
        <v>488.91007497365263</v>
      </c>
      <c r="AE28" s="27">
        <f t="shared" si="273"/>
        <v>671.13490274353444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9.267000000000003</v>
      </c>
      <c r="AY28" s="26">
        <f t="shared" si="275"/>
        <v>11.836999999999996</v>
      </c>
      <c r="AZ28" s="26">
        <f t="shared" si="275"/>
        <v>11.249000000000009</v>
      </c>
      <c r="BA28" s="26">
        <f t="shared" si="275"/>
        <v>9.4409999999999954</v>
      </c>
      <c r="BB28" s="26">
        <f t="shared" si="275"/>
        <v>33.414000000000001</v>
      </c>
      <c r="BC28" s="26">
        <f t="shared" si="275"/>
        <v>19.909999999999982</v>
      </c>
      <c r="BD28" s="26">
        <f t="shared" si="275"/>
        <v>18.64</v>
      </c>
      <c r="BE28" s="26">
        <f t="shared" si="275"/>
        <v>26.555000000000007</v>
      </c>
      <c r="BF28" s="26">
        <f t="shared" si="275"/>
        <v>36.290000000000049</v>
      </c>
      <c r="BG28" s="26">
        <f t="shared" si="275"/>
        <v>33.418000000000006</v>
      </c>
      <c r="BH28" s="26">
        <f t="shared" si="275"/>
        <v>28.856999999999999</v>
      </c>
      <c r="BI28" s="26">
        <f t="shared" si="275"/>
        <v>36.622999999999976</v>
      </c>
      <c r="BJ28" s="26">
        <f t="shared" si="275"/>
        <v>50.080000000000013</v>
      </c>
      <c r="BK28" s="26">
        <f t="shared" si="275"/>
        <v>43.142999999999972</v>
      </c>
      <c r="BL28" s="26">
        <f t="shared" si="275"/>
        <v>42.818000000000012</v>
      </c>
      <c r="BM28" s="26">
        <f t="shared" si="275"/>
        <v>53.97399999999999</v>
      </c>
      <c r="BN28" s="26">
        <f t="shared" si="275"/>
        <v>50.942000000000007</v>
      </c>
      <c r="BO28" s="26">
        <f t="shared" ref="BO28:CT28" si="276">BO16-BO26</f>
        <v>1.2950000000000017</v>
      </c>
      <c r="BP28" s="26">
        <f t="shared" si="276"/>
        <v>25.604000000000013</v>
      </c>
      <c r="BQ28" s="26">
        <f t="shared" si="276"/>
        <v>44.846999999999952</v>
      </c>
      <c r="BR28" s="26">
        <f t="shared" si="276"/>
        <v>63.024999999999977</v>
      </c>
      <c r="BS28" s="26">
        <f t="shared" si="276"/>
        <v>39.389000000000038</v>
      </c>
      <c r="BT28" s="26">
        <f t="shared" si="276"/>
        <v>54.706999999999994</v>
      </c>
      <c r="BU28" s="26">
        <f t="shared" si="276"/>
        <v>75.998000000000047</v>
      </c>
      <c r="BV28" s="26">
        <f t="shared" si="276"/>
        <v>88.346000000000117</v>
      </c>
      <c r="BW28" s="26">
        <f t="shared" si="276"/>
        <v>47.873999999999967</v>
      </c>
      <c r="BX28" s="26">
        <f t="shared" si="276"/>
        <v>39.475000000000023</v>
      </c>
      <c r="BY28" s="26">
        <f t="shared" si="276"/>
        <v>61.790999999999997</v>
      </c>
      <c r="BZ28" s="26">
        <f t="shared" si="276"/>
        <v>80.922000000000025</v>
      </c>
      <c r="CA28" s="26">
        <f t="shared" si="276"/>
        <v>66.17399999999995</v>
      </c>
      <c r="CB28" s="26">
        <f t="shared" si="276"/>
        <v>72.500000000000057</v>
      </c>
      <c r="CC28" s="26">
        <f t="shared" si="276"/>
        <v>69.604999999999961</v>
      </c>
      <c r="CD28" s="26">
        <f t="shared" si="276"/>
        <v>52.657000000000096</v>
      </c>
      <c r="CE28" s="26">
        <f t="shared" si="276"/>
        <v>73.956999999999994</v>
      </c>
      <c r="CF28" s="26">
        <f t="shared" si="276"/>
        <v>37.597000000000094</v>
      </c>
      <c r="CG28" s="26">
        <f t="shared" si="276"/>
        <v>35.524000000000058</v>
      </c>
      <c r="CH28" s="26">
        <f t="shared" si="276"/>
        <v>32.348999999999933</v>
      </c>
      <c r="CI28" s="26">
        <f t="shared" ref="CI28:CJ28" si="277">CI16-CI26</f>
        <v>24.792999999999893</v>
      </c>
      <c r="CJ28" s="26">
        <f t="shared" si="277"/>
        <v>49.928999999999917</v>
      </c>
      <c r="CK28" s="26">
        <f t="shared" ref="CK28:CL28" si="278">CK16-CK26</f>
        <v>54.531999999999982</v>
      </c>
      <c r="CL28" s="26">
        <f t="shared" si="278"/>
        <v>59.796000000000163</v>
      </c>
      <c r="CM28" s="27">
        <f t="shared" si="276"/>
        <v>38.598734189874904</v>
      </c>
      <c r="CN28" s="27">
        <f t="shared" si="276"/>
        <v>59.597158011456486</v>
      </c>
      <c r="CO28" s="27">
        <f t="shared" si="276"/>
        <v>68.527641274170605</v>
      </c>
      <c r="CP28" s="27">
        <f t="shared" si="276"/>
        <v>93.202834701270717</v>
      </c>
      <c r="CQ28" s="27">
        <f t="shared" si="276"/>
        <v>52.707060934736035</v>
      </c>
      <c r="CR28" s="27">
        <f t="shared" si="276"/>
        <v>79.236663901875431</v>
      </c>
      <c r="CS28" s="27">
        <f t="shared" si="276"/>
        <v>93.810100080595021</v>
      </c>
      <c r="CT28" s="27">
        <f t="shared" si="276"/>
        <v>130.54893831622007</v>
      </c>
      <c r="CU28" s="27">
        <f t="shared" ref="CU28:DB28" si="279">CU16-CU26</f>
        <v>71.980319496363109</v>
      </c>
      <c r="CV28" s="27">
        <f t="shared" si="279"/>
        <v>108.21299613023427</v>
      </c>
      <c r="CW28" s="27">
        <f t="shared" si="279"/>
        <v>128.99754771333414</v>
      </c>
      <c r="CX28" s="27">
        <f t="shared" si="279"/>
        <v>179.71921163371985</v>
      </c>
      <c r="CY28" s="27">
        <f t="shared" si="279"/>
        <v>98.667524861859533</v>
      </c>
      <c r="CZ28" s="27">
        <f t="shared" si="279"/>
        <v>148.4715769046984</v>
      </c>
      <c r="DA28" s="27">
        <f t="shared" si="279"/>
        <v>177.19448312706231</v>
      </c>
      <c r="DB28" s="27">
        <f t="shared" si="279"/>
        <v>246.80131784991318</v>
      </c>
      <c r="DE28" s="121"/>
      <c r="DF28" s="26">
        <v>42.606742198729762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>
        <f t="shared" si="281"/>
        <v>8.6284300444464279E-2</v>
      </c>
      <c r="N29" s="166">
        <f t="shared" si="281"/>
        <v>8.5424400862990621E-2</v>
      </c>
      <c r="O29" s="166">
        <f t="shared" si="281"/>
        <v>7.9568676279096195E-2</v>
      </c>
      <c r="P29" s="166">
        <f t="shared" si="281"/>
        <v>7.9907438440858305E-2</v>
      </c>
      <c r="Q29" s="166">
        <f t="shared" si="281"/>
        <v>7.3252741402344834E-2</v>
      </c>
      <c r="R29" s="166">
        <f t="shared" si="281"/>
        <v>0.15084976043120812</v>
      </c>
      <c r="S29" s="166">
        <f t="shared" si="281"/>
        <v>0.13902950973389228</v>
      </c>
      <c r="T29" s="166">
        <f t="shared" si="281"/>
        <v>0.14143227965246974</v>
      </c>
      <c r="U29" s="166">
        <f t="shared" si="281"/>
        <v>0.12728398616570194</v>
      </c>
      <c r="V29" s="166">
        <f t="shared" si="281"/>
        <v>0.10874428945546248</v>
      </c>
      <c r="W29" s="166">
        <f t="shared" si="281"/>
        <v>0.1478431015627408</v>
      </c>
      <c r="X29" s="166">
        <f t="shared" si="281"/>
        <v>0.11872385574200921</v>
      </c>
      <c r="Y29" s="166">
        <f t="shared" si="281"/>
        <v>0.1041329705200579</v>
      </c>
      <c r="Z29" s="166">
        <f t="shared" ref="Z29:AA29" si="282">Z28/Z10</f>
        <v>7.1425247550311599E-2</v>
      </c>
      <c r="AA29" s="166">
        <f t="shared" si="282"/>
        <v>6.004137821212234E-2</v>
      </c>
      <c r="AB29" s="167">
        <f t="shared" si="281"/>
        <v>6.061594543629345E-2</v>
      </c>
      <c r="AC29" s="167">
        <f t="shared" si="281"/>
        <v>6.0596610384876716E-2</v>
      </c>
      <c r="AD29" s="167">
        <f t="shared" si="281"/>
        <v>6.0577018443806627E-2</v>
      </c>
      <c r="AE29" s="167">
        <f t="shared" si="281"/>
        <v>6.057155679609906E-2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>
        <f t="shared" si="283"/>
        <v>8.5740456320201344E-2</v>
      </c>
      <c r="AY29" s="166">
        <f t="shared" si="283"/>
        <v>0.13754037786711901</v>
      </c>
      <c r="AZ29" s="166">
        <f t="shared" si="283"/>
        <v>0.14488852252089812</v>
      </c>
      <c r="BA29" s="166">
        <f t="shared" si="283"/>
        <v>0.12520057819565816</v>
      </c>
      <c r="BB29" s="166">
        <f t="shared" si="283"/>
        <v>0.20670456724672287</v>
      </c>
      <c r="BC29" s="166">
        <f t="shared" si="283"/>
        <v>0.1277912208522409</v>
      </c>
      <c r="BD29" s="166">
        <f t="shared" si="283"/>
        <v>0.13356932491598175</v>
      </c>
      <c r="BE29" s="166">
        <f t="shared" si="283"/>
        <v>0.15547423887587825</v>
      </c>
      <c r="BF29" s="166">
        <f t="shared" si="283"/>
        <v>0.13763051005586396</v>
      </c>
      <c r="BG29" s="166">
        <f t="shared" si="283"/>
        <v>0.14028209218369578</v>
      </c>
      <c r="BH29" s="166">
        <f t="shared" si="283"/>
        <v>0.13607876978793837</v>
      </c>
      <c r="BI29" s="166">
        <f t="shared" si="283"/>
        <v>0.13980005115148084</v>
      </c>
      <c r="BJ29" s="166">
        <f t="shared" si="283"/>
        <v>0.14792104182727386</v>
      </c>
      <c r="BK29" s="166">
        <f t="shared" si="283"/>
        <v>0.14021899162449655</v>
      </c>
      <c r="BL29" s="166">
        <f t="shared" si="283"/>
        <v>0.13718749299132049</v>
      </c>
      <c r="BM29" s="166">
        <f t="shared" si="283"/>
        <v>0.12757820292814831</v>
      </c>
      <c r="BN29" s="166">
        <f t="shared" si="283"/>
        <v>0.11161773631290303</v>
      </c>
      <c r="BO29" s="166">
        <f t="shared" ref="BO29:CT29" si="284">BO28/BO10</f>
        <v>1.2115031994910767E-2</v>
      </c>
      <c r="BP29" s="166">
        <f t="shared" si="284"/>
        <v>0.10532897822169937</v>
      </c>
      <c r="BQ29" s="166">
        <f t="shared" si="284"/>
        <v>0.11494544531844697</v>
      </c>
      <c r="BR29" s="166">
        <f t="shared" si="284"/>
        <v>0.12586724076640712</v>
      </c>
      <c r="BS29" s="166">
        <f t="shared" si="284"/>
        <v>0.12411613456181714</v>
      </c>
      <c r="BT29" s="166">
        <f t="shared" si="284"/>
        <v>0.14011592020305244</v>
      </c>
      <c r="BU29" s="166">
        <f t="shared" si="284"/>
        <v>0.1564968493884108</v>
      </c>
      <c r="BV29" s="166">
        <f t="shared" si="284"/>
        <v>0.1592832918955662</v>
      </c>
      <c r="BW29" s="166">
        <f t="shared" si="284"/>
        <v>0.13753655747783558</v>
      </c>
      <c r="BX29" s="166">
        <f t="shared" si="284"/>
        <v>0.10965826069081237</v>
      </c>
      <c r="BY29" s="166">
        <f t="shared" si="284"/>
        <v>0.12354320743286608</v>
      </c>
      <c r="BZ29" s="166">
        <f t="shared" si="284"/>
        <v>0.11091526129958995</v>
      </c>
      <c r="CA29" s="166">
        <f t="shared" si="284"/>
        <v>0.12883668498735454</v>
      </c>
      <c r="CB29" s="166">
        <f t="shared" si="284"/>
        <v>0.11700096667005574</v>
      </c>
      <c r="CC29" s="166">
        <f t="shared" si="284"/>
        <v>9.8765519687832509E-2</v>
      </c>
      <c r="CD29" s="166">
        <f t="shared" si="284"/>
        <v>7.8856293962342838E-2</v>
      </c>
      <c r="CE29" s="166">
        <f t="shared" si="284"/>
        <v>0.1186992626736986</v>
      </c>
      <c r="CF29" s="166">
        <f t="shared" si="284"/>
        <v>6.4162425806275611E-2</v>
      </c>
      <c r="CG29" s="166">
        <f t="shared" si="284"/>
        <v>5.6368512083273918E-2</v>
      </c>
      <c r="CH29" s="166">
        <f t="shared" si="284"/>
        <v>4.8074936802167283E-2</v>
      </c>
      <c r="CI29" s="166">
        <f t="shared" ref="CI29:CJ29" si="285">CI28/CI10</f>
        <v>4.7884935549538002E-2</v>
      </c>
      <c r="CJ29" s="166">
        <f t="shared" si="285"/>
        <v>7.1036299949065559E-2</v>
      </c>
      <c r="CK29" s="166">
        <f t="shared" ref="CK29:CL29" si="286">CK28/CK10</f>
        <v>6.7092030699045499E-2</v>
      </c>
      <c r="CL29" s="166">
        <f t="shared" si="286"/>
        <v>5.3617158638499481E-2</v>
      </c>
      <c r="CM29" s="167">
        <f t="shared" si="284"/>
        <v>5.9907606209037109E-2</v>
      </c>
      <c r="CN29" s="167">
        <f t="shared" si="284"/>
        <v>6.2913273873911837E-2</v>
      </c>
      <c r="CO29" s="167">
        <f t="shared" si="284"/>
        <v>6.088251735512356E-2</v>
      </c>
      <c r="CP29" s="167">
        <f t="shared" si="284"/>
        <v>5.9330139019143024E-2</v>
      </c>
      <c r="CQ29" s="167">
        <f t="shared" si="284"/>
        <v>6.0758384114303933E-2</v>
      </c>
      <c r="CR29" s="167">
        <f t="shared" si="284"/>
        <v>6.0971078590620641E-2</v>
      </c>
      <c r="CS29" s="167">
        <f t="shared" si="284"/>
        <v>6.0485529769797736E-2</v>
      </c>
      <c r="CT29" s="167">
        <f t="shared" si="284"/>
        <v>6.0386282873466257E-2</v>
      </c>
      <c r="CU29" s="167">
        <f t="shared" ref="CU29:DB29" si="287">CU28/CU10</f>
        <v>6.0650318837047065E-2</v>
      </c>
      <c r="CV29" s="167">
        <f t="shared" si="287"/>
        <v>6.0623302517732909E-2</v>
      </c>
      <c r="CW29" s="167">
        <f t="shared" si="287"/>
        <v>6.053635849951091E-2</v>
      </c>
      <c r="CX29" s="167">
        <f t="shared" si="287"/>
        <v>6.0549065681939122E-2</v>
      </c>
      <c r="CY29" s="167">
        <f t="shared" si="287"/>
        <v>6.0589761384057486E-2</v>
      </c>
      <c r="CZ29" s="167">
        <f t="shared" si="287"/>
        <v>6.0574622020810112E-2</v>
      </c>
      <c r="DA29" s="167">
        <f t="shared" si="287"/>
        <v>6.0562451896579453E-2</v>
      </c>
      <c r="DB29" s="167">
        <f t="shared" si="287"/>
        <v>6.0568975245846604E-2</v>
      </c>
      <c r="DE29" s="169"/>
      <c r="DF29" s="168">
        <v>5.8522050749954244E-2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 t="e">
        <f t="shared" si="289"/>
        <v>#DIV/0!</v>
      </c>
      <c r="L30" s="39" t="e">
        <f t="shared" si="289"/>
        <v>#DIV/0!</v>
      </c>
      <c r="M30" s="39" t="e">
        <f t="shared" si="289"/>
        <v>#DIV/0!</v>
      </c>
      <c r="N30" s="39">
        <f t="shared" si="289"/>
        <v>0.425652004671081</v>
      </c>
      <c r="O30" s="39">
        <f t="shared" si="289"/>
        <v>-0.23808873720136681</v>
      </c>
      <c r="P30" s="39">
        <f t="shared" si="289"/>
        <v>0.33852953473093406</v>
      </c>
      <c r="Q30" s="39">
        <f t="shared" si="289"/>
        <v>0.55575833296148902</v>
      </c>
      <c r="R30" s="39">
        <f t="shared" si="289"/>
        <v>0.92435345507527789</v>
      </c>
      <c r="S30" s="39">
        <f t="shared" si="289"/>
        <v>0.55751646553304401</v>
      </c>
      <c r="T30" s="39">
        <f t="shared" si="289"/>
        <v>0.42162522691148707</v>
      </c>
      <c r="U30" s="39">
        <f t="shared" si="289"/>
        <v>0.28453084044711496</v>
      </c>
      <c r="V30" s="39">
        <f t="shared" si="289"/>
        <v>-0.29290207025352766</v>
      </c>
      <c r="W30" s="39">
        <f t="shared" si="289"/>
        <v>0.91526174865696364</v>
      </c>
      <c r="X30" s="39">
        <f t="shared" si="289"/>
        <v>-0.1097949188029208</v>
      </c>
      <c r="Y30" s="39">
        <f t="shared" si="289"/>
        <v>0.13418625616024871</v>
      </c>
      <c r="Z30" s="39">
        <f t="shared" ref="Z30:AE30" si="290">+IF(Y28&lt;0,1-Z28/Y28,Z28/Y28-1)</f>
        <v>-0.31236107661979018</v>
      </c>
      <c r="AA30" s="39">
        <f t="shared" si="290"/>
        <v>5.3618920443271989E-2</v>
      </c>
      <c r="AB30" s="40">
        <f t="shared" si="290"/>
        <v>0.37490805700488394</v>
      </c>
      <c r="AC30" s="40">
        <f t="shared" si="290"/>
        <v>0.3707834481460115</v>
      </c>
      <c r="AD30" s="40">
        <f t="shared" si="290"/>
        <v>0.37217592851883219</v>
      </c>
      <c r="AE30" s="40">
        <f t="shared" si="290"/>
        <v>0.37271645052457125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>
        <f t="shared" ref="BB30" si="305">+IF(AX28&lt;0,1-BB28/AX28,BB28/AX28-1)</f>
        <v>2.6056976367756546</v>
      </c>
      <c r="BC30" s="39">
        <f t="shared" ref="BC30" si="306">+IF(AY28&lt;0,1-BC28/AY28,BC28/AY28-1)</f>
        <v>0.68201402382360299</v>
      </c>
      <c r="BD30" s="39">
        <f t="shared" ref="BD30" si="307">+IF(AZ28&lt;0,1-BD28/AZ28,BD28/AZ28-1)</f>
        <v>0.65703618099386474</v>
      </c>
      <c r="BE30" s="39">
        <f t="shared" ref="BE30" si="308">+IF(BA28&lt;0,1-BE28/BA28,BE28/BA28-1)</f>
        <v>1.8127317021501979</v>
      </c>
      <c r="BF30" s="39">
        <f t="shared" ref="BF30" si="309">+IF(BB28&lt;0,1-BF28/BB28,BF28/BB28-1)</f>
        <v>8.6071706470343123E-2</v>
      </c>
      <c r="BG30" s="39">
        <f t="shared" ref="BG30" si="310">+IF(BC28&lt;0,1-BG28/BC28,BG28/BC28-1)</f>
        <v>0.67845303867403506</v>
      </c>
      <c r="BH30" s="39">
        <f t="shared" ref="BH30" si="311">+IF(BD28&lt;0,1-BH28/BD28,BH28/BD28-1)</f>
        <v>0.54812231759656638</v>
      </c>
      <c r="BI30" s="39">
        <f t="shared" ref="BI30" si="312">+IF(BE28&lt;0,1-BI28/BE28,BI28/BE28-1)</f>
        <v>0.37913763886273655</v>
      </c>
      <c r="BJ30" s="39">
        <f t="shared" ref="BJ30" si="313">+IF(BF28&lt;0,1-BJ28/BF28,BJ28/BF28-1)</f>
        <v>0.37999448883989939</v>
      </c>
      <c r="BK30" s="39">
        <f t="shared" ref="BK30" si="314">+IF(BG28&lt;0,1-BK28/BG28,BK28/BG28-1)</f>
        <v>0.29101083248548587</v>
      </c>
      <c r="BL30" s="39">
        <f t="shared" ref="BL30" si="315">+IF(BH28&lt;0,1-BL28/BH28,BL28/BH28-1)</f>
        <v>0.483799424749628</v>
      </c>
      <c r="BM30" s="39">
        <f t="shared" ref="BM30" si="316">+IF(BI28&lt;0,1-BM28/BI28,BM28/BI28-1)</f>
        <v>0.4737733118532077</v>
      </c>
      <c r="BN30" s="39">
        <f t="shared" ref="BN30" si="317">+IF(BJ28&lt;0,1-BN28/BJ28,BN28/BJ28-1)</f>
        <v>1.721246006389765E-2</v>
      </c>
      <c r="BO30" s="39">
        <f t="shared" ref="BO30" si="318">+IF(BK28&lt;0,1-BO28/BK28,BO28/BK28-1)</f>
        <v>-0.96998354310085055</v>
      </c>
      <c r="BP30" s="39">
        <f t="shared" ref="BP30" si="319">+IF(BL28&lt;0,1-BP28/BL28,BP28/BL28-1)</f>
        <v>-0.40202718482881017</v>
      </c>
      <c r="BQ30" s="39">
        <f t="shared" ref="BQ30" si="320">+IF(BM28&lt;0,1-BQ28/BM28,BQ28/BM28-1)</f>
        <v>-0.16909993700670767</v>
      </c>
      <c r="BR30" s="39">
        <f t="shared" ref="BR30" si="321">+IF(BN28&lt;0,1-BR28/BN28,BR28/BN28-1)</f>
        <v>0.23719131561383477</v>
      </c>
      <c r="BS30" s="39">
        <f t="shared" ref="BS30" si="322">+IF(BO28&lt;0,1-BS28/BO28,BS28/BO28-1)</f>
        <v>29.416216216216206</v>
      </c>
      <c r="BT30" s="39">
        <f t="shared" ref="BT30" si="323">+IF(BP28&lt;0,1-BT28/BP28,BT28/BP28-1)</f>
        <v>1.1366583346352117</v>
      </c>
      <c r="BU30" s="39">
        <f t="shared" ref="BU30" si="324">+IF(BQ28&lt;0,1-BU28/BQ28,BU28/BQ28-1)</f>
        <v>0.69460610520213462</v>
      </c>
      <c r="BV30" s="39">
        <f t="shared" ref="BV30" si="325">+IF(BR28&lt;0,1-BV28/BR28,BV28/BR28-1)</f>
        <v>0.40176120587068853</v>
      </c>
      <c r="BW30" s="39">
        <f t="shared" ref="BW30" si="326">+IF(BS28&lt;0,1-BW28/BS28,BW28/BS28-1)</f>
        <v>0.21541547132447936</v>
      </c>
      <c r="BX30" s="39">
        <f t="shared" ref="BX30" si="327">+IF(BT28&lt;0,1-BX28/BT28,BX28/BT28-1)</f>
        <v>-0.27842872027345633</v>
      </c>
      <c r="BY30" s="39">
        <f t="shared" ref="BY30" si="328">+IF(BU28&lt;0,1-BY28/BU28,BY28/BU28-1)</f>
        <v>-0.18693912997710516</v>
      </c>
      <c r="BZ30" s="39">
        <f t="shared" ref="BZ30" si="329">+IF(BV28&lt;0,1-BZ28/BV28,BZ28/BV28-1)</f>
        <v>-8.4033232970367466E-2</v>
      </c>
      <c r="CA30" s="39">
        <f t="shared" ref="CA30" si="330">+IF(BW28&lt;0,1-CA28/BW28,CA28/BW28-1)</f>
        <v>0.38225341521493905</v>
      </c>
      <c r="CB30" s="39">
        <f t="shared" ref="CB30" si="331">+IF(BX28&lt;0,1-CB28/BX28,CB28/BX28-1)</f>
        <v>0.83660544648511759</v>
      </c>
      <c r="CC30" s="39">
        <f t="shared" ref="CC30" si="332">+IF(BY28&lt;0,1-CC28/BY28,CC28/BY28-1)</f>
        <v>0.12645854574290705</v>
      </c>
      <c r="CD30" s="39">
        <f t="shared" ref="CD30" si="333">+IF(BZ28&lt;0,1-CD28/BZ28,CD28/BZ28-1)</f>
        <v>-0.34928696769728773</v>
      </c>
      <c r="CE30" s="39">
        <f t="shared" ref="CE30" si="334">+IF(CA28&lt;0,1-CE28/CA28,CE28/CA28-1)</f>
        <v>0.11761416870674357</v>
      </c>
      <c r="CF30" s="39">
        <f t="shared" ref="CF30" si="335">+IF(CB28&lt;0,1-CF28/CB28,CF28/CB28-1)</f>
        <v>-0.48142068965517149</v>
      </c>
      <c r="CG30" s="39">
        <f t="shared" ref="CG30" si="336">+IF(CC28&lt;0,1-CG28/CC28,CG28/CC28-1)</f>
        <v>-0.48963436534731586</v>
      </c>
      <c r="CH30" s="39">
        <f t="shared" ref="CH30:CL30" si="337">+IF(CD28&lt;0,1-CH28/CD28,CH28/CD28-1)</f>
        <v>-0.38566572345557337</v>
      </c>
      <c r="CI30" s="39">
        <f t="shared" si="337"/>
        <v>-0.66476466054599437</v>
      </c>
      <c r="CJ30" s="39">
        <f t="shared" si="337"/>
        <v>0.32800489400749511</v>
      </c>
      <c r="CK30" s="39">
        <f t="shared" si="337"/>
        <v>0.53507487895506967</v>
      </c>
      <c r="CL30" s="39">
        <f t="shared" si="337"/>
        <v>0.84846517666698462</v>
      </c>
      <c r="CM30" s="40">
        <f t="shared" ref="CM30" si="338">+CM28/CI28-1</f>
        <v>0.55684000281833868</v>
      </c>
      <c r="CN30" s="40">
        <f t="shared" ref="CN30" si="339">+CN28/CJ28-1</f>
        <v>0.19363812636857514</v>
      </c>
      <c r="CO30" s="40">
        <f t="shared" ref="CO30" si="340">+CO28/CK28-1</f>
        <v>0.25665006370884291</v>
      </c>
      <c r="CP30" s="40">
        <f t="shared" ref="CP30" si="341">+CP28/CL28-1</f>
        <v>0.55868009066276114</v>
      </c>
      <c r="CQ30" s="40">
        <f t="shared" ref="CQ30" si="342">+CQ28/CM28-1</f>
        <v>0.36551267913241525</v>
      </c>
      <c r="CR30" s="40">
        <f t="shared" ref="CR30" si="343">+CR28/CN28-1</f>
        <v>0.32953762470760095</v>
      </c>
      <c r="CS30" s="40">
        <f t="shared" ref="CS30" si="344">+CS28/CO28-1</f>
        <v>0.36893811513623276</v>
      </c>
      <c r="CT30" s="40">
        <f t="shared" ref="CT30" si="345">+CT28/CP28-1</f>
        <v>0.40069707895311679</v>
      </c>
      <c r="CU30" s="40">
        <f t="shared" ref="CU30" si="346">+CU28/CQ28-1</f>
        <v>0.36566748780570379</v>
      </c>
      <c r="CV30" s="40">
        <f t="shared" ref="CV30" si="347">+CV28/CR28-1</f>
        <v>0.36569349088500691</v>
      </c>
      <c r="CW30" s="40">
        <f t="shared" ref="CW30" si="348">+CW28/CS28-1</f>
        <v>0.37509231524653042</v>
      </c>
      <c r="CX30" s="40">
        <f t="shared" ref="CX30" si="349">+CX28/CT28-1</f>
        <v>0.37664246030402682</v>
      </c>
      <c r="CY30" s="40">
        <f t="shared" ref="CY30" si="350">+CY28/CU28-1</f>
        <v>0.37075697290903009</v>
      </c>
      <c r="CZ30" s="40">
        <f t="shared" ref="CZ30" si="351">+CZ28/CV28-1</f>
        <v>0.37203092247822944</v>
      </c>
      <c r="DA30" s="40">
        <f t="shared" ref="DA30" si="352">+DA28/CW28-1</f>
        <v>0.3736267570049796</v>
      </c>
      <c r="DB30" s="40">
        <f t="shared" ref="DB30" si="353">+DB28/CX28-1</f>
        <v>0.37326063032655221</v>
      </c>
      <c r="DE30" s="122"/>
      <c r="DF30" s="38">
        <v>0.31709611421465422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>
        <f t="shared" ref="AY31" si="366">+IF(AX28&lt;0,1-AY28/AX28,AY28/AX28-1)</f>
        <v>0.27732815366353636</v>
      </c>
      <c r="AZ31" s="39">
        <f t="shared" ref="AZ31" si="367">+IF(AY28&lt;0,1-AZ28/AY28,AZ28/AY28-1)</f>
        <v>-4.9674748669425228E-2</v>
      </c>
      <c r="BA31" s="39">
        <f t="shared" ref="BA31" si="368">+IF(AZ28&lt;0,1-BA28/AZ28,BA28/AZ28-1)</f>
        <v>-0.1607253978131401</v>
      </c>
      <c r="BB31" s="39">
        <f t="shared" ref="BB31" si="369">+IF(BA28&lt;0,1-BB28/BA28,BB28/BA28-1)</f>
        <v>2.5392437241817625</v>
      </c>
      <c r="BC31" s="39">
        <f t="shared" ref="BC31" si="370">+IF(BB28&lt;0,1-BC28/BB28,BC28/BB28-1)</f>
        <v>-0.40414197641707128</v>
      </c>
      <c r="BD31" s="39">
        <f t="shared" ref="BD31" si="371">+IF(BC28&lt;0,1-BD28/BC28,BD28/BC28-1)</f>
        <v>-6.3787041687593304E-2</v>
      </c>
      <c r="BE31" s="39">
        <f t="shared" ref="BE31" si="372">+IF(BD28&lt;0,1-BE28/BD28,BE28/BD28-1)</f>
        <v>0.42462446351931371</v>
      </c>
      <c r="BF31" s="39">
        <f t="shared" ref="BF31" si="373">+IF(BE28&lt;0,1-BF28/BE28,BF28/BE28-1)</f>
        <v>0.36659762756543168</v>
      </c>
      <c r="BG31" s="39">
        <f t="shared" ref="BG31" si="374">+IF(BF28&lt;0,1-BG28/BF28,BG28/BF28-1)</f>
        <v>-7.9140259024525705E-2</v>
      </c>
      <c r="BH31" s="39">
        <f t="shared" ref="BH31" si="375">+IF(BG28&lt;0,1-BH28/BG28,BH28/BG28-1)</f>
        <v>-0.13648333233586707</v>
      </c>
      <c r="BI31" s="39">
        <f t="shared" ref="BI31" si="376">+IF(BH28&lt;0,1-BI28/BH28,BI28/BH28-1)</f>
        <v>0.26912014415912866</v>
      </c>
      <c r="BJ31" s="39">
        <f t="shared" ref="BJ31" si="377">+IF(BI28&lt;0,1-BJ28/BI28,BJ28/BI28-1)</f>
        <v>0.36744668650847956</v>
      </c>
      <c r="BK31" s="39">
        <f t="shared" ref="BK31" si="378">+IF(BJ28&lt;0,1-BK28/BJ28,BK28/BJ28-1)</f>
        <v>-0.13851837060702954</v>
      </c>
      <c r="BL31" s="39">
        <f t="shared" ref="BL31" si="379">+IF(BK28&lt;0,1-BL28/BK28,BL28/BK28-1)</f>
        <v>-7.5330876387816881E-3</v>
      </c>
      <c r="BM31" s="39">
        <f t="shared" ref="BM31" si="380">+IF(BL28&lt;0,1-BM28/BL28,BM28/BL28-1)</f>
        <v>0.2605446307627628</v>
      </c>
      <c r="BN31" s="39">
        <f t="shared" ref="BN31" si="381">+IF(BM28&lt;0,1-BN28/BM28,BN28/BM28-1)</f>
        <v>-5.6175195464482575E-2</v>
      </c>
      <c r="BO31" s="39">
        <f t="shared" ref="BO31" si="382">+IF(BN28&lt;0,1-BO28/BN28,BO28/BN28-1)</f>
        <v>-0.97457893290408693</v>
      </c>
      <c r="BP31" s="39">
        <f t="shared" ref="BP31" si="383">+IF(BO28&lt;0,1-BP28/BO28,BP28/BO28-1)</f>
        <v>18.771428571428554</v>
      </c>
      <c r="BQ31" s="39">
        <f t="shared" ref="BQ31" si="384">+IF(BP28&lt;0,1-BQ28/BP28,BQ28/BP28-1)</f>
        <v>0.75156225589751324</v>
      </c>
      <c r="BR31" s="39">
        <f t="shared" ref="BR31" si="385">+IF(BQ28&lt;0,1-BR28/BQ28,BR28/BQ28-1)</f>
        <v>0.40533369010190312</v>
      </c>
      <c r="BS31" s="39">
        <f t="shared" ref="BS31" si="386">+IF(BR28&lt;0,1-BS28/BR28,BS28/BR28-1)</f>
        <v>-0.37502578341927728</v>
      </c>
      <c r="BT31" s="39">
        <f t="shared" ref="BT31" si="387">+IF(BS28&lt;0,1-BT28/BS28,BT28/BS28-1)</f>
        <v>0.38889029932214436</v>
      </c>
      <c r="BU31" s="39">
        <f t="shared" ref="BU31" si="388">+IF(BT28&lt;0,1-BU28/BT28,BU28/BT28-1)</f>
        <v>0.3891823715429481</v>
      </c>
      <c r="BV31" s="39">
        <f t="shared" ref="BV31" si="389">+IF(BU28&lt;0,1-BV28/BU28,BV28/BU28-1)</f>
        <v>0.16247795994631509</v>
      </c>
      <c r="BW31" s="39">
        <f t="shared" ref="BW31" si="390">+IF(BV28&lt;0,1-BW28/BV28,BW28/BV28-1)</f>
        <v>-0.45810789396237628</v>
      </c>
      <c r="BX31" s="39">
        <f t="shared" ref="BX31" si="391">+IF(BW28&lt;0,1-BX28/BW28,BX28/BW28-1)</f>
        <v>-0.17543969586831998</v>
      </c>
      <c r="BY31" s="39">
        <f t="shared" ref="BY31" si="392">+IF(BX28&lt;0,1-BY28/BX28,BY28/BX28-1)</f>
        <v>0.56531982267257663</v>
      </c>
      <c r="BZ31" s="39">
        <f t="shared" ref="BZ31" si="393">+IF(BY28&lt;0,1-BZ28/BY28,BZ28/BY28-1)</f>
        <v>0.3096081953682579</v>
      </c>
      <c r="CA31" s="39">
        <f t="shared" ref="CA31" si="394">+IF(BZ28&lt;0,1-CA28/BZ28,CA28/BZ28-1)</f>
        <v>-0.18224957366352867</v>
      </c>
      <c r="CB31" s="39">
        <f t="shared" ref="CB31" si="395">+IF(CA28&lt;0,1-CB28/CA28,CB28/CA28-1)</f>
        <v>9.5596457823315939E-2</v>
      </c>
      <c r="CC31" s="39">
        <f t="shared" ref="CC31" si="396">+IF(CB28&lt;0,1-CC28/CB28,CC28/CB28-1)</f>
        <v>-3.993103448275992E-2</v>
      </c>
      <c r="CD31" s="39">
        <f t="shared" ref="CD31" si="397">+IF(CC28&lt;0,1-CD28/CC28,CD28/CC28-1)</f>
        <v>-0.24348825515408201</v>
      </c>
      <c r="CE31" s="39">
        <f t="shared" ref="CE31" si="398">+IF(CD28&lt;0,1-CE28/CD28,CE28/CD28-1)</f>
        <v>0.40450462426647671</v>
      </c>
      <c r="CF31" s="39">
        <f t="shared" ref="CF31" si="399">+IF(CE28&lt;0,1-CF28/CE28,CF28/CE28-1)</f>
        <v>-0.49163703232959566</v>
      </c>
      <c r="CG31" s="39">
        <f t="shared" ref="CG31" si="400">+IF(CF28&lt;0,1-CG28/CF28,CG28/CF28-1)</f>
        <v>-5.5137377982286684E-2</v>
      </c>
      <c r="CH31" s="39">
        <f t="shared" ref="CH31:CI31" si="401">+IF(CG28&lt;0,1-CH28/CG28,CH28/CG28-1)</f>
        <v>-8.937619637428551E-2</v>
      </c>
      <c r="CI31" s="39">
        <f t="shared" si="401"/>
        <v>-0.23357754490092597</v>
      </c>
      <c r="CJ31" s="39">
        <f>+IF(CI28&gt;1,CJ28/CI28-1,1-CJ28/CI28)</f>
        <v>1.0138345500746233</v>
      </c>
      <c r="CK31" s="39">
        <f>+IF(CJ28&gt;1,CK28/CJ28-1,1-CK28/CJ28)</f>
        <v>9.2190911093754657E-2</v>
      </c>
      <c r="CL31" s="39">
        <f>+IF(CK28&gt;1,CL28/CK28-1,1-CL28/CK28)</f>
        <v>9.6530477517791091E-2</v>
      </c>
      <c r="CM31" s="40">
        <f t="shared" ref="CM31" si="402">+CM28/CL28-1</f>
        <v>-0.35449303983753433</v>
      </c>
      <c r="CN31" s="40">
        <f t="shared" ref="CN31" si="403">+CN28/CM28-1</f>
        <v>0.54401845714126607</v>
      </c>
      <c r="CO31" s="40">
        <f t="shared" ref="CO31" si="404">+CO28/CN28-1</f>
        <v>0.14984746858226683</v>
      </c>
      <c r="CP31" s="40">
        <f t="shared" ref="CP31" si="405">+CP28/CO28-1</f>
        <v>0.36007650297458382</v>
      </c>
      <c r="CQ31" s="40">
        <f t="shared" ref="CQ31" si="406">+CQ28/CP28-1</f>
        <v>-0.43449079522452083</v>
      </c>
      <c r="CR31" s="40">
        <f t="shared" ref="CR31" si="407">+CR28/CQ28-1</f>
        <v>0.50334058656750758</v>
      </c>
      <c r="CS31" s="40">
        <f t="shared" ref="CS31" si="408">+CS28/CR28-1</f>
        <v>0.18392288949427438</v>
      </c>
      <c r="CT31" s="40">
        <f t="shared" ref="CT31" si="409">+CT28/CS28-1</f>
        <v>0.39162987998159715</v>
      </c>
      <c r="CU31" s="40">
        <f t="shared" ref="CU31" si="410">+CU28/CT28-1</f>
        <v>-0.44863343643584497</v>
      </c>
      <c r="CV31" s="40">
        <f t="shared" ref="CV31" si="411">+CV28/CU28-1</f>
        <v>0.50336921102026877</v>
      </c>
      <c r="CW31" s="40">
        <f t="shared" ref="CW31" si="412">+CW28/CV28-1</f>
        <v>0.19207075237142202</v>
      </c>
      <c r="CX31" s="40">
        <f t="shared" ref="CX31" si="413">+CX28/CW28-1</f>
        <v>0.39319866787779834</v>
      </c>
      <c r="CY31" s="40">
        <f t="shared" ref="CY31" si="414">+CY28/CX28-1</f>
        <v>-0.45099066502166307</v>
      </c>
      <c r="CZ31" s="40">
        <f t="shared" ref="CZ31" si="415">+CZ28/CY28-1</f>
        <v>0.50476640731149924</v>
      </c>
      <c r="DA31" s="40">
        <f t="shared" ref="DA31" si="416">+DA28/CZ28-1</f>
        <v>0.19345727189791151</v>
      </c>
      <c r="DB31" s="40">
        <f t="shared" ref="DB31" si="417">+DB28/DA28-1</f>
        <v>0.39282732449935986</v>
      </c>
      <c r="DE31" s="122"/>
      <c r="DF31" s="38">
        <v>-0.21868366832814168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2.839</v>
      </c>
      <c r="N32" s="23">
        <f>'Annual Raw'!O27</f>
        <v>3.7290000000000001</v>
      </c>
      <c r="O32" s="23">
        <f>'Annual Raw'!P27</f>
        <v>3.6629999999999998</v>
      </c>
      <c r="P32" s="23">
        <f>'Annual Raw'!Q27</f>
        <v>5.1669999999999998</v>
      </c>
      <c r="Q32" s="23">
        <f>'Annual Raw'!R27</f>
        <v>7.1284999999999998</v>
      </c>
      <c r="R32" s="23">
        <f>'Annual Raw'!S27</f>
        <v>7.9177</v>
      </c>
      <c r="S32" s="23">
        <f>'Annual Raw'!T27</f>
        <v>11.4786</v>
      </c>
      <c r="T32" s="23">
        <f>'Annual Raw'!U27</f>
        <v>24.3017</v>
      </c>
      <c r="U32" s="23">
        <f>'Annual Raw'!V27</f>
        <v>26.695499999999999</v>
      </c>
      <c r="V32" s="23">
        <f>'Annual Raw'!W27</f>
        <v>25.637599999999999</v>
      </c>
      <c r="W32" s="23">
        <f>'Annual Raw'!X27</f>
        <v>32.052799999999998</v>
      </c>
      <c r="X32" s="23">
        <f>'Annual Raw'!Y27</f>
        <v>40.005200000000002</v>
      </c>
      <c r="Y32" s="23">
        <f>'Annual Raw'!Z27</f>
        <v>64.867999999999995</v>
      </c>
      <c r="Z32" s="23">
        <f>'Annual Raw'!AA27</f>
        <v>72.651399999999995</v>
      </c>
      <c r="AA32" s="23">
        <f>'Annual Raw'!AB27</f>
        <v>86.569199999999995</v>
      </c>
      <c r="AB32" s="76">
        <f>+SUM(CM32:CP32)</f>
        <v>115.23609052719456</v>
      </c>
      <c r="AC32" s="76">
        <f>+SUM(CQ32:CT32)</f>
        <v>83.08891186932739</v>
      </c>
      <c r="AD32" s="76">
        <f>+SUM(CU32:CX32)</f>
        <v>59.909766498019415</v>
      </c>
      <c r="AE32" s="76">
        <f>+SUM(CY32:DB32)</f>
        <v>43.196860340304575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1.667</v>
      </c>
      <c r="AY32" s="23">
        <f>'QTR Raw'!S28</f>
        <v>1.694</v>
      </c>
      <c r="AZ32" s="23">
        <f>'QTR Raw'!T28</f>
        <v>1.837</v>
      </c>
      <c r="BA32" s="23">
        <f>'QTR Raw'!U28</f>
        <v>1.9370000000000001</v>
      </c>
      <c r="BB32" s="23">
        <f>'QTR Raw'!V28</f>
        <v>2.089</v>
      </c>
      <c r="BC32" s="23">
        <f>'QTR Raw'!W28</f>
        <v>1.839</v>
      </c>
      <c r="BD32" s="23">
        <f>'QTR Raw'!X28</f>
        <v>2.2850000000000001</v>
      </c>
      <c r="BE32" s="23">
        <f>'QTR Raw'!Y28</f>
        <v>2.766</v>
      </c>
      <c r="BF32" s="23">
        <f>'QTR Raw'!Z28</f>
        <v>4.2859999999999996</v>
      </c>
      <c r="BG32" s="23">
        <f>'QTR Raw'!AA28</f>
        <v>4.8419999999999996</v>
      </c>
      <c r="BH32" s="23">
        <f>'QTR Raw'!AB28</f>
        <v>5.8040000000000003</v>
      </c>
      <c r="BI32" s="23">
        <f>'QTR Raw'!AC28</f>
        <v>6.2210000000000001</v>
      </c>
      <c r="BJ32" s="23">
        <f>'QTR Raw'!AD28</f>
        <v>7.4349999999999996</v>
      </c>
      <c r="BK32" s="23">
        <f>'QTR Raw'!AE28</f>
        <v>5.8840000000000003</v>
      </c>
      <c r="BL32" s="23">
        <f>'QTR Raw'!AF28</f>
        <v>6.21</v>
      </c>
      <c r="BM32" s="23">
        <f>'QTR Raw'!AG28</f>
        <v>6.984</v>
      </c>
      <c r="BN32" s="23">
        <f>'QTR Raw'!AH28</f>
        <v>7.617</v>
      </c>
      <c r="BO32" s="23">
        <f>'QTR Raw'!AI28</f>
        <v>6.1660000000000004</v>
      </c>
      <c r="BP32" s="23">
        <f>'QTR Raw'!AJ28</f>
        <v>6.2709999999999999</v>
      </c>
      <c r="BQ32" s="23">
        <f>'QTR Raw'!AK28</f>
        <v>6.4390000000000001</v>
      </c>
      <c r="BR32" s="23">
        <f>'QTR Raw'!AL28</f>
        <v>6.7619999999999996</v>
      </c>
      <c r="BS32" s="23">
        <f>'QTR Raw'!AM28</f>
        <v>5.4189999999999996</v>
      </c>
      <c r="BT32" s="23">
        <f>'QTR Raw'!AN28</f>
        <v>7.03</v>
      </c>
      <c r="BU32" s="23">
        <f>'QTR Raw'!AO28</f>
        <v>9.3829999999999991</v>
      </c>
      <c r="BV32" s="23">
        <f>'QTR Raw'!AP28</f>
        <v>10.220000000000001</v>
      </c>
      <c r="BW32" s="23">
        <f>'QTR Raw'!AQ28</f>
        <v>8.7230000000000008</v>
      </c>
      <c r="BX32" s="23">
        <f>'QTR Raw'!AR28</f>
        <v>9.0589999999999993</v>
      </c>
      <c r="BY32" s="23">
        <f>'QTR Raw'!AS28</f>
        <v>9.8469999999999995</v>
      </c>
      <c r="BZ32" s="23">
        <f>'QTR Raw'!AT28</f>
        <v>12.375999999999999</v>
      </c>
      <c r="CA32" s="23">
        <f>'QTR Raw'!AU28</f>
        <v>11.847</v>
      </c>
      <c r="CB32" s="23">
        <f>'QTR Raw'!AV28</f>
        <v>14.358000000000001</v>
      </c>
      <c r="CC32" s="23">
        <f>'QTR Raw'!AW28</f>
        <v>18.725999999999999</v>
      </c>
      <c r="CD32" s="23">
        <f>'QTR Raw'!AX28</f>
        <v>19.937000000000001</v>
      </c>
      <c r="CE32" s="23">
        <f>'QTR Raw'!AY28</f>
        <v>16.738</v>
      </c>
      <c r="CF32" s="23">
        <f>'QTR Raw'!AZ28</f>
        <v>17.928000000000001</v>
      </c>
      <c r="CG32" s="23">
        <f>'QTR Raw'!BA28</f>
        <v>18.736000000000001</v>
      </c>
      <c r="CH32" s="23">
        <f>'QTR Raw'!BB28</f>
        <v>19.248000000000001</v>
      </c>
      <c r="CI32" s="23">
        <f>'QTR Raw'!BC28</f>
        <v>16.891999999999999</v>
      </c>
      <c r="CJ32" s="23">
        <f>'QTR Raw'!BD28</f>
        <v>19.649999999999999</v>
      </c>
      <c r="CK32" s="23">
        <f>'QTR Raw'!BE28</f>
        <v>23.658000000000001</v>
      </c>
      <c r="CL32" s="23">
        <f>'QTR Raw'!BF28</f>
        <v>26.369</v>
      </c>
      <c r="CM32" s="24">
        <f t="shared" ref="CM32:DB32" si="418">CM33*CL134</f>
        <v>32.432653029626323</v>
      </c>
      <c r="CN32" s="24">
        <f t="shared" si="418"/>
        <v>29.886228650474273</v>
      </c>
      <c r="CO32" s="24">
        <f t="shared" si="418"/>
        <v>27.539734789273272</v>
      </c>
      <c r="CP32" s="24">
        <f t="shared" si="418"/>
        <v>25.377474057820699</v>
      </c>
      <c r="CQ32" s="24">
        <f t="shared" si="418"/>
        <v>23.384981536067912</v>
      </c>
      <c r="CR32" s="24">
        <f t="shared" si="418"/>
        <v>21.548928005847351</v>
      </c>
      <c r="CS32" s="24">
        <f t="shared" si="418"/>
        <v>19.857030782127868</v>
      </c>
      <c r="CT32" s="24">
        <f t="shared" si="418"/>
        <v>18.297971545284252</v>
      </c>
      <c r="CU32" s="24">
        <f t="shared" si="418"/>
        <v>16.86132062470185</v>
      </c>
      <c r="CV32" s="24">
        <f t="shared" si="418"/>
        <v>15.537467227194739</v>
      </c>
      <c r="CW32" s="24">
        <f t="shared" si="418"/>
        <v>14.317555143485054</v>
      </c>
      <c r="CX32" s="24">
        <f t="shared" si="418"/>
        <v>13.19342350263778</v>
      </c>
      <c r="CY32" s="24">
        <f t="shared" si="418"/>
        <v>12.157552178114763</v>
      </c>
      <c r="CZ32" s="24">
        <f t="shared" si="418"/>
        <v>11.203011480229669</v>
      </c>
      <c r="DA32" s="24">
        <f t="shared" si="418"/>
        <v>10.3234157984605</v>
      </c>
      <c r="DB32" s="24">
        <f t="shared" si="418"/>
        <v>9.5128808834996423</v>
      </c>
      <c r="DE32" s="123"/>
      <c r="DF32" s="23">
        <v>22.101147401448646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 t="e">
        <f t="shared" si="420"/>
        <v>#DIV/0!</v>
      </c>
      <c r="L33" s="46" t="e">
        <f t="shared" si="420"/>
        <v>#DIV/0!</v>
      </c>
      <c r="M33" s="46">
        <f t="shared" si="420"/>
        <v>0.15756465756465757</v>
      </c>
      <c r="N33" s="46">
        <f t="shared" si="420"/>
        <v>0.20196057192374353</v>
      </c>
      <c r="O33" s="46">
        <f t="shared" si="420"/>
        <v>0.19794650094569033</v>
      </c>
      <c r="P33" s="46">
        <f t="shared" si="420"/>
        <v>0.15556224597320487</v>
      </c>
      <c r="Q33" s="46">
        <f t="shared" si="420"/>
        <v>0.13295273123349399</v>
      </c>
      <c r="R33" s="46">
        <f t="shared" si="420"/>
        <v>0.15196945908492415</v>
      </c>
      <c r="S33" s="46">
        <f t="shared" si="420"/>
        <v>0.14700868712146728</v>
      </c>
      <c r="T33" s="46">
        <f t="shared" si="420"/>
        <v>0.23551719058307261</v>
      </c>
      <c r="U33" s="46">
        <f t="shared" si="420"/>
        <v>0.24743257021039947</v>
      </c>
      <c r="V33" s="46">
        <f t="shared" si="420"/>
        <v>0.22065845689871827</v>
      </c>
      <c r="W33" s="46">
        <f t="shared" si="420"/>
        <v>0.15456719420671999</v>
      </c>
      <c r="X33" s="46">
        <f t="shared" si="420"/>
        <v>0.1669705135011503</v>
      </c>
      <c r="Y33" s="46">
        <f t="shared" si="420"/>
        <v>0.20155914080398071</v>
      </c>
      <c r="Z33" s="46">
        <f t="shared" si="420"/>
        <v>0.23639748242346192</v>
      </c>
      <c r="AA33" s="46">
        <f t="shared" ref="AA33" si="421">+AA32/AA134</f>
        <v>0.2095703127364103</v>
      </c>
      <c r="AB33" s="110">
        <f t="shared" si="420"/>
        <v>0.38690094664405472</v>
      </c>
      <c r="AC33" s="110">
        <f t="shared" si="420"/>
        <v>0.38690094664405467</v>
      </c>
      <c r="AD33" s="110">
        <f t="shared" si="420"/>
        <v>0.38690094664405467</v>
      </c>
      <c r="AE33" s="110">
        <f t="shared" si="420"/>
        <v>0.38690094664405461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>
        <f t="shared" si="422"/>
        <v>3.1594456981927373E-2</v>
      </c>
      <c r="AZ33" s="46">
        <f t="shared" si="422"/>
        <v>3.4261521532349813E-2</v>
      </c>
      <c r="BA33" s="46" t="e">
        <f t="shared" si="422"/>
        <v>#DIV/0!</v>
      </c>
      <c r="BB33" s="46" t="e">
        <f t="shared" si="422"/>
        <v>#DIV/0!</v>
      </c>
      <c r="BC33" s="46">
        <f t="shared" si="422"/>
        <v>3.5296827316174353E-2</v>
      </c>
      <c r="BD33" s="46">
        <f t="shared" si="422"/>
        <v>4.385712366365329E-2</v>
      </c>
      <c r="BE33" s="46">
        <f t="shared" si="422"/>
        <v>6.916037405610842E-2</v>
      </c>
      <c r="BF33" s="46">
        <f t="shared" si="422"/>
        <v>0.10716607491123667</v>
      </c>
      <c r="BG33" s="46">
        <f t="shared" si="422"/>
        <v>6.2012525454335873E-2</v>
      </c>
      <c r="BH33" s="46">
        <f t="shared" si="422"/>
        <v>7.4333064381859867E-2</v>
      </c>
      <c r="BI33" s="46">
        <f t="shared" si="422"/>
        <v>6.2504395703764731E-2</v>
      </c>
      <c r="BJ33" s="46">
        <f t="shared" si="422"/>
        <v>7.4701845693215044E-2</v>
      </c>
      <c r="BK33" s="46">
        <f t="shared" si="422"/>
        <v>5.7024344859668168E-2</v>
      </c>
      <c r="BL33" s="46">
        <f t="shared" si="422"/>
        <v>6.0183749418514502E-2</v>
      </c>
      <c r="BM33" s="46">
        <f t="shared" si="422"/>
        <v>6.9940714629065856E-2</v>
      </c>
      <c r="BN33" s="46">
        <f t="shared" si="422"/>
        <v>7.6279842973882392E-2</v>
      </c>
      <c r="BO33" s="46">
        <f t="shared" ref="BO33:CL33" si="423">+BO32/BN134</f>
        <v>5.7150801742515529E-2</v>
      </c>
      <c r="BP33" s="46">
        <f t="shared" si="423"/>
        <v>5.8124015200667345E-2</v>
      </c>
      <c r="BQ33" s="46">
        <f t="shared" si="423"/>
        <v>5.0266987259555335E-2</v>
      </c>
      <c r="BR33" s="46">
        <f t="shared" si="423"/>
        <v>5.2788533599800146E-2</v>
      </c>
      <c r="BS33" s="46">
        <f t="shared" si="423"/>
        <v>4.6640731241285517E-2</v>
      </c>
      <c r="BT33" s="46">
        <f t="shared" si="423"/>
        <v>6.0506429346048579E-2</v>
      </c>
      <c r="BU33" s="46">
        <f t="shared" si="423"/>
        <v>6.4059150429427753E-2</v>
      </c>
      <c r="BV33" s="46">
        <f t="shared" si="423"/>
        <v>6.9773475156000395E-2</v>
      </c>
      <c r="BW33" s="46">
        <f t="shared" si="423"/>
        <v>4.2064705286660141E-2</v>
      </c>
      <c r="BX33" s="46">
        <f t="shared" si="423"/>
        <v>4.3684989704442755E-2</v>
      </c>
      <c r="BY33" s="46">
        <f t="shared" si="423"/>
        <v>4.9414622151520773E-2</v>
      </c>
      <c r="BZ33" s="46">
        <f t="shared" si="423"/>
        <v>6.210575441730691E-2</v>
      </c>
      <c r="CA33" s="46">
        <f t="shared" si="423"/>
        <v>4.9445940023790144E-2</v>
      </c>
      <c r="CB33" s="46">
        <f t="shared" si="423"/>
        <v>5.9926125336505355E-2</v>
      </c>
      <c r="CC33" s="46">
        <f t="shared" si="423"/>
        <v>6.0286850280894352E-2</v>
      </c>
      <c r="CD33" s="46">
        <f t="shared" si="423"/>
        <v>6.4185567342208205E-2</v>
      </c>
      <c r="CE33" s="46">
        <f t="shared" si="423"/>
        <v>5.2008662931787179E-2</v>
      </c>
      <c r="CF33" s="46">
        <f t="shared" si="423"/>
        <v>5.570625576777874E-2</v>
      </c>
      <c r="CG33" s="46">
        <f t="shared" si="423"/>
        <v>5.9241084273730746E-2</v>
      </c>
      <c r="CH33" s="46">
        <f t="shared" si="423"/>
        <v>6.0859969582662751E-2</v>
      </c>
      <c r="CI33" s="46">
        <f t="shared" si="423"/>
        <v>5.4964202659509923E-2</v>
      </c>
      <c r="CJ33" s="46">
        <f t="shared" si="423"/>
        <v>6.7657065101934935E-2</v>
      </c>
      <c r="CK33" s="46">
        <f t="shared" si="423"/>
        <v>6.5806602356553959E-2</v>
      </c>
      <c r="CL33" s="46">
        <f t="shared" si="423"/>
        <v>7.851421765669199E-2</v>
      </c>
      <c r="CM33" s="47">
        <f t="shared" ref="CM33" si="424">CL33</f>
        <v>7.851421765669199E-2</v>
      </c>
      <c r="CN33" s="47">
        <f t="shared" ref="CN33" si="425">CM33</f>
        <v>7.851421765669199E-2</v>
      </c>
      <c r="CO33" s="47">
        <f t="shared" ref="CO33" si="426">CN33</f>
        <v>7.851421765669199E-2</v>
      </c>
      <c r="CP33" s="47">
        <f t="shared" ref="CP33" si="427">CO33</f>
        <v>7.851421765669199E-2</v>
      </c>
      <c r="CQ33" s="47">
        <f t="shared" ref="CQ33" si="428">CP33</f>
        <v>7.851421765669199E-2</v>
      </c>
      <c r="CR33" s="47">
        <f t="shared" ref="CR33" si="429">CQ33</f>
        <v>7.851421765669199E-2</v>
      </c>
      <c r="CS33" s="47">
        <f t="shared" ref="CS33" si="430">CR33</f>
        <v>7.851421765669199E-2</v>
      </c>
      <c r="CT33" s="47">
        <f t="shared" ref="CT33" si="431">CS33</f>
        <v>7.851421765669199E-2</v>
      </c>
      <c r="CU33" s="47">
        <f t="shared" ref="CU33" si="432">CT33</f>
        <v>7.851421765669199E-2</v>
      </c>
      <c r="CV33" s="47">
        <f t="shared" ref="CV33" si="433">CU33</f>
        <v>7.851421765669199E-2</v>
      </c>
      <c r="CW33" s="47">
        <f t="shared" ref="CW33" si="434">CV33</f>
        <v>7.851421765669199E-2</v>
      </c>
      <c r="CX33" s="47">
        <f t="shared" ref="CX33" si="435">CW33</f>
        <v>7.851421765669199E-2</v>
      </c>
      <c r="CY33" s="47">
        <f t="shared" ref="CY33" si="436">CX33</f>
        <v>7.851421765669199E-2</v>
      </c>
      <c r="CZ33" s="47">
        <f t="shared" ref="CZ33" si="437">CY33</f>
        <v>7.851421765669199E-2</v>
      </c>
      <c r="DA33" s="47">
        <f t="shared" ref="DA33" si="438">CZ33</f>
        <v>7.851421765669199E-2</v>
      </c>
      <c r="DB33" s="47">
        <f t="shared" ref="DB33" si="439">DA33</f>
        <v>7.851421765669199E-2</v>
      </c>
      <c r="DE33" s="130"/>
      <c r="DF33" s="46">
        <v>6.5806602356553959E-2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</v>
      </c>
      <c r="K34" s="26">
        <f t="shared" si="440"/>
        <v>0</v>
      </c>
      <c r="L34" s="26">
        <f t="shared" si="440"/>
        <v>0</v>
      </c>
      <c r="M34" s="26">
        <f t="shared" si="440"/>
        <v>12.574999999999987</v>
      </c>
      <c r="N34" s="26">
        <f t="shared" si="440"/>
        <v>18.246000000000024</v>
      </c>
      <c r="O34" s="26">
        <f t="shared" si="440"/>
        <v>13.079999999999981</v>
      </c>
      <c r="P34" s="26">
        <f t="shared" si="440"/>
        <v>17.244</v>
      </c>
      <c r="Q34" s="26">
        <f t="shared" si="440"/>
        <v>27.737599999999933</v>
      </c>
      <c r="R34" s="26">
        <f t="shared" si="440"/>
        <v>59.177000000000021</v>
      </c>
      <c r="S34" s="26">
        <f t="shared" si="440"/>
        <v>93.022499999999951</v>
      </c>
      <c r="T34" s="26">
        <f t="shared" si="440"/>
        <v>124.25969999999994</v>
      </c>
      <c r="U34" s="26">
        <f t="shared" ref="U34:Z34" si="441">U28-U32</f>
        <v>164.13619999999995</v>
      </c>
      <c r="V34" s="26">
        <f t="shared" si="441"/>
        <v>109.29909999999987</v>
      </c>
      <c r="W34" s="26">
        <f t="shared" si="441"/>
        <v>226.38629999999984</v>
      </c>
      <c r="X34" s="26">
        <f t="shared" si="441"/>
        <v>190.0585999999999</v>
      </c>
      <c r="Y34" s="26">
        <f t="shared" si="441"/>
        <v>196.06720000000013</v>
      </c>
      <c r="Z34" s="26">
        <f t="shared" si="441"/>
        <v>106.77779999999981</v>
      </c>
      <c r="AA34" s="26">
        <f t="shared" ref="AA34" si="442">AA28-AA32</f>
        <v>102.48079999999973</v>
      </c>
      <c r="AB34" s="27">
        <f t="shared" ref="AA34:AD34" si="443">AB28-AB32</f>
        <v>144.69027764957838</v>
      </c>
      <c r="AC34" s="27">
        <f t="shared" si="443"/>
        <v>273.21385136409913</v>
      </c>
      <c r="AD34" s="27">
        <f t="shared" si="443"/>
        <v>429.00030847563323</v>
      </c>
      <c r="AE34" s="27">
        <f t="shared" ref="AE34" si="444">AE28-AE32</f>
        <v>627.93804240322982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7.6000000000000032</v>
      </c>
      <c r="AY34" s="26">
        <f t="shared" si="449"/>
        <v>10.142999999999997</v>
      </c>
      <c r="AZ34" s="26">
        <f t="shared" si="449"/>
        <v>9.4120000000000097</v>
      </c>
      <c r="BA34" s="26">
        <f t="shared" si="449"/>
        <v>7.5039999999999951</v>
      </c>
      <c r="BB34" s="26">
        <f t="shared" si="449"/>
        <v>31.325000000000003</v>
      </c>
      <c r="BC34" s="26">
        <f t="shared" si="449"/>
        <v>18.070999999999984</v>
      </c>
      <c r="BD34" s="26">
        <f t="shared" si="449"/>
        <v>16.355</v>
      </c>
      <c r="BE34" s="26">
        <f t="shared" si="449"/>
        <v>23.789000000000009</v>
      </c>
      <c r="BF34" s="26">
        <f t="shared" si="449"/>
        <v>32.004000000000048</v>
      </c>
      <c r="BG34" s="26">
        <f t="shared" si="449"/>
        <v>28.576000000000008</v>
      </c>
      <c r="BH34" s="26">
        <f t="shared" si="449"/>
        <v>23.052999999999997</v>
      </c>
      <c r="BI34" s="26">
        <f t="shared" si="449"/>
        <v>30.401999999999976</v>
      </c>
      <c r="BJ34" s="26">
        <f t="shared" si="449"/>
        <v>42.64500000000001</v>
      </c>
      <c r="BK34" s="26">
        <f t="shared" si="449"/>
        <v>37.258999999999972</v>
      </c>
      <c r="BL34" s="26">
        <f t="shared" si="449"/>
        <v>36.608000000000011</v>
      </c>
      <c r="BM34" s="26">
        <f t="shared" si="449"/>
        <v>46.989999999999988</v>
      </c>
      <c r="BN34" s="26">
        <f t="shared" si="449"/>
        <v>43.32500000000001</v>
      </c>
      <c r="BO34" s="26">
        <f t="shared" si="449"/>
        <v>-4.8709999999999987</v>
      </c>
      <c r="BP34" s="26">
        <f t="shared" si="449"/>
        <v>19.333000000000013</v>
      </c>
      <c r="BQ34" s="26">
        <f t="shared" si="449"/>
        <v>38.407999999999952</v>
      </c>
      <c r="BR34" s="26">
        <f t="shared" si="449"/>
        <v>56.262999999999977</v>
      </c>
      <c r="BS34" s="26">
        <f t="shared" si="449"/>
        <v>33.970000000000041</v>
      </c>
      <c r="BT34" s="26">
        <f t="shared" si="449"/>
        <v>47.676999999999992</v>
      </c>
      <c r="BU34" s="26">
        <f t="shared" si="449"/>
        <v>66.615000000000052</v>
      </c>
      <c r="BV34" s="26">
        <f t="shared" si="449"/>
        <v>78.126000000000118</v>
      </c>
      <c r="BW34" s="26">
        <f t="shared" si="449"/>
        <v>39.150999999999968</v>
      </c>
      <c r="BX34" s="26">
        <f t="shared" si="449"/>
        <v>30.416000000000025</v>
      </c>
      <c r="BY34" s="26">
        <f t="shared" si="449"/>
        <v>51.943999999999996</v>
      </c>
      <c r="BZ34" s="26">
        <f t="shared" si="449"/>
        <v>68.546000000000021</v>
      </c>
      <c r="CA34" s="26">
        <f t="shared" si="449"/>
        <v>54.326999999999948</v>
      </c>
      <c r="CB34" s="26">
        <f t="shared" si="449"/>
        <v>58.142000000000053</v>
      </c>
      <c r="CC34" s="26">
        <f t="shared" si="449"/>
        <v>50.878999999999962</v>
      </c>
      <c r="CD34" s="26">
        <f t="shared" si="449"/>
        <v>32.720000000000098</v>
      </c>
      <c r="CE34" s="26">
        <f t="shared" ref="CE34:CF34" si="450">CE28-CE32</f>
        <v>57.218999999999994</v>
      </c>
      <c r="CF34" s="26">
        <f t="shared" si="450"/>
        <v>19.669000000000093</v>
      </c>
      <c r="CG34" s="26">
        <f t="shared" ref="CG34:CH34" si="451">CG28-CG32</f>
        <v>16.788000000000057</v>
      </c>
      <c r="CH34" s="26">
        <f t="shared" si="451"/>
        <v>13.100999999999932</v>
      </c>
      <c r="CI34" s="26">
        <f t="shared" ref="CI34:CJ34" si="452">CI28-CI32</f>
        <v>7.9009999999998932</v>
      </c>
      <c r="CJ34" s="26">
        <f t="shared" si="452"/>
        <v>30.278999999999918</v>
      </c>
      <c r="CK34" s="26">
        <f t="shared" ref="CK34:CL34" si="453">CK28-CK32</f>
        <v>30.873999999999981</v>
      </c>
      <c r="CL34" s="26">
        <f t="shared" si="453"/>
        <v>33.427000000000163</v>
      </c>
      <c r="CM34" s="27">
        <f t="shared" ref="CM34:DB34" si="454">CM28-CM32</f>
        <v>6.1660811602485808</v>
      </c>
      <c r="CN34" s="27">
        <f t="shared" si="454"/>
        <v>29.710929360982213</v>
      </c>
      <c r="CO34" s="27">
        <f t="shared" si="454"/>
        <v>40.987906484897337</v>
      </c>
      <c r="CP34" s="27">
        <f t="shared" si="454"/>
        <v>67.825360643450011</v>
      </c>
      <c r="CQ34" s="27">
        <f t="shared" si="454"/>
        <v>29.322079398668123</v>
      </c>
      <c r="CR34" s="27">
        <f t="shared" si="454"/>
        <v>57.68773589602808</v>
      </c>
      <c r="CS34" s="27">
        <f t="shared" si="454"/>
        <v>73.953069298467156</v>
      </c>
      <c r="CT34" s="27">
        <f t="shared" si="454"/>
        <v>112.25096677093582</v>
      </c>
      <c r="CU34" s="27">
        <f t="shared" si="454"/>
        <v>55.118998871661262</v>
      </c>
      <c r="CV34" s="27">
        <f t="shared" si="454"/>
        <v>92.675528903039535</v>
      </c>
      <c r="CW34" s="27">
        <f t="shared" si="454"/>
        <v>114.67999256984909</v>
      </c>
      <c r="CX34" s="27">
        <f t="shared" si="454"/>
        <v>166.52578813108207</v>
      </c>
      <c r="CY34" s="27">
        <f t="shared" si="454"/>
        <v>86.509972683744763</v>
      </c>
      <c r="CZ34" s="27">
        <f t="shared" si="454"/>
        <v>137.26856542446873</v>
      </c>
      <c r="DA34" s="27">
        <f t="shared" si="454"/>
        <v>166.87106732860181</v>
      </c>
      <c r="DB34" s="27">
        <f t="shared" si="454"/>
        <v>237.28843696641354</v>
      </c>
      <c r="DE34" s="121"/>
      <c r="DF34" s="26">
        <v>20.505594797281116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2.1110000000000002</v>
      </c>
      <c r="N35" s="23">
        <f>'Annual Raw'!O23</f>
        <v>3.7240000000000002</v>
      </c>
      <c r="O35" s="23">
        <f>'Annual Raw'!P23</f>
        <v>4.375</v>
      </c>
      <c r="P35" s="23">
        <f>'Annual Raw'!Q23</f>
        <v>6.5049999999999999</v>
      </c>
      <c r="Q35" s="23">
        <f>'Annual Raw'!R23</f>
        <v>10.3247</v>
      </c>
      <c r="R35" s="23">
        <f>'Annual Raw'!S23</f>
        <v>13.4344</v>
      </c>
      <c r="S35" s="23">
        <f>'Annual Raw'!T23</f>
        <v>18.722000000000001</v>
      </c>
      <c r="T35" s="23">
        <f>'Annual Raw'!U23</f>
        <v>22.7485</v>
      </c>
      <c r="U35" s="23">
        <f>'Annual Raw'!V23</f>
        <v>24.1663</v>
      </c>
      <c r="V35" s="23">
        <f>'Annual Raw'!W23</f>
        <v>16.657800000000002</v>
      </c>
      <c r="W35" s="23">
        <f>'Annual Raw'!X23</f>
        <v>21.7164</v>
      </c>
      <c r="X35" s="23">
        <f>'Annual Raw'!Y23</f>
        <v>25.000900000000001</v>
      </c>
      <c r="Y35" s="23">
        <f>'Annual Raw'!Z23</f>
        <v>24.216699999999999</v>
      </c>
      <c r="Z35" s="23">
        <f>'Annual Raw'!AA23</f>
        <v>17.319199999999999</v>
      </c>
      <c r="AA35" s="23">
        <f>'Annual Raw'!AB23</f>
        <v>17.258800000000001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2.423</v>
      </c>
      <c r="AY35" s="23">
        <f>'QTR Raw'!S23</f>
        <v>2.669</v>
      </c>
      <c r="AZ35" s="23">
        <f>'QTR Raw'!T23</f>
        <v>2.2930000000000001</v>
      </c>
      <c r="BA35" s="23">
        <f>'QTR Raw'!U23</f>
        <v>4.9809999999999999</v>
      </c>
      <c r="BB35" s="23">
        <f>'QTR Raw'!V23</f>
        <v>3.448</v>
      </c>
      <c r="BC35" s="23">
        <f>'QTR Raw'!W23</f>
        <v>4.1050000000000004</v>
      </c>
      <c r="BD35" s="23">
        <f>'QTR Raw'!X23</f>
        <v>5.1859999999999999</v>
      </c>
      <c r="BE35" s="23">
        <f>'QTR Raw'!Y23</f>
        <v>3.222</v>
      </c>
      <c r="BF35" s="23">
        <f>'QTR Raw'!Z23</f>
        <v>5.851</v>
      </c>
      <c r="BG35" s="23">
        <f>'QTR Raw'!AA23</f>
        <v>5.8310000000000004</v>
      </c>
      <c r="BH35" s="23">
        <f>'QTR Raw'!AB23</f>
        <v>5.7389999999999999</v>
      </c>
      <c r="BI35" s="23">
        <f>'QTR Raw'!AC23</f>
        <v>4.7210000000000001</v>
      </c>
      <c r="BJ35" s="23">
        <f>'QTR Raw'!AD23</f>
        <v>6.0529999999999999</v>
      </c>
      <c r="BK35" s="23">
        <f>'QTR Raw'!AE23</f>
        <v>4.6420000000000003</v>
      </c>
      <c r="BL35" s="23">
        <f>'QTR Raw'!AF23</f>
        <v>6.5759999999999996</v>
      </c>
      <c r="BM35" s="23">
        <f>'QTR Raw'!AG23</f>
        <v>5.4290000000000003</v>
      </c>
      <c r="BN35" s="23">
        <f>'QTR Raw'!AH23</f>
        <v>7.4850000000000003</v>
      </c>
      <c r="BO35" s="23">
        <f>'QTR Raw'!AI23</f>
        <v>4.8719999999999999</v>
      </c>
      <c r="BP35" s="23">
        <f>'QTR Raw'!AJ23</f>
        <v>4.5709999999999997</v>
      </c>
      <c r="BQ35" s="23">
        <f>'QTR Raw'!AK23</f>
        <v>3.7480000000000002</v>
      </c>
      <c r="BR35" s="23">
        <f>'QTR Raw'!AL23</f>
        <v>3.6339999999999999</v>
      </c>
      <c r="BS35" s="23">
        <f>'QTR Raw'!AM23</f>
        <v>3.5339999999999998</v>
      </c>
      <c r="BT35" s="23">
        <f>'QTR Raw'!AN23</f>
        <v>4.3860000000000001</v>
      </c>
      <c r="BU35" s="23">
        <f>'QTR Raw'!AO23</f>
        <v>9.07</v>
      </c>
      <c r="BV35" s="23">
        <f>'QTR Raw'!AP23</f>
        <v>4.7270000000000003</v>
      </c>
      <c r="BW35" s="23">
        <f>'QTR Raw'!AQ23</f>
        <v>5.58</v>
      </c>
      <c r="BX35" s="23">
        <f>'QTR Raw'!AR23</f>
        <v>6.2839999999999998</v>
      </c>
      <c r="BY35" s="23">
        <f>'QTR Raw'!AS23</f>
        <v>6.4340000000000002</v>
      </c>
      <c r="BZ35" s="23">
        <f>'QTR Raw'!AT23</f>
        <v>6.7039999999999997</v>
      </c>
      <c r="CA35" s="23">
        <f>'QTR Raw'!AU23</f>
        <v>5.6609999999999996</v>
      </c>
      <c r="CB35" s="23">
        <f>'QTR Raw'!AV23</f>
        <v>6.05</v>
      </c>
      <c r="CC35" s="23">
        <f>'QTR Raw'!AW23</f>
        <v>6.4329999999999998</v>
      </c>
      <c r="CD35" s="23">
        <f>'QTR Raw'!AX23</f>
        <v>6.0720000000000001</v>
      </c>
      <c r="CE35" s="23">
        <f>'QTR Raw'!AY23</f>
        <v>3.7879999999999998</v>
      </c>
      <c r="CF35" s="23">
        <f>'QTR Raw'!AZ23</f>
        <v>4.5720000000000001</v>
      </c>
      <c r="CG35" s="23">
        <f>'QTR Raw'!BA23</f>
        <v>3.7770000000000001</v>
      </c>
      <c r="CH35" s="23">
        <f>'QTR Raw'!BB23</f>
        <v>5.1829999999999998</v>
      </c>
      <c r="CI35" s="23">
        <f>'QTR Raw'!BC23</f>
        <v>3.9969999999999999</v>
      </c>
      <c r="CJ35" s="23">
        <f>'QTR Raw'!BD23</f>
        <v>4.1109999999999998</v>
      </c>
      <c r="CK35" s="23">
        <f>'QTR Raw'!BE23</f>
        <v>3.8780000000000001</v>
      </c>
      <c r="CL35" s="23">
        <f>'QTR Raw'!BF23</f>
        <v>5.2729999999999997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17.259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2.2799999999999998</v>
      </c>
      <c r="N36" s="23">
        <f>'Annual Raw'!O25</f>
        <v>3.778</v>
      </c>
      <c r="O36" s="23">
        <f>'Annual Raw'!P25</f>
        <v>2.0459999999999998</v>
      </c>
      <c r="P36" s="23">
        <f>'Annual Raw'!Q25</f>
        <v>2.492</v>
      </c>
      <c r="Q36" s="23">
        <f>'Annual Raw'!R25</f>
        <v>3.3527</v>
      </c>
      <c r="R36" s="23">
        <f>'Annual Raw'!S25</f>
        <v>7.9463999999999997</v>
      </c>
      <c r="S36" s="23">
        <f>'Annual Raw'!T25</f>
        <v>9.2972999999999999</v>
      </c>
      <c r="T36" s="23">
        <f>'Annual Raw'!U25</f>
        <v>9.6738999999999997</v>
      </c>
      <c r="U36" s="23">
        <f>'Annual Raw'!V25</f>
        <v>15.0558</v>
      </c>
      <c r="V36" s="23">
        <f>'Annual Raw'!W25</f>
        <v>15.007899999999999</v>
      </c>
      <c r="W36" s="23">
        <f>'Annual Raw'!X25</f>
        <v>26.488900000000001</v>
      </c>
      <c r="X36" s="23">
        <f>'Annual Raw'!Y25</f>
        <v>31.959700000000002</v>
      </c>
      <c r="Y36" s="23">
        <f>'Annual Raw'!Z25</f>
        <v>50.824399999999997</v>
      </c>
      <c r="Z36" s="23">
        <f>'Annual Raw'!AA25</f>
        <v>44.2239</v>
      </c>
      <c r="AA36" s="23">
        <f>'Annual Raw'!AB25</f>
        <v>45.238</v>
      </c>
      <c r="AB36" s="76">
        <f t="shared" si="455"/>
        <v>-23.817606584722917</v>
      </c>
      <c r="AC36" s="76">
        <f t="shared" si="456"/>
        <v>-26.036007866226445</v>
      </c>
      <c r="AD36" s="76">
        <f t="shared" si="457"/>
        <v>-27.408656576742441</v>
      </c>
      <c r="AE36" s="76">
        <f t="shared" si="458"/>
        <v>-27.657724988576398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0.72499999999999998</v>
      </c>
      <c r="AY36" s="23">
        <f>'QTR Raw'!S25</f>
        <v>1.528</v>
      </c>
      <c r="AZ36" s="23">
        <f>'QTR Raw'!T25</f>
        <v>1.7629999999999999</v>
      </c>
      <c r="BA36" s="23">
        <f>'QTR Raw'!U25</f>
        <v>2.234</v>
      </c>
      <c r="BB36" s="23">
        <f>'QTR Raw'!V25</f>
        <v>2.0059999999999998</v>
      </c>
      <c r="BC36" s="23">
        <f>'QTR Raw'!W25</f>
        <v>1.3640000000000001</v>
      </c>
      <c r="BD36" s="23">
        <f>'QTR Raw'!X25</f>
        <v>2.0110000000000001</v>
      </c>
      <c r="BE36" s="23">
        <f>'QTR Raw'!Y25</f>
        <v>2.3370000000000002</v>
      </c>
      <c r="BF36" s="23">
        <f>'QTR Raw'!Z25</f>
        <v>2.9889999999999999</v>
      </c>
      <c r="BG36" s="23">
        <f>'QTR Raw'!AA25</f>
        <v>1.6020000000000001</v>
      </c>
      <c r="BH36" s="23">
        <f>'QTR Raw'!AB25</f>
        <v>2.399</v>
      </c>
      <c r="BI36" s="23">
        <f>'QTR Raw'!AC25</f>
        <v>2.3919999999999999</v>
      </c>
      <c r="BJ36" s="23">
        <f>'QTR Raw'!AD25</f>
        <v>3.278</v>
      </c>
      <c r="BK36" s="23">
        <f>'QTR Raw'!AE25</f>
        <v>2.863</v>
      </c>
      <c r="BL36" s="23">
        <f>'QTR Raw'!AF25</f>
        <v>3.7730000000000001</v>
      </c>
      <c r="BM36" s="23">
        <f>'QTR Raw'!AG25</f>
        <v>4.1459999999999999</v>
      </c>
      <c r="BN36" s="23">
        <f>'QTR Raw'!AH25</f>
        <v>4.274</v>
      </c>
      <c r="BO36" s="23">
        <f>'QTR Raw'!AI25</f>
        <v>2.9870000000000001</v>
      </c>
      <c r="BP36" s="23">
        <f>'QTR Raw'!AJ25</f>
        <v>4.4989999999999997</v>
      </c>
      <c r="BQ36" s="23">
        <f>'QTR Raw'!AK25</f>
        <v>2.9220000000000002</v>
      </c>
      <c r="BR36" s="23">
        <f>'QTR Raw'!AL25</f>
        <v>4.5990000000000002</v>
      </c>
      <c r="BS36" s="23">
        <f>'QTR Raw'!AM25</f>
        <v>3.4510000000000001</v>
      </c>
      <c r="BT36" s="23">
        <f>'QTR Raw'!AN25</f>
        <v>3.8050000000000002</v>
      </c>
      <c r="BU36" s="23">
        <f>'QTR Raw'!AO25</f>
        <v>9.7729999999999997</v>
      </c>
      <c r="BV36" s="23">
        <f>'QTR Raw'!AP25</f>
        <v>9.4589999999999996</v>
      </c>
      <c r="BW36" s="23">
        <f>'QTR Raw'!AQ25</f>
        <v>5.5940000000000003</v>
      </c>
      <c r="BX36" s="23">
        <f>'QTR Raw'!AR25</f>
        <v>7.05</v>
      </c>
      <c r="BY36" s="23">
        <f>'QTR Raw'!AS25</f>
        <v>10.128</v>
      </c>
      <c r="BZ36" s="23">
        <f>'QTR Raw'!AT25</f>
        <v>9.1880000000000006</v>
      </c>
      <c r="CA36" s="23">
        <f>'QTR Raw'!AU25</f>
        <v>9.0839999999999996</v>
      </c>
      <c r="CB36" s="23">
        <f>'QTR Raw'!AV25</f>
        <v>12.452</v>
      </c>
      <c r="CC36" s="23">
        <f>'QTR Raw'!AW25</f>
        <v>15.266999999999999</v>
      </c>
      <c r="CD36" s="23">
        <f>'QTR Raw'!AX25</f>
        <v>14.021000000000001</v>
      </c>
      <c r="CE36" s="23">
        <f>'QTR Raw'!AY25</f>
        <v>13.167</v>
      </c>
      <c r="CF36" s="23">
        <f>'QTR Raw'!AZ25</f>
        <v>10.581</v>
      </c>
      <c r="CG36" s="23">
        <f>'QTR Raw'!BA25</f>
        <v>10.241</v>
      </c>
      <c r="CH36" s="23">
        <f>'QTR Raw'!BB25</f>
        <v>10.234999999999999</v>
      </c>
      <c r="CI36" s="23">
        <f>'QTR Raw'!BC25</f>
        <v>11.173</v>
      </c>
      <c r="CJ36" s="23">
        <f>'QTR Raw'!BD25</f>
        <v>12</v>
      </c>
      <c r="CK36" s="23">
        <f>'QTR Raw'!BE25</f>
        <v>10.856</v>
      </c>
      <c r="CL36" s="23">
        <f>'QTR Raw'!BF25</f>
        <v>11.208</v>
      </c>
      <c r="CM36" s="24">
        <f t="shared" ref="CM36:DB36" si="459">CM37*CL168</f>
        <v>-2.1557669467230518</v>
      </c>
      <c r="CN36" s="24">
        <f t="shared" si="459"/>
        <v>-9.5331682428658961</v>
      </c>
      <c r="CO36" s="24">
        <f t="shared" si="459"/>
        <v>-6.6144098488985996</v>
      </c>
      <c r="CP36" s="24">
        <f t="shared" si="459"/>
        <v>-5.5142615462353657</v>
      </c>
      <c r="CQ36" s="24">
        <f t="shared" si="459"/>
        <v>-1.0736256267434472</v>
      </c>
      <c r="CR36" s="24">
        <f t="shared" si="459"/>
        <v>-11.838380593971367</v>
      </c>
      <c r="CS36" s="24">
        <f t="shared" si="459"/>
        <v>-7.4330015655777677</v>
      </c>
      <c r="CT36" s="24">
        <f t="shared" si="459"/>
        <v>-5.691000079933862</v>
      </c>
      <c r="CU36" s="24">
        <f t="shared" si="459"/>
        <v>0.48975887169908583</v>
      </c>
      <c r="CV36" s="24">
        <f t="shared" si="459"/>
        <v>-14.296674633013508</v>
      </c>
      <c r="CW36" s="24">
        <f t="shared" si="459"/>
        <v>-8.0561728943605946</v>
      </c>
      <c r="CX36" s="24">
        <f t="shared" si="459"/>
        <v>-5.545567921067426</v>
      </c>
      <c r="CY36" s="24">
        <f t="shared" si="459"/>
        <v>3.0166730342345249</v>
      </c>
      <c r="CZ36" s="24">
        <f t="shared" si="459"/>
        <v>-17.195019070478761</v>
      </c>
      <c r="DA36" s="24">
        <f t="shared" si="459"/>
        <v>-8.5090873716595041</v>
      </c>
      <c r="DB36" s="24">
        <f t="shared" si="459"/>
        <v>-4.9702915806726597</v>
      </c>
      <c r="DE36" s="123"/>
      <c r="DF36" s="23">
        <v>12.000034400888637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>
        <f t="shared" si="461"/>
        <v>8.8132972555083094E-2</v>
      </c>
      <c r="N37" s="46">
        <f t="shared" si="461"/>
        <v>0.2521187854521188</v>
      </c>
      <c r="O37" s="46">
        <f t="shared" si="461"/>
        <v>7.8668102122423866E-2</v>
      </c>
      <c r="P37" s="46">
        <f t="shared" si="461"/>
        <v>7.4592911877394627E-2</v>
      </c>
      <c r="Q37" s="46">
        <f t="shared" si="461"/>
        <v>7.1644093801686445E-2</v>
      </c>
      <c r="R37" s="46">
        <f t="shared" si="461"/>
        <v>0.10597503190693444</v>
      </c>
      <c r="S37" s="46">
        <f t="shared" si="461"/>
        <v>0.30743819689694851</v>
      </c>
      <c r="T37" s="46">
        <f t="shared" si="461"/>
        <v>0.3113822760689593</v>
      </c>
      <c r="U37" s="46">
        <f t="shared" si="461"/>
        <v>0.18858527847887219</v>
      </c>
      <c r="V37" s="46">
        <f t="shared" si="461"/>
        <v>0.17894795832468871</v>
      </c>
      <c r="W37" s="46">
        <f t="shared" si="461"/>
        <v>0.2658009631044112</v>
      </c>
      <c r="X37" s="46">
        <f t="shared" si="461"/>
        <v>0.2204401533163243</v>
      </c>
      <c r="Y37" s="46">
        <f t="shared" si="461"/>
        <v>0.11167986295461052</v>
      </c>
      <c r="Z37" s="46">
        <f t="shared" si="461"/>
        <v>0.16286923622832239</v>
      </c>
      <c r="AA37" s="46">
        <f t="shared" ref="AA37" si="462">+AA36/AA128</f>
        <v>0.14260518148761683</v>
      </c>
      <c r="AB37" s="110">
        <f t="shared" si="461"/>
        <v>-7.5080877937883136E-2</v>
      </c>
      <c r="AC37" s="110">
        <f t="shared" si="461"/>
        <v>-8.2074003600670964E-2</v>
      </c>
      <c r="AD37" s="110">
        <f t="shared" si="461"/>
        <v>-8.6401040824971603E-2</v>
      </c>
      <c r="AE37" s="110">
        <f t="shared" si="461"/>
        <v>-8.7186185837782523E-2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>
        <f t="shared" si="463"/>
        <v>1.4419309996208772E-2</v>
      </c>
      <c r="AZ37" s="46">
        <f t="shared" si="463"/>
        <v>6.9730689118760519E-3</v>
      </c>
      <c r="BA37" s="46" t="e">
        <f t="shared" si="463"/>
        <v>#DIV/0!</v>
      </c>
      <c r="BB37" s="46">
        <f t="shared" si="463"/>
        <v>0.19704837387264296</v>
      </c>
      <c r="BC37" s="46">
        <f t="shared" si="463"/>
        <v>5.75284389035806E-2</v>
      </c>
      <c r="BD37" s="46">
        <f t="shared" si="463"/>
        <v>5.2257529706308765E-2</v>
      </c>
      <c r="BE37" s="46">
        <f t="shared" si="463"/>
        <v>5.2483320978502579E-3</v>
      </c>
      <c r="BF37" s="46">
        <f t="shared" si="463"/>
        <v>1.6198413268327133E-2</v>
      </c>
      <c r="BG37" s="46">
        <f t="shared" si="463"/>
        <v>1.9672146399099429E-2</v>
      </c>
      <c r="BH37" s="46">
        <f t="shared" si="463"/>
        <v>1.3977936349091589E-2</v>
      </c>
      <c r="BI37" s="46">
        <f t="shared" si="463"/>
        <v>1.248157774859991E-2</v>
      </c>
      <c r="BJ37" s="46">
        <f t="shared" si="463"/>
        <v>1.4428965303573224E-2</v>
      </c>
      <c r="BK37" s="46">
        <f t="shared" si="463"/>
        <v>9.2457850861692639E-3</v>
      </c>
      <c r="BL37" s="46">
        <f t="shared" si="463"/>
        <v>1.2538328130131804E-2</v>
      </c>
      <c r="BM37" s="46">
        <f t="shared" si="463"/>
        <v>8.7495567254971505E-3</v>
      </c>
      <c r="BN37" s="46">
        <f t="shared" si="463"/>
        <v>2.2482990433542922E-2</v>
      </c>
      <c r="BO37" s="46">
        <f t="shared" ref="BO37:CL37" si="464">(BO36-BO35)/BN168</f>
        <v>1.5761528491993811E-2</v>
      </c>
      <c r="BP37" s="46">
        <f t="shared" si="464"/>
        <v>3.522988167022389E-4</v>
      </c>
      <c r="BQ37" s="46">
        <f t="shared" si="464"/>
        <v>1.1584690256798643E-2</v>
      </c>
      <c r="BR37" s="46">
        <f t="shared" si="464"/>
        <v>-3.1701861900832226E-2</v>
      </c>
      <c r="BS37" s="46">
        <f t="shared" si="464"/>
        <v>5.717828602920898E-4</v>
      </c>
      <c r="BT37" s="46">
        <f t="shared" si="464"/>
        <v>3.0305832054501151E-3</v>
      </c>
      <c r="BU37" s="46">
        <f t="shared" si="464"/>
        <v>-0.10410188064563866</v>
      </c>
      <c r="BV37" s="46">
        <f t="shared" si="464"/>
        <v>-0.57638034421629158</v>
      </c>
      <c r="BW37" s="46">
        <f t="shared" si="464"/>
        <v>-1.4479413376909713E-4</v>
      </c>
      <c r="BX37" s="46">
        <f t="shared" si="464"/>
        <v>-4.3553652379851055E-3</v>
      </c>
      <c r="BY37" s="46">
        <f t="shared" si="464"/>
        <v>-4.6386056557335867E-2</v>
      </c>
      <c r="BZ37" s="46">
        <f t="shared" si="464"/>
        <v>-3.5449474779887323E-2</v>
      </c>
      <c r="CA37" s="46">
        <f t="shared" si="464"/>
        <v>-3.5152759948652121E-2</v>
      </c>
      <c r="CB37" s="46">
        <f t="shared" si="464"/>
        <v>-3.201812479731015E-2</v>
      </c>
      <c r="CC37" s="46">
        <f t="shared" si="464"/>
        <v>5.7666949539787203E-2</v>
      </c>
      <c r="CD37" s="46">
        <f t="shared" si="464"/>
        <v>4.9729994594687216E-2</v>
      </c>
      <c r="CE37" s="46">
        <f t="shared" si="464"/>
        <v>4.1136686608536983E-2</v>
      </c>
      <c r="CF37" s="46">
        <f t="shared" si="464"/>
        <v>3.3900716542772193E-2</v>
      </c>
      <c r="CG37" s="46">
        <f t="shared" si="464"/>
        <v>-1.1644748693929046</v>
      </c>
      <c r="CH37" s="46">
        <f t="shared" si="464"/>
        <v>0.3638571744729498</v>
      </c>
      <c r="CI37" s="46">
        <f t="shared" si="464"/>
        <v>0.11267110275114699</v>
      </c>
      <c r="CJ37" s="46">
        <f t="shared" si="464"/>
        <v>-4.6668702008608925E-2</v>
      </c>
      <c r="CK37" s="46">
        <f t="shared" si="464"/>
        <v>4.4353198413505532E-2</v>
      </c>
      <c r="CL37" s="46">
        <f t="shared" si="464"/>
        <v>2.1936289829690984E-2</v>
      </c>
      <c r="CM37" s="47">
        <f t="shared" ref="CM37" si="465">+CL37</f>
        <v>2.1936289829690984E-2</v>
      </c>
      <c r="CN37" s="47">
        <f t="shared" ref="CN37" si="466">+CM37</f>
        <v>2.1936289829690984E-2</v>
      </c>
      <c r="CO37" s="47">
        <f t="shared" ref="CO37" si="467">+CN37</f>
        <v>2.1936289829690984E-2</v>
      </c>
      <c r="CP37" s="47">
        <f t="shared" ref="CP37" si="468">+CO37</f>
        <v>2.1936289829690984E-2</v>
      </c>
      <c r="CQ37" s="47">
        <f t="shared" ref="CQ37" si="469">+CP37</f>
        <v>2.1936289829690984E-2</v>
      </c>
      <c r="CR37" s="47">
        <f t="shared" ref="CR37" si="470">+CQ37</f>
        <v>2.1936289829690984E-2</v>
      </c>
      <c r="CS37" s="47">
        <f t="shared" ref="CS37" si="471">+CR37</f>
        <v>2.1936289829690984E-2</v>
      </c>
      <c r="CT37" s="47">
        <f t="shared" ref="CT37" si="472">+CS37</f>
        <v>2.1936289829690984E-2</v>
      </c>
      <c r="CU37" s="47">
        <f t="shared" ref="CU37" si="473">+CT37</f>
        <v>2.1936289829690984E-2</v>
      </c>
      <c r="CV37" s="47">
        <f t="shared" ref="CV37" si="474">+CU37</f>
        <v>2.1936289829690984E-2</v>
      </c>
      <c r="CW37" s="47">
        <f t="shared" ref="CW37" si="475">+CV37</f>
        <v>2.1936289829690984E-2</v>
      </c>
      <c r="CX37" s="47">
        <f t="shared" ref="CX37" si="476">+CW37</f>
        <v>2.1936289829690984E-2</v>
      </c>
      <c r="CY37" s="47">
        <f t="shared" ref="CY37" si="477">+CX37</f>
        <v>2.1936289829690984E-2</v>
      </c>
      <c r="CZ37" s="47">
        <f t="shared" ref="CZ37" si="478">+CY37</f>
        <v>2.1936289829690984E-2</v>
      </c>
      <c r="DA37" s="47">
        <f t="shared" ref="DA37" si="479">+CZ37</f>
        <v>2.1936289829690984E-2</v>
      </c>
      <c r="DB37" s="47">
        <f t="shared" ref="DB37" si="480">+DA37</f>
        <v>2.1936289829690984E-2</v>
      </c>
      <c r="DE37" s="130"/>
      <c r="DF37" s="46">
        <v>4.4353198413505532E-2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12.405999999999988</v>
      </c>
      <c r="N38" s="26">
        <f t="shared" si="481"/>
        <v>18.192000000000025</v>
      </c>
      <c r="O38" s="26">
        <f t="shared" si="481"/>
        <v>15.408999999999981</v>
      </c>
      <c r="P38" s="26">
        <f t="shared" si="481"/>
        <v>21.256999999999998</v>
      </c>
      <c r="Q38" s="26">
        <f t="shared" si="481"/>
        <v>34.709599999999938</v>
      </c>
      <c r="R38" s="26">
        <f t="shared" si="481"/>
        <v>64.66500000000002</v>
      </c>
      <c r="S38" s="26">
        <f t="shared" si="481"/>
        <v>102.44719999999995</v>
      </c>
      <c r="T38" s="26">
        <f t="shared" si="481"/>
        <v>137.33429999999993</v>
      </c>
      <c r="U38" s="26">
        <f t="shared" ref="U38:Z38" si="482">U34+U35-U36</f>
        <v>173.24669999999995</v>
      </c>
      <c r="V38" s="26">
        <f t="shared" si="482"/>
        <v>110.94899999999987</v>
      </c>
      <c r="W38" s="26">
        <f t="shared" si="482"/>
        <v>221.61379999999983</v>
      </c>
      <c r="X38" s="26">
        <f t="shared" si="482"/>
        <v>183.0997999999999</v>
      </c>
      <c r="Y38" s="26">
        <f t="shared" si="482"/>
        <v>169.45950000000013</v>
      </c>
      <c r="Z38" s="26">
        <f t="shared" si="482"/>
        <v>79.873099999999809</v>
      </c>
      <c r="AA38" s="26">
        <f t="shared" ref="AA38" si="483">AA34+AA35-AA36</f>
        <v>74.50159999999974</v>
      </c>
      <c r="AB38" s="27">
        <f t="shared" ref="AB38:AD38" si="484">AB34+AB35-AB36</f>
        <v>168.50788423430129</v>
      </c>
      <c r="AC38" s="27">
        <f t="shared" si="484"/>
        <v>299.24985923032557</v>
      </c>
      <c r="AD38" s="27">
        <f t="shared" si="484"/>
        <v>456.40896505237566</v>
      </c>
      <c r="AE38" s="27">
        <f t="shared" ref="AE38" si="485">AE34+AE35-AE36</f>
        <v>655.59576739180625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9.2980000000000036</v>
      </c>
      <c r="AY38" s="26">
        <f t="shared" si="489"/>
        <v>11.283999999999997</v>
      </c>
      <c r="AZ38" s="26">
        <f t="shared" si="489"/>
        <v>9.9420000000000091</v>
      </c>
      <c r="BA38" s="26">
        <f t="shared" si="489"/>
        <v>10.250999999999996</v>
      </c>
      <c r="BB38" s="26">
        <f t="shared" si="489"/>
        <v>32.767000000000003</v>
      </c>
      <c r="BC38" s="26">
        <f t="shared" si="489"/>
        <v>20.811999999999983</v>
      </c>
      <c r="BD38" s="26">
        <f t="shared" si="489"/>
        <v>19.53</v>
      </c>
      <c r="BE38" s="26">
        <f t="shared" si="489"/>
        <v>24.67400000000001</v>
      </c>
      <c r="BF38" s="26">
        <f t="shared" si="489"/>
        <v>34.866000000000049</v>
      </c>
      <c r="BG38" s="26">
        <f t="shared" si="489"/>
        <v>32.805000000000014</v>
      </c>
      <c r="BH38" s="26">
        <f t="shared" si="489"/>
        <v>26.392999999999997</v>
      </c>
      <c r="BI38" s="26">
        <f t="shared" si="489"/>
        <v>32.730999999999973</v>
      </c>
      <c r="BJ38" s="26">
        <f t="shared" si="489"/>
        <v>45.420000000000009</v>
      </c>
      <c r="BK38" s="26">
        <f t="shared" si="489"/>
        <v>39.037999999999975</v>
      </c>
      <c r="BL38" s="26">
        <f t="shared" si="489"/>
        <v>39.411000000000008</v>
      </c>
      <c r="BM38" s="26">
        <f t="shared" si="489"/>
        <v>48.272999999999989</v>
      </c>
      <c r="BN38" s="26">
        <f t="shared" si="489"/>
        <v>46.536000000000008</v>
      </c>
      <c r="BO38" s="26">
        <f t="shared" si="489"/>
        <v>-2.9859999999999989</v>
      </c>
      <c r="BP38" s="26">
        <f t="shared" si="489"/>
        <v>19.405000000000012</v>
      </c>
      <c r="BQ38" s="26">
        <f t="shared" si="489"/>
        <v>39.233999999999952</v>
      </c>
      <c r="BR38" s="26">
        <f t="shared" si="489"/>
        <v>55.297999999999973</v>
      </c>
      <c r="BS38" s="26">
        <f t="shared" si="489"/>
        <v>34.05300000000004</v>
      </c>
      <c r="BT38" s="26">
        <f t="shared" si="489"/>
        <v>48.257999999999996</v>
      </c>
      <c r="BU38" s="26">
        <f t="shared" si="489"/>
        <v>65.912000000000063</v>
      </c>
      <c r="BV38" s="26">
        <f t="shared" si="489"/>
        <v>73.394000000000119</v>
      </c>
      <c r="BW38" s="26">
        <f t="shared" si="489"/>
        <v>39.136999999999965</v>
      </c>
      <c r="BX38" s="26">
        <f t="shared" si="489"/>
        <v>29.650000000000023</v>
      </c>
      <c r="BY38" s="26">
        <f t="shared" si="489"/>
        <v>48.249999999999993</v>
      </c>
      <c r="BZ38" s="26">
        <f t="shared" si="489"/>
        <v>66.062000000000012</v>
      </c>
      <c r="CA38" s="26">
        <f t="shared" si="489"/>
        <v>50.903999999999954</v>
      </c>
      <c r="CB38" s="26">
        <f t="shared" si="489"/>
        <v>51.740000000000052</v>
      </c>
      <c r="CC38" s="26">
        <f t="shared" si="489"/>
        <v>42.044999999999959</v>
      </c>
      <c r="CD38" s="26">
        <f t="shared" si="489"/>
        <v>24.7710000000001</v>
      </c>
      <c r="CE38" s="26">
        <f t="shared" ref="CE38:CF38" si="490">CE34+CE35-CE36</f>
        <v>47.839999999999989</v>
      </c>
      <c r="CF38" s="26">
        <f t="shared" si="490"/>
        <v>13.660000000000093</v>
      </c>
      <c r="CG38" s="26">
        <f t="shared" ref="CG38:CH38" si="491">CG34+CG35-CG36</f>
        <v>10.324000000000058</v>
      </c>
      <c r="CH38" s="26">
        <f t="shared" si="491"/>
        <v>8.048999999999932</v>
      </c>
      <c r="CI38" s="26">
        <f t="shared" ref="CI38:CJ38" si="492">CI34+CI35-CI36</f>
        <v>0.72499999999989306</v>
      </c>
      <c r="CJ38" s="26">
        <f t="shared" si="492"/>
        <v>22.389999999999915</v>
      </c>
      <c r="CK38" s="26">
        <f t="shared" ref="CK38:CL38" si="493">CK34+CK35-CK36</f>
        <v>23.895999999999979</v>
      </c>
      <c r="CL38" s="26">
        <f t="shared" si="493"/>
        <v>27.492000000000161</v>
      </c>
      <c r="CM38" s="27">
        <f t="shared" ref="CM38:DB38" si="494">CM34+CM35-CM36</f>
        <v>8.3218481069716326</v>
      </c>
      <c r="CN38" s="27">
        <f t="shared" si="494"/>
        <v>39.244097603848111</v>
      </c>
      <c r="CO38" s="27">
        <f t="shared" si="494"/>
        <v>47.60231633379594</v>
      </c>
      <c r="CP38" s="27">
        <f t="shared" si="494"/>
        <v>73.339622189685372</v>
      </c>
      <c r="CQ38" s="27">
        <f t="shared" si="494"/>
        <v>30.395705025411569</v>
      </c>
      <c r="CR38" s="27">
        <f t="shared" si="494"/>
        <v>69.526116489999453</v>
      </c>
      <c r="CS38" s="27">
        <f t="shared" si="494"/>
        <v>81.386070864044925</v>
      </c>
      <c r="CT38" s="27">
        <f t="shared" si="494"/>
        <v>117.94196685086968</v>
      </c>
      <c r="CU38" s="27">
        <f t="shared" si="494"/>
        <v>54.629239999962174</v>
      </c>
      <c r="CV38" s="27">
        <f t="shared" si="494"/>
        <v>106.97220353605304</v>
      </c>
      <c r="CW38" s="27">
        <f t="shared" si="494"/>
        <v>122.73616546420969</v>
      </c>
      <c r="CX38" s="27">
        <f t="shared" si="494"/>
        <v>172.0713560521495</v>
      </c>
      <c r="CY38" s="27">
        <f t="shared" si="494"/>
        <v>83.493299649510234</v>
      </c>
      <c r="CZ38" s="27">
        <f t="shared" si="494"/>
        <v>154.4635844949475</v>
      </c>
      <c r="DA38" s="27">
        <f t="shared" si="494"/>
        <v>175.3801547002613</v>
      </c>
      <c r="DB38" s="27">
        <f t="shared" si="494"/>
        <v>242.25872854708621</v>
      </c>
      <c r="DE38" s="121"/>
      <c r="DF38" s="26">
        <v>8.5055603963924789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4.0540000000000003</v>
      </c>
      <c r="N39" s="23">
        <f>'Annual Raw'!O30</f>
        <v>5.9420000000000002</v>
      </c>
      <c r="O39" s="23">
        <f>'Annual Raw'!P30</f>
        <v>5.3390000000000004</v>
      </c>
      <c r="P39" s="23">
        <f>'Annual Raw'!Q30</f>
        <v>7.2030000000000003</v>
      </c>
      <c r="Q39" s="23">
        <f>'Annual Raw'!R30</f>
        <v>12.6851</v>
      </c>
      <c r="R39" s="23">
        <f>'Annual Raw'!S30</f>
        <v>23.051600000000001</v>
      </c>
      <c r="S39" s="23">
        <f>'Annual Raw'!T30</f>
        <v>36.448300000000003</v>
      </c>
      <c r="T39" s="23">
        <f>'Annual Raw'!U30</f>
        <v>48.2149</v>
      </c>
      <c r="U39" s="23">
        <f>'Annual Raw'!V30</f>
        <v>45.044899999999998</v>
      </c>
      <c r="V39" s="23">
        <f>'Annual Raw'!W30</f>
        <v>27.583300000000001</v>
      </c>
      <c r="W39" s="23">
        <f>'Annual Raw'!X30</f>
        <v>55.339100000000002</v>
      </c>
      <c r="X39" s="23">
        <f>'Annual Raw'!Y30</f>
        <v>48.458599999999997</v>
      </c>
      <c r="Y39" s="23">
        <f>'Annual Raw'!Z30</f>
        <v>46.0015</v>
      </c>
      <c r="Z39" s="23">
        <f>'Annual Raw'!AA30</f>
        <v>21.912700000000001</v>
      </c>
      <c r="AA39" s="23">
        <f>'Annual Raw'!AB30</f>
        <v>18.909500000000001</v>
      </c>
      <c r="AB39" s="24">
        <f>+SUM(CM39:CP39)</f>
        <v>44.397868105585431</v>
      </c>
      <c r="AC39" s="24">
        <f>+SUM(CQ39:CT39)</f>
        <v>79.296841563476463</v>
      </c>
      <c r="AD39" s="24">
        <f>+SUM(CU39:CX39)</f>
        <v>120.94364697870685</v>
      </c>
      <c r="AE39" s="24">
        <f>+SUM(CY39:DB39)</f>
        <v>173.72165758921378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3.3519999999999999</v>
      </c>
      <c r="AY39" s="23">
        <f>'QTR Raw'!S29</f>
        <v>3.7850000000000001</v>
      </c>
      <c r="AZ39" s="23">
        <f>'QTR Raw'!T29</f>
        <v>3.6669999999999998</v>
      </c>
      <c r="BA39" s="23">
        <f>'QTR Raw'!U29</f>
        <v>2.9329999999999998</v>
      </c>
      <c r="BB39" s="23">
        <f>'QTR Raw'!V29</f>
        <v>12.249000000000001</v>
      </c>
      <c r="BC39" s="23">
        <f>'QTR Raw'!W29</f>
        <v>7.25</v>
      </c>
      <c r="BD39" s="23">
        <f>'QTR Raw'!X29</f>
        <v>6.8689999999999998</v>
      </c>
      <c r="BE39" s="23">
        <f>'QTR Raw'!Y29</f>
        <v>9.4969999999999999</v>
      </c>
      <c r="BF39" s="23">
        <f>'QTR Raw'!Z29</f>
        <v>11.901</v>
      </c>
      <c r="BG39" s="23">
        <f>'QTR Raw'!AA29</f>
        <v>11.737</v>
      </c>
      <c r="BH39" s="23">
        <f>'QTR Raw'!AB29</f>
        <v>9.1059999999999999</v>
      </c>
      <c r="BI39" s="23">
        <f>'QTR Raw'!AC29</f>
        <v>11.683999999999999</v>
      </c>
      <c r="BJ39" s="23">
        <f>'QTR Raw'!AD29</f>
        <v>15.688000000000001</v>
      </c>
      <c r="BK39" s="23">
        <f>'QTR Raw'!AE29</f>
        <v>13.647</v>
      </c>
      <c r="BL39" s="23">
        <f>'QTR Raw'!AF29</f>
        <v>7.4950000000000001</v>
      </c>
      <c r="BM39" s="23">
        <f>'QTR Raw'!AG29</f>
        <v>12.010999999999999</v>
      </c>
      <c r="BN39" s="23">
        <f>'QTR Raw'!AH29</f>
        <v>11.891999999999999</v>
      </c>
      <c r="BO39" s="23">
        <f>'QTR Raw'!AI29</f>
        <v>-0.46100000000000002</v>
      </c>
      <c r="BP39" s="23">
        <f>'QTR Raw'!AJ29</f>
        <v>4.1349999999999998</v>
      </c>
      <c r="BQ39" s="23">
        <f>'QTR Raw'!AK29</f>
        <v>10.683999999999999</v>
      </c>
      <c r="BR39" s="23">
        <f>'QTR Raw'!AL29</f>
        <v>13.226000000000001</v>
      </c>
      <c r="BS39" s="23">
        <f>'QTR Raw'!AM29</f>
        <v>9.2439999999999998</v>
      </c>
      <c r="BT39" s="23">
        <f>'QTR Raw'!AN29</f>
        <v>11.919</v>
      </c>
      <c r="BU39" s="23">
        <f>'QTR Raw'!AO29</f>
        <v>15.614000000000001</v>
      </c>
      <c r="BV39" s="23">
        <f>'QTR Raw'!AP29</f>
        <v>18.562999999999999</v>
      </c>
      <c r="BW39" s="23">
        <f>'QTR Raw'!AQ29</f>
        <v>10.11</v>
      </c>
      <c r="BX39" s="23">
        <f>'QTR Raw'!AR29</f>
        <v>8.1270000000000007</v>
      </c>
      <c r="BY39" s="23">
        <f>'QTR Raw'!AS29</f>
        <v>12.922000000000001</v>
      </c>
      <c r="BZ39" s="23">
        <f>'QTR Raw'!AT29</f>
        <v>17.3</v>
      </c>
      <c r="CA39" s="23">
        <f>'QTR Raw'!AU29</f>
        <v>13.074999999999999</v>
      </c>
      <c r="CB39" s="23">
        <f>'QTR Raw'!AV29</f>
        <v>13.257999999999999</v>
      </c>
      <c r="CC39" s="23">
        <f>'QTR Raw'!AW29</f>
        <v>10.977</v>
      </c>
      <c r="CD39" s="23">
        <f>'QTR Raw'!AX29</f>
        <v>8.6910000000000007</v>
      </c>
      <c r="CE39" s="23">
        <f>'QTR Raw'!AY29</f>
        <v>13.153</v>
      </c>
      <c r="CF39" s="23">
        <f>'QTR Raw'!AZ29</f>
        <v>3.44</v>
      </c>
      <c r="CG39" s="23">
        <f>'QTR Raw'!BA29</f>
        <v>3.7389999999999999</v>
      </c>
      <c r="CH39" s="23">
        <f>'QTR Raw'!BB29</f>
        <v>1.58</v>
      </c>
      <c r="CI39" s="23">
        <f>'QTR Raw'!BC29</f>
        <v>0.29899999999999999</v>
      </c>
      <c r="CJ39" s="23">
        <f>'QTR Raw'!BD29</f>
        <v>6.2240000000000002</v>
      </c>
      <c r="CK39" s="23">
        <f>'QTR Raw'!BE29</f>
        <v>6.0549999999999997</v>
      </c>
      <c r="CL39" s="23">
        <f>'QTR Raw'!BF29</f>
        <v>6.3319999999999999</v>
      </c>
      <c r="CM39" s="24">
        <f t="shared" ref="CM39:DB39" si="495">+CM38*CM40</f>
        <v>2.4426835131473172</v>
      </c>
      <c r="CN39" s="24">
        <f t="shared" si="495"/>
        <v>10.352779810921962</v>
      </c>
      <c r="CO39" s="24">
        <f t="shared" si="495"/>
        <v>12.389009387844181</v>
      </c>
      <c r="CP39" s="24">
        <f t="shared" si="495"/>
        <v>19.213395393671966</v>
      </c>
      <c r="CQ39" s="24">
        <f t="shared" si="495"/>
        <v>8.2035754837228598</v>
      </c>
      <c r="CR39" s="24">
        <f t="shared" si="495"/>
        <v>18.353788776093175</v>
      </c>
      <c r="CS39" s="24">
        <f t="shared" si="495"/>
        <v>21.488276833184699</v>
      </c>
      <c r="CT39" s="24">
        <f t="shared" si="495"/>
        <v>31.251200470475727</v>
      </c>
      <c r="CU39" s="24">
        <f t="shared" si="495"/>
        <v>14.516035246535596</v>
      </c>
      <c r="CV39" s="24">
        <f t="shared" si="495"/>
        <v>28.312952610942727</v>
      </c>
      <c r="CW39" s="24">
        <f t="shared" si="495"/>
        <v>32.506515815661906</v>
      </c>
      <c r="CX39" s="24">
        <f t="shared" si="495"/>
        <v>45.608143305566607</v>
      </c>
      <c r="CY39" s="24">
        <f t="shared" si="495"/>
        <v>22.131930487963484</v>
      </c>
      <c r="CZ39" s="24">
        <f t="shared" si="495"/>
        <v>40.919430902265383</v>
      </c>
      <c r="DA39" s="24">
        <f t="shared" si="495"/>
        <v>46.470910802466271</v>
      </c>
      <c r="DB39" s="24">
        <f t="shared" si="495"/>
        <v>64.199385396518636</v>
      </c>
      <c r="DE39" s="123"/>
      <c r="DF39" s="23">
        <v>2.4242599277501093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>
        <f t="shared" si="497"/>
        <v>0.32677736579074673</v>
      </c>
      <c r="N40" s="90">
        <f t="shared" si="497"/>
        <v>0.3266270888302546</v>
      </c>
      <c r="O40" s="90">
        <f t="shared" si="497"/>
        <v>0.34648581997533956</v>
      </c>
      <c r="P40" s="90">
        <f t="shared" si="497"/>
        <v>0.3388530836900786</v>
      </c>
      <c r="Q40" s="90">
        <f t="shared" si="497"/>
        <v>0.36546373337635762</v>
      </c>
      <c r="R40" s="90">
        <f t="shared" si="497"/>
        <v>0.35647722879455646</v>
      </c>
      <c r="S40" s="90">
        <f t="shared" si="497"/>
        <v>0.35577643898515549</v>
      </c>
      <c r="T40" s="90">
        <f t="shared" si="497"/>
        <v>0.35107689775970041</v>
      </c>
      <c r="U40" s="90">
        <f t="shared" ref="U40:Z40" si="498">U39/U38</f>
        <v>0.26000437526371362</v>
      </c>
      <c r="V40" s="90">
        <f t="shared" si="498"/>
        <v>0.24861242552884688</v>
      </c>
      <c r="W40" s="90">
        <f t="shared" si="498"/>
        <v>0.24970962999596616</v>
      </c>
      <c r="X40" s="90">
        <f t="shared" si="498"/>
        <v>0.26465676095768548</v>
      </c>
      <c r="Y40" s="90">
        <f t="shared" si="498"/>
        <v>0.27146014239390509</v>
      </c>
      <c r="Z40" s="90">
        <f t="shared" si="498"/>
        <v>0.27434392805587932</v>
      </c>
      <c r="AA40" s="90">
        <f t="shared" ref="AA40" si="499">AA39/AA38</f>
        <v>0.25381334092153818</v>
      </c>
      <c r="AB40" s="91">
        <f t="shared" ref="AA40:AD40" si="500">AB39/AB38</f>
        <v>0.26347650323502103</v>
      </c>
      <c r="AC40" s="91">
        <f t="shared" si="500"/>
        <v>0.26498539303386454</v>
      </c>
      <c r="AD40" s="91">
        <f t="shared" si="500"/>
        <v>0.26498963920401486</v>
      </c>
      <c r="AE40" s="91">
        <f t="shared" ref="AE40" si="501">AE39/AE38</f>
        <v>0.26498288462163277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>
        <f t="shared" si="506"/>
        <v>0.36050763605076347</v>
      </c>
      <c r="AY40" s="90">
        <f t="shared" si="506"/>
        <v>0.33543069833392425</v>
      </c>
      <c r="AZ40" s="90">
        <f t="shared" si="506"/>
        <v>0.36883926775296688</v>
      </c>
      <c r="BA40" s="90">
        <f t="shared" si="506"/>
        <v>0.28611842747049077</v>
      </c>
      <c r="BB40" s="90">
        <f t="shared" si="506"/>
        <v>0.37382122257148959</v>
      </c>
      <c r="BC40" s="90">
        <f t="shared" si="506"/>
        <v>0.34835671727849343</v>
      </c>
      <c r="BD40" s="90">
        <f t="shared" si="506"/>
        <v>0.3517153097798259</v>
      </c>
      <c r="BE40" s="90">
        <f t="shared" si="506"/>
        <v>0.38489908405609125</v>
      </c>
      <c r="BF40" s="90">
        <f t="shared" si="506"/>
        <v>0.34133539838237775</v>
      </c>
      <c r="BG40" s="90">
        <f t="shared" si="506"/>
        <v>0.35778082609358314</v>
      </c>
      <c r="BH40" s="90">
        <f t="shared" si="506"/>
        <v>0.34501572386617668</v>
      </c>
      <c r="BI40" s="90">
        <f t="shared" si="506"/>
        <v>0.35697045614249517</v>
      </c>
      <c r="BJ40" s="90">
        <f t="shared" si="506"/>
        <v>0.34539850286217522</v>
      </c>
      <c r="BK40" s="90">
        <f t="shared" si="506"/>
        <v>0.34958245811773164</v>
      </c>
      <c r="BL40" s="90">
        <f t="shared" si="506"/>
        <v>0.19017533176016843</v>
      </c>
      <c r="BM40" s="90">
        <f t="shared" si="506"/>
        <v>0.24881403683218367</v>
      </c>
      <c r="BN40" s="90">
        <f t="shared" si="506"/>
        <v>0.25554409489427532</v>
      </c>
      <c r="BO40" s="90">
        <f t="shared" si="506"/>
        <v>0.15438713998660422</v>
      </c>
      <c r="BP40" s="90">
        <f t="shared" si="506"/>
        <v>0.2130894099458901</v>
      </c>
      <c r="BQ40" s="90">
        <f t="shared" si="506"/>
        <v>0.27231482897486903</v>
      </c>
      <c r="BR40" s="90">
        <f t="shared" si="506"/>
        <v>0.23917682375492796</v>
      </c>
      <c r="BS40" s="90">
        <f t="shared" si="506"/>
        <v>0.27145919595923967</v>
      </c>
      <c r="BT40" s="90">
        <f t="shared" si="506"/>
        <v>0.24698495586224048</v>
      </c>
      <c r="BU40" s="90">
        <f t="shared" si="506"/>
        <v>0.23689161305983714</v>
      </c>
      <c r="BV40" s="90">
        <f t="shared" si="506"/>
        <v>0.25292258222742958</v>
      </c>
      <c r="BW40" s="90">
        <f t="shared" si="506"/>
        <v>0.25832332575312383</v>
      </c>
      <c r="BX40" s="90">
        <f t="shared" si="506"/>
        <v>0.27409780775716674</v>
      </c>
      <c r="BY40" s="90">
        <f t="shared" si="506"/>
        <v>0.26781347150259072</v>
      </c>
      <c r="BZ40" s="90">
        <f t="shared" si="506"/>
        <v>0.2618752081378099</v>
      </c>
      <c r="CA40" s="90">
        <f t="shared" si="506"/>
        <v>0.25685604274713209</v>
      </c>
      <c r="CB40" s="90">
        <f t="shared" si="506"/>
        <v>0.25624275222265147</v>
      </c>
      <c r="CC40" s="90">
        <f t="shared" si="506"/>
        <v>0.26107741705315757</v>
      </c>
      <c r="CD40" s="90">
        <f t="shared" si="506"/>
        <v>0.35085382100036194</v>
      </c>
      <c r="CE40" s="90">
        <f t="shared" ref="CE40:CF40" si="507">CE39/CE38</f>
        <v>0.27493729096989972</v>
      </c>
      <c r="CF40" s="90">
        <f t="shared" si="507"/>
        <v>0.25183016105417105</v>
      </c>
      <c r="CG40" s="90">
        <f t="shared" ref="CG40:CH40" si="508">CG39/CG38</f>
        <v>0.36216582719875812</v>
      </c>
      <c r="CH40" s="90">
        <f t="shared" si="508"/>
        <v>0.19629767673003023</v>
      </c>
      <c r="CI40" s="90">
        <f t="shared" ref="CI40:CJ40" si="509">CI39/CI38</f>
        <v>0.41241379310350906</v>
      </c>
      <c r="CJ40" s="90">
        <f t="shared" si="509"/>
        <v>0.27798124162572685</v>
      </c>
      <c r="CK40" s="90">
        <f t="shared" ref="CK40:CL40" si="510">CK39/CK38</f>
        <v>0.2533896886508204</v>
      </c>
      <c r="CL40" s="90">
        <f t="shared" si="510"/>
        <v>0.23032154808671479</v>
      </c>
      <c r="CM40" s="91">
        <f t="shared" ref="CM40:DB40" si="511">AVERAGE(CI40:CL40)</f>
        <v>0.29352656786669273</v>
      </c>
      <c r="CN40" s="91">
        <f t="shared" si="511"/>
        <v>0.26380476155748867</v>
      </c>
      <c r="CO40" s="91">
        <f t="shared" si="511"/>
        <v>0.26026064154042916</v>
      </c>
      <c r="CP40" s="91">
        <f t="shared" si="511"/>
        <v>0.26197837976283134</v>
      </c>
      <c r="CQ40" s="91">
        <f t="shared" si="511"/>
        <v>0.26989258768186047</v>
      </c>
      <c r="CR40" s="91">
        <f t="shared" si="511"/>
        <v>0.26398409263565242</v>
      </c>
      <c r="CS40" s="91">
        <f t="shared" si="511"/>
        <v>0.26402892540519335</v>
      </c>
      <c r="CT40" s="91">
        <f t="shared" si="511"/>
        <v>0.26497099637138438</v>
      </c>
      <c r="CU40" s="91">
        <f t="shared" si="511"/>
        <v>0.26571915052352268</v>
      </c>
      <c r="CV40" s="91">
        <f t="shared" si="511"/>
        <v>0.26467579123393825</v>
      </c>
      <c r="CW40" s="91">
        <f t="shared" si="511"/>
        <v>0.26484871588350967</v>
      </c>
      <c r="CX40" s="91">
        <f t="shared" si="511"/>
        <v>0.26505366350308873</v>
      </c>
      <c r="CY40" s="91">
        <f t="shared" si="511"/>
        <v>0.26507433028601485</v>
      </c>
      <c r="CZ40" s="91">
        <f t="shared" si="511"/>
        <v>0.26491312522663785</v>
      </c>
      <c r="DA40" s="91">
        <f t="shared" si="511"/>
        <v>0.26497245872481279</v>
      </c>
      <c r="DB40" s="91">
        <f t="shared" si="511"/>
        <v>0.26500339443513854</v>
      </c>
      <c r="DE40" s="127"/>
      <c r="DF40" s="90">
        <v>0.28502060002752166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8.3519999999999879</v>
      </c>
      <c r="N41" s="26">
        <f t="shared" si="513"/>
        <v>12.250000000000025</v>
      </c>
      <c r="O41" s="26">
        <f t="shared" si="513"/>
        <v>10.069999999999981</v>
      </c>
      <c r="P41" s="26">
        <f t="shared" si="513"/>
        <v>14.053999999999998</v>
      </c>
      <c r="Q41" s="26">
        <f t="shared" si="513"/>
        <v>22.024499999999939</v>
      </c>
      <c r="R41" s="26">
        <f t="shared" si="513"/>
        <v>41.61340000000002</v>
      </c>
      <c r="S41" s="26">
        <f t="shared" si="513"/>
        <v>65.998899999999949</v>
      </c>
      <c r="T41" s="26">
        <f t="shared" si="513"/>
        <v>89.119399999999928</v>
      </c>
      <c r="U41" s="26">
        <f t="shared" ref="U41:Z41" si="514">U38-U39</f>
        <v>128.20179999999993</v>
      </c>
      <c r="V41" s="26">
        <f t="shared" si="514"/>
        <v>83.365699999999862</v>
      </c>
      <c r="W41" s="26">
        <f t="shared" si="514"/>
        <v>166.27469999999983</v>
      </c>
      <c r="X41" s="26">
        <f t="shared" si="514"/>
        <v>134.64119999999991</v>
      </c>
      <c r="Y41" s="26">
        <f t="shared" si="514"/>
        <v>123.45800000000014</v>
      </c>
      <c r="Z41" s="26">
        <f t="shared" si="514"/>
        <v>57.960399999999808</v>
      </c>
      <c r="AA41" s="26">
        <f t="shared" ref="AA41" si="515">AA38-AA39</f>
        <v>55.592099999999739</v>
      </c>
      <c r="AB41" s="27">
        <f t="shared" ref="AA41:AD41" si="516">AB38-AB39</f>
        <v>124.11001612871586</v>
      </c>
      <c r="AC41" s="27">
        <f t="shared" si="516"/>
        <v>219.95301766684912</v>
      </c>
      <c r="AD41" s="27">
        <f t="shared" si="516"/>
        <v>335.46531807366881</v>
      </c>
      <c r="AE41" s="27">
        <f t="shared" ref="AE41" si="517">AE38-AE39</f>
        <v>481.87410980259244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5.9460000000000033</v>
      </c>
      <c r="AY41" s="26">
        <f t="shared" si="521"/>
        <v>7.498999999999997</v>
      </c>
      <c r="AZ41" s="26">
        <f t="shared" si="521"/>
        <v>6.2750000000000092</v>
      </c>
      <c r="BA41" s="26">
        <f t="shared" si="521"/>
        <v>7.3179999999999961</v>
      </c>
      <c r="BB41" s="26">
        <f t="shared" si="521"/>
        <v>20.518000000000001</v>
      </c>
      <c r="BC41" s="26">
        <f t="shared" si="521"/>
        <v>13.561999999999983</v>
      </c>
      <c r="BD41" s="26">
        <f t="shared" si="521"/>
        <v>12.661000000000001</v>
      </c>
      <c r="BE41" s="26">
        <f t="shared" si="521"/>
        <v>15.17700000000001</v>
      </c>
      <c r="BF41" s="26">
        <f t="shared" si="521"/>
        <v>22.96500000000005</v>
      </c>
      <c r="BG41" s="26">
        <f t="shared" si="521"/>
        <v>21.068000000000012</v>
      </c>
      <c r="BH41" s="26">
        <f t="shared" si="521"/>
        <v>17.286999999999999</v>
      </c>
      <c r="BI41" s="26">
        <f t="shared" si="521"/>
        <v>21.046999999999976</v>
      </c>
      <c r="BJ41" s="26">
        <f t="shared" si="521"/>
        <v>29.732000000000006</v>
      </c>
      <c r="BK41" s="26">
        <f t="shared" si="521"/>
        <v>25.390999999999977</v>
      </c>
      <c r="BL41" s="26">
        <f t="shared" si="521"/>
        <v>31.916000000000007</v>
      </c>
      <c r="BM41" s="26">
        <f t="shared" si="521"/>
        <v>36.261999999999986</v>
      </c>
      <c r="BN41" s="26">
        <f t="shared" si="521"/>
        <v>34.644000000000005</v>
      </c>
      <c r="BO41" s="26">
        <f t="shared" si="521"/>
        <v>-2.524999999999999</v>
      </c>
      <c r="BP41" s="26">
        <f t="shared" si="521"/>
        <v>15.270000000000012</v>
      </c>
      <c r="BQ41" s="26">
        <f t="shared" si="521"/>
        <v>28.549999999999955</v>
      </c>
      <c r="BR41" s="26">
        <f t="shared" si="521"/>
        <v>42.071999999999974</v>
      </c>
      <c r="BS41" s="26">
        <f t="shared" si="521"/>
        <v>24.80900000000004</v>
      </c>
      <c r="BT41" s="26">
        <f t="shared" si="521"/>
        <v>36.338999999999999</v>
      </c>
      <c r="BU41" s="26">
        <f t="shared" si="521"/>
        <v>50.298000000000059</v>
      </c>
      <c r="BV41" s="26">
        <f t="shared" si="521"/>
        <v>54.831000000000117</v>
      </c>
      <c r="BW41" s="26">
        <f t="shared" si="521"/>
        <v>29.026999999999965</v>
      </c>
      <c r="BX41" s="26">
        <f t="shared" si="521"/>
        <v>21.523000000000025</v>
      </c>
      <c r="BY41" s="26">
        <f t="shared" si="521"/>
        <v>35.327999999999989</v>
      </c>
      <c r="BZ41" s="26">
        <f t="shared" si="521"/>
        <v>48.762000000000015</v>
      </c>
      <c r="CA41" s="26">
        <f t="shared" si="521"/>
        <v>37.828999999999951</v>
      </c>
      <c r="CB41" s="26">
        <f t="shared" si="521"/>
        <v>38.482000000000056</v>
      </c>
      <c r="CC41" s="26">
        <f t="shared" si="521"/>
        <v>31.067999999999959</v>
      </c>
      <c r="CD41" s="26">
        <f t="shared" si="521"/>
        <v>16.080000000000098</v>
      </c>
      <c r="CE41" s="26">
        <f t="shared" ref="CE41:CF41" si="522">CE38-CE39</f>
        <v>34.686999999999991</v>
      </c>
      <c r="CF41" s="26">
        <f t="shared" si="522"/>
        <v>10.220000000000093</v>
      </c>
      <c r="CG41" s="26">
        <f t="shared" ref="CG41:CH41" si="523">CG38-CG39</f>
        <v>6.5850000000000586</v>
      </c>
      <c r="CH41" s="26">
        <f t="shared" si="523"/>
        <v>6.4689999999999319</v>
      </c>
      <c r="CI41" s="26">
        <f t="shared" ref="CI41:CJ41" si="524">CI38-CI39</f>
        <v>0.42599999999989308</v>
      </c>
      <c r="CJ41" s="26">
        <f t="shared" si="524"/>
        <v>16.165999999999915</v>
      </c>
      <c r="CK41" s="26">
        <f t="shared" ref="CK41:CL41" si="525">CK38-CK39</f>
        <v>17.84099999999998</v>
      </c>
      <c r="CL41" s="26">
        <f t="shared" si="525"/>
        <v>21.16000000000016</v>
      </c>
      <c r="CM41" s="27">
        <f t="shared" ref="CM41:DB41" si="526">CM38-CM39</f>
        <v>5.8791645938243153</v>
      </c>
      <c r="CN41" s="27">
        <f t="shared" si="526"/>
        <v>28.891317792926149</v>
      </c>
      <c r="CO41" s="27">
        <f t="shared" si="526"/>
        <v>35.213306945951757</v>
      </c>
      <c r="CP41" s="27">
        <f t="shared" si="526"/>
        <v>54.126226796013405</v>
      </c>
      <c r="CQ41" s="27">
        <f t="shared" si="526"/>
        <v>22.192129541688708</v>
      </c>
      <c r="CR41" s="27">
        <f t="shared" si="526"/>
        <v>51.172327713906277</v>
      </c>
      <c r="CS41" s="27">
        <f t="shared" si="526"/>
        <v>59.897794030860226</v>
      </c>
      <c r="CT41" s="27">
        <f t="shared" si="526"/>
        <v>86.690766380393953</v>
      </c>
      <c r="CU41" s="27">
        <f t="shared" si="526"/>
        <v>40.113204753426579</v>
      </c>
      <c r="CV41" s="27">
        <f t="shared" si="526"/>
        <v>78.659250925110314</v>
      </c>
      <c r="CW41" s="27">
        <f t="shared" si="526"/>
        <v>90.229649648547792</v>
      </c>
      <c r="CX41" s="27">
        <f t="shared" si="526"/>
        <v>126.46321274658288</v>
      </c>
      <c r="CY41" s="27">
        <f t="shared" si="526"/>
        <v>61.361369161546747</v>
      </c>
      <c r="CZ41" s="27">
        <f t="shared" si="526"/>
        <v>113.54415359268211</v>
      </c>
      <c r="DA41" s="27">
        <f t="shared" si="526"/>
        <v>128.90924389779502</v>
      </c>
      <c r="DB41" s="27">
        <f t="shared" si="526"/>
        <v>178.05934315056757</v>
      </c>
      <c r="DE41" s="121"/>
      <c r="DF41" s="26">
        <v>6.0813004686423699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>
        <f t="shared" si="528"/>
        <v>4.675272332374239E-2</v>
      </c>
      <c r="N42" s="45">
        <f t="shared" si="528"/>
        <v>4.7619973177321327E-2</v>
      </c>
      <c r="O42" s="45">
        <f t="shared" si="528"/>
        <v>4.7856212753419225E-2</v>
      </c>
      <c r="P42" s="45">
        <f t="shared" si="528"/>
        <v>5.0110175353523828E-2</v>
      </c>
      <c r="Q42" s="45">
        <f t="shared" si="528"/>
        <v>4.6272884062626522E-2</v>
      </c>
      <c r="R42" s="45">
        <f t="shared" si="528"/>
        <v>9.3559870164529199E-2</v>
      </c>
      <c r="S42" s="45">
        <f t="shared" si="528"/>
        <v>8.7805723671580307E-2</v>
      </c>
      <c r="T42" s="45">
        <f t="shared" si="528"/>
        <v>8.4842764697022968E-2</v>
      </c>
      <c r="U42" s="45">
        <f t="shared" si="528"/>
        <v>8.5510091549873948E-2</v>
      </c>
      <c r="V42" s="45">
        <f t="shared" si="528"/>
        <v>6.7183678061322402E-2</v>
      </c>
      <c r="W42" s="45">
        <f t="shared" si="528"/>
        <v>9.5119381546423298E-2</v>
      </c>
      <c r="X42" s="45">
        <f t="shared" si="528"/>
        <v>6.9481258701851428E-2</v>
      </c>
      <c r="Y42" s="45">
        <f t="shared" si="528"/>
        <v>4.9269122274286169E-2</v>
      </c>
      <c r="Z42" s="45">
        <f t="shared" ref="Z42:AA42" si="529">+Z41/Z10</f>
        <v>2.3072253112175003E-2</v>
      </c>
      <c r="AA42" s="45">
        <f t="shared" si="529"/>
        <v>1.765578577998474E-2</v>
      </c>
      <c r="AB42" s="48">
        <f t="shared" si="528"/>
        <v>2.8942988810736599E-2</v>
      </c>
      <c r="AC42" s="48">
        <f t="shared" si="528"/>
        <v>3.7407532834102808E-2</v>
      </c>
      <c r="AD42" s="48">
        <f t="shared" si="528"/>
        <v>4.1564880333671214E-2</v>
      </c>
      <c r="AE42" s="48">
        <f t="shared" si="528"/>
        <v>4.3490310057128959E-2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>
        <f t="shared" si="530"/>
        <v>5.5013785829277795E-2</v>
      </c>
      <c r="AY42" s="45">
        <f t="shared" si="530"/>
        <v>8.7134856266412555E-2</v>
      </c>
      <c r="AZ42" s="45">
        <f t="shared" si="530"/>
        <v>8.0822782364533413E-2</v>
      </c>
      <c r="BA42" s="45">
        <f t="shared" si="530"/>
        <v>9.704669327781236E-2</v>
      </c>
      <c r="BB42" s="45">
        <f t="shared" si="530"/>
        <v>0.12692776413384391</v>
      </c>
      <c r="BC42" s="45">
        <f t="shared" si="530"/>
        <v>8.7046938081270245E-2</v>
      </c>
      <c r="BD42" s="45">
        <f t="shared" si="530"/>
        <v>9.0725387487191264E-2</v>
      </c>
      <c r="BE42" s="45">
        <f t="shared" si="530"/>
        <v>8.8858313817330267E-2</v>
      </c>
      <c r="BF42" s="45">
        <f t="shared" si="530"/>
        <v>8.7095196016338347E-2</v>
      </c>
      <c r="BG42" s="45">
        <f t="shared" si="530"/>
        <v>8.8439257828897708E-2</v>
      </c>
      <c r="BH42" s="45">
        <f t="shared" si="530"/>
        <v>8.1518996892403592E-2</v>
      </c>
      <c r="BI42" s="45">
        <f t="shared" si="530"/>
        <v>8.0342180503651134E-2</v>
      </c>
      <c r="BJ42" s="45">
        <f t="shared" si="530"/>
        <v>8.7819257500169848E-2</v>
      </c>
      <c r="BK42" s="45">
        <f t="shared" si="530"/>
        <v>8.252324632820135E-2</v>
      </c>
      <c r="BL42" s="45">
        <f t="shared" si="530"/>
        <v>0.1022578361042315</v>
      </c>
      <c r="BM42" s="45">
        <f t="shared" si="530"/>
        <v>8.5712394756373683E-2</v>
      </c>
      <c r="BN42" s="45">
        <f t="shared" si="530"/>
        <v>7.5907597990346132E-2</v>
      </c>
      <c r="BO42" s="45">
        <f t="shared" ref="BO42:CT42" si="531">+BO41/BO10</f>
        <v>-2.3621973580810529E-2</v>
      </c>
      <c r="BP42" s="45">
        <f t="shared" si="531"/>
        <v>6.2817274544811341E-2</v>
      </c>
      <c r="BQ42" s="45">
        <f t="shared" si="531"/>
        <v>7.3175295200161874E-2</v>
      </c>
      <c r="BR42" s="45">
        <f t="shared" si="531"/>
        <v>8.4022000055918755E-2</v>
      </c>
      <c r="BS42" s="45">
        <f t="shared" si="531"/>
        <v>7.8174037988883269E-2</v>
      </c>
      <c r="BT42" s="45">
        <f t="shared" si="531"/>
        <v>9.3071680484375363E-2</v>
      </c>
      <c r="BU42" s="45">
        <f t="shared" si="531"/>
        <v>0.10357481158107174</v>
      </c>
      <c r="BV42" s="45">
        <f t="shared" si="531"/>
        <v>9.8857471508905864E-2</v>
      </c>
      <c r="BW42" s="45">
        <f t="shared" si="531"/>
        <v>8.3391269873190704E-2</v>
      </c>
      <c r="BX42" s="45">
        <f t="shared" si="531"/>
        <v>5.978910056613948E-2</v>
      </c>
      <c r="BY42" s="45">
        <f t="shared" si="531"/>
        <v>7.0633820980212189E-2</v>
      </c>
      <c r="BZ42" s="45">
        <f t="shared" si="531"/>
        <v>6.6835347266387443E-2</v>
      </c>
      <c r="CA42" s="45">
        <f t="shared" si="531"/>
        <v>7.3650723190174877E-2</v>
      </c>
      <c r="CB42" s="45">
        <f t="shared" si="531"/>
        <v>6.2102499302028803E-2</v>
      </c>
      <c r="CC42" s="45">
        <f t="shared" si="531"/>
        <v>4.4083717630365317E-2</v>
      </c>
      <c r="CD42" s="45">
        <f t="shared" si="531"/>
        <v>2.408054402860927E-2</v>
      </c>
      <c r="CE42" s="45">
        <f t="shared" si="531"/>
        <v>5.5671827201787288E-2</v>
      </c>
      <c r="CF42" s="45">
        <f t="shared" si="531"/>
        <v>1.7441284989231615E-2</v>
      </c>
      <c r="CG42" s="45">
        <f t="shared" si="531"/>
        <v>1.0448897986385583E-2</v>
      </c>
      <c r="CH42" s="45">
        <f t="shared" si="531"/>
        <v>9.6137984535292435E-3</v>
      </c>
      <c r="CI42" s="45">
        <f t="shared" ref="CI42:CJ42" si="532">+CI41/CI10</f>
        <v>8.227718527043181E-4</v>
      </c>
      <c r="CJ42" s="45">
        <f t="shared" si="532"/>
        <v>2.3000116665196375E-2</v>
      </c>
      <c r="CK42" s="45">
        <f t="shared" ref="CK42:CL42" si="533">+CK41/CK10</f>
        <v>2.1950211246638113E-2</v>
      </c>
      <c r="CL42" s="45">
        <f t="shared" si="533"/>
        <v>1.8973494494458735E-2</v>
      </c>
      <c r="CM42" s="48">
        <f t="shared" si="531"/>
        <v>9.1248245497472912E-3</v>
      </c>
      <c r="CN42" s="48">
        <f t="shared" si="531"/>
        <v>3.0498893731395287E-2</v>
      </c>
      <c r="CO42" s="48">
        <f t="shared" si="531"/>
        <v>3.1284817796235292E-2</v>
      </c>
      <c r="CP42" s="48">
        <f t="shared" si="531"/>
        <v>3.4455138308635121E-2</v>
      </c>
      <c r="CQ42" s="48">
        <f t="shared" si="531"/>
        <v>2.5582111904852829E-2</v>
      </c>
      <c r="CR42" s="48">
        <f t="shared" si="531"/>
        <v>3.9376115311635769E-2</v>
      </c>
      <c r="CS42" s="48">
        <f t="shared" si="531"/>
        <v>3.8620039855902788E-2</v>
      </c>
      <c r="CT42" s="48">
        <f t="shared" si="531"/>
        <v>4.0099392677432691E-2</v>
      </c>
      <c r="CU42" s="48">
        <f t="shared" ref="CU42:DB42" si="534">+CU41/CU10</f>
        <v>3.3799220049224678E-2</v>
      </c>
      <c r="CV42" s="48">
        <f t="shared" si="534"/>
        <v>4.4066643889170552E-2</v>
      </c>
      <c r="CW42" s="48">
        <f t="shared" si="534"/>
        <v>4.2343242295955263E-2</v>
      </c>
      <c r="CX42" s="48">
        <f t="shared" si="534"/>
        <v>4.2606626778153515E-2</v>
      </c>
      <c r="CY42" s="48">
        <f t="shared" si="534"/>
        <v>3.7680794373857289E-2</v>
      </c>
      <c r="CZ42" s="48">
        <f t="shared" si="534"/>
        <v>4.6324652367397842E-2</v>
      </c>
      <c r="DA42" s="48">
        <f t="shared" si="534"/>
        <v>4.4059271738084341E-2</v>
      </c>
      <c r="DB42" s="48">
        <f t="shared" si="534"/>
        <v>4.3698599511275776E-2</v>
      </c>
      <c r="DE42" s="129"/>
      <c r="DF42" s="45">
        <v>8.3529074575013976E-3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>
        <f t="shared" si="536"/>
        <v>0.46671455938697837</v>
      </c>
      <c r="O43" s="39">
        <f t="shared" si="536"/>
        <v>-0.17795918367347263</v>
      </c>
      <c r="P43" s="39">
        <f t="shared" si="536"/>
        <v>0.39563058589871147</v>
      </c>
      <c r="Q43" s="39">
        <f t="shared" si="536"/>
        <v>0.56713391205350372</v>
      </c>
      <c r="R43" s="39">
        <f t="shared" si="536"/>
        <v>0.88941406161320957</v>
      </c>
      <c r="S43" s="39">
        <f t="shared" si="536"/>
        <v>0.58600114386231161</v>
      </c>
      <c r="T43" s="39">
        <f t="shared" si="536"/>
        <v>0.35031644466801715</v>
      </c>
      <c r="U43" s="39">
        <f t="shared" si="536"/>
        <v>0.43853975677574164</v>
      </c>
      <c r="V43" s="39">
        <f t="shared" si="536"/>
        <v>-0.34973065900790856</v>
      </c>
      <c r="W43" s="39">
        <f t="shared" si="536"/>
        <v>0.99452172776093883</v>
      </c>
      <c r="X43" s="39">
        <f t="shared" si="536"/>
        <v>-0.19024842624885174</v>
      </c>
      <c r="Y43" s="39">
        <f t="shared" si="536"/>
        <v>-8.3059271604826623E-2</v>
      </c>
      <c r="Z43" s="39">
        <f t="shared" ref="Z43:AA43" si="537">+IF(Y41&lt;0,1-Z41/Y41,Z41/Y41-1)</f>
        <v>-0.53052536085146573</v>
      </c>
      <c r="AA43" s="39">
        <f t="shared" si="537"/>
        <v>-4.0860656586222288E-2</v>
      </c>
      <c r="AB43" s="40">
        <f t="shared" si="536"/>
        <v>1.2325117440916324</v>
      </c>
      <c r="AC43" s="40">
        <f t="shared" si="536"/>
        <v>0.77224227767993714</v>
      </c>
      <c r="AD43" s="40">
        <f t="shared" si="536"/>
        <v>0.52516806376250713</v>
      </c>
      <c r="AE43" s="40">
        <f t="shared" si="536"/>
        <v>0.43643495718019953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>
        <f t="shared" ref="BB43" si="552">+IF(AX41&lt;0,1-BB41/AX41,BB41/AX41-1)</f>
        <v>2.4507231752438594</v>
      </c>
      <c r="BC43" s="39">
        <f t="shared" ref="BC43" si="553">+IF(AY41&lt;0,1-BC41/AY41,BC41/AY41-1)</f>
        <v>0.8085078010401372</v>
      </c>
      <c r="BD43" s="39">
        <f t="shared" ref="BD43" si="554">+IF(AZ41&lt;0,1-BD41/AZ41,BD41/AZ41-1)</f>
        <v>1.0176892430278857</v>
      </c>
      <c r="BE43" s="39">
        <f t="shared" ref="BE43" si="555">+IF(BA41&lt;0,1-BE41/BA41,BE41/BA41-1)</f>
        <v>1.0739273025416805</v>
      </c>
      <c r="BF43" s="39">
        <f t="shared" ref="BF43" si="556">+IF(BB41&lt;0,1-BF41/BB41,BF41/BB41-1)</f>
        <v>0.11926113656302029</v>
      </c>
      <c r="BG43" s="39">
        <f t="shared" ref="BG43" si="557">+IF(BC41&lt;0,1-BG41/BC41,BG41/BC41-1)</f>
        <v>0.55345819200708135</v>
      </c>
      <c r="BH43" s="39">
        <f t="shared" ref="BH43" si="558">+IF(BD41&lt;0,1-BH41/BD41,BH41/BD41-1)</f>
        <v>0.36537398309770142</v>
      </c>
      <c r="BI43" s="39">
        <f t="shared" ref="BI43" si="559">+IF(BE41&lt;0,1-BI41/BE41,BI41/BE41-1)</f>
        <v>0.38676945377874161</v>
      </c>
      <c r="BJ43" s="39">
        <f t="shared" ref="BJ43" si="560">+IF(BF41&lt;0,1-BJ41/BF41,BJ41/BF41-1)</f>
        <v>0.29466579577617869</v>
      </c>
      <c r="BK43" s="39">
        <f t="shared" ref="BK43" si="561">+IF(BG41&lt;0,1-BK41/BG41,BK41/BG41-1)</f>
        <v>0.20519270932219302</v>
      </c>
      <c r="BL43" s="39">
        <f t="shared" ref="BL43" si="562">+IF(BH41&lt;0,1-BL41/BH41,BL41/BH41-1)</f>
        <v>0.84624284144154616</v>
      </c>
      <c r="BM43" s="39">
        <f t="shared" ref="BM43" si="563">+IF(BI41&lt;0,1-BM41/BI41,BM41/BI41-1)</f>
        <v>0.72290587732218503</v>
      </c>
      <c r="BN43" s="39">
        <f t="shared" ref="BN43" si="564">+IF(BJ41&lt;0,1-BN41/BJ41,BN41/BJ41-1)</f>
        <v>0.16520920220637692</v>
      </c>
      <c r="BO43" s="39">
        <f t="shared" ref="BO43" si="565">+IF(BK41&lt;0,1-BO41/BK41,BO41/BK41-1)</f>
        <v>-1.0994446851246504</v>
      </c>
      <c r="BP43" s="39">
        <f t="shared" ref="BP43" si="566">+IF(BL41&lt;0,1-BP41/BL41,BP41/BL41-1)</f>
        <v>-0.52155658603835042</v>
      </c>
      <c r="BQ43" s="39">
        <f t="shared" ref="BQ43" si="567">+IF(BM41&lt;0,1-BQ41/BM41,BQ41/BM41-1)</f>
        <v>-0.21267442501792611</v>
      </c>
      <c r="BR43" s="39">
        <f t="shared" ref="BR43" si="568">+IF(BN41&lt;0,1-BR41/BN41,BR41/BN41-1)</f>
        <v>0.21440942154485532</v>
      </c>
      <c r="BS43" s="39">
        <f t="shared" ref="BS43" si="569">+IF(BO41&lt;0,1-BS41/BO41,BS41/BO41-1)</f>
        <v>10.825346534653486</v>
      </c>
      <c r="BT43" s="39">
        <f t="shared" ref="BT43" si="570">+IF(BP41&lt;0,1-BT41/BP41,BT41/BP41-1)</f>
        <v>1.3797642436149293</v>
      </c>
      <c r="BU43" s="39">
        <f t="shared" ref="BU43" si="571">+IF(BQ41&lt;0,1-BU41/BQ41,BU41/BQ41-1)</f>
        <v>0.7617513134851186</v>
      </c>
      <c r="BV43" s="39">
        <f t="shared" ref="BV43" si="572">+IF(BR41&lt;0,1-BV41/BR41,BV41/BR41-1)</f>
        <v>0.30326583000570806</v>
      </c>
      <c r="BW43" s="39">
        <f t="shared" ref="BW43" si="573">+IF(BS41&lt;0,1-BW41/BS41,BW41/BS41-1)</f>
        <v>0.17001894473779355</v>
      </c>
      <c r="BX43" s="39">
        <f t="shared" ref="BX43" si="574">+IF(BT41&lt;0,1-BX41/BT41,BX41/BT41-1)</f>
        <v>-0.40771622774429606</v>
      </c>
      <c r="BY43" s="39">
        <f t="shared" ref="BY43" si="575">+IF(BU41&lt;0,1-BY41/BU41,BY41/BU41-1)</f>
        <v>-0.2976261481569854</v>
      </c>
      <c r="BZ43" s="39">
        <f t="shared" ref="BZ43" si="576">+IF(BV41&lt;0,1-BZ41/BV41,BZ41/BV41-1)</f>
        <v>-0.11068556108770744</v>
      </c>
      <c r="CA43" s="39">
        <f t="shared" ref="CA43" si="577">+IF(BW41&lt;0,1-CA41/BW41,CA41/BW41-1)</f>
        <v>0.30323491921314627</v>
      </c>
      <c r="CB43" s="39">
        <f t="shared" ref="CB43" si="578">+IF(BX41&lt;0,1-CB41/BX41,CB41/BX41-1)</f>
        <v>0.78794777679691541</v>
      </c>
      <c r="CC43" s="39">
        <f t="shared" ref="CC43" si="579">+IF(BY41&lt;0,1-CC41/BY41,CC41/BY41-1)</f>
        <v>-0.1205842391304357</v>
      </c>
      <c r="CD43" s="39">
        <f t="shared" ref="CD43" si="580">+IF(BZ41&lt;0,1-CD41/BZ41,CD41/BZ41-1)</f>
        <v>-0.67023501907222649</v>
      </c>
      <c r="CE43" s="39">
        <f t="shared" ref="CE43" si="581">+IF(CA41&lt;0,1-CE41/CA41,CE41/CA41-1)</f>
        <v>-8.3057971397604069E-2</v>
      </c>
      <c r="CF43" s="39">
        <f t="shared" ref="CF43" si="582">+IF(CB41&lt;0,1-CF41/CB41,CF41/CB41-1)</f>
        <v>-0.73442128787484862</v>
      </c>
      <c r="CG43" s="39">
        <f t="shared" ref="CG43" si="583">+IF(CC41&lt;0,1-CG41/CC41,CG41/CC41-1)</f>
        <v>-0.78804557744302606</v>
      </c>
      <c r="CH43" s="39">
        <f t="shared" ref="CH43:CL43" si="584">+IF(CD41&lt;0,1-CH41/CD41,CH41/CD41-1)</f>
        <v>-0.59769900497513107</v>
      </c>
      <c r="CI43" s="39">
        <f t="shared" si="584"/>
        <v>-0.98771874189177811</v>
      </c>
      <c r="CJ43" s="39">
        <f t="shared" si="584"/>
        <v>0.58180039138940987</v>
      </c>
      <c r="CK43" s="39">
        <f t="shared" si="584"/>
        <v>1.7093394077448476</v>
      </c>
      <c r="CL43" s="39">
        <f t="shared" si="584"/>
        <v>2.2709846962436826</v>
      </c>
      <c r="CM43" s="40">
        <f t="shared" ref="CM43" si="585">+CM41/CI41-1</f>
        <v>12.800855854051152</v>
      </c>
      <c r="CN43" s="40">
        <f t="shared" ref="CN43" si="586">+CN41/CJ41-1</f>
        <v>0.78716551979007177</v>
      </c>
      <c r="CO43" s="40">
        <f t="shared" ref="CO43" si="587">+CO41/CK41-1</f>
        <v>0.97372944038741083</v>
      </c>
      <c r="CP43" s="40">
        <f t="shared" ref="CP43" si="588">+CP41/CL41-1</f>
        <v>1.5579502266546785</v>
      </c>
      <c r="CQ43" s="40">
        <f t="shared" ref="CQ43" si="589">+CQ41/CM41-1</f>
        <v>2.7747079857230248</v>
      </c>
      <c r="CR43" s="40">
        <f t="shared" ref="CR43" si="590">+CR41/CN41-1</f>
        <v>0.77120088743184612</v>
      </c>
      <c r="CS43" s="40">
        <f t="shared" ref="CS43" si="591">+CS41/CO41-1</f>
        <v>0.70099883327618806</v>
      </c>
      <c r="CT43" s="40">
        <f t="shared" ref="CT43" si="592">+CT41/CP41-1</f>
        <v>0.60164067425403922</v>
      </c>
      <c r="CU43" s="40">
        <f t="shared" ref="CU43" si="593">+CU41/CQ41-1</f>
        <v>0.80754193409300767</v>
      </c>
      <c r="CV43" s="40">
        <f t="shared" ref="CV43" si="594">+CV41/CR41-1</f>
        <v>0.53714428166874972</v>
      </c>
      <c r="CW43" s="40">
        <f t="shared" ref="CW43" si="595">+CW41/CS41-1</f>
        <v>0.50639353432715972</v>
      </c>
      <c r="CX43" s="40">
        <f t="shared" ref="CX43" si="596">+CX41/CT41-1</f>
        <v>0.45878526660693941</v>
      </c>
      <c r="CY43" s="40">
        <f t="shared" ref="CY43" si="597">+CY41/CU41-1</f>
        <v>0.52970498215566009</v>
      </c>
      <c r="CZ43" s="40">
        <f t="shared" ref="CZ43" si="598">+CZ41/CV41-1</f>
        <v>0.44349395979863715</v>
      </c>
      <c r="DA43" s="40">
        <f t="shared" ref="DA43" si="599">+DA41/CW41-1</f>
        <v>0.42867942411288928</v>
      </c>
      <c r="DB43" s="40">
        <f t="shared" ref="DB43" si="600">+DB41/CX41-1</f>
        <v>0.40799319646715881</v>
      </c>
      <c r="DE43" s="122"/>
      <c r="DF43" s="39">
        <v>-5.9931910860653304E-2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>
        <f t="shared" ref="AY44" si="613">+IF(AX41&lt;0,1-AY41/AX41,AY41/AX41-1)</f>
        <v>0.26118398923646025</v>
      </c>
      <c r="AZ44" s="39">
        <f t="shared" ref="AZ44" si="614">+IF(AY41&lt;0,1-AZ41/AY41,AZ41/AY41-1)</f>
        <v>-0.16322176290171864</v>
      </c>
      <c r="BA44" s="39">
        <f t="shared" ref="BA44" si="615">+IF(AZ41&lt;0,1-BA41/AZ41,BA41/AZ41-1)</f>
        <v>0.16621513944222865</v>
      </c>
      <c r="BB44" s="39">
        <f t="shared" ref="BB44" si="616">+IF(BA41&lt;0,1-BB41/BA41,BB41/BA41-1)</f>
        <v>1.8037715222738471</v>
      </c>
      <c r="BC44" s="39">
        <f t="shared" ref="BC44" si="617">+IF(BB41&lt;0,1-BC41/BB41,BC41/BB41-1)</f>
        <v>-0.33901939760210631</v>
      </c>
      <c r="BD44" s="39">
        <f t="shared" ref="BD44" si="618">+IF(BC41&lt;0,1-BD41/BC41,BD41/BC41-1)</f>
        <v>-6.6435628963278481E-2</v>
      </c>
      <c r="BE44" s="39">
        <f t="shared" ref="BE44" si="619">+IF(BD41&lt;0,1-BE41/BD41,BE41/BD41-1)</f>
        <v>0.19872048021483368</v>
      </c>
      <c r="BF44" s="39">
        <f t="shared" ref="BF44" si="620">+IF(BE41&lt;0,1-BF41/BE41,BF41/BE41-1)</f>
        <v>0.51314489029452681</v>
      </c>
      <c r="BG44" s="39">
        <f t="shared" ref="BG44" si="621">+IF(BF41&lt;0,1-BG41/BF41,BG41/BF41-1)</f>
        <v>-8.2603962551710541E-2</v>
      </c>
      <c r="BH44" s="39">
        <f t="shared" ref="BH44" si="622">+IF(BG41&lt;0,1-BH41/BG41,BH41/BG41-1)</f>
        <v>-0.17946648946269272</v>
      </c>
      <c r="BI44" s="39">
        <f t="shared" ref="BI44" si="623">+IF(BH41&lt;0,1-BI41/BH41,BI41/BH41-1)</f>
        <v>0.2175044831376165</v>
      </c>
      <c r="BJ44" s="39">
        <f t="shared" ref="BJ44" si="624">+IF(BI41&lt;0,1-BJ41/BI41,BJ41/BI41-1)</f>
        <v>0.41264788330878699</v>
      </c>
      <c r="BK44" s="39">
        <f t="shared" ref="BK44" si="625">+IF(BJ41&lt;0,1-BK41/BJ41,BK41/BJ41-1)</f>
        <v>-0.14600430512579132</v>
      </c>
      <c r="BL44" s="39">
        <f t="shared" ref="BL44" si="626">+IF(BK41&lt;0,1-BL41/BK41,BL41/BK41-1)</f>
        <v>0.25698081997558342</v>
      </c>
      <c r="BM44" s="39">
        <f t="shared" ref="BM44" si="627">+IF(BL41&lt;0,1-BM41/BL41,BM41/BL41-1)</f>
        <v>0.13616994610853417</v>
      </c>
      <c r="BN44" s="39">
        <f t="shared" ref="BN44" si="628">+IF(BM41&lt;0,1-BN41/BM41,BN41/BM41-1)</f>
        <v>-4.4619712095305908E-2</v>
      </c>
      <c r="BO44" s="39">
        <f t="shared" ref="BO44" si="629">+IF(BN41&lt;0,1-BO41/BN41,BO41/BN41-1)</f>
        <v>-1.0728841935111419</v>
      </c>
      <c r="BP44" s="39">
        <f t="shared" ref="BP44" si="630">+IF(BO41&lt;0,1-BP41/BO41,BP41/BO41-1)</f>
        <v>7.0475247524752547</v>
      </c>
      <c r="BQ44" s="39">
        <f t="shared" ref="BQ44" si="631">+IF(BP41&lt;0,1-BQ41/BP41,BQ41/BP41-1)</f>
        <v>0.86967910936476311</v>
      </c>
      <c r="BR44" s="39">
        <f t="shared" ref="BR44" si="632">+IF(BQ41&lt;0,1-BR41/BQ41,BR41/BQ41-1)</f>
        <v>0.47362521891418718</v>
      </c>
      <c r="BS44" s="39">
        <f t="shared" ref="BS44" si="633">+IF(BR41&lt;0,1-BS41/BR41,BS41/BR41-1)</f>
        <v>-0.4103204031184623</v>
      </c>
      <c r="BT44" s="39">
        <f t="shared" ref="BT44" si="634">+IF(BS41&lt;0,1-BT41/BS41,BT41/BS41-1)</f>
        <v>0.46475069531218272</v>
      </c>
      <c r="BU44" s="39">
        <f t="shared" ref="BU44" si="635">+IF(BT41&lt;0,1-BU41/BT41,BU41/BT41-1)</f>
        <v>0.38413274993808466</v>
      </c>
      <c r="BV44" s="39">
        <f t="shared" ref="BV44" si="636">+IF(BU41&lt;0,1-BV41/BU41,BV41/BU41-1)</f>
        <v>9.0122867708458676E-2</v>
      </c>
      <c r="BW44" s="39">
        <f t="shared" ref="BW44" si="637">+IF(BV41&lt;0,1-BW41/BV41,BW41/BV41-1)</f>
        <v>-0.47060969159782051</v>
      </c>
      <c r="BX44" s="39">
        <f t="shared" ref="BX44" si="638">+IF(BW41&lt;0,1-BX41/BW41,BX41/BW41-1)</f>
        <v>-0.25851793158094016</v>
      </c>
      <c r="BY44" s="39">
        <f t="shared" ref="BY44" si="639">+IF(BX41&lt;0,1-BY41/BX41,BY41/BX41-1)</f>
        <v>0.64140686707243177</v>
      </c>
      <c r="BZ44" s="39">
        <f t="shared" ref="BZ44" si="640">+IF(BY41&lt;0,1-BZ41/BY41,BZ41/BY41-1)</f>
        <v>0.38026494565217472</v>
      </c>
      <c r="CA44" s="39">
        <f t="shared" ref="CA44" si="641">+IF(BZ41&lt;0,1-CA41/BZ41,CA41/BZ41-1)</f>
        <v>-0.22421147614946191</v>
      </c>
      <c r="CB44" s="39">
        <f t="shared" ref="CB44" si="642">+IF(CA41&lt;0,1-CB41/CA41,CB41/CA41-1)</f>
        <v>1.7261889026939814E-2</v>
      </c>
      <c r="CC44" s="39">
        <f t="shared" ref="CC44" si="643">+IF(CB41&lt;0,1-CC41/CB41,CC41/CB41-1)</f>
        <v>-0.19266150407983174</v>
      </c>
      <c r="CD44" s="39">
        <f t="shared" ref="CD44" si="644">+IF(CC41&lt;0,1-CD41/CC41,CD41/CC41-1)</f>
        <v>-0.48242564696793744</v>
      </c>
      <c r="CE44" s="39">
        <f t="shared" ref="CE44" si="645">+IF(CD41&lt;0,1-CE41/CD41,CE41/CD41-1)</f>
        <v>1.1571517412935188</v>
      </c>
      <c r="CF44" s="39">
        <f t="shared" ref="CF44" si="646">+IF(CE41&lt;0,1-CF41/CE41,CF41/CE41-1)</f>
        <v>-0.7053651223801396</v>
      </c>
      <c r="CG44" s="39">
        <f t="shared" ref="CG44" si="647">+IF(CF41&lt;0,1-CG41/CF41,CG41/CF41-1)</f>
        <v>-0.35567514677103729</v>
      </c>
      <c r="CH44" s="39">
        <f t="shared" ref="CH44:CL44" si="648">+IF(CG41&lt;0,1-CH41/CG41,CH41/CG41-1)</f>
        <v>-1.7615793470026619E-2</v>
      </c>
      <c r="CI44" s="39">
        <f t="shared" si="648"/>
        <v>-0.93414747256146269</v>
      </c>
      <c r="CJ44" s="39">
        <f t="shared" si="648"/>
        <v>36.948356807521066</v>
      </c>
      <c r="CK44" s="39">
        <f t="shared" si="648"/>
        <v>0.10361252010392641</v>
      </c>
      <c r="CL44" s="39">
        <f t="shared" si="648"/>
        <v>0.18603217308447872</v>
      </c>
      <c r="CM44" s="40">
        <f t="shared" ref="CM44" si="649">+CM41/CL41-1</f>
        <v>-0.72215668271151845</v>
      </c>
      <c r="CN44" s="40">
        <f t="shared" ref="CN44" si="650">+CN41/CM41-1</f>
        <v>3.9141876080956504</v>
      </c>
      <c r="CO44" s="40">
        <f t="shared" ref="CO44" si="651">+CO41/CN41-1</f>
        <v>0.21881968826543119</v>
      </c>
      <c r="CP44" s="40">
        <f t="shared" ref="CP44" si="652">+CP41/CO41-1</f>
        <v>0.53709581662099315</v>
      </c>
      <c r="CQ44" s="40">
        <f t="shared" ref="CQ44" si="653">+CQ41/CP41-1</f>
        <v>-0.58999304301545663</v>
      </c>
      <c r="CR44" s="40">
        <f t="shared" ref="CR44" si="654">+CR41/CQ41-1</f>
        <v>1.305877298425878</v>
      </c>
      <c r="CS44" s="40">
        <f t="shared" ref="CS44" si="655">+CS41/CR41-1</f>
        <v>0.17051142105038086</v>
      </c>
      <c r="CT44" s="40">
        <f t="shared" ref="CT44" si="656">+CT41/CS41-1</f>
        <v>0.44731150425555888</v>
      </c>
      <c r="CU44" s="40">
        <f t="shared" ref="CU44" si="657">+CU41/CT41-1</f>
        <v>-0.53728399888158551</v>
      </c>
      <c r="CV44" s="40">
        <f t="shared" ref="CV44" si="658">+CV41/CU41-1</f>
        <v>0.96093160366078778</v>
      </c>
      <c r="CW44" s="40">
        <f t="shared" ref="CW44" si="659">+CW41/CV41-1</f>
        <v>0.14709520606105686</v>
      </c>
      <c r="CX44" s="40">
        <f t="shared" ref="CX44" si="660">+CX41/CW41-1</f>
        <v>0.40157047311131011</v>
      </c>
      <c r="CY44" s="40">
        <f t="shared" ref="CY44" si="661">+CY41/CX41-1</f>
        <v>-0.51478878458902055</v>
      </c>
      <c r="CZ44" s="40">
        <f t="shared" ref="CZ44" si="662">+CZ41/CY41-1</f>
        <v>0.85041753702974221</v>
      </c>
      <c r="DA44" s="40">
        <f t="shared" ref="DA44" si="663">+DA41/CZ41-1</f>
        <v>0.13532260199175239</v>
      </c>
      <c r="DB44" s="40">
        <f t="shared" ref="DB44" si="664">+DB41/DA41-1</f>
        <v>0.381276763144627</v>
      </c>
      <c r="DE44" s="122"/>
      <c r="DF44" s="39">
        <v>-0.65913903544406827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0.80759999999999998</v>
      </c>
      <c r="R45" s="75">
        <f>'Annual Raw'!S32</f>
        <v>-0.1084</v>
      </c>
      <c r="S45" s="75">
        <f>'Annual Raw'!T32</f>
        <v>-0.4748</v>
      </c>
      <c r="T45" s="75">
        <f>'Annual Raw'!U32</f>
        <v>0.22189999999999999</v>
      </c>
      <c r="U45" s="75">
        <f>'Annual Raw'!V32</f>
        <v>0.16689999999999999</v>
      </c>
      <c r="V45" s="75">
        <f>'Annual Raw'!W32</f>
        <v>0.58020000000000005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-1E-3</v>
      </c>
      <c r="BH45" s="75">
        <f>'QTR Raw'!AB34</f>
        <v>5.7000000000000002E-2</v>
      </c>
      <c r="BI45" s="75">
        <f>'QTR Raw'!AC34</f>
        <v>9.1999999999999998E-2</v>
      </c>
      <c r="BJ45" s="75">
        <f>'QTR Raw'!AD34</f>
        <v>7.3999999999999996E-2</v>
      </c>
      <c r="BK45" s="75">
        <f>'QTR Raw'!AE34</f>
        <v>4.8000000000000001E-2</v>
      </c>
      <c r="BL45" s="75">
        <f>'QTR Raw'!AF34</f>
        <v>6.0999999999999999E-2</v>
      </c>
      <c r="BM45" s="75">
        <f>'QTR Raw'!AG34</f>
        <v>4.7E-2</v>
      </c>
      <c r="BN45" s="75">
        <f>'QTR Raw'!AH34</f>
        <v>1.0999999999999999E-2</v>
      </c>
      <c r="BO45" s="75">
        <f>'QTR Raw'!AI34</f>
        <v>6.5000000000000002E-2</v>
      </c>
      <c r="BP45" s="75">
        <f>'QTR Raw'!AJ34</f>
        <v>5.6000000000000001E-2</v>
      </c>
      <c r="BQ45" s="75">
        <f>'QTR Raw'!AK34</f>
        <v>0.45900000000000002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9.0700000000000003E-2</v>
      </c>
      <c r="U46" s="75">
        <f>'Annual Raw'!V33+'Annual Raw'!V28</f>
        <v>0.1074</v>
      </c>
      <c r="V46" s="75">
        <f>'Annual Raw'!W33+'Annual Raw'!W28</f>
        <v>-2.4194</v>
      </c>
      <c r="W46" s="75">
        <f>'Annual Raw'!X33+'Annual Raw'!X28</f>
        <v>0.37759999999999999</v>
      </c>
      <c r="X46" s="75">
        <f>'Annual Raw'!Y33+'Annual Raw'!Y28</f>
        <v>-2.7</v>
      </c>
      <c r="Y46" s="75">
        <f>'Annual Raw'!Z33+'Annual Raw'!Z28</f>
        <v>-0.48530000000000001</v>
      </c>
      <c r="Z46" s="75">
        <f>'Annual Raw'!AA33+'Annual Raw'!AA28</f>
        <v>-1.5424</v>
      </c>
      <c r="AA46" s="75">
        <f>'Annual Raw'!AB33+'Annual Raw'!AB28</f>
        <v>-7.6300000000000007E-2</v>
      </c>
      <c r="AB46" s="76">
        <f t="shared" si="665"/>
        <v>-0.26800000000000002</v>
      </c>
      <c r="AC46" s="76">
        <f t="shared" si="666"/>
        <v>-0.26800000000000002</v>
      </c>
      <c r="AD46" s="76">
        <f t="shared" si="667"/>
        <v>-0.26800000000000002</v>
      </c>
      <c r="AE46" s="76">
        <f t="shared" si="668"/>
        <v>-0.26800000000000002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9.0999999999999998E-2</v>
      </c>
      <c r="BK46" s="75">
        <f>'QTR Raw'!AE35</f>
        <v>-0.11</v>
      </c>
      <c r="BL46" s="75">
        <f>'QTR Raw'!AF35</f>
        <v>0.54400000000000004</v>
      </c>
      <c r="BM46" s="75">
        <f>'QTR Raw'!AG35</f>
        <v>0.214</v>
      </c>
      <c r="BN46" s="75">
        <f>'QTR Raw'!AH35</f>
        <v>-0.55200000000000005</v>
      </c>
      <c r="BO46" s="75">
        <f>'QTR Raw'!AI35</f>
        <v>-0.98299999999999998</v>
      </c>
      <c r="BP46" s="75">
        <f>'QTR Raw'!AJ35</f>
        <v>-1.256</v>
      </c>
      <c r="BQ46" s="75">
        <f>'QTR Raw'!AK35</f>
        <v>0.156</v>
      </c>
      <c r="BR46" s="75">
        <f>'QTR Raw'!AL35</f>
        <v>-0.33700000000000002</v>
      </c>
      <c r="BS46" s="75">
        <f>'QTR Raw'!AM35</f>
        <v>0.1</v>
      </c>
      <c r="BT46" s="75">
        <f>'QTR Raw'!AN35</f>
        <v>5.5E-2</v>
      </c>
      <c r="BU46" s="75">
        <f>'QTR Raw'!AO35</f>
        <v>-0.16600000000000001</v>
      </c>
      <c r="BV46" s="75">
        <f>'QTR Raw'!AP35</f>
        <v>0.38900000000000001</v>
      </c>
      <c r="BW46" s="75">
        <f>'QTR Raw'!AQ35</f>
        <v>0.01</v>
      </c>
      <c r="BX46" s="75">
        <f>'QTR Raw'!AR35</f>
        <v>2.1999999999999999E-2</v>
      </c>
      <c r="BY46" s="75">
        <f>'QTR Raw'!AS35</f>
        <v>3.2000000000000001E-2</v>
      </c>
      <c r="BZ46" s="75">
        <f>'QTR Raw'!AT35</f>
        <v>-2.7639999999999998</v>
      </c>
      <c r="CA46" s="75">
        <f>'QTR Raw'!AU35</f>
        <v>1.7999999999999999E-2</v>
      </c>
      <c r="CB46" s="75">
        <f>'QTR Raw'!AV35</f>
        <v>3.7999999999999999E-2</v>
      </c>
      <c r="CC46" s="75">
        <f>'QTR Raw'!AW35</f>
        <v>1.7000000000000001E-2</v>
      </c>
      <c r="CD46" s="75">
        <f>'QTR Raw'!AX35</f>
        <v>-0.55800000000000005</v>
      </c>
      <c r="CE46" s="75">
        <f>'QTR Raw'!AY35</f>
        <v>-3.0000000000000001E-3</v>
      </c>
      <c r="CF46" s="75">
        <f>'QTR Raw'!AZ35</f>
        <v>-3.0000000000000001E-3</v>
      </c>
      <c r="CG46" s="75">
        <f>'QTR Raw'!BA35</f>
        <v>-1.5309999999999999</v>
      </c>
      <c r="CH46" s="75">
        <f>'QTR Raw'!BB35</f>
        <v>-6.0000000000000001E-3</v>
      </c>
      <c r="CI46" s="75">
        <f>'QTR Raw'!BC35</f>
        <v>-4.0000000000000001E-3</v>
      </c>
      <c r="CJ46" s="75">
        <f>'QTR Raw'!BD35</f>
        <v>1E-3</v>
      </c>
      <c r="CK46" s="75">
        <f>'QTR Raw'!BE35</f>
        <v>-7.0000000000000001E-3</v>
      </c>
      <c r="CL46" s="75">
        <f>'QTR Raw'!BF35</f>
        <v>-6.7000000000000004E-2</v>
      </c>
      <c r="CM46" s="76">
        <f t="shared" si="669"/>
        <v>-6.7000000000000004E-2</v>
      </c>
      <c r="CN46" s="76">
        <f t="shared" si="670"/>
        <v>-6.7000000000000004E-2</v>
      </c>
      <c r="CO46" s="76">
        <f t="shared" si="671"/>
        <v>-6.7000000000000004E-2</v>
      </c>
      <c r="CP46" s="76">
        <f t="shared" si="672"/>
        <v>-6.7000000000000004E-2</v>
      </c>
      <c r="CQ46" s="76">
        <f t="shared" si="673"/>
        <v>-6.7000000000000004E-2</v>
      </c>
      <c r="CR46" s="76">
        <f t="shared" si="674"/>
        <v>-6.7000000000000004E-2</v>
      </c>
      <c r="CS46" s="76">
        <f t="shared" si="675"/>
        <v>-6.7000000000000004E-2</v>
      </c>
      <c r="CT46" s="76">
        <f t="shared" si="676"/>
        <v>-6.7000000000000004E-2</v>
      </c>
      <c r="CU46" s="76">
        <f t="shared" si="677"/>
        <v>-6.7000000000000004E-2</v>
      </c>
      <c r="CV46" s="76">
        <f t="shared" si="678"/>
        <v>-6.7000000000000004E-2</v>
      </c>
      <c r="CW46" s="76">
        <f t="shared" si="679"/>
        <v>-6.7000000000000004E-2</v>
      </c>
      <c r="CX46" s="76">
        <f t="shared" si="680"/>
        <v>-6.7000000000000004E-2</v>
      </c>
      <c r="CY46" s="76">
        <f t="shared" si="681"/>
        <v>-6.7000000000000004E-2</v>
      </c>
      <c r="CZ46" s="76">
        <f t="shared" si="682"/>
        <v>-6.7000000000000004E-2</v>
      </c>
      <c r="DA46" s="76">
        <f t="shared" si="683"/>
        <v>-6.7000000000000004E-2</v>
      </c>
      <c r="DB46" s="76">
        <f t="shared" si="684"/>
        <v>-6.7000000000000004E-2</v>
      </c>
      <c r="DE46" s="131"/>
      <c r="DF46" s="75">
        <v>-7.0000000000000001E-3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8.3519999999999879</v>
      </c>
      <c r="N48" s="26">
        <f t="shared" si="685"/>
        <v>12.250000000000025</v>
      </c>
      <c r="O48" s="26">
        <f t="shared" si="685"/>
        <v>10.069999999999981</v>
      </c>
      <c r="P48" s="26">
        <f t="shared" si="685"/>
        <v>14.053999999999998</v>
      </c>
      <c r="Q48" s="26">
        <f t="shared" si="685"/>
        <v>22.83209999999994</v>
      </c>
      <c r="R48" s="26">
        <f t="shared" si="685"/>
        <v>41.505000000000017</v>
      </c>
      <c r="S48" s="26">
        <f t="shared" si="685"/>
        <v>65.524099999999947</v>
      </c>
      <c r="T48" s="26">
        <f t="shared" si="685"/>
        <v>89.431999999999931</v>
      </c>
      <c r="U48" s="26">
        <f t="shared" si="685"/>
        <v>128.47609999999995</v>
      </c>
      <c r="V48" s="26">
        <f>V41+V45+V46+V47</f>
        <v>81.526499999999871</v>
      </c>
      <c r="W48" s="26">
        <f>W41+W45+W46+W47</f>
        <v>166.65229999999983</v>
      </c>
      <c r="X48" s="26">
        <f>X41+X45+X46+X47</f>
        <v>131.94119999999992</v>
      </c>
      <c r="Y48" s="26">
        <f>Y41+Y45+Y46+Y47</f>
        <v>122.97270000000015</v>
      </c>
      <c r="Z48" s="26">
        <f>Z41+Z45+Z46+Z47</f>
        <v>56.417999999999807</v>
      </c>
      <c r="AA48" s="26">
        <f>AA41+AA45+AA46+AA47</f>
        <v>55.515799999999736</v>
      </c>
      <c r="AB48" s="27">
        <f t="shared" ref="AA48:AD48" si="686">AB41+AB45+AB46+AB47</f>
        <v>123.84201612871585</v>
      </c>
      <c r="AC48" s="27">
        <f t="shared" si="686"/>
        <v>219.68501766684912</v>
      </c>
      <c r="AD48" s="27">
        <f t="shared" si="686"/>
        <v>335.19731807366884</v>
      </c>
      <c r="AE48" s="27">
        <f t="shared" ref="AE48" si="687">AE41+AE45+AE46+AE47</f>
        <v>481.60610980259247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5.9460000000000033</v>
      </c>
      <c r="AY48" s="26">
        <f t="shared" si="692"/>
        <v>7.498999999999997</v>
      </c>
      <c r="AZ48" s="26">
        <f t="shared" si="692"/>
        <v>6.2750000000000092</v>
      </c>
      <c r="BA48" s="26">
        <f t="shared" si="692"/>
        <v>7.3179999999999961</v>
      </c>
      <c r="BB48" s="26">
        <f t="shared" si="692"/>
        <v>20.518000000000001</v>
      </c>
      <c r="BC48" s="26">
        <f t="shared" si="692"/>
        <v>13.561999999999983</v>
      </c>
      <c r="BD48" s="26">
        <f t="shared" si="692"/>
        <v>12.661000000000001</v>
      </c>
      <c r="BE48" s="26">
        <f t="shared" si="692"/>
        <v>15.17700000000001</v>
      </c>
      <c r="BF48" s="26">
        <f t="shared" si="692"/>
        <v>22.96500000000005</v>
      </c>
      <c r="BG48" s="26">
        <f t="shared" si="692"/>
        <v>21.067000000000011</v>
      </c>
      <c r="BH48" s="26">
        <f t="shared" si="692"/>
        <v>17.343999999999998</v>
      </c>
      <c r="BI48" s="26">
        <f t="shared" si="692"/>
        <v>21.138999999999974</v>
      </c>
      <c r="BJ48" s="26">
        <f t="shared" si="692"/>
        <v>29.897000000000009</v>
      </c>
      <c r="BK48" s="26">
        <f t="shared" si="692"/>
        <v>25.328999999999976</v>
      </c>
      <c r="BL48" s="26">
        <f t="shared" si="692"/>
        <v>32.521000000000008</v>
      </c>
      <c r="BM48" s="26">
        <f t="shared" si="692"/>
        <v>36.522999999999982</v>
      </c>
      <c r="BN48" s="26">
        <f t="shared" si="692"/>
        <v>34.103000000000009</v>
      </c>
      <c r="BO48" s="26">
        <f t="shared" si="692"/>
        <v>-3.4429999999999992</v>
      </c>
      <c r="BP48" s="26">
        <f t="shared" si="692"/>
        <v>14.070000000000011</v>
      </c>
      <c r="BQ48" s="26">
        <f t="shared" si="692"/>
        <v>29.164999999999953</v>
      </c>
      <c r="BR48" s="26">
        <f t="shared" si="692"/>
        <v>41.734999999999971</v>
      </c>
      <c r="BS48" s="26">
        <f t="shared" si="692"/>
        <v>24.909000000000042</v>
      </c>
      <c r="BT48" s="26">
        <f t="shared" si="692"/>
        <v>36.393999999999998</v>
      </c>
      <c r="BU48" s="26">
        <f t="shared" si="692"/>
        <v>50.132000000000062</v>
      </c>
      <c r="BV48" s="26">
        <f t="shared" si="692"/>
        <v>55.22000000000012</v>
      </c>
      <c r="BW48" s="26">
        <f t="shared" si="692"/>
        <v>29.036999999999967</v>
      </c>
      <c r="BX48" s="26">
        <f t="shared" si="692"/>
        <v>21.545000000000023</v>
      </c>
      <c r="BY48" s="26">
        <f t="shared" si="692"/>
        <v>35.359999999999985</v>
      </c>
      <c r="BZ48" s="26">
        <f t="shared" si="692"/>
        <v>45.998000000000012</v>
      </c>
      <c r="CA48" s="26">
        <f t="shared" si="692"/>
        <v>37.846999999999952</v>
      </c>
      <c r="CB48" s="26">
        <f t="shared" si="692"/>
        <v>38.520000000000053</v>
      </c>
      <c r="CC48" s="26">
        <f t="shared" si="692"/>
        <v>31.084999999999958</v>
      </c>
      <c r="CD48" s="26">
        <f t="shared" si="692"/>
        <v>15.522000000000098</v>
      </c>
      <c r="CE48" s="26">
        <f t="shared" ref="CE48:CF48" si="693">CE41+CE45+CE46+CE47</f>
        <v>34.68399999999999</v>
      </c>
      <c r="CF48" s="26">
        <f t="shared" si="693"/>
        <v>10.217000000000093</v>
      </c>
      <c r="CG48" s="26">
        <f t="shared" ref="CG48:CH48" si="694">CG41+CG45+CG46+CG47</f>
        <v>5.0540000000000589</v>
      </c>
      <c r="CH48" s="26">
        <f t="shared" si="694"/>
        <v>6.4629999999999317</v>
      </c>
      <c r="CI48" s="26">
        <f t="shared" ref="CI48:CJ48" si="695">CI41+CI45+CI46+CI47</f>
        <v>0.42199999999989307</v>
      </c>
      <c r="CJ48" s="26">
        <f t="shared" si="695"/>
        <v>16.166999999999916</v>
      </c>
      <c r="CK48" s="26">
        <f t="shared" ref="CK48:CL48" si="696">CK41+CK45+CK46+CK47</f>
        <v>17.833999999999978</v>
      </c>
      <c r="CL48" s="26">
        <f t="shared" si="696"/>
        <v>21.09300000000016</v>
      </c>
      <c r="CM48" s="27">
        <f t="shared" ref="CM48:DB48" si="697">CM41+CM45+CM46+CM47</f>
        <v>5.8121645938243152</v>
      </c>
      <c r="CN48" s="27">
        <f t="shared" si="697"/>
        <v>28.824317792926148</v>
      </c>
      <c r="CO48" s="27">
        <f t="shared" si="697"/>
        <v>35.146306945951757</v>
      </c>
      <c r="CP48" s="27">
        <f t="shared" si="697"/>
        <v>54.059226796013405</v>
      </c>
      <c r="CQ48" s="27">
        <f t="shared" si="697"/>
        <v>22.125129541688707</v>
      </c>
      <c r="CR48" s="27">
        <f t="shared" si="697"/>
        <v>51.105327713906277</v>
      </c>
      <c r="CS48" s="27">
        <f t="shared" si="697"/>
        <v>59.830794030860226</v>
      </c>
      <c r="CT48" s="27">
        <f t="shared" si="697"/>
        <v>86.62376638039396</v>
      </c>
      <c r="CU48" s="27">
        <f t="shared" si="697"/>
        <v>40.046204753426579</v>
      </c>
      <c r="CV48" s="27">
        <f t="shared" si="697"/>
        <v>78.592250925110321</v>
      </c>
      <c r="CW48" s="27">
        <f t="shared" si="697"/>
        <v>90.162649648547799</v>
      </c>
      <c r="CX48" s="27">
        <f t="shared" si="697"/>
        <v>126.39621274658289</v>
      </c>
      <c r="CY48" s="27">
        <f t="shared" si="697"/>
        <v>61.294369161546747</v>
      </c>
      <c r="CZ48" s="27">
        <f t="shared" si="697"/>
        <v>113.47715359268211</v>
      </c>
      <c r="DA48" s="27">
        <f t="shared" si="697"/>
        <v>128.84224389779502</v>
      </c>
      <c r="DB48" s="27">
        <f t="shared" si="697"/>
        <v>177.99234315056756</v>
      </c>
      <c r="DE48" s="121"/>
      <c r="DF48" s="26">
        <v>6.0743004686423703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8.3520000000000003</v>
      </c>
      <c r="N51" s="22">
        <f>'Annual Raw'!O35</f>
        <v>12.25</v>
      </c>
      <c r="O51" s="22">
        <f>'Annual Raw'!P35</f>
        <v>10.07</v>
      </c>
      <c r="P51" s="22">
        <f>'Annual Raw'!Q35</f>
        <v>14.054</v>
      </c>
      <c r="Q51" s="22">
        <f>'Annual Raw'!R35</f>
        <v>22.832100000000001</v>
      </c>
      <c r="R51" s="22">
        <f>'Annual Raw'!S35</f>
        <v>41.505000000000003</v>
      </c>
      <c r="S51" s="22">
        <f>'Annual Raw'!T35</f>
        <v>65.524100000000004</v>
      </c>
      <c r="T51" s="22">
        <f>'Annual Raw'!U35</f>
        <v>89.432000000000002</v>
      </c>
      <c r="U51" s="22">
        <f>'Annual Raw'!V35</f>
        <v>128.4761</v>
      </c>
      <c r="V51" s="22">
        <f>'Annual Raw'!W35</f>
        <v>81.526499999999999</v>
      </c>
      <c r="W51" s="22">
        <f>'Annual Raw'!X35</f>
        <v>166.6523</v>
      </c>
      <c r="X51" s="22">
        <f>'Annual Raw'!Y35</f>
        <v>131.94120000000001</v>
      </c>
      <c r="Y51" s="22">
        <f>'Annual Raw'!Z35</f>
        <v>122.9727</v>
      </c>
      <c r="Z51" s="22">
        <f>'Annual Raw'!AA35</f>
        <v>56.417999999999999</v>
      </c>
      <c r="AA51" s="22">
        <f>'Annual Raw'!AB35</f>
        <v>55.515799999999999</v>
      </c>
      <c r="AB51" s="21">
        <f t="shared" ref="AA51:AD51" si="698">+AB48</f>
        <v>123.84201612871585</v>
      </c>
      <c r="AC51" s="21">
        <f t="shared" si="698"/>
        <v>219.68501766684912</v>
      </c>
      <c r="AD51" s="21">
        <f t="shared" si="698"/>
        <v>335.19731807366884</v>
      </c>
      <c r="AE51" s="21">
        <f t="shared" ref="AE51" si="699">+AE48</f>
        <v>481.60610980259247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5.9470000000000001</v>
      </c>
      <c r="AY51" s="22">
        <f>'QTR Raw'!S42</f>
        <v>7.4989999999999997</v>
      </c>
      <c r="AZ51" s="22">
        <f>'QTR Raw'!T42</f>
        <v>6.2750000000000004</v>
      </c>
      <c r="BA51" s="22">
        <f>'QTR Raw'!U42</f>
        <v>7.3179999999999996</v>
      </c>
      <c r="BB51" s="22">
        <f>'QTR Raw'!V42</f>
        <v>20.518000000000001</v>
      </c>
      <c r="BC51" s="22">
        <f>'QTR Raw'!W42</f>
        <v>13.561</v>
      </c>
      <c r="BD51" s="22">
        <f>'QTR Raw'!X42</f>
        <v>12.662000000000001</v>
      </c>
      <c r="BE51" s="22">
        <f>'QTR Raw'!Y42</f>
        <v>15.178000000000001</v>
      </c>
      <c r="BF51" s="22">
        <f>'QTR Raw'!Z42</f>
        <v>22.965</v>
      </c>
      <c r="BG51" s="22">
        <f>'QTR Raw'!AA42</f>
        <v>21.068000000000001</v>
      </c>
      <c r="BH51" s="22">
        <f>'QTR Raw'!AB42</f>
        <v>17.344000000000001</v>
      </c>
      <c r="BI51" s="22">
        <f>'QTR Raw'!AC42</f>
        <v>21.14</v>
      </c>
      <c r="BJ51" s="22">
        <f>'QTR Raw'!AD42</f>
        <v>29.896000000000001</v>
      </c>
      <c r="BK51" s="22">
        <f>'QTR Raw'!AE42</f>
        <v>25.329000000000001</v>
      </c>
      <c r="BL51" s="22">
        <f>'QTR Raw'!AF42</f>
        <v>32.523000000000003</v>
      </c>
      <c r="BM51" s="22">
        <f>'QTR Raw'!AG42</f>
        <v>36.521999999999998</v>
      </c>
      <c r="BN51" s="22">
        <f>'QTR Raw'!AH42</f>
        <v>34.103000000000002</v>
      </c>
      <c r="BO51" s="22">
        <f>'QTR Raw'!AI42</f>
        <v>-3.444</v>
      </c>
      <c r="BP51" s="22">
        <f>'QTR Raw'!AJ42</f>
        <v>14.07</v>
      </c>
      <c r="BQ51" s="22">
        <f>'QTR Raw'!AK42</f>
        <v>29.164999999999999</v>
      </c>
      <c r="BR51" s="22">
        <f>'QTR Raw'!AL42</f>
        <v>41.735999999999997</v>
      </c>
      <c r="BS51" s="22">
        <f>'QTR Raw'!AM42</f>
        <v>24.908999999999999</v>
      </c>
      <c r="BT51" s="22">
        <f>'QTR Raw'!AN42</f>
        <v>36.392000000000003</v>
      </c>
      <c r="BU51" s="22">
        <f>'QTR Raw'!AO42</f>
        <v>50.131999999999998</v>
      </c>
      <c r="BV51" s="22">
        <f>'QTR Raw'!AP42</f>
        <v>55.219000000000001</v>
      </c>
      <c r="BW51" s="22">
        <f>'QTR Raw'!AQ42</f>
        <v>29.036999999999999</v>
      </c>
      <c r="BX51" s="22">
        <f>'QTR Raw'!AR42</f>
        <v>21.545999999999999</v>
      </c>
      <c r="BY51" s="22">
        <f>'QTR Raw'!AS42</f>
        <v>35.36</v>
      </c>
      <c r="BZ51" s="22">
        <f>'QTR Raw'!AT42</f>
        <v>45.997999999999998</v>
      </c>
      <c r="CA51" s="22">
        <f>'QTR Raw'!AU42</f>
        <v>37.847999999999999</v>
      </c>
      <c r="CB51" s="22">
        <f>'QTR Raw'!AV42</f>
        <v>38.520000000000003</v>
      </c>
      <c r="CC51" s="22">
        <f>'QTR Raw'!AW42</f>
        <v>31.082999999999998</v>
      </c>
      <c r="CD51" s="22">
        <f>'QTR Raw'!AX42</f>
        <v>15.522</v>
      </c>
      <c r="CE51" s="22">
        <f>'QTR Raw'!AY42</f>
        <v>34.683999999999997</v>
      </c>
      <c r="CF51" s="22">
        <f>'QTR Raw'!AZ42</f>
        <v>10.217000000000001</v>
      </c>
      <c r="CG51" s="22">
        <f>'QTR Raw'!BA42</f>
        <v>5.0529999999999999</v>
      </c>
      <c r="CH51" s="22">
        <f>'QTR Raw'!BB42</f>
        <v>6.4630000000000001</v>
      </c>
      <c r="CI51" s="22">
        <f>'QTR Raw'!BC42</f>
        <v>0.42299999999999999</v>
      </c>
      <c r="CJ51" s="22">
        <f>'QTR Raw'!BD42</f>
        <v>16.164999999999999</v>
      </c>
      <c r="CK51" s="22">
        <f>'QTR Raw'!BE42</f>
        <v>17.834</v>
      </c>
      <c r="CL51" s="22">
        <f>'QTR Raw'!BF42</f>
        <v>21.093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55.51600000000019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-2.4868995751603507E-14</v>
      </c>
      <c r="O52" s="25">
        <f t="shared" si="700"/>
        <v>1.9539925233402755E-14</v>
      </c>
      <c r="P52" s="25">
        <f t="shared" si="700"/>
        <v>0</v>
      </c>
      <c r="Q52" s="25">
        <f t="shared" si="700"/>
        <v>6.0396132539608516E-14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1.2789769243681803E-13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-1.4210854715202004E-13</v>
      </c>
      <c r="Z52" s="25">
        <f t="shared" ref="Z52:AA52" si="703">Z51-Z48</f>
        <v>1.9184653865522705E-13</v>
      </c>
      <c r="AA52" s="25">
        <f t="shared" si="703"/>
        <v>2.6290081223123707E-13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9.9999999999678124E-4</v>
      </c>
      <c r="AY52" s="25">
        <f t="shared" si="710"/>
        <v>0</v>
      </c>
      <c r="AZ52" s="25">
        <f t="shared" si="710"/>
        <v>-8.8817841970012523E-15</v>
      </c>
      <c r="BA52" s="25">
        <f t="shared" si="710"/>
        <v>0</v>
      </c>
      <c r="BB52" s="25">
        <f t="shared" si="710"/>
        <v>0</v>
      </c>
      <c r="BC52" s="25">
        <f t="shared" si="710"/>
        <v>-9.9999999998345857E-4</v>
      </c>
      <c r="BD52" s="25">
        <f t="shared" si="710"/>
        <v>9.9999999999944578E-4</v>
      </c>
      <c r="BE52" s="25">
        <f t="shared" si="710"/>
        <v>9.9999999999056399E-4</v>
      </c>
      <c r="BF52" s="25">
        <f t="shared" si="710"/>
        <v>-4.9737991503207013E-14</v>
      </c>
      <c r="BG52" s="25">
        <f t="shared" si="710"/>
        <v>9.9999999999056399E-4</v>
      </c>
      <c r="BH52" s="25">
        <f t="shared" si="710"/>
        <v>0</v>
      </c>
      <c r="BI52" s="25">
        <f t="shared" si="710"/>
        <v>1.0000000000260911E-3</v>
      </c>
      <c r="BJ52" s="25">
        <f t="shared" si="710"/>
        <v>-1.0000000000083276E-3</v>
      </c>
      <c r="BK52" s="25">
        <f t="shared" si="710"/>
        <v>0</v>
      </c>
      <c r="BL52" s="25">
        <f t="shared" si="710"/>
        <v>1.9999999999953388E-3</v>
      </c>
      <c r="BM52" s="25">
        <f t="shared" si="710"/>
        <v>-9.9999999998345857E-4</v>
      </c>
      <c r="BN52" s="25">
        <f t="shared" si="710"/>
        <v>0</v>
      </c>
      <c r="BO52" s="25">
        <f t="shared" si="710"/>
        <v>-1.000000000000778E-3</v>
      </c>
      <c r="BP52" s="25">
        <f t="shared" si="710"/>
        <v>0</v>
      </c>
      <c r="BQ52" s="25">
        <f t="shared" si="710"/>
        <v>4.6185277824406512E-14</v>
      </c>
      <c r="BR52" s="25">
        <f t="shared" si="710"/>
        <v>1.0000000000260911E-3</v>
      </c>
      <c r="BS52" s="25">
        <f t="shared" si="710"/>
        <v>-4.2632564145606011E-14</v>
      </c>
      <c r="BT52" s="25">
        <f t="shared" si="710"/>
        <v>-1.9999999999953388E-3</v>
      </c>
      <c r="BU52" s="25">
        <f t="shared" si="710"/>
        <v>-6.3948846218409017E-14</v>
      </c>
      <c r="BV52" s="25">
        <f t="shared" si="710"/>
        <v>-1.0000000001184617E-3</v>
      </c>
      <c r="BW52" s="25">
        <f t="shared" si="710"/>
        <v>3.1974423109204508E-14</v>
      </c>
      <c r="BX52" s="25">
        <f t="shared" si="710"/>
        <v>9.9999999997635314E-4</v>
      </c>
      <c r="BY52" s="25">
        <f t="shared" si="710"/>
        <v>0</v>
      </c>
      <c r="BZ52" s="25">
        <f t="shared" si="710"/>
        <v>0</v>
      </c>
      <c r="CA52" s="25">
        <f t="shared" si="710"/>
        <v>1.0000000000474074E-3</v>
      </c>
      <c r="CB52" s="25">
        <f t="shared" si="710"/>
        <v>0</v>
      </c>
      <c r="CC52" s="25">
        <f t="shared" si="710"/>
        <v>-1.9999999999598117E-3</v>
      </c>
      <c r="CD52" s="25">
        <f t="shared" si="710"/>
        <v>-9.7699626167013776E-14</v>
      </c>
      <c r="CE52" s="25">
        <f t="shared" ref="CE52:CF52" si="711">CE51-CE48</f>
        <v>0</v>
      </c>
      <c r="CF52" s="25">
        <f t="shared" si="711"/>
        <v>-9.2370555648813024E-14</v>
      </c>
      <c r="CG52" s="25">
        <f t="shared" ref="CG52:CH52" si="712">CG51-CG48</f>
        <v>-1.0000000000589537E-3</v>
      </c>
      <c r="CH52" s="25">
        <f t="shared" si="712"/>
        <v>6.8389738316909643E-14</v>
      </c>
      <c r="CI52" s="25">
        <f t="shared" ref="CI52:CJ52" si="713">CI51-CI48</f>
        <v>1.0000000001069154E-3</v>
      </c>
      <c r="CJ52" s="25">
        <f t="shared" si="713"/>
        <v>-1.9999999999171791E-3</v>
      </c>
      <c r="CK52" s="25">
        <f t="shared" ref="CK52:CL52" si="714">CK51-CK48</f>
        <v>0</v>
      </c>
      <c r="CL52" s="25">
        <f t="shared" si="714"/>
        <v>-1.5987211554602254E-13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 t="e">
        <f t="shared" si="715"/>
        <v>#DIV/0!</v>
      </c>
      <c r="K54" s="39" t="e">
        <f t="shared" si="715"/>
        <v>#DIV/0!</v>
      </c>
      <c r="L54" s="39" t="e">
        <f t="shared" si="715"/>
        <v>#DIV/0!</v>
      </c>
      <c r="M54" s="39">
        <f t="shared" si="715"/>
        <v>0.54656108893396949</v>
      </c>
      <c r="N54" s="39">
        <f t="shared" si="715"/>
        <v>0.46061289716112142</v>
      </c>
      <c r="O54" s="39">
        <f t="shared" si="715"/>
        <v>0.28942603397235023</v>
      </c>
      <c r="P54" s="39">
        <f t="shared" si="715"/>
        <v>0.29951834960146623</v>
      </c>
      <c r="Q54" s="39">
        <f t="shared" si="715"/>
        <v>0.35670920328210931</v>
      </c>
      <c r="R54" s="39">
        <f t="shared" si="715"/>
        <v>0.39654559629451303</v>
      </c>
      <c r="S54" s="39">
        <f t="shared" si="715"/>
        <v>0.21739026575889553</v>
      </c>
      <c r="T54" s="39">
        <f t="shared" si="715"/>
        <v>0.24216160479990753</v>
      </c>
      <c r="U54" s="39">
        <f t="shared" si="715"/>
        <v>0.28287385486334088</v>
      </c>
      <c r="V54" s="39">
        <f t="shared" si="715"/>
        <v>0.15213020351763692</v>
      </c>
      <c r="W54" s="39">
        <f t="shared" si="715"/>
        <v>0.24259413912876618</v>
      </c>
      <c r="X54" s="39">
        <f t="shared" si="715"/>
        <v>0.16472214159308599</v>
      </c>
      <c r="Y54" s="39">
        <f t="shared" si="715"/>
        <v>0.13441550541776501</v>
      </c>
      <c r="Z54" s="39">
        <f t="shared" si="715"/>
        <v>4.6667316822840463E-2</v>
      </c>
      <c r="AA54" s="39">
        <f t="shared" ref="AA54" si="716">(AA48-AA47)/AA120</f>
        <v>4.3922399262186905E-2</v>
      </c>
      <c r="AB54" s="40">
        <f t="shared" si="715"/>
        <v>8.9236597570996959E-2</v>
      </c>
      <c r="AC54" s="40">
        <f t="shared" si="715"/>
        <v>0.13666431290747902</v>
      </c>
      <c r="AD54" s="40">
        <f t="shared" si="715"/>
        <v>0.17254408731086052</v>
      </c>
      <c r="AE54" s="40">
        <f t="shared" si="715"/>
        <v>0.19865923934889551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>
        <f t="shared" si="717"/>
        <v>9.2894638170228777E-2</v>
      </c>
      <c r="AY54" s="39">
        <f t="shared" si="717"/>
        <v>0.18802355014194413</v>
      </c>
      <c r="AZ54" s="39" t="e">
        <f t="shared" si="717"/>
        <v>#DIV/0!</v>
      </c>
      <c r="BA54" s="39">
        <f t="shared" si="717"/>
        <v>3.6947253347909288</v>
      </c>
      <c r="BB54" s="39">
        <f t="shared" si="717"/>
        <v>0.39755030286817117</v>
      </c>
      <c r="BC54" s="39">
        <f t="shared" si="717"/>
        <v>0.40322935345265076</v>
      </c>
      <c r="BD54" s="39">
        <f t="shared" si="717"/>
        <v>0.20467822972394806</v>
      </c>
      <c r="BE54" s="39">
        <f t="shared" si="717"/>
        <v>0.22169470164056512</v>
      </c>
      <c r="BF54" s="39">
        <f t="shared" si="717"/>
        <v>0.21354491526548394</v>
      </c>
      <c r="BG54" s="39">
        <f t="shared" si="717"/>
        <v>0.22286722546274357</v>
      </c>
      <c r="BH54" s="39">
        <f t="shared" si="717"/>
        <v>0.239338070926332</v>
      </c>
      <c r="BI54" s="39">
        <f t="shared" si="717"/>
        <v>0.24198514921171185</v>
      </c>
      <c r="BJ54" s="39">
        <f t="shared" si="717"/>
        <v>0.24220228698616594</v>
      </c>
      <c r="BK54" s="39">
        <f t="shared" si="717"/>
        <v>0.23745679562939004</v>
      </c>
      <c r="BL54" s="39">
        <f t="shared" si="717"/>
        <v>0.26856718619352637</v>
      </c>
      <c r="BM54" s="39">
        <f t="shared" si="717"/>
        <v>0.28118183710595618</v>
      </c>
      <c r="BN54" s="39">
        <f t="shared" si="717"/>
        <v>0.28287338555909297</v>
      </c>
      <c r="BO54" s="39">
        <f t="shared" si="717"/>
        <v>0.22120118294622829</v>
      </c>
      <c r="BP54" s="39">
        <f t="shared" si="717"/>
        <v>0.17482523501023092</v>
      </c>
      <c r="BQ54" s="39">
        <f t="shared" si="717"/>
        <v>0.14960561372820544</v>
      </c>
      <c r="BR54" s="39">
        <f t="shared" ref="BR54:CW54" si="718">(SUM(BO48:BR48)-SUM(BO47:BR47))/BR120</f>
        <v>0.15213099458854251</v>
      </c>
      <c r="BS54" s="39">
        <f t="shared" si="718"/>
        <v>0.19592945191678449</v>
      </c>
      <c r="BT54" s="39">
        <f t="shared" si="718"/>
        <v>0.22683060324933466</v>
      </c>
      <c r="BU54" s="39">
        <f t="shared" si="718"/>
        <v>0.24199039748230147</v>
      </c>
      <c r="BV54" s="39">
        <f t="shared" si="718"/>
        <v>0.24259817543696238</v>
      </c>
      <c r="BW54" s="39">
        <f t="shared" si="718"/>
        <v>0.23852507555908159</v>
      </c>
      <c r="BX54" s="39">
        <f t="shared" si="718"/>
        <v>0.2166986988405884</v>
      </c>
      <c r="BY54" s="39">
        <f t="shared" si="718"/>
        <v>0.18698216700730788</v>
      </c>
      <c r="BZ54" s="39">
        <f t="shared" si="718"/>
        <v>0.16472074627461947</v>
      </c>
      <c r="CA54" s="39">
        <f t="shared" si="718"/>
        <v>0.1677914355436502</v>
      </c>
      <c r="CB54" s="39">
        <f t="shared" si="718"/>
        <v>0.18162587545456851</v>
      </c>
      <c r="CC54" s="39">
        <f t="shared" si="718"/>
        <v>0.17059648178803347</v>
      </c>
      <c r="CD54" s="39">
        <f t="shared" si="718"/>
        <v>0.13441691169237169</v>
      </c>
      <c r="CE54" s="39">
        <f t="shared" si="718"/>
        <v>0.12617607845367418</v>
      </c>
      <c r="CF54" s="39">
        <f t="shared" si="718"/>
        <v>7.640948563794267E-2</v>
      </c>
      <c r="CG54" s="39">
        <f t="shared" si="718"/>
        <v>5.4443755228020876E-2</v>
      </c>
      <c r="CH54" s="39">
        <f t="shared" si="718"/>
        <v>4.6667316822840685E-2</v>
      </c>
      <c r="CI54" s="39">
        <f t="shared" si="718"/>
        <v>1.8320399106206618E-2</v>
      </c>
      <c r="CJ54" s="39">
        <f t="shared" si="718"/>
        <v>2.293586591339911E-2</v>
      </c>
      <c r="CK54" s="39">
        <f t="shared" si="718"/>
        <v>3.2886360035101286E-2</v>
      </c>
      <c r="CL54" s="39">
        <f t="shared" si="718"/>
        <v>4.3922554021038736E-2</v>
      </c>
      <c r="CM54" s="40">
        <f t="shared" si="718"/>
        <v>4.7966517162899458E-2</v>
      </c>
      <c r="CN54" s="40">
        <f t="shared" si="718"/>
        <v>5.6648802437816205E-2</v>
      </c>
      <c r="CO54" s="40">
        <f t="shared" si="718"/>
        <v>6.8136326696681279E-2</v>
      </c>
      <c r="CP54" s="40">
        <f t="shared" si="718"/>
        <v>8.9236597570996792E-2</v>
      </c>
      <c r="CQ54" s="40">
        <f t="shared" si="718"/>
        <v>9.9406396109287198E-2</v>
      </c>
      <c r="CR54" s="40">
        <f t="shared" si="718"/>
        <v>0.1111795140715844</v>
      </c>
      <c r="CS54" s="40">
        <f t="shared" si="718"/>
        <v>0.12303634809411981</v>
      </c>
      <c r="CT54" s="40">
        <f t="shared" si="718"/>
        <v>0.13666431290747905</v>
      </c>
      <c r="CU54" s="40">
        <f t="shared" si="718"/>
        <v>0.14422000180576991</v>
      </c>
      <c r="CV54" s="40">
        <f t="shared" si="718"/>
        <v>0.15357762012512677</v>
      </c>
      <c r="CW54" s="40">
        <f t="shared" si="718"/>
        <v>0.16265380287106096</v>
      </c>
      <c r="CX54" s="40">
        <f t="shared" ref="CX54:DB54" si="719">(SUM(CU48:CX48)-SUM(CU47:CX47))/CX120</f>
        <v>0.17254408731085988</v>
      </c>
      <c r="CY54" s="40">
        <f t="shared" si="719"/>
        <v>0.1778696059483561</v>
      </c>
      <c r="CZ54" s="40">
        <f t="shared" si="719"/>
        <v>0.18481228739524391</v>
      </c>
      <c r="DA54" s="40">
        <f t="shared" si="719"/>
        <v>0.19143118506957793</v>
      </c>
      <c r="DB54" s="40">
        <f t="shared" si="719"/>
        <v>0.19865923934889507</v>
      </c>
      <c r="DE54" s="122"/>
      <c r="DF54" s="38">
        <v>3.2415336864987009E-2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 t="e">
        <f t="shared" si="720"/>
        <v>#DIV/0!</v>
      </c>
      <c r="K55" s="39" t="e">
        <f t="shared" si="720"/>
        <v>#DIV/0!</v>
      </c>
      <c r="L55" s="39" t="e">
        <f t="shared" si="720"/>
        <v>#DIV/0!</v>
      </c>
      <c r="M55" s="39">
        <f t="shared" si="720"/>
        <v>0.30558188136375752</v>
      </c>
      <c r="N55" s="39">
        <f t="shared" si="720"/>
        <v>0.43881673881673938</v>
      </c>
      <c r="O55" s="39">
        <f t="shared" si="720"/>
        <v>0.21512804065722571</v>
      </c>
      <c r="P55" s="39">
        <f t="shared" si="720"/>
        <v>0.21466450890078426</v>
      </c>
      <c r="Q55" s="39">
        <f t="shared" si="720"/>
        <v>0.24922234821189446</v>
      </c>
      <c r="R55" s="39">
        <f t="shared" si="720"/>
        <v>0.32830349252070318</v>
      </c>
      <c r="S55" s="39">
        <f t="shared" si="720"/>
        <v>0.27957428430515979</v>
      </c>
      <c r="T55" s="39">
        <f t="shared" si="720"/>
        <v>0.30969816692935981</v>
      </c>
      <c r="U55" s="39">
        <f t="shared" si="720"/>
        <v>0.30696652857777912</v>
      </c>
      <c r="V55" s="39">
        <f t="shared" si="720"/>
        <v>0.17635517482459917</v>
      </c>
      <c r="W55" s="39">
        <f t="shared" si="720"/>
        <v>0.28779765786669514</v>
      </c>
      <c r="X55" s="39">
        <f t="shared" si="720"/>
        <v>0.20091317539661235</v>
      </c>
      <c r="Y55" s="39">
        <f t="shared" si="720"/>
        <v>0.14311892318023892</v>
      </c>
      <c r="Z55" s="39">
        <f t="shared" si="720"/>
        <v>7.2124238350189107E-2</v>
      </c>
      <c r="AA55" s="39">
        <f t="shared" ref="AA55" si="721">+AA34/AA129</f>
        <v>6.4812967855472595E-2</v>
      </c>
      <c r="AB55" s="40">
        <f t="shared" si="720"/>
        <v>8.4861336688645289E-2</v>
      </c>
      <c r="AC55" s="40">
        <f t="shared" si="720"/>
        <v>0.14195102447740515</v>
      </c>
      <c r="AD55" s="40">
        <f t="shared" si="720"/>
        <v>0.18983134741233149</v>
      </c>
      <c r="AE55" s="40">
        <f t="shared" si="720"/>
        <v>0.22904836923986777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>
        <f t="shared" si="722"/>
        <v>6.8836838577613566E-2</v>
      </c>
      <c r="AY55" s="39">
        <f t="shared" si="722"/>
        <v>0.1504855604088037</v>
      </c>
      <c r="AZ55" s="39" t="e">
        <f t="shared" si="722"/>
        <v>#DIV/0!</v>
      </c>
      <c r="BA55" s="39">
        <f t="shared" si="722"/>
        <v>4.7361300901885794</v>
      </c>
      <c r="BB55" s="39">
        <f t="shared" si="722"/>
        <v>0.32733062725662126</v>
      </c>
      <c r="BC55" s="39">
        <f t="shared" si="722"/>
        <v>0.34550816460510814</v>
      </c>
      <c r="BD55" s="39">
        <f t="shared" si="722"/>
        <v>0.23031528245887617</v>
      </c>
      <c r="BE55" s="39">
        <f t="shared" si="722"/>
        <v>0.2686944283566548</v>
      </c>
      <c r="BF55" s="39">
        <f t="shared" si="722"/>
        <v>0.27290877026344385</v>
      </c>
      <c r="BG55" s="39">
        <f t="shared" si="722"/>
        <v>0.28643253234750482</v>
      </c>
      <c r="BH55" s="39">
        <f t="shared" si="722"/>
        <v>0.31290087675861483</v>
      </c>
      <c r="BI55" s="39">
        <f t="shared" si="722"/>
        <v>0.3128970034216037</v>
      </c>
      <c r="BJ55" s="39">
        <f t="shared" si="722"/>
        <v>0.31172662787877575</v>
      </c>
      <c r="BK55" s="39">
        <f t="shared" si="722"/>
        <v>0.31357781425030917</v>
      </c>
      <c r="BL55" s="39">
        <f t="shared" si="722"/>
        <v>0.30513445198380795</v>
      </c>
      <c r="BM55" s="39">
        <f t="shared" si="722"/>
        <v>0.31564336404142113</v>
      </c>
      <c r="BN55" s="39">
        <f t="shared" si="722"/>
        <v>0.30854376558626923</v>
      </c>
      <c r="BO55" s="39">
        <f t="shared" si="722"/>
        <v>0.23086351565041727</v>
      </c>
      <c r="BP55" s="39">
        <f t="shared" si="722"/>
        <v>0.17967695634503492</v>
      </c>
      <c r="BQ55" s="39">
        <f t="shared" si="722"/>
        <v>0.15710282113845031</v>
      </c>
      <c r="BR55" s="39">
        <f t="shared" ref="BR55:CW55" si="723">+SUM(BO34:BR34)/BR129</f>
        <v>0.17608714242610521</v>
      </c>
      <c r="BS55" s="39">
        <f t="shared" si="723"/>
        <v>0.22953235423685697</v>
      </c>
      <c r="BT55" s="39">
        <f t="shared" si="723"/>
        <v>0.22855728061453978</v>
      </c>
      <c r="BU55" s="39">
        <f t="shared" si="723"/>
        <v>0.24894379183296403</v>
      </c>
      <c r="BV55" s="39">
        <f t="shared" si="723"/>
        <v>0.2877998921964468</v>
      </c>
      <c r="BW55" s="39">
        <f t="shared" si="723"/>
        <v>0.28390626896486637</v>
      </c>
      <c r="BX55" s="39">
        <f t="shared" si="723"/>
        <v>0.24425013562613701</v>
      </c>
      <c r="BY55" s="39">
        <f t="shared" si="723"/>
        <v>0.21871507890250805</v>
      </c>
      <c r="BZ55" s="39">
        <f t="shared" si="723"/>
        <v>0.20091165392669771</v>
      </c>
      <c r="CA55" s="39">
        <f t="shared" si="723"/>
        <v>0.20860828200280537</v>
      </c>
      <c r="CB55" s="39">
        <f t="shared" si="723"/>
        <v>0.18368727611637259</v>
      </c>
      <c r="CC55" s="39">
        <f t="shared" si="723"/>
        <v>0.17847308057586955</v>
      </c>
      <c r="CD55" s="39">
        <f t="shared" si="723"/>
        <v>0.1431195071388946</v>
      </c>
      <c r="CE55" s="39">
        <f t="shared" si="723"/>
        <v>0.14164443090206494</v>
      </c>
      <c r="CF55" s="39">
        <f t="shared" si="723"/>
        <v>0.10907258365967148</v>
      </c>
      <c r="CG55" s="39">
        <f t="shared" si="723"/>
        <v>8.560909002243261E-2</v>
      </c>
      <c r="CH55" s="39">
        <f t="shared" si="723"/>
        <v>7.212369798139838E-2</v>
      </c>
      <c r="CI55" s="39">
        <f t="shared" si="723"/>
        <v>3.8800253144657897E-2</v>
      </c>
      <c r="CJ55" s="39">
        <f t="shared" si="723"/>
        <v>4.3211882902773918E-2</v>
      </c>
      <c r="CK55" s="39">
        <f t="shared" si="723"/>
        <v>5.1570173852782369E-2</v>
      </c>
      <c r="CL55" s="39">
        <f t="shared" si="723"/>
        <v>6.4813069749262861E-2</v>
      </c>
      <c r="CM55" s="40">
        <f t="shared" si="723"/>
        <v>6.3482486160230042E-2</v>
      </c>
      <c r="CN55" s="40">
        <f t="shared" si="723"/>
        <v>6.1998460598803443E-2</v>
      </c>
      <c r="CO55" s="40">
        <f t="shared" si="723"/>
        <v>6.6804685925161755E-2</v>
      </c>
      <c r="CP55" s="40">
        <f t="shared" si="723"/>
        <v>8.4861336688645164E-2</v>
      </c>
      <c r="CQ55" s="40">
        <f t="shared" si="723"/>
        <v>9.7181337832986187E-2</v>
      </c>
      <c r="CR55" s="40">
        <f t="shared" si="723"/>
        <v>0.11012120359532884</v>
      </c>
      <c r="CS55" s="40">
        <f t="shared" si="723"/>
        <v>0.12447123491898171</v>
      </c>
      <c r="CT55" s="40">
        <f t="shared" si="723"/>
        <v>0.14195102447740518</v>
      </c>
      <c r="CU55" s="40">
        <f t="shared" si="723"/>
        <v>0.15218759757999584</v>
      </c>
      <c r="CV55" s="40">
        <f t="shared" si="723"/>
        <v>0.16345688601286781</v>
      </c>
      <c r="CW55" s="40">
        <f t="shared" si="723"/>
        <v>0.17563834490280966</v>
      </c>
      <c r="CX55" s="40">
        <f t="shared" ref="CX55:DB55" si="724">+SUM(CU34:CX34)/CX129</f>
        <v>0.18983134741233093</v>
      </c>
      <c r="CY55" s="40">
        <f t="shared" si="724"/>
        <v>0.19834220775706954</v>
      </c>
      <c r="CZ55" s="40">
        <f t="shared" si="724"/>
        <v>0.20741353660240996</v>
      </c>
      <c r="DA55" s="40">
        <f t="shared" si="724"/>
        <v>0.21734811399949358</v>
      </c>
      <c r="DB55" s="40">
        <f t="shared" si="724"/>
        <v>0.22904836923986738</v>
      </c>
      <c r="DE55" s="122"/>
      <c r="DF55" s="38">
        <v>5.6004628701598322E-2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257.245</v>
      </c>
      <c r="O58" s="9">
        <f>O10-SUM(AM10:AP10)</f>
        <v>210.422</v>
      </c>
      <c r="P58" s="9">
        <f>P10-SUM(AQ10:AT10)</f>
        <v>280.46199999999999</v>
      </c>
      <c r="Q58" s="9">
        <f>Q10-SUM(AU10:AX10)</f>
        <v>367.8879</v>
      </c>
      <c r="R58" s="9">
        <f>R10-SUM(AY10:BB10)</f>
        <v>44.019299999999987</v>
      </c>
      <c r="S58" s="9">
        <f>S10-SUM(BC10:BF10)</f>
        <v>21.815899999999942</v>
      </c>
      <c r="T58" s="9">
        <f>T10-SUM(BG10:BJ10)</f>
        <v>-0.40039999999999054</v>
      </c>
      <c r="U58" s="9">
        <f>U10-SUM(BK10:BN10)</f>
        <v>2.9999999992469384E-4</v>
      </c>
      <c r="V58" s="9">
        <f>V10-SUM(BO10:BR10)</f>
        <v>-5.9999999984938768E-4</v>
      </c>
      <c r="W58" s="9">
        <f>W10-SUM(BS10:BV10)</f>
        <v>-6.9999999982428562E-4</v>
      </c>
      <c r="X58" s="9">
        <f>X10-SUM(BW10:BZ10)</f>
        <v>1.0000000002037268E-3</v>
      </c>
      <c r="Y58" s="9">
        <f>Y10-SUM(CA10:CD10)</f>
        <v>-4.9999999964711606E-4</v>
      </c>
      <c r="Z58" s="9">
        <f>Z10-SUM(CE10:CH10)</f>
        <v>7.000000000516593E-4</v>
      </c>
      <c r="AA58" s="9">
        <f>AA10-SUM(CF10:CI10)</f>
        <v>741.83690000000024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159.27699999999999</v>
      </c>
      <c r="O59" s="9">
        <f>O16-SUM(AM16:AP16)</f>
        <v>130.69199999999998</v>
      </c>
      <c r="P59" s="9">
        <f>P16-SUM(AQ16:AT16)</f>
        <v>148.827</v>
      </c>
      <c r="Q59" s="9">
        <f>Q16-SUM(AU16:AX16)</f>
        <v>206.55679999999995</v>
      </c>
      <c r="R59" s="9">
        <f>R16-SUM(AY16:BB16)</f>
        <v>18.848000000000013</v>
      </c>
      <c r="S59" s="9">
        <f>S16-SUM(BC16:BF16)</f>
        <v>5.8452999999998951</v>
      </c>
      <c r="T59" s="9">
        <f>T16-SUM(BG16:BJ16)</f>
        <v>0.24439999999992779</v>
      </c>
      <c r="U59" s="9">
        <f>U16-SUM(BK16:BN16)</f>
        <v>9.0000000000145519E-4</v>
      </c>
      <c r="V59" s="9">
        <f>V16-SUM(BO16:BR16)</f>
        <v>-2.3000000001047738E-3</v>
      </c>
      <c r="W59" s="9">
        <f>W16-SUM(BS16:BV16)</f>
        <v>-2.2000000003572495E-3</v>
      </c>
      <c r="X59" s="9">
        <f>X16-SUM(BW16:BZ16)</f>
        <v>1.0000000002037268E-3</v>
      </c>
      <c r="Y59" s="9">
        <f>Y16-SUM(CA16:CD16)</f>
        <v>-5.99999999622014E-4</v>
      </c>
      <c r="Z59" s="9">
        <f>Z16-SUM(CE16:CH16)</f>
        <v>7.9999999979918357E-4</v>
      </c>
      <c r="AA59" s="9">
        <f>AA16-SUM(CF16:CI16)</f>
        <v>368.50909999999999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21.975000000000023</v>
      </c>
      <c r="O60" s="9">
        <f>O28-SUM(AM28:AP28)</f>
        <v>16.742999999999981</v>
      </c>
      <c r="P60" s="9">
        <f>P28-SUM(AQ28:AT28)</f>
        <v>22.411000000000001</v>
      </c>
      <c r="Q60" s="9">
        <f>Q28-SUM(AU28:AX28)</f>
        <v>25.599099999999929</v>
      </c>
      <c r="R60" s="9">
        <f>R28-SUM(AY28:BB28)</f>
        <v>1.1537000000000148</v>
      </c>
      <c r="S60" s="9">
        <f>S28-SUM(BC28:BF28)</f>
        <v>3.1060999999999126</v>
      </c>
      <c r="T60" s="9">
        <f>T28-SUM(BG28:BJ28)</f>
        <v>-0.41660000000007358</v>
      </c>
      <c r="U60" s="9">
        <f>U28-SUM(BK28:BN28)</f>
        <v>-4.5300000000025875E-2</v>
      </c>
      <c r="V60" s="9">
        <f>V28-SUM(BO28:BR28)</f>
        <v>0.16569999999990159</v>
      </c>
      <c r="W60" s="9">
        <f>W28-SUM(BS28:BV28)</f>
        <v>-9.000000003425157E-4</v>
      </c>
      <c r="X60" s="9">
        <f>X28-SUM(BW28:BZ28)</f>
        <v>1.7999999998892235E-3</v>
      </c>
      <c r="Y60" s="9">
        <f>Y28-SUM(CA28:CD28)</f>
        <v>-7.9999999991287041E-4</v>
      </c>
      <c r="Z60" s="9">
        <f>Z28-SUM(CE28:CH28)</f>
        <v>2.1999999997319719E-3</v>
      </c>
      <c r="AA60" s="9">
        <f>AA28-SUM(CF28:CI28)</f>
        <v>58.78699999999975</v>
      </c>
      <c r="AB60" s="15">
        <f>AB28-SUM(CM28:CP28)</f>
        <v>0</v>
      </c>
      <c r="AC60" s="15">
        <f>AC28-SUM(CQ28:CT28)</f>
        <v>0</v>
      </c>
      <c r="AD60" s="15">
        <f>AD28-SUM(CU28:CX28)</f>
        <v>1.2505552149377763E-12</v>
      </c>
      <c r="AE60" s="15">
        <f>AE28-SUM(CY28:DB28)</f>
        <v>1.0231815394945443E-12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2.2737367544323206E-13</v>
      </c>
    </row>
    <row r="61" spans="1:110" s="9" customFormat="1" x14ac:dyDescent="0.2">
      <c r="A61" s="9" t="s">
        <v>456</v>
      </c>
      <c r="N61" s="9">
        <f>N48-SUM(AI48:AL48)</f>
        <v>12.250000000000025</v>
      </c>
      <c r="O61" s="9">
        <f>O48-SUM(AM48:AP48)</f>
        <v>10.069999999999981</v>
      </c>
      <c r="P61" s="9">
        <f>P48-SUM(AQ48:AT48)</f>
        <v>14.053999999999998</v>
      </c>
      <c r="Q61" s="9">
        <f>Q48-SUM(AU48:AX48)</f>
        <v>16.886099999999935</v>
      </c>
      <c r="R61" s="9">
        <f>R48-SUM(AY48:BB48)</f>
        <v>-0.10499999999998266</v>
      </c>
      <c r="S61" s="9">
        <f>S48-SUM(BC48:BF48)</f>
        <v>1.1590999999999099</v>
      </c>
      <c r="T61" s="9">
        <f>T48-SUM(BG48:BJ48)</f>
        <v>-1.5000000000057412E-2</v>
      </c>
      <c r="U61" s="9">
        <f>U48-SUM(BK48:BN48)</f>
        <v>9.9999999974897946E-5</v>
      </c>
      <c r="V61" s="9">
        <f>V48-SUM(BO48:BR48)</f>
        <v>-5.0000000005923084E-4</v>
      </c>
      <c r="W61" s="9">
        <f>W41-SUM(BS41:BV41)</f>
        <v>-2.3000000003889909E-3</v>
      </c>
      <c r="X61" s="9">
        <f>X41-SUM(BW41:BZ41)</f>
        <v>1.199999999926149E-3</v>
      </c>
      <c r="Y61" s="9">
        <f>Y41-SUM(CA41:CD41)</f>
        <v>-9.9999999991950972E-4</v>
      </c>
      <c r="Z61" s="9">
        <f>Z41-SUM(CE41:CH41)</f>
        <v>-6.0000000026150246E-4</v>
      </c>
      <c r="AA61" s="9">
        <f>AA41-SUM(CF41:CI41)</f>
        <v>31.892099999999761</v>
      </c>
      <c r="AB61" s="15">
        <f>AB41-SUM(CM41:CP41)</f>
        <v>2.1316282072803006E-13</v>
      </c>
      <c r="AC61" s="15">
        <f>AC41-SUM(CQ41:CT41)</f>
        <v>0</v>
      </c>
      <c r="AD61" s="15">
        <f>AD41-SUM(CU41:CX41)</f>
        <v>1.2505552149377763E-12</v>
      </c>
      <c r="AE61" s="15">
        <f>AE41-SUM(CY41:DB41)</f>
        <v>1.0231815394945443E-12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2.4158453015843406E-13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39.642000000000003</v>
      </c>
      <c r="AJ63" s="3">
        <f t="shared" si="730"/>
        <v>39.642000000000003</v>
      </c>
      <c r="AK63" s="3">
        <f t="shared" si="730"/>
        <v>39.642000000000003</v>
      </c>
      <c r="AL63" s="3">
        <f t="shared" si="730"/>
        <v>39.642000000000003</v>
      </c>
      <c r="AM63" s="3">
        <f t="shared" si="730"/>
        <v>39.642000000000003</v>
      </c>
      <c r="AN63" s="3">
        <f t="shared" si="730"/>
        <v>39.642000000000003</v>
      </c>
      <c r="AO63" s="3">
        <f t="shared" si="730"/>
        <v>39.642000000000003</v>
      </c>
      <c r="AP63" s="3">
        <f t="shared" si="730"/>
        <v>39.642000000000003</v>
      </c>
      <c r="AQ63" s="3">
        <f t="shared" si="730"/>
        <v>39.642000000000003</v>
      </c>
      <c r="AR63" s="3">
        <f t="shared" si="730"/>
        <v>39.642000000000003</v>
      </c>
      <c r="AS63" s="3">
        <f t="shared" si="730"/>
        <v>39.642000000000003</v>
      </c>
      <c r="AT63" s="3">
        <f t="shared" si="730"/>
        <v>39.642000000000003</v>
      </c>
      <c r="AU63" s="3">
        <f t="shared" si="730"/>
        <v>39.642000000000003</v>
      </c>
      <c r="AV63" s="3">
        <f t="shared" si="730"/>
        <v>39.642000000000003</v>
      </c>
      <c r="AW63" s="3">
        <f t="shared" si="730"/>
        <v>39.642000000000003</v>
      </c>
      <c r="AX63" s="3">
        <f t="shared" si="730"/>
        <v>39.642000000000003</v>
      </c>
      <c r="AY63" s="3">
        <f t="shared" si="730"/>
        <v>39.642000000000003</v>
      </c>
      <c r="AZ63" s="3">
        <f t="shared" si="730"/>
        <v>39.642000000000003</v>
      </c>
      <c r="BA63" s="3">
        <f t="shared" si="730"/>
        <v>39.642000000000003</v>
      </c>
      <c r="BB63" s="3">
        <f t="shared" si="730"/>
        <v>39.642000000000003</v>
      </c>
      <c r="BC63" s="3">
        <f t="shared" si="730"/>
        <v>39.642000000000003</v>
      </c>
      <c r="BD63" s="3">
        <f t="shared" si="730"/>
        <v>39.642000000000003</v>
      </c>
      <c r="BE63" s="3">
        <f t="shared" si="730"/>
        <v>39.642000000000003</v>
      </c>
      <c r="BF63" s="3">
        <f t="shared" si="730"/>
        <v>39.642000000000003</v>
      </c>
      <c r="BG63" s="3">
        <f t="shared" si="730"/>
        <v>39.642000000000003</v>
      </c>
      <c r="BH63" s="3">
        <f t="shared" si="730"/>
        <v>39.642000000000003</v>
      </c>
      <c r="BI63" s="3">
        <f t="shared" si="730"/>
        <v>39.642000000000003</v>
      </c>
      <c r="BJ63" s="3">
        <f t="shared" si="730"/>
        <v>39.642000000000003</v>
      </c>
      <c r="BK63" s="3">
        <f t="shared" si="730"/>
        <v>39.642000000000003</v>
      </c>
      <c r="BL63" s="3">
        <f t="shared" si="730"/>
        <v>39.642000000000003</v>
      </c>
      <c r="BM63" s="3">
        <f t="shared" si="730"/>
        <v>39.642000000000003</v>
      </c>
      <c r="BN63" s="3">
        <f t="shared" si="730"/>
        <v>39.642000000000003</v>
      </c>
      <c r="BO63" s="3">
        <f t="shared" si="730"/>
        <v>39.642000000000003</v>
      </c>
      <c r="BP63" s="3">
        <f t="shared" si="730"/>
        <v>39.642000000000003</v>
      </c>
      <c r="BQ63" s="3">
        <f t="shared" si="730"/>
        <v>39.642000000000003</v>
      </c>
      <c r="BR63" s="3">
        <f t="shared" si="730"/>
        <v>39.642000000000003</v>
      </c>
      <c r="BS63" s="3">
        <f t="shared" si="730"/>
        <v>39.642000000000003</v>
      </c>
      <c r="BT63" s="3">
        <f t="shared" si="730"/>
        <v>39.642000000000003</v>
      </c>
      <c r="BU63" s="3">
        <f t="shared" si="730"/>
        <v>39.642000000000003</v>
      </c>
      <c r="BV63" s="3">
        <f t="shared" si="730"/>
        <v>39.642000000000003</v>
      </c>
      <c r="BW63" s="3">
        <f t="shared" si="730"/>
        <v>39.642000000000003</v>
      </c>
      <c r="BX63" s="3">
        <f t="shared" si="730"/>
        <v>39.642000000000003</v>
      </c>
      <c r="BY63" s="3">
        <f t="shared" si="730"/>
        <v>39.642000000000003</v>
      </c>
      <c r="BZ63" s="3">
        <f t="shared" si="730"/>
        <v>39.642000000000003</v>
      </c>
      <c r="CA63" s="3">
        <f t="shared" si="730"/>
        <v>39.642000000000003</v>
      </c>
      <c r="CB63" s="3">
        <f t="shared" si="730"/>
        <v>39.642000000000003</v>
      </c>
      <c r="CC63" s="3">
        <f t="shared" si="730"/>
        <v>39.642000000000003</v>
      </c>
      <c r="CD63" s="3">
        <f t="shared" si="730"/>
        <v>39.642000000000003</v>
      </c>
      <c r="CE63" s="3">
        <f t="shared" si="730"/>
        <v>39.642000000000003</v>
      </c>
      <c r="CF63" s="3">
        <f t="shared" si="730"/>
        <v>39.642000000000003</v>
      </c>
      <c r="CG63" s="3">
        <f t="shared" si="730"/>
        <v>39.642000000000003</v>
      </c>
      <c r="CH63" s="3">
        <f t="shared" si="730"/>
        <v>39.642000000000003</v>
      </c>
      <c r="CI63" s="3">
        <f>+CJ63</f>
        <v>39.642000000000003</v>
      </c>
      <c r="CJ63" s="3">
        <f>'QTR Raw'!BD45</f>
        <v>39.642000000000003</v>
      </c>
      <c r="CK63" s="3">
        <f>'QTR Raw'!BE45</f>
        <v>39.642000000000003</v>
      </c>
      <c r="CL63" s="3">
        <f>'QTR Raw'!BF45</f>
        <v>39.642000000000003</v>
      </c>
      <c r="CM63" s="37">
        <f t="shared" ref="CM63:CM64" si="731">+CL63</f>
        <v>39.642000000000003</v>
      </c>
      <c r="CN63" s="37">
        <f t="shared" ref="CN63:CN64" si="732">+CM63</f>
        <v>39.642000000000003</v>
      </c>
      <c r="CO63" s="37">
        <f t="shared" ref="CO63:CO64" si="733">+CN63</f>
        <v>39.642000000000003</v>
      </c>
      <c r="CP63" s="37">
        <f t="shared" ref="CP63:CP64" si="734">+CO63</f>
        <v>39.642000000000003</v>
      </c>
      <c r="CQ63" s="37">
        <f t="shared" ref="CQ63:CQ64" si="735">+CP63</f>
        <v>39.642000000000003</v>
      </c>
      <c r="CR63" s="37">
        <f t="shared" ref="CR63:CR64" si="736">+CQ63</f>
        <v>39.642000000000003</v>
      </c>
      <c r="CS63" s="37">
        <f t="shared" ref="CS63:CS64" si="737">+CR63</f>
        <v>39.642000000000003</v>
      </c>
      <c r="CT63" s="37">
        <f t="shared" ref="CT63:CT64" si="738">+CS63</f>
        <v>39.642000000000003</v>
      </c>
      <c r="CU63" s="37">
        <f t="shared" ref="CU63:CU64" si="739">+CT63</f>
        <v>39.642000000000003</v>
      </c>
      <c r="CV63" s="37">
        <f t="shared" ref="CV63:CV64" si="740">+CU63</f>
        <v>39.642000000000003</v>
      </c>
      <c r="CW63" s="37">
        <f t="shared" ref="CW63:CW64" si="741">+CV63</f>
        <v>39.642000000000003</v>
      </c>
      <c r="CX63" s="37">
        <f t="shared" ref="CX63:CX64" si="742">+CW63</f>
        <v>39.642000000000003</v>
      </c>
      <c r="CY63" s="37">
        <f t="shared" ref="CY63:CY64" si="743">+CX63</f>
        <v>39.642000000000003</v>
      </c>
      <c r="CZ63" s="37">
        <f t="shared" ref="CZ63:CZ64" si="744">+CY63</f>
        <v>39.642000000000003</v>
      </c>
      <c r="DA63" s="37">
        <f t="shared" ref="DA63:DA64" si="745">+CZ63</f>
        <v>39.642000000000003</v>
      </c>
      <c r="DB63" s="37">
        <f t="shared" ref="DB63:DB64" si="746">+DA63</f>
        <v>39.642000000000003</v>
      </c>
      <c r="DE63" s="134"/>
      <c r="DF63" s="3">
        <v>39.642000000000003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3.9642000000000004</v>
      </c>
      <c r="AJ65" s="3">
        <f t="shared" ref="AJ65" si="755">AJ63/AJ64</f>
        <v>3.9642000000000004</v>
      </c>
      <c r="AK65" s="3">
        <f t="shared" ref="AK65:AM65" si="756">AK63/AK64</f>
        <v>3.9642000000000004</v>
      </c>
      <c r="AL65" s="3">
        <f t="shared" si="756"/>
        <v>3.9642000000000004</v>
      </c>
      <c r="AM65" s="3">
        <f t="shared" si="756"/>
        <v>3.9642000000000004</v>
      </c>
      <c r="AN65" s="3">
        <f t="shared" ref="AN65:AO65" si="757">AN63/AN64</f>
        <v>3.9642000000000004</v>
      </c>
      <c r="AO65" s="3">
        <f t="shared" si="757"/>
        <v>3.9642000000000004</v>
      </c>
      <c r="AP65" s="3">
        <f t="shared" ref="AP65:CD65" si="758">AP63/AP64</f>
        <v>3.9642000000000004</v>
      </c>
      <c r="AQ65" s="3">
        <f t="shared" si="758"/>
        <v>3.9642000000000004</v>
      </c>
      <c r="AR65" s="3">
        <f t="shared" si="758"/>
        <v>3.9642000000000004</v>
      </c>
      <c r="AS65" s="3">
        <f t="shared" si="758"/>
        <v>3.9642000000000004</v>
      </c>
      <c r="AT65" s="3">
        <f t="shared" si="758"/>
        <v>3.9642000000000004</v>
      </c>
      <c r="AU65" s="3">
        <f t="shared" si="758"/>
        <v>3.9642000000000004</v>
      </c>
      <c r="AV65" s="3">
        <f t="shared" si="758"/>
        <v>3.9642000000000004</v>
      </c>
      <c r="AW65" s="3">
        <f t="shared" si="758"/>
        <v>3.9642000000000004</v>
      </c>
      <c r="AX65" s="3">
        <f t="shared" si="758"/>
        <v>3.9642000000000004</v>
      </c>
      <c r="AY65" s="3">
        <f t="shared" si="758"/>
        <v>3.9642000000000004</v>
      </c>
      <c r="AZ65" s="3">
        <f t="shared" si="758"/>
        <v>3.9642000000000004</v>
      </c>
      <c r="BA65" s="3">
        <f t="shared" si="758"/>
        <v>3.9642000000000004</v>
      </c>
      <c r="BB65" s="3">
        <f t="shared" si="758"/>
        <v>3.9642000000000004</v>
      </c>
      <c r="BC65" s="3">
        <f t="shared" si="758"/>
        <v>3.9642000000000004</v>
      </c>
      <c r="BD65" s="3">
        <f t="shared" si="758"/>
        <v>3.9642000000000004</v>
      </c>
      <c r="BE65" s="3">
        <f t="shared" si="758"/>
        <v>3.9642000000000004</v>
      </c>
      <c r="BF65" s="3">
        <f t="shared" si="758"/>
        <v>3.9642000000000004</v>
      </c>
      <c r="BG65" s="3">
        <f t="shared" si="758"/>
        <v>3.9642000000000004</v>
      </c>
      <c r="BH65" s="3">
        <f t="shared" si="758"/>
        <v>3.9642000000000004</v>
      </c>
      <c r="BI65" s="3">
        <f t="shared" si="758"/>
        <v>3.9642000000000004</v>
      </c>
      <c r="BJ65" s="3">
        <f t="shared" si="758"/>
        <v>3.9642000000000004</v>
      </c>
      <c r="BK65" s="3">
        <f t="shared" si="758"/>
        <v>3.9642000000000004</v>
      </c>
      <c r="BL65" s="3">
        <f t="shared" si="758"/>
        <v>3.9642000000000004</v>
      </c>
      <c r="BM65" s="3">
        <f t="shared" si="758"/>
        <v>3.9642000000000004</v>
      </c>
      <c r="BN65" s="3">
        <f t="shared" si="758"/>
        <v>3.9642000000000004</v>
      </c>
      <c r="BO65" s="3">
        <f t="shared" si="758"/>
        <v>3.9642000000000004</v>
      </c>
      <c r="BP65" s="3">
        <f t="shared" si="758"/>
        <v>3.9642000000000004</v>
      </c>
      <c r="BQ65" s="3">
        <f t="shared" si="758"/>
        <v>3.9642000000000004</v>
      </c>
      <c r="BR65" s="3">
        <f t="shared" si="758"/>
        <v>3.9642000000000004</v>
      </c>
      <c r="BS65" s="3">
        <f t="shared" si="758"/>
        <v>3.9642000000000004</v>
      </c>
      <c r="BT65" s="3">
        <f t="shared" si="758"/>
        <v>3.9642000000000004</v>
      </c>
      <c r="BU65" s="3">
        <f t="shared" si="758"/>
        <v>3.9642000000000004</v>
      </c>
      <c r="BV65" s="3">
        <f t="shared" si="758"/>
        <v>3.9642000000000004</v>
      </c>
      <c r="BW65" s="3">
        <f t="shared" si="758"/>
        <v>3.9642000000000004</v>
      </c>
      <c r="BX65" s="3">
        <f t="shared" si="758"/>
        <v>3.9642000000000004</v>
      </c>
      <c r="BY65" s="3">
        <f t="shared" si="758"/>
        <v>3.9642000000000004</v>
      </c>
      <c r="BZ65" s="3">
        <f t="shared" si="758"/>
        <v>3.9642000000000004</v>
      </c>
      <c r="CA65" s="3">
        <f t="shared" si="758"/>
        <v>3.9642000000000004</v>
      </c>
      <c r="CB65" s="3">
        <f t="shared" si="758"/>
        <v>3.9642000000000004</v>
      </c>
      <c r="CC65" s="3">
        <f t="shared" si="758"/>
        <v>3.9642000000000004</v>
      </c>
      <c r="CD65" s="3">
        <f t="shared" si="758"/>
        <v>3.9642000000000004</v>
      </c>
      <c r="CE65" s="3">
        <f t="shared" ref="CE65:CF65" si="759">CE63/CE64</f>
        <v>3.9642000000000004</v>
      </c>
      <c r="CF65" s="3">
        <f t="shared" si="759"/>
        <v>3.9642000000000004</v>
      </c>
      <c r="CG65" s="3">
        <f t="shared" ref="CG65:CH65" si="760">CG63/CG64</f>
        <v>3.9642000000000004</v>
      </c>
      <c r="CH65" s="3">
        <f t="shared" si="760"/>
        <v>3.9642000000000004</v>
      </c>
      <c r="CI65" s="3">
        <f t="shared" ref="CI65:CJ65" si="761">CI63/CI64</f>
        <v>3.9642000000000004</v>
      </c>
      <c r="CJ65" s="3">
        <f t="shared" si="761"/>
        <v>3.9642000000000004</v>
      </c>
      <c r="CK65" s="3">
        <f t="shared" ref="CK65:CL65" si="762">CK63/CK64</f>
        <v>3.9642000000000004</v>
      </c>
      <c r="CL65" s="3">
        <f t="shared" si="762"/>
        <v>3.9642000000000004</v>
      </c>
      <c r="CM65" s="37">
        <f t="shared" ref="CM65:DB65" si="763">CM63/CM64</f>
        <v>3.9642000000000004</v>
      </c>
      <c r="CN65" s="37">
        <f t="shared" si="763"/>
        <v>3.9642000000000004</v>
      </c>
      <c r="CO65" s="37">
        <f t="shared" si="763"/>
        <v>3.9642000000000004</v>
      </c>
      <c r="CP65" s="37">
        <f t="shared" si="763"/>
        <v>3.9642000000000004</v>
      </c>
      <c r="CQ65" s="37">
        <f t="shared" si="763"/>
        <v>3.9642000000000004</v>
      </c>
      <c r="CR65" s="37">
        <f t="shared" si="763"/>
        <v>3.9642000000000004</v>
      </c>
      <c r="CS65" s="37">
        <f t="shared" si="763"/>
        <v>3.9642000000000004</v>
      </c>
      <c r="CT65" s="37">
        <f t="shared" si="763"/>
        <v>3.9642000000000004</v>
      </c>
      <c r="CU65" s="37">
        <f t="shared" si="763"/>
        <v>3.9642000000000004</v>
      </c>
      <c r="CV65" s="37">
        <f t="shared" si="763"/>
        <v>3.9642000000000004</v>
      </c>
      <c r="CW65" s="37">
        <f t="shared" si="763"/>
        <v>3.9642000000000004</v>
      </c>
      <c r="CX65" s="37">
        <f t="shared" si="763"/>
        <v>3.9642000000000004</v>
      </c>
      <c r="CY65" s="37">
        <f t="shared" si="763"/>
        <v>3.9642000000000004</v>
      </c>
      <c r="CZ65" s="37">
        <f t="shared" si="763"/>
        <v>3.9642000000000004</v>
      </c>
      <c r="DA65" s="37">
        <f t="shared" si="763"/>
        <v>3.9642000000000004</v>
      </c>
      <c r="DB65" s="37">
        <f t="shared" si="763"/>
        <v>3.9642000000000004</v>
      </c>
      <c r="DE65" s="134"/>
      <c r="DF65" s="3">
        <v>3.9642000000000004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1.4999243226880588</v>
      </c>
      <c r="AY66" s="53">
        <f t="shared" si="766"/>
        <v>1.8916805408405217</v>
      </c>
      <c r="AZ66" s="53">
        <f t="shared" si="766"/>
        <v>1.5829171081176552</v>
      </c>
      <c r="BA66" s="53">
        <f t="shared" si="766"/>
        <v>1.8460218959689207</v>
      </c>
      <c r="BB66" s="53">
        <f t="shared" si="766"/>
        <v>5.1758236214116335</v>
      </c>
      <c r="BC66" s="53">
        <f t="shared" si="766"/>
        <v>3.4211190151859094</v>
      </c>
      <c r="BD66" s="53">
        <f t="shared" si="766"/>
        <v>3.1938348216538017</v>
      </c>
      <c r="BE66" s="53">
        <f t="shared" si="766"/>
        <v>3.8285152111397025</v>
      </c>
      <c r="BF66" s="53">
        <f t="shared" si="766"/>
        <v>5.7930982291509121</v>
      </c>
      <c r="BG66" s="53">
        <f t="shared" si="766"/>
        <v>5.3143131022652765</v>
      </c>
      <c r="BH66" s="53">
        <f t="shared" si="766"/>
        <v>4.3751576610665444</v>
      </c>
      <c r="BI66" s="53">
        <f t="shared" si="766"/>
        <v>5.3324756571313188</v>
      </c>
      <c r="BJ66" s="53">
        <f t="shared" si="766"/>
        <v>7.5417486504212716</v>
      </c>
      <c r="BK66" s="53">
        <f t="shared" si="766"/>
        <v>6.3894354472529065</v>
      </c>
      <c r="BL66" s="53">
        <f t="shared" si="766"/>
        <v>8.2036728722062477</v>
      </c>
      <c r="BM66" s="53">
        <f t="shared" si="766"/>
        <v>9.2132082135109172</v>
      </c>
      <c r="BN66" s="53">
        <f t="shared" si="766"/>
        <v>8.6027445638464268</v>
      </c>
      <c r="BO66" s="53">
        <f t="shared" ref="BO66:CT66" si="767">(BO48-BO47)/BO65</f>
        <v>-0.86852328338630713</v>
      </c>
      <c r="BP66" s="53">
        <f t="shared" si="767"/>
        <v>3.5492659300741662</v>
      </c>
      <c r="BQ66" s="53">
        <f t="shared" si="767"/>
        <v>7.3570960092830706</v>
      </c>
      <c r="BR66" s="53">
        <f t="shared" si="767"/>
        <v>10.52797537964784</v>
      </c>
      <c r="BS66" s="53">
        <f t="shared" si="767"/>
        <v>6.2834872105342914</v>
      </c>
      <c r="BT66" s="53">
        <f t="shared" si="767"/>
        <v>9.1806669693759133</v>
      </c>
      <c r="BU66" s="53">
        <f t="shared" si="767"/>
        <v>12.646183340901079</v>
      </c>
      <c r="BV66" s="53">
        <f t="shared" si="767"/>
        <v>13.929670551435375</v>
      </c>
      <c r="BW66" s="53">
        <f t="shared" si="767"/>
        <v>7.3248070228545394</v>
      </c>
      <c r="BX66" s="53">
        <f t="shared" si="767"/>
        <v>5.4348922859593412</v>
      </c>
      <c r="BY66" s="53">
        <f t="shared" si="767"/>
        <v>8.9198325008828974</v>
      </c>
      <c r="BZ66" s="53">
        <f t="shared" si="767"/>
        <v>11.603349982341962</v>
      </c>
      <c r="CA66" s="53">
        <f t="shared" si="767"/>
        <v>9.5471974168810725</v>
      </c>
      <c r="CB66" s="53">
        <f t="shared" si="767"/>
        <v>9.7169668533373823</v>
      </c>
      <c r="CC66" s="53">
        <f t="shared" si="767"/>
        <v>7.8414308057111031</v>
      </c>
      <c r="CD66" s="53">
        <f t="shared" si="767"/>
        <v>3.9155441198728864</v>
      </c>
      <c r="CE66" s="53">
        <f t="shared" si="767"/>
        <v>8.7493062913071959</v>
      </c>
      <c r="CF66" s="53">
        <f t="shared" si="767"/>
        <v>2.5773169870339769</v>
      </c>
      <c r="CG66" s="53">
        <f t="shared" si="767"/>
        <v>1.2749104485142169</v>
      </c>
      <c r="CH66" s="53">
        <f t="shared" si="767"/>
        <v>1.630341556934547</v>
      </c>
      <c r="CI66" s="53">
        <f t="shared" si="767"/>
        <v>0.10645275213155063</v>
      </c>
      <c r="CJ66" s="53">
        <f t="shared" si="767"/>
        <v>4.078250340547882</v>
      </c>
      <c r="CK66" s="53">
        <f t="shared" ref="CK66:CL66" si="768">(CK48-CK47)/CK65</f>
        <v>4.4987639372382766</v>
      </c>
      <c r="CL66" s="53">
        <f t="shared" si="768"/>
        <v>5.3208718026336106</v>
      </c>
      <c r="CM66" s="54">
        <f t="shared" si="767"/>
        <v>1.4661633100813063</v>
      </c>
      <c r="CN66" s="54">
        <f t="shared" si="767"/>
        <v>7.2711562970904966</v>
      </c>
      <c r="CO66" s="54">
        <f t="shared" si="767"/>
        <v>8.8659267811794944</v>
      </c>
      <c r="CP66" s="54">
        <f t="shared" si="767"/>
        <v>13.636856565262448</v>
      </c>
      <c r="CQ66" s="54">
        <f t="shared" si="767"/>
        <v>5.5812344336029227</v>
      </c>
      <c r="CR66" s="54">
        <f t="shared" si="767"/>
        <v>12.891712757657604</v>
      </c>
      <c r="CS66" s="54">
        <f t="shared" si="767"/>
        <v>15.092778878679233</v>
      </c>
      <c r="CT66" s="54">
        <f t="shared" si="767"/>
        <v>21.851512633165317</v>
      </c>
      <c r="CU66" s="54">
        <f t="shared" ref="CU66:DB66" si="769">(CU48-CU47)/CU65</f>
        <v>10.101963764044845</v>
      </c>
      <c r="CV66" s="54">
        <f t="shared" si="769"/>
        <v>19.825500964913555</v>
      </c>
      <c r="CW66" s="54">
        <f t="shared" si="769"/>
        <v>22.74422320986524</v>
      </c>
      <c r="CX66" s="54">
        <f t="shared" si="769"/>
        <v>31.884418734317865</v>
      </c>
      <c r="CY66" s="54">
        <f t="shared" si="769"/>
        <v>15.461976984397038</v>
      </c>
      <c r="CZ66" s="54">
        <f t="shared" si="769"/>
        <v>28.625486502366709</v>
      </c>
      <c r="DA66" s="54">
        <f t="shared" si="769"/>
        <v>32.501448942483982</v>
      </c>
      <c r="DB66" s="54">
        <f t="shared" si="769"/>
        <v>44.899940252905388</v>
      </c>
      <c r="DE66" s="132"/>
      <c r="DF66" s="53">
        <v>1.5322891046471847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0.27777777777777801</v>
      </c>
      <c r="O67" s="3">
        <f>'Annual Raw'!P110</f>
        <v>0.55555555555555602</v>
      </c>
      <c r="P67" s="3">
        <f>'Annual Raw'!Q110</f>
        <v>0.243055555555556</v>
      </c>
      <c r="Q67" s="3">
        <f>'Annual Raw'!R110</f>
        <v>1.6666666666666701</v>
      </c>
      <c r="R67" s="3">
        <f>'Annual Raw'!S110</f>
        <v>2.5</v>
      </c>
      <c r="S67" s="3">
        <f>'Annual Raw'!T110</f>
        <v>5</v>
      </c>
      <c r="T67" s="3">
        <f>'Annual Raw'!U110</f>
        <v>5</v>
      </c>
      <c r="U67" s="3">
        <f>'Annual Raw'!V110</f>
        <v>5</v>
      </c>
      <c r="V67" s="3">
        <f>'Annual Raw'!W110</f>
        <v>4</v>
      </c>
      <c r="W67" s="3">
        <f>'Annual Raw'!X110</f>
        <v>5</v>
      </c>
      <c r="X67" s="3">
        <f>'Annual Raw'!Y110</f>
        <v>2.5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1.4999243226880588</v>
      </c>
      <c r="AY69" s="3">
        <f t="shared" ref="AY69" si="794">SUM(AV66:AY66)</f>
        <v>3.3916048635285803</v>
      </c>
      <c r="AZ69" s="3">
        <f t="shared" ref="AZ69" si="795">SUM(AW66:AZ66)</f>
        <v>4.9745219716462357</v>
      </c>
      <c r="BA69" s="3">
        <f t="shared" ref="BA69" si="796">SUM(AX66:BA66)</f>
        <v>6.8205438676151564</v>
      </c>
      <c r="BB69" s="3">
        <f t="shared" ref="BB69" si="797">SUM(AY66:BB66)</f>
        <v>10.496443166338732</v>
      </c>
      <c r="BC69" s="3">
        <f t="shared" ref="BC69" si="798">SUM(AZ66:BC66)</f>
        <v>12.025881640684119</v>
      </c>
      <c r="BD69" s="3">
        <f t="shared" ref="BD69" si="799">SUM(BA66:BD66)</f>
        <v>13.636799354220265</v>
      </c>
      <c r="BE69" s="3">
        <f t="shared" ref="BE69" si="800">SUM(BB66:BE66)</f>
        <v>15.619292669391047</v>
      </c>
      <c r="BF69" s="3">
        <f t="shared" ref="BF69" si="801">SUM(BC66:BF66)</f>
        <v>16.236567277130327</v>
      </c>
      <c r="BG69" s="3">
        <f t="shared" ref="BG69" si="802">SUM(BD66:BG66)</f>
        <v>18.129761364209692</v>
      </c>
      <c r="BH69" s="3">
        <f t="shared" ref="BH69" si="803">SUM(BE66:BH66)</f>
        <v>19.311084203622435</v>
      </c>
      <c r="BI69" s="3">
        <f t="shared" ref="BI69" si="804">SUM(BF66:BI66)</f>
        <v>20.815044649614052</v>
      </c>
      <c r="BJ69" s="3">
        <f t="shared" ref="BJ69" si="805">SUM(BG66:BJ66)</f>
        <v>22.56369507088441</v>
      </c>
      <c r="BK69" s="3">
        <f t="shared" ref="BK69" si="806">SUM(BH66:BK66)</f>
        <v>23.638817415872044</v>
      </c>
      <c r="BL69" s="3">
        <f t="shared" ref="BL69" si="807">SUM(BI66:BL66)</f>
        <v>27.467332627011746</v>
      </c>
      <c r="BM69" s="3">
        <f t="shared" ref="BM69" si="808">SUM(BJ66:BM66)</f>
        <v>31.348065183391341</v>
      </c>
      <c r="BN69" s="3">
        <f t="shared" ref="BN69" si="809">SUM(BK66:BN66)</f>
        <v>32.409061096816501</v>
      </c>
      <c r="BO69" s="3">
        <f t="shared" ref="BO69" si="810">SUM(BL66:BO66)</f>
        <v>25.151102366177287</v>
      </c>
      <c r="BP69" s="3">
        <f t="shared" ref="BP69" si="811">SUM(BM66:BP66)</f>
        <v>20.496695424045207</v>
      </c>
      <c r="BQ69" s="3">
        <f t="shared" ref="BQ69" si="812">SUM(BN66:BQ66)</f>
        <v>18.640583219817358</v>
      </c>
      <c r="BR69" s="3">
        <f t="shared" ref="BR69" si="813">SUM(BO66:BR66)</f>
        <v>20.565814035618772</v>
      </c>
      <c r="BS69" s="3">
        <f t="shared" ref="BS69" si="814">SUM(BP66:BS66)</f>
        <v>27.717824529539364</v>
      </c>
      <c r="BT69" s="3">
        <f t="shared" ref="BT69" si="815">SUM(BQ66:BT66)</f>
        <v>33.349225568841113</v>
      </c>
      <c r="BU69" s="3">
        <f t="shared" ref="BU69" si="816">SUM(BR66:BU66)</f>
        <v>38.638312900459127</v>
      </c>
      <c r="BV69" s="3">
        <f t="shared" ref="BV69" si="817">SUM(BS66:BV66)</f>
        <v>42.040008072246664</v>
      </c>
      <c r="BW69" s="3">
        <f t="shared" ref="BW69" si="818">SUM(BT66:BW66)</f>
        <v>43.081327884566903</v>
      </c>
      <c r="BX69" s="3">
        <f t="shared" ref="BX69" si="819">SUM(BU66:BX66)</f>
        <v>39.33555320115034</v>
      </c>
      <c r="BY69" s="3">
        <f t="shared" ref="BY69" si="820">SUM(BV66:BY66)</f>
        <v>35.609202361132155</v>
      </c>
      <c r="BZ69" s="3">
        <f t="shared" ref="BZ69" si="821">SUM(BW66:BZ66)</f>
        <v>33.282881792038737</v>
      </c>
      <c r="CA69" s="3">
        <f t="shared" ref="CA69" si="822">SUM(BX66:CA66)</f>
        <v>35.50527218606527</v>
      </c>
      <c r="CB69" s="3">
        <f t="shared" ref="CB69" si="823">SUM(BY66:CB66)</f>
        <v>39.787346753443316</v>
      </c>
      <c r="CC69" s="3">
        <f t="shared" ref="CC69" si="824">SUM(BZ66:CC66)</f>
        <v>38.708945058271524</v>
      </c>
      <c r="CD69" s="3">
        <f t="shared" ref="CD69" si="825">SUM(CA66:CD66)</f>
        <v>31.021139195802444</v>
      </c>
      <c r="CE69" s="3">
        <f t="shared" ref="CE69" si="826">SUM(CB66:CE66)</f>
        <v>30.223248070228568</v>
      </c>
      <c r="CF69" s="3">
        <f t="shared" ref="CF69" si="827">SUM(CC66:CF66)</f>
        <v>23.083598203925163</v>
      </c>
      <c r="CG69" s="3">
        <f t="shared" ref="CG69" si="828">SUM(CD66:CG66)</f>
        <v>16.517077846728277</v>
      </c>
      <c r="CH69" s="3">
        <f t="shared" ref="CH69:CL69" si="829">SUM(CE66:CH66)</f>
        <v>14.231875283789936</v>
      </c>
      <c r="CI69" s="3">
        <f t="shared" si="829"/>
        <v>5.5890217446142918</v>
      </c>
      <c r="CJ69" s="3">
        <f t="shared" si="829"/>
        <v>7.0899550981281969</v>
      </c>
      <c r="CK69" s="3">
        <f t="shared" si="829"/>
        <v>10.313808586852257</v>
      </c>
      <c r="CL69" s="3">
        <f t="shared" si="829"/>
        <v>14.004338832551319</v>
      </c>
      <c r="CM69" s="37">
        <f t="shared" ref="CM69" si="830">SUM(CJ66:CM66)</f>
        <v>15.364049390501076</v>
      </c>
      <c r="CN69" s="37">
        <f t="shared" ref="CN69" si="831">SUM(CK66:CN66)</f>
        <v>18.55695534704369</v>
      </c>
      <c r="CO69" s="37">
        <f t="shared" ref="CO69" si="832">SUM(CL66:CO66)</f>
        <v>22.924118190984906</v>
      </c>
      <c r="CP69" s="37">
        <f t="shared" ref="CP69" si="833">SUM(CM66:CP66)</f>
        <v>31.240102953613743</v>
      </c>
      <c r="CQ69" s="37">
        <f t="shared" ref="CQ69" si="834">SUM(CN66:CQ66)</f>
        <v>35.355174077135359</v>
      </c>
      <c r="CR69" s="37">
        <f t="shared" ref="CR69" si="835">SUM(CO66:CR66)</f>
        <v>40.975730537702475</v>
      </c>
      <c r="CS69" s="37">
        <f t="shared" ref="CS69" si="836">SUM(CP66:CS66)</f>
        <v>47.202582635202212</v>
      </c>
      <c r="CT69" s="37">
        <f t="shared" ref="CT69" si="837">SUM(CQ66:CT66)</f>
        <v>55.41723870310507</v>
      </c>
      <c r="CU69" s="37">
        <f t="shared" ref="CU69" si="838">SUM(CR66:CU66)</f>
        <v>59.937968033547001</v>
      </c>
      <c r="CV69" s="37">
        <f t="shared" ref="CV69" si="839">SUM(CS66:CV66)</f>
        <v>66.871756240802952</v>
      </c>
      <c r="CW69" s="37">
        <f t="shared" ref="CW69" si="840">SUM(CT66:CW66)</f>
        <v>74.523200571988951</v>
      </c>
      <c r="CX69" s="37">
        <f t="shared" ref="CX69" si="841">SUM(CU66:CX66)</f>
        <v>84.5561066731415</v>
      </c>
      <c r="CY69" s="37">
        <f t="shared" ref="CY69" si="842">SUM(CV66:CY66)</f>
        <v>89.9161198934937</v>
      </c>
      <c r="CZ69" s="37">
        <f t="shared" ref="CZ69" si="843">SUM(CW66:CZ66)</f>
        <v>98.716105430946854</v>
      </c>
      <c r="DA69" s="37">
        <f t="shared" ref="DA69" si="844">SUM(CX66:DA66)</f>
        <v>108.4733311635656</v>
      </c>
      <c r="DB69" s="37">
        <f t="shared" ref="DB69" si="845">SUM(CY66:DB66)</f>
        <v>121.48885268215312</v>
      </c>
      <c r="DE69" s="134"/>
      <c r="DF69" s="3">
        <v>10.215756134564895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>
        <f t="shared" si="851"/>
        <v>5.9979818365287567</v>
      </c>
      <c r="BC70" s="176">
        <f t="shared" si="851"/>
        <v>2.5457791000371879</v>
      </c>
      <c r="BD70" s="176">
        <f t="shared" si="851"/>
        <v>1.7413286004056774</v>
      </c>
      <c r="BE70" s="176">
        <f t="shared" si="851"/>
        <v>1.2900362452844139</v>
      </c>
      <c r="BF70" s="176">
        <f t="shared" si="851"/>
        <v>0.54686373467916449</v>
      </c>
      <c r="BG70" s="176">
        <f t="shared" si="851"/>
        <v>0.50756193233067104</v>
      </c>
      <c r="BH70" s="176">
        <f t="shared" si="851"/>
        <v>0.41610092676520272</v>
      </c>
      <c r="BI70" s="176">
        <f t="shared" si="851"/>
        <v>0.33264963338609199</v>
      </c>
      <c r="BJ70" s="176">
        <f t="shared" si="851"/>
        <v>0.3896838343820388</v>
      </c>
      <c r="BK70" s="176">
        <f t="shared" si="851"/>
        <v>0.30386809517183644</v>
      </c>
      <c r="BL70" s="176">
        <f t="shared" si="851"/>
        <v>0.42236097866837197</v>
      </c>
      <c r="BM70" s="176">
        <f t="shared" si="851"/>
        <v>0.50602920681088182</v>
      </c>
      <c r="BN70" s="176">
        <f t="shared" si="851"/>
        <v>0.43633660156293663</v>
      </c>
      <c r="BO70" s="176">
        <f t="shared" si="851"/>
        <v>6.3974644911375167E-2</v>
      </c>
      <c r="BP70" s="176">
        <f t="shared" si="851"/>
        <v>-0.25377918189666226</v>
      </c>
      <c r="BQ70" s="176">
        <f t="shared" si="851"/>
        <v>-0.40536734529653173</v>
      </c>
      <c r="BR70" s="176">
        <f t="shared" si="851"/>
        <v>-0.36543011924406155</v>
      </c>
      <c r="BS70" s="176">
        <f t="shared" si="851"/>
        <v>0.10205207413945216</v>
      </c>
      <c r="BT70" s="176">
        <f t="shared" si="851"/>
        <v>0.62705377032232557</v>
      </c>
      <c r="BU70" s="176">
        <f t="shared" si="851"/>
        <v>1.0728060085256126</v>
      </c>
      <c r="BV70" s="176">
        <f t="shared" si="851"/>
        <v>1.0441694162670081</v>
      </c>
      <c r="BW70" s="176">
        <f t="shared" si="851"/>
        <v>0.55428243795447907</v>
      </c>
      <c r="BX70" s="176">
        <f t="shared" si="851"/>
        <v>0.17950424725611547</v>
      </c>
      <c r="BY70" s="176">
        <f t="shared" si="851"/>
        <v>-7.8396552849774648E-2</v>
      </c>
      <c r="BZ70" s="176">
        <f t="shared" si="851"/>
        <v>-0.20830458132069374</v>
      </c>
      <c r="CA70" s="176">
        <f t="shared" si="851"/>
        <v>-0.17585473964036324</v>
      </c>
      <c r="CB70" s="176">
        <f t="shared" si="851"/>
        <v>1.148562853514834E-2</v>
      </c>
      <c r="CC70" s="176">
        <f t="shared" si="851"/>
        <v>8.7048922514556981E-2</v>
      </c>
      <c r="CD70" s="176">
        <f t="shared" si="851"/>
        <v>-6.7955131120205459E-2</v>
      </c>
      <c r="CE70" s="176">
        <f t="shared" si="851"/>
        <v>-0.14876731793960829</v>
      </c>
      <c r="CF70" s="176">
        <f t="shared" si="851"/>
        <v>-0.4198256459026779</v>
      </c>
      <c r="CG70" s="176">
        <f t="shared" si="851"/>
        <v>-0.57330074942978015</v>
      </c>
      <c r="CH70" s="176">
        <f t="shared" si="851"/>
        <v>-0.54122009530469817</v>
      </c>
      <c r="CI70" s="176">
        <f t="shared" si="851"/>
        <v>-0.81507541043810705</v>
      </c>
      <c r="CJ70" s="176">
        <f t="shared" si="851"/>
        <v>-0.6928574550858968</v>
      </c>
      <c r="CK70" s="176">
        <f t="shared" si="851"/>
        <v>-0.37556699298991136</v>
      </c>
      <c r="CL70" s="176">
        <f t="shared" si="851"/>
        <v>-1.5987805310364145E-2</v>
      </c>
      <c r="CM70" s="102">
        <f t="shared" ref="CM70:DB70" si="852">+IF(CI69&lt;0,1-CM69/CI69,CM69/CI69-1)</f>
        <v>1.7489693353414171</v>
      </c>
      <c r="CN70" s="102">
        <f t="shared" si="852"/>
        <v>1.6173586560432338</v>
      </c>
      <c r="CO70" s="102">
        <f t="shared" si="852"/>
        <v>1.2226627533312868</v>
      </c>
      <c r="CP70" s="102">
        <f t="shared" si="852"/>
        <v>1.2307445804581696</v>
      </c>
      <c r="CQ70" s="102">
        <f t="shared" si="852"/>
        <v>1.3011624851319423</v>
      </c>
      <c r="CR70" s="102">
        <f t="shared" si="852"/>
        <v>1.2081063284031841</v>
      </c>
      <c r="CS70" s="102">
        <f t="shared" si="852"/>
        <v>1.0590795354459921</v>
      </c>
      <c r="CT70" s="102">
        <f t="shared" si="852"/>
        <v>0.77391344661668615</v>
      </c>
      <c r="CU70" s="102">
        <f t="shared" si="852"/>
        <v>0.69530965687734092</v>
      </c>
      <c r="CV70" s="102">
        <f t="shared" si="852"/>
        <v>0.63198447869704477</v>
      </c>
      <c r="CW70" s="102">
        <f t="shared" si="852"/>
        <v>0.57879498136637708</v>
      </c>
      <c r="CX70" s="102">
        <f t="shared" si="852"/>
        <v>0.52580873121712868</v>
      </c>
      <c r="CY70" s="102">
        <f t="shared" si="852"/>
        <v>0.50015295552174988</v>
      </c>
      <c r="CZ70" s="102">
        <f t="shared" si="852"/>
        <v>0.476200282156094</v>
      </c>
      <c r="DA70" s="102">
        <f t="shared" si="852"/>
        <v>0.45556458030517666</v>
      </c>
      <c r="DB70" s="102">
        <f t="shared" si="852"/>
        <v>0.4367838996156499</v>
      </c>
      <c r="DE70" s="135"/>
      <c r="DF70" s="97">
        <v>-0.28219184535711805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72.13</v>
      </c>
      <c r="T73" s="3">
        <f>'Annual Raw'!U112</f>
        <v>73.28</v>
      </c>
      <c r="U73" s="3">
        <f>'Annual Raw'!V112</f>
        <v>73.819999999999993</v>
      </c>
      <c r="V73" s="3">
        <f>'Annual Raw'!W112</f>
        <v>74.19</v>
      </c>
      <c r="W73" s="3">
        <f>'Annual Raw'!X112</f>
        <v>70.2</v>
      </c>
      <c r="X73" s="3">
        <f>'Annual Raw'!Y112</f>
        <v>67.59</v>
      </c>
      <c r="Y73" s="3">
        <f>'Annual Raw'!Z112</f>
        <v>66.22</v>
      </c>
      <c r="Z73" s="3">
        <f>'Annual Raw'!AA112</f>
        <v>60.14</v>
      </c>
      <c r="AA73" s="3">
        <f>'Annual Raw'!AB112</f>
        <v>68.819999999999993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99.99</v>
      </c>
      <c r="BA73" s="3">
        <f>'QTR Raw'!U49</f>
        <v>0</v>
      </c>
      <c r="BB73" s="3">
        <f>'QTR Raw'!V49</f>
        <v>0</v>
      </c>
      <c r="BC73" s="3">
        <f>'QTR Raw'!W49</f>
        <v>71.989999999999995</v>
      </c>
      <c r="BD73" s="3">
        <f>'QTR Raw'!X49</f>
        <v>71.989999999999995</v>
      </c>
      <c r="BE73" s="3">
        <f>'QTR Raw'!Y49</f>
        <v>71.989999999999995</v>
      </c>
      <c r="BF73" s="3">
        <f>'QTR Raw'!Z49</f>
        <v>72.13</v>
      </c>
      <c r="BG73" s="3">
        <f>'QTR Raw'!AA49</f>
        <v>72.44</v>
      </c>
      <c r="BH73" s="3">
        <f>'QTR Raw'!AB49</f>
        <v>72.959999999999994</v>
      </c>
      <c r="BI73" s="3">
        <f>'QTR Raw'!AC49</f>
        <v>73.28</v>
      </c>
      <c r="BJ73" s="3">
        <f>'QTR Raw'!AD49</f>
        <v>73.28</v>
      </c>
      <c r="BK73" s="3">
        <f>'QTR Raw'!AE49</f>
        <v>73.28</v>
      </c>
      <c r="BL73" s="3">
        <f>'QTR Raw'!AF49</f>
        <v>73.680000000000007</v>
      </c>
      <c r="BM73" s="3">
        <f>'QTR Raw'!AG49</f>
        <v>73.680000000000007</v>
      </c>
      <c r="BN73" s="3">
        <f>'QTR Raw'!AH49</f>
        <v>73.819999999999993</v>
      </c>
      <c r="BO73" s="3">
        <f>'QTR Raw'!AI49</f>
        <v>73.959999999999994</v>
      </c>
      <c r="BP73" s="3">
        <f>'QTR Raw'!AJ49</f>
        <v>74.16</v>
      </c>
      <c r="BQ73" s="3">
        <f>'QTR Raw'!AK49</f>
        <v>74.19</v>
      </c>
      <c r="BR73" s="3">
        <f>'QTR Raw'!AL49</f>
        <v>74.19</v>
      </c>
      <c r="BS73" s="3">
        <f>'QTR Raw'!AM49</f>
        <v>74.19</v>
      </c>
      <c r="BT73" s="3">
        <f>'QTR Raw'!AN49</f>
        <v>69.88</v>
      </c>
      <c r="BU73" s="3">
        <f>'QTR Raw'!AO49</f>
        <v>70.16</v>
      </c>
      <c r="BV73" s="3">
        <f>'QTR Raw'!AP49</f>
        <v>70.2</v>
      </c>
      <c r="BW73" s="3">
        <f>'QTR Raw'!AQ49</f>
        <v>70.39</v>
      </c>
      <c r="BX73" s="3">
        <f>'QTR Raw'!AR49</f>
        <v>70.45</v>
      </c>
      <c r="BY73" s="3">
        <f>'QTR Raw'!AS49</f>
        <v>67.540000000000006</v>
      </c>
      <c r="BZ73" s="3">
        <f>'QTR Raw'!AT49</f>
        <v>67.59</v>
      </c>
      <c r="CA73" s="3">
        <f>'QTR Raw'!AU49</f>
        <v>66.22</v>
      </c>
      <c r="CB73" s="3">
        <f>'QTR Raw'!AV49</f>
        <v>66.22</v>
      </c>
      <c r="CC73" s="3">
        <f>'QTR Raw'!AW49</f>
        <v>66.22</v>
      </c>
      <c r="CD73" s="3">
        <f>'QTR Raw'!AX49</f>
        <v>66.22</v>
      </c>
      <c r="CE73" s="3">
        <f>'QTR Raw'!AY49</f>
        <v>60.14</v>
      </c>
      <c r="CF73" s="3">
        <f>'QTR Raw'!AZ49</f>
        <v>60.14</v>
      </c>
      <c r="CG73" s="3">
        <f>'QTR Raw'!BA49</f>
        <v>60.14</v>
      </c>
      <c r="CH73" s="3">
        <f>'QTR Raw'!BB49</f>
        <v>60.14</v>
      </c>
      <c r="CI73" s="3">
        <f>'QTR Raw'!BC49</f>
        <v>60.14</v>
      </c>
      <c r="CJ73" s="3">
        <f>'QTR Raw'!BD49</f>
        <v>68.819999999999993</v>
      </c>
      <c r="CK73" s="3">
        <f>'QTR Raw'!BE49</f>
        <v>68.819999999999993</v>
      </c>
      <c r="CL73" s="3">
        <f>'QTR Raw'!BF49</f>
        <v>68.819999999999993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449.5</v>
      </c>
      <c r="T77" s="13">
        <f>'Annual Raw'!U106</f>
        <v>459.95</v>
      </c>
      <c r="U77" s="13">
        <f>'Annual Raw'!V106</f>
        <v>321.7</v>
      </c>
      <c r="V77" s="13">
        <f>'Annual Raw'!W106</f>
        <v>463.4</v>
      </c>
      <c r="W77" s="13">
        <f>'Annual Raw'!X106</f>
        <v>539.85</v>
      </c>
      <c r="X77" s="13">
        <f>'Annual Raw'!Y106</f>
        <v>671.4</v>
      </c>
      <c r="Y77" s="13">
        <f>'Annual Raw'!Z106</f>
        <v>686.1</v>
      </c>
      <c r="Z77" s="13">
        <f>'Annual Raw'!AA106</f>
        <v>632.29999999999995</v>
      </c>
      <c r="AA77" s="13">
        <f>'Annual Raw'!AB106</f>
        <v>580.04999999999995</v>
      </c>
      <c r="AB77" s="37">
        <f>+CP77</f>
        <v>580.04999999999995</v>
      </c>
      <c r="AC77" s="37">
        <f>+CT77</f>
        <v>580.04999999999995</v>
      </c>
      <c r="AD77" s="37">
        <f>+CX77</f>
        <v>580.04999999999995</v>
      </c>
      <c r="AE77" s="37">
        <f>+DB77</f>
        <v>580.04999999999995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269.75</v>
      </c>
      <c r="BD77" s="13">
        <f>'QTR Share Price'!IJ21</f>
        <v>338.3</v>
      </c>
      <c r="BE77" s="13">
        <f>'QTR Share Price'!IK21</f>
        <v>514.20000000000005</v>
      </c>
      <c r="BF77" s="13">
        <f>'QTR Share Price'!IL21</f>
        <v>449.5</v>
      </c>
      <c r="BG77" s="13">
        <f>'QTR Share Price'!IM21</f>
        <v>493.15</v>
      </c>
      <c r="BH77" s="13">
        <f>'QTR Share Price'!IN21</f>
        <v>411.05</v>
      </c>
      <c r="BI77" s="13">
        <f>'QTR Share Price'!IO21</f>
        <v>392.05</v>
      </c>
      <c r="BJ77" s="13">
        <f>'QTR Share Price'!IP21</f>
        <v>459.95</v>
      </c>
      <c r="BK77" s="13">
        <f>'QTR Share Price'!IQ21</f>
        <v>550.20000000000005</v>
      </c>
      <c r="BL77" s="13">
        <f>'QTR Share Price'!IR21</f>
        <v>564.5</v>
      </c>
      <c r="BM77" s="13">
        <f>'QTR Share Price'!IS21</f>
        <v>495.75</v>
      </c>
      <c r="BN77" s="13">
        <f>'QTR Share Price'!IT21</f>
        <v>321.7</v>
      </c>
      <c r="BO77" s="13">
        <f>'QTR Share Price'!IU21</f>
        <v>390</v>
      </c>
      <c r="BP77" s="13">
        <f>'QTR Share Price'!IV21</f>
        <v>403.15</v>
      </c>
      <c r="BQ77" s="13">
        <f>'QTR Share Price'!IW21</f>
        <v>414.95</v>
      </c>
      <c r="BR77" s="13">
        <f>'QTR Share Price'!IX21</f>
        <v>463.4</v>
      </c>
      <c r="BS77" s="13">
        <f>'QTR Share Price'!IY21</f>
        <v>418.4</v>
      </c>
      <c r="BT77" s="13">
        <f>'QTR Share Price'!IZ21</f>
        <v>482.75</v>
      </c>
      <c r="BU77" s="13">
        <f>'QTR Share Price'!JA21</f>
        <v>485.45</v>
      </c>
      <c r="BV77" s="13">
        <f>'QTR Share Price'!JB21</f>
        <v>539.85</v>
      </c>
      <c r="BW77" s="13">
        <f>'QTR Share Price'!JC21</f>
        <v>552.9</v>
      </c>
      <c r="BX77" s="13">
        <f>'QTR Share Price'!JD21</f>
        <v>641.54999999999995</v>
      </c>
      <c r="BY77" s="13">
        <f>'QTR Share Price'!JE21</f>
        <v>699.35</v>
      </c>
      <c r="BZ77" s="13">
        <f>'QTR Share Price'!JF21</f>
        <v>671.4</v>
      </c>
      <c r="CA77" s="13">
        <f>'QTR Share Price'!JG21</f>
        <v>713.25</v>
      </c>
      <c r="CB77" s="13">
        <f>'QTR Share Price'!JH21</f>
        <v>797.45</v>
      </c>
      <c r="CC77" s="13">
        <f>'QTR Share Price'!JI21</f>
        <v>768.05</v>
      </c>
      <c r="CD77" s="13">
        <f>'QTR Share Price'!JJ21</f>
        <v>686.1</v>
      </c>
      <c r="CE77" s="13">
        <f>'QTR Share Price'!JK21</f>
        <v>684.15</v>
      </c>
      <c r="CF77" s="13">
        <f>'QTR Share Price'!JL21</f>
        <v>652.54999999999995</v>
      </c>
      <c r="CG77" s="13">
        <f>'QTR Share Price'!JM21</f>
        <v>649.79999999999995</v>
      </c>
      <c r="CH77" s="13">
        <f>'QTR Share Price'!JN21</f>
        <v>632.29999999999995</v>
      </c>
      <c r="CI77" s="13">
        <f>'QTR Share Price'!JO21</f>
        <v>760</v>
      </c>
      <c r="CJ77" s="13">
        <f>'QTR Share Price'!JP21</f>
        <v>753.1</v>
      </c>
      <c r="CK77" s="13">
        <f>'QTR Share Price'!JQ21</f>
        <v>867.9</v>
      </c>
      <c r="CL77" s="13">
        <f>'QTR Share Price'!JR21</f>
        <v>580.04999999999995</v>
      </c>
      <c r="CM77" s="37">
        <f t="shared" ref="CM77" si="853">+CL77</f>
        <v>580.04999999999995</v>
      </c>
      <c r="CN77" s="37">
        <f t="shared" ref="CN77" si="854">+CM77</f>
        <v>580.04999999999995</v>
      </c>
      <c r="CO77" s="37">
        <f t="shared" ref="CO77" si="855">+CN77</f>
        <v>580.04999999999995</v>
      </c>
      <c r="CP77" s="37">
        <f t="shared" ref="CP77" si="856">+CO77</f>
        <v>580.04999999999995</v>
      </c>
      <c r="CQ77" s="37">
        <f t="shared" ref="CQ77" si="857">+CP77</f>
        <v>580.04999999999995</v>
      </c>
      <c r="CR77" s="37">
        <f t="shared" ref="CR77" si="858">+CQ77</f>
        <v>580.04999999999995</v>
      </c>
      <c r="CS77" s="37">
        <f t="shared" ref="CS77" si="859">+CR77</f>
        <v>580.04999999999995</v>
      </c>
      <c r="CT77" s="37">
        <f t="shared" ref="CT77" si="860">+CS77</f>
        <v>580.04999999999995</v>
      </c>
      <c r="CU77" s="37">
        <f t="shared" ref="CU77" si="861">+CT77</f>
        <v>580.04999999999995</v>
      </c>
      <c r="CV77" s="37">
        <f t="shared" ref="CV77" si="862">+CU77</f>
        <v>580.04999999999995</v>
      </c>
      <c r="CW77" s="37">
        <f t="shared" ref="CW77" si="863">+CV77</f>
        <v>580.04999999999995</v>
      </c>
      <c r="CX77" s="37">
        <f t="shared" ref="CX77" si="864">+CW77</f>
        <v>580.04999999999995</v>
      </c>
      <c r="CY77" s="37">
        <f t="shared" ref="CY77" si="865">+CX77</f>
        <v>580.04999999999995</v>
      </c>
      <c r="CZ77" s="37">
        <f t="shared" ref="CZ77" si="866">+CY77</f>
        <v>580.04999999999995</v>
      </c>
      <c r="DA77" s="37">
        <f t="shared" ref="DA77" si="867">+CZ77</f>
        <v>580.04999999999995</v>
      </c>
      <c r="DB77" s="37">
        <f t="shared" ref="DB77" si="868">+DA77</f>
        <v>580.04999999999995</v>
      </c>
      <c r="DE77" s="134"/>
      <c r="DF77" s="13">
        <v>580.04999999999995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594.75</v>
      </c>
      <c r="T78" s="13">
        <f>'Annual Raw'!U107</f>
        <v>596</v>
      </c>
      <c r="U78" s="13">
        <f>'Annual Raw'!V107</f>
        <v>617</v>
      </c>
      <c r="V78" s="13">
        <f>'Annual Raw'!W107</f>
        <v>506</v>
      </c>
      <c r="W78" s="13">
        <f>'Annual Raw'!X107</f>
        <v>639</v>
      </c>
      <c r="X78" s="13">
        <f>'Annual Raw'!Y107</f>
        <v>775.55</v>
      </c>
      <c r="Y78" s="13">
        <f>'Annual Raw'!Z107</f>
        <v>846</v>
      </c>
      <c r="Z78" s="13">
        <f>'Annual Raw'!AA107</f>
        <v>745</v>
      </c>
      <c r="AA78" s="13">
        <f>'Annual Raw'!AB107</f>
        <v>1030.8</v>
      </c>
      <c r="AB78" s="37">
        <f>+MAX(CM78:CP78)</f>
        <v>2007.6701224123526</v>
      </c>
      <c r="AC78" s="37">
        <f>+MAX(CQ78:CT78)</f>
        <v>3561.4330265178405</v>
      </c>
      <c r="AD78" s="37">
        <f>+MAX(CU78:CX78)</f>
        <v>5434.0656075059642</v>
      </c>
      <c r="AE78" s="37">
        <f>+MAX(CY78:DB78)</f>
        <v>7807.5779743197054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316.75</v>
      </c>
      <c r="BD78" s="13">
        <f>'QTR Share Price'!IJ19</f>
        <v>372.5</v>
      </c>
      <c r="BE78" s="13">
        <f>'QTR Share Price'!IK19</f>
        <v>545.4</v>
      </c>
      <c r="BF78" s="13">
        <f>'QTR Share Price'!IL19</f>
        <v>594.75</v>
      </c>
      <c r="BG78" s="13">
        <f>'QTR Share Price'!IM19</f>
        <v>596</v>
      </c>
      <c r="BH78" s="13">
        <f>'QTR Share Price'!IN19</f>
        <v>509.7</v>
      </c>
      <c r="BI78" s="13">
        <f>'QTR Share Price'!IO19</f>
        <v>449.8</v>
      </c>
      <c r="BJ78" s="13">
        <f>'QTR Share Price'!IP19</f>
        <v>489.9</v>
      </c>
      <c r="BK78" s="13">
        <f>'QTR Share Price'!IQ19</f>
        <v>617</v>
      </c>
      <c r="BL78" s="13">
        <f>'QTR Share Price'!IR19</f>
        <v>576.9</v>
      </c>
      <c r="BM78" s="13">
        <f>'QTR Share Price'!IS19</f>
        <v>576</v>
      </c>
      <c r="BN78" s="13">
        <f>'QTR Share Price'!IT19</f>
        <v>557.9</v>
      </c>
      <c r="BO78" s="13">
        <f>'QTR Share Price'!IU19</f>
        <v>405</v>
      </c>
      <c r="BP78" s="13">
        <f>'QTR Share Price'!IV19</f>
        <v>479.05</v>
      </c>
      <c r="BQ78" s="13">
        <f>'QTR Share Price'!IW19</f>
        <v>429.45</v>
      </c>
      <c r="BR78" s="13">
        <f>'QTR Share Price'!IX19</f>
        <v>506</v>
      </c>
      <c r="BS78" s="13">
        <f>'QTR Share Price'!IY19</f>
        <v>475</v>
      </c>
      <c r="BT78" s="13">
        <f>'QTR Share Price'!IZ19</f>
        <v>517.25</v>
      </c>
      <c r="BU78" s="13">
        <f>'QTR Share Price'!JA19</f>
        <v>552.20000000000005</v>
      </c>
      <c r="BV78" s="13">
        <f>'QTR Share Price'!JB19</f>
        <v>639</v>
      </c>
      <c r="BW78" s="13">
        <f>'QTR Share Price'!JC19</f>
        <v>588.20000000000005</v>
      </c>
      <c r="BX78" s="13">
        <f>'QTR Share Price'!JD19</f>
        <v>683.9</v>
      </c>
      <c r="BY78" s="13">
        <f>'QTR Share Price'!JE19</f>
        <v>746.5</v>
      </c>
      <c r="BZ78" s="13">
        <f>'QTR Share Price'!JF19</f>
        <v>775.55</v>
      </c>
      <c r="CA78" s="13">
        <f>'QTR Share Price'!JG19</f>
        <v>798</v>
      </c>
      <c r="CB78" s="13">
        <f>'QTR Share Price'!JH19</f>
        <v>846</v>
      </c>
      <c r="CC78" s="13">
        <f>'QTR Share Price'!JI19</f>
        <v>815</v>
      </c>
      <c r="CD78" s="13">
        <f>'QTR Share Price'!JJ19</f>
        <v>809.95</v>
      </c>
      <c r="CE78" s="13">
        <f>'QTR Share Price'!JK19</f>
        <v>744</v>
      </c>
      <c r="CF78" s="13">
        <f>'QTR Share Price'!JL19</f>
        <v>745</v>
      </c>
      <c r="CG78" s="13">
        <f>'QTR Share Price'!JM19</f>
        <v>734.75</v>
      </c>
      <c r="CH78" s="13">
        <f>'QTR Share Price'!JN19</f>
        <v>693.25</v>
      </c>
      <c r="CI78" s="13">
        <f>'QTR Share Price'!JO19</f>
        <v>774.9</v>
      </c>
      <c r="CJ78" s="13">
        <f>'QTR Share Price'!JP19</f>
        <v>842.5</v>
      </c>
      <c r="CK78" s="13">
        <f>'QTR Share Price'!JQ19</f>
        <v>1030.8</v>
      </c>
      <c r="CL78" s="13">
        <f>'QTR Share Price'!JR19</f>
        <v>900</v>
      </c>
      <c r="CM78" s="37">
        <f t="shared" ref="CM78:DB78" si="869">+CM69*CM86</f>
        <v>987.38288303267518</v>
      </c>
      <c r="CN78" s="37">
        <f t="shared" si="869"/>
        <v>1192.577529866626</v>
      </c>
      <c r="CO78" s="37">
        <f t="shared" si="869"/>
        <v>1473.2367317427809</v>
      </c>
      <c r="CP78" s="37">
        <f t="shared" si="869"/>
        <v>2007.6701224123526</v>
      </c>
      <c r="CQ78" s="37">
        <f t="shared" si="869"/>
        <v>2272.1284488962124</v>
      </c>
      <c r="CR78" s="37">
        <f t="shared" si="869"/>
        <v>2633.3379908099341</v>
      </c>
      <c r="CS78" s="37">
        <f t="shared" si="869"/>
        <v>3033.5116051988966</v>
      </c>
      <c r="CT78" s="37">
        <f t="shared" si="869"/>
        <v>3561.4330265178405</v>
      </c>
      <c r="CU78" s="37">
        <f t="shared" si="869"/>
        <v>3851.9613010794828</v>
      </c>
      <c r="CV78" s="37">
        <f t="shared" si="869"/>
        <v>4297.566728165074</v>
      </c>
      <c r="CW78" s="37">
        <f t="shared" si="869"/>
        <v>4789.2928982046806</v>
      </c>
      <c r="CX78" s="37">
        <f t="shared" si="869"/>
        <v>5434.0656075059642</v>
      </c>
      <c r="CY78" s="37">
        <f t="shared" si="869"/>
        <v>5778.5311303697908</v>
      </c>
      <c r="CZ78" s="37">
        <f t="shared" si="869"/>
        <v>6344.0692167019233</v>
      </c>
      <c r="DA78" s="37">
        <f t="shared" si="869"/>
        <v>6971.125107333859</v>
      </c>
      <c r="DB78" s="37">
        <f t="shared" si="869"/>
        <v>7807.5779743197054</v>
      </c>
      <c r="DE78" s="134"/>
      <c r="DF78" s="13">
        <v>900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189.05</v>
      </c>
      <c r="T79" s="13">
        <f>'Annual Raw'!U108</f>
        <v>358.7</v>
      </c>
      <c r="U79" s="13">
        <f>'Annual Raw'!V108</f>
        <v>233.8</v>
      </c>
      <c r="V79" s="13">
        <f>'Annual Raw'!W108</f>
        <v>305</v>
      </c>
      <c r="W79" s="13">
        <f>'Annual Raw'!X108</f>
        <v>394</v>
      </c>
      <c r="X79" s="13">
        <f>'Annual Raw'!Y108</f>
        <v>458.9</v>
      </c>
      <c r="Y79" s="13">
        <f>'Annual Raw'!Z108</f>
        <v>598</v>
      </c>
      <c r="Z79" s="13">
        <f>'Annual Raw'!AA108</f>
        <v>566.5</v>
      </c>
      <c r="AA79" s="13">
        <f>'Annual Raw'!AB108</f>
        <v>569.29999999999995</v>
      </c>
      <c r="AB79" s="37">
        <f>+MIN(CM79:CP79)</f>
        <v>624.57452812277984</v>
      </c>
      <c r="AC79" s="37">
        <f>+MIN(CQ79:CT79)</f>
        <v>1437.2474732851263</v>
      </c>
      <c r="AD79" s="37">
        <f>+MIN(CU79:CX79)</f>
        <v>2436.5795207828323</v>
      </c>
      <c r="AE79" s="37">
        <f>+MIN(CY79:DB79)</f>
        <v>3655.2419694661353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271.3</v>
      </c>
      <c r="BE79" s="13">
        <f>+'QTR Share Price'!IK20</f>
        <v>339</v>
      </c>
      <c r="BF79" s="13">
        <f>+'QTR Share Price'!IL20</f>
        <v>435</v>
      </c>
      <c r="BG79" s="13">
        <f>+'QTR Share Price'!IM20</f>
        <v>450</v>
      </c>
      <c r="BH79" s="13">
        <f>+'QTR Share Price'!IN20</f>
        <v>405.1</v>
      </c>
      <c r="BI79" s="13">
        <f>+'QTR Share Price'!IO20</f>
        <v>358.7</v>
      </c>
      <c r="BJ79" s="13">
        <f>+'QTR Share Price'!IP20</f>
        <v>379.45</v>
      </c>
      <c r="BK79" s="13">
        <f>+'QTR Share Price'!IQ20</f>
        <v>433</v>
      </c>
      <c r="BL79" s="13">
        <f>+'QTR Share Price'!IR20</f>
        <v>463</v>
      </c>
      <c r="BM79" s="13">
        <f>+'QTR Share Price'!IS20</f>
        <v>469.65</v>
      </c>
      <c r="BN79" s="13">
        <f>+'QTR Share Price'!IT20</f>
        <v>233.8</v>
      </c>
      <c r="BO79" s="13">
        <f>+'QTR Share Price'!IU20</f>
        <v>305</v>
      </c>
      <c r="BP79" s="13">
        <f>+'QTR Share Price'!IV20</f>
        <v>336.75</v>
      </c>
      <c r="BQ79" s="13">
        <f>+'QTR Share Price'!IW20</f>
        <v>375</v>
      </c>
      <c r="BR79" s="13">
        <f>+'QTR Share Price'!IX20</f>
        <v>398</v>
      </c>
      <c r="BS79" s="13">
        <f>+'QTR Share Price'!IY20</f>
        <v>394</v>
      </c>
      <c r="BT79" s="13">
        <f>+'QTR Share Price'!IZ20</f>
        <v>406.4</v>
      </c>
      <c r="BU79" s="13">
        <f>+'QTR Share Price'!JA20</f>
        <v>446.65</v>
      </c>
      <c r="BV79" s="13">
        <f>+'QTR Share Price'!JB20</f>
        <v>462</v>
      </c>
      <c r="BW79" s="13">
        <f>+'QTR Share Price'!JC20</f>
        <v>458.9</v>
      </c>
      <c r="BX79" s="13">
        <f>+'QTR Share Price'!JD20</f>
        <v>541.95000000000005</v>
      </c>
      <c r="BY79" s="13">
        <f>+'QTR Share Price'!JE20</f>
        <v>560.20000000000005</v>
      </c>
      <c r="BZ79" s="13">
        <f>+'QTR Share Price'!JF20</f>
        <v>652.15</v>
      </c>
      <c r="CA79" s="13">
        <f>+'QTR Share Price'!JG20</f>
        <v>664</v>
      </c>
      <c r="CB79" s="13">
        <f>+'QTR Share Price'!JH20</f>
        <v>706.15</v>
      </c>
      <c r="CC79" s="13">
        <f>+'QTR Share Price'!JI20</f>
        <v>686.55</v>
      </c>
      <c r="CD79" s="13">
        <f>+'QTR Share Price'!JJ20</f>
        <v>598</v>
      </c>
      <c r="CE79" s="13">
        <f>+'QTR Share Price'!JK20</f>
        <v>599.25</v>
      </c>
      <c r="CF79" s="13">
        <f>+'QTR Share Price'!JL20</f>
        <v>647.5</v>
      </c>
      <c r="CG79" s="13">
        <f>+'QTR Share Price'!JM20</f>
        <v>566.5</v>
      </c>
      <c r="CH79" s="13">
        <f>+'QTR Share Price'!JN20</f>
        <v>607.04999999999995</v>
      </c>
      <c r="CI79" s="13">
        <f>+'QTR Share Price'!JO20</f>
        <v>625.6</v>
      </c>
      <c r="CJ79" s="13">
        <f>+'QTR Share Price'!JP20</f>
        <v>626.6</v>
      </c>
      <c r="CK79" s="13">
        <f>+'QTR Share Price'!JQ20</f>
        <v>734.25</v>
      </c>
      <c r="CL79" s="13">
        <f>+'QTR Share Price'!JR20</f>
        <v>569.29999999999995</v>
      </c>
      <c r="CM79" s="37">
        <f t="shared" ref="CM79:DB79" si="870">+CM87*CM69</f>
        <v>624.57452812277984</v>
      </c>
      <c r="CN79" s="37">
        <f t="shared" si="870"/>
        <v>754.37154194785569</v>
      </c>
      <c r="CO79" s="37">
        <f t="shared" si="870"/>
        <v>931.90407931240554</v>
      </c>
      <c r="CP79" s="37">
        <f t="shared" si="870"/>
        <v>1269.9628896548359</v>
      </c>
      <c r="CQ79" s="37">
        <f t="shared" si="870"/>
        <v>1437.2474732851263</v>
      </c>
      <c r="CR79" s="37">
        <f t="shared" si="870"/>
        <v>1665.7325757423282</v>
      </c>
      <c r="CS79" s="37">
        <f t="shared" si="870"/>
        <v>1918.8646187108129</v>
      </c>
      <c r="CT79" s="37">
        <f t="shared" si="870"/>
        <v>2252.8042466628958</v>
      </c>
      <c r="CU79" s="37">
        <f t="shared" si="870"/>
        <v>2436.5795207828323</v>
      </c>
      <c r="CV79" s="37">
        <f t="shared" si="870"/>
        <v>2718.4497092715292</v>
      </c>
      <c r="CW79" s="37">
        <f t="shared" si="870"/>
        <v>3029.4938299421383</v>
      </c>
      <c r="CX79" s="37">
        <f t="shared" si="870"/>
        <v>3437.3483892812724</v>
      </c>
      <c r="CY79" s="37">
        <f t="shared" si="870"/>
        <v>3655.2419694661353</v>
      </c>
      <c r="CZ79" s="37">
        <f t="shared" si="870"/>
        <v>4012.9762278537828</v>
      </c>
      <c r="DA79" s="37">
        <f t="shared" si="870"/>
        <v>4409.6239151168502</v>
      </c>
      <c r="DB79" s="37">
        <f t="shared" si="870"/>
        <v>4938.7268230891195</v>
      </c>
      <c r="DE79" s="134"/>
      <c r="DF79" s="13">
        <v>569.29999999999995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2.4612018315875401</v>
      </c>
      <c r="AC81" s="48">
        <f t="shared" si="871"/>
        <v>5.1398724705074406</v>
      </c>
      <c r="AD81" s="48">
        <f t="shared" si="871"/>
        <v>8.3682710240599345</v>
      </c>
      <c r="AE81" s="48">
        <f t="shared" ref="AE81" si="872">+AE78/AE77-1</f>
        <v>12.46018097460513</v>
      </c>
      <c r="CM81" s="48">
        <f t="shared" ref="CM81:DB81" si="873">+CM78/CM77-1</f>
        <v>0.70223753647560594</v>
      </c>
      <c r="CN81" s="48">
        <f t="shared" si="873"/>
        <v>1.0559909143463946</v>
      </c>
      <c r="CO81" s="48">
        <f t="shared" si="873"/>
        <v>1.5398443784894078</v>
      </c>
      <c r="CP81" s="48">
        <f t="shared" si="873"/>
        <v>2.4612018315875401</v>
      </c>
      <c r="CQ81" s="48">
        <f t="shared" si="873"/>
        <v>2.9171251597210803</v>
      </c>
      <c r="CR81" s="48">
        <f t="shared" si="873"/>
        <v>3.5398465491077227</v>
      </c>
      <c r="CS81" s="48">
        <f t="shared" si="873"/>
        <v>4.229741582965084</v>
      </c>
      <c r="CT81" s="48">
        <f t="shared" si="873"/>
        <v>5.1398724705074406</v>
      </c>
      <c r="CU81" s="48">
        <f t="shared" si="873"/>
        <v>5.6407401104723442</v>
      </c>
      <c r="CV81" s="48">
        <f t="shared" si="873"/>
        <v>6.4089591038101448</v>
      </c>
      <c r="CW81" s="48">
        <f t="shared" si="873"/>
        <v>7.2566897650283266</v>
      </c>
      <c r="CX81" s="48">
        <f t="shared" si="873"/>
        <v>8.3682710240599345</v>
      </c>
      <c r="CY81" s="48">
        <f t="shared" si="873"/>
        <v>8.9621259035769185</v>
      </c>
      <c r="CZ81" s="48">
        <f t="shared" si="873"/>
        <v>9.9371075195274958</v>
      </c>
      <c r="DA81" s="48">
        <f t="shared" si="873"/>
        <v>11.018145172543504</v>
      </c>
      <c r="DB81" s="48">
        <f t="shared" si="873"/>
        <v>12.46018097460513</v>
      </c>
      <c r="DE81" s="129"/>
      <c r="DF81" s="51">
        <v>0.77708818205327135</v>
      </c>
    </row>
    <row r="82" spans="1:110" s="51" customFormat="1" x14ac:dyDescent="0.2">
      <c r="A82" s="51" t="s">
        <v>347</v>
      </c>
      <c r="AB82" s="48">
        <f t="shared" ref="AB82:AD82" si="874">+AB79/AB77-1</f>
        <v>7.6759810572846865E-2</v>
      </c>
      <c r="AC82" s="48">
        <f t="shared" si="874"/>
        <v>1.4777992815880121</v>
      </c>
      <c r="AD82" s="48">
        <f t="shared" si="874"/>
        <v>3.2006370498798944</v>
      </c>
      <c r="AE82" s="48">
        <f t="shared" ref="AE82" si="875">+AE79/AE77-1</f>
        <v>5.3015980854514879</v>
      </c>
      <c r="CM82" s="48">
        <f t="shared" ref="CM82:DB82" si="876">+CM79/CM77-1</f>
        <v>7.6759810572846865E-2</v>
      </c>
      <c r="CN82" s="48">
        <f t="shared" si="876"/>
        <v>0.300528475041558</v>
      </c>
      <c r="CO82" s="48">
        <f t="shared" si="876"/>
        <v>0.60659267186002186</v>
      </c>
      <c r="CP82" s="48">
        <f t="shared" si="876"/>
        <v>1.1894024474697629</v>
      </c>
      <c r="CQ82" s="48">
        <f t="shared" si="876"/>
        <v>1.4777992815880121</v>
      </c>
      <c r="CR82" s="48">
        <f t="shared" si="876"/>
        <v>1.8717051560078066</v>
      </c>
      <c r="CS82" s="48">
        <f t="shared" si="876"/>
        <v>2.3081020924244688</v>
      </c>
      <c r="CT82" s="48">
        <f t="shared" si="876"/>
        <v>2.8838104416220944</v>
      </c>
      <c r="CU82" s="48">
        <f t="shared" si="876"/>
        <v>3.2006370498798944</v>
      </c>
      <c r="CV82" s="48">
        <f t="shared" si="876"/>
        <v>3.6865782419990163</v>
      </c>
      <c r="CW82" s="48">
        <f t="shared" si="876"/>
        <v>4.2228149813673621</v>
      </c>
      <c r="CX82" s="48">
        <f t="shared" si="876"/>
        <v>4.9259518822192438</v>
      </c>
      <c r="CY82" s="48">
        <f t="shared" si="876"/>
        <v>5.3015980854514879</v>
      </c>
      <c r="CZ82" s="48">
        <f t="shared" si="876"/>
        <v>5.9183281231855585</v>
      </c>
      <c r="DA82" s="48">
        <f t="shared" si="876"/>
        <v>6.6021444963655727</v>
      </c>
      <c r="DB82" s="48">
        <f t="shared" si="876"/>
        <v>7.514312254269667</v>
      </c>
      <c r="DE82" s="129"/>
      <c r="DF82" s="51">
        <v>-1.8532885096112395E-2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>
        <f t="shared" si="880"/>
        <v>0</v>
      </c>
      <c r="AY85" s="13">
        <f t="shared" si="880"/>
        <v>0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22.430787867346304</v>
      </c>
      <c r="BD85" s="13">
        <f t="shared" si="880"/>
        <v>24.80787398952997</v>
      </c>
      <c r="BE85" s="13">
        <f t="shared" si="880"/>
        <v>32.920824962046588</v>
      </c>
      <c r="BF85" s="13">
        <f t="shared" si="880"/>
        <v>27.684423211372621</v>
      </c>
      <c r="BG85" s="13">
        <f t="shared" si="880"/>
        <v>27.201130235146767</v>
      </c>
      <c r="BH85" s="13">
        <f t="shared" si="880"/>
        <v>21.285702846393985</v>
      </c>
      <c r="BI85" s="13">
        <f t="shared" si="880"/>
        <v>18.834934375568075</v>
      </c>
      <c r="BJ85" s="13">
        <f t="shared" si="880"/>
        <v>20.384515858553115</v>
      </c>
      <c r="BK85" s="13">
        <f t="shared" si="880"/>
        <v>23.275276014043488</v>
      </c>
      <c r="BL85" s="13">
        <f t="shared" si="880"/>
        <v>20.551686167184034</v>
      </c>
      <c r="BM85" s="13">
        <f t="shared" si="880"/>
        <v>15.81437313913254</v>
      </c>
      <c r="BN85" s="13">
        <f t="shared" si="880"/>
        <v>9.9262363398611431</v>
      </c>
      <c r="BO85" s="13">
        <f t="shared" si="880"/>
        <v>15.506278584610447</v>
      </c>
      <c r="BP85" s="13">
        <f t="shared" si="880"/>
        <v>19.669024282180349</v>
      </c>
      <c r="BQ85" s="13">
        <f t="shared" si="880"/>
        <v>22.260569591988641</v>
      </c>
      <c r="BR85" s="13">
        <f t="shared" ref="BR85:DB85" si="881">+BR77/BR69</f>
        <v>22.532538668171298</v>
      </c>
      <c r="BS85" s="13">
        <f t="shared" si="881"/>
        <v>15.094979750452778</v>
      </c>
      <c r="BT85" s="13">
        <f t="shared" si="881"/>
        <v>14.475598511380232</v>
      </c>
      <c r="BU85" s="13">
        <f t="shared" si="881"/>
        <v>12.563954364431671</v>
      </c>
      <c r="BV85" s="13">
        <f t="shared" si="881"/>
        <v>12.841339113737945</v>
      </c>
      <c r="BW85" s="13">
        <f t="shared" si="881"/>
        <v>12.833866251324771</v>
      </c>
      <c r="BX85" s="13">
        <f t="shared" si="881"/>
        <v>16.309672746161819</v>
      </c>
      <c r="BY85" s="13">
        <f t="shared" si="881"/>
        <v>19.639586220087548</v>
      </c>
      <c r="BZ85" s="13">
        <f t="shared" si="881"/>
        <v>20.17253206002729</v>
      </c>
      <c r="CA85" s="13">
        <f t="shared" si="881"/>
        <v>20.088565896980469</v>
      </c>
      <c r="CB85" s="13">
        <f t="shared" si="881"/>
        <v>20.042804184498337</v>
      </c>
      <c r="CC85" s="13">
        <f t="shared" si="881"/>
        <v>19.841667057673511</v>
      </c>
      <c r="CD85" s="13">
        <f t="shared" si="881"/>
        <v>22.117176151056313</v>
      </c>
      <c r="CE85" s="13">
        <f t="shared" si="881"/>
        <v>22.636547812805151</v>
      </c>
      <c r="CF85" s="13">
        <f t="shared" si="881"/>
        <v>28.268989705818029</v>
      </c>
      <c r="CG85" s="13">
        <f t="shared" si="881"/>
        <v>39.341099317317386</v>
      </c>
      <c r="CH85" s="13">
        <f t="shared" si="881"/>
        <v>44.428438796128845</v>
      </c>
      <c r="CI85" s="13">
        <f t="shared" ref="CI85:CJ85" si="882">+CI77/CI69</f>
        <v>135.98086297165568</v>
      </c>
      <c r="CJ85" s="13">
        <f t="shared" si="882"/>
        <v>106.22070091795423</v>
      </c>
      <c r="CK85" s="13">
        <f t="shared" ref="CK85:CL85" si="883">+CK77/CK69</f>
        <v>84.149322017317019</v>
      </c>
      <c r="CL85" s="13">
        <f t="shared" si="883"/>
        <v>41.419306326104227</v>
      </c>
      <c r="CM85" s="37">
        <f t="shared" si="881"/>
        <v>37.753718779283517</v>
      </c>
      <c r="CN85" s="37">
        <f t="shared" si="881"/>
        <v>31.257821617402758</v>
      </c>
      <c r="CO85" s="37">
        <f t="shared" si="881"/>
        <v>25.303045254238363</v>
      </c>
      <c r="CP85" s="37">
        <f t="shared" si="881"/>
        <v>18.567480422880674</v>
      </c>
      <c r="CQ85" s="37">
        <f t="shared" si="881"/>
        <v>16.406368095783911</v>
      </c>
      <c r="CR85" s="37">
        <f t="shared" si="881"/>
        <v>14.155940416151603</v>
      </c>
      <c r="CS85" s="37">
        <f t="shared" si="881"/>
        <v>12.288522526041124</v>
      </c>
      <c r="CT85" s="37">
        <f t="shared" si="881"/>
        <v>10.466959624379468</v>
      </c>
      <c r="CU85" s="37">
        <f t="shared" si="881"/>
        <v>9.6775052446781089</v>
      </c>
      <c r="CV85" s="37">
        <f t="shared" si="881"/>
        <v>8.6740655937203055</v>
      </c>
      <c r="CW85" s="37">
        <f t="shared" si="881"/>
        <v>7.7834821310401887</v>
      </c>
      <c r="CX85" s="37">
        <f t="shared" si="881"/>
        <v>6.8599421475521618</v>
      </c>
      <c r="CY85" s="37">
        <f t="shared" si="881"/>
        <v>6.4510123511454163</v>
      </c>
      <c r="CZ85" s="37">
        <f t="shared" si="881"/>
        <v>5.8759408859150364</v>
      </c>
      <c r="DA85" s="37">
        <f t="shared" si="881"/>
        <v>5.3473973167224829</v>
      </c>
      <c r="DB85" s="37">
        <f t="shared" si="881"/>
        <v>4.7745121234913936</v>
      </c>
      <c r="DE85" s="134"/>
      <c r="DF85" s="13">
        <v>56.779938005509678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>
        <f t="shared" si="887"/>
        <v>0</v>
      </c>
      <c r="AY86" s="13">
        <f t="shared" si="887"/>
        <v>0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26.339025234409423</v>
      </c>
      <c r="BD86" s="13">
        <f t="shared" si="887"/>
        <v>27.315793854862292</v>
      </c>
      <c r="BE86" s="13">
        <f t="shared" si="887"/>
        <v>34.918354598016734</v>
      </c>
      <c r="BF86" s="13">
        <f t="shared" si="887"/>
        <v>36.630279655092032</v>
      </c>
      <c r="BG86" s="13">
        <f t="shared" si="887"/>
        <v>32.874122721580605</v>
      </c>
      <c r="BH86" s="13">
        <f t="shared" si="887"/>
        <v>26.394167962065477</v>
      </c>
      <c r="BI86" s="13">
        <f t="shared" si="887"/>
        <v>21.609369932739497</v>
      </c>
      <c r="BJ86" s="13">
        <f t="shared" si="887"/>
        <v>21.711869375160713</v>
      </c>
      <c r="BK86" s="13">
        <f t="shared" si="887"/>
        <v>26.101136497028048</v>
      </c>
      <c r="BL86" s="13">
        <f t="shared" si="887"/>
        <v>21.003131532061062</v>
      </c>
      <c r="BM86" s="13">
        <f t="shared" si="887"/>
        <v>18.374339744105583</v>
      </c>
      <c r="BN86" s="13">
        <f t="shared" si="887"/>
        <v>17.214321585354465</v>
      </c>
      <c r="BO86" s="13">
        <f t="shared" si="887"/>
        <v>16.102673914787772</v>
      </c>
      <c r="BP86" s="13">
        <f t="shared" si="887"/>
        <v>23.372060231622214</v>
      </c>
      <c r="BQ86" s="13">
        <f t="shared" si="887"/>
        <v>23.038442249137297</v>
      </c>
      <c r="BR86" s="13">
        <f t="shared" ref="BR86:CH86" si="888">+BR78/BR69</f>
        <v>24.603937345909962</v>
      </c>
      <c r="BS86" s="13">
        <f t="shared" si="888"/>
        <v>17.136987049390701</v>
      </c>
      <c r="BT86" s="13">
        <f t="shared" si="888"/>
        <v>15.510105292618178</v>
      </c>
      <c r="BU86" s="13">
        <f t="shared" si="888"/>
        <v>14.291514265195529</v>
      </c>
      <c r="BV86" s="13">
        <f t="shared" si="888"/>
        <v>15.199806786475033</v>
      </c>
      <c r="BW86" s="13">
        <f t="shared" si="888"/>
        <v>13.653246751725867</v>
      </c>
      <c r="BX86" s="13">
        <f t="shared" si="888"/>
        <v>17.386306899072665</v>
      </c>
      <c r="BY86" s="13">
        <f t="shared" si="888"/>
        <v>20.96368215242061</v>
      </c>
      <c r="BZ86" s="13">
        <f t="shared" si="888"/>
        <v>23.301768303774448</v>
      </c>
      <c r="CA86" s="13">
        <f t="shared" si="888"/>
        <v>22.4755353463588</v>
      </c>
      <c r="CB86" s="13">
        <f t="shared" si="888"/>
        <v>21.263041369472184</v>
      </c>
      <c r="CC86" s="13">
        <f t="shared" si="888"/>
        <v>21.054565004887589</v>
      </c>
      <c r="CD86" s="13">
        <f t="shared" si="888"/>
        <v>26.109614959259673</v>
      </c>
      <c r="CE86" s="13">
        <f t="shared" si="888"/>
        <v>24.616811478077956</v>
      </c>
      <c r="CF86" s="13">
        <f t="shared" si="888"/>
        <v>32.273997901822746</v>
      </c>
      <c r="CG86" s="13">
        <f t="shared" si="888"/>
        <v>44.484260885501619</v>
      </c>
      <c r="CH86" s="13">
        <f t="shared" si="888"/>
        <v>48.711078910985798</v>
      </c>
      <c r="CI86" s="13">
        <f t="shared" ref="CI86:CJ86" si="889">+CI78/CI69</f>
        <v>138.64680357465261</v>
      </c>
      <c r="CJ86" s="13">
        <f t="shared" si="889"/>
        <v>118.83008966057155</v>
      </c>
      <c r="CK86" s="13">
        <f t="shared" ref="CK86:CL86" si="890">+CK78/CK69</f>
        <v>99.943681455755708</v>
      </c>
      <c r="CL86" s="13">
        <f t="shared" si="890"/>
        <v>64.265797247640393</v>
      </c>
      <c r="CM86" s="60">
        <f t="shared" ref="CM86:CM87" si="891">+CL86</f>
        <v>64.265797247640393</v>
      </c>
      <c r="CN86" s="60">
        <f t="shared" ref="CN86:CN87" si="892">+CM86</f>
        <v>64.265797247640393</v>
      </c>
      <c r="CO86" s="60">
        <f t="shared" ref="CO86:CO87" si="893">+CN86</f>
        <v>64.265797247640393</v>
      </c>
      <c r="CP86" s="60">
        <f t="shared" ref="CP86:CP87" si="894">+CO86</f>
        <v>64.265797247640393</v>
      </c>
      <c r="CQ86" s="60">
        <f t="shared" ref="CQ86:CQ87" si="895">+CP86</f>
        <v>64.265797247640393</v>
      </c>
      <c r="CR86" s="60">
        <f t="shared" ref="CR86:CR87" si="896">+CQ86</f>
        <v>64.265797247640393</v>
      </c>
      <c r="CS86" s="60">
        <f t="shared" ref="CS86:CS87" si="897">+CR86</f>
        <v>64.265797247640393</v>
      </c>
      <c r="CT86" s="60">
        <f t="shared" ref="CT86:CT87" si="898">+CS86</f>
        <v>64.265797247640393</v>
      </c>
      <c r="CU86" s="60">
        <f t="shared" ref="CU86:CU87" si="899">+CT86</f>
        <v>64.265797247640393</v>
      </c>
      <c r="CV86" s="60">
        <f t="shared" ref="CV86:CV87" si="900">+CU86</f>
        <v>64.265797247640393</v>
      </c>
      <c r="CW86" s="60">
        <f t="shared" ref="CW86:CW87" si="901">+CV86</f>
        <v>64.265797247640393</v>
      </c>
      <c r="CX86" s="60">
        <f t="shared" ref="CX86:CX87" si="902">+CW86</f>
        <v>64.265797247640393</v>
      </c>
      <c r="CY86" s="60">
        <f t="shared" ref="CY86:CY87" si="903">+CX86</f>
        <v>64.265797247640393</v>
      </c>
      <c r="CZ86" s="60">
        <f t="shared" ref="CZ86:CZ87" si="904">+CY86</f>
        <v>64.265797247640393</v>
      </c>
      <c r="DA86" s="60">
        <f t="shared" ref="DA86:DA87" si="905">+CZ86</f>
        <v>64.265797247640393</v>
      </c>
      <c r="DB86" s="60">
        <f t="shared" ref="DB86:DB87" si="906">+DA86</f>
        <v>64.265797247640393</v>
      </c>
      <c r="DE86" s="136"/>
      <c r="DF86" s="13">
        <v>88.099205594274139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>
        <f t="shared" si="910"/>
        <v>0</v>
      </c>
      <c r="AY87" s="13">
        <f t="shared" si="910"/>
        <v>0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19.894697645165476</v>
      </c>
      <c r="BE87" s="13">
        <f t="shared" si="910"/>
        <v>21.703927775444946</v>
      </c>
      <c r="BF87" s="13">
        <f t="shared" si="910"/>
        <v>26.791377301328346</v>
      </c>
      <c r="BG87" s="13">
        <f t="shared" si="910"/>
        <v>24.821065813273947</v>
      </c>
      <c r="BH87" s="13">
        <f t="shared" si="910"/>
        <v>20.977589643776192</v>
      </c>
      <c r="BI87" s="13">
        <f t="shared" si="910"/>
        <v>17.232727867660419</v>
      </c>
      <c r="BJ87" s="13">
        <f t="shared" si="910"/>
        <v>16.816837792212151</v>
      </c>
      <c r="BK87" s="13">
        <f t="shared" si="910"/>
        <v>18.31732917862746</v>
      </c>
      <c r="BL87" s="13">
        <f t="shared" si="910"/>
        <v>16.856387414359979</v>
      </c>
      <c r="BM87" s="13">
        <f t="shared" si="910"/>
        <v>14.981785869477754</v>
      </c>
      <c r="BN87" s="13">
        <f t="shared" si="910"/>
        <v>7.2140318814408939</v>
      </c>
      <c r="BO87" s="13">
        <f t="shared" si="910"/>
        <v>12.126705046938939</v>
      </c>
      <c r="BP87" s="13">
        <f t="shared" si="910"/>
        <v>16.429477680824093</v>
      </c>
      <c r="BQ87" s="13">
        <f t="shared" si="910"/>
        <v>20.117396305568718</v>
      </c>
      <c r="BR87" s="13">
        <f t="shared" ref="BR87:CH87" si="911">+BR79/BR69</f>
        <v>19.352504078403488</v>
      </c>
      <c r="BS87" s="13">
        <f t="shared" si="911"/>
        <v>14.214679784126183</v>
      </c>
      <c r="BT87" s="13">
        <f t="shared" si="911"/>
        <v>12.186190025944953</v>
      </c>
      <c r="BU87" s="13">
        <f t="shared" si="911"/>
        <v>11.559769732976426</v>
      </c>
      <c r="BV87" s="13">
        <f t="shared" si="911"/>
        <v>10.98953166721669</v>
      </c>
      <c r="BW87" s="13">
        <f t="shared" si="911"/>
        <v>10.651946505214211</v>
      </c>
      <c r="BX87" s="13">
        <f t="shared" si="911"/>
        <v>13.777612259032653</v>
      </c>
      <c r="BY87" s="13">
        <f t="shared" si="911"/>
        <v>15.73188846856802</v>
      </c>
      <c r="BZ87" s="13">
        <f t="shared" si="911"/>
        <v>19.594156662119151</v>
      </c>
      <c r="CA87" s="13">
        <f t="shared" si="911"/>
        <v>18.701447957371233</v>
      </c>
      <c r="CB87" s="13">
        <f t="shared" si="911"/>
        <v>17.748104802662862</v>
      </c>
      <c r="CC87" s="13">
        <f t="shared" si="911"/>
        <v>17.736210557184751</v>
      </c>
      <c r="CD87" s="13">
        <f t="shared" si="911"/>
        <v>19.277177289508344</v>
      </c>
      <c r="CE87" s="13">
        <f t="shared" si="911"/>
        <v>19.827451986879321</v>
      </c>
      <c r="CF87" s="13">
        <f t="shared" si="911"/>
        <v>28.050219652926479</v>
      </c>
      <c r="CG87" s="13">
        <f t="shared" si="911"/>
        <v>34.297834354047865</v>
      </c>
      <c r="CH87" s="13">
        <f t="shared" si="911"/>
        <v>42.654252366266036</v>
      </c>
      <c r="CI87" s="13">
        <f t="shared" ref="CI87:CJ87" si="912">+CI79/CI69</f>
        <v>111.93372088824711</v>
      </c>
      <c r="CJ87" s="13">
        <f t="shared" si="912"/>
        <v>88.378556891767516</v>
      </c>
      <c r="CK87" s="13">
        <f t="shared" ref="CK87:CL87" si="913">+CK79/CK69</f>
        <v>71.190966345448814</v>
      </c>
      <c r="CL87" s="13">
        <f t="shared" si="913"/>
        <v>40.651687081201857</v>
      </c>
      <c r="CM87" s="60">
        <f t="shared" si="891"/>
        <v>40.651687081201857</v>
      </c>
      <c r="CN87" s="60">
        <f t="shared" si="892"/>
        <v>40.651687081201857</v>
      </c>
      <c r="CO87" s="60">
        <f t="shared" si="893"/>
        <v>40.651687081201857</v>
      </c>
      <c r="CP87" s="60">
        <f t="shared" si="894"/>
        <v>40.651687081201857</v>
      </c>
      <c r="CQ87" s="60">
        <f t="shared" si="895"/>
        <v>40.651687081201857</v>
      </c>
      <c r="CR87" s="60">
        <f t="shared" si="896"/>
        <v>40.651687081201857</v>
      </c>
      <c r="CS87" s="60">
        <f t="shared" si="897"/>
        <v>40.651687081201857</v>
      </c>
      <c r="CT87" s="60">
        <f t="shared" si="898"/>
        <v>40.651687081201857</v>
      </c>
      <c r="CU87" s="60">
        <f t="shared" si="899"/>
        <v>40.651687081201857</v>
      </c>
      <c r="CV87" s="60">
        <f t="shared" si="900"/>
        <v>40.651687081201857</v>
      </c>
      <c r="CW87" s="60">
        <f t="shared" si="901"/>
        <v>40.651687081201857</v>
      </c>
      <c r="CX87" s="60">
        <f t="shared" si="902"/>
        <v>40.651687081201857</v>
      </c>
      <c r="CY87" s="60">
        <f t="shared" si="903"/>
        <v>40.651687081201857</v>
      </c>
      <c r="CZ87" s="60">
        <f t="shared" si="904"/>
        <v>40.651687081201857</v>
      </c>
      <c r="DA87" s="60">
        <f t="shared" si="905"/>
        <v>40.651687081201857</v>
      </c>
      <c r="DB87" s="60">
        <f t="shared" si="906"/>
        <v>40.651687081201857</v>
      </c>
      <c r="DE87" s="136"/>
      <c r="DF87" s="13">
        <v>55.727641938689182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>
        <f t="shared" si="916"/>
        <v>0</v>
      </c>
      <c r="AU89" s="13">
        <f t="shared" si="916"/>
        <v>0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>
        <f t="shared" si="916"/>
        <v>0</v>
      </c>
      <c r="BB89" s="13">
        <f t="shared" si="916"/>
        <v>0</v>
      </c>
      <c r="BC89" s="13">
        <f t="shared" si="916"/>
        <v>17.471272436343384</v>
      </c>
      <c r="BD89" s="13">
        <f t="shared" si="916"/>
        <v>19.289439995819876</v>
      </c>
      <c r="BE89" s="13">
        <f t="shared" si="916"/>
        <v>26.202201781494264</v>
      </c>
      <c r="BF89" s="13">
        <f t="shared" si="916"/>
        <v>26.358714657842079</v>
      </c>
      <c r="BG89" s="13">
        <f t="shared" si="916"/>
        <v>25.212767183514934</v>
      </c>
      <c r="BH89" s="13">
        <f t="shared" si="916"/>
        <v>18.556588909501688</v>
      </c>
      <c r="BI89" s="13">
        <f t="shared" si="916"/>
        <v>14.348572946004673</v>
      </c>
      <c r="BJ89" s="13">
        <f t="shared" si="916"/>
        <v>15.116142937202282</v>
      </c>
      <c r="BK89" s="13">
        <f t="shared" si="916"/>
        <v>24.531727914627297</v>
      </c>
      <c r="BL89" s="13">
        <f t="shared" si="916"/>
        <v>28.146000516903985</v>
      </c>
      <c r="BM89" s="13">
        <f t="shared" si="916"/>
        <v>30.900320725353552</v>
      </c>
      <c r="BN89" s="13">
        <f t="shared" si="916"/>
        <v>27.127542777239462</v>
      </c>
      <c r="BO89" s="13">
        <f t="shared" si="916"/>
        <v>14.611536326322598</v>
      </c>
      <c r="BP89" s="13">
        <f t="shared" si="916"/>
        <v>14.364651407305438</v>
      </c>
      <c r="BQ89" s="13">
        <f t="shared" si="916"/>
        <v>11.114615721094204</v>
      </c>
      <c r="BR89" s="13">
        <f t="shared" ref="BR89:CL89" si="917">+BR78/BV69</f>
        <v>12.036153730761137</v>
      </c>
      <c r="BS89" s="13">
        <f t="shared" si="917"/>
        <v>11.025658291516127</v>
      </c>
      <c r="BT89" s="13">
        <f t="shared" si="917"/>
        <v>13.149681596059857</v>
      </c>
      <c r="BU89" s="13">
        <f t="shared" si="917"/>
        <v>15.507227440812676</v>
      </c>
      <c r="BV89" s="13">
        <f t="shared" si="917"/>
        <v>19.199058663028655</v>
      </c>
      <c r="BW89" s="13">
        <f t="shared" si="917"/>
        <v>16.566553747779761</v>
      </c>
      <c r="BX89" s="13">
        <f t="shared" si="917"/>
        <v>17.188881787922018</v>
      </c>
      <c r="BY89" s="13">
        <f t="shared" si="917"/>
        <v>19.284948191593354</v>
      </c>
      <c r="BZ89" s="13">
        <f t="shared" si="917"/>
        <v>25.00069372387658</v>
      </c>
      <c r="CA89" s="13">
        <f t="shared" si="917"/>
        <v>26.403515536970708</v>
      </c>
      <c r="CB89" s="13">
        <f t="shared" si="917"/>
        <v>36.649398959653745</v>
      </c>
      <c r="CC89" s="13">
        <f t="shared" si="917"/>
        <v>49.342868488171241</v>
      </c>
      <c r="CD89" s="13">
        <f t="shared" si="917"/>
        <v>56.910982133361628</v>
      </c>
      <c r="CE89" s="13">
        <f t="shared" si="917"/>
        <v>133.11810796172608</v>
      </c>
      <c r="CF89" s="13">
        <f t="shared" si="917"/>
        <v>105.07823952181104</v>
      </c>
      <c r="CG89" s="13">
        <f t="shared" si="917"/>
        <v>71.239445042313264</v>
      </c>
      <c r="CH89" s="13">
        <f t="shared" si="917"/>
        <v>49.502515491029669</v>
      </c>
      <c r="CI89" s="13">
        <f t="shared" si="917"/>
        <v>50.435922217165412</v>
      </c>
      <c r="CJ89" s="13">
        <f t="shared" si="917"/>
        <v>45.400766679875574</v>
      </c>
      <c r="CK89" s="13">
        <f t="shared" si="917"/>
        <v>44.965742691266108</v>
      </c>
      <c r="CL89" s="13">
        <f t="shared" si="917"/>
        <v>28.809124007572812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49.279963832468525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>
        <f t="shared" si="918"/>
        <v>0.70748933322093255</v>
      </c>
      <c r="BD90" s="175">
        <f t="shared" si="918"/>
        <v>0.83242892516735689</v>
      </c>
      <c r="BE90" s="175">
        <f t="shared" si="918"/>
        <v>0.87673010689683739</v>
      </c>
      <c r="BF90" s="175">
        <f t="shared" si="918"/>
        <v>0.96296182470113889</v>
      </c>
      <c r="BG90" s="175">
        <f t="shared" si="918"/>
        <v>0.59001690745446445</v>
      </c>
      <c r="BH90" s="175">
        <f t="shared" si="918"/>
        <v>-0.89437393103189755</v>
      </c>
      <c r="BI90" s="175">
        <f t="shared" si="918"/>
        <v>-0.9828234033524913</v>
      </c>
      <c r="BJ90" s="175">
        <f t="shared" si="918"/>
        <v>-0.89698480757247134</v>
      </c>
      <c r="BK90" s="175">
        <f t="shared" si="918"/>
        <v>-0.10060022583151679</v>
      </c>
      <c r="BL90" s="175">
        <f t="shared" si="918"/>
        <v>-0.11889835966168472</v>
      </c>
      <c r="BM90" s="175">
        <f t="shared" si="918"/>
        <v>-0.76308114281713213</v>
      </c>
      <c r="BN90" s="175">
        <f t="shared" si="918"/>
        <v>-0.98810380353778571</v>
      </c>
      <c r="BO90" s="175">
        <f t="shared" si="918"/>
        <v>3.9188427499946443E-2</v>
      </c>
      <c r="BP90" s="175">
        <f t="shared" si="918"/>
        <v>-0.65423198698600515</v>
      </c>
      <c r="BQ90" s="175">
        <f t="shared" si="918"/>
        <v>-0.79818818591888441</v>
      </c>
      <c r="BR90" s="175">
        <f t="shared" si="918"/>
        <v>-0.89345277772554133</v>
      </c>
      <c r="BS90" s="175">
        <f t="shared" si="918"/>
        <v>-0.92398991101979866</v>
      </c>
      <c r="BT90" s="175">
        <f t="shared" si="918"/>
        <v>-0.94699537570404568</v>
      </c>
      <c r="BU90" s="175">
        <f t="shared" si="918"/>
        <v>-0.93603877971544436</v>
      </c>
      <c r="BV90" s="175">
        <f t="shared" si="918"/>
        <v>-0.82958215612435349</v>
      </c>
      <c r="BW90" s="175">
        <f t="shared" si="918"/>
        <v>-0.63954153203751041</v>
      </c>
      <c r="BX90" s="175">
        <f t="shared" si="918"/>
        <v>-0.45898123982377376</v>
      </c>
      <c r="BY90" s="175">
        <f t="shared" si="918"/>
        <v>-0.99729054749351376</v>
      </c>
      <c r="BZ90" s="175">
        <f t="shared" si="918"/>
        <v>-0.99996542589185267</v>
      </c>
      <c r="CA90" s="175">
        <f t="shared" si="918"/>
        <v>-0.96559275602839245</v>
      </c>
      <c r="CB90" s="175">
        <f t="shared" si="918"/>
        <v>-0.69625436526362294</v>
      </c>
      <c r="CC90" s="175">
        <f t="shared" si="918"/>
        <v>-0.9738331368610833</v>
      </c>
      <c r="CD90" s="175">
        <f t="shared" si="918"/>
        <v>-0.96927756032831303</v>
      </c>
      <c r="CE90" s="175">
        <f t="shared" si="918"/>
        <v>-0.94472192797395882</v>
      </c>
      <c r="CF90" s="175">
        <f t="shared" si="918"/>
        <v>-0.9662355042216324</v>
      </c>
      <c r="CG90" s="175">
        <f t="shared" si="918"/>
        <v>-0.97718343466204205</v>
      </c>
      <c r="CH90" s="175">
        <f t="shared" si="918"/>
        <v>-0.99126005473330336</v>
      </c>
      <c r="CI90" s="175">
        <f t="shared" si="918"/>
        <v>-0.9199548339079322</v>
      </c>
      <c r="CJ90" s="175">
        <f>+CORREL(CG69:CJ69,CG86:CJ86)</f>
        <v>-0.98889273329215277</v>
      </c>
      <c r="CK90" s="175">
        <f>+CORREL(CH69:CK69,CH86:CK86)</f>
        <v>-0.98780736006074632</v>
      </c>
      <c r="CL90" s="175">
        <f>+CORREL(CI69:CL69,CI86:CL86)</f>
        <v>-0.9929982852302417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-0.96504941503149344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16.146511275919476</v>
      </c>
      <c r="AY92" s="162">
        <f t="shared" si="920"/>
        <v>18.038191816760001</v>
      </c>
      <c r="AZ92" s="162">
        <f t="shared" si="920"/>
        <v>0</v>
      </c>
      <c r="BA92" s="162">
        <f t="shared" si="920"/>
        <v>1.8460218959689207</v>
      </c>
      <c r="BB92" s="162">
        <f t="shared" si="920"/>
        <v>26.402805105695975</v>
      </c>
      <c r="BC92" s="162">
        <f t="shared" si="920"/>
        <v>29.823924120881884</v>
      </c>
      <c r="BD92" s="162">
        <f t="shared" si="920"/>
        <v>66.625548660511569</v>
      </c>
      <c r="BE92" s="162">
        <f t="shared" si="920"/>
        <v>70.454063871651272</v>
      </c>
      <c r="BF92" s="162">
        <f t="shared" si="920"/>
        <v>76.033499823419589</v>
      </c>
      <c r="BG92" s="162">
        <f t="shared" si="920"/>
        <v>81.347812925684863</v>
      </c>
      <c r="BH92" s="162">
        <f t="shared" si="920"/>
        <v>80.68538418848695</v>
      </c>
      <c r="BI92" s="162">
        <f t="shared" si="920"/>
        <v>86.017859845618261</v>
      </c>
      <c r="BJ92" s="162">
        <f t="shared" si="920"/>
        <v>93.160536804399371</v>
      </c>
      <c r="BK92" s="162">
        <f t="shared" si="920"/>
        <v>99.549972251652264</v>
      </c>
      <c r="BL92" s="162">
        <f t="shared" si="920"/>
        <v>102.27359870844053</v>
      </c>
      <c r="BM92" s="162">
        <f t="shared" si="920"/>
        <v>111.48680692195144</v>
      </c>
      <c r="BN92" s="162">
        <f t="shared" si="920"/>
        <v>114.57090964128953</v>
      </c>
      <c r="BO92" s="162">
        <f t="shared" si="920"/>
        <v>113.70238635790324</v>
      </c>
      <c r="BP92" s="162">
        <f t="shared" si="920"/>
        <v>117.24105746430553</v>
      </c>
      <c r="BQ92" s="162">
        <f t="shared" si="920"/>
        <v>124.5981534735886</v>
      </c>
      <c r="BR92" s="162">
        <f t="shared" ref="BR92:DB92" si="921">+BR$120/BR$65</f>
        <v>135.18490489884465</v>
      </c>
      <c r="BS92" s="162">
        <f t="shared" si="921"/>
        <v>141.46839210937893</v>
      </c>
      <c r="BT92" s="162">
        <f t="shared" si="921"/>
        <v>147.02260229049995</v>
      </c>
      <c r="BU92" s="162">
        <f t="shared" si="921"/>
        <v>159.66878563140105</v>
      </c>
      <c r="BV92" s="162">
        <f t="shared" si="921"/>
        <v>173.29070178093937</v>
      </c>
      <c r="BW92" s="162">
        <f t="shared" si="921"/>
        <v>180.61550880379392</v>
      </c>
      <c r="BX92" s="162">
        <f t="shared" si="921"/>
        <v>181.5218707431512</v>
      </c>
      <c r="BY92" s="162">
        <f t="shared" si="921"/>
        <v>190.4417032440341</v>
      </c>
      <c r="BZ92" s="162">
        <f t="shared" si="921"/>
        <v>202.05640482316733</v>
      </c>
      <c r="CA92" s="162">
        <f t="shared" si="921"/>
        <v>211.60360224004839</v>
      </c>
      <c r="CB92" s="162">
        <f t="shared" si="921"/>
        <v>219.06210584733361</v>
      </c>
      <c r="CC92" s="162">
        <f t="shared" si="921"/>
        <v>226.90353665304468</v>
      </c>
      <c r="CD92" s="162">
        <f t="shared" si="921"/>
        <v>230.78300792089198</v>
      </c>
      <c r="CE92" s="162">
        <f t="shared" si="921"/>
        <v>239.53231421219914</v>
      </c>
      <c r="CF92" s="162">
        <f t="shared" si="921"/>
        <v>302.10382927198424</v>
      </c>
      <c r="CG92" s="162">
        <f t="shared" si="921"/>
        <v>303.37873972049852</v>
      </c>
      <c r="CH92" s="162">
        <f t="shared" si="921"/>
        <v>304.9645073406993</v>
      </c>
      <c r="CI92" s="162">
        <f t="shared" si="921"/>
        <v>305.07096009283083</v>
      </c>
      <c r="CJ92" s="162">
        <f t="shared" si="921"/>
        <v>309.12088189294184</v>
      </c>
      <c r="CK92" s="162">
        <f t="shared" si="921"/>
        <v>313.6196458301801</v>
      </c>
      <c r="CL92" s="162">
        <f t="shared" si="921"/>
        <v>318.84163261187626</v>
      </c>
      <c r="CM92" s="21">
        <f t="shared" si="921"/>
        <v>320.30779592195756</v>
      </c>
      <c r="CN92" s="21">
        <f t="shared" si="921"/>
        <v>327.57895221904806</v>
      </c>
      <c r="CO92" s="21">
        <f t="shared" si="921"/>
        <v>336.44487900022756</v>
      </c>
      <c r="CP92" s="21">
        <f t="shared" si="921"/>
        <v>350.08173556549002</v>
      </c>
      <c r="CQ92" s="21">
        <f t="shared" si="921"/>
        <v>355.66296999909292</v>
      </c>
      <c r="CR92" s="21">
        <f t="shared" si="921"/>
        <v>368.55468275675054</v>
      </c>
      <c r="CS92" s="21">
        <f t="shared" si="921"/>
        <v>383.64746163542975</v>
      </c>
      <c r="CT92" s="21">
        <f t="shared" si="921"/>
        <v>405.49897426859508</v>
      </c>
      <c r="CU92" s="21">
        <f t="shared" si="921"/>
        <v>415.60093803263993</v>
      </c>
      <c r="CV92" s="21">
        <f t="shared" si="921"/>
        <v>435.42643899755353</v>
      </c>
      <c r="CW92" s="21">
        <f t="shared" si="921"/>
        <v>458.17066220741879</v>
      </c>
      <c r="CX92" s="21">
        <f t="shared" si="921"/>
        <v>490.05508094173666</v>
      </c>
      <c r="CY92" s="21">
        <f t="shared" si="921"/>
        <v>505.51705792613365</v>
      </c>
      <c r="CZ92" s="21">
        <f t="shared" si="921"/>
        <v>534.1425444285004</v>
      </c>
      <c r="DA92" s="21">
        <f t="shared" si="921"/>
        <v>566.64399337098439</v>
      </c>
      <c r="DB92" s="21">
        <f t="shared" si="921"/>
        <v>611.54393362388976</v>
      </c>
      <c r="DE92" s="22"/>
      <c r="DF92" s="162">
        <v>315.1519349348273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>
        <f t="shared" si="924"/>
        <v>0</v>
      </c>
      <c r="AY94" s="162">
        <f t="shared" si="924"/>
        <v>0</v>
      </c>
      <c r="AZ94" s="162" t="e">
        <f t="shared" si="924"/>
        <v>#DIV/0!</v>
      </c>
      <c r="BA94" s="162">
        <f t="shared" si="924"/>
        <v>0</v>
      </c>
      <c r="BB94" s="162">
        <f t="shared" si="924"/>
        <v>0</v>
      </c>
      <c r="BC94" s="162">
        <f t="shared" si="924"/>
        <v>9.0447520891836142</v>
      </c>
      <c r="BD94" s="162">
        <f t="shared" si="924"/>
        <v>5.0776317313917705</v>
      </c>
      <c r="BE94" s="162">
        <f t="shared" si="924"/>
        <v>7.2983724677221868</v>
      </c>
      <c r="BF94" s="162">
        <f t="shared" si="924"/>
        <v>5.9118678088463641</v>
      </c>
      <c r="BG94" s="162">
        <f t="shared" si="924"/>
        <v>6.0622404249579054</v>
      </c>
      <c r="BH94" s="162">
        <f t="shared" si="924"/>
        <v>5.0944790575670709</v>
      </c>
      <c r="BI94" s="162">
        <f t="shared" si="924"/>
        <v>4.5577744052646407</v>
      </c>
      <c r="BJ94" s="162">
        <f t="shared" si="924"/>
        <v>4.9371763600473324</v>
      </c>
      <c r="BK94" s="162">
        <f t="shared" si="924"/>
        <v>5.5268724596843688</v>
      </c>
      <c r="BL94" s="162">
        <f t="shared" si="924"/>
        <v>5.5195085254530349</v>
      </c>
      <c r="BM94" s="162">
        <f t="shared" si="924"/>
        <v>4.4467144919403747</v>
      </c>
      <c r="BN94" s="162">
        <f t="shared" si="924"/>
        <v>2.8078680793162212</v>
      </c>
      <c r="BO94" s="162">
        <f t="shared" si="924"/>
        <v>3.4300071660095974</v>
      </c>
      <c r="BP94" s="162">
        <f t="shared" si="924"/>
        <v>3.4386417925541184</v>
      </c>
      <c r="BQ94" s="162">
        <f t="shared" si="924"/>
        <v>3.330306175748889</v>
      </c>
      <c r="BR94" s="162">
        <f t="shared" si="924"/>
        <v>3.427897518193693</v>
      </c>
      <c r="BS94" s="162">
        <f t="shared" si="924"/>
        <v>2.9575511092011721</v>
      </c>
      <c r="BT94" s="162">
        <f t="shared" si="924"/>
        <v>3.2835087427315486</v>
      </c>
      <c r="BU94" s="162">
        <f t="shared" si="924"/>
        <v>3.0403563105983165</v>
      </c>
      <c r="BV94" s="162">
        <f t="shared" si="924"/>
        <v>3.1152854391601252</v>
      </c>
      <c r="BW94" s="162">
        <f t="shared" si="924"/>
        <v>3.0611989173123879</v>
      </c>
      <c r="BX94" s="162">
        <f t="shared" si="924"/>
        <v>3.5342848626090726</v>
      </c>
      <c r="BY94" s="162">
        <f t="shared" si="924"/>
        <v>3.6722523905588327</v>
      </c>
      <c r="BZ94" s="162">
        <f t="shared" si="924"/>
        <v>3.3228345351763817</v>
      </c>
      <c r="CA94" s="162">
        <f t="shared" si="924"/>
        <v>3.3706893098675677</v>
      </c>
      <c r="CB94" s="162">
        <f t="shared" si="924"/>
        <v>3.6402918565739992</v>
      </c>
      <c r="CC94" s="162">
        <f t="shared" si="924"/>
        <v>3.384918592848623</v>
      </c>
      <c r="CD94" s="162">
        <f t="shared" si="924"/>
        <v>2.9729225135811648</v>
      </c>
      <c r="CE94" s="162">
        <f t="shared" si="924"/>
        <v>2.8561908327488488</v>
      </c>
      <c r="CF94" s="162">
        <f t="shared" si="924"/>
        <v>2.1600189629258515</v>
      </c>
      <c r="CG94" s="162">
        <f t="shared" si="924"/>
        <v>2.1418771816332871</v>
      </c>
      <c r="CH94" s="162">
        <f t="shared" si="924"/>
        <v>2.073356029243131</v>
      </c>
      <c r="CI94" s="162">
        <f t="shared" si="924"/>
        <v>2.4912236804471251</v>
      </c>
      <c r="CJ94" s="162">
        <f>+CJ77/CJ$92</f>
        <v>2.4362637534814677</v>
      </c>
      <c r="CK94" s="162">
        <f>+CK77/CK$92</f>
        <v>2.767364900571164</v>
      </c>
      <c r="CL94" s="162">
        <f>+CL77/CL$92</f>
        <v>1.8192417196222641</v>
      </c>
      <c r="CM94" s="21">
        <f t="shared" ref="CM94:DB94" si="925">+CM77/CM$92</f>
        <v>1.8109143997897825</v>
      </c>
      <c r="CN94" s="21">
        <f t="shared" si="925"/>
        <v>1.7707181614407497</v>
      </c>
      <c r="CO94" s="21">
        <f t="shared" si="925"/>
        <v>1.7240565578636957</v>
      </c>
      <c r="CP94" s="21">
        <f t="shared" si="925"/>
        <v>1.6568987784039639</v>
      </c>
      <c r="CQ94" s="21">
        <f t="shared" si="925"/>
        <v>1.6308979256442675</v>
      </c>
      <c r="CR94" s="21">
        <f t="shared" si="925"/>
        <v>1.5738505766940378</v>
      </c>
      <c r="CS94" s="21">
        <f t="shared" si="925"/>
        <v>1.5119349350764282</v>
      </c>
      <c r="CT94" s="21">
        <f t="shared" si="925"/>
        <v>1.430459845296145</v>
      </c>
      <c r="CU94" s="21">
        <f t="shared" si="925"/>
        <v>1.3956898238628248</v>
      </c>
      <c r="CV94" s="21">
        <f t="shared" si="925"/>
        <v>1.332142350692809</v>
      </c>
      <c r="CW94" s="21">
        <f t="shared" si="925"/>
        <v>1.2660129681926362</v>
      </c>
      <c r="CX94" s="21">
        <f t="shared" si="925"/>
        <v>1.1836424568546875</v>
      </c>
      <c r="CY94" s="21">
        <f t="shared" si="925"/>
        <v>1.1474390248662134</v>
      </c>
      <c r="CZ94" s="21">
        <f t="shared" si="925"/>
        <v>1.0859460757251937</v>
      </c>
      <c r="DA94" s="21">
        <f t="shared" si="925"/>
        <v>1.0236586053780661</v>
      </c>
      <c r="DB94" s="21">
        <f t="shared" si="925"/>
        <v>0.94850094671487806</v>
      </c>
      <c r="DE94" s="22"/>
      <c r="DF94" s="162">
        <v>1.8405408176216751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>
        <f t="shared" si="924"/>
        <v>0</v>
      </c>
      <c r="AY95" s="162">
        <f t="shared" si="924"/>
        <v>0</v>
      </c>
      <c r="AZ95" s="162" t="e">
        <f t="shared" si="924"/>
        <v>#DIV/0!</v>
      </c>
      <c r="BA95" s="162">
        <f t="shared" si="924"/>
        <v>0</v>
      </c>
      <c r="BB95" s="162">
        <f t="shared" si="924"/>
        <v>0</v>
      </c>
      <c r="BC95" s="162">
        <f t="shared" si="924"/>
        <v>10.620668115843966</v>
      </c>
      <c r="BD95" s="162">
        <f t="shared" si="924"/>
        <v>5.590948329717512</v>
      </c>
      <c r="BE95" s="162">
        <f t="shared" si="924"/>
        <v>7.7412142043867753</v>
      </c>
      <c r="BF95" s="162">
        <f t="shared" si="924"/>
        <v>7.8222099650976089</v>
      </c>
      <c r="BG95" s="162">
        <f t="shared" si="924"/>
        <v>7.3265645204804049</v>
      </c>
      <c r="BH95" s="162">
        <f t="shared" si="924"/>
        <v>6.3171292437463462</v>
      </c>
      <c r="BI95" s="162">
        <f t="shared" si="924"/>
        <v>5.2291466075450463</v>
      </c>
      <c r="BJ95" s="162">
        <f t="shared" si="924"/>
        <v>5.2586644174088226</v>
      </c>
      <c r="BK95" s="162">
        <f t="shared" si="924"/>
        <v>6.1978922348696033</v>
      </c>
      <c r="BL95" s="162">
        <f t="shared" si="924"/>
        <v>5.6407519368181678</v>
      </c>
      <c r="BM95" s="162">
        <f t="shared" si="924"/>
        <v>5.1665306048565931</v>
      </c>
      <c r="BN95" s="162">
        <f t="shared" si="924"/>
        <v>4.8694734269521911</v>
      </c>
      <c r="BO95" s="162">
        <f t="shared" si="924"/>
        <v>3.561930518548428</v>
      </c>
      <c r="BP95" s="162">
        <f t="shared" si="924"/>
        <v>4.0860259226666269</v>
      </c>
      <c r="BQ95" s="162">
        <f t="shared" si="924"/>
        <v>3.4466802920240038</v>
      </c>
      <c r="BR95" s="162">
        <f t="shared" si="924"/>
        <v>3.7430214592274682</v>
      </c>
      <c r="BS95" s="162">
        <f t="shared" si="924"/>
        <v>3.3576404800921531</v>
      </c>
      <c r="BT95" s="162">
        <f t="shared" si="924"/>
        <v>3.5181665399852795</v>
      </c>
      <c r="BU95" s="162">
        <f t="shared" si="924"/>
        <v>3.4584092176586476</v>
      </c>
      <c r="BV95" s="162">
        <f t="shared" si="924"/>
        <v>3.6874453933932019</v>
      </c>
      <c r="BW95" s="162">
        <f t="shared" si="924"/>
        <v>3.256641713082197</v>
      </c>
      <c r="BX95" s="162">
        <f t="shared" si="924"/>
        <v>3.767590082672192</v>
      </c>
      <c r="BY95" s="162">
        <f t="shared" si="924"/>
        <v>3.9198347173120305</v>
      </c>
      <c r="BZ95" s="162">
        <f t="shared" si="924"/>
        <v>3.8382846645160003</v>
      </c>
      <c r="CA95" s="162">
        <f t="shared" si="924"/>
        <v>3.7712023403775943</v>
      </c>
      <c r="CB95" s="162">
        <f t="shared" si="924"/>
        <v>3.8619185035570922</v>
      </c>
      <c r="CC95" s="162">
        <f t="shared" si="924"/>
        <v>3.5918347154112724</v>
      </c>
      <c r="CD95" s="162">
        <f t="shared" si="924"/>
        <v>3.5095738083006331</v>
      </c>
      <c r="CE95" s="162">
        <f t="shared" si="924"/>
        <v>3.1060527363372703</v>
      </c>
      <c r="CF95" s="162">
        <f t="shared" si="924"/>
        <v>2.4660395791583167</v>
      </c>
      <c r="CG95" s="162">
        <f t="shared" si="924"/>
        <v>2.4218902111496736</v>
      </c>
      <c r="CH95" s="162">
        <f t="shared" si="924"/>
        <v>2.2732153523213676</v>
      </c>
      <c r="CI95" s="162">
        <f t="shared" si="924"/>
        <v>2.54006477628747</v>
      </c>
      <c r="CJ95" s="162">
        <f t="shared" ref="CJ95:CK96" si="927">+CJ78/CJ$92</f>
        <v>2.7254710029320632</v>
      </c>
      <c r="CK95" s="162">
        <f t="shared" si="927"/>
        <v>3.2867838915874588</v>
      </c>
      <c r="CL95" s="162">
        <f t="shared" ref="CL95" si="928">+CL78/CL$92</f>
        <v>2.822717951314607</v>
      </c>
      <c r="CM95" s="94">
        <f t="shared" ref="CM95:DB95" si="929">+CL95</f>
        <v>2.822717951314607</v>
      </c>
      <c r="CN95" s="94">
        <f t="shared" si="929"/>
        <v>2.822717951314607</v>
      </c>
      <c r="CO95" s="94">
        <f t="shared" si="929"/>
        <v>2.822717951314607</v>
      </c>
      <c r="CP95" s="94">
        <f t="shared" si="929"/>
        <v>2.822717951314607</v>
      </c>
      <c r="CQ95" s="94">
        <f t="shared" si="929"/>
        <v>2.822717951314607</v>
      </c>
      <c r="CR95" s="94">
        <f t="shared" si="929"/>
        <v>2.822717951314607</v>
      </c>
      <c r="CS95" s="94">
        <f t="shared" si="929"/>
        <v>2.822717951314607</v>
      </c>
      <c r="CT95" s="94">
        <f t="shared" si="929"/>
        <v>2.822717951314607</v>
      </c>
      <c r="CU95" s="94">
        <f t="shared" si="929"/>
        <v>2.822717951314607</v>
      </c>
      <c r="CV95" s="94">
        <f t="shared" si="929"/>
        <v>2.822717951314607</v>
      </c>
      <c r="CW95" s="94">
        <f t="shared" si="929"/>
        <v>2.822717951314607</v>
      </c>
      <c r="CX95" s="94">
        <f t="shared" si="929"/>
        <v>2.822717951314607</v>
      </c>
      <c r="CY95" s="94">
        <f t="shared" si="929"/>
        <v>2.822717951314607</v>
      </c>
      <c r="CZ95" s="94">
        <f t="shared" si="929"/>
        <v>2.822717951314607</v>
      </c>
      <c r="DA95" s="94">
        <f t="shared" si="929"/>
        <v>2.822717951314607</v>
      </c>
      <c r="DB95" s="94">
        <f t="shared" si="929"/>
        <v>2.822717951314607</v>
      </c>
      <c r="DC95" s="94"/>
      <c r="DE95" s="22"/>
      <c r="DF95" s="162">
        <v>2.8557654268761445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>
        <f t="shared" si="924"/>
        <v>0</v>
      </c>
      <c r="AY96" s="162">
        <f t="shared" si="924"/>
        <v>0</v>
      </c>
      <c r="AZ96" s="162" t="e">
        <f t="shared" si="924"/>
        <v>#DIV/0!</v>
      </c>
      <c r="BA96" s="162">
        <f t="shared" si="924"/>
        <v>0</v>
      </c>
      <c r="BB96" s="162">
        <f t="shared" si="924"/>
        <v>0</v>
      </c>
      <c r="BC96" s="162">
        <f t="shared" si="924"/>
        <v>0</v>
      </c>
      <c r="BD96" s="162">
        <f t="shared" si="924"/>
        <v>4.0720114949056674</v>
      </c>
      <c r="BE96" s="162">
        <f t="shared" si="924"/>
        <v>4.811645792605642</v>
      </c>
      <c r="BF96" s="162">
        <f t="shared" si="924"/>
        <v>5.721162395657772</v>
      </c>
      <c r="BG96" s="162">
        <f t="shared" si="924"/>
        <v>5.5318020708325202</v>
      </c>
      <c r="BH96" s="162">
        <f t="shared" si="924"/>
        <v>5.020735838025594</v>
      </c>
      <c r="BI96" s="162">
        <f t="shared" si="924"/>
        <v>4.1700642243806314</v>
      </c>
      <c r="BJ96" s="162">
        <f t="shared" si="924"/>
        <v>4.0730765731491685</v>
      </c>
      <c r="BK96" s="162">
        <f t="shared" si="924"/>
        <v>4.349574291245605</v>
      </c>
      <c r="BL96" s="162">
        <f t="shared" si="924"/>
        <v>4.5270725372626313</v>
      </c>
      <c r="BM96" s="162">
        <f t="shared" si="924"/>
        <v>4.2126060739078106</v>
      </c>
      <c r="BN96" s="162">
        <f t="shared" si="924"/>
        <v>2.040657621834419</v>
      </c>
      <c r="BO96" s="162">
        <f t="shared" si="924"/>
        <v>2.6824415016228902</v>
      </c>
      <c r="BP96" s="162">
        <f t="shared" si="924"/>
        <v>2.8722872966454163</v>
      </c>
      <c r="BQ96" s="162">
        <f t="shared" si="924"/>
        <v>3.0096754209081418</v>
      </c>
      <c r="BR96" s="162">
        <f t="shared" si="924"/>
        <v>2.9441156932263484</v>
      </c>
      <c r="BS96" s="162">
        <f t="shared" si="924"/>
        <v>2.7850744192764383</v>
      </c>
      <c r="BT96" s="162">
        <f t="shared" si="924"/>
        <v>2.7642008348961187</v>
      </c>
      <c r="BU96" s="162">
        <f t="shared" si="924"/>
        <v>2.7973532724868431</v>
      </c>
      <c r="BV96" s="162">
        <f t="shared" si="924"/>
        <v>2.6660403313734888</v>
      </c>
      <c r="BW96" s="162">
        <f t="shared" si="924"/>
        <v>2.5407563450075146</v>
      </c>
      <c r="BX96" s="162">
        <f t="shared" si="924"/>
        <v>2.985590649662516</v>
      </c>
      <c r="BY96" s="162">
        <f t="shared" si="924"/>
        <v>2.9415825969701266</v>
      </c>
      <c r="BZ96" s="162">
        <f t="shared" si="924"/>
        <v>3.2275641080060726</v>
      </c>
      <c r="CA96" s="162">
        <f t="shared" si="924"/>
        <v>3.1379427995121834</v>
      </c>
      <c r="CB96" s="162">
        <f t="shared" si="924"/>
        <v>3.2235150724430741</v>
      </c>
      <c r="CC96" s="162">
        <f t="shared" si="924"/>
        <v>3.0257351213074957</v>
      </c>
      <c r="CD96" s="162">
        <f t="shared" si="924"/>
        <v>2.5911786374020354</v>
      </c>
      <c r="CE96" s="162">
        <f t="shared" si="924"/>
        <v>2.5017501374329427</v>
      </c>
      <c r="CF96" s="162">
        <f t="shared" si="924"/>
        <v>2.1433028557114229</v>
      </c>
      <c r="CG96" s="162">
        <f t="shared" si="924"/>
        <v>1.8673028984229876</v>
      </c>
      <c r="CH96" s="162">
        <f t="shared" si="924"/>
        <v>1.9905595090179387</v>
      </c>
      <c r="CI96" s="162">
        <f t="shared" si="924"/>
        <v>2.050670440115423</v>
      </c>
      <c r="CJ96" s="162">
        <f t="shared" si="927"/>
        <v>2.0270387304892945</v>
      </c>
      <c r="CK96" s="162">
        <f t="shared" si="927"/>
        <v>2.3412117504832088</v>
      </c>
      <c r="CL96" s="162">
        <f t="shared" ref="CL96" si="931">+CL79/CL$92</f>
        <v>1.7855259218704509</v>
      </c>
      <c r="CM96" s="94">
        <f t="shared" ref="CM96:DB96" si="932">+CL96</f>
        <v>1.7855259218704509</v>
      </c>
      <c r="CN96" s="94">
        <f t="shared" si="932"/>
        <v>1.7855259218704509</v>
      </c>
      <c r="CO96" s="94">
        <f t="shared" si="932"/>
        <v>1.7855259218704509</v>
      </c>
      <c r="CP96" s="94">
        <f t="shared" si="932"/>
        <v>1.7855259218704509</v>
      </c>
      <c r="CQ96" s="94">
        <f t="shared" si="932"/>
        <v>1.7855259218704509</v>
      </c>
      <c r="CR96" s="94">
        <f t="shared" si="932"/>
        <v>1.7855259218704509</v>
      </c>
      <c r="CS96" s="94">
        <f t="shared" si="932"/>
        <v>1.7855259218704509</v>
      </c>
      <c r="CT96" s="94">
        <f t="shared" si="932"/>
        <v>1.7855259218704509</v>
      </c>
      <c r="CU96" s="94">
        <f t="shared" si="932"/>
        <v>1.7855259218704509</v>
      </c>
      <c r="CV96" s="94">
        <f t="shared" si="932"/>
        <v>1.7855259218704509</v>
      </c>
      <c r="CW96" s="94">
        <f t="shared" si="932"/>
        <v>1.7855259218704509</v>
      </c>
      <c r="CX96" s="94">
        <f t="shared" si="932"/>
        <v>1.7855259218704509</v>
      </c>
      <c r="CY96" s="94">
        <f t="shared" si="932"/>
        <v>1.7855259218704509</v>
      </c>
      <c r="CZ96" s="94">
        <f t="shared" si="932"/>
        <v>1.7855259218704509</v>
      </c>
      <c r="DA96" s="94">
        <f t="shared" si="932"/>
        <v>1.7855259218704509</v>
      </c>
      <c r="DB96" s="94">
        <f t="shared" si="932"/>
        <v>1.7855259218704509</v>
      </c>
      <c r="DC96" s="94"/>
      <c r="DE96" s="22"/>
      <c r="DF96" s="162">
        <v>1.8064302861339878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178.642</v>
      </c>
      <c r="N98" s="177">
        <f t="shared" si="933"/>
        <v>257.245</v>
      </c>
      <c r="O98" s="177">
        <f t="shared" si="933"/>
        <v>210.422</v>
      </c>
      <c r="P98" s="177">
        <f t="shared" si="933"/>
        <v>280.46199999999999</v>
      </c>
      <c r="Q98" s="177">
        <f t="shared" si="933"/>
        <v>475.9699</v>
      </c>
      <c r="R98" s="177">
        <f t="shared" si="933"/>
        <v>444.7783</v>
      </c>
      <c r="S98" s="177">
        <f t="shared" si="933"/>
        <v>751.64689999999996</v>
      </c>
      <c r="T98" s="177">
        <f t="shared" si="933"/>
        <v>1050.4066</v>
      </c>
      <c r="U98" s="177">
        <f t="shared" si="933"/>
        <v>1499.2592999999999</v>
      </c>
      <c r="V98" s="177">
        <f t="shared" si="933"/>
        <v>1240.8624</v>
      </c>
      <c r="W98" s="177">
        <f t="shared" si="933"/>
        <v>1748.0633</v>
      </c>
      <c r="X98" s="177">
        <f t="shared" si="933"/>
        <v>1937.806</v>
      </c>
      <c r="Y98" s="177">
        <f t="shared" si="933"/>
        <v>2505.7885000000001</v>
      </c>
      <c r="Z98" s="177">
        <f>+Z10</f>
        <v>2512.1257000000001</v>
      </c>
      <c r="AA98" s="177">
        <f>+AA10</f>
        <v>3148.6619000000001</v>
      </c>
      <c r="AB98" s="178">
        <f t="shared" ref="AA98:AE98" si="934">+AB10</f>
        <v>4288.0856894321987</v>
      </c>
      <c r="AC98" s="178">
        <f t="shared" si="934"/>
        <v>5879.9124401577101</v>
      </c>
      <c r="AD98" s="178">
        <f t="shared" si="934"/>
        <v>8070.8837696788069</v>
      </c>
      <c r="AE98" s="178">
        <f t="shared" si="934"/>
        <v>11080.033901105824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108.08200000000001</v>
      </c>
      <c r="AY98" s="177">
        <f t="shared" si="935"/>
        <v>194.14400000000001</v>
      </c>
      <c r="AZ98" s="177">
        <f t="shared" si="935"/>
        <v>271.78300000000002</v>
      </c>
      <c r="BA98" s="177">
        <f t="shared" si="935"/>
        <v>347.19</v>
      </c>
      <c r="BB98" s="177">
        <f t="shared" si="935"/>
        <v>400.75900000000001</v>
      </c>
      <c r="BC98" s="177">
        <f t="shared" si="935"/>
        <v>470.49799999999999</v>
      </c>
      <c r="BD98" s="177">
        <f t="shared" si="935"/>
        <v>532.41200000000003</v>
      </c>
      <c r="BE98" s="177">
        <f t="shared" si="935"/>
        <v>627.80500000000006</v>
      </c>
      <c r="BF98" s="177">
        <f t="shared" si="935"/>
        <v>729.83100000000002</v>
      </c>
      <c r="BG98" s="177">
        <f t="shared" si="935"/>
        <v>812.25</v>
      </c>
      <c r="BH98" s="177">
        <f t="shared" si="935"/>
        <v>884.75800000000004</v>
      </c>
      <c r="BI98" s="177">
        <f t="shared" si="935"/>
        <v>975.92500000000007</v>
      </c>
      <c r="BJ98" s="177">
        <f t="shared" si="935"/>
        <v>1050.807</v>
      </c>
      <c r="BK98" s="177">
        <f t="shared" si="935"/>
        <v>1120.27</v>
      </c>
      <c r="BL98" s="177">
        <f t="shared" si="935"/>
        <v>1220.3220000000001</v>
      </c>
      <c r="BM98" s="177">
        <f t="shared" si="935"/>
        <v>1381.421</v>
      </c>
      <c r="BN98" s="177">
        <f t="shared" si="935"/>
        <v>1499.259</v>
      </c>
      <c r="BO98" s="177">
        <f t="shared" si="935"/>
        <v>1298.4680000000001</v>
      </c>
      <c r="BP98" s="177">
        <f t="shared" si="935"/>
        <v>1229.441</v>
      </c>
      <c r="BQ98" s="177">
        <f t="shared" si="935"/>
        <v>1196.5340000000001</v>
      </c>
      <c r="BR98" s="177">
        <f t="shared" ref="BR98:CW98" si="936">+SUM(BO8:BR8)</f>
        <v>1240.8629999999998</v>
      </c>
      <c r="BS98" s="177">
        <f t="shared" si="936"/>
        <v>1451.327</v>
      </c>
      <c r="BT98" s="177">
        <f t="shared" si="936"/>
        <v>1598.682</v>
      </c>
      <c r="BU98" s="177">
        <f t="shared" si="936"/>
        <v>1694.143</v>
      </c>
      <c r="BV98" s="177">
        <f t="shared" si="936"/>
        <v>1748.0639999999999</v>
      </c>
      <c r="BW98" s="177">
        <f t="shared" si="936"/>
        <v>1778.79</v>
      </c>
      <c r="BX98" s="177">
        <f t="shared" si="936"/>
        <v>1748.3310000000001</v>
      </c>
      <c r="BY98" s="177">
        <f t="shared" si="936"/>
        <v>1762.8679999999999</v>
      </c>
      <c r="BZ98" s="177">
        <f t="shared" si="936"/>
        <v>1937.8049999999998</v>
      </c>
      <c r="CA98" s="177">
        <f t="shared" si="936"/>
        <v>2103.35</v>
      </c>
      <c r="CB98" s="177">
        <f t="shared" si="936"/>
        <v>2363.0209999999997</v>
      </c>
      <c r="CC98" s="177">
        <f t="shared" si="936"/>
        <v>2567.6139999999996</v>
      </c>
      <c r="CD98" s="177">
        <f t="shared" si="936"/>
        <v>2505.7889999999998</v>
      </c>
      <c r="CE98" s="177">
        <f t="shared" si="936"/>
        <v>2615.2240000000002</v>
      </c>
      <c r="CF98" s="177">
        <f t="shared" si="936"/>
        <v>2581.5369999999998</v>
      </c>
      <c r="CG98" s="177">
        <f t="shared" si="936"/>
        <v>2506.9969999999998</v>
      </c>
      <c r="CH98" s="177">
        <f t="shared" si="936"/>
        <v>2512.125</v>
      </c>
      <c r="CI98" s="177">
        <f t="shared" si="936"/>
        <v>2406.8249999999998</v>
      </c>
      <c r="CJ98" s="177">
        <f t="shared" si="936"/>
        <v>2523.7249999999999</v>
      </c>
      <c r="CK98" s="177">
        <f t="shared" si="936"/>
        <v>2706.3089999999997</v>
      </c>
      <c r="CL98" s="177">
        <f t="shared" si="936"/>
        <v>3148.6620000000003</v>
      </c>
      <c r="CM98" s="178">
        <f t="shared" si="936"/>
        <v>3275.2043985965884</v>
      </c>
      <c r="CN98" s="178">
        <f t="shared" si="936"/>
        <v>3519.6290789528298</v>
      </c>
      <c r="CO98" s="178">
        <f t="shared" si="936"/>
        <v>3832.4068235384484</v>
      </c>
      <c r="CP98" s="178">
        <f t="shared" si="936"/>
        <v>4288.0856894321987</v>
      </c>
      <c r="CQ98" s="178">
        <f t="shared" si="936"/>
        <v>4511.2675102778348</v>
      </c>
      <c r="CR98" s="178">
        <f t="shared" si="936"/>
        <v>4863.5546909907043</v>
      </c>
      <c r="CS98" s="178">
        <f t="shared" si="936"/>
        <v>5288.9340654186326</v>
      </c>
      <c r="CT98" s="178">
        <f t="shared" si="936"/>
        <v>5879.9124401577101</v>
      </c>
      <c r="CU98" s="178">
        <f t="shared" si="936"/>
        <v>6199.234812600338</v>
      </c>
      <c r="CV98" s="178">
        <f t="shared" si="936"/>
        <v>6684.6635683941213</v>
      </c>
      <c r="CW98" s="178">
        <f t="shared" si="936"/>
        <v>7264.6227140668188</v>
      </c>
      <c r="CX98" s="178">
        <f t="shared" ref="CX98:DB98" si="937">+SUM(CU8:CX8)</f>
        <v>8070.8837696788069</v>
      </c>
      <c r="CY98" s="178">
        <f t="shared" si="937"/>
        <v>8512.5272893056717</v>
      </c>
      <c r="CZ98" s="178">
        <f t="shared" si="937"/>
        <v>9178.5731421336604</v>
      </c>
      <c r="DA98" s="178">
        <f t="shared" si="937"/>
        <v>9973.4771002541747</v>
      </c>
      <c r="DB98" s="178">
        <f t="shared" si="937"/>
        <v>11080.033901105824</v>
      </c>
      <c r="DE98" s="179"/>
      <c r="DF98" s="177">
        <v>2761.467952811438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27.264517431007516</v>
      </c>
      <c r="AY99" s="163">
        <f t="shared" si="940"/>
        <v>48.974320165481053</v>
      </c>
      <c r="AZ99" s="163">
        <f t="shared" si="940"/>
        <v>68.559356238333081</v>
      </c>
      <c r="BA99" s="163">
        <f t="shared" si="940"/>
        <v>87.581353110337517</v>
      </c>
      <c r="BB99" s="163">
        <f t="shared" si="940"/>
        <v>101.09454618838605</v>
      </c>
      <c r="BC99" s="163">
        <f t="shared" si="940"/>
        <v>118.68674638010189</v>
      </c>
      <c r="BD99" s="163">
        <f t="shared" si="940"/>
        <v>134.30503001866705</v>
      </c>
      <c r="BE99" s="163">
        <f t="shared" si="940"/>
        <v>158.36864941223953</v>
      </c>
      <c r="BF99" s="163">
        <f t="shared" si="940"/>
        <v>184.10549417284696</v>
      </c>
      <c r="BG99" s="163">
        <f t="shared" si="940"/>
        <v>204.89632208263961</v>
      </c>
      <c r="BH99" s="163">
        <f t="shared" si="940"/>
        <v>223.18702386357901</v>
      </c>
      <c r="BI99" s="163">
        <f t="shared" si="940"/>
        <v>246.18460218959689</v>
      </c>
      <c r="BJ99" s="163">
        <f t="shared" si="940"/>
        <v>265.07416376570302</v>
      </c>
      <c r="BK99" s="163">
        <f t="shared" si="940"/>
        <v>282.59674083043234</v>
      </c>
      <c r="BL99" s="163">
        <f t="shared" si="940"/>
        <v>307.83562887846222</v>
      </c>
      <c r="BM99" s="163">
        <f t="shared" si="940"/>
        <v>348.47409313354518</v>
      </c>
      <c r="BN99" s="163">
        <f t="shared" si="940"/>
        <v>378.19963674890266</v>
      </c>
      <c r="BO99" s="163">
        <f t="shared" si="940"/>
        <v>327.54855960849602</v>
      </c>
      <c r="BP99" s="163">
        <f t="shared" si="940"/>
        <v>310.13596690378887</v>
      </c>
      <c r="BQ99" s="163">
        <f t="shared" si="940"/>
        <v>301.83492255688412</v>
      </c>
      <c r="BR99" s="163">
        <f t="shared" ref="BR99:CW99" si="941">+BR98/BR65</f>
        <v>313.01725442712268</v>
      </c>
      <c r="BS99" s="163">
        <f t="shared" si="941"/>
        <v>366.10842036224204</v>
      </c>
      <c r="BT99" s="163">
        <f t="shared" si="941"/>
        <v>403.27985469956104</v>
      </c>
      <c r="BU99" s="163">
        <f t="shared" si="941"/>
        <v>427.36062761717369</v>
      </c>
      <c r="BV99" s="163">
        <f t="shared" si="941"/>
        <v>440.96261540790061</v>
      </c>
      <c r="BW99" s="163">
        <f t="shared" si="941"/>
        <v>448.71348569698802</v>
      </c>
      <c r="BX99" s="163">
        <f t="shared" si="941"/>
        <v>441.02996821552898</v>
      </c>
      <c r="BY99" s="163">
        <f t="shared" si="941"/>
        <v>444.69703849452594</v>
      </c>
      <c r="BZ99" s="163">
        <f t="shared" si="941"/>
        <v>488.82624489178136</v>
      </c>
      <c r="CA99" s="163">
        <f t="shared" si="941"/>
        <v>530.586246909843</v>
      </c>
      <c r="CB99" s="163">
        <f t="shared" si="941"/>
        <v>596.09025780737591</v>
      </c>
      <c r="CC99" s="163">
        <f t="shared" si="941"/>
        <v>647.70041874779258</v>
      </c>
      <c r="CD99" s="163">
        <f t="shared" si="941"/>
        <v>632.10458604510359</v>
      </c>
      <c r="CE99" s="163">
        <f t="shared" si="941"/>
        <v>659.71040815296908</v>
      </c>
      <c r="CF99" s="163">
        <f t="shared" si="941"/>
        <v>651.2126027950153</v>
      </c>
      <c r="CG99" s="163">
        <f t="shared" si="941"/>
        <v>632.40931335452285</v>
      </c>
      <c r="CH99" s="163">
        <f t="shared" si="941"/>
        <v>633.70289087331616</v>
      </c>
      <c r="CI99" s="163">
        <f t="shared" si="941"/>
        <v>607.14015438171623</v>
      </c>
      <c r="CJ99" s="163">
        <f t="shared" si="941"/>
        <v>636.62908026840216</v>
      </c>
      <c r="CK99" s="163">
        <f t="shared" ref="CK99:CL99" si="942">+CK98/CK65</f>
        <v>682.68730134705606</v>
      </c>
      <c r="CL99" s="163">
        <f t="shared" si="942"/>
        <v>794.27425457847733</v>
      </c>
      <c r="CM99" s="50">
        <f t="shared" si="941"/>
        <v>826.19554982003638</v>
      </c>
      <c r="CN99" s="50">
        <f t="shared" si="941"/>
        <v>887.85355909208147</v>
      </c>
      <c r="CO99" s="50">
        <f t="shared" si="941"/>
        <v>966.75415557702638</v>
      </c>
      <c r="CP99" s="50">
        <f t="shared" si="941"/>
        <v>1081.7026611755709</v>
      </c>
      <c r="CQ99" s="50">
        <f t="shared" si="941"/>
        <v>1138.001995428544</v>
      </c>
      <c r="CR99" s="50">
        <f t="shared" si="941"/>
        <v>1226.8691516549882</v>
      </c>
      <c r="CS99" s="50">
        <f t="shared" si="941"/>
        <v>1334.1743770290682</v>
      </c>
      <c r="CT99" s="50">
        <f t="shared" si="941"/>
        <v>1483.2532264158492</v>
      </c>
      <c r="CU99" s="50">
        <f t="shared" si="941"/>
        <v>1563.8047557137222</v>
      </c>
      <c r="CV99" s="50">
        <f t="shared" si="941"/>
        <v>1686.2579003062713</v>
      </c>
      <c r="CW99" s="50">
        <f t="shared" si="941"/>
        <v>1832.5570642416674</v>
      </c>
      <c r="CX99" s="50">
        <f t="shared" ref="CX99:DB99" si="943">+CX98/CX65</f>
        <v>2035.9426289487933</v>
      </c>
      <c r="CY99" s="50">
        <f t="shared" si="943"/>
        <v>2147.3506102884999</v>
      </c>
      <c r="CZ99" s="50">
        <f t="shared" si="943"/>
        <v>2315.3658095286969</v>
      </c>
      <c r="DA99" s="50">
        <f t="shared" si="943"/>
        <v>2515.8864588704337</v>
      </c>
      <c r="DB99" s="50">
        <f t="shared" si="943"/>
        <v>2795.0239395352964</v>
      </c>
      <c r="DE99" s="164"/>
      <c r="DF99" s="163">
        <v>696.60157227471814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>
        <f t="shared" si="946"/>
        <v>0</v>
      </c>
      <c r="AY102" s="163">
        <f t="shared" si="946"/>
        <v>0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2.2727895761512271</v>
      </c>
      <c r="BD102" s="163">
        <f t="shared" si="946"/>
        <v>2.5188930001577727</v>
      </c>
      <c r="BE102" s="163">
        <f t="shared" si="946"/>
        <v>3.246854739927207</v>
      </c>
      <c r="BF102" s="163">
        <f t="shared" si="946"/>
        <v>2.4415349580930381</v>
      </c>
      <c r="BG102" s="163">
        <f t="shared" si="946"/>
        <v>2.4068269990766389</v>
      </c>
      <c r="BH102" s="163">
        <f t="shared" si="946"/>
        <v>1.8417289360480495</v>
      </c>
      <c r="BI102" s="163">
        <f t="shared" si="946"/>
        <v>1.5925041473473884</v>
      </c>
      <c r="BJ102" s="163">
        <f t="shared" si="946"/>
        <v>1.7351747656800918</v>
      </c>
      <c r="BK102" s="163">
        <f t="shared" si="946"/>
        <v>1.9469438974532929</v>
      </c>
      <c r="BL102" s="163">
        <f t="shared" si="946"/>
        <v>1.8337708408108682</v>
      </c>
      <c r="BM102" s="163">
        <f t="shared" si="946"/>
        <v>1.4226308634369973</v>
      </c>
      <c r="BN102" s="163">
        <f t="shared" si="946"/>
        <v>0.85060896082664839</v>
      </c>
      <c r="BO102" s="163">
        <f t="shared" si="946"/>
        <v>1.1906631507283969</v>
      </c>
      <c r="BP102" s="163">
        <f t="shared" si="946"/>
        <v>1.2999137250181181</v>
      </c>
      <c r="BQ102" s="163">
        <f t="shared" si="946"/>
        <v>1.3747580846010226</v>
      </c>
      <c r="BR102" s="163">
        <f t="shared" ref="BR102:DB102" si="947">+BR77/BR99</f>
        <v>1.4804295719994878</v>
      </c>
      <c r="BS102" s="163">
        <f t="shared" si="947"/>
        <v>1.1428308575531221</v>
      </c>
      <c r="BT102" s="163">
        <f t="shared" si="947"/>
        <v>1.197059546551472</v>
      </c>
      <c r="BU102" s="163">
        <f t="shared" si="947"/>
        <v>1.1359258870118993</v>
      </c>
      <c r="BV102" s="163">
        <f t="shared" si="947"/>
        <v>1.224253442665715</v>
      </c>
      <c r="BW102" s="163">
        <f t="shared" si="947"/>
        <v>1.2321893984112795</v>
      </c>
      <c r="BX102" s="163">
        <f t="shared" si="947"/>
        <v>1.4546630529344844</v>
      </c>
      <c r="BY102" s="163">
        <f t="shared" si="947"/>
        <v>1.5726437090014684</v>
      </c>
      <c r="BZ102" s="163">
        <f t="shared" si="947"/>
        <v>1.373494175110499</v>
      </c>
      <c r="CA102" s="163">
        <f t="shared" si="947"/>
        <v>1.3442677871015287</v>
      </c>
      <c r="CB102" s="163">
        <f t="shared" si="947"/>
        <v>1.3378007601286661</v>
      </c>
      <c r="CC102" s="163">
        <f t="shared" si="947"/>
        <v>1.185810565762611</v>
      </c>
      <c r="CD102" s="163">
        <f t="shared" si="947"/>
        <v>1.0854216456373622</v>
      </c>
      <c r="CE102" s="163">
        <f t="shared" si="947"/>
        <v>1.0370459394682825</v>
      </c>
      <c r="CF102" s="163">
        <f t="shared" si="947"/>
        <v>1.0020537028909522</v>
      </c>
      <c r="CG102" s="163">
        <f t="shared" si="947"/>
        <v>1.0274990995202629</v>
      </c>
      <c r="CH102" s="163">
        <f t="shared" si="947"/>
        <v>0.99778620092551118</v>
      </c>
      <c r="CI102" s="163">
        <f t="shared" si="947"/>
        <v>1.2517702782711666</v>
      </c>
      <c r="CJ102" s="163">
        <f t="shared" si="947"/>
        <v>1.1829494180229623</v>
      </c>
      <c r="CK102" s="163">
        <f t="shared" ref="CK102:CL102" si="948">+CK77/CK99</f>
        <v>1.2712994635867525</v>
      </c>
      <c r="CL102" s="163">
        <f t="shared" si="948"/>
        <v>0.73028931336548664</v>
      </c>
      <c r="CM102" s="50">
        <f t="shared" si="947"/>
        <v>0.70207349837014688</v>
      </c>
      <c r="CN102" s="50">
        <f t="shared" si="947"/>
        <v>0.65331719860779602</v>
      </c>
      <c r="CO102" s="50">
        <f t="shared" si="947"/>
        <v>0.59999742090975094</v>
      </c>
      <c r="CP102" s="50">
        <f t="shared" si="947"/>
        <v>0.53623793378636442</v>
      </c>
      <c r="CQ102" s="50">
        <f t="shared" si="947"/>
        <v>0.50970912382413458</v>
      </c>
      <c r="CR102" s="50">
        <f t="shared" si="947"/>
        <v>0.47278880491659608</v>
      </c>
      <c r="CS102" s="50">
        <f t="shared" si="947"/>
        <v>0.43476325882652006</v>
      </c>
      <c r="CT102" s="50">
        <f t="shared" si="947"/>
        <v>0.39106606321136389</v>
      </c>
      <c r="CU102" s="50">
        <f t="shared" si="947"/>
        <v>0.3709222637165242</v>
      </c>
      <c r="CV102" s="50">
        <f t="shared" si="947"/>
        <v>0.34398652773970506</v>
      </c>
      <c r="CW102" s="50">
        <f t="shared" si="947"/>
        <v>0.31652493192075909</v>
      </c>
      <c r="CX102" s="50">
        <f t="shared" si="947"/>
        <v>0.28490488472138031</v>
      </c>
      <c r="CY102" s="50">
        <f t="shared" si="947"/>
        <v>0.27012356399594628</v>
      </c>
      <c r="CZ102" s="50">
        <f t="shared" si="947"/>
        <v>0.25052196832692791</v>
      </c>
      <c r="DA102" s="50">
        <f t="shared" si="947"/>
        <v>0.23055491950158474</v>
      </c>
      <c r="DB102" s="50">
        <f t="shared" si="947"/>
        <v>0.20752952838623617</v>
      </c>
      <c r="DE102" s="106"/>
      <c r="DF102" s="163">
        <v>0.83268545907221436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>
        <f t="shared" si="950"/>
        <v>0</v>
      </c>
      <c r="AY103" s="163">
        <f t="shared" si="950"/>
        <v>0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2.6687899842294764</v>
      </c>
      <c r="BD103" s="163">
        <f t="shared" si="950"/>
        <v>2.7735372230528239</v>
      </c>
      <c r="BE103" s="163">
        <f t="shared" si="950"/>
        <v>3.4438634289309578</v>
      </c>
      <c r="BF103" s="163">
        <f t="shared" si="950"/>
        <v>3.2304847971653716</v>
      </c>
      <c r="BG103" s="163">
        <f t="shared" si="950"/>
        <v>2.908788180978763</v>
      </c>
      <c r="BH103" s="163">
        <f t="shared" si="950"/>
        <v>2.2837349196051351</v>
      </c>
      <c r="BI103" s="163">
        <f t="shared" si="950"/>
        <v>1.8270842124138638</v>
      </c>
      <c r="BJ103" s="163">
        <f t="shared" si="950"/>
        <v>1.8481620126245828</v>
      </c>
      <c r="BK103" s="163">
        <f t="shared" si="950"/>
        <v>2.1833231274603446</v>
      </c>
      <c r="BL103" s="163">
        <f t="shared" si="950"/>
        <v>1.8740520780580863</v>
      </c>
      <c r="BM103" s="163">
        <f t="shared" si="950"/>
        <v>1.6529205796060724</v>
      </c>
      <c r="BN103" s="163">
        <f t="shared" si="950"/>
        <v>1.4751468425402148</v>
      </c>
      <c r="BO103" s="163">
        <f t="shared" si="950"/>
        <v>1.2364578872948737</v>
      </c>
      <c r="BP103" s="163">
        <f t="shared" si="950"/>
        <v>1.5446450948032482</v>
      </c>
      <c r="BQ103" s="163">
        <f t="shared" si="950"/>
        <v>1.4227975887020343</v>
      </c>
      <c r="BR103" s="163">
        <f t="shared" ref="BR103:CJ103" si="951">+BR78/BR99</f>
        <v>1.6165243060676324</v>
      </c>
      <c r="BS103" s="163">
        <f t="shared" si="951"/>
        <v>1.2974298693540465</v>
      </c>
      <c r="BT103" s="163">
        <f t="shared" si="951"/>
        <v>1.2826080796556165</v>
      </c>
      <c r="BU103" s="163">
        <f t="shared" si="951"/>
        <v>1.2921171589411284</v>
      </c>
      <c r="BV103" s="163">
        <f t="shared" si="951"/>
        <v>1.4491024356087652</v>
      </c>
      <c r="BW103" s="163">
        <f t="shared" si="951"/>
        <v>1.3108587522979105</v>
      </c>
      <c r="BX103" s="163">
        <f t="shared" si="951"/>
        <v>1.5506882735591829</v>
      </c>
      <c r="BY103" s="163">
        <f t="shared" si="951"/>
        <v>1.6786709498385588</v>
      </c>
      <c r="BZ103" s="163">
        <f t="shared" si="951"/>
        <v>1.5865555667365914</v>
      </c>
      <c r="CA103" s="163">
        <f t="shared" si="951"/>
        <v>1.503996767062068</v>
      </c>
      <c r="CB103" s="163">
        <f t="shared" si="951"/>
        <v>1.4192481573375779</v>
      </c>
      <c r="CC103" s="163">
        <f t="shared" si="951"/>
        <v>1.2582977815201197</v>
      </c>
      <c r="CD103" s="163">
        <f t="shared" si="951"/>
        <v>1.2813544117242117</v>
      </c>
      <c r="CE103" s="163">
        <f t="shared" si="951"/>
        <v>1.1277675640786411</v>
      </c>
      <c r="CF103" s="163">
        <f t="shared" si="951"/>
        <v>1.1440196286165956</v>
      </c>
      <c r="CG103" s="163">
        <f t="shared" si="951"/>
        <v>1.1618266595452649</v>
      </c>
      <c r="CH103" s="163">
        <f t="shared" si="951"/>
        <v>1.0939669204358859</v>
      </c>
      <c r="CI103" s="163">
        <f t="shared" si="951"/>
        <v>1.2763115639899039</v>
      </c>
      <c r="CJ103" s="163">
        <f t="shared" si="951"/>
        <v>1.3233765564790143</v>
      </c>
      <c r="CK103" s="163">
        <f t="shared" ref="CK103:CL103" si="952">+CK78/CK99</f>
        <v>1.5099152979205259</v>
      </c>
      <c r="CL103" s="163">
        <f t="shared" si="952"/>
        <v>1.1331098733366745</v>
      </c>
      <c r="CM103" s="94">
        <f t="shared" ref="CM103:DB103" si="953">+CL103</f>
        <v>1.1331098733366745</v>
      </c>
      <c r="CN103" s="94">
        <f t="shared" si="953"/>
        <v>1.1331098733366745</v>
      </c>
      <c r="CO103" s="94">
        <f t="shared" si="953"/>
        <v>1.1331098733366745</v>
      </c>
      <c r="CP103" s="94">
        <f t="shared" si="953"/>
        <v>1.1331098733366745</v>
      </c>
      <c r="CQ103" s="94">
        <f t="shared" si="953"/>
        <v>1.1331098733366745</v>
      </c>
      <c r="CR103" s="94">
        <f t="shared" si="953"/>
        <v>1.1331098733366745</v>
      </c>
      <c r="CS103" s="94">
        <f t="shared" si="953"/>
        <v>1.1331098733366745</v>
      </c>
      <c r="CT103" s="94">
        <f t="shared" si="953"/>
        <v>1.1331098733366745</v>
      </c>
      <c r="CU103" s="94">
        <f t="shared" si="953"/>
        <v>1.1331098733366745</v>
      </c>
      <c r="CV103" s="94">
        <f t="shared" si="953"/>
        <v>1.1331098733366745</v>
      </c>
      <c r="CW103" s="94">
        <f t="shared" si="953"/>
        <v>1.1331098733366745</v>
      </c>
      <c r="CX103" s="94">
        <f t="shared" si="953"/>
        <v>1.1331098733366745</v>
      </c>
      <c r="CY103" s="94">
        <f t="shared" si="953"/>
        <v>1.1331098733366745</v>
      </c>
      <c r="CZ103" s="94">
        <f t="shared" si="953"/>
        <v>1.1331098733366745</v>
      </c>
      <c r="DA103" s="94">
        <f t="shared" si="953"/>
        <v>1.1331098733366745</v>
      </c>
      <c r="DB103" s="94">
        <f t="shared" si="953"/>
        <v>1.1331098733366745</v>
      </c>
      <c r="DE103" s="164"/>
      <c r="DF103" s="163">
        <v>1.2919867479786105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>
        <f t="shared" si="954"/>
        <v>0</v>
      </c>
      <c r="AY104" s="163">
        <f t="shared" si="954"/>
        <v>0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2.0200285868838423</v>
      </c>
      <c r="BE104" s="163">
        <f t="shared" si="954"/>
        <v>2.1405751785984504</v>
      </c>
      <c r="BF104" s="163">
        <f t="shared" si="954"/>
        <v>2.3627757658964885</v>
      </c>
      <c r="BG104" s="163">
        <f t="shared" si="954"/>
        <v>2.1962326869806095</v>
      </c>
      <c r="BH104" s="163">
        <f t="shared" si="954"/>
        <v>1.8150696800707089</v>
      </c>
      <c r="BI104" s="163">
        <f t="shared" si="954"/>
        <v>1.4570366985167917</v>
      </c>
      <c r="BJ104" s="163">
        <f t="shared" si="954"/>
        <v>1.4314861720563339</v>
      </c>
      <c r="BK104" s="163">
        <f t="shared" si="954"/>
        <v>1.5322186615726567</v>
      </c>
      <c r="BL104" s="163">
        <f t="shared" si="954"/>
        <v>1.5040494230211372</v>
      </c>
      <c r="BM104" s="163">
        <f t="shared" si="954"/>
        <v>1.3477328996735971</v>
      </c>
      <c r="BN104" s="163">
        <f t="shared" si="954"/>
        <v>0.61819202686126951</v>
      </c>
      <c r="BO104" s="163">
        <f t="shared" si="954"/>
        <v>0.93115964351836167</v>
      </c>
      <c r="BP104" s="163">
        <f t="shared" si="954"/>
        <v>1.0858140813589268</v>
      </c>
      <c r="BQ104" s="163">
        <f t="shared" si="954"/>
        <v>1.2424009681296144</v>
      </c>
      <c r="BR104" s="163">
        <f t="shared" ref="BR104:CJ104" si="955">+BR79/BR99</f>
        <v>1.2714954027962799</v>
      </c>
      <c r="BS104" s="163">
        <f t="shared" si="955"/>
        <v>1.0761839337378827</v>
      </c>
      <c r="BT104" s="163">
        <f t="shared" si="955"/>
        <v>1.0077369232905606</v>
      </c>
      <c r="BU104" s="163">
        <f t="shared" si="955"/>
        <v>1.0451360540403023</v>
      </c>
      <c r="BV104" s="163">
        <f t="shared" si="955"/>
        <v>1.0477078642429569</v>
      </c>
      <c r="BW104" s="163">
        <f t="shared" si="955"/>
        <v>1.0227016005262004</v>
      </c>
      <c r="BX104" s="163">
        <f t="shared" si="955"/>
        <v>1.2288280594464094</v>
      </c>
      <c r="BY104" s="163">
        <f t="shared" si="955"/>
        <v>1.2597340470188354</v>
      </c>
      <c r="BZ104" s="163">
        <f t="shared" si="955"/>
        <v>1.3341141291306402</v>
      </c>
      <c r="CA104" s="163">
        <f t="shared" si="955"/>
        <v>1.251445931490242</v>
      </c>
      <c r="CB104" s="163">
        <f t="shared" si="955"/>
        <v>1.184636035820249</v>
      </c>
      <c r="CC104" s="163">
        <f t="shared" si="955"/>
        <v>1.0599807876105989</v>
      </c>
      <c r="CD104" s="163">
        <f t="shared" si="955"/>
        <v>0.94604597593811779</v>
      </c>
      <c r="CE104" s="163">
        <f t="shared" si="955"/>
        <v>0.90835310856737317</v>
      </c>
      <c r="CF104" s="163">
        <f t="shared" si="955"/>
        <v>0.99429893896543042</v>
      </c>
      <c r="CG104" s="163">
        <f t="shared" si="955"/>
        <v>0.89578060923088476</v>
      </c>
      <c r="CH104" s="163">
        <f t="shared" si="955"/>
        <v>0.95794103000447828</v>
      </c>
      <c r="CI104" s="163">
        <f t="shared" si="955"/>
        <v>1.0304045869558445</v>
      </c>
      <c r="CJ104" s="163">
        <f t="shared" si="955"/>
        <v>0.98424658788100927</v>
      </c>
      <c r="CK104" s="163">
        <f t="shared" ref="CK104:CL104" si="956">+CK79/CK99</f>
        <v>1.0755290138709217</v>
      </c>
      <c r="CL104" s="163">
        <f t="shared" si="956"/>
        <v>0.71675494543396523</v>
      </c>
      <c r="CM104" s="94">
        <f t="shared" ref="CM104:DB104" si="957">+CL104</f>
        <v>0.71675494543396523</v>
      </c>
      <c r="CN104" s="94">
        <f t="shared" si="957"/>
        <v>0.71675494543396523</v>
      </c>
      <c r="CO104" s="94">
        <f t="shared" si="957"/>
        <v>0.71675494543396523</v>
      </c>
      <c r="CP104" s="94">
        <f t="shared" si="957"/>
        <v>0.71675494543396523</v>
      </c>
      <c r="CQ104" s="94">
        <f t="shared" si="957"/>
        <v>0.71675494543396523</v>
      </c>
      <c r="CR104" s="94">
        <f t="shared" si="957"/>
        <v>0.71675494543396523</v>
      </c>
      <c r="CS104" s="94">
        <f t="shared" si="957"/>
        <v>0.71675494543396523</v>
      </c>
      <c r="CT104" s="94">
        <f t="shared" si="957"/>
        <v>0.71675494543396523</v>
      </c>
      <c r="CU104" s="94">
        <f t="shared" si="957"/>
        <v>0.71675494543396523</v>
      </c>
      <c r="CV104" s="94">
        <f t="shared" si="957"/>
        <v>0.71675494543396523</v>
      </c>
      <c r="CW104" s="94">
        <f t="shared" si="957"/>
        <v>0.71675494543396523</v>
      </c>
      <c r="CX104" s="94">
        <f t="shared" si="957"/>
        <v>0.71675494543396523</v>
      </c>
      <c r="CY104" s="94">
        <f t="shared" si="957"/>
        <v>0.71675494543396523</v>
      </c>
      <c r="CZ104" s="94">
        <f t="shared" si="957"/>
        <v>0.71675494543396523</v>
      </c>
      <c r="DA104" s="94">
        <f t="shared" si="957"/>
        <v>0.71675494543396523</v>
      </c>
      <c r="DB104" s="94">
        <f t="shared" si="957"/>
        <v>0.71675494543396523</v>
      </c>
      <c r="DE104" s="164"/>
      <c r="DF104" s="163">
        <v>0.81725339513802531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1255.6603500000001</v>
      </c>
      <c r="BD107" s="162">
        <f t="shared" si="960"/>
        <v>1476.6645000000001</v>
      </c>
      <c r="BE107" s="162">
        <f t="shared" si="960"/>
        <v>2162.0746800000002</v>
      </c>
      <c r="BF107" s="162">
        <f t="shared" si="960"/>
        <v>2357.7079500000004</v>
      </c>
      <c r="BG107" s="162">
        <f t="shared" si="960"/>
        <v>2362.6632000000004</v>
      </c>
      <c r="BH107" s="162">
        <f t="shared" si="960"/>
        <v>2020.5527400000001</v>
      </c>
      <c r="BI107" s="162">
        <f t="shared" si="960"/>
        <v>1783.0971600000003</v>
      </c>
      <c r="BJ107" s="162">
        <f t="shared" si="960"/>
        <v>1942.06158</v>
      </c>
      <c r="BK107" s="162">
        <f t="shared" si="960"/>
        <v>2445.9114000000004</v>
      </c>
      <c r="BL107" s="162">
        <f t="shared" si="960"/>
        <v>2286.9469800000002</v>
      </c>
      <c r="BM107" s="162">
        <f t="shared" si="960"/>
        <v>2283.3792000000003</v>
      </c>
      <c r="BN107" s="162">
        <f t="shared" si="960"/>
        <v>2211.62718</v>
      </c>
      <c r="BO107" s="162">
        <f t="shared" si="960"/>
        <v>1605.5010000000002</v>
      </c>
      <c r="BP107" s="162">
        <f t="shared" si="960"/>
        <v>1899.0500100000002</v>
      </c>
      <c r="BQ107" s="162">
        <f t="shared" si="960"/>
        <v>1702.42569</v>
      </c>
      <c r="BR107" s="162">
        <f t="shared" ref="BR107:CJ107" si="961">+BR78*BR65</f>
        <v>2005.8852000000002</v>
      </c>
      <c r="BS107" s="162">
        <f t="shared" si="961"/>
        <v>1882.9950000000001</v>
      </c>
      <c r="BT107" s="162">
        <f t="shared" si="961"/>
        <v>2050.4824500000004</v>
      </c>
      <c r="BU107" s="162">
        <f t="shared" si="961"/>
        <v>2189.0312400000003</v>
      </c>
      <c r="BV107" s="162">
        <f t="shared" si="961"/>
        <v>2533.1238000000003</v>
      </c>
      <c r="BW107" s="162">
        <f t="shared" si="961"/>
        <v>2331.7424400000004</v>
      </c>
      <c r="BX107" s="162">
        <f t="shared" si="961"/>
        <v>2711.1163800000004</v>
      </c>
      <c r="BY107" s="162">
        <f t="shared" si="961"/>
        <v>2959.2753000000002</v>
      </c>
      <c r="BZ107" s="162">
        <f t="shared" si="961"/>
        <v>3074.4353100000003</v>
      </c>
      <c r="CA107" s="162">
        <f t="shared" si="961"/>
        <v>3163.4316000000003</v>
      </c>
      <c r="CB107" s="162">
        <f t="shared" si="961"/>
        <v>3353.7132000000001</v>
      </c>
      <c r="CC107" s="162">
        <f t="shared" si="961"/>
        <v>3230.8230000000003</v>
      </c>
      <c r="CD107" s="162">
        <f t="shared" si="961"/>
        <v>3210.8037900000004</v>
      </c>
      <c r="CE107" s="162">
        <f t="shared" si="961"/>
        <v>2949.3648000000003</v>
      </c>
      <c r="CF107" s="162">
        <f t="shared" si="961"/>
        <v>2953.3290000000002</v>
      </c>
      <c r="CG107" s="162">
        <f t="shared" si="961"/>
        <v>2912.6959500000003</v>
      </c>
      <c r="CH107" s="162">
        <f t="shared" si="961"/>
        <v>2748.1816500000004</v>
      </c>
      <c r="CI107" s="162">
        <f t="shared" si="961"/>
        <v>3071.8585800000001</v>
      </c>
      <c r="CJ107" s="162">
        <f t="shared" si="961"/>
        <v>3339.8385000000003</v>
      </c>
      <c r="CK107" s="162">
        <f t="shared" ref="CK107:CL107" si="962">+CK78*CK65</f>
        <v>4086.29736</v>
      </c>
      <c r="CL107" s="162">
        <f t="shared" si="962"/>
        <v>3567.78</v>
      </c>
      <c r="CM107" s="21">
        <f t="shared" ref="CM107:DB107" si="963">+CM78*CM65</f>
        <v>3914.1832249181311</v>
      </c>
      <c r="CN107" s="21">
        <f t="shared" si="963"/>
        <v>4727.6158438972798</v>
      </c>
      <c r="CO107" s="21">
        <f t="shared" si="963"/>
        <v>5840.2050519747327</v>
      </c>
      <c r="CP107" s="21">
        <f t="shared" si="963"/>
        <v>7958.8058992670494</v>
      </c>
      <c r="CQ107" s="21">
        <f t="shared" si="963"/>
        <v>9007.1715971143658</v>
      </c>
      <c r="CR107" s="21">
        <f t="shared" si="963"/>
        <v>10439.078463168742</v>
      </c>
      <c r="CS107" s="21">
        <f t="shared" si="963"/>
        <v>12025.446705329467</v>
      </c>
      <c r="CT107" s="21">
        <f t="shared" si="963"/>
        <v>14118.232803722025</v>
      </c>
      <c r="CU107" s="21">
        <f t="shared" si="963"/>
        <v>15269.944989739288</v>
      </c>
      <c r="CV107" s="21">
        <f t="shared" si="963"/>
        <v>17036.414023791989</v>
      </c>
      <c r="CW107" s="21">
        <f t="shared" si="963"/>
        <v>18985.714907062997</v>
      </c>
      <c r="CX107" s="21">
        <f t="shared" si="963"/>
        <v>21541.722881275145</v>
      </c>
      <c r="CY107" s="21">
        <f t="shared" si="963"/>
        <v>22907.253107011926</v>
      </c>
      <c r="CZ107" s="21">
        <f t="shared" si="963"/>
        <v>25149.159188849768</v>
      </c>
      <c r="DA107" s="21">
        <f t="shared" si="963"/>
        <v>27634.934150492885</v>
      </c>
      <c r="DB107" s="21">
        <f t="shared" si="963"/>
        <v>30950.80060579818</v>
      </c>
      <c r="DE107" s="22"/>
      <c r="DF107" s="162">
        <v>3567.78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1075.4874600000001</v>
      </c>
      <c r="BE108" s="162">
        <f t="shared" si="966"/>
        <v>1343.8638000000001</v>
      </c>
      <c r="BF108" s="162">
        <f t="shared" si="966"/>
        <v>1724.4270000000001</v>
      </c>
      <c r="BG108" s="162">
        <f t="shared" si="966"/>
        <v>1783.89</v>
      </c>
      <c r="BH108" s="162">
        <f t="shared" si="966"/>
        <v>1605.8974200000002</v>
      </c>
      <c r="BI108" s="162">
        <f t="shared" si="966"/>
        <v>1421.9585400000001</v>
      </c>
      <c r="BJ108" s="162">
        <f t="shared" si="966"/>
        <v>1504.21569</v>
      </c>
      <c r="BK108" s="162">
        <f t="shared" si="966"/>
        <v>1716.4986000000001</v>
      </c>
      <c r="BL108" s="162">
        <f t="shared" si="966"/>
        <v>1835.4246000000003</v>
      </c>
      <c r="BM108" s="162">
        <f t="shared" si="966"/>
        <v>1861.7865300000001</v>
      </c>
      <c r="BN108" s="162">
        <f t="shared" si="966"/>
        <v>926.82996000000014</v>
      </c>
      <c r="BO108" s="162">
        <f t="shared" si="966"/>
        <v>1209.0810000000001</v>
      </c>
      <c r="BP108" s="162">
        <f t="shared" si="966"/>
        <v>1334.9443500000002</v>
      </c>
      <c r="BQ108" s="162">
        <f t="shared" si="966"/>
        <v>1486.575</v>
      </c>
      <c r="BR108" s="162">
        <f t="shared" ref="BR108:CJ108" si="967">+BR79*BR65</f>
        <v>1577.7516000000001</v>
      </c>
      <c r="BS108" s="162">
        <f t="shared" si="967"/>
        <v>1561.8948000000003</v>
      </c>
      <c r="BT108" s="162">
        <f t="shared" si="967"/>
        <v>1611.05088</v>
      </c>
      <c r="BU108" s="162">
        <f t="shared" si="967"/>
        <v>1770.6099300000001</v>
      </c>
      <c r="BV108" s="162">
        <f t="shared" si="967"/>
        <v>1831.4604000000002</v>
      </c>
      <c r="BW108" s="162">
        <f t="shared" si="967"/>
        <v>1819.17138</v>
      </c>
      <c r="BX108" s="162">
        <f t="shared" si="967"/>
        <v>2148.3981900000003</v>
      </c>
      <c r="BY108" s="162">
        <f t="shared" si="967"/>
        <v>2220.7448400000003</v>
      </c>
      <c r="BZ108" s="162">
        <f t="shared" si="967"/>
        <v>2585.2530300000003</v>
      </c>
      <c r="CA108" s="162">
        <f t="shared" si="967"/>
        <v>2632.2288000000003</v>
      </c>
      <c r="CB108" s="162">
        <f t="shared" si="967"/>
        <v>2799.3198300000004</v>
      </c>
      <c r="CC108" s="162">
        <f t="shared" si="967"/>
        <v>2721.6215099999999</v>
      </c>
      <c r="CD108" s="162">
        <f t="shared" si="967"/>
        <v>2370.5916000000002</v>
      </c>
      <c r="CE108" s="162">
        <f t="shared" si="967"/>
        <v>2375.5468500000002</v>
      </c>
      <c r="CF108" s="162">
        <f t="shared" si="967"/>
        <v>2566.8195000000001</v>
      </c>
      <c r="CG108" s="162">
        <f t="shared" si="967"/>
        <v>2245.7193000000002</v>
      </c>
      <c r="CH108" s="162">
        <f t="shared" si="967"/>
        <v>2406.4676100000001</v>
      </c>
      <c r="CI108" s="162">
        <f t="shared" si="967"/>
        <v>2480.0035200000002</v>
      </c>
      <c r="CJ108" s="162">
        <f t="shared" si="967"/>
        <v>2483.9677200000006</v>
      </c>
      <c r="CK108" s="162">
        <f t="shared" ref="CK108:CL108" si="968">+CK79*CK65</f>
        <v>2910.7138500000001</v>
      </c>
      <c r="CL108" s="162">
        <f t="shared" si="968"/>
        <v>2256.8190600000003</v>
      </c>
      <c r="CM108" s="21">
        <f t="shared" ref="CM108:DB108" si="969">+CM79*CM65</f>
        <v>2475.938344384324</v>
      </c>
      <c r="CN108" s="21">
        <f t="shared" si="969"/>
        <v>2990.4796665896897</v>
      </c>
      <c r="CO108" s="21">
        <f t="shared" si="969"/>
        <v>3694.2541512102384</v>
      </c>
      <c r="CP108" s="21">
        <f t="shared" si="969"/>
        <v>5034.3868871697005</v>
      </c>
      <c r="CQ108" s="21">
        <f t="shared" si="969"/>
        <v>5697.536433596898</v>
      </c>
      <c r="CR108" s="21">
        <f t="shared" si="969"/>
        <v>6603.2970767577381</v>
      </c>
      <c r="CS108" s="21">
        <f t="shared" si="969"/>
        <v>7606.7631214934054</v>
      </c>
      <c r="CT108" s="21">
        <f t="shared" si="969"/>
        <v>8930.566594621052</v>
      </c>
      <c r="CU108" s="21">
        <f t="shared" si="969"/>
        <v>9659.088536287305</v>
      </c>
      <c r="CV108" s="21">
        <f t="shared" si="969"/>
        <v>10776.478337494196</v>
      </c>
      <c r="CW108" s="21">
        <f t="shared" si="969"/>
        <v>12009.519440656626</v>
      </c>
      <c r="CX108" s="21">
        <f t="shared" si="969"/>
        <v>13626.336484788821</v>
      </c>
      <c r="CY108" s="21">
        <f t="shared" si="969"/>
        <v>14490.110215357656</v>
      </c>
      <c r="CZ108" s="21">
        <f t="shared" si="969"/>
        <v>15908.240362457967</v>
      </c>
      <c r="DA108" s="21">
        <f t="shared" si="969"/>
        <v>17480.631124306219</v>
      </c>
      <c r="DB108" s="21">
        <f t="shared" si="969"/>
        <v>19578.10087208989</v>
      </c>
      <c r="DE108" s="22"/>
      <c r="DF108" s="162">
        <v>2256.8190600000003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0</v>
      </c>
      <c r="K109" s="162">
        <f t="shared" si="970"/>
        <v>0</v>
      </c>
      <c r="L109" s="162">
        <f t="shared" si="970"/>
        <v>0</v>
      </c>
      <c r="M109" s="162">
        <f t="shared" si="970"/>
        <v>-10.165000000000003</v>
      </c>
      <c r="N109" s="162">
        <f t="shared" si="970"/>
        <v>-29.628999999999998</v>
      </c>
      <c r="O109" s="162">
        <f t="shared" si="970"/>
        <v>-50.545000000000002</v>
      </c>
      <c r="P109" s="162">
        <f t="shared" si="970"/>
        <v>-63.230000000000004</v>
      </c>
      <c r="Q109" s="162">
        <f t="shared" si="970"/>
        <v>-78.239000000000004</v>
      </c>
      <c r="R109" s="162">
        <f t="shared" si="970"/>
        <v>-45.759100000000004</v>
      </c>
      <c r="S109" s="162">
        <f t="shared" si="970"/>
        <v>-212.82739999999998</v>
      </c>
      <c r="T109" s="162">
        <f t="shared" si="970"/>
        <v>-191.13669999999999</v>
      </c>
      <c r="U109" s="162">
        <f t="shared" si="970"/>
        <v>-117.0095</v>
      </c>
      <c r="V109" s="162">
        <f t="shared" si="970"/>
        <v>-145.15959999999998</v>
      </c>
      <c r="W109" s="162">
        <f t="shared" si="970"/>
        <v>-96.688999999999993</v>
      </c>
      <c r="X109" s="162">
        <f t="shared" ref="X109:Y109" si="971">+X168</f>
        <v>-97.374600000000015</v>
      </c>
      <c r="Y109" s="162">
        <f t="shared" si="971"/>
        <v>227.99600000000001</v>
      </c>
      <c r="Z109" s="162">
        <f t="shared" ref="Z109:AA109" si="972">+Z168</f>
        <v>63.689799999999991</v>
      </c>
      <c r="AA109" s="162">
        <f t="shared" si="972"/>
        <v>-98.274699999999996</v>
      </c>
      <c r="AB109" s="21">
        <f t="shared" ref="AA109:AD109" si="973">+AB168</f>
        <v>-48.942899418218133</v>
      </c>
      <c r="AC109" s="21">
        <f t="shared" si="973"/>
        <v>22.326422357722151</v>
      </c>
      <c r="AD109" s="21">
        <f t="shared" si="973"/>
        <v>137.51974730710515</v>
      </c>
      <c r="AE109" s="21">
        <f t="shared" ref="AE109" si="974">+AE168</f>
        <v>313.08098885778622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-79.13</v>
      </c>
      <c r="AY109" s="162">
        <f t="shared" si="977"/>
        <v>-76.006706186043942</v>
      </c>
      <c r="AZ109" s="162">
        <f t="shared" si="977"/>
        <v>0</v>
      </c>
      <c r="BA109" s="162">
        <f t="shared" si="977"/>
        <v>-7.3179999999999952</v>
      </c>
      <c r="BB109" s="162">
        <f t="shared" si="977"/>
        <v>-47.645999999999987</v>
      </c>
      <c r="BC109" s="162">
        <f t="shared" si="977"/>
        <v>-60.756794625458525</v>
      </c>
      <c r="BD109" s="162">
        <f t="shared" si="977"/>
        <v>-168.625</v>
      </c>
      <c r="BE109" s="162">
        <f t="shared" si="977"/>
        <v>-176.68397222560606</v>
      </c>
      <c r="BF109" s="162">
        <f t="shared" si="977"/>
        <v>-214.97399999999999</v>
      </c>
      <c r="BG109" s="162">
        <f t="shared" si="977"/>
        <v>-238.94800466859064</v>
      </c>
      <c r="BH109" s="162">
        <f t="shared" si="977"/>
        <v>-186.595</v>
      </c>
      <c r="BI109" s="162">
        <f t="shared" si="977"/>
        <v>-192.32148262999789</v>
      </c>
      <c r="BJ109" s="162">
        <f t="shared" si="977"/>
        <v>-192.41200000000001</v>
      </c>
      <c r="BK109" s="162">
        <f t="shared" si="977"/>
        <v>-223.55452584335373</v>
      </c>
      <c r="BL109" s="162">
        <f t="shared" si="977"/>
        <v>-146.63600000000002</v>
      </c>
      <c r="BM109" s="162">
        <f t="shared" si="977"/>
        <v>-142.81907958335609</v>
      </c>
      <c r="BN109" s="162">
        <f t="shared" si="977"/>
        <v>-119.595</v>
      </c>
      <c r="BO109" s="162">
        <f t="shared" si="977"/>
        <v>-204.37196092217954</v>
      </c>
      <c r="BP109" s="162">
        <f t="shared" si="977"/>
        <v>-71.301000000000002</v>
      </c>
      <c r="BQ109" s="162">
        <f t="shared" si="977"/>
        <v>-30.43985249253349</v>
      </c>
      <c r="BR109" s="162">
        <f t="shared" si="977"/>
        <v>-145.15999999999997</v>
      </c>
      <c r="BS109" s="162">
        <f t="shared" si="977"/>
        <v>-191.71227470512804</v>
      </c>
      <c r="BT109" s="162">
        <f t="shared" si="977"/>
        <v>-6.7530000000000143</v>
      </c>
      <c r="BU109" s="162">
        <f t="shared" si="977"/>
        <v>-8.2098566467149965</v>
      </c>
      <c r="BV109" s="162">
        <f t="shared" si="977"/>
        <v>-96.689000000000007</v>
      </c>
      <c r="BW109" s="162">
        <f t="shared" si="977"/>
        <v>-175.87503186170665</v>
      </c>
      <c r="BX109" s="162">
        <f t="shared" si="977"/>
        <v>-79.636000000000024</v>
      </c>
      <c r="BY109" s="162">
        <f t="shared" si="977"/>
        <v>-70.071560028001528</v>
      </c>
      <c r="BZ109" s="162">
        <f t="shared" si="977"/>
        <v>-97.375</v>
      </c>
      <c r="CA109" s="162">
        <f t="shared" si="977"/>
        <v>-199.94924876230834</v>
      </c>
      <c r="CB109" s="162">
        <f t="shared" si="977"/>
        <v>153.18999999999997</v>
      </c>
      <c r="CC109" s="162">
        <f t="shared" si="977"/>
        <v>159.84317040020778</v>
      </c>
      <c r="CD109" s="162">
        <f t="shared" si="977"/>
        <v>227.99600000000004</v>
      </c>
      <c r="CE109" s="162">
        <f t="shared" ref="CE109:CF109" si="978">+CE168</f>
        <v>177.2528905817818</v>
      </c>
      <c r="CF109" s="162">
        <f t="shared" si="978"/>
        <v>-5.5509999999999877</v>
      </c>
      <c r="CG109" s="162">
        <f t="shared" ref="CG109:CH109" si="979">+CG168</f>
        <v>13.884568876009837</v>
      </c>
      <c r="CH109" s="162">
        <f t="shared" si="979"/>
        <v>63.689799999999991</v>
      </c>
      <c r="CI109" s="162">
        <f t="shared" ref="CI109:CJ109" si="980">+CI168</f>
        <v>-169.04262729537078</v>
      </c>
      <c r="CJ109" s="162">
        <f t="shared" si="980"/>
        <v>157.32800000000003</v>
      </c>
      <c r="CK109" s="162">
        <f t="shared" ref="CK109:CL109" si="981">+CK168</f>
        <v>270.55623562955117</v>
      </c>
      <c r="CL109" s="162">
        <f t="shared" si="981"/>
        <v>-98.274000000000001</v>
      </c>
      <c r="CM109" s="21">
        <f t="shared" ref="CM109:DB109" si="982">+CM168</f>
        <v>-434.58434935349271</v>
      </c>
      <c r="CN109" s="21">
        <f t="shared" si="982"/>
        <v>-301.52819370329121</v>
      </c>
      <c r="CO109" s="21">
        <f t="shared" si="982"/>
        <v>-251.37621671882539</v>
      </c>
      <c r="CP109" s="21">
        <f t="shared" si="982"/>
        <v>-48.942899418218133</v>
      </c>
      <c r="CQ109" s="21">
        <f t="shared" si="982"/>
        <v>-539.67105129820095</v>
      </c>
      <c r="CR109" s="21">
        <f t="shared" si="982"/>
        <v>-338.84497439111726</v>
      </c>
      <c r="CS109" s="21">
        <f t="shared" si="982"/>
        <v>-259.43311855002196</v>
      </c>
      <c r="CT109" s="21">
        <f t="shared" si="982"/>
        <v>22.326422357722151</v>
      </c>
      <c r="CU109" s="21">
        <f t="shared" si="982"/>
        <v>-651.73622084728379</v>
      </c>
      <c r="CV109" s="21">
        <f t="shared" si="982"/>
        <v>-367.25321177405692</v>
      </c>
      <c r="CW109" s="21">
        <f t="shared" si="982"/>
        <v>-252.80336666419521</v>
      </c>
      <c r="CX109" s="21">
        <f t="shared" si="982"/>
        <v>137.51974730710515</v>
      </c>
      <c r="CY109" s="21">
        <f t="shared" si="982"/>
        <v>-783.86177443758663</v>
      </c>
      <c r="CZ109" s="21">
        <f t="shared" si="982"/>
        <v>-387.9000249231924</v>
      </c>
      <c r="DA109" s="21">
        <f t="shared" si="982"/>
        <v>-226.57849705948547</v>
      </c>
      <c r="DB109" s="21">
        <f t="shared" si="982"/>
        <v>313.08098885778622</v>
      </c>
      <c r="DE109" s="22"/>
      <c r="DF109" s="162">
        <v>123.10055133053714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-79.13</v>
      </c>
      <c r="AY110" s="162">
        <f t="shared" si="990"/>
        <v>-76.006706186043942</v>
      </c>
      <c r="AZ110" s="162">
        <f t="shared" si="990"/>
        <v>0</v>
      </c>
      <c r="BA110" s="162">
        <f t="shared" si="990"/>
        <v>-7.3179999999999952</v>
      </c>
      <c r="BB110" s="162">
        <f t="shared" si="990"/>
        <v>-47.645999999999987</v>
      </c>
      <c r="BC110" s="162">
        <f t="shared" si="990"/>
        <v>1194.9035553745416</v>
      </c>
      <c r="BD110" s="162">
        <f t="shared" si="990"/>
        <v>1308.0395000000001</v>
      </c>
      <c r="BE110" s="162">
        <f t="shared" si="990"/>
        <v>1985.3907077743941</v>
      </c>
      <c r="BF110" s="162">
        <f t="shared" si="990"/>
        <v>2142.7339500000003</v>
      </c>
      <c r="BG110" s="162">
        <f t="shared" si="990"/>
        <v>2123.7151953314096</v>
      </c>
      <c r="BH110" s="162">
        <f t="shared" si="990"/>
        <v>1833.9577400000001</v>
      </c>
      <c r="BI110" s="162">
        <f t="shared" si="990"/>
        <v>1590.7756773700023</v>
      </c>
      <c r="BJ110" s="162">
        <f t="shared" si="990"/>
        <v>1749.64958</v>
      </c>
      <c r="BK110" s="162">
        <f t="shared" si="990"/>
        <v>2222.3568741566469</v>
      </c>
      <c r="BL110" s="162">
        <f t="shared" si="990"/>
        <v>2140.3109800000002</v>
      </c>
      <c r="BM110" s="162">
        <f t="shared" si="990"/>
        <v>2140.5601204166442</v>
      </c>
      <c r="BN110" s="162">
        <f t="shared" si="990"/>
        <v>2092.0321800000002</v>
      </c>
      <c r="BO110" s="162">
        <f t="shared" si="990"/>
        <v>1401.1290390778206</v>
      </c>
      <c r="BP110" s="162">
        <f t="shared" si="990"/>
        <v>1827.7490100000002</v>
      </c>
      <c r="BQ110" s="162">
        <f t="shared" si="990"/>
        <v>1671.9858375074666</v>
      </c>
      <c r="BR110" s="162">
        <f t="shared" si="990"/>
        <v>1860.7252000000003</v>
      </c>
      <c r="BS110" s="162">
        <f t="shared" si="990"/>
        <v>1691.2827252948721</v>
      </c>
      <c r="BT110" s="162">
        <f t="shared" si="990"/>
        <v>2043.7294500000005</v>
      </c>
      <c r="BU110" s="162">
        <f t="shared" si="990"/>
        <v>2180.8213833532855</v>
      </c>
      <c r="BV110" s="162">
        <f t="shared" si="990"/>
        <v>2436.4348000000005</v>
      </c>
      <c r="BW110" s="162">
        <f t="shared" si="990"/>
        <v>2155.8674081382937</v>
      </c>
      <c r="BX110" s="162">
        <f t="shared" si="990"/>
        <v>2631.4803800000004</v>
      </c>
      <c r="BY110" s="162">
        <f t="shared" si="990"/>
        <v>2889.2037399719989</v>
      </c>
      <c r="BZ110" s="162">
        <f t="shared" si="990"/>
        <v>2977.0603100000003</v>
      </c>
      <c r="CA110" s="162">
        <f t="shared" si="990"/>
        <v>2963.482351237692</v>
      </c>
      <c r="CB110" s="162">
        <f t="shared" si="990"/>
        <v>3506.9032000000002</v>
      </c>
      <c r="CC110" s="162">
        <f t="shared" si="990"/>
        <v>3390.6661704002081</v>
      </c>
      <c r="CD110" s="162">
        <f t="shared" si="990"/>
        <v>3438.7997900000005</v>
      </c>
      <c r="CE110" s="162">
        <f t="shared" ref="CE110:CF110" si="991">+CE107+CE109</f>
        <v>3126.617690581782</v>
      </c>
      <c r="CF110" s="162">
        <f t="shared" si="991"/>
        <v>2947.7780000000002</v>
      </c>
      <c r="CG110" s="162">
        <f t="shared" ref="CG110:CH110" si="992">+CG107+CG109</f>
        <v>2926.58051887601</v>
      </c>
      <c r="CH110" s="162">
        <f t="shared" si="992"/>
        <v>2811.8714500000006</v>
      </c>
      <c r="CI110" s="162">
        <f t="shared" ref="CI110:CJ110" si="993">+CI107+CI109</f>
        <v>2902.8159527046291</v>
      </c>
      <c r="CJ110" s="162">
        <f t="shared" si="993"/>
        <v>3497.1665000000003</v>
      </c>
      <c r="CK110" s="162">
        <f t="shared" ref="CK110:CL110" si="994">+CK107+CK109</f>
        <v>4356.8535956295509</v>
      </c>
      <c r="CL110" s="162">
        <f t="shared" si="994"/>
        <v>3469.5060000000003</v>
      </c>
      <c r="CM110" s="21">
        <f t="shared" ref="CM110:DB110" si="995">+CM107+CM109</f>
        <v>3479.5988755646385</v>
      </c>
      <c r="CN110" s="21">
        <f t="shared" si="995"/>
        <v>4426.0876501939883</v>
      </c>
      <c r="CO110" s="21">
        <f t="shared" si="995"/>
        <v>5588.8288352559075</v>
      </c>
      <c r="CP110" s="21">
        <f t="shared" si="995"/>
        <v>7909.8629998488314</v>
      </c>
      <c r="CQ110" s="21">
        <f t="shared" si="995"/>
        <v>8467.500545816165</v>
      </c>
      <c r="CR110" s="21">
        <f t="shared" si="995"/>
        <v>10100.233488777625</v>
      </c>
      <c r="CS110" s="21">
        <f t="shared" si="995"/>
        <v>11766.013586779445</v>
      </c>
      <c r="CT110" s="21">
        <f t="shared" si="995"/>
        <v>14140.559226079748</v>
      </c>
      <c r="CU110" s="21">
        <f t="shared" si="995"/>
        <v>14618.208768892004</v>
      </c>
      <c r="CV110" s="21">
        <f t="shared" si="995"/>
        <v>16669.160812017933</v>
      </c>
      <c r="CW110" s="21">
        <f t="shared" si="995"/>
        <v>18732.9115403988</v>
      </c>
      <c r="CX110" s="21">
        <f t="shared" si="995"/>
        <v>21679.242628582251</v>
      </c>
      <c r="CY110" s="21">
        <f t="shared" si="995"/>
        <v>22123.391332574338</v>
      </c>
      <c r="CZ110" s="21">
        <f t="shared" si="995"/>
        <v>24761.259163926574</v>
      </c>
      <c r="DA110" s="21">
        <f t="shared" si="995"/>
        <v>27408.355653433398</v>
      </c>
      <c r="DB110" s="21">
        <f t="shared" si="995"/>
        <v>31263.881594655966</v>
      </c>
      <c r="DE110" s="22"/>
      <c r="DF110" s="162">
        <v>3690.8805513305374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-79.13</v>
      </c>
      <c r="AY111" s="162">
        <f t="shared" si="1003"/>
        <v>-76.006706186043942</v>
      </c>
      <c r="AZ111" s="162">
        <f t="shared" si="1003"/>
        <v>0</v>
      </c>
      <c r="BA111" s="162">
        <f t="shared" si="1003"/>
        <v>-7.3179999999999952</v>
      </c>
      <c r="BB111" s="162">
        <f t="shared" si="1003"/>
        <v>-47.645999999999987</v>
      </c>
      <c r="BC111" s="162">
        <f t="shared" si="1003"/>
        <v>-60.756794625458525</v>
      </c>
      <c r="BD111" s="162">
        <f t="shared" si="1003"/>
        <v>906.86246000000006</v>
      </c>
      <c r="BE111" s="162">
        <f t="shared" si="1003"/>
        <v>1167.179827774394</v>
      </c>
      <c r="BF111" s="162">
        <f t="shared" si="1003"/>
        <v>1509.4530000000002</v>
      </c>
      <c r="BG111" s="162">
        <f t="shared" si="1003"/>
        <v>1544.9419953314095</v>
      </c>
      <c r="BH111" s="162">
        <f t="shared" si="1003"/>
        <v>1419.3024200000002</v>
      </c>
      <c r="BI111" s="162">
        <f t="shared" si="1003"/>
        <v>1229.6370573700021</v>
      </c>
      <c r="BJ111" s="162">
        <f t="shared" si="1003"/>
        <v>1311.80369</v>
      </c>
      <c r="BK111" s="162">
        <f t="shared" si="1003"/>
        <v>1492.9440741566464</v>
      </c>
      <c r="BL111" s="162">
        <f t="shared" si="1003"/>
        <v>1688.7886000000003</v>
      </c>
      <c r="BM111" s="162">
        <f t="shared" si="1003"/>
        <v>1718.9674504166439</v>
      </c>
      <c r="BN111" s="162">
        <f t="shared" si="1003"/>
        <v>807.23496000000011</v>
      </c>
      <c r="BO111" s="162">
        <f t="shared" si="1003"/>
        <v>1004.7090390778205</v>
      </c>
      <c r="BP111" s="162">
        <f t="shared" si="1003"/>
        <v>1263.6433500000003</v>
      </c>
      <c r="BQ111" s="162">
        <f t="shared" si="1003"/>
        <v>1456.1351475074666</v>
      </c>
      <c r="BR111" s="162">
        <f t="shared" si="1003"/>
        <v>1432.5916000000002</v>
      </c>
      <c r="BS111" s="162">
        <f t="shared" si="1003"/>
        <v>1370.1825252948722</v>
      </c>
      <c r="BT111" s="162">
        <f t="shared" si="1003"/>
        <v>1604.2978800000001</v>
      </c>
      <c r="BU111" s="162">
        <f t="shared" si="1003"/>
        <v>1762.4000733532851</v>
      </c>
      <c r="BV111" s="162">
        <f t="shared" si="1003"/>
        <v>1734.7714000000001</v>
      </c>
      <c r="BW111" s="162">
        <f t="shared" si="1003"/>
        <v>1643.2963481382933</v>
      </c>
      <c r="BX111" s="162">
        <f t="shared" si="1003"/>
        <v>2068.7621900000004</v>
      </c>
      <c r="BY111" s="162">
        <f t="shared" si="1003"/>
        <v>2150.6732799719989</v>
      </c>
      <c r="BZ111" s="162">
        <f t="shared" si="1003"/>
        <v>2487.8780300000003</v>
      </c>
      <c r="CA111" s="162">
        <f t="shared" si="1003"/>
        <v>2432.279551237692</v>
      </c>
      <c r="CB111" s="162">
        <f t="shared" si="1003"/>
        <v>2952.5098300000004</v>
      </c>
      <c r="CC111" s="162">
        <f t="shared" si="1003"/>
        <v>2881.4646804002077</v>
      </c>
      <c r="CD111" s="162">
        <f t="shared" si="1003"/>
        <v>2598.5876000000003</v>
      </c>
      <c r="CE111" s="162">
        <f t="shared" ref="CE111:CF111" si="1004">+CE108+CE109</f>
        <v>2552.7997405817819</v>
      </c>
      <c r="CF111" s="162">
        <f t="shared" si="1004"/>
        <v>2561.2685000000001</v>
      </c>
      <c r="CG111" s="162">
        <f t="shared" ref="CG111:CH111" si="1005">+CG108+CG109</f>
        <v>2259.60386887601</v>
      </c>
      <c r="CH111" s="162">
        <f t="shared" si="1005"/>
        <v>2470.1574100000003</v>
      </c>
      <c r="CI111" s="162">
        <f t="shared" ref="CI111:CJ111" si="1006">+CI108+CI109</f>
        <v>2310.9608927046293</v>
      </c>
      <c r="CJ111" s="162">
        <f t="shared" si="1006"/>
        <v>2641.2957200000005</v>
      </c>
      <c r="CK111" s="162">
        <f t="shared" ref="CK111:CL111" si="1007">+CK108+CK109</f>
        <v>3181.2700856295514</v>
      </c>
      <c r="CL111" s="162">
        <f t="shared" si="1007"/>
        <v>2158.5450600000004</v>
      </c>
      <c r="CM111" s="21">
        <f t="shared" ref="CM111:DB111" si="1008">+CM108+CM109</f>
        <v>2041.3539950308314</v>
      </c>
      <c r="CN111" s="21">
        <f t="shared" si="1008"/>
        <v>2688.9514728863987</v>
      </c>
      <c r="CO111" s="21">
        <f t="shared" si="1008"/>
        <v>3442.8779344914128</v>
      </c>
      <c r="CP111" s="21">
        <f t="shared" si="1008"/>
        <v>4985.4439877514824</v>
      </c>
      <c r="CQ111" s="21">
        <f t="shared" si="1008"/>
        <v>5157.8653822986971</v>
      </c>
      <c r="CR111" s="21">
        <f t="shared" si="1008"/>
        <v>6264.4521023666211</v>
      </c>
      <c r="CS111" s="21">
        <f t="shared" si="1008"/>
        <v>7347.3300029433831</v>
      </c>
      <c r="CT111" s="21">
        <f t="shared" si="1008"/>
        <v>8952.8930169787745</v>
      </c>
      <c r="CU111" s="21">
        <f t="shared" si="1008"/>
        <v>9007.3523154400209</v>
      </c>
      <c r="CV111" s="21">
        <f t="shared" si="1008"/>
        <v>10409.225125720139</v>
      </c>
      <c r="CW111" s="21">
        <f t="shared" si="1008"/>
        <v>11756.716073992431</v>
      </c>
      <c r="CX111" s="21">
        <f t="shared" si="1008"/>
        <v>13763.856232095926</v>
      </c>
      <c r="CY111" s="21">
        <f t="shared" si="1008"/>
        <v>13706.24844092007</v>
      </c>
      <c r="CZ111" s="21">
        <f t="shared" si="1008"/>
        <v>15520.340337534775</v>
      </c>
      <c r="DA111" s="21">
        <f t="shared" si="1008"/>
        <v>17254.052627246732</v>
      </c>
      <c r="DB111" s="21">
        <f t="shared" si="1008"/>
        <v>19891.181860947676</v>
      </c>
      <c r="DE111" s="22"/>
      <c r="DF111" s="162">
        <v>2379.9196113305375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0</v>
      </c>
      <c r="K112" s="162">
        <f t="shared" si="1009"/>
        <v>0</v>
      </c>
      <c r="L112" s="162">
        <f t="shared" si="1009"/>
        <v>0</v>
      </c>
      <c r="M112" s="162">
        <f t="shared" si="1009"/>
        <v>15.413999999999987</v>
      </c>
      <c r="N112" s="162">
        <f t="shared" si="1009"/>
        <v>21.975000000000023</v>
      </c>
      <c r="O112" s="162">
        <f t="shared" si="1009"/>
        <v>16.742999999999981</v>
      </c>
      <c r="P112" s="162">
        <f t="shared" si="1009"/>
        <v>22.411000000000001</v>
      </c>
      <c r="Q112" s="162">
        <f t="shared" si="1009"/>
        <v>34.866099999999932</v>
      </c>
      <c r="R112" s="162">
        <f t="shared" si="1009"/>
        <v>67.094700000000017</v>
      </c>
      <c r="S112" s="162">
        <f t="shared" si="1009"/>
        <v>104.50109999999995</v>
      </c>
      <c r="T112" s="162">
        <f t="shared" si="1009"/>
        <v>148.56139999999994</v>
      </c>
      <c r="U112" s="162">
        <f t="shared" si="1009"/>
        <v>190.83169999999996</v>
      </c>
      <c r="V112" s="162">
        <f t="shared" si="1009"/>
        <v>134.93669999999986</v>
      </c>
      <c r="W112" s="162">
        <f t="shared" si="1009"/>
        <v>258.43909999999983</v>
      </c>
      <c r="X112" s="162">
        <f t="shared" si="1009"/>
        <v>230.0637999999999</v>
      </c>
      <c r="Y112" s="162">
        <f t="shared" si="1009"/>
        <v>260.93520000000012</v>
      </c>
      <c r="Z112" s="162">
        <f t="shared" si="1009"/>
        <v>179.42919999999981</v>
      </c>
      <c r="AA112" s="162">
        <f t="shared" ref="AA112" si="1010">+AA28</f>
        <v>189.04999999999973</v>
      </c>
      <c r="AB112" s="21">
        <f t="shared" si="1009"/>
        <v>259.92636817677294</v>
      </c>
      <c r="AC112" s="21">
        <f t="shared" si="1009"/>
        <v>356.3027632334265</v>
      </c>
      <c r="AD112" s="21">
        <f t="shared" si="1009"/>
        <v>488.91007497365263</v>
      </c>
      <c r="AE112" s="21">
        <f t="shared" si="1009"/>
        <v>671.13490274353444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9.267000000000003</v>
      </c>
      <c r="AY112" s="162">
        <f t="shared" si="1011"/>
        <v>21.103999999999999</v>
      </c>
      <c r="AZ112" s="162">
        <f t="shared" si="1011"/>
        <v>32.353000000000009</v>
      </c>
      <c r="BA112" s="162">
        <f t="shared" si="1011"/>
        <v>41.794000000000004</v>
      </c>
      <c r="BB112" s="162">
        <f t="shared" si="1011"/>
        <v>65.941000000000003</v>
      </c>
      <c r="BC112" s="162">
        <f t="shared" si="1011"/>
        <v>74.013999999999982</v>
      </c>
      <c r="BD112" s="162">
        <f t="shared" si="1011"/>
        <v>81.404999999999973</v>
      </c>
      <c r="BE112" s="162">
        <f t="shared" si="1011"/>
        <v>98.518999999999991</v>
      </c>
      <c r="BF112" s="162">
        <f t="shared" si="1011"/>
        <v>101.39500000000004</v>
      </c>
      <c r="BG112" s="162">
        <f t="shared" si="1011"/>
        <v>114.90300000000006</v>
      </c>
      <c r="BH112" s="162">
        <f t="shared" si="1011"/>
        <v>125.12000000000006</v>
      </c>
      <c r="BI112" s="162">
        <f t="shared" si="1011"/>
        <v>135.18800000000005</v>
      </c>
      <c r="BJ112" s="162">
        <f t="shared" si="1011"/>
        <v>148.97800000000001</v>
      </c>
      <c r="BK112" s="162">
        <f t="shared" si="1011"/>
        <v>158.70299999999997</v>
      </c>
      <c r="BL112" s="162">
        <f t="shared" si="1011"/>
        <v>172.66399999999996</v>
      </c>
      <c r="BM112" s="162">
        <f t="shared" si="1011"/>
        <v>190.01499999999999</v>
      </c>
      <c r="BN112" s="162">
        <f t="shared" si="1011"/>
        <v>190.87699999999998</v>
      </c>
      <c r="BO112" s="162">
        <f t="shared" si="1011"/>
        <v>149.029</v>
      </c>
      <c r="BP112" s="162">
        <f t="shared" si="1011"/>
        <v>131.815</v>
      </c>
      <c r="BQ112" s="162">
        <f t="shared" si="1011"/>
        <v>122.68799999999997</v>
      </c>
      <c r="BR112" s="162">
        <f t="shared" ref="BR112:CW112" si="1012">+SUM(BO28:BR28)</f>
        <v>134.77099999999996</v>
      </c>
      <c r="BS112" s="162">
        <f t="shared" si="1012"/>
        <v>172.86499999999998</v>
      </c>
      <c r="BT112" s="162">
        <f t="shared" si="1012"/>
        <v>201.96799999999996</v>
      </c>
      <c r="BU112" s="162">
        <f t="shared" si="1012"/>
        <v>233.11900000000006</v>
      </c>
      <c r="BV112" s="162">
        <f t="shared" si="1012"/>
        <v>258.44000000000017</v>
      </c>
      <c r="BW112" s="162">
        <f t="shared" si="1012"/>
        <v>266.92500000000013</v>
      </c>
      <c r="BX112" s="162">
        <f t="shared" si="1012"/>
        <v>251.69300000000015</v>
      </c>
      <c r="BY112" s="162">
        <f t="shared" si="1012"/>
        <v>237.4860000000001</v>
      </c>
      <c r="BZ112" s="162">
        <f t="shared" si="1012"/>
        <v>230.06200000000001</v>
      </c>
      <c r="CA112" s="162">
        <f t="shared" si="1012"/>
        <v>248.36199999999999</v>
      </c>
      <c r="CB112" s="162">
        <f t="shared" si="1012"/>
        <v>281.38700000000006</v>
      </c>
      <c r="CC112" s="162">
        <f t="shared" si="1012"/>
        <v>289.20100000000002</v>
      </c>
      <c r="CD112" s="162">
        <f t="shared" si="1012"/>
        <v>260.93600000000004</v>
      </c>
      <c r="CE112" s="162">
        <f t="shared" si="1012"/>
        <v>268.71900000000011</v>
      </c>
      <c r="CF112" s="162">
        <f t="shared" si="1012"/>
        <v>233.81600000000014</v>
      </c>
      <c r="CG112" s="162">
        <f t="shared" si="1012"/>
        <v>199.73500000000024</v>
      </c>
      <c r="CH112" s="162">
        <f t="shared" si="1012"/>
        <v>179.42700000000008</v>
      </c>
      <c r="CI112" s="162">
        <f t="shared" si="1012"/>
        <v>130.26299999999998</v>
      </c>
      <c r="CJ112" s="162">
        <f t="shared" si="1012"/>
        <v>142.5949999999998</v>
      </c>
      <c r="CK112" s="162">
        <f t="shared" si="1012"/>
        <v>161.60299999999972</v>
      </c>
      <c r="CL112" s="162">
        <f t="shared" si="1012"/>
        <v>189.04999999999995</v>
      </c>
      <c r="CM112" s="21">
        <f t="shared" si="1012"/>
        <v>202.85573418987497</v>
      </c>
      <c r="CN112" s="21">
        <f t="shared" si="1012"/>
        <v>212.52389220133153</v>
      </c>
      <c r="CO112" s="21">
        <f t="shared" si="1012"/>
        <v>226.51953347550216</v>
      </c>
      <c r="CP112" s="21">
        <f t="shared" si="1012"/>
        <v>259.92636817677271</v>
      </c>
      <c r="CQ112" s="21">
        <f t="shared" si="1012"/>
        <v>274.03469492163384</v>
      </c>
      <c r="CR112" s="21">
        <f t="shared" si="1012"/>
        <v>293.67420081205279</v>
      </c>
      <c r="CS112" s="21">
        <f t="shared" si="1012"/>
        <v>318.9566596184772</v>
      </c>
      <c r="CT112" s="21">
        <f t="shared" si="1012"/>
        <v>356.30276323342656</v>
      </c>
      <c r="CU112" s="21">
        <f t="shared" si="1012"/>
        <v>375.57602179505363</v>
      </c>
      <c r="CV112" s="21">
        <f t="shared" si="1012"/>
        <v>404.55235402341248</v>
      </c>
      <c r="CW112" s="21">
        <f t="shared" si="1012"/>
        <v>439.7398016561516</v>
      </c>
      <c r="CX112" s="21">
        <f t="shared" ref="CX112:DB112" si="1013">+SUM(CU28:CX28)</f>
        <v>488.91007497365138</v>
      </c>
      <c r="CY112" s="21">
        <f t="shared" si="1013"/>
        <v>515.5972803391478</v>
      </c>
      <c r="CZ112" s="21">
        <f t="shared" si="1013"/>
        <v>555.85586111361192</v>
      </c>
      <c r="DA112" s="21">
        <f t="shared" si="1013"/>
        <v>604.05279652734009</v>
      </c>
      <c r="DB112" s="21">
        <f t="shared" si="1013"/>
        <v>671.13490274353342</v>
      </c>
      <c r="DE112" s="22"/>
      <c r="DF112" s="162">
        <v>171.86074219872955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>
        <f t="shared" si="1021"/>
        <v>-8.5389014783640835</v>
      </c>
      <c r="AY113" s="162">
        <f t="shared" si="1021"/>
        <v>-3.6015308086639473</v>
      </c>
      <c r="AZ113" s="162">
        <f t="shared" si="1021"/>
        <v>0</v>
      </c>
      <c r="BA113" s="162">
        <f t="shared" si="1021"/>
        <v>-0.17509690386179821</v>
      </c>
      <c r="BB113" s="162">
        <f t="shared" si="1021"/>
        <v>-0.72255501129797828</v>
      </c>
      <c r="BC113" s="162">
        <f t="shared" si="1021"/>
        <v>16.144291017571565</v>
      </c>
      <c r="BD113" s="162">
        <f t="shared" si="1021"/>
        <v>16.068294330815068</v>
      </c>
      <c r="BE113" s="162">
        <f t="shared" si="1021"/>
        <v>20.152363582399275</v>
      </c>
      <c r="BF113" s="162">
        <f t="shared" si="1021"/>
        <v>21.132540559199168</v>
      </c>
      <c r="BG113" s="162">
        <f t="shared" si="1021"/>
        <v>18.482678392482427</v>
      </c>
      <c r="BH113" s="162">
        <f t="shared" si="1021"/>
        <v>14.657590632992321</v>
      </c>
      <c r="BI113" s="162">
        <f t="shared" si="1021"/>
        <v>11.767136708657587</v>
      </c>
      <c r="BJ113" s="162">
        <f t="shared" si="1021"/>
        <v>11.744348695780584</v>
      </c>
      <c r="BK113" s="162">
        <f t="shared" si="1021"/>
        <v>14.003244262280154</v>
      </c>
      <c r="BL113" s="162">
        <f t="shared" si="1021"/>
        <v>12.395814877449849</v>
      </c>
      <c r="BM113" s="162">
        <f t="shared" si="1021"/>
        <v>11.26521653772936</v>
      </c>
      <c r="BN113" s="162">
        <f t="shared" si="1021"/>
        <v>10.960106141651432</v>
      </c>
      <c r="BO113" s="162">
        <f t="shared" si="1021"/>
        <v>9.401720732728668</v>
      </c>
      <c r="BP113" s="162">
        <f t="shared" si="1021"/>
        <v>13.866016841785838</v>
      </c>
      <c r="BQ113" s="162">
        <f t="shared" si="1021"/>
        <v>13.627949249376197</v>
      </c>
      <c r="BR113" s="162">
        <f t="shared" si="1021"/>
        <v>13.806569662612883</v>
      </c>
      <c r="BS113" s="162">
        <f t="shared" si="1021"/>
        <v>9.7838355091827278</v>
      </c>
      <c r="BT113" s="162">
        <f t="shared" si="1021"/>
        <v>10.119075546621252</v>
      </c>
      <c r="BU113" s="162">
        <f t="shared" si="1021"/>
        <v>9.3549705659053313</v>
      </c>
      <c r="BV113" s="162">
        <f t="shared" si="1021"/>
        <v>9.4274678842284434</v>
      </c>
      <c r="BW113" s="162">
        <f t="shared" si="1021"/>
        <v>8.0766784982234441</v>
      </c>
      <c r="BX113" s="162">
        <f t="shared" si="1021"/>
        <v>10.4551194510773</v>
      </c>
      <c r="BY113" s="162">
        <f t="shared" si="1021"/>
        <v>12.165785519870635</v>
      </c>
      <c r="BZ113" s="162">
        <f t="shared" si="1021"/>
        <v>12.940252236353679</v>
      </c>
      <c r="CA113" s="162">
        <f t="shared" si="1021"/>
        <v>11.932108580369349</v>
      </c>
      <c r="CB113" s="162">
        <f t="shared" si="1021"/>
        <v>12.462918329560354</v>
      </c>
      <c r="CC113" s="162">
        <f t="shared" si="1021"/>
        <v>11.724254654721829</v>
      </c>
      <c r="CD113" s="162">
        <f t="shared" si="1021"/>
        <v>13.178709683600577</v>
      </c>
      <c r="CE113" s="162">
        <f t="shared" ref="CE113:CF113" si="1022">+CE110/CE112</f>
        <v>11.635268405218019</v>
      </c>
      <c r="CF113" s="162">
        <f t="shared" si="1022"/>
        <v>12.607255277654216</v>
      </c>
      <c r="CG113" s="162">
        <f t="shared" ref="CG113:CH113" si="1023">+CG110/CG112</f>
        <v>14.652316914291468</v>
      </c>
      <c r="CH113" s="162">
        <f t="shared" si="1023"/>
        <v>15.671395330691587</v>
      </c>
      <c r="CI113" s="162">
        <f t="shared" ref="CI113:CJ113" si="1024">+CI110/CI112</f>
        <v>22.28427068856567</v>
      </c>
      <c r="CJ113" s="162">
        <f t="shared" si="1024"/>
        <v>24.525169185455347</v>
      </c>
      <c r="CK113" s="162">
        <f t="shared" ref="CK113:CL113" si="1025">+CK110/CK112</f>
        <v>26.960227196460202</v>
      </c>
      <c r="CL113" s="162">
        <f t="shared" si="1025"/>
        <v>18.352319492197836</v>
      </c>
      <c r="CM113" s="21">
        <f t="shared" ref="CM113:DB113" si="1026">+CM110/CM112</f>
        <v>17.153071316720581</v>
      </c>
      <c r="CN113" s="21">
        <f t="shared" si="1026"/>
        <v>20.82630618302904</v>
      </c>
      <c r="CO113" s="21">
        <f t="shared" si="1026"/>
        <v>24.672613215761956</v>
      </c>
      <c r="CP113" s="21">
        <f t="shared" si="1026"/>
        <v>30.431168085530405</v>
      </c>
      <c r="CQ113" s="21">
        <f t="shared" si="1026"/>
        <v>30.89937406735169</v>
      </c>
      <c r="CR113" s="21">
        <f t="shared" si="1026"/>
        <v>34.392648250506781</v>
      </c>
      <c r="CS113" s="21">
        <f t="shared" si="1026"/>
        <v>36.889067000054069</v>
      </c>
      <c r="CT113" s="21">
        <f t="shared" si="1026"/>
        <v>39.686919904170843</v>
      </c>
      <c r="CU113" s="21">
        <f t="shared" si="1026"/>
        <v>38.922103437340702</v>
      </c>
      <c r="CV113" s="21">
        <f t="shared" si="1026"/>
        <v>41.203964446720896</v>
      </c>
      <c r="CW113" s="21">
        <f t="shared" si="1026"/>
        <v>42.599990880622485</v>
      </c>
      <c r="CX113" s="21">
        <f t="shared" si="1026"/>
        <v>44.341983809089228</v>
      </c>
      <c r="CY113" s="21">
        <f t="shared" si="1026"/>
        <v>42.908277790026531</v>
      </c>
      <c r="CZ113" s="21">
        <f t="shared" si="1026"/>
        <v>44.546187053455562</v>
      </c>
      <c r="DA113" s="21">
        <f t="shared" si="1026"/>
        <v>45.374106056626566</v>
      </c>
      <c r="DB113" s="21">
        <f t="shared" si="1026"/>
        <v>46.58360259144964</v>
      </c>
      <c r="DE113" s="22"/>
      <c r="DF113" s="162">
        <v>21.47599564688614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>
        <f t="shared" si="1034"/>
        <v>-8.5389014783640835</v>
      </c>
      <c r="AY114" s="162">
        <f t="shared" si="1034"/>
        <v>-3.6015308086639473</v>
      </c>
      <c r="AZ114" s="162">
        <f t="shared" si="1034"/>
        <v>0</v>
      </c>
      <c r="BA114" s="162">
        <f t="shared" si="1034"/>
        <v>-0.17509690386179821</v>
      </c>
      <c r="BB114" s="162">
        <f t="shared" si="1034"/>
        <v>-0.72255501129797828</v>
      </c>
      <c r="BC114" s="162">
        <f t="shared" si="1034"/>
        <v>-0.82088246312128166</v>
      </c>
      <c r="BD114" s="162">
        <f t="shared" si="1034"/>
        <v>11.140132178613111</v>
      </c>
      <c r="BE114" s="162">
        <f t="shared" si="1034"/>
        <v>11.847256141195039</v>
      </c>
      <c r="BF114" s="162">
        <f t="shared" si="1034"/>
        <v>14.886858326347449</v>
      </c>
      <c r="BG114" s="162">
        <f t="shared" si="1034"/>
        <v>13.445619307863231</v>
      </c>
      <c r="BH114" s="162">
        <f t="shared" si="1034"/>
        <v>11.343529571611249</v>
      </c>
      <c r="BI114" s="162">
        <f t="shared" si="1034"/>
        <v>9.0957559648045816</v>
      </c>
      <c r="BJ114" s="162">
        <f t="shared" si="1034"/>
        <v>8.8053517297856043</v>
      </c>
      <c r="BK114" s="162">
        <f t="shared" si="1034"/>
        <v>9.4071572317892329</v>
      </c>
      <c r="BL114" s="162">
        <f t="shared" si="1034"/>
        <v>9.780780012046522</v>
      </c>
      <c r="BM114" s="162">
        <f t="shared" si="1034"/>
        <v>9.0464829114366978</v>
      </c>
      <c r="BN114" s="162">
        <f t="shared" si="1034"/>
        <v>4.2290844889640979</v>
      </c>
      <c r="BO114" s="162">
        <f t="shared" si="1034"/>
        <v>6.7417015418329358</v>
      </c>
      <c r="BP114" s="162">
        <f t="shared" si="1034"/>
        <v>9.5864912946174581</v>
      </c>
      <c r="BQ114" s="162">
        <f t="shared" si="1034"/>
        <v>11.868602858531128</v>
      </c>
      <c r="BR114" s="162">
        <f t="shared" si="1034"/>
        <v>10.629820955546821</v>
      </c>
      <c r="BS114" s="162">
        <f t="shared" si="1034"/>
        <v>7.9263154791014516</v>
      </c>
      <c r="BT114" s="162">
        <f t="shared" si="1034"/>
        <v>7.9433270617127487</v>
      </c>
      <c r="BU114" s="162">
        <f t="shared" si="1034"/>
        <v>7.5600876520287263</v>
      </c>
      <c r="BV114" s="162">
        <f t="shared" si="1034"/>
        <v>6.7124725274725234</v>
      </c>
      <c r="BW114" s="162">
        <f t="shared" si="1034"/>
        <v>6.1563972956384472</v>
      </c>
      <c r="BX114" s="162">
        <f t="shared" si="1034"/>
        <v>8.2193870707568308</v>
      </c>
      <c r="BY114" s="162">
        <f t="shared" si="1034"/>
        <v>9.0560002693716601</v>
      </c>
      <c r="BZ114" s="162">
        <f t="shared" si="1034"/>
        <v>10.813945936312821</v>
      </c>
      <c r="CA114" s="162">
        <f t="shared" si="1034"/>
        <v>9.7932838004110607</v>
      </c>
      <c r="CB114" s="162">
        <f t="shared" si="1034"/>
        <v>10.492701617345507</v>
      </c>
      <c r="CC114" s="162">
        <f t="shared" si="1034"/>
        <v>9.9635363653659823</v>
      </c>
      <c r="CD114" s="162">
        <f t="shared" si="1034"/>
        <v>9.9587163135788082</v>
      </c>
      <c r="CE114" s="162">
        <f t="shared" ref="CE114:CF114" si="1035">+CE111/CE112</f>
        <v>9.4998855331471947</v>
      </c>
      <c r="CF114" s="162">
        <f t="shared" si="1035"/>
        <v>10.954205443596669</v>
      </c>
      <c r="CG114" s="162">
        <f t="shared" ref="CG114:CH114" si="1036">+CG111/CG112</f>
        <v>11.313009081412908</v>
      </c>
      <c r="CH114" s="162">
        <f t="shared" si="1036"/>
        <v>13.766921422082513</v>
      </c>
      <c r="CI114" s="162">
        <f t="shared" ref="CI114:CJ114" si="1037">+CI111/CI112</f>
        <v>17.74073138730591</v>
      </c>
      <c r="CJ114" s="162">
        <f t="shared" si="1037"/>
        <v>18.523059854833651</v>
      </c>
      <c r="CK114" s="162">
        <f t="shared" ref="CK114:CL114" si="1038">+CK111/CK112</f>
        <v>19.685711809988408</v>
      </c>
      <c r="CL114" s="162">
        <f t="shared" si="1038"/>
        <v>11.417852737371071</v>
      </c>
      <c r="CM114" s="21">
        <f t="shared" ref="CM114:DB114" si="1039">+CM111/CM112</f>
        <v>10.063082530958203</v>
      </c>
      <c r="CN114" s="21">
        <f t="shared" si="1039"/>
        <v>12.652466718137546</v>
      </c>
      <c r="CO114" s="21">
        <f t="shared" si="1039"/>
        <v>15.199033309256556</v>
      </c>
      <c r="CP114" s="21">
        <f t="shared" si="1039"/>
        <v>19.180216392516758</v>
      </c>
      <c r="CQ114" s="21">
        <f t="shared" si="1039"/>
        <v>18.821942906804924</v>
      </c>
      <c r="CR114" s="21">
        <f t="shared" si="1039"/>
        <v>21.331298714849588</v>
      </c>
      <c r="CS114" s="21">
        <f t="shared" si="1039"/>
        <v>23.035512134256599</v>
      </c>
      <c r="CT114" s="21">
        <f t="shared" si="1039"/>
        <v>25.127206243734399</v>
      </c>
      <c r="CU114" s="21">
        <f t="shared" si="1039"/>
        <v>23.982767250128664</v>
      </c>
      <c r="CV114" s="21">
        <f t="shared" si="1039"/>
        <v>25.730230023869122</v>
      </c>
      <c r="CW114" s="21">
        <f t="shared" si="1039"/>
        <v>26.735619631687175</v>
      </c>
      <c r="CX114" s="21">
        <f t="shared" si="1039"/>
        <v>28.152122315821977</v>
      </c>
      <c r="CY114" s="21">
        <f t="shared" si="1039"/>
        <v>26.583244255874316</v>
      </c>
      <c r="CZ114" s="21">
        <f t="shared" si="1039"/>
        <v>27.921519630000912</v>
      </c>
      <c r="DA114" s="21">
        <f t="shared" si="1039"/>
        <v>28.563815491690708</v>
      </c>
      <c r="DB114" s="21">
        <f t="shared" si="1039"/>
        <v>29.638127565165338</v>
      </c>
      <c r="DE114" s="22"/>
      <c r="DF114" s="162">
        <v>13.847953761182643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0.8</v>
      </c>
      <c r="N117" s="23">
        <f>'Annual Raw'!O41</f>
        <v>0.8</v>
      </c>
      <c r="O117" s="23">
        <f>'Annual Raw'!P41</f>
        <v>0.8</v>
      </c>
      <c r="P117" s="23">
        <f>'Annual Raw'!Q41</f>
        <v>0.8</v>
      </c>
      <c r="Q117" s="23">
        <f>'Annual Raw'!R41</f>
        <v>3.2</v>
      </c>
      <c r="R117" s="23">
        <f>'Annual Raw'!S41</f>
        <v>28.8</v>
      </c>
      <c r="S117" s="23">
        <f>'Annual Raw'!T41</f>
        <v>36</v>
      </c>
      <c r="T117" s="23">
        <f>'Annual Raw'!U41</f>
        <v>36</v>
      </c>
      <c r="U117" s="23">
        <f>'Annual Raw'!V41</f>
        <v>36</v>
      </c>
      <c r="V117" s="23">
        <f>'Annual Raw'!W41</f>
        <v>36</v>
      </c>
      <c r="W117" s="23">
        <f>'Annual Raw'!X41</f>
        <v>36</v>
      </c>
      <c r="X117" s="23">
        <f>'Annual Raw'!Y41</f>
        <v>36</v>
      </c>
      <c r="Y117" s="23">
        <f>'Annual Raw'!Z41</f>
        <v>36</v>
      </c>
      <c r="Z117" s="23">
        <f>'Annual Raw'!AA41</f>
        <v>39.641800000000003</v>
      </c>
      <c r="AA117" s="23">
        <f>'Annual Raw'!AB41</f>
        <v>39.641800000000003</v>
      </c>
      <c r="AB117" s="24">
        <f>+CP117</f>
        <v>39.642000000000003</v>
      </c>
      <c r="AC117" s="24">
        <f>+CT117</f>
        <v>39.642000000000003</v>
      </c>
      <c r="AD117" s="24">
        <f>+CX117</f>
        <v>39.642000000000003</v>
      </c>
      <c r="AE117" s="24">
        <f>+DB117</f>
        <v>39.642000000000003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3.2</v>
      </c>
      <c r="AY117" s="23">
        <f t="shared" si="1040"/>
        <v>3.2</v>
      </c>
      <c r="AZ117" s="23">
        <f>+'QTR Raw'!T56</f>
        <v>0</v>
      </c>
      <c r="BA117" s="23">
        <f t="shared" si="1040"/>
        <v>0</v>
      </c>
      <c r="BB117" s="23">
        <f>+'QTR Raw'!V56</f>
        <v>28.8</v>
      </c>
      <c r="BC117" s="23">
        <f t="shared" si="1040"/>
        <v>28.8</v>
      </c>
      <c r="BD117" s="23">
        <f>+'QTR Raw'!X56</f>
        <v>36</v>
      </c>
      <c r="BE117" s="23">
        <f t="shared" si="1040"/>
        <v>36</v>
      </c>
      <c r="BF117" s="23">
        <f>+'QTR Raw'!Z56</f>
        <v>36</v>
      </c>
      <c r="BG117" s="23">
        <f t="shared" si="1040"/>
        <v>36</v>
      </c>
      <c r="BH117" s="23">
        <f>+'QTR Raw'!AB56</f>
        <v>36</v>
      </c>
      <c r="BI117" s="23">
        <f t="shared" si="1040"/>
        <v>36</v>
      </c>
      <c r="BJ117" s="23">
        <f>+'QTR Raw'!AD56</f>
        <v>36</v>
      </c>
      <c r="BK117" s="23">
        <f t="shared" si="1040"/>
        <v>36</v>
      </c>
      <c r="BL117" s="23">
        <f>+'QTR Raw'!AF56</f>
        <v>36</v>
      </c>
      <c r="BM117" s="23">
        <f t="shared" si="1040"/>
        <v>36</v>
      </c>
      <c r="BN117" s="23">
        <f>+'QTR Raw'!AH56</f>
        <v>36</v>
      </c>
      <c r="BO117" s="23">
        <f t="shared" si="1040"/>
        <v>36</v>
      </c>
      <c r="BP117" s="23">
        <f>+'QTR Raw'!AJ56</f>
        <v>36</v>
      </c>
      <c r="BQ117" s="23">
        <f t="shared" si="1040"/>
        <v>36</v>
      </c>
      <c r="BR117" s="23">
        <f>+'QTR Raw'!AL56</f>
        <v>36</v>
      </c>
      <c r="BS117" s="23">
        <f t="shared" si="1040"/>
        <v>36</v>
      </c>
      <c r="BT117" s="23">
        <f>+'QTR Raw'!AN56</f>
        <v>36</v>
      </c>
      <c r="BU117" s="23">
        <f t="shared" si="1040"/>
        <v>36</v>
      </c>
      <c r="BV117" s="23">
        <f>+'QTR Raw'!AP56</f>
        <v>36</v>
      </c>
      <c r="BW117" s="23">
        <f t="shared" si="1040"/>
        <v>36</v>
      </c>
      <c r="BX117" s="23">
        <f>+'QTR Raw'!AR56</f>
        <v>36</v>
      </c>
      <c r="BY117" s="23">
        <f t="shared" si="1040"/>
        <v>36</v>
      </c>
      <c r="BZ117" s="23">
        <f>+'QTR Raw'!AT56</f>
        <v>36</v>
      </c>
      <c r="CA117" s="23">
        <f t="shared" si="1040"/>
        <v>36</v>
      </c>
      <c r="CB117" s="23">
        <f>+'QTR Raw'!AV56</f>
        <v>36</v>
      </c>
      <c r="CC117" s="23">
        <f t="shared" si="1040"/>
        <v>36</v>
      </c>
      <c r="CD117" s="23">
        <f>+'QTR Raw'!AX56</f>
        <v>36</v>
      </c>
      <c r="CE117" s="23">
        <f t="shared" si="1040"/>
        <v>36</v>
      </c>
      <c r="CF117" s="23">
        <f>+'QTR Raw'!AZ56</f>
        <v>39.642000000000003</v>
      </c>
      <c r="CG117" s="23">
        <f t="shared" ref="CG117:CG118" si="1041">+CF117</f>
        <v>39.642000000000003</v>
      </c>
      <c r="CH117" s="23">
        <f>Z117</f>
        <v>39.641800000000003</v>
      </c>
      <c r="CI117" s="23">
        <f>CH117</f>
        <v>39.641800000000003</v>
      </c>
      <c r="CJ117" s="23">
        <f>+'QTR Raw'!BD56</f>
        <v>39.642000000000003</v>
      </c>
      <c r="CK117" s="24">
        <f t="shared" ref="CK117:DB117" si="1042">CJ117</f>
        <v>39.642000000000003</v>
      </c>
      <c r="CL117" s="23">
        <f>+'QTR Raw'!BF56</f>
        <v>39.642000000000003</v>
      </c>
      <c r="CM117" s="24">
        <f t="shared" si="1042"/>
        <v>39.642000000000003</v>
      </c>
      <c r="CN117" s="24">
        <f t="shared" si="1042"/>
        <v>39.642000000000003</v>
      </c>
      <c r="CO117" s="24">
        <f t="shared" si="1042"/>
        <v>39.642000000000003</v>
      </c>
      <c r="CP117" s="24">
        <f t="shared" si="1042"/>
        <v>39.642000000000003</v>
      </c>
      <c r="CQ117" s="24">
        <f t="shared" si="1042"/>
        <v>39.642000000000003</v>
      </c>
      <c r="CR117" s="24">
        <f t="shared" si="1042"/>
        <v>39.642000000000003</v>
      </c>
      <c r="CS117" s="24">
        <f t="shared" si="1042"/>
        <v>39.642000000000003</v>
      </c>
      <c r="CT117" s="24">
        <f t="shared" si="1042"/>
        <v>39.642000000000003</v>
      </c>
      <c r="CU117" s="24">
        <f t="shared" si="1042"/>
        <v>39.642000000000003</v>
      </c>
      <c r="CV117" s="24">
        <f t="shared" si="1042"/>
        <v>39.642000000000003</v>
      </c>
      <c r="CW117" s="24">
        <f t="shared" si="1042"/>
        <v>39.642000000000003</v>
      </c>
      <c r="CX117" s="24">
        <f t="shared" si="1042"/>
        <v>39.642000000000003</v>
      </c>
      <c r="CY117" s="24">
        <f t="shared" si="1042"/>
        <v>39.642000000000003</v>
      </c>
      <c r="CZ117" s="24">
        <f t="shared" si="1042"/>
        <v>39.642000000000003</v>
      </c>
      <c r="DA117" s="24">
        <f t="shared" si="1042"/>
        <v>39.642000000000003</v>
      </c>
      <c r="DB117" s="24">
        <f t="shared" si="1042"/>
        <v>39.642000000000003</v>
      </c>
      <c r="DE117" s="123"/>
      <c r="DF117" s="23">
        <v>39.642000000000003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14.481</v>
      </c>
      <c r="N119" s="23">
        <f>'Annual Raw'!O43</f>
        <v>25.795000000000002</v>
      </c>
      <c r="O119" s="23">
        <f>'Annual Raw'!P43</f>
        <v>33.993000000000002</v>
      </c>
      <c r="P119" s="23">
        <f>'Annual Raw'!Q43</f>
        <v>46.122</v>
      </c>
      <c r="Q119" s="23">
        <f>'Annual Raw'!R43</f>
        <v>60.807600000000001</v>
      </c>
      <c r="R119" s="23">
        <f>'Annual Raw'!S43</f>
        <v>75.866399999999999</v>
      </c>
      <c r="S119" s="23">
        <f>'Annual Raw'!T43</f>
        <v>265.41230000000002</v>
      </c>
      <c r="T119" s="23">
        <f>'Annual Raw'!U43</f>
        <v>333.30709999999999</v>
      </c>
      <c r="U119" s="23">
        <f>'Annual Raw'!V43</f>
        <v>418.1816</v>
      </c>
      <c r="V119" s="23">
        <f>'Annual Raw'!W43</f>
        <v>499.89949999999999</v>
      </c>
      <c r="W119" s="23">
        <f>'Annual Raw'!X43</f>
        <v>650.95929999999998</v>
      </c>
      <c r="X119" s="23">
        <f>'Annual Raw'!Y43</f>
        <v>764.99249999999995</v>
      </c>
      <c r="Y119" s="23">
        <f>'Annual Raw'!Z43</f>
        <v>878.86990000000003</v>
      </c>
      <c r="Z119" s="23">
        <f>'Annual Raw'!AA43</f>
        <v>1169.2985000000001</v>
      </c>
      <c r="AA119" s="23">
        <f>'Annual Raw'!AB43</f>
        <v>1224.3100999999999</v>
      </c>
      <c r="AB119" s="24">
        <f t="shared" si="1043"/>
        <v>1348.1520161287156</v>
      </c>
      <c r="AC119" s="24">
        <f t="shared" si="1044"/>
        <v>1567.8370337955648</v>
      </c>
      <c r="AD119" s="24">
        <f t="shared" si="1045"/>
        <v>1903.0343518692325</v>
      </c>
      <c r="AE119" s="24">
        <f t="shared" si="1046"/>
        <v>2384.6404616718241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60.808</v>
      </c>
      <c r="AY119" s="23">
        <f>+AX119+AY48</f>
        <v>68.307000000000002</v>
      </c>
      <c r="AZ119" s="23">
        <f>+'QTR Raw'!T58</f>
        <v>0</v>
      </c>
      <c r="BA119" s="23">
        <f>+AZ119+BA48</f>
        <v>7.3179999999999961</v>
      </c>
      <c r="BB119" s="23">
        <f>+'QTR Raw'!V58</f>
        <v>75.866</v>
      </c>
      <c r="BC119" s="23">
        <f>+BB119+BC48</f>
        <v>89.427999999999983</v>
      </c>
      <c r="BD119" s="23">
        <f>+'QTR Raw'!X58</f>
        <v>228.11699999999999</v>
      </c>
      <c r="BE119" s="23">
        <f>+BD119+BE48</f>
        <v>243.29400000000001</v>
      </c>
      <c r="BF119" s="23">
        <f>+'QTR Raw'!Z58</f>
        <v>265.41199999999998</v>
      </c>
      <c r="BG119" s="23">
        <f>+BF119+BG48</f>
        <v>286.47899999999998</v>
      </c>
      <c r="BH119" s="23">
        <f>+'QTR Raw'!AB58</f>
        <v>283.85300000000001</v>
      </c>
      <c r="BI119" s="23">
        <f>+BH119+BI48</f>
        <v>304.99199999999996</v>
      </c>
      <c r="BJ119" s="23">
        <f>+'QTR Raw'!AD58</f>
        <v>333.30700000000002</v>
      </c>
      <c r="BK119" s="23">
        <f>+BJ119+BK48</f>
        <v>358.63599999999997</v>
      </c>
      <c r="BL119" s="23">
        <f>+'QTR Raw'!AF58</f>
        <v>369.43299999999999</v>
      </c>
      <c r="BM119" s="23">
        <f>+BL119+BM48</f>
        <v>405.95599999999996</v>
      </c>
      <c r="BN119" s="23">
        <f>+'QTR Raw'!AH58</f>
        <v>418.18200000000002</v>
      </c>
      <c r="BO119" s="23">
        <f>+BN119+BO48</f>
        <v>414.73900000000003</v>
      </c>
      <c r="BP119" s="23">
        <f>+'QTR Raw'!AJ58</f>
        <v>428.767</v>
      </c>
      <c r="BQ119" s="23">
        <f>+BP119+BQ48</f>
        <v>457.93199999999996</v>
      </c>
      <c r="BR119" s="23">
        <f>+'QTR Raw'!AL58</f>
        <v>499.9</v>
      </c>
      <c r="BS119" s="23">
        <f>+BR119+BS48</f>
        <v>524.80899999999997</v>
      </c>
      <c r="BT119" s="23">
        <f>+'QTR Raw'!AN58</f>
        <v>546.827</v>
      </c>
      <c r="BU119" s="23">
        <f>+BT119+BU48</f>
        <v>596.95900000000006</v>
      </c>
      <c r="BV119" s="23">
        <f>+'QTR Raw'!AP58</f>
        <v>650.95899999999995</v>
      </c>
      <c r="BW119" s="23">
        <f>+BV119+BW48</f>
        <v>679.99599999999987</v>
      </c>
      <c r="BX119" s="23">
        <f>+'QTR Raw'!AR58</f>
        <v>683.58900000000006</v>
      </c>
      <c r="BY119" s="23">
        <f>+BX119+BY48</f>
        <v>718.94900000000007</v>
      </c>
      <c r="BZ119" s="23">
        <f>+'QTR Raw'!AT58</f>
        <v>764.99199999999996</v>
      </c>
      <c r="CA119" s="23">
        <f>+BZ119+CA48</f>
        <v>802.83899999999994</v>
      </c>
      <c r="CB119" s="23">
        <f>+'QTR Raw'!AV58</f>
        <v>832.40599999999995</v>
      </c>
      <c r="CC119" s="23">
        <f>+CB119+CC48</f>
        <v>863.49099999999987</v>
      </c>
      <c r="CD119" s="23">
        <f>+'QTR Raw'!AX58</f>
        <v>878.87</v>
      </c>
      <c r="CE119" s="23">
        <f>+CD119+CE48</f>
        <v>913.55399999999997</v>
      </c>
      <c r="CF119" s="23">
        <f>+'QTR Raw'!AZ58</f>
        <v>1157.9580000000001</v>
      </c>
      <c r="CG119" s="23">
        <f>+CF119+CG48</f>
        <v>1163.0120000000002</v>
      </c>
      <c r="CH119" s="23">
        <f t="shared" si="1048"/>
        <v>1169.2985000000001</v>
      </c>
      <c r="CI119" s="23">
        <f>CH119+CI48</f>
        <v>1169.7204999999999</v>
      </c>
      <c r="CJ119" s="23">
        <f>+'QTR Raw'!BD58</f>
        <v>1185.7750000000001</v>
      </c>
      <c r="CK119" s="24">
        <f t="shared" ref="CK119:DB119" si="1050">CJ119+CK48</f>
        <v>1203.6090000000002</v>
      </c>
      <c r="CL119" s="23">
        <f>+'QTR Raw'!BF58</f>
        <v>1224.31</v>
      </c>
      <c r="CM119" s="24">
        <f t="shared" si="1050"/>
        <v>1230.1221645938242</v>
      </c>
      <c r="CN119" s="24">
        <f t="shared" si="1050"/>
        <v>1258.9464823867504</v>
      </c>
      <c r="CO119" s="24">
        <f t="shared" si="1050"/>
        <v>1294.0927893327021</v>
      </c>
      <c r="CP119" s="24">
        <f t="shared" si="1050"/>
        <v>1348.1520161287156</v>
      </c>
      <c r="CQ119" s="24">
        <f t="shared" si="1050"/>
        <v>1370.2771456704043</v>
      </c>
      <c r="CR119" s="24">
        <f t="shared" si="1050"/>
        <v>1421.3824733843105</v>
      </c>
      <c r="CS119" s="24">
        <f t="shared" si="1050"/>
        <v>1481.2132674151708</v>
      </c>
      <c r="CT119" s="24">
        <f t="shared" si="1050"/>
        <v>1567.8370337955648</v>
      </c>
      <c r="CU119" s="24">
        <f t="shared" si="1050"/>
        <v>1607.8832385489914</v>
      </c>
      <c r="CV119" s="24">
        <f t="shared" si="1050"/>
        <v>1686.4754894741018</v>
      </c>
      <c r="CW119" s="24">
        <f t="shared" si="1050"/>
        <v>1776.6381391226496</v>
      </c>
      <c r="CX119" s="24">
        <f t="shared" si="1050"/>
        <v>1903.0343518692325</v>
      </c>
      <c r="CY119" s="24">
        <f t="shared" si="1050"/>
        <v>1964.3287210307792</v>
      </c>
      <c r="CZ119" s="24">
        <f t="shared" si="1050"/>
        <v>2077.8058746234615</v>
      </c>
      <c r="DA119" s="24">
        <f t="shared" si="1050"/>
        <v>2206.6481185212565</v>
      </c>
      <c r="DB119" s="24">
        <f t="shared" si="1050"/>
        <v>2384.6404616718241</v>
      </c>
      <c r="DE119" s="123"/>
      <c r="DF119" s="23">
        <v>1209.6833004686425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0</v>
      </c>
      <c r="K120" s="22">
        <f t="shared" si="1051"/>
        <v>0</v>
      </c>
      <c r="L120" s="22">
        <f t="shared" si="1051"/>
        <v>0</v>
      </c>
      <c r="M120" s="22">
        <f>M117+M118+M119</f>
        <v>15.281000000000001</v>
      </c>
      <c r="N120" s="22">
        <f t="shared" si="1051"/>
        <v>26.595000000000002</v>
      </c>
      <c r="O120" s="22">
        <f t="shared" si="1051"/>
        <v>34.792999999999999</v>
      </c>
      <c r="P120" s="22">
        <f t="shared" si="1051"/>
        <v>46.921999999999997</v>
      </c>
      <c r="Q120" s="22">
        <f t="shared" si="1051"/>
        <v>64.007599999999996</v>
      </c>
      <c r="R120" s="22">
        <f t="shared" si="1051"/>
        <v>104.6664</v>
      </c>
      <c r="S120" s="22">
        <f t="shared" si="1051"/>
        <v>301.41230000000002</v>
      </c>
      <c r="T120" s="22">
        <f t="shared" si="1051"/>
        <v>369.30709999999999</v>
      </c>
      <c r="U120" s="22">
        <f t="shared" si="1051"/>
        <v>454.1816</v>
      </c>
      <c r="V120" s="22">
        <f t="shared" si="1051"/>
        <v>535.89949999999999</v>
      </c>
      <c r="W120" s="22">
        <f t="shared" ref="W120" si="1052">W117+W118+W119</f>
        <v>686.95929999999998</v>
      </c>
      <c r="X120" s="22">
        <f t="shared" ref="X120:Y120" si="1053">X117+X118+X119</f>
        <v>800.99249999999995</v>
      </c>
      <c r="Y120" s="22">
        <f t="shared" si="1053"/>
        <v>914.86990000000003</v>
      </c>
      <c r="Z120" s="22">
        <f t="shared" ref="Z120:AA120" si="1054">Z117+Z118+Z119</f>
        <v>1208.9403000000002</v>
      </c>
      <c r="AA120" s="22">
        <f t="shared" si="1054"/>
        <v>1263.9519</v>
      </c>
      <c r="AB120" s="21">
        <f t="shared" ref="AA120:AD120" si="1055">AB117+AB118+AB119</f>
        <v>1387.7940161287156</v>
      </c>
      <c r="AC120" s="21">
        <f t="shared" si="1055"/>
        <v>1607.4790337955649</v>
      </c>
      <c r="AD120" s="21">
        <f t="shared" si="1055"/>
        <v>1942.6763518692326</v>
      </c>
      <c r="AE120" s="21">
        <f t="shared" ref="AE120" si="1056">AE117+AE118+AE119</f>
        <v>2424.282461671824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64.007999999999996</v>
      </c>
      <c r="AY120" s="22">
        <f t="shared" si="1061"/>
        <v>71.507000000000005</v>
      </c>
      <c r="AZ120" s="22">
        <f t="shared" si="1061"/>
        <v>0</v>
      </c>
      <c r="BA120" s="22">
        <f t="shared" si="1061"/>
        <v>7.3179999999999961</v>
      </c>
      <c r="BB120" s="22">
        <f t="shared" si="1061"/>
        <v>104.666</v>
      </c>
      <c r="BC120" s="22">
        <f t="shared" si="1061"/>
        <v>118.22799999999998</v>
      </c>
      <c r="BD120" s="22">
        <f t="shared" si="1061"/>
        <v>264.11699999999996</v>
      </c>
      <c r="BE120" s="22">
        <f t="shared" si="1061"/>
        <v>279.29399999999998</v>
      </c>
      <c r="BF120" s="22">
        <f t="shared" si="1061"/>
        <v>301.41199999999998</v>
      </c>
      <c r="BG120" s="22">
        <f t="shared" si="1061"/>
        <v>322.47899999999998</v>
      </c>
      <c r="BH120" s="22">
        <f t="shared" si="1061"/>
        <v>319.85300000000001</v>
      </c>
      <c r="BI120" s="22">
        <f t="shared" si="1061"/>
        <v>340.99199999999996</v>
      </c>
      <c r="BJ120" s="22">
        <f t="shared" si="1061"/>
        <v>369.30700000000002</v>
      </c>
      <c r="BK120" s="22">
        <f t="shared" si="1061"/>
        <v>394.63599999999997</v>
      </c>
      <c r="BL120" s="22">
        <f t="shared" si="1061"/>
        <v>405.43299999999999</v>
      </c>
      <c r="BM120" s="22">
        <f t="shared" si="1061"/>
        <v>441.95599999999996</v>
      </c>
      <c r="BN120" s="22">
        <f t="shared" si="1061"/>
        <v>454.18200000000002</v>
      </c>
      <c r="BO120" s="22">
        <f t="shared" si="1061"/>
        <v>450.73900000000003</v>
      </c>
      <c r="BP120" s="22">
        <f t="shared" si="1061"/>
        <v>464.767</v>
      </c>
      <c r="BQ120" s="22">
        <f t="shared" si="1061"/>
        <v>493.93199999999996</v>
      </c>
      <c r="BR120" s="22">
        <f t="shared" si="1061"/>
        <v>535.9</v>
      </c>
      <c r="BS120" s="22">
        <f t="shared" si="1061"/>
        <v>560.80899999999997</v>
      </c>
      <c r="BT120" s="22">
        <f t="shared" si="1061"/>
        <v>582.827</v>
      </c>
      <c r="BU120" s="22">
        <f t="shared" si="1061"/>
        <v>632.95900000000006</v>
      </c>
      <c r="BV120" s="22">
        <f t="shared" si="1061"/>
        <v>686.95899999999995</v>
      </c>
      <c r="BW120" s="22">
        <f t="shared" si="1061"/>
        <v>715.99599999999987</v>
      </c>
      <c r="BX120" s="22">
        <f t="shared" si="1061"/>
        <v>719.58900000000006</v>
      </c>
      <c r="BY120" s="22">
        <f t="shared" si="1061"/>
        <v>754.94900000000007</v>
      </c>
      <c r="BZ120" s="22">
        <f t="shared" si="1061"/>
        <v>800.99199999999996</v>
      </c>
      <c r="CA120" s="22">
        <f t="shared" si="1061"/>
        <v>838.83899999999994</v>
      </c>
      <c r="CB120" s="22">
        <f t="shared" si="1061"/>
        <v>868.40599999999995</v>
      </c>
      <c r="CC120" s="22">
        <f t="shared" si="1061"/>
        <v>899.49099999999987</v>
      </c>
      <c r="CD120" s="22">
        <f t="shared" si="1061"/>
        <v>914.87</v>
      </c>
      <c r="CE120" s="22">
        <f t="shared" si="1061"/>
        <v>949.55399999999997</v>
      </c>
      <c r="CF120" s="22">
        <f t="shared" ref="CF120:CG120" si="1062">CF117+CF118+CF119</f>
        <v>1197.6000000000001</v>
      </c>
      <c r="CG120" s="22">
        <f t="shared" si="1062"/>
        <v>1202.6540000000002</v>
      </c>
      <c r="CH120" s="22">
        <f t="shared" ref="CH120:CI120" si="1063">CH117+CH118+CH119</f>
        <v>1208.9403000000002</v>
      </c>
      <c r="CI120" s="22">
        <f t="shared" si="1063"/>
        <v>1209.3623</v>
      </c>
      <c r="CJ120" s="22">
        <f t="shared" ref="CJ120:DB120" si="1064">CJ117+CJ118+CJ119</f>
        <v>1225.4170000000001</v>
      </c>
      <c r="CK120" s="21">
        <f t="shared" si="1064"/>
        <v>1243.2510000000002</v>
      </c>
      <c r="CL120" s="22">
        <f t="shared" ref="CL120" si="1065">CL117+CL118+CL119</f>
        <v>1263.952</v>
      </c>
      <c r="CM120" s="21">
        <f t="shared" si="1064"/>
        <v>1269.7641645938243</v>
      </c>
      <c r="CN120" s="21">
        <f t="shared" si="1064"/>
        <v>1298.5884823867505</v>
      </c>
      <c r="CO120" s="21">
        <f t="shared" si="1064"/>
        <v>1333.7347893327021</v>
      </c>
      <c r="CP120" s="21">
        <f t="shared" si="1064"/>
        <v>1387.7940161287156</v>
      </c>
      <c r="CQ120" s="21">
        <f t="shared" si="1064"/>
        <v>1409.9191456704043</v>
      </c>
      <c r="CR120" s="21">
        <f t="shared" si="1064"/>
        <v>1461.0244733843106</v>
      </c>
      <c r="CS120" s="21">
        <f t="shared" si="1064"/>
        <v>1520.8552674151708</v>
      </c>
      <c r="CT120" s="21">
        <f t="shared" si="1064"/>
        <v>1607.4790337955649</v>
      </c>
      <c r="CU120" s="21">
        <f t="shared" si="1064"/>
        <v>1647.5252385489914</v>
      </c>
      <c r="CV120" s="21">
        <f t="shared" si="1064"/>
        <v>1726.1174894741018</v>
      </c>
      <c r="CW120" s="21">
        <f t="shared" si="1064"/>
        <v>1816.2801391226496</v>
      </c>
      <c r="CX120" s="21">
        <f t="shared" si="1064"/>
        <v>1942.6763518692326</v>
      </c>
      <c r="CY120" s="21">
        <f t="shared" si="1064"/>
        <v>2003.9707210307793</v>
      </c>
      <c r="CZ120" s="21">
        <f t="shared" si="1064"/>
        <v>2117.4478746234613</v>
      </c>
      <c r="DA120" s="21">
        <f t="shared" si="1064"/>
        <v>2246.2901185212563</v>
      </c>
      <c r="DB120" s="21">
        <f t="shared" si="1064"/>
        <v>2424.282461671824</v>
      </c>
      <c r="DE120" s="126"/>
      <c r="DF120" s="22">
        <v>1249.3253004686426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0.4924</v>
      </c>
      <c r="R122" s="23">
        <f>'Annual Raw'!S45</f>
        <v>0.6008</v>
      </c>
      <c r="S122" s="23">
        <f>'Annual Raw'!T45</f>
        <v>1.0755999999999999</v>
      </c>
      <c r="T122" s="23">
        <f>'Annual Raw'!U45</f>
        <v>0.85370000000000001</v>
      </c>
      <c r="U122" s="23">
        <f>'Annual Raw'!V45</f>
        <v>0.68679999999999997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0.49199999999999999</v>
      </c>
      <c r="AY122" s="23">
        <f t="shared" si="1066"/>
        <v>0.49199999999999999</v>
      </c>
      <c r="AZ122" s="23">
        <f>+'QTR Raw'!T60</f>
        <v>0</v>
      </c>
      <c r="BA122" s="23">
        <f t="shared" si="1066"/>
        <v>0</v>
      </c>
      <c r="BB122" s="23">
        <f>+'QTR Raw'!V60</f>
        <v>0.60099999999999998</v>
      </c>
      <c r="BC122" s="23">
        <f t="shared" si="1066"/>
        <v>0.60099999999999998</v>
      </c>
      <c r="BD122" s="23">
        <f>+'QTR Raw'!X60</f>
        <v>0</v>
      </c>
      <c r="BE122" s="23">
        <f t="shared" si="1066"/>
        <v>0</v>
      </c>
      <c r="BF122" s="23">
        <f>+'QTR Raw'!Z60</f>
        <v>1.0760000000000001</v>
      </c>
      <c r="BG122" s="23">
        <f t="shared" si="1066"/>
        <v>1.0760000000000001</v>
      </c>
      <c r="BH122" s="22">
        <f>+'QTR Raw'!AB60</f>
        <v>0</v>
      </c>
      <c r="BI122" s="23">
        <f t="shared" si="1066"/>
        <v>0</v>
      </c>
      <c r="BJ122" s="23">
        <f>+'QTR Raw'!AD60</f>
        <v>0.85399999999999998</v>
      </c>
      <c r="BK122" s="23">
        <f t="shared" si="1066"/>
        <v>0.85399999999999998</v>
      </c>
      <c r="BL122" s="23">
        <f>+'QTR Raw'!AF60</f>
        <v>0.745</v>
      </c>
      <c r="BM122" s="23">
        <f t="shared" si="1066"/>
        <v>0.745</v>
      </c>
      <c r="BN122" s="23">
        <f>+'QTR Raw'!AH60</f>
        <v>0.68700000000000006</v>
      </c>
      <c r="BO122" s="23">
        <f t="shared" si="1066"/>
        <v>0.68700000000000006</v>
      </c>
      <c r="BP122" s="23">
        <f>+'QTR Raw'!AJ60</f>
        <v>0.56499999999999995</v>
      </c>
      <c r="BQ122" s="23">
        <f t="shared" si="1066"/>
        <v>0.56499999999999995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2.5270000000000001</v>
      </c>
      <c r="N124" s="23">
        <f>'Annual Raw'!O47</f>
        <v>0.84599999999999997</v>
      </c>
      <c r="O124" s="23">
        <f>'Annual Raw'!P47</f>
        <v>0.57299999999999995</v>
      </c>
      <c r="P124" s="23">
        <f>'Annual Raw'!Q47</f>
        <v>0.40799999999999997</v>
      </c>
      <c r="Q124" s="23">
        <f>'Annual Raw'!R47</f>
        <v>1.0410999999999999</v>
      </c>
      <c r="R124" s="23">
        <f>'Annual Raw'!S47</f>
        <v>3.3637000000000001</v>
      </c>
      <c r="S124" s="23">
        <f>'Annual Raw'!T47</f>
        <v>1.6849000000000001</v>
      </c>
      <c r="T124" s="23">
        <f>'Annual Raw'!U47</f>
        <v>0.40870000000000001</v>
      </c>
      <c r="U124" s="23">
        <f>'Annual Raw'!V47</f>
        <v>4.0369000000000002</v>
      </c>
      <c r="V124" s="23">
        <f>'Annual Raw'!W47</f>
        <v>2.7833000000000001</v>
      </c>
      <c r="W124" s="23">
        <f>'Annual Raw'!X47</f>
        <v>17.180700000000002</v>
      </c>
      <c r="X124" s="23">
        <f>'Annual Raw'!Y47</f>
        <v>38.058100000000003</v>
      </c>
      <c r="Y124" s="23">
        <f>'Annual Raw'!Z47</f>
        <v>41.699199999999998</v>
      </c>
      <c r="Z124" s="23">
        <f>'Annual Raw'!AA47</f>
        <v>18.4178</v>
      </c>
      <c r="AA124" s="23">
        <f>'Annual Raw'!AB47</f>
        <v>22.8309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18.4178</v>
      </c>
      <c r="CI124" s="23">
        <f t="shared" si="1092"/>
        <v>18.4178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12.586</v>
      </c>
      <c r="N125" s="23">
        <f>'Annual Raw'!O48</f>
        <v>10.696999999999999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22.831</v>
      </c>
      <c r="AC125" s="24">
        <f t="shared" si="1087"/>
        <v>22.831</v>
      </c>
      <c r="AD125" s="24">
        <f t="shared" si="1088"/>
        <v>22.831</v>
      </c>
      <c r="AE125" s="24">
        <f t="shared" si="1089"/>
        <v>22.831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1.0409999999999999</v>
      </c>
      <c r="AY125" s="23">
        <f t="shared" si="1090"/>
        <v>1.0409999999999999</v>
      </c>
      <c r="AZ125" s="23">
        <f>+'QTR Raw'!T63</f>
        <v>0</v>
      </c>
      <c r="BA125" s="23">
        <f t="shared" si="1090"/>
        <v>0</v>
      </c>
      <c r="BB125" s="23">
        <f>+'QTR Raw'!V63</f>
        <v>3.3639999999999999</v>
      </c>
      <c r="BC125" s="23">
        <f t="shared" si="1090"/>
        <v>3.3639999999999999</v>
      </c>
      <c r="BD125" s="23">
        <f>+'QTR Raw'!X63</f>
        <v>2.218</v>
      </c>
      <c r="BE125" s="23">
        <f t="shared" si="1090"/>
        <v>2.218</v>
      </c>
      <c r="BF125" s="23">
        <f>+'QTR Raw'!Z63</f>
        <v>1.6850000000000001</v>
      </c>
      <c r="BG125" s="23">
        <f t="shared" si="1090"/>
        <v>1.6850000000000001</v>
      </c>
      <c r="BH125" s="23">
        <f>+'QTR Raw'!AB63</f>
        <v>0.79300000000000004</v>
      </c>
      <c r="BI125" s="23">
        <f t="shared" si="1090"/>
        <v>0.79300000000000004</v>
      </c>
      <c r="BJ125" s="23">
        <f>+'QTR Raw'!AD63</f>
        <v>0.40899999999999997</v>
      </c>
      <c r="BK125" s="23">
        <f t="shared" si="1090"/>
        <v>0.40899999999999997</v>
      </c>
      <c r="BL125" s="23">
        <f>+'QTR Raw'!AF63</f>
        <v>0.218</v>
      </c>
      <c r="BM125" s="23">
        <f t="shared" si="1090"/>
        <v>0.218</v>
      </c>
      <c r="BN125" s="23">
        <f>+'QTR Raw'!AH63</f>
        <v>4.0369999999999999</v>
      </c>
      <c r="BO125" s="23">
        <f t="shared" si="1090"/>
        <v>4.0369999999999999</v>
      </c>
      <c r="BP125" s="23">
        <f>+'QTR Raw'!AJ63</f>
        <v>3.2959999999999998</v>
      </c>
      <c r="BQ125" s="23">
        <f t="shared" si="1090"/>
        <v>3.2959999999999998</v>
      </c>
      <c r="BR125" s="23">
        <f>+'QTR Raw'!AL63</f>
        <v>2.7829999999999999</v>
      </c>
      <c r="BS125" s="23">
        <f t="shared" si="1090"/>
        <v>2.7829999999999999</v>
      </c>
      <c r="BT125" s="23">
        <f>+'QTR Raw'!AN63</f>
        <v>23.106999999999999</v>
      </c>
      <c r="BU125" s="23">
        <f t="shared" si="1090"/>
        <v>23.106999999999999</v>
      </c>
      <c r="BV125" s="23">
        <f>+'QTR Raw'!AP63</f>
        <v>17.181000000000001</v>
      </c>
      <c r="BW125" s="23">
        <f t="shared" si="1090"/>
        <v>17.181000000000001</v>
      </c>
      <c r="BX125" s="23">
        <f>+'QTR Raw'!AR63</f>
        <v>20.771999999999998</v>
      </c>
      <c r="BY125" s="23">
        <f t="shared" si="1090"/>
        <v>20.771999999999998</v>
      </c>
      <c r="BZ125" s="23">
        <f>+'QTR Raw'!AT63</f>
        <v>38.058</v>
      </c>
      <c r="CA125" s="23">
        <f t="shared" si="1090"/>
        <v>38.058</v>
      </c>
      <c r="CB125" s="23">
        <f>+'QTR Raw'!AV63</f>
        <v>22.501000000000001</v>
      </c>
      <c r="CC125" s="23">
        <f t="shared" si="1090"/>
        <v>22.501000000000001</v>
      </c>
      <c r="CD125" s="23">
        <f>+'QTR Raw'!AX63</f>
        <v>41.698999999999998</v>
      </c>
      <c r="CE125" s="23">
        <f t="shared" si="1091"/>
        <v>41.698999999999998</v>
      </c>
      <c r="CF125" s="23">
        <f>+'QTR Raw'!AZ63</f>
        <v>27.856000000000002</v>
      </c>
      <c r="CG125" s="23">
        <f t="shared" si="1092"/>
        <v>27.856000000000002</v>
      </c>
      <c r="CH125" s="23">
        <f t="shared" si="1068"/>
        <v>0</v>
      </c>
      <c r="CI125" s="23">
        <f t="shared" si="1092"/>
        <v>0</v>
      </c>
      <c r="CJ125" s="23">
        <f>+'QTR Raw'!BD63</f>
        <v>9.4700000000000006</v>
      </c>
      <c r="CK125" s="24">
        <f t="shared" si="1093"/>
        <v>9.4700000000000006</v>
      </c>
      <c r="CL125" s="23">
        <f>+'QTR Raw'!BF63</f>
        <v>22.831</v>
      </c>
      <c r="CM125" s="24">
        <f t="shared" si="1094"/>
        <v>22.831</v>
      </c>
      <c r="CN125" s="24">
        <f t="shared" si="1095"/>
        <v>22.831</v>
      </c>
      <c r="CO125" s="24">
        <f t="shared" si="1096"/>
        <v>22.831</v>
      </c>
      <c r="CP125" s="24">
        <f t="shared" si="1097"/>
        <v>22.831</v>
      </c>
      <c r="CQ125" s="24">
        <f t="shared" si="1098"/>
        <v>22.831</v>
      </c>
      <c r="CR125" s="24">
        <f t="shared" si="1099"/>
        <v>22.831</v>
      </c>
      <c r="CS125" s="24">
        <f t="shared" si="1100"/>
        <v>22.831</v>
      </c>
      <c r="CT125" s="24">
        <f t="shared" si="1101"/>
        <v>22.831</v>
      </c>
      <c r="CU125" s="24">
        <f t="shared" si="1102"/>
        <v>22.831</v>
      </c>
      <c r="CV125" s="24">
        <f t="shared" si="1103"/>
        <v>22.831</v>
      </c>
      <c r="CW125" s="24">
        <f t="shared" si="1104"/>
        <v>22.831</v>
      </c>
      <c r="CX125" s="24">
        <f t="shared" si="1105"/>
        <v>22.831</v>
      </c>
      <c r="CY125" s="24">
        <f t="shared" si="1106"/>
        <v>22.831</v>
      </c>
      <c r="CZ125" s="24">
        <f t="shared" si="1107"/>
        <v>22.831</v>
      </c>
      <c r="DA125" s="24">
        <f t="shared" si="1108"/>
        <v>22.831</v>
      </c>
      <c r="DB125" s="24">
        <f t="shared" si="1109"/>
        <v>22.831</v>
      </c>
      <c r="DE125" s="123"/>
      <c r="DF125" s="23">
        <v>9.4700000000000006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1.879</v>
      </c>
      <c r="N126" s="23">
        <f>'Annual Raw'!O87+'Annual Raw'!O88+'Annual Raw'!O89+'Annual Raw'!O90</f>
        <v>1.679</v>
      </c>
      <c r="O126" s="23">
        <f>'Annual Raw'!P87+'Annual Raw'!P88+'Annual Raw'!P89+'Annual Raw'!P90</f>
        <v>0.90100000000000002</v>
      </c>
      <c r="P126" s="23">
        <f>'Annual Raw'!Q87+'Annual Raw'!Q88+'Annual Raw'!Q89+'Annual Raw'!Q90</f>
        <v>0.48</v>
      </c>
      <c r="Q126" s="23">
        <f>'Annual Raw'!R87+'Annual Raw'!R88+'Annual Raw'!R89+'Annual Raw'!R90</f>
        <v>0.89019999999999999</v>
      </c>
      <c r="R126" s="23">
        <f>'Annual Raw'!S87+'Annual Raw'!S88+'Annual Raw'!S89+'Annual Raw'!S90</f>
        <v>1.8866000000000001</v>
      </c>
      <c r="S126" s="23">
        <f>'Annual Raw'!T87+'Annual Raw'!T88+'Annual Raw'!T89+'Annual Raw'!T90</f>
        <v>2.1467999999999998</v>
      </c>
      <c r="T126" s="23">
        <f>'Annual Raw'!U87+'Annual Raw'!U88+'Annual Raw'!U89+'Annual Raw'!U90</f>
        <v>1.2762</v>
      </c>
      <c r="U126" s="23">
        <f>'Annual Raw'!V87+'Annual Raw'!V88+'Annual Raw'!V89+'Annual Raw'!V90</f>
        <v>2.5853999999999999</v>
      </c>
      <c r="V126" s="23">
        <f>'Annual Raw'!W87+'Annual Raw'!W88+'Annual Raw'!W89+'Annual Raw'!W90</f>
        <v>10.130800000000001</v>
      </c>
      <c r="W126" s="23">
        <f>'Annual Raw'!X87+'Annual Raw'!X88+'Annual Raw'!X89+'Annual Raw'!X90</f>
        <v>16.541699999999999</v>
      </c>
      <c r="X126" s="23">
        <f>'Annual Raw'!Y87+'Annual Raw'!Y88+'Annual Raw'!Y89+'Annual Raw'!Y90</f>
        <v>32.303100000000001</v>
      </c>
      <c r="Y126" s="23">
        <f>'Annual Raw'!Z87+'Annual Raw'!Z88+'Annual Raw'!Z89+'Annual Raw'!Z90</f>
        <v>53.706899999999997</v>
      </c>
      <c r="Z126" s="23">
        <f>'Annual Raw'!AA87+'Annual Raw'!AA88+'Annual Raw'!AA89+'Annual Raw'!AA90</f>
        <v>33.759700000000002</v>
      </c>
      <c r="AA126" s="23">
        <f>'Annual Raw'!AB87+'Annual Raw'!AB88+'Annual Raw'!AB89+'Annual Raw'!AB90</f>
        <v>20.3188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33.759700000000002</v>
      </c>
      <c r="CI126" s="23">
        <f t="shared" si="1092"/>
        <v>33.759700000000002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8.8780000000000001</v>
      </c>
      <c r="N127" s="23">
        <f>'Annual Raw'!O56</f>
        <v>1.7629999999999999</v>
      </c>
      <c r="O127" s="23">
        <f>'Annual Raw'!P56</f>
        <v>24.533999999999999</v>
      </c>
      <c r="P127" s="23">
        <f>'Annual Raw'!Q56</f>
        <v>32.520000000000003</v>
      </c>
      <c r="Q127" s="23">
        <f>'Annual Raw'!R56</f>
        <v>44.865299999999998</v>
      </c>
      <c r="R127" s="23">
        <f>'Annual Raw'!S56</f>
        <v>69.733400000000003</v>
      </c>
      <c r="S127" s="23">
        <f>'Annual Raw'!T56</f>
        <v>26.409500000000001</v>
      </c>
      <c r="T127" s="23">
        <f>'Annual Raw'!U56</f>
        <v>29.3827</v>
      </c>
      <c r="U127" s="23">
        <f>'Annual Raw'!V56</f>
        <v>73.213200000000001</v>
      </c>
      <c r="V127" s="23">
        <f>'Annual Raw'!W56</f>
        <v>70.953299999999999</v>
      </c>
      <c r="W127" s="23">
        <f>'Annual Raw'!X56</f>
        <v>65.9345</v>
      </c>
      <c r="X127" s="23">
        <f>'Annual Raw'!Y56</f>
        <v>74.620099999999994</v>
      </c>
      <c r="Y127" s="23">
        <f>'Annual Raw'!Z56</f>
        <v>359.68400000000003</v>
      </c>
      <c r="Z127" s="23">
        <f>'Annual Raw'!AA56</f>
        <v>219.3526</v>
      </c>
      <c r="AA127" s="23">
        <f>'Annual Raw'!AB56</f>
        <v>274.07580000000002</v>
      </c>
      <c r="AB127" s="24">
        <f t="shared" si="1086"/>
        <v>294.39499999999998</v>
      </c>
      <c r="AC127" s="24">
        <f t="shared" si="1087"/>
        <v>294.39499999999998</v>
      </c>
      <c r="AD127" s="24">
        <f t="shared" si="1088"/>
        <v>294.39499999999998</v>
      </c>
      <c r="AE127" s="24">
        <f t="shared" si="1089"/>
        <v>294.39499999999998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44.865000000000002</v>
      </c>
      <c r="AY127" s="23">
        <f t="shared" si="1090"/>
        <v>44.865000000000002</v>
      </c>
      <c r="AZ127" s="23">
        <f>+'QTR Raw'!T88</f>
        <v>0</v>
      </c>
      <c r="BA127" s="23">
        <f t="shared" si="1090"/>
        <v>0</v>
      </c>
      <c r="BB127" s="23">
        <f>+'QTR Raw'!V88</f>
        <v>69.733000000000004</v>
      </c>
      <c r="BC127" s="23">
        <f t="shared" si="1090"/>
        <v>69.733000000000004</v>
      </c>
      <c r="BD127" s="23">
        <f>+'QTR Raw'!X88</f>
        <v>51.728999999999999</v>
      </c>
      <c r="BE127" s="23">
        <f t="shared" si="1090"/>
        <v>51.728999999999999</v>
      </c>
      <c r="BF127" s="23">
        <f>+'QTR Raw'!Z88</f>
        <v>26.41</v>
      </c>
      <c r="BG127" s="23">
        <f t="shared" si="1090"/>
        <v>26.41</v>
      </c>
      <c r="BH127" s="23">
        <f>+'QTR Raw'!AB88</f>
        <v>22.664000000000001</v>
      </c>
      <c r="BI127" s="23">
        <f t="shared" si="1090"/>
        <v>22.664000000000001</v>
      </c>
      <c r="BJ127" s="23">
        <f>+'QTR Raw'!AD88</f>
        <v>29.382999999999999</v>
      </c>
      <c r="BK127" s="23">
        <f t="shared" si="1090"/>
        <v>29.382999999999999</v>
      </c>
      <c r="BL127" s="23">
        <f>+'QTR Raw'!AF88</f>
        <v>75.076999999999998</v>
      </c>
      <c r="BM127" s="23">
        <f t="shared" si="1090"/>
        <v>75.076999999999998</v>
      </c>
      <c r="BN127" s="23">
        <f>+'QTR Raw'!AH88</f>
        <v>73.212999999999994</v>
      </c>
      <c r="BO127" s="23">
        <f t="shared" si="1090"/>
        <v>73.212999999999994</v>
      </c>
      <c r="BP127" s="23">
        <f>+'QTR Raw'!AJ88</f>
        <v>114.51300000000001</v>
      </c>
      <c r="BQ127" s="23">
        <f t="shared" si="1090"/>
        <v>114.51300000000001</v>
      </c>
      <c r="BR127" s="23">
        <f>+'QTR Raw'!AL88</f>
        <v>81.084000000000003</v>
      </c>
      <c r="BS127" s="23">
        <f t="shared" si="1090"/>
        <v>81.084000000000003</v>
      </c>
      <c r="BT127" s="23">
        <f>+'QTR Raw'!AN88</f>
        <v>165.505</v>
      </c>
      <c r="BU127" s="23">
        <f t="shared" si="1090"/>
        <v>165.505</v>
      </c>
      <c r="BV127" s="23">
        <f>+'QTR Raw'!AP88</f>
        <v>82.475999999999999</v>
      </c>
      <c r="BW127" s="23">
        <f t="shared" si="1090"/>
        <v>82.475999999999999</v>
      </c>
      <c r="BX127" s="23">
        <f>+'QTR Raw'!AR88</f>
        <v>137.05099999999999</v>
      </c>
      <c r="BY127" s="23">
        <f t="shared" si="1090"/>
        <v>137.05099999999999</v>
      </c>
      <c r="BZ127" s="23">
        <f>+'QTR Raw'!AT88</f>
        <v>106.923</v>
      </c>
      <c r="CA127" s="23">
        <f t="shared" si="1090"/>
        <v>106.923</v>
      </c>
      <c r="CB127" s="23">
        <f>+'QTR Raw'!AV88</f>
        <v>377.33</v>
      </c>
      <c r="CC127" s="23">
        <f t="shared" si="1090"/>
        <v>377.33</v>
      </c>
      <c r="CD127" s="23">
        <f>+'QTR Raw'!AX88</f>
        <v>413.39100000000002</v>
      </c>
      <c r="CE127" s="23">
        <f t="shared" si="1091"/>
        <v>413.39100000000002</v>
      </c>
      <c r="CF127" s="23">
        <f>+'QTR Raw'!AZ88</f>
        <v>245.922</v>
      </c>
      <c r="CG127" s="23">
        <f t="shared" si="1092"/>
        <v>245.922</v>
      </c>
      <c r="CH127" s="23">
        <f t="shared" si="1068"/>
        <v>219.3526</v>
      </c>
      <c r="CI127" s="23">
        <f t="shared" si="1092"/>
        <v>219.3526</v>
      </c>
      <c r="CJ127" s="23">
        <f>+'QTR Raw'!BD88</f>
        <v>340.351</v>
      </c>
      <c r="CK127" s="24">
        <f t="shared" si="1093"/>
        <v>340.351</v>
      </c>
      <c r="CL127" s="23">
        <f>+'QTR Raw'!BF88</f>
        <v>294.39499999999998</v>
      </c>
      <c r="CM127" s="24">
        <f t="shared" si="1094"/>
        <v>294.39499999999998</v>
      </c>
      <c r="CN127" s="24">
        <f t="shared" si="1095"/>
        <v>294.39499999999998</v>
      </c>
      <c r="CO127" s="24">
        <f t="shared" si="1096"/>
        <v>294.39499999999998</v>
      </c>
      <c r="CP127" s="24">
        <f t="shared" si="1097"/>
        <v>294.39499999999998</v>
      </c>
      <c r="CQ127" s="24">
        <f t="shared" si="1098"/>
        <v>294.39499999999998</v>
      </c>
      <c r="CR127" s="24">
        <f t="shared" si="1099"/>
        <v>294.39499999999998</v>
      </c>
      <c r="CS127" s="24">
        <f t="shared" si="1100"/>
        <v>294.39499999999998</v>
      </c>
      <c r="CT127" s="24">
        <f t="shared" si="1101"/>
        <v>294.39499999999998</v>
      </c>
      <c r="CU127" s="24">
        <f t="shared" si="1102"/>
        <v>294.39499999999998</v>
      </c>
      <c r="CV127" s="24">
        <f t="shared" si="1103"/>
        <v>294.39499999999998</v>
      </c>
      <c r="CW127" s="24">
        <f t="shared" si="1104"/>
        <v>294.39499999999998</v>
      </c>
      <c r="CX127" s="24">
        <f t="shared" si="1105"/>
        <v>294.39499999999998</v>
      </c>
      <c r="CY127" s="24">
        <f t="shared" si="1106"/>
        <v>294.39499999999998</v>
      </c>
      <c r="CZ127" s="24">
        <f t="shared" si="1107"/>
        <v>294.39499999999998</v>
      </c>
      <c r="DA127" s="24">
        <f t="shared" si="1108"/>
        <v>294.39499999999998</v>
      </c>
      <c r="DB127" s="24">
        <f t="shared" si="1109"/>
        <v>294.39499999999998</v>
      </c>
      <c r="DE127" s="123"/>
      <c r="DF127" s="23">
        <v>340.351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25.87</v>
      </c>
      <c r="N128" s="22">
        <f t="shared" si="1110"/>
        <v>14.984999999999999</v>
      </c>
      <c r="O128" s="22">
        <f t="shared" si="1110"/>
        <v>26.007999999999999</v>
      </c>
      <c r="P128" s="22">
        <f t="shared" si="1110"/>
        <v>33.408000000000001</v>
      </c>
      <c r="Q128" s="22">
        <f t="shared" si="1110"/>
        <v>46.796599999999998</v>
      </c>
      <c r="R128" s="22">
        <f t="shared" si="1110"/>
        <v>74.983699999999999</v>
      </c>
      <c r="S128" s="22">
        <f t="shared" si="1110"/>
        <v>30.241199999999999</v>
      </c>
      <c r="T128" s="22">
        <f t="shared" si="1110"/>
        <v>31.067599999999999</v>
      </c>
      <c r="U128" s="22">
        <f t="shared" si="1110"/>
        <v>79.835499999999996</v>
      </c>
      <c r="V128" s="22">
        <f t="shared" si="1110"/>
        <v>83.867400000000004</v>
      </c>
      <c r="W128" s="22">
        <f t="shared" ref="W128" si="1111">SUM(W124:W127)</f>
        <v>99.656900000000007</v>
      </c>
      <c r="X128" s="22">
        <f t="shared" ref="X128:Y128" si="1112">SUM(X124:X127)</f>
        <v>144.98129999999998</v>
      </c>
      <c r="Y128" s="22">
        <f t="shared" si="1112"/>
        <v>455.09010000000001</v>
      </c>
      <c r="Z128" s="22">
        <f t="shared" ref="Z128:AA128" si="1113">SUM(Z124:Z127)</f>
        <v>271.5301</v>
      </c>
      <c r="AA128" s="22">
        <f t="shared" si="1113"/>
        <v>317.22550000000001</v>
      </c>
      <c r="AB128" s="21">
        <f t="shared" ref="AA128:AD128" si="1114">SUM(AB124:AB127)</f>
        <v>317.226</v>
      </c>
      <c r="AC128" s="21">
        <f t="shared" si="1114"/>
        <v>317.226</v>
      </c>
      <c r="AD128" s="21">
        <f t="shared" si="1114"/>
        <v>317.226</v>
      </c>
      <c r="AE128" s="21">
        <f t="shared" ref="AE128" si="1115">SUM(AE124:AE127)</f>
        <v>317.226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45.905999999999999</v>
      </c>
      <c r="AY128" s="22">
        <f t="shared" si="1120"/>
        <v>45.905999999999999</v>
      </c>
      <c r="AZ128" s="22">
        <f t="shared" si="1120"/>
        <v>0</v>
      </c>
      <c r="BA128" s="22">
        <f t="shared" si="1120"/>
        <v>0</v>
      </c>
      <c r="BB128" s="22">
        <f t="shared" si="1120"/>
        <v>73.097000000000008</v>
      </c>
      <c r="BC128" s="22">
        <f t="shared" si="1120"/>
        <v>73.097000000000008</v>
      </c>
      <c r="BD128" s="22">
        <f t="shared" si="1120"/>
        <v>53.947000000000003</v>
      </c>
      <c r="BE128" s="22">
        <f t="shared" si="1120"/>
        <v>53.947000000000003</v>
      </c>
      <c r="BF128" s="22">
        <f t="shared" si="1120"/>
        <v>28.094999999999999</v>
      </c>
      <c r="BG128" s="22">
        <f t="shared" si="1120"/>
        <v>28.094999999999999</v>
      </c>
      <c r="BH128" s="22">
        <f t="shared" ref="BH128" si="1121">SUM(BH124:BH127)</f>
        <v>23.457000000000001</v>
      </c>
      <c r="BI128" s="22">
        <f t="shared" si="1120"/>
        <v>23.457000000000001</v>
      </c>
      <c r="BJ128" s="22">
        <f t="shared" si="1120"/>
        <v>29.791999999999998</v>
      </c>
      <c r="BK128" s="22">
        <f t="shared" si="1120"/>
        <v>29.791999999999998</v>
      </c>
      <c r="BL128" s="22">
        <f t="shared" si="1120"/>
        <v>75.295000000000002</v>
      </c>
      <c r="BM128" s="22">
        <f t="shared" si="1120"/>
        <v>75.295000000000002</v>
      </c>
      <c r="BN128" s="22">
        <f t="shared" si="1120"/>
        <v>77.25</v>
      </c>
      <c r="BO128" s="22">
        <f t="shared" si="1120"/>
        <v>77.25</v>
      </c>
      <c r="BP128" s="22">
        <f t="shared" si="1120"/>
        <v>117.80900000000001</v>
      </c>
      <c r="BQ128" s="22">
        <f t="shared" si="1120"/>
        <v>117.80900000000001</v>
      </c>
      <c r="BR128" s="22">
        <f t="shared" si="1120"/>
        <v>83.867000000000004</v>
      </c>
      <c r="BS128" s="22">
        <f t="shared" si="1120"/>
        <v>83.867000000000004</v>
      </c>
      <c r="BT128" s="22">
        <f t="shared" si="1120"/>
        <v>188.61199999999999</v>
      </c>
      <c r="BU128" s="22">
        <f t="shared" si="1120"/>
        <v>188.61199999999999</v>
      </c>
      <c r="BV128" s="22">
        <f t="shared" si="1120"/>
        <v>99.656999999999996</v>
      </c>
      <c r="BW128" s="22">
        <f t="shared" si="1120"/>
        <v>99.656999999999996</v>
      </c>
      <c r="BX128" s="22">
        <f t="shared" si="1120"/>
        <v>157.82299999999998</v>
      </c>
      <c r="BY128" s="22">
        <f t="shared" si="1120"/>
        <v>157.82299999999998</v>
      </c>
      <c r="BZ128" s="22">
        <f t="shared" si="1120"/>
        <v>144.98099999999999</v>
      </c>
      <c r="CA128" s="22">
        <f t="shared" si="1120"/>
        <v>144.98099999999999</v>
      </c>
      <c r="CB128" s="22">
        <f t="shared" si="1120"/>
        <v>399.83099999999996</v>
      </c>
      <c r="CC128" s="22">
        <f t="shared" si="1120"/>
        <v>399.83099999999996</v>
      </c>
      <c r="CD128" s="22">
        <f t="shared" si="1120"/>
        <v>455.09000000000003</v>
      </c>
      <c r="CE128" s="22">
        <f t="shared" si="1120"/>
        <v>455.09000000000003</v>
      </c>
      <c r="CF128" s="22">
        <f t="shared" ref="CF128:CG128" si="1122">SUM(CF124:CF127)</f>
        <v>273.77800000000002</v>
      </c>
      <c r="CG128" s="22">
        <f t="shared" si="1122"/>
        <v>273.77800000000002</v>
      </c>
      <c r="CH128" s="22">
        <f t="shared" ref="CH128:CI128" si="1123">SUM(CH124:CH127)</f>
        <v>271.5301</v>
      </c>
      <c r="CI128" s="22">
        <f t="shared" si="1123"/>
        <v>271.5301</v>
      </c>
      <c r="CJ128" s="22">
        <f t="shared" ref="CJ128:DB128" si="1124">SUM(CJ124:CJ127)</f>
        <v>349.82100000000003</v>
      </c>
      <c r="CK128" s="21">
        <f t="shared" si="1124"/>
        <v>349.82100000000003</v>
      </c>
      <c r="CL128" s="22">
        <f t="shared" ref="CL128" si="1125">SUM(CL124:CL127)</f>
        <v>317.226</v>
      </c>
      <c r="CM128" s="21">
        <f t="shared" si="1124"/>
        <v>317.226</v>
      </c>
      <c r="CN128" s="21">
        <f t="shared" si="1124"/>
        <v>317.226</v>
      </c>
      <c r="CO128" s="21">
        <f t="shared" si="1124"/>
        <v>317.226</v>
      </c>
      <c r="CP128" s="21">
        <f t="shared" si="1124"/>
        <v>317.226</v>
      </c>
      <c r="CQ128" s="21">
        <f t="shared" si="1124"/>
        <v>317.226</v>
      </c>
      <c r="CR128" s="21">
        <f t="shared" si="1124"/>
        <v>317.226</v>
      </c>
      <c r="CS128" s="21">
        <f t="shared" si="1124"/>
        <v>317.226</v>
      </c>
      <c r="CT128" s="21">
        <f t="shared" si="1124"/>
        <v>317.226</v>
      </c>
      <c r="CU128" s="21">
        <f t="shared" si="1124"/>
        <v>317.226</v>
      </c>
      <c r="CV128" s="21">
        <f t="shared" si="1124"/>
        <v>317.226</v>
      </c>
      <c r="CW128" s="21">
        <f t="shared" si="1124"/>
        <v>317.226</v>
      </c>
      <c r="CX128" s="21">
        <f t="shared" si="1124"/>
        <v>317.226</v>
      </c>
      <c r="CY128" s="21">
        <f t="shared" si="1124"/>
        <v>317.226</v>
      </c>
      <c r="CZ128" s="21">
        <f t="shared" si="1124"/>
        <v>317.226</v>
      </c>
      <c r="DA128" s="21">
        <f t="shared" si="1124"/>
        <v>317.226</v>
      </c>
      <c r="DB128" s="21">
        <f t="shared" si="1124"/>
        <v>317.226</v>
      </c>
      <c r="DE128" s="126"/>
      <c r="DF128" s="22">
        <v>349.82100000000003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0</v>
      </c>
      <c r="K129" s="26">
        <f t="shared" si="1126"/>
        <v>0</v>
      </c>
      <c r="L129" s="26">
        <f t="shared" si="1126"/>
        <v>0</v>
      </c>
      <c r="M129" s="26">
        <f t="shared" si="1126"/>
        <v>41.151000000000003</v>
      </c>
      <c r="N129" s="26">
        <f t="shared" si="1126"/>
        <v>41.58</v>
      </c>
      <c r="O129" s="26">
        <f t="shared" si="1126"/>
        <v>60.801000000000002</v>
      </c>
      <c r="P129" s="26">
        <f t="shared" si="1126"/>
        <v>80.33</v>
      </c>
      <c r="Q129" s="26">
        <f t="shared" si="1126"/>
        <v>111.2966</v>
      </c>
      <c r="R129" s="26">
        <f t="shared" si="1126"/>
        <v>180.2509</v>
      </c>
      <c r="S129" s="26">
        <f t="shared" si="1126"/>
        <v>332.72910000000002</v>
      </c>
      <c r="T129" s="26">
        <f t="shared" si="1126"/>
        <v>401.22839999999997</v>
      </c>
      <c r="U129" s="26">
        <f t="shared" si="1126"/>
        <v>534.70389999999998</v>
      </c>
      <c r="V129" s="26">
        <f t="shared" si="1126"/>
        <v>619.76689999999996</v>
      </c>
      <c r="W129" s="26">
        <f t="shared" ref="W129" si="1127">W128+W120+W122</f>
        <v>786.61619999999994</v>
      </c>
      <c r="X129" s="26">
        <f t="shared" ref="X129:Y129" si="1128">X128+X120+X122</f>
        <v>945.97379999999998</v>
      </c>
      <c r="Y129" s="26">
        <f t="shared" si="1128"/>
        <v>1369.96</v>
      </c>
      <c r="Z129" s="26">
        <f t="shared" ref="Z129:AA129" si="1129">Z128+Z120+Z122</f>
        <v>1480.4704000000002</v>
      </c>
      <c r="AA129" s="26">
        <f t="shared" si="1129"/>
        <v>1581.1774</v>
      </c>
      <c r="AB129" s="27">
        <f t="shared" ref="AA129:AD129" si="1130">AB128+AB120+AB122</f>
        <v>1705.0200161287157</v>
      </c>
      <c r="AC129" s="27">
        <f t="shared" si="1130"/>
        <v>1924.7050337955648</v>
      </c>
      <c r="AD129" s="27">
        <f t="shared" si="1130"/>
        <v>2259.9023518692325</v>
      </c>
      <c r="AE129" s="27">
        <f t="shared" ref="AE129" si="1131">AE128+AE120+AE122</f>
        <v>2741.5084616718241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110.40599999999999</v>
      </c>
      <c r="AY129" s="26">
        <f t="shared" si="1136"/>
        <v>117.90500000000002</v>
      </c>
      <c r="AZ129" s="26">
        <f t="shared" si="1136"/>
        <v>0</v>
      </c>
      <c r="BA129" s="26">
        <f t="shared" si="1136"/>
        <v>7.3179999999999961</v>
      </c>
      <c r="BB129" s="26">
        <f t="shared" si="1136"/>
        <v>178.364</v>
      </c>
      <c r="BC129" s="26">
        <f t="shared" si="1136"/>
        <v>191.92599999999999</v>
      </c>
      <c r="BD129" s="26">
        <f t="shared" si="1136"/>
        <v>318.06399999999996</v>
      </c>
      <c r="BE129" s="26">
        <f t="shared" si="1136"/>
        <v>333.24099999999999</v>
      </c>
      <c r="BF129" s="26">
        <f t="shared" si="1136"/>
        <v>330.58299999999997</v>
      </c>
      <c r="BG129" s="26">
        <f t="shared" si="1136"/>
        <v>351.65</v>
      </c>
      <c r="BH129" s="26">
        <f t="shared" ref="BH129" si="1137">BH128+BH120+BH122</f>
        <v>343.31</v>
      </c>
      <c r="BI129" s="26">
        <f t="shared" si="1136"/>
        <v>364.44899999999996</v>
      </c>
      <c r="BJ129" s="26">
        <f t="shared" si="1136"/>
        <v>399.95299999999997</v>
      </c>
      <c r="BK129" s="26">
        <f t="shared" si="1136"/>
        <v>425.28199999999993</v>
      </c>
      <c r="BL129" s="26">
        <f t="shared" si="1136"/>
        <v>481.47300000000001</v>
      </c>
      <c r="BM129" s="26">
        <f t="shared" si="1136"/>
        <v>517.99599999999998</v>
      </c>
      <c r="BN129" s="26">
        <f t="shared" si="1136"/>
        <v>532.11900000000003</v>
      </c>
      <c r="BO129" s="26">
        <f t="shared" si="1136"/>
        <v>528.67600000000004</v>
      </c>
      <c r="BP129" s="26">
        <f t="shared" si="1136"/>
        <v>583.14100000000008</v>
      </c>
      <c r="BQ129" s="26">
        <f t="shared" si="1136"/>
        <v>612.30600000000004</v>
      </c>
      <c r="BR129" s="26">
        <f t="shared" si="1136"/>
        <v>619.76699999999994</v>
      </c>
      <c r="BS129" s="26">
        <f t="shared" si="1136"/>
        <v>644.67599999999993</v>
      </c>
      <c r="BT129" s="26">
        <f t="shared" si="1136"/>
        <v>771.43899999999996</v>
      </c>
      <c r="BU129" s="26">
        <f t="shared" si="1136"/>
        <v>821.57100000000003</v>
      </c>
      <c r="BV129" s="26">
        <f t="shared" si="1136"/>
        <v>786.61599999999999</v>
      </c>
      <c r="BW129" s="26">
        <f t="shared" si="1136"/>
        <v>815.65299999999991</v>
      </c>
      <c r="BX129" s="26">
        <f t="shared" si="1136"/>
        <v>877.41200000000003</v>
      </c>
      <c r="BY129" s="26">
        <f t="shared" si="1136"/>
        <v>912.77200000000005</v>
      </c>
      <c r="BZ129" s="26">
        <f t="shared" si="1136"/>
        <v>945.97299999999996</v>
      </c>
      <c r="CA129" s="26">
        <f t="shared" si="1136"/>
        <v>983.81999999999994</v>
      </c>
      <c r="CB129" s="26">
        <f t="shared" si="1136"/>
        <v>1268.2369999999999</v>
      </c>
      <c r="CC129" s="26">
        <f t="shared" si="1136"/>
        <v>1299.3219999999999</v>
      </c>
      <c r="CD129" s="26">
        <f t="shared" si="1136"/>
        <v>1369.96</v>
      </c>
      <c r="CE129" s="26">
        <f t="shared" si="1136"/>
        <v>1404.644</v>
      </c>
      <c r="CF129" s="26">
        <f t="shared" ref="CF129:CG129" si="1138">CF128+CF120+CF122</f>
        <v>1471.3780000000002</v>
      </c>
      <c r="CG129" s="26">
        <f t="shared" si="1138"/>
        <v>1476.4320000000002</v>
      </c>
      <c r="CH129" s="26">
        <f t="shared" ref="CH129:CI129" si="1139">CH128+CH120+CH122</f>
        <v>1480.4704000000002</v>
      </c>
      <c r="CI129" s="26">
        <f t="shared" si="1139"/>
        <v>1480.8924</v>
      </c>
      <c r="CJ129" s="26">
        <f t="shared" ref="CJ129:DB129" si="1140">CJ128+CJ120+CJ122</f>
        <v>1575.2380000000003</v>
      </c>
      <c r="CK129" s="27">
        <f t="shared" si="1140"/>
        <v>1593.0720000000001</v>
      </c>
      <c r="CL129" s="26">
        <f t="shared" ref="CL129" si="1141">CL128+CL120+CL122</f>
        <v>1581.1779999999999</v>
      </c>
      <c r="CM129" s="27">
        <f t="shared" si="1140"/>
        <v>1586.9901645938244</v>
      </c>
      <c r="CN129" s="27">
        <f t="shared" si="1140"/>
        <v>1615.8144823867506</v>
      </c>
      <c r="CO129" s="27">
        <f t="shared" si="1140"/>
        <v>1650.960789332702</v>
      </c>
      <c r="CP129" s="27">
        <f t="shared" si="1140"/>
        <v>1705.0200161287157</v>
      </c>
      <c r="CQ129" s="27">
        <f t="shared" si="1140"/>
        <v>1727.1451456704044</v>
      </c>
      <c r="CR129" s="27">
        <f t="shared" si="1140"/>
        <v>1778.2504733843107</v>
      </c>
      <c r="CS129" s="27">
        <f t="shared" si="1140"/>
        <v>1838.0812674151707</v>
      </c>
      <c r="CT129" s="27">
        <f t="shared" si="1140"/>
        <v>1924.7050337955648</v>
      </c>
      <c r="CU129" s="27">
        <f t="shared" si="1140"/>
        <v>1964.7512385489913</v>
      </c>
      <c r="CV129" s="27">
        <f t="shared" si="1140"/>
        <v>2043.3434894741017</v>
      </c>
      <c r="CW129" s="27">
        <f t="shared" si="1140"/>
        <v>2133.5061391226495</v>
      </c>
      <c r="CX129" s="27">
        <f t="shared" si="1140"/>
        <v>2259.9023518692325</v>
      </c>
      <c r="CY129" s="27">
        <f t="shared" si="1140"/>
        <v>2321.1967210307794</v>
      </c>
      <c r="CZ129" s="27">
        <f t="shared" si="1140"/>
        <v>2434.6738746234614</v>
      </c>
      <c r="DA129" s="27">
        <f t="shared" si="1140"/>
        <v>2563.5161185212564</v>
      </c>
      <c r="DB129" s="27">
        <f t="shared" si="1140"/>
        <v>2741.5084616718241</v>
      </c>
      <c r="DE129" s="121"/>
      <c r="DF129" s="26">
        <v>1599.1463004686425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23.106999999999999</v>
      </c>
      <c r="N131" s="23">
        <f>'Annual Raw'!O62-N135</f>
        <v>27.195</v>
      </c>
      <c r="O131" s="23">
        <f>'Annual Raw'!P62-O135</f>
        <v>30.849</v>
      </c>
      <c r="P131" s="23">
        <f>'Annual Raw'!Q62-P135</f>
        <v>50.725000000000001</v>
      </c>
      <c r="Q131" s="23">
        <f>'Annual Raw'!R62-Q135</f>
        <v>78.222200000000001</v>
      </c>
      <c r="R131" s="23">
        <f>'Annual Raw'!S62-R135</f>
        <v>84.034800000000004</v>
      </c>
      <c r="S131" s="23">
        <f>'Annual Raw'!T62-S135</f>
        <v>121.3486</v>
      </c>
      <c r="T131" s="23">
        <f>'Annual Raw'!U62-T135</f>
        <v>168.55330000000001</v>
      </c>
      <c r="U131" s="23">
        <f>'Annual Raw'!V62-U135</f>
        <v>199.79300000000001</v>
      </c>
      <c r="V131" s="23">
        <f>'Annual Raw'!W62-V135</f>
        <v>229.4819</v>
      </c>
      <c r="W131" s="23">
        <f>'Annual Raw'!X62-W135</f>
        <v>345.23820000000001</v>
      </c>
      <c r="X131" s="23">
        <f>'Annual Raw'!Y62-X135</f>
        <v>416.25229999999999</v>
      </c>
      <c r="Y131" s="23">
        <f>'Annual Raw'!Z62-Y135</f>
        <v>559.28629999999998</v>
      </c>
      <c r="Z131" s="23">
        <f>'Annual Raw'!AA62-Z135</f>
        <v>599.40239999999994</v>
      </c>
      <c r="AA131" s="23">
        <f>'Annual Raw'!AB62-AA135</f>
        <v>768.7287</v>
      </c>
      <c r="AB131" s="24">
        <f t="shared" ref="AB131:AB137" si="1142">+CP131</f>
        <v>791.72409999999991</v>
      </c>
      <c r="AC131" s="24">
        <f t="shared" ref="AC131:AC137" si="1143">+CT131</f>
        <v>791.72409999999991</v>
      </c>
      <c r="AD131" s="24">
        <f t="shared" ref="AD131:AD137" si="1144">+CX131</f>
        <v>791.72409999999991</v>
      </c>
      <c r="AE131" s="24">
        <f t="shared" ref="AE131:AE137" si="1145">+DB131</f>
        <v>791.72409999999991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53.616999999999997</v>
      </c>
      <c r="AZ131" s="23">
        <f>+'QTR Raw'!T68</f>
        <v>0</v>
      </c>
      <c r="BB131" s="23">
        <f>+'QTR Raw'!V68</f>
        <v>52.100999999999999</v>
      </c>
      <c r="BD131" s="23">
        <f>+'QTR Raw'!X68</f>
        <v>39.994</v>
      </c>
      <c r="BF131" s="23">
        <f>+'QTR Raw'!Z68</f>
        <v>78.081000000000003</v>
      </c>
      <c r="BH131" s="23">
        <f>+'QTR Raw'!AB68</f>
        <v>99.528999999999996</v>
      </c>
      <c r="BJ131" s="23">
        <f>+'QTR Raw'!AD68</f>
        <v>103.184</v>
      </c>
      <c r="BL131" s="23">
        <f>+'QTR Raw'!AF68</f>
        <v>99.855999999999995</v>
      </c>
      <c r="BN131" s="23">
        <f>+'QTR Raw'!AH68</f>
        <v>107.89</v>
      </c>
      <c r="BP131" s="23">
        <f>+'QTR Raw'!AJ68</f>
        <v>128.096</v>
      </c>
      <c r="BR131" s="23">
        <f>+'QTR Raw'!AL68</f>
        <v>116.18600000000001</v>
      </c>
      <c r="BT131" s="23">
        <f>+'QTR Raw'!AN68</f>
        <v>146.47399999999999</v>
      </c>
      <c r="BV131" s="23">
        <f>+'QTR Raw'!AP68</f>
        <v>207.37100000000001</v>
      </c>
      <c r="BX131" s="23">
        <f>+'QTR Raw'!AR68</f>
        <v>199.273</v>
      </c>
      <c r="BZ131" s="23">
        <f>+'QTR Raw'!AT68</f>
        <v>239.595</v>
      </c>
      <c r="CB131" s="23">
        <f>+'QTR Raw'!AV68</f>
        <v>310.61500000000001</v>
      </c>
      <c r="CD131" s="23">
        <f>+'QTR Raw'!AX68</f>
        <v>321.83100000000002</v>
      </c>
      <c r="CF131" s="23">
        <f>+'QTR Raw'!AZ68</f>
        <v>316.267</v>
      </c>
      <c r="CH131" s="23">
        <f t="shared" ref="CH131:CH137" si="1146">Z131</f>
        <v>599.40239999999994</v>
      </c>
      <c r="CI131" s="23">
        <f>CH131</f>
        <v>599.40239999999994</v>
      </c>
      <c r="CJ131" s="23">
        <f>+CJ132+CJ134</f>
        <v>688.12509999999997</v>
      </c>
      <c r="CK131" s="24">
        <f>+CJ131</f>
        <v>688.12509999999997</v>
      </c>
      <c r="CL131" s="23">
        <f>+CL132+CL134</f>
        <v>791.72409999999991</v>
      </c>
      <c r="CM131" s="24">
        <f t="shared" ref="CM131:DB131" si="1147">+CL131</f>
        <v>791.72409999999991</v>
      </c>
      <c r="CN131" s="24">
        <f t="shared" si="1147"/>
        <v>791.72409999999991</v>
      </c>
      <c r="CO131" s="24">
        <f t="shared" si="1147"/>
        <v>791.72409999999991</v>
      </c>
      <c r="CP131" s="24">
        <f t="shared" si="1147"/>
        <v>791.72409999999991</v>
      </c>
      <c r="CQ131" s="24">
        <f t="shared" si="1147"/>
        <v>791.72409999999991</v>
      </c>
      <c r="CR131" s="24">
        <f t="shared" si="1147"/>
        <v>791.72409999999991</v>
      </c>
      <c r="CS131" s="24">
        <f t="shared" si="1147"/>
        <v>791.72409999999991</v>
      </c>
      <c r="CT131" s="24">
        <f t="shared" si="1147"/>
        <v>791.72409999999991</v>
      </c>
      <c r="CU131" s="24">
        <f t="shared" si="1147"/>
        <v>791.72409999999991</v>
      </c>
      <c r="CV131" s="24">
        <f t="shared" si="1147"/>
        <v>791.72409999999991</v>
      </c>
      <c r="CW131" s="24">
        <f t="shared" si="1147"/>
        <v>791.72409999999991</v>
      </c>
      <c r="CX131" s="24">
        <f t="shared" si="1147"/>
        <v>791.72409999999991</v>
      </c>
      <c r="CY131" s="24">
        <f t="shared" si="1147"/>
        <v>791.72409999999991</v>
      </c>
      <c r="CZ131" s="24">
        <f t="shared" si="1147"/>
        <v>791.72409999999991</v>
      </c>
      <c r="DA131" s="24">
        <f t="shared" si="1147"/>
        <v>791.72409999999991</v>
      </c>
      <c r="DB131" s="24">
        <f t="shared" si="1147"/>
        <v>791.72409999999991</v>
      </c>
      <c r="DE131" s="123"/>
      <c r="DF131" s="23">
        <v>688.12509999999997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5.0890000000000004</v>
      </c>
      <c r="N132" s="23">
        <f>'Annual Raw'!O63</f>
        <v>8.7309999999999999</v>
      </c>
      <c r="O132" s="23">
        <f>'Annual Raw'!P63</f>
        <v>12.343999999999999</v>
      </c>
      <c r="P132" s="23">
        <f>'Annual Raw'!Q63</f>
        <v>17.510000000000002</v>
      </c>
      <c r="Q132" s="23">
        <f>'Annual Raw'!R63</f>
        <v>24.605399999999999</v>
      </c>
      <c r="R132" s="23">
        <f>'Annual Raw'!S63</f>
        <v>31.934200000000001</v>
      </c>
      <c r="S132" s="23">
        <f>'Annual Raw'!T63</f>
        <v>43.267499999999998</v>
      </c>
      <c r="T132" s="23">
        <f>'Annual Raw'!U63</f>
        <v>65.368899999999996</v>
      </c>
      <c r="U132" s="23">
        <f>'Annual Raw'!V63</f>
        <v>91.903000000000006</v>
      </c>
      <c r="V132" s="23">
        <f>'Annual Raw'!W63</f>
        <v>113.29510000000001</v>
      </c>
      <c r="W132" s="23">
        <f>'Annual Raw'!X63</f>
        <v>137.86689999999999</v>
      </c>
      <c r="X132" s="23">
        <f>'Annual Raw'!Y63</f>
        <v>176.65790000000001</v>
      </c>
      <c r="Y132" s="23">
        <f>'Annual Raw'!Z63</f>
        <v>237.45519999999999</v>
      </c>
      <c r="Z132" s="23">
        <f>'Annual Raw'!AA63</f>
        <v>292.07510000000002</v>
      </c>
      <c r="AA132" s="23">
        <f>'Annual Raw'!AB63</f>
        <v>355.64920000000001</v>
      </c>
      <c r="AB132" s="24">
        <f t="shared" si="1142"/>
        <v>493.88019052719449</v>
      </c>
      <c r="AC132" s="24">
        <f t="shared" si="1143"/>
        <v>576.96910239652175</v>
      </c>
      <c r="AD132" s="24">
        <f t="shared" si="1144"/>
        <v>636.87886889454114</v>
      </c>
      <c r="AE132" s="24">
        <f t="shared" si="1145"/>
        <v>680.07572923484565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292.07510000000002</v>
      </c>
      <c r="CI132" s="23">
        <f t="shared" ref="CI132:DB132" si="1148">CH132+CI32</f>
        <v>308.96710000000002</v>
      </c>
      <c r="CJ132" s="23">
        <f t="shared" si="1148"/>
        <v>328.61709999999999</v>
      </c>
      <c r="CK132" s="24">
        <f t="shared" si="1148"/>
        <v>352.27510000000001</v>
      </c>
      <c r="CL132" s="23">
        <f t="shared" si="1148"/>
        <v>378.64409999999998</v>
      </c>
      <c r="CM132" s="24">
        <f t="shared" si="1148"/>
        <v>411.07675302962627</v>
      </c>
      <c r="CN132" s="24">
        <f t="shared" si="1148"/>
        <v>440.96298168010054</v>
      </c>
      <c r="CO132" s="24">
        <f t="shared" si="1148"/>
        <v>468.50271646937381</v>
      </c>
      <c r="CP132" s="24">
        <f t="shared" si="1148"/>
        <v>493.88019052719449</v>
      </c>
      <c r="CQ132" s="24">
        <f t="shared" si="1148"/>
        <v>517.26517206326241</v>
      </c>
      <c r="CR132" s="24">
        <f t="shared" si="1148"/>
        <v>538.81410006910971</v>
      </c>
      <c r="CS132" s="24">
        <f t="shared" si="1148"/>
        <v>558.67113085123754</v>
      </c>
      <c r="CT132" s="24">
        <f t="shared" si="1148"/>
        <v>576.96910239652175</v>
      </c>
      <c r="CU132" s="24">
        <f t="shared" si="1148"/>
        <v>593.83042302122362</v>
      </c>
      <c r="CV132" s="24">
        <f t="shared" si="1148"/>
        <v>609.36789024841835</v>
      </c>
      <c r="CW132" s="24">
        <f t="shared" si="1148"/>
        <v>623.68544539190339</v>
      </c>
      <c r="CX132" s="24">
        <f t="shared" si="1148"/>
        <v>636.87886889454114</v>
      </c>
      <c r="CY132" s="24">
        <f t="shared" si="1148"/>
        <v>649.03642107265591</v>
      </c>
      <c r="CZ132" s="24">
        <f t="shared" si="1148"/>
        <v>660.23943255288555</v>
      </c>
      <c r="DA132" s="24">
        <f t="shared" si="1148"/>
        <v>670.56284835134602</v>
      </c>
      <c r="DB132" s="24">
        <f t="shared" si="1148"/>
        <v>680.07572923484565</v>
      </c>
      <c r="DE132" s="123"/>
      <c r="DF132" s="23">
        <v>374.37624740144867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0</v>
      </c>
      <c r="L134" s="22">
        <f t="shared" si="1150"/>
        <v>0</v>
      </c>
      <c r="M134" s="22">
        <f t="shared" si="1150"/>
        <v>18.018000000000001</v>
      </c>
      <c r="N134" s="22">
        <f t="shared" si="1150"/>
        <v>18.463999999999999</v>
      </c>
      <c r="O134" s="22">
        <f t="shared" si="1150"/>
        <v>18.505000000000003</v>
      </c>
      <c r="P134" s="22">
        <f t="shared" si="1150"/>
        <v>33.215000000000003</v>
      </c>
      <c r="Q134" s="22">
        <f t="shared" si="1150"/>
        <v>53.616799999999998</v>
      </c>
      <c r="R134" s="22">
        <f t="shared" si="1150"/>
        <v>52.1006</v>
      </c>
      <c r="S134" s="22">
        <f t="shared" si="1150"/>
        <v>78.081100000000006</v>
      </c>
      <c r="T134" s="22">
        <f t="shared" si="1150"/>
        <v>103.18440000000001</v>
      </c>
      <c r="U134" s="22">
        <f t="shared" si="1150"/>
        <v>107.89</v>
      </c>
      <c r="V134" s="22">
        <f t="shared" si="1150"/>
        <v>116.18679999999999</v>
      </c>
      <c r="W134" s="22">
        <f t="shared" si="1150"/>
        <v>207.37130000000002</v>
      </c>
      <c r="X134" s="22">
        <f t="shared" ref="X134:Y134" si="1151">+X131-X132-X133</f>
        <v>239.59439999999998</v>
      </c>
      <c r="Y134" s="22">
        <f t="shared" si="1151"/>
        <v>321.83109999999999</v>
      </c>
      <c r="Z134" s="22">
        <f t="shared" ref="Z134:AE134" si="1152">+Z131-Z132-Z133</f>
        <v>307.32729999999992</v>
      </c>
      <c r="AA134" s="22">
        <f t="shared" ref="AA134" si="1153">+AA131-AA132-AA133</f>
        <v>413.0795</v>
      </c>
      <c r="AB134" s="21">
        <f t="shared" si="1152"/>
        <v>297.84390947280542</v>
      </c>
      <c r="AC134" s="21">
        <f t="shared" si="1152"/>
        <v>214.75499760347816</v>
      </c>
      <c r="AD134" s="21">
        <f t="shared" si="1152"/>
        <v>154.84523110545877</v>
      </c>
      <c r="AE134" s="21">
        <f t="shared" si="1152"/>
        <v>111.64837076515425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53.616999999999997</v>
      </c>
      <c r="AY134" s="22">
        <f t="shared" si="1155"/>
        <v>53.616999999999997</v>
      </c>
      <c r="AZ134" s="22">
        <f t="shared" si="1157"/>
        <v>0</v>
      </c>
      <c r="BA134" s="22">
        <f t="shared" si="1155"/>
        <v>0</v>
      </c>
      <c r="BB134" s="22">
        <f t="shared" si="1157"/>
        <v>52.100999999999999</v>
      </c>
      <c r="BC134" s="22">
        <f t="shared" si="1155"/>
        <v>52.100999999999999</v>
      </c>
      <c r="BD134" s="22">
        <f t="shared" si="1157"/>
        <v>39.994</v>
      </c>
      <c r="BE134" s="22">
        <f t="shared" si="1155"/>
        <v>39.994</v>
      </c>
      <c r="BF134" s="22">
        <f t="shared" si="1157"/>
        <v>78.081000000000003</v>
      </c>
      <c r="BG134" s="22">
        <f t="shared" si="1155"/>
        <v>78.081000000000003</v>
      </c>
      <c r="BH134" s="22">
        <f t="shared" si="1157"/>
        <v>99.528999999999996</v>
      </c>
      <c r="BI134" s="22">
        <f t="shared" si="1155"/>
        <v>99.528999999999996</v>
      </c>
      <c r="BJ134" s="22">
        <f t="shared" si="1157"/>
        <v>103.184</v>
      </c>
      <c r="BK134" s="22">
        <f t="shared" si="1155"/>
        <v>103.184</v>
      </c>
      <c r="BL134" s="22">
        <f t="shared" si="1157"/>
        <v>99.855999999999995</v>
      </c>
      <c r="BM134" s="22">
        <f t="shared" si="1155"/>
        <v>99.855999999999995</v>
      </c>
      <c r="BN134" s="22">
        <f t="shared" si="1157"/>
        <v>107.89</v>
      </c>
      <c r="BO134" s="22">
        <f t="shared" si="1155"/>
        <v>107.89</v>
      </c>
      <c r="BP134" s="22">
        <f t="shared" si="1157"/>
        <v>128.096</v>
      </c>
      <c r="BQ134" s="22">
        <f t="shared" si="1155"/>
        <v>128.096</v>
      </c>
      <c r="BR134" s="22">
        <f t="shared" si="1157"/>
        <v>116.18600000000001</v>
      </c>
      <c r="BS134" s="22">
        <f t="shared" si="1155"/>
        <v>116.18600000000001</v>
      </c>
      <c r="BT134" s="22">
        <f t="shared" si="1157"/>
        <v>146.47399999999999</v>
      </c>
      <c r="BU134" s="22">
        <f t="shared" si="1155"/>
        <v>146.47399999999999</v>
      </c>
      <c r="BV134" s="22">
        <f t="shared" si="1157"/>
        <v>207.37100000000001</v>
      </c>
      <c r="BW134" s="22">
        <f t="shared" si="1155"/>
        <v>207.37100000000001</v>
      </c>
      <c r="BX134" s="22">
        <f t="shared" si="1157"/>
        <v>199.273</v>
      </c>
      <c r="BY134" s="22">
        <f t="shared" si="1155"/>
        <v>199.273</v>
      </c>
      <c r="BZ134" s="22">
        <f t="shared" si="1157"/>
        <v>239.595</v>
      </c>
      <c r="CA134" s="22">
        <f t="shared" si="1155"/>
        <v>239.595</v>
      </c>
      <c r="CB134" s="22">
        <f t="shared" si="1157"/>
        <v>310.61500000000001</v>
      </c>
      <c r="CC134" s="22">
        <f t="shared" si="1155"/>
        <v>310.61500000000001</v>
      </c>
      <c r="CD134" s="22">
        <f t="shared" si="1157"/>
        <v>321.83100000000002</v>
      </c>
      <c r="CE134" s="22">
        <f t="shared" si="1155"/>
        <v>321.83100000000002</v>
      </c>
      <c r="CF134" s="22">
        <f t="shared" ref="CF134:CI134" si="1158">+CF131-CF132-CF133</f>
        <v>316.267</v>
      </c>
      <c r="CG134" s="22">
        <f t="shared" ref="CG134:CI137" si="1159">+CF134</f>
        <v>316.267</v>
      </c>
      <c r="CH134" s="22">
        <f t="shared" si="1158"/>
        <v>307.32729999999992</v>
      </c>
      <c r="CI134" s="22">
        <f t="shared" si="1158"/>
        <v>290.43529999999993</v>
      </c>
      <c r="CJ134" s="23">
        <f>+'QTR Raw'!BD68</f>
        <v>359.50799999999998</v>
      </c>
      <c r="CK134" s="21">
        <f t="shared" ref="CK134:DB134" si="1160">+CK131-CK132-CK133</f>
        <v>335.84999999999997</v>
      </c>
      <c r="CL134" s="23">
        <f>+'QTR Raw'!BF68</f>
        <v>413.08</v>
      </c>
      <c r="CM134" s="21">
        <f t="shared" si="1160"/>
        <v>380.64734697037363</v>
      </c>
      <c r="CN134" s="21">
        <f t="shared" si="1160"/>
        <v>350.76111831989937</v>
      </c>
      <c r="CO134" s="21">
        <f t="shared" si="1160"/>
        <v>323.2213835306261</v>
      </c>
      <c r="CP134" s="21">
        <f t="shared" si="1160"/>
        <v>297.84390947280542</v>
      </c>
      <c r="CQ134" s="21">
        <f t="shared" si="1160"/>
        <v>274.4589279367375</v>
      </c>
      <c r="CR134" s="21">
        <f t="shared" si="1160"/>
        <v>252.90999993089019</v>
      </c>
      <c r="CS134" s="21">
        <f t="shared" si="1160"/>
        <v>233.05296914876237</v>
      </c>
      <c r="CT134" s="21">
        <f t="shared" si="1160"/>
        <v>214.75499760347816</v>
      </c>
      <c r="CU134" s="21">
        <f t="shared" si="1160"/>
        <v>197.89367697877628</v>
      </c>
      <c r="CV134" s="21">
        <f t="shared" si="1160"/>
        <v>182.35620975158156</v>
      </c>
      <c r="CW134" s="21">
        <f t="shared" si="1160"/>
        <v>168.03865460809652</v>
      </c>
      <c r="CX134" s="21">
        <f t="shared" si="1160"/>
        <v>154.84523110545877</v>
      </c>
      <c r="CY134" s="21">
        <f t="shared" si="1160"/>
        <v>142.687678927344</v>
      </c>
      <c r="CZ134" s="21">
        <f t="shared" si="1160"/>
        <v>131.48466744711436</v>
      </c>
      <c r="DA134" s="21">
        <f t="shared" si="1160"/>
        <v>121.16125164865389</v>
      </c>
      <c r="DB134" s="21">
        <f t="shared" si="1160"/>
        <v>111.64837076515425</v>
      </c>
      <c r="DE134" s="126"/>
      <c r="DF134" s="22">
        <v>313.74885259855131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8.9999999999999993E-3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8.9999999999999993E-3</v>
      </c>
      <c r="AY135" s="23">
        <f t="shared" si="1161"/>
        <v>8.9999999999999993E-3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0.23799999999999999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1.7630999999999999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41.647199999999998</v>
      </c>
      <c r="W137" s="23">
        <f>'Annual Raw'!X67+'Annual Raw'!X66+'Annual Raw'!X69+'Annual Raw'!X70</f>
        <v>0</v>
      </c>
      <c r="X137" s="23">
        <f>'Annual Raw'!Y67+'Annual Raw'!Y66+'Annual Raw'!Y69+'Annual Raw'!Y70</f>
        <v>17.734999999999999</v>
      </c>
      <c r="Y137" s="23">
        <f>'Annual Raw'!Z67+'Annual Raw'!Z66+'Annual Raw'!Z69+'Annual Raw'!Z70</f>
        <v>2.8807999999999998</v>
      </c>
      <c r="Z137" s="23">
        <f>'Annual Raw'!AA67+'Annual Raw'!AA66+'Annual Raw'!AA69+'Annual Raw'!AA70</f>
        <v>2.7671000000000001</v>
      </c>
      <c r="AA137" s="23">
        <f>'Annual Raw'!AB67+'Annual Raw'!AB66+'Annual Raw'!AB69+'Annual Raw'!AB70</f>
        <v>0.86419999999999997</v>
      </c>
      <c r="AB137" s="24">
        <f t="shared" si="1142"/>
        <v>0.86399999999999999</v>
      </c>
      <c r="AC137" s="24">
        <f t="shared" si="1143"/>
        <v>0.86399999999999999</v>
      </c>
      <c r="AD137" s="24">
        <f t="shared" si="1144"/>
        <v>0.86399999999999999</v>
      </c>
      <c r="AE137" s="24">
        <f t="shared" si="1145"/>
        <v>0.86399999999999999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0.52900000000000003</v>
      </c>
      <c r="BE137" s="23">
        <f t="shared" si="1161"/>
        <v>0.52900000000000003</v>
      </c>
      <c r="BF137" s="23">
        <f>+'QTR Raw'!Z74+'QTR Raw'!Z75</f>
        <v>1.7629999999999999</v>
      </c>
      <c r="BG137" s="23">
        <f t="shared" si="1161"/>
        <v>1.7629999999999999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0.94799999999999995</v>
      </c>
      <c r="BM137" s="23">
        <f t="shared" si="1161"/>
        <v>0.94799999999999995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5.9240000000000004</v>
      </c>
      <c r="BQ137" s="23">
        <f t="shared" si="1161"/>
        <v>5.9240000000000004</v>
      </c>
      <c r="BR137" s="23">
        <f>+'QTR Raw'!AL74+'QTR Raw'!AL75</f>
        <v>41.646999999999998</v>
      </c>
      <c r="BS137" s="23">
        <f t="shared" si="1161"/>
        <v>41.646999999999998</v>
      </c>
      <c r="BT137" s="23">
        <f>+'QTR Raw'!AN74+'QTR Raw'!AN75</f>
        <v>61.307000000000002</v>
      </c>
      <c r="BU137" s="23">
        <f t="shared" si="1161"/>
        <v>61.307000000000002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17.734999999999999</v>
      </c>
      <c r="CA137" s="23">
        <f t="shared" si="1161"/>
        <v>17.734999999999999</v>
      </c>
      <c r="CB137" s="23">
        <f>+'QTR Raw'!AV74+'QTR Raw'!AV75</f>
        <v>12.378</v>
      </c>
      <c r="CC137" s="23">
        <f t="shared" si="1161"/>
        <v>12.378</v>
      </c>
      <c r="CD137" s="23">
        <f>+'QTR Raw'!AX74+'QTR Raw'!AX75</f>
        <v>2.8809999999999998</v>
      </c>
      <c r="CE137" s="23">
        <f t="shared" si="1161"/>
        <v>2.8809999999999998</v>
      </c>
      <c r="CF137" s="23">
        <f>+'QTR Raw'!AZ74+'QTR Raw'!AZ75</f>
        <v>0.62</v>
      </c>
      <c r="CG137" s="23">
        <f t="shared" si="1159"/>
        <v>0.62</v>
      </c>
      <c r="CH137" s="23">
        <f t="shared" si="1146"/>
        <v>2.7671000000000001</v>
      </c>
      <c r="CI137" s="23">
        <f t="shared" si="1159"/>
        <v>2.7671000000000001</v>
      </c>
      <c r="CJ137" s="23">
        <f>+'QTR Raw'!BD74+'QTR Raw'!BD75</f>
        <v>2.4380000000000002</v>
      </c>
      <c r="CK137" s="24">
        <f t="shared" si="1162"/>
        <v>2.4380000000000002</v>
      </c>
      <c r="CL137" s="23">
        <f>+'QTR Raw'!BF74+'QTR Raw'!BF75</f>
        <v>0.86399999999999999</v>
      </c>
      <c r="CM137" s="24">
        <f t="shared" si="1163"/>
        <v>0.86399999999999999</v>
      </c>
      <c r="CN137" s="24">
        <f t="shared" si="1164"/>
        <v>0.86399999999999999</v>
      </c>
      <c r="CO137" s="24">
        <f t="shared" si="1165"/>
        <v>0.86399999999999999</v>
      </c>
      <c r="CP137" s="24">
        <f t="shared" si="1166"/>
        <v>0.86399999999999999</v>
      </c>
      <c r="CQ137" s="24">
        <f t="shared" si="1167"/>
        <v>0.86399999999999999</v>
      </c>
      <c r="CR137" s="24">
        <f t="shared" si="1168"/>
        <v>0.86399999999999999</v>
      </c>
      <c r="CS137" s="24">
        <f t="shared" si="1169"/>
        <v>0.86399999999999999</v>
      </c>
      <c r="CT137" s="24">
        <f t="shared" si="1170"/>
        <v>0.86399999999999999</v>
      </c>
      <c r="CU137" s="24">
        <f t="shared" si="1171"/>
        <v>0.86399999999999999</v>
      </c>
      <c r="CV137" s="24">
        <f t="shared" si="1172"/>
        <v>0.86399999999999999</v>
      </c>
      <c r="CW137" s="24">
        <f t="shared" si="1173"/>
        <v>0.86399999999999999</v>
      </c>
      <c r="CX137" s="24">
        <f t="shared" si="1174"/>
        <v>0.86399999999999999</v>
      </c>
      <c r="CY137" s="24">
        <f t="shared" si="1175"/>
        <v>0.86399999999999999</v>
      </c>
      <c r="CZ137" s="24">
        <f t="shared" si="1176"/>
        <v>0.86399999999999999</v>
      </c>
      <c r="DA137" s="24">
        <f t="shared" si="1177"/>
        <v>0.86399999999999999</v>
      </c>
      <c r="DB137" s="24">
        <f t="shared" si="1178"/>
        <v>0.86399999999999999</v>
      </c>
      <c r="DE137" s="123"/>
      <c r="DF137" s="23">
        <v>2.4380000000000002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0</v>
      </c>
      <c r="L138" s="22">
        <f t="shared" si="1180"/>
        <v>0</v>
      </c>
      <c r="M138" s="22">
        <f t="shared" si="1180"/>
        <v>18.018000000000001</v>
      </c>
      <c r="N138" s="22">
        <f t="shared" si="1180"/>
        <v>18.463999999999999</v>
      </c>
      <c r="O138" s="22">
        <f t="shared" si="1180"/>
        <v>18.505000000000003</v>
      </c>
      <c r="P138" s="22">
        <f t="shared" si="1180"/>
        <v>33.453000000000003</v>
      </c>
      <c r="Q138" s="22">
        <f t="shared" si="1180"/>
        <v>53.625799999999998</v>
      </c>
      <c r="R138" s="22">
        <f t="shared" si="1180"/>
        <v>52.1006</v>
      </c>
      <c r="S138" s="22">
        <f t="shared" si="1180"/>
        <v>79.844200000000001</v>
      </c>
      <c r="T138" s="22">
        <f t="shared" si="1180"/>
        <v>103.18440000000001</v>
      </c>
      <c r="U138" s="22">
        <f t="shared" si="1180"/>
        <v>107.89</v>
      </c>
      <c r="V138" s="22">
        <f t="shared" si="1180"/>
        <v>157.834</v>
      </c>
      <c r="W138" s="22">
        <f t="shared" si="1180"/>
        <v>207.37130000000002</v>
      </c>
      <c r="X138" s="22">
        <f t="shared" si="1180"/>
        <v>257.32939999999996</v>
      </c>
      <c r="Y138" s="22">
        <f t="shared" si="1180"/>
        <v>324.71190000000001</v>
      </c>
      <c r="Z138" s="22">
        <f>Z134+Z137+Z136+Z135</f>
        <v>310.09439999999995</v>
      </c>
      <c r="AA138" s="22">
        <f>AA134+AA137+AA136+AA135</f>
        <v>413.94369999999998</v>
      </c>
      <c r="AB138" s="161">
        <f t="shared" ref="AB138:AE138" si="1181">AB134+AB137+AB136+AB135</f>
        <v>298.7079094728054</v>
      </c>
      <c r="AC138" s="161">
        <f t="shared" si="1181"/>
        <v>215.61899760347816</v>
      </c>
      <c r="AD138" s="161">
        <f t="shared" si="1181"/>
        <v>155.70923110545877</v>
      </c>
      <c r="AE138" s="161">
        <f t="shared" si="1181"/>
        <v>112.51237076515426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53.625999999999998</v>
      </c>
      <c r="AY138" s="22">
        <f t="shared" si="1186"/>
        <v>53.625999999999998</v>
      </c>
      <c r="AZ138" s="22">
        <f t="shared" si="1186"/>
        <v>0</v>
      </c>
      <c r="BA138" s="22">
        <f t="shared" si="1186"/>
        <v>0</v>
      </c>
      <c r="BB138" s="22">
        <f t="shared" si="1186"/>
        <v>52.100999999999999</v>
      </c>
      <c r="BC138" s="22">
        <f t="shared" si="1186"/>
        <v>52.100999999999999</v>
      </c>
      <c r="BD138" s="22">
        <f t="shared" si="1186"/>
        <v>40.523000000000003</v>
      </c>
      <c r="BE138" s="22">
        <f t="shared" si="1186"/>
        <v>40.523000000000003</v>
      </c>
      <c r="BF138" s="22">
        <f t="shared" si="1186"/>
        <v>79.844000000000008</v>
      </c>
      <c r="BG138" s="22">
        <f t="shared" si="1186"/>
        <v>79.844000000000008</v>
      </c>
      <c r="BH138" s="22">
        <f t="shared" si="1186"/>
        <v>99.528999999999996</v>
      </c>
      <c r="BI138" s="22">
        <f t="shared" si="1186"/>
        <v>99.528999999999996</v>
      </c>
      <c r="BJ138" s="22">
        <f t="shared" si="1186"/>
        <v>103.184</v>
      </c>
      <c r="BK138" s="22">
        <f t="shared" si="1186"/>
        <v>103.184</v>
      </c>
      <c r="BL138" s="22">
        <f t="shared" si="1186"/>
        <v>100.80399999999999</v>
      </c>
      <c r="BM138" s="22">
        <f t="shared" si="1186"/>
        <v>100.80399999999999</v>
      </c>
      <c r="BN138" s="22">
        <f t="shared" si="1186"/>
        <v>107.89</v>
      </c>
      <c r="BO138" s="22">
        <f t="shared" si="1186"/>
        <v>107.89</v>
      </c>
      <c r="BP138" s="22">
        <f t="shared" si="1186"/>
        <v>134.02000000000001</v>
      </c>
      <c r="BQ138" s="22">
        <f t="shared" si="1186"/>
        <v>134.02000000000001</v>
      </c>
      <c r="BR138" s="22">
        <f t="shared" si="1186"/>
        <v>157.833</v>
      </c>
      <c r="BS138" s="22">
        <f t="shared" si="1186"/>
        <v>157.833</v>
      </c>
      <c r="BT138" s="22">
        <f t="shared" si="1186"/>
        <v>207.78100000000001</v>
      </c>
      <c r="BU138" s="22">
        <f t="shared" si="1186"/>
        <v>207.78100000000001</v>
      </c>
      <c r="BV138" s="22">
        <f t="shared" si="1186"/>
        <v>207.37100000000001</v>
      </c>
      <c r="BW138" s="22">
        <f t="shared" si="1186"/>
        <v>207.37100000000001</v>
      </c>
      <c r="BX138" s="22">
        <f t="shared" si="1186"/>
        <v>199.273</v>
      </c>
      <c r="BY138" s="22">
        <f t="shared" si="1186"/>
        <v>199.273</v>
      </c>
      <c r="BZ138" s="22">
        <f t="shared" si="1186"/>
        <v>257.33</v>
      </c>
      <c r="CA138" s="22">
        <f t="shared" si="1186"/>
        <v>257.33</v>
      </c>
      <c r="CB138" s="22">
        <f t="shared" si="1186"/>
        <v>322.99299999999999</v>
      </c>
      <c r="CC138" s="22">
        <f t="shared" si="1186"/>
        <v>322.99299999999999</v>
      </c>
      <c r="CD138" s="22">
        <f t="shared" si="1186"/>
        <v>324.71199999999999</v>
      </c>
      <c r="CE138" s="22">
        <f t="shared" si="1186"/>
        <v>324.71199999999999</v>
      </c>
      <c r="CF138" s="22">
        <f t="shared" ref="CF138:CG138" si="1187">CF134+CF137+CF135+CF136</f>
        <v>316.887</v>
      </c>
      <c r="CG138" s="22">
        <f t="shared" si="1187"/>
        <v>316.887</v>
      </c>
      <c r="CH138" s="22">
        <f t="shared" ref="CH138:CJ138" si="1188">CH134+CH137+CH135+CH136</f>
        <v>310.09439999999995</v>
      </c>
      <c r="CI138" s="22">
        <f t="shared" si="1188"/>
        <v>293.20239999999995</v>
      </c>
      <c r="CJ138" s="22">
        <f t="shared" si="1188"/>
        <v>361.94599999999997</v>
      </c>
      <c r="CK138" s="21">
        <f t="shared" ref="CK138:DB138" si="1189">CK134+CK137+CK135+CK136</f>
        <v>338.28799999999995</v>
      </c>
      <c r="CL138" s="22">
        <f t="shared" si="1189"/>
        <v>413.94399999999996</v>
      </c>
      <c r="CM138" s="21">
        <f t="shared" si="1189"/>
        <v>381.51134697037361</v>
      </c>
      <c r="CN138" s="21">
        <f t="shared" si="1189"/>
        <v>351.62511831989934</v>
      </c>
      <c r="CO138" s="21">
        <f t="shared" si="1189"/>
        <v>324.08538353062607</v>
      </c>
      <c r="CP138" s="21">
        <f t="shared" si="1189"/>
        <v>298.7079094728054</v>
      </c>
      <c r="CQ138" s="21">
        <f t="shared" si="1189"/>
        <v>275.32292793673747</v>
      </c>
      <c r="CR138" s="21">
        <f t="shared" si="1189"/>
        <v>253.7739999308902</v>
      </c>
      <c r="CS138" s="21">
        <f t="shared" si="1189"/>
        <v>233.91696914876238</v>
      </c>
      <c r="CT138" s="21">
        <f t="shared" si="1189"/>
        <v>215.61899760347816</v>
      </c>
      <c r="CU138" s="21">
        <f t="shared" si="1189"/>
        <v>198.75767697877629</v>
      </c>
      <c r="CV138" s="21">
        <f t="shared" si="1189"/>
        <v>183.22020975158156</v>
      </c>
      <c r="CW138" s="21">
        <f t="shared" si="1189"/>
        <v>168.90265460809653</v>
      </c>
      <c r="CX138" s="21">
        <f t="shared" si="1189"/>
        <v>155.70923110545877</v>
      </c>
      <c r="CY138" s="21">
        <f t="shared" si="1189"/>
        <v>143.551678927344</v>
      </c>
      <c r="CZ138" s="21">
        <f t="shared" si="1189"/>
        <v>132.34866744711437</v>
      </c>
      <c r="DA138" s="21">
        <f t="shared" si="1189"/>
        <v>122.02525164865389</v>
      </c>
      <c r="DB138" s="21">
        <f t="shared" si="1189"/>
        <v>112.51237076515426</v>
      </c>
      <c r="DE138" s="126"/>
      <c r="DF138" s="22">
        <v>316.1868525985513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0.214</v>
      </c>
      <c r="N140" s="23">
        <f>'Annual Raw'!O71</f>
        <v>3.4929999999999999</v>
      </c>
      <c r="O140" s="23">
        <f>'Annual Raw'!P71</f>
        <v>0.8</v>
      </c>
      <c r="P140" s="23">
        <f>'Annual Raw'!Q71</f>
        <v>0.82699999999999996</v>
      </c>
      <c r="Q140" s="23">
        <f>'Annual Raw'!R71</f>
        <v>0.92069999999999996</v>
      </c>
      <c r="R140" s="23">
        <f>'Annual Raw'!S71</f>
        <v>3.8243999999999998</v>
      </c>
      <c r="S140" s="23">
        <f>'Annual Raw'!T71</f>
        <v>0.65680000000000005</v>
      </c>
      <c r="T140" s="23">
        <f>'Annual Raw'!U71</f>
        <v>0.65680000000000005</v>
      </c>
      <c r="U140" s="23">
        <f>'Annual Raw'!V71</f>
        <v>0.65680000000000005</v>
      </c>
      <c r="V140" s="23">
        <f>'Annual Raw'!W71</f>
        <v>0.66679999999999995</v>
      </c>
      <c r="W140" s="23">
        <f>'Annual Raw'!X71</f>
        <v>0.66679999999999995</v>
      </c>
      <c r="X140" s="23">
        <f>'Annual Raw'!Y71</f>
        <v>0.66679999999999995</v>
      </c>
      <c r="Y140" s="23">
        <f>'Annual Raw'!Z71</f>
        <v>0.66679999999999995</v>
      </c>
      <c r="Z140" s="23">
        <f>'Annual Raw'!AA71</f>
        <v>0.66679999999999995</v>
      </c>
      <c r="AA140" s="23">
        <f>'Annual Raw'!AB71</f>
        <v>0.65680000000000005</v>
      </c>
      <c r="AB140" s="24">
        <f>+CP140</f>
        <v>0.65700000000000003</v>
      </c>
      <c r="AC140" s="24">
        <f>+CT140</f>
        <v>0.65700000000000003</v>
      </c>
      <c r="AD140" s="24">
        <f>+CX140</f>
        <v>0.65700000000000003</v>
      </c>
      <c r="AE140" s="24">
        <f>+DB140</f>
        <v>0.65700000000000003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0.92100000000000004</v>
      </c>
      <c r="AY140" s="23">
        <f t="shared" si="1190"/>
        <v>0.92100000000000004</v>
      </c>
      <c r="AZ140" s="23">
        <f>+'QTR Raw'!T77</f>
        <v>0</v>
      </c>
      <c r="BA140" s="23">
        <f t="shared" si="1190"/>
        <v>0</v>
      </c>
      <c r="BB140" s="23">
        <f>+'QTR Raw'!V77</f>
        <v>3.8239999999999998</v>
      </c>
      <c r="BC140" s="23">
        <f t="shared" si="1190"/>
        <v>3.8239999999999998</v>
      </c>
      <c r="BD140" s="23">
        <f>+'QTR Raw'!X77</f>
        <v>7.5590000000000002</v>
      </c>
      <c r="BE140" s="23">
        <f t="shared" si="1190"/>
        <v>7.5590000000000002</v>
      </c>
      <c r="BF140" s="23">
        <f>+'QTR Raw'!Z77</f>
        <v>0.65700000000000003</v>
      </c>
      <c r="BG140" s="23">
        <f t="shared" si="1190"/>
        <v>0.65700000000000003</v>
      </c>
      <c r="BH140" s="23">
        <f>+'QTR Raw'!AB77</f>
        <v>7.734</v>
      </c>
      <c r="BI140" s="23">
        <f t="shared" si="1190"/>
        <v>7.734</v>
      </c>
      <c r="BJ140" s="23">
        <f>+'QTR Raw'!AD77</f>
        <v>0.65700000000000003</v>
      </c>
      <c r="BK140" s="23">
        <f t="shared" si="1190"/>
        <v>0.65700000000000003</v>
      </c>
      <c r="BL140" s="23">
        <f>+'QTR Raw'!AF77</f>
        <v>0.65700000000000003</v>
      </c>
      <c r="BM140" s="23">
        <f t="shared" si="1190"/>
        <v>0.65700000000000003</v>
      </c>
      <c r="BN140" s="23">
        <f>+'QTR Raw'!AH77</f>
        <v>0.65700000000000003</v>
      </c>
      <c r="BO140" s="23">
        <f t="shared" si="1190"/>
        <v>0.65700000000000003</v>
      </c>
      <c r="BP140" s="23">
        <f>+'QTR Raw'!AJ77</f>
        <v>0.65700000000000003</v>
      </c>
      <c r="BQ140" s="23">
        <f t="shared" si="1190"/>
        <v>0.65700000000000003</v>
      </c>
      <c r="BR140" s="23">
        <f>+'QTR Raw'!AL77</f>
        <v>0.66700000000000004</v>
      </c>
      <c r="BS140" s="23">
        <f t="shared" si="1190"/>
        <v>0.66700000000000004</v>
      </c>
      <c r="BT140" s="23">
        <f>+'QTR Raw'!AN77</f>
        <v>0.66700000000000004</v>
      </c>
      <c r="BU140" s="23">
        <f t="shared" si="1190"/>
        <v>0.66700000000000004</v>
      </c>
      <c r="BV140" s="23">
        <f>+'QTR Raw'!AP77</f>
        <v>0.66700000000000004</v>
      </c>
      <c r="BW140" s="23">
        <f t="shared" si="1190"/>
        <v>0.66700000000000004</v>
      </c>
      <c r="BX140" s="23">
        <f>+'QTR Raw'!AR77</f>
        <v>0.66700000000000004</v>
      </c>
      <c r="BY140" s="23">
        <f t="shared" si="1190"/>
        <v>0.66700000000000004</v>
      </c>
      <c r="BZ140" s="23">
        <f>+'QTR Raw'!AT77</f>
        <v>0.66700000000000004</v>
      </c>
      <c r="CA140" s="23">
        <f t="shared" si="1190"/>
        <v>0.66700000000000004</v>
      </c>
      <c r="CB140" s="23">
        <f>+'QTR Raw'!AV77</f>
        <v>0.66700000000000004</v>
      </c>
      <c r="CC140" s="23">
        <f t="shared" si="1190"/>
        <v>0.66700000000000004</v>
      </c>
      <c r="CD140" s="23">
        <f>+'QTR Raw'!AX77</f>
        <v>0.66700000000000004</v>
      </c>
      <c r="CE140" s="23">
        <f t="shared" si="1190"/>
        <v>0.66700000000000004</v>
      </c>
      <c r="CF140" s="23">
        <f>+'QTR Raw'!AZ77</f>
        <v>0.66700000000000004</v>
      </c>
      <c r="CG140" s="23">
        <f t="shared" ref="CG140:CI143" si="1191">+CF140</f>
        <v>0.66700000000000004</v>
      </c>
      <c r="CH140" s="23">
        <f t="shared" ref="CH140:CH155" si="1192">Z140</f>
        <v>0.66679999999999995</v>
      </c>
      <c r="CI140" s="23">
        <f t="shared" si="1191"/>
        <v>0.66679999999999995</v>
      </c>
      <c r="CJ140" s="23">
        <f>+'QTR Raw'!BD77</f>
        <v>0.66700000000000004</v>
      </c>
      <c r="CK140" s="24">
        <f t="shared" ref="CK140" si="1193">+CJ140</f>
        <v>0.66700000000000004</v>
      </c>
      <c r="CL140" s="23">
        <f>+'QTR Raw'!BF77</f>
        <v>0.65700000000000003</v>
      </c>
      <c r="CM140" s="24">
        <f t="shared" ref="CM140" si="1194">+CL140</f>
        <v>0.65700000000000003</v>
      </c>
      <c r="CN140" s="24">
        <f t="shared" ref="CN140" si="1195">+CM140</f>
        <v>0.65700000000000003</v>
      </c>
      <c r="CO140" s="24">
        <f t="shared" ref="CO140" si="1196">+CN140</f>
        <v>0.65700000000000003</v>
      </c>
      <c r="CP140" s="24">
        <f t="shared" ref="CP140" si="1197">+CO140</f>
        <v>0.65700000000000003</v>
      </c>
      <c r="CQ140" s="24">
        <f t="shared" ref="CQ140" si="1198">+CP140</f>
        <v>0.65700000000000003</v>
      </c>
      <c r="CR140" s="24">
        <f t="shared" ref="CR140" si="1199">+CQ140</f>
        <v>0.65700000000000003</v>
      </c>
      <c r="CS140" s="24">
        <f t="shared" ref="CS140" si="1200">+CR140</f>
        <v>0.65700000000000003</v>
      </c>
      <c r="CT140" s="24">
        <f t="shared" ref="CT140" si="1201">+CS140</f>
        <v>0.65700000000000003</v>
      </c>
      <c r="CU140" s="24">
        <f t="shared" ref="CU140" si="1202">+CT140</f>
        <v>0.65700000000000003</v>
      </c>
      <c r="CV140" s="24">
        <f t="shared" ref="CV140" si="1203">+CU140</f>
        <v>0.65700000000000003</v>
      </c>
      <c r="CW140" s="24">
        <f t="shared" ref="CW140" si="1204">+CV140</f>
        <v>0.65700000000000003</v>
      </c>
      <c r="CX140" s="24">
        <f t="shared" ref="CX140" si="1205">+CW140</f>
        <v>0.65700000000000003</v>
      </c>
      <c r="CY140" s="24">
        <f t="shared" ref="CY140" si="1206">+CX140</f>
        <v>0.65700000000000003</v>
      </c>
      <c r="CZ140" s="24">
        <f t="shared" ref="CZ140" si="1207">+CY140</f>
        <v>0.65700000000000003</v>
      </c>
      <c r="DA140" s="24">
        <f t="shared" ref="DA140" si="1208">+CZ140</f>
        <v>0.65700000000000003</v>
      </c>
      <c r="DB140" s="24">
        <f t="shared" ref="DB140" si="1209">+DA140</f>
        <v>0.65700000000000003</v>
      </c>
      <c r="DE140" s="123"/>
      <c r="DF140" s="23">
        <v>0.66700000000000004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2.931</v>
      </c>
      <c r="N142" s="23">
        <f>'Annual Raw'!O72+'Annual Raw'!O61</f>
        <v>1.8360000000000001</v>
      </c>
      <c r="O142" s="23">
        <f>'Annual Raw'!P72+'Annual Raw'!P61</f>
        <v>1.8580000000000001</v>
      </c>
      <c r="P142" s="23">
        <f>'Annual Raw'!Q72+'Annual Raw'!Q61</f>
        <v>4.0060000000000002</v>
      </c>
      <c r="Q142" s="23">
        <f>'Annual Raw'!R72+'Annual Raw'!R61</f>
        <v>13.561</v>
      </c>
      <c r="R142" s="23">
        <f>'Annual Raw'!S72+'Annual Raw'!S61</f>
        <v>31.6464</v>
      </c>
      <c r="S142" s="23">
        <f>'Annual Raw'!T72+'Annual Raw'!T61</f>
        <v>64.621799999999993</v>
      </c>
      <c r="T142" s="23">
        <f>'Annual Raw'!U72+'Annual Raw'!U61</f>
        <v>57.411099999999998</v>
      </c>
      <c r="U142" s="23">
        <f>'Annual Raw'!V72+'Annual Raw'!V61</f>
        <v>94.004099999999994</v>
      </c>
      <c r="V142" s="23">
        <f>'Annual Raw'!W72+'Annual Raw'!W61</f>
        <v>102.45180000000001</v>
      </c>
      <c r="W142" s="23">
        <f>'Annual Raw'!X72+'Annual Raw'!X61</f>
        <v>87.347499999999997</v>
      </c>
      <c r="X142" s="23">
        <f>'Annual Raw'!Y72+'Annual Raw'!Y61</f>
        <v>113.9228</v>
      </c>
      <c r="Y142" s="23">
        <f>'Annual Raw'!Z72+'Annual Raw'!Z61</f>
        <v>121.17149999999999</v>
      </c>
      <c r="Z142" s="23">
        <f>'Annual Raw'!AA72+'Annual Raw'!AA61</f>
        <v>151.9392</v>
      </c>
      <c r="AA142" s="23">
        <f>'Annual Raw'!AB72+'Annual Raw'!AB61</f>
        <v>194.8415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5.0250000000000004</v>
      </c>
      <c r="AY142" s="23">
        <f t="shared" si="1214"/>
        <v>5.0250000000000004</v>
      </c>
      <c r="AZ142" s="23">
        <f>+'QTR Raw'!T78</f>
        <v>0</v>
      </c>
      <c r="BA142" s="23">
        <f t="shared" si="1214"/>
        <v>0</v>
      </c>
      <c r="BB142" s="23">
        <f>+'QTR Raw'!V78</f>
        <v>15.558</v>
      </c>
      <c r="BC142" s="23">
        <f t="shared" si="1214"/>
        <v>15.558</v>
      </c>
      <c r="BD142" s="23">
        <f>+'QTR Raw'!X78</f>
        <v>16.666</v>
      </c>
      <c r="BE142" s="23">
        <f t="shared" si="1214"/>
        <v>16.666</v>
      </c>
      <c r="BF142" s="23">
        <f>+'QTR Raw'!Z78</f>
        <v>17.948</v>
      </c>
      <c r="BG142" s="23">
        <f t="shared" si="1214"/>
        <v>17.948</v>
      </c>
      <c r="BH142" s="23">
        <f>+'QTR Raw'!AB78</f>
        <v>20.677</v>
      </c>
      <c r="BI142" s="23">
        <f t="shared" si="1214"/>
        <v>20.677</v>
      </c>
      <c r="BJ142" s="23">
        <f>+'QTR Raw'!AD78</f>
        <v>22.823</v>
      </c>
      <c r="BK142" s="23">
        <f t="shared" si="1214"/>
        <v>22.823</v>
      </c>
      <c r="BL142" s="23">
        <f>+'QTR Raw'!AF78</f>
        <v>25.09</v>
      </c>
      <c r="BM142" s="23">
        <f t="shared" si="1214"/>
        <v>25.09</v>
      </c>
      <c r="BN142" s="23">
        <f>+'QTR Raw'!AH78</f>
        <v>26.683</v>
      </c>
      <c r="BO142" s="23">
        <f t="shared" si="1214"/>
        <v>26.683</v>
      </c>
      <c r="BP142" s="23">
        <f>+'QTR Raw'!AJ78</f>
        <v>20.843</v>
      </c>
      <c r="BQ142" s="23">
        <f t="shared" si="1214"/>
        <v>20.843</v>
      </c>
      <c r="BR142" s="23">
        <f>+'QTR Raw'!AL78</f>
        <v>24.73</v>
      </c>
      <c r="BS142" s="23">
        <f t="shared" si="1214"/>
        <v>24.73</v>
      </c>
      <c r="BT142" s="23">
        <f>+'QTR Raw'!AN78</f>
        <v>30.893999999999998</v>
      </c>
      <c r="BU142" s="23">
        <f t="shared" si="1214"/>
        <v>30.893999999999998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151.9392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1.139</v>
      </c>
      <c r="N143" s="23">
        <f>'Annual Raw'!O73+'Annual Raw'!O81</f>
        <v>2.3119999999999998</v>
      </c>
      <c r="O143" s="23">
        <f>'Annual Raw'!P73+'Annual Raw'!P81</f>
        <v>3.4409999999999998</v>
      </c>
      <c r="P143" s="23">
        <f>'Annual Raw'!Q73+'Annual Raw'!Q81</f>
        <v>8.9190000000000005</v>
      </c>
      <c r="Q143" s="23">
        <f>'Annual Raw'!R73+'Annual Raw'!R81</f>
        <v>0</v>
      </c>
      <c r="R143" s="23">
        <f>'Annual Raw'!S73+'Annual Raw'!S81</f>
        <v>28.085899999999999</v>
      </c>
      <c r="S143" s="23">
        <f>'Annual Raw'!T73+'Annual Raw'!T81</f>
        <v>26.871099999999998</v>
      </c>
      <c r="T143" s="23">
        <f>'Annual Raw'!U73+'Annual Raw'!U81</f>
        <v>26.409199999999998</v>
      </c>
      <c r="U143" s="23">
        <f>'Annual Raw'!V73+'Annual Raw'!V81</f>
        <v>54.3596</v>
      </c>
      <c r="V143" s="23">
        <f>'Annual Raw'!W73+'Annual Raw'!W81</f>
        <v>27.970600000000001</v>
      </c>
      <c r="W143" s="23">
        <f>'Annual Raw'!X73+'Annual Raw'!X81</f>
        <v>142.42529999999999</v>
      </c>
      <c r="X143" s="23">
        <f>'Annual Raw'!Y73+'Annual Raw'!Y81</f>
        <v>98.378299999999996</v>
      </c>
      <c r="Y143" s="23">
        <f>'Annual Raw'!Z73+'Annual Raw'!Z81</f>
        <v>41.148000000000003</v>
      </c>
      <c r="Z143" s="23">
        <f>'Annual Raw'!AA73+'Annual Raw'!AA81</f>
        <v>83.580699999999993</v>
      </c>
      <c r="AA143" s="23">
        <f>'Annual Raw'!AB73+'Annual Raw'!AB81</f>
        <v>47.239599999999996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8.5359999999999996</v>
      </c>
      <c r="AY143" s="23">
        <f t="shared" si="1214"/>
        <v>8.5359999999999996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46.546999999999997</v>
      </c>
      <c r="BC143" s="23">
        <f t="shared" si="1214"/>
        <v>46.546999999999997</v>
      </c>
      <c r="BD143" s="23">
        <f>+'QTR Raw'!X79+'QTR Raw'!X76</f>
        <v>27.457000000000001</v>
      </c>
      <c r="BE143" s="23">
        <f t="shared" si="1214"/>
        <v>27.457000000000001</v>
      </c>
      <c r="BF143" s="23">
        <f>+'QTR Raw'!Z79+'QTR Raw'!Z76</f>
        <v>73.545000000000002</v>
      </c>
      <c r="BG143" s="23">
        <f t="shared" si="1214"/>
        <v>73.545000000000002</v>
      </c>
      <c r="BH143" s="23">
        <f>+'QTR Raw'!AB79+'QTR Raw'!AB76</f>
        <v>33.088999999999999</v>
      </c>
      <c r="BI143" s="23">
        <f t="shared" si="1214"/>
        <v>33.088999999999999</v>
      </c>
      <c r="BJ143" s="23">
        <f>+'QTR Raw'!AD79+'QTR Raw'!AD76</f>
        <v>60.997</v>
      </c>
      <c r="BK143" s="23">
        <f t="shared" si="1214"/>
        <v>60.997</v>
      </c>
      <c r="BL143" s="23">
        <f>+'QTR Raw'!AF79+'QTR Raw'!AF76</f>
        <v>100.46599999999999</v>
      </c>
      <c r="BM143" s="23">
        <f t="shared" si="1214"/>
        <v>100.46599999999999</v>
      </c>
      <c r="BN143" s="23">
        <f>+'QTR Raw'!AH79+'QTR Raw'!AH76</f>
        <v>121.68</v>
      </c>
      <c r="BO143" s="23">
        <f t="shared" si="1214"/>
        <v>121.68</v>
      </c>
      <c r="BP143" s="23">
        <f>+'QTR Raw'!AJ79+'QTR Raw'!AJ76</f>
        <v>88.846999999999994</v>
      </c>
      <c r="BQ143" s="23">
        <f t="shared" si="1214"/>
        <v>88.846999999999994</v>
      </c>
      <c r="BR143" s="23">
        <f>+'QTR Raw'!AL79+'QTR Raw'!AL76</f>
        <v>105.69199999999999</v>
      </c>
      <c r="BS143" s="23">
        <f t="shared" si="1214"/>
        <v>105.69199999999999</v>
      </c>
      <c r="BT143" s="23">
        <f>+'QTR Raw'!AN79+'QTR Raw'!AN76</f>
        <v>114.996</v>
      </c>
      <c r="BU143" s="23">
        <f t="shared" si="1214"/>
        <v>114.996</v>
      </c>
      <c r="BV143" s="23">
        <f>+'QTR Raw'!AP79+'QTR Raw'!AP76</f>
        <v>229.773</v>
      </c>
      <c r="BW143" s="23">
        <f t="shared" si="1214"/>
        <v>229.773</v>
      </c>
      <c r="BX143" s="23">
        <f>+'QTR Raw'!AR79+'QTR Raw'!AR76</f>
        <v>206.01499999999999</v>
      </c>
      <c r="BY143" s="23">
        <f t="shared" si="1214"/>
        <v>206.01499999999999</v>
      </c>
      <c r="BZ143" s="23">
        <f>+'QTR Raw'!AT79+'QTR Raw'!AT76</f>
        <v>212.30099999999999</v>
      </c>
      <c r="CA143" s="23">
        <f t="shared" si="1214"/>
        <v>212.30099999999999</v>
      </c>
      <c r="CB143" s="23">
        <f>+'QTR Raw'!AV79+'QTR Raw'!AV76</f>
        <v>172.99700000000001</v>
      </c>
      <c r="CC143" s="23">
        <f t="shared" si="1214"/>
        <v>172.99700000000001</v>
      </c>
      <c r="CD143" s="23">
        <f>+'QTR Raw'!AX79+'QTR Raw'!AX76</f>
        <v>162.31899999999999</v>
      </c>
      <c r="CE143" s="23">
        <f t="shared" si="1214"/>
        <v>162.31899999999999</v>
      </c>
      <c r="CF143" s="23">
        <f>+'QTR Raw'!AZ79+'QTR Raw'!AZ76</f>
        <v>192.21799999999999</v>
      </c>
      <c r="CG143" s="23">
        <f t="shared" si="1191"/>
        <v>192.21799999999999</v>
      </c>
      <c r="CH143" s="23">
        <f t="shared" si="1192"/>
        <v>83.580699999999993</v>
      </c>
      <c r="CJ143" s="23">
        <f>+'QTR Raw'!BD79+'QTR Raw'!BD76</f>
        <v>212.26400000000001</v>
      </c>
      <c r="CK143" s="24"/>
      <c r="CL143" s="23">
        <f>+'QTR Raw'!BF79+'QTR Raw'!BF76</f>
        <v>242.08099999999999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242.08099999999999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1.421</v>
      </c>
      <c r="N144" s="23">
        <f>'Annual Raw'!O76</f>
        <v>1.835</v>
      </c>
      <c r="O144" s="23">
        <f>'Annual Raw'!P76</f>
        <v>1.5649999999999999</v>
      </c>
      <c r="P144" s="23">
        <f>'Annual Raw'!Q76</f>
        <v>4.2110000000000003</v>
      </c>
      <c r="Q144" s="23">
        <f>'Annual Raw'!R76</f>
        <v>9.7972000000000001</v>
      </c>
      <c r="R144" s="23">
        <f>'Annual Raw'!S76</f>
        <v>3.6082999999999998</v>
      </c>
      <c r="S144" s="23">
        <f>'Annual Raw'!T76</f>
        <v>33.812600000000003</v>
      </c>
      <c r="T144" s="23">
        <f>'Annual Raw'!U76</f>
        <v>75.0017</v>
      </c>
      <c r="U144" s="23">
        <f>'Annual Raw'!V76</f>
        <v>96.833500000000001</v>
      </c>
      <c r="V144" s="23">
        <f>'Annual Raw'!W76</f>
        <v>89.209100000000007</v>
      </c>
      <c r="W144" s="23">
        <f>'Annual Raw'!X76</f>
        <v>81.848299999999995</v>
      </c>
      <c r="X144" s="23">
        <f>'Annual Raw'!Y76</f>
        <v>153.12260000000001</v>
      </c>
      <c r="Y144" s="23">
        <f>'Annual Raw'!Z76</f>
        <v>317.83109999999999</v>
      </c>
      <c r="Z144" s="23">
        <f>'Annual Raw'!AA76</f>
        <v>323.94009999999997</v>
      </c>
      <c r="AA144" s="23">
        <f>'Annual Raw'!AB76</f>
        <v>347.61070000000001</v>
      </c>
      <c r="AB144" s="24">
        <f t="shared" si="1210"/>
        <v>489.64229931870494</v>
      </c>
      <c r="AC144" s="24">
        <f t="shared" si="1211"/>
        <v>673.84532630968931</v>
      </c>
      <c r="AD144" s="24">
        <f t="shared" si="1212"/>
        <v>925.15016813955447</v>
      </c>
      <c r="AE144" s="24">
        <f t="shared" si="1213"/>
        <v>1270.0546874366048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9.7970000000000006</v>
      </c>
      <c r="AY144" s="23">
        <f>+AY179*AY10/90</f>
        <v>7.8010160248700053</v>
      </c>
      <c r="AZ144" s="23">
        <f>+'QTR Raw'!T81</f>
        <v>0</v>
      </c>
      <c r="BA144" s="23">
        <f>+BA179*BA10/90</f>
        <v>0</v>
      </c>
      <c r="BB144" s="23">
        <f>+'QTR Raw'!V81</f>
        <v>3.6080000000000001</v>
      </c>
      <c r="BC144" s="23">
        <f>+BC179*BC10/90</f>
        <v>3.4774298210342027</v>
      </c>
      <c r="BD144" s="23">
        <f>+'QTR Raw'!X81</f>
        <v>9.2309999999999999</v>
      </c>
      <c r="BE144" s="23">
        <f>+BE179*BE10/90</f>
        <v>11.297892556949691</v>
      </c>
      <c r="BF144" s="23">
        <f>+'QTR Raw'!Z81</f>
        <v>33.813000000000002</v>
      </c>
      <c r="BG144" s="23">
        <f>+BG179*BG10/90</f>
        <v>30.548484926633723</v>
      </c>
      <c r="BH144" s="23">
        <f>+'QTR Raw'!AB81</f>
        <v>53.709000000000003</v>
      </c>
      <c r="BI144" s="23">
        <f>+BI179*BI10/90</f>
        <v>66.34876569949212</v>
      </c>
      <c r="BJ144" s="23">
        <f>+'QTR Raw'!AD81</f>
        <v>75.001999999999995</v>
      </c>
      <c r="BK144" s="23">
        <f>+BK179*BK10/90</f>
        <v>68.161946266381918</v>
      </c>
      <c r="BL144" s="23">
        <f>+'QTR Raw'!AF81</f>
        <v>115.91</v>
      </c>
      <c r="BM144" s="23">
        <f>+BM179*BM10/90</f>
        <v>157.11482719399706</v>
      </c>
      <c r="BN144" s="23">
        <f>+'QTR Raw'!AH81</f>
        <v>96.832999999999998</v>
      </c>
      <c r="BO144" s="23">
        <f>+BO179*BO10/90</f>
        <v>22.679099634747818</v>
      </c>
      <c r="BP144" s="23">
        <f>+'QTR Raw'!AJ81</f>
        <v>93.634</v>
      </c>
      <c r="BQ144" s="23">
        <f>+BQ179*BQ10/90</f>
        <v>150.28486957702211</v>
      </c>
      <c r="BR144" s="23">
        <f>+'QTR Raw'!AL81</f>
        <v>89.209000000000003</v>
      </c>
      <c r="BS144" s="23">
        <f>+BS179*BS10/90</f>
        <v>56.539926834236688</v>
      </c>
      <c r="BT144" s="23">
        <f>+'QTR Raw'!AN81</f>
        <v>85.584000000000003</v>
      </c>
      <c r="BU144" s="23">
        <f>+BU179*BU10/90</f>
        <v>106.44707415460978</v>
      </c>
      <c r="BV144" s="23">
        <f>+'QTR Raw'!AP81</f>
        <v>81.847999999999999</v>
      </c>
      <c r="BW144" s="23">
        <f>+BW179*BW10/90</f>
        <v>51.365671383781034</v>
      </c>
      <c r="BX144" s="23">
        <f>+'QTR Raw'!AR81</f>
        <v>114.467</v>
      </c>
      <c r="BY144" s="23">
        <f>+BY179*BY10/90</f>
        <v>159.03981676583831</v>
      </c>
      <c r="BZ144" s="23">
        <f>+'QTR Raw'!AT81</f>
        <v>153.12299999999999</v>
      </c>
      <c r="CA144" s="23">
        <f>+CA179*CA10/90</f>
        <v>107.79856345670956</v>
      </c>
      <c r="CB144" s="23">
        <f>+'QTR Raw'!AV81</f>
        <v>245.149</v>
      </c>
      <c r="CC144" s="23">
        <f>+CC179*CC10/90</f>
        <v>278.81533333978859</v>
      </c>
      <c r="CD144" s="23">
        <f>+'QTR Raw'!AX81</f>
        <v>317.83100000000002</v>
      </c>
      <c r="CE144" s="23">
        <f>+CE179*CE10/90</f>
        <v>296.55671959793881</v>
      </c>
      <c r="CF144" s="23">
        <f>+'QTR Raw'!AZ81</f>
        <v>338.23599999999999</v>
      </c>
      <c r="CG144" s="23">
        <f>+CG179*CG10/90</f>
        <v>363.77487697238405</v>
      </c>
      <c r="CH144" s="23">
        <f t="shared" si="1192"/>
        <v>323.94009999999997</v>
      </c>
      <c r="CI144" s="23">
        <f>+CI179*CI10/90</f>
        <v>249.26008981626927</v>
      </c>
      <c r="CJ144" s="23">
        <f>+'QTR Raw'!BD81</f>
        <v>325.61399999999998</v>
      </c>
      <c r="CK144" s="24">
        <f t="shared" ref="CK144:DB144" si="1215">+CK179*CK10/90</f>
        <v>376.53991730429414</v>
      </c>
      <c r="CL144" s="23">
        <f>+'QTR Raw'!BF81</f>
        <v>347.61099999999999</v>
      </c>
      <c r="CM144" s="24">
        <f t="shared" si="1215"/>
        <v>200.82430355847953</v>
      </c>
      <c r="CN144" s="24">
        <f t="shared" si="1215"/>
        <v>295.26259880322931</v>
      </c>
      <c r="CO144" s="24">
        <f t="shared" si="1215"/>
        <v>350.83131855667961</v>
      </c>
      <c r="CP144" s="24">
        <f t="shared" si="1215"/>
        <v>489.64229931870494</v>
      </c>
      <c r="CQ144" s="24">
        <f t="shared" si="1215"/>
        <v>270.38821439917069</v>
      </c>
      <c r="CR144" s="24">
        <f t="shared" si="1215"/>
        <v>405.06757277724506</v>
      </c>
      <c r="CS144" s="24">
        <f t="shared" si="1215"/>
        <v>483.41851927066659</v>
      </c>
      <c r="CT144" s="24">
        <f t="shared" si="1215"/>
        <v>673.84532630968931</v>
      </c>
      <c r="CU144" s="24">
        <f t="shared" si="1215"/>
        <v>369.91833276575903</v>
      </c>
      <c r="CV144" s="24">
        <f t="shared" si="1215"/>
        <v>556.37166447968866</v>
      </c>
      <c r="CW144" s="24">
        <f t="shared" si="1215"/>
        <v>664.18694453019077</v>
      </c>
      <c r="CX144" s="24">
        <f t="shared" si="1215"/>
        <v>925.15016813955447</v>
      </c>
      <c r="CY144" s="24">
        <f t="shared" si="1215"/>
        <v>507.57493179468065</v>
      </c>
      <c r="CZ144" s="24">
        <f t="shared" si="1215"/>
        <v>763.97259786388372</v>
      </c>
      <c r="DA144" s="24">
        <f t="shared" si="1215"/>
        <v>911.95187386040698</v>
      </c>
      <c r="DB144" s="24">
        <f t="shared" si="1215"/>
        <v>1270.0546874366048</v>
      </c>
      <c r="DE144" s="123"/>
      <c r="DF144" s="23">
        <v>337.27901887236482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18.952000000000002</v>
      </c>
      <c r="N145" s="23">
        <f>'Annual Raw'!O77</f>
        <v>12.166</v>
      </c>
      <c r="O145" s="23">
        <f>'Annual Raw'!P77</f>
        <v>13.755000000000001</v>
      </c>
      <c r="P145" s="23">
        <f>'Annual Raw'!Q77</f>
        <v>23.873999999999999</v>
      </c>
      <c r="Q145" s="23">
        <f>'Annual Raw'!R77</f>
        <v>20.2303</v>
      </c>
      <c r="R145" s="23">
        <f>'Annual Raw'!S77</f>
        <v>58.2776</v>
      </c>
      <c r="S145" s="23">
        <f>'Annual Raw'!T77</f>
        <v>123.4631</v>
      </c>
      <c r="T145" s="23">
        <f>'Annual Raw'!U77</f>
        <v>147.8852</v>
      </c>
      <c r="U145" s="23">
        <f>'Annual Raw'!V77</f>
        <v>235.17509999999999</v>
      </c>
      <c r="V145" s="23">
        <f>'Annual Raw'!W77</f>
        <v>226.53739999999999</v>
      </c>
      <c r="W145" s="23">
        <f>'Annual Raw'!X77</f>
        <v>311.00709999999998</v>
      </c>
      <c r="X145" s="23">
        <f>'Annual Raw'!Y77</f>
        <v>433.86649999999997</v>
      </c>
      <c r="Y145" s="23">
        <f>'Annual Raw'!Z77</f>
        <v>342.11860000000001</v>
      </c>
      <c r="Z145" s="23">
        <f>'Annual Raw'!AA77</f>
        <v>529.8329</v>
      </c>
      <c r="AA145" s="23">
        <f>'Annual Raw'!AB77</f>
        <v>928.21870000000001</v>
      </c>
      <c r="AB145" s="24">
        <f t="shared" si="1210"/>
        <v>1307.4824600812665</v>
      </c>
      <c r="AC145" s="24">
        <f t="shared" si="1211"/>
        <v>1799.3562773958633</v>
      </c>
      <c r="AD145" s="24">
        <f t="shared" si="1212"/>
        <v>2470.4107865410733</v>
      </c>
      <c r="AE145" s="24">
        <f t="shared" si="1213"/>
        <v>3391.4027229222261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20.23</v>
      </c>
      <c r="AY145" s="23">
        <f>+AY180*AY10/90</f>
        <v>16.108457097389021</v>
      </c>
      <c r="AZ145" s="23">
        <f>+'QTR Raw'!T82</f>
        <v>0</v>
      </c>
      <c r="BA145" s="23">
        <f>+BA180*BA10/90</f>
        <v>0</v>
      </c>
      <c r="BB145" s="23">
        <f>+'QTR Raw'!V82</f>
        <v>58.277999999999999</v>
      </c>
      <c r="BC145" s="23">
        <f>+BC180*BC10/90</f>
        <v>56.168973145851233</v>
      </c>
      <c r="BD145" s="23">
        <f>+'QTR Raw'!X82</f>
        <v>125.682</v>
      </c>
      <c r="BE145" s="23">
        <f>+BE180*BE10/90</f>
        <v>153.82317542439077</v>
      </c>
      <c r="BF145" s="23">
        <f>+'QTR Raw'!Z82</f>
        <v>123.46299999999999</v>
      </c>
      <c r="BG145" s="23">
        <f>+BG180*BG10/90</f>
        <v>111.54312230494126</v>
      </c>
      <c r="BH145" s="23">
        <f>+'QTR Raw'!AB82</f>
        <v>139.13900000000001</v>
      </c>
      <c r="BI145" s="23">
        <f>+BI180*BI10/90</f>
        <v>171.88368635911365</v>
      </c>
      <c r="BJ145" s="23">
        <f>+'QTR Raw'!AD82</f>
        <v>147.88499999999999</v>
      </c>
      <c r="BK145" s="23">
        <f>+BK180*BK10/90</f>
        <v>134.3981416976066</v>
      </c>
      <c r="BL145" s="23">
        <f>+'QTR Raw'!AF82</f>
        <v>171.78700000000001</v>
      </c>
      <c r="BM145" s="23">
        <f>+BM180*BM10/90</f>
        <v>232.85553290635124</v>
      </c>
      <c r="BN145" s="23">
        <f>+'QTR Raw'!AH82</f>
        <v>235.17500000000001</v>
      </c>
      <c r="BO145" s="23">
        <f>+BO180*BO10/90</f>
        <v>55.07995473239307</v>
      </c>
      <c r="BP145" s="23">
        <f>+'QTR Raw'!AJ82</f>
        <v>203.17599999999999</v>
      </c>
      <c r="BQ145" s="23">
        <f>+BQ180*BQ10/90</f>
        <v>326.10246984194885</v>
      </c>
      <c r="BR145" s="23">
        <f>+'QTR Raw'!AL82</f>
        <v>226.53700000000001</v>
      </c>
      <c r="BS145" s="23">
        <f>+BS180*BS10/90</f>
        <v>143.5772781361463</v>
      </c>
      <c r="BT145" s="23">
        <f>+'QTR Raw'!AN82</f>
        <v>358.721</v>
      </c>
      <c r="BU145" s="23">
        <f>+BU180*BU10/90</f>
        <v>446.167518319029</v>
      </c>
      <c r="BV145" s="23">
        <f>+'QTR Raw'!AP82</f>
        <v>311.00700000000001</v>
      </c>
      <c r="BW145" s="23">
        <f>+BW180*BW10/90</f>
        <v>195.17988661977796</v>
      </c>
      <c r="BX145" s="23">
        <f>+'QTR Raw'!AR82</f>
        <v>280.86599999999999</v>
      </c>
      <c r="BY145" s="23">
        <f>+BY180*BY10/90</f>
        <v>390.23366713335662</v>
      </c>
      <c r="BZ145" s="23">
        <f>+'QTR Raw'!AT82</f>
        <v>433.86599999999999</v>
      </c>
      <c r="CA145" s="23">
        <f>+CA180*CA10/90</f>
        <v>305.44158312408166</v>
      </c>
      <c r="CB145" s="23">
        <f>+'QTR Raw'!AV82</f>
        <v>464.80500000000001</v>
      </c>
      <c r="CC145" s="23">
        <f>+CC180*CC10/90</f>
        <v>528.63671078813468</v>
      </c>
      <c r="CD145" s="23">
        <f>+'QTR Raw'!AX82</f>
        <v>342.11900000000003</v>
      </c>
      <c r="CE145" s="23">
        <f>+CE180*CE10/90</f>
        <v>319.21898226455954</v>
      </c>
      <c r="CF145" s="23">
        <f>+'QTR Raw'!AZ82</f>
        <v>472.59100000000001</v>
      </c>
      <c r="CG145" s="23">
        <f>+CG180*CG10/90</f>
        <v>508.27449734284926</v>
      </c>
      <c r="CH145" s="23">
        <f t="shared" si="1192"/>
        <v>529.8329</v>
      </c>
      <c r="CI145" s="23">
        <f>+CI180*CI10/90</f>
        <v>407.68708857475326</v>
      </c>
      <c r="CJ145" s="23">
        <f>+'QTR Raw'!BD82</f>
        <v>692.54399999999998</v>
      </c>
      <c r="CK145" s="24">
        <f t="shared" ref="CK145:DB145" si="1216">+CK180*CK10/90</f>
        <v>800.85764275978624</v>
      </c>
      <c r="CL145" s="23">
        <f>+'QTR Raw'!BF82</f>
        <v>928.21900000000005</v>
      </c>
      <c r="CM145" s="24">
        <f t="shared" si="1216"/>
        <v>536.2572940003289</v>
      </c>
      <c r="CN145" s="24">
        <f t="shared" si="1216"/>
        <v>788.43406623649628</v>
      </c>
      <c r="CO145" s="24">
        <f t="shared" si="1216"/>
        <v>936.81815500476853</v>
      </c>
      <c r="CP145" s="24">
        <f t="shared" si="1216"/>
        <v>1307.4824600812665</v>
      </c>
      <c r="CQ145" s="24">
        <f t="shared" si="1216"/>
        <v>722.01247365987808</v>
      </c>
      <c r="CR145" s="24">
        <f t="shared" si="1216"/>
        <v>1081.6441865640661</v>
      </c>
      <c r="CS145" s="24">
        <f t="shared" si="1216"/>
        <v>1290.8632193425954</v>
      </c>
      <c r="CT145" s="24">
        <f t="shared" si="1216"/>
        <v>1799.3562773958633</v>
      </c>
      <c r="CU145" s="24">
        <f t="shared" si="1216"/>
        <v>987.7858437204236</v>
      </c>
      <c r="CV145" s="24">
        <f t="shared" si="1216"/>
        <v>1485.6686066657046</v>
      </c>
      <c r="CW145" s="24">
        <f t="shared" si="1216"/>
        <v>1773.5656853922035</v>
      </c>
      <c r="CX145" s="24">
        <f t="shared" si="1216"/>
        <v>2470.4107865410733</v>
      </c>
      <c r="CY145" s="24">
        <f t="shared" si="1216"/>
        <v>1355.367625349965</v>
      </c>
      <c r="CZ145" s="24">
        <f t="shared" si="1216"/>
        <v>2040.0214055844501</v>
      </c>
      <c r="DA145" s="24">
        <f t="shared" si="1216"/>
        <v>2435.1676339437854</v>
      </c>
      <c r="DB145" s="24">
        <f t="shared" si="1216"/>
        <v>3391.4027229222261</v>
      </c>
      <c r="DE145" s="123"/>
      <c r="DF145" s="23">
        <v>717.35417041633036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1.726</v>
      </c>
      <c r="N146" s="23">
        <f>'Annual Raw'!O79</f>
        <v>2.8119999999999998</v>
      </c>
      <c r="O146" s="23">
        <f>'Annual Raw'!P79</f>
        <v>3.66</v>
      </c>
      <c r="P146" s="23">
        <f>'Annual Raw'!Q79</f>
        <v>5.2990000000000004</v>
      </c>
      <c r="Q146" s="23">
        <f>'Annual Raw'!R79</f>
        <v>5.5940000000000003</v>
      </c>
      <c r="R146" s="23">
        <f>'Annual Raw'!S79</f>
        <v>0.48709999999999998</v>
      </c>
      <c r="S146" s="23">
        <f>'Annual Raw'!T79</f>
        <v>1.8636999999999999</v>
      </c>
      <c r="T146" s="23">
        <f>'Annual Raw'!U79</f>
        <v>37.862400000000001</v>
      </c>
      <c r="U146" s="23">
        <f>'Annual Raw'!V79</f>
        <v>129.5103</v>
      </c>
      <c r="V146" s="23">
        <f>'Annual Raw'!W79</f>
        <v>7.6473000000000004</v>
      </c>
      <c r="W146" s="23">
        <f>'Annual Raw'!X79</f>
        <v>6.2653999999999996</v>
      </c>
      <c r="X146" s="23">
        <f>'Annual Raw'!Y79</f>
        <v>21.870100000000001</v>
      </c>
      <c r="Y146" s="23">
        <f>'Annual Raw'!Z79</f>
        <v>19.618400000000001</v>
      </c>
      <c r="Z146" s="23">
        <f>'Annual Raw'!AA79</f>
        <v>24.773199999999999</v>
      </c>
      <c r="AA146" s="23">
        <f>'Annual Raw'!AB79</f>
        <v>34.738500000000002</v>
      </c>
      <c r="AB146" s="24">
        <f t="shared" si="1210"/>
        <v>1320.8809933587504</v>
      </c>
      <c r="AC146" s="24">
        <f t="shared" si="1211"/>
        <v>1817.7953277822371</v>
      </c>
      <c r="AD146" s="24">
        <f t="shared" si="1212"/>
        <v>2495.7265228075998</v>
      </c>
      <c r="AE146" s="24">
        <f t="shared" si="1213"/>
        <v>3426.1563992641627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5.2640000000000002</v>
      </c>
      <c r="AY146" s="23">
        <f t="shared" si="1214"/>
        <v>5.2640000000000002</v>
      </c>
      <c r="AZ146" s="23">
        <f>+'QTR Raw'!T84</f>
        <v>0</v>
      </c>
      <c r="BA146" s="23">
        <f t="shared" si="1214"/>
        <v>0</v>
      </c>
      <c r="BB146" s="23">
        <f>+'QTR Raw'!V84</f>
        <v>24.297000000000001</v>
      </c>
      <c r="BC146" s="23">
        <f t="shared" si="1214"/>
        <v>24.297000000000001</v>
      </c>
      <c r="BD146" s="23">
        <f>+'QTR Raw'!X84</f>
        <v>35.817</v>
      </c>
      <c r="BE146" s="23">
        <f t="shared" si="1214"/>
        <v>35.817</v>
      </c>
      <c r="BF146" s="23">
        <f>+'QTR Raw'!Z84</f>
        <v>20.411999999999999</v>
      </c>
      <c r="BG146" s="23">
        <f t="shared" si="1214"/>
        <v>20.411999999999999</v>
      </c>
      <c r="BH146" s="23">
        <f>+'QTR Raw'!AB84</f>
        <v>60.185000000000002</v>
      </c>
      <c r="BI146" s="23">
        <f t="shared" si="1214"/>
        <v>60.185000000000002</v>
      </c>
      <c r="BJ146" s="23">
        <f>+'QTR Raw'!AD84</f>
        <v>85.625</v>
      </c>
      <c r="BK146" s="23">
        <f t="shared" si="1214"/>
        <v>85.625</v>
      </c>
      <c r="BL146" s="23">
        <f>+'QTR Raw'!AF84</f>
        <v>105.71599999999999</v>
      </c>
      <c r="BM146" s="23">
        <f t="shared" si="1214"/>
        <v>105.71599999999999</v>
      </c>
      <c r="BN146" s="23">
        <f>+'QTR Raw'!AH84</f>
        <v>163.30699999999999</v>
      </c>
      <c r="BO146" s="23">
        <f t="shared" si="1214"/>
        <v>163.30699999999999</v>
      </c>
      <c r="BP146" s="23">
        <f>+'QTR Raw'!AJ84</f>
        <v>143.78100000000001</v>
      </c>
      <c r="BQ146" s="23">
        <f t="shared" si="1214"/>
        <v>143.78100000000001</v>
      </c>
      <c r="BR146" s="23">
        <f>+'QTR Raw'!AL84</f>
        <v>142.35300000000001</v>
      </c>
      <c r="BS146" s="23">
        <f t="shared" si="1214"/>
        <v>142.35300000000001</v>
      </c>
      <c r="BT146" s="23">
        <f>+'QTR Raw'!AN84</f>
        <v>220.80799999999999</v>
      </c>
      <c r="BU146" s="23">
        <f t="shared" si="1214"/>
        <v>220.80799999999999</v>
      </c>
      <c r="BV146" s="23">
        <f>+'QTR Raw'!AP84</f>
        <v>225.94900000000001</v>
      </c>
      <c r="BW146" s="23">
        <f t="shared" si="1214"/>
        <v>225.94900000000001</v>
      </c>
      <c r="BX146" s="23">
        <f>+'QTR Raw'!AR84</f>
        <v>367.85300000000001</v>
      </c>
      <c r="BY146" s="23">
        <f t="shared" si="1214"/>
        <v>367.85300000000001</v>
      </c>
      <c r="BZ146" s="23">
        <f>+'QTR Raw'!AT84</f>
        <v>449.47899999999998</v>
      </c>
      <c r="CA146" s="23">
        <f t="shared" si="1214"/>
        <v>449.47899999999998</v>
      </c>
      <c r="CB146" s="23">
        <f>+'QTR Raw'!AV84</f>
        <v>609.50300000000004</v>
      </c>
      <c r="CC146" s="23">
        <f t="shared" si="1214"/>
        <v>609.50300000000004</v>
      </c>
      <c r="CD146" s="23">
        <f>+'QTR Raw'!AX84</f>
        <v>639.12699999999995</v>
      </c>
      <c r="CE146" s="23">
        <f t="shared" si="1214"/>
        <v>639.12699999999995</v>
      </c>
      <c r="CF146" s="23">
        <f>+'QTR Raw'!AZ84</f>
        <v>712.61900000000003</v>
      </c>
      <c r="CG146" s="23">
        <f t="shared" ref="CG146:CG147" si="1217">+CF146</f>
        <v>712.61900000000003</v>
      </c>
      <c r="CH146" s="23">
        <f t="shared" si="1192"/>
        <v>24.773199999999999</v>
      </c>
      <c r="CI146" s="23">
        <f>CI10/90*CI181</f>
        <v>733.48694592881111</v>
      </c>
      <c r="CJ146" s="23">
        <f>+'QTR Raw'!BD84</f>
        <v>843.399</v>
      </c>
      <c r="CK146" s="24">
        <f t="shared" ref="CK146:DB146" si="1218">CK10/90*CK181</f>
        <v>1221.4136001371528</v>
      </c>
      <c r="CL146" s="23">
        <f>+'QTR Raw'!BF84</f>
        <v>695.23699999999997</v>
      </c>
      <c r="CM146" s="24">
        <f t="shared" si="1218"/>
        <v>541.75263441086895</v>
      </c>
      <c r="CN146" s="24">
        <f t="shared" si="1218"/>
        <v>796.51360871304712</v>
      </c>
      <c r="CO146" s="24">
        <f t="shared" si="1218"/>
        <v>946.41827554787892</v>
      </c>
      <c r="CP146" s="24">
        <f t="shared" si="1218"/>
        <v>1320.8809933587504</v>
      </c>
      <c r="CQ146" s="24">
        <f t="shared" si="1218"/>
        <v>729.41135544257452</v>
      </c>
      <c r="CR146" s="24">
        <f t="shared" si="1218"/>
        <v>1092.7284236919395</v>
      </c>
      <c r="CS146" s="24">
        <f t="shared" si="1218"/>
        <v>1304.0914455934981</v>
      </c>
      <c r="CT146" s="24">
        <f t="shared" si="1218"/>
        <v>1817.7953277822371</v>
      </c>
      <c r="CU146" s="24">
        <f t="shared" si="1218"/>
        <v>997.90825981562148</v>
      </c>
      <c r="CV146" s="24">
        <f t="shared" si="1218"/>
        <v>1500.8931170308274</v>
      </c>
      <c r="CW146" s="24">
        <f t="shared" si="1218"/>
        <v>1791.7404445809839</v>
      </c>
      <c r="CX146" s="24">
        <f t="shared" si="1218"/>
        <v>2495.7265228075998</v>
      </c>
      <c r="CY146" s="24">
        <f t="shared" si="1218"/>
        <v>1369.256865768798</v>
      </c>
      <c r="CZ146" s="24">
        <f t="shared" si="1218"/>
        <v>2060.926691524427</v>
      </c>
      <c r="DA146" s="24">
        <f t="shared" si="1218"/>
        <v>2460.1222131261475</v>
      </c>
      <c r="DB146" s="24">
        <f t="shared" si="1218"/>
        <v>3426.1563992641627</v>
      </c>
      <c r="DE146" s="123"/>
      <c r="DF146" s="23">
        <v>1094.0597842610823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11.364000000000001</v>
      </c>
      <c r="N147" s="23">
        <f>'Annual Raw'!O80</f>
        <v>13.249000000000001</v>
      </c>
      <c r="O147" s="23">
        <f>'Annual Raw'!P80</f>
        <v>15.821</v>
      </c>
      <c r="P147" s="23">
        <f>'Annual Raw'!Q80</f>
        <v>8.6590000000000007</v>
      </c>
      <c r="Q147" s="23">
        <f>'Annual Raw'!R80</f>
        <v>21.326499999999999</v>
      </c>
      <c r="R147" s="23">
        <f>'Annual Raw'!S80</f>
        <v>24.141100000000002</v>
      </c>
      <c r="S147" s="23">
        <f>'Annual Raw'!T80</f>
        <v>22.726900000000001</v>
      </c>
      <c r="T147" s="23">
        <f>'Annual Raw'!U80</f>
        <v>58.545299999999997</v>
      </c>
      <c r="U147" s="23">
        <f>'Annual Raw'!V80</f>
        <v>40.706499999999998</v>
      </c>
      <c r="V147" s="23">
        <f>'Annual Raw'!W80</f>
        <v>140.25030000000001</v>
      </c>
      <c r="W147" s="23">
        <f>'Annual Raw'!X80</f>
        <v>225.61590000000001</v>
      </c>
      <c r="X147" s="23">
        <f>'Annual Raw'!Y80</f>
        <v>430.96170000000001</v>
      </c>
      <c r="Y147" s="23">
        <f>'Annual Raw'!Z80</f>
        <v>623.00049999999999</v>
      </c>
      <c r="Z147" s="23">
        <f>'Annual Raw'!AA80</f>
        <v>692.95150000000001</v>
      </c>
      <c r="AA147" s="23">
        <f>'Annual Raw'!AB80</f>
        <v>660.9117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21.655999999999999</v>
      </c>
      <c r="AY147" s="23">
        <f t="shared" si="1214"/>
        <v>21.655999999999999</v>
      </c>
      <c r="AZ147" s="23">
        <f>+'QTR Raw'!T85</f>
        <v>0</v>
      </c>
      <c r="BA147" s="23">
        <f t="shared" si="1214"/>
        <v>0</v>
      </c>
      <c r="BB147" s="23">
        <f>+'QTR Raw'!V85</f>
        <v>0.33100000000000002</v>
      </c>
      <c r="BC147" s="23">
        <f t="shared" si="1214"/>
        <v>0.33100000000000002</v>
      </c>
      <c r="BD147" s="23">
        <f>+'QTR Raw'!X85</f>
        <v>0</v>
      </c>
      <c r="BE147" s="23">
        <f t="shared" si="1214"/>
        <v>0</v>
      </c>
      <c r="BF147" s="23">
        <f>+'QTR Raw'!Z85</f>
        <v>4.1779999999999999</v>
      </c>
      <c r="BG147" s="23">
        <f t="shared" si="1214"/>
        <v>4.1779999999999999</v>
      </c>
      <c r="BH147" s="23">
        <f>+'QTR Raw'!AB85</f>
        <v>18.460999999999999</v>
      </c>
      <c r="BI147" s="23">
        <f t="shared" si="1214"/>
        <v>18.460999999999999</v>
      </c>
      <c r="BJ147" s="23">
        <f>+'QTR Raw'!AD85</f>
        <v>10.782999999999999</v>
      </c>
      <c r="BK147" s="23">
        <f t="shared" si="1214"/>
        <v>10.782999999999999</v>
      </c>
      <c r="BL147" s="23">
        <f>+'QTR Raw'!AF85</f>
        <v>11.236000000000001</v>
      </c>
      <c r="BM147" s="23">
        <f t="shared" si="1214"/>
        <v>11.236000000000001</v>
      </c>
      <c r="BN147" s="23">
        <f>+'QTR Raw'!AH85</f>
        <v>6.91</v>
      </c>
      <c r="BO147" s="23">
        <f t="shared" si="1214"/>
        <v>6.91</v>
      </c>
      <c r="BP147" s="23">
        <f>+'QTR Raw'!AJ85</f>
        <v>5.2450000000000001</v>
      </c>
      <c r="BQ147" s="23">
        <f t="shared" si="1214"/>
        <v>5.2450000000000001</v>
      </c>
      <c r="BR147" s="23">
        <f>+'QTR Raw'!AL85</f>
        <v>5.5449999999999999</v>
      </c>
      <c r="BS147" s="23">
        <f t="shared" si="1214"/>
        <v>5.5449999999999999</v>
      </c>
      <c r="BT147" s="23">
        <f>+'QTR Raw'!AN85</f>
        <v>5.6</v>
      </c>
      <c r="BU147" s="23">
        <f t="shared" si="1214"/>
        <v>5.6</v>
      </c>
      <c r="BV147" s="23">
        <f>+'QTR Raw'!AP85</f>
        <v>5.9320000000000004</v>
      </c>
      <c r="BW147" s="23">
        <f t="shared" si="1214"/>
        <v>5.9320000000000004</v>
      </c>
      <c r="BX147" s="23">
        <f>+'QTR Raw'!AR85</f>
        <v>6</v>
      </c>
      <c r="BY147" s="23">
        <f t="shared" si="1214"/>
        <v>6</v>
      </c>
      <c r="BZ147" s="23">
        <f>+'QTR Raw'!AT85</f>
        <v>3.3519999999999999</v>
      </c>
      <c r="CA147" s="23">
        <f t="shared" si="1214"/>
        <v>3.3519999999999999</v>
      </c>
      <c r="CB147" s="23">
        <f>+'QTR Raw'!AV85</f>
        <v>3.524</v>
      </c>
      <c r="CC147" s="23">
        <f t="shared" si="1214"/>
        <v>3.524</v>
      </c>
      <c r="CD147" s="23">
        <f>+'QTR Raw'!AX85</f>
        <v>3.492</v>
      </c>
      <c r="CE147" s="23">
        <f t="shared" si="1214"/>
        <v>3.492</v>
      </c>
      <c r="CF147" s="23">
        <f>+'QTR Raw'!AZ85</f>
        <v>2.5209999999999999</v>
      </c>
      <c r="CG147" s="23">
        <f t="shared" si="1217"/>
        <v>2.5209999999999999</v>
      </c>
      <c r="CH147" s="23">
        <f t="shared" si="1192"/>
        <v>692.95150000000001</v>
      </c>
      <c r="CJ147" s="23">
        <f>+'QTR Raw'!BD85</f>
        <v>0.55800000000000005</v>
      </c>
      <c r="CK147" s="24"/>
      <c r="CL147" s="23">
        <f>+'QTR Raw'!BF85</f>
        <v>0.41299999999999998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0.41299999999999998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0</v>
      </c>
      <c r="L148" s="22">
        <f>SUM(L142:L147)</f>
        <v>0</v>
      </c>
      <c r="M148" s="22">
        <f>SUM(M142:M147)</f>
        <v>37.533000000000001</v>
      </c>
      <c r="N148" s="22">
        <f t="shared" si="1219"/>
        <v>34.21</v>
      </c>
      <c r="O148" s="22">
        <f t="shared" si="1219"/>
        <v>40.1</v>
      </c>
      <c r="P148" s="22">
        <f t="shared" si="1219"/>
        <v>54.968000000000004</v>
      </c>
      <c r="Q148" s="22">
        <f t="shared" si="1219"/>
        <v>70.509</v>
      </c>
      <c r="R148" s="22">
        <f t="shared" si="1219"/>
        <v>146.24639999999999</v>
      </c>
      <c r="S148" s="22">
        <f t="shared" si="1219"/>
        <v>273.35919999999999</v>
      </c>
      <c r="T148" s="22">
        <f t="shared" si="1219"/>
        <v>403.11489999999998</v>
      </c>
      <c r="U148" s="22">
        <f t="shared" si="1219"/>
        <v>650.58910000000003</v>
      </c>
      <c r="V148" s="22">
        <f t="shared" si="1219"/>
        <v>594.06650000000002</v>
      </c>
      <c r="W148" s="22">
        <f t="shared" ref="W148" si="1220">SUM(W142:W147)</f>
        <v>854.50949999999989</v>
      </c>
      <c r="X148" s="22">
        <f t="shared" ref="X148:Y148" si="1221">SUM(X142:X147)</f>
        <v>1252.1219999999998</v>
      </c>
      <c r="Y148" s="22">
        <f t="shared" si="1221"/>
        <v>1464.8880999999999</v>
      </c>
      <c r="Z148" s="22">
        <f t="shared" ref="Z148:AA148" si="1222">SUM(Z142:Z147)</f>
        <v>1807.0176000000001</v>
      </c>
      <c r="AA148" s="22">
        <f t="shared" si="1222"/>
        <v>2213.5607</v>
      </c>
      <c r="AB148" s="21">
        <f t="shared" ref="AA148:AD148" si="1223">SUM(AB142:AB147)</f>
        <v>3118.0057527587219</v>
      </c>
      <c r="AC148" s="21">
        <f t="shared" si="1223"/>
        <v>4290.9969314877899</v>
      </c>
      <c r="AD148" s="21">
        <f t="shared" si="1223"/>
        <v>5891.2874774882275</v>
      </c>
      <c r="AE148" s="21">
        <f t="shared" ref="AE148" si="1224">SUM(AE142:AE147)</f>
        <v>8087.6138096229934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70.50800000000001</v>
      </c>
      <c r="AY148" s="22">
        <f t="shared" si="1229"/>
        <v>64.390473122259024</v>
      </c>
      <c r="AZ148" s="22">
        <f t="shared" si="1229"/>
        <v>0</v>
      </c>
      <c r="BA148" s="22">
        <f t="shared" si="1229"/>
        <v>0</v>
      </c>
      <c r="BB148" s="22">
        <f t="shared" si="1229"/>
        <v>148.61899999999997</v>
      </c>
      <c r="BC148" s="22">
        <f t="shared" si="1229"/>
        <v>146.37940296688541</v>
      </c>
      <c r="BD148" s="22">
        <f t="shared" si="1229"/>
        <v>214.85300000000001</v>
      </c>
      <c r="BE148" s="22">
        <f t="shared" si="1229"/>
        <v>245.06106798134047</v>
      </c>
      <c r="BF148" s="22">
        <f t="shared" si="1229"/>
        <v>273.35899999999998</v>
      </c>
      <c r="BG148" s="22">
        <f t="shared" si="1229"/>
        <v>258.17460723157501</v>
      </c>
      <c r="BH148" s="22">
        <f t="shared" si="1229"/>
        <v>325.26</v>
      </c>
      <c r="BI148" s="22">
        <f t="shared" si="1229"/>
        <v>370.64445205860579</v>
      </c>
      <c r="BJ148" s="22">
        <f t="shared" si="1229"/>
        <v>403.11500000000001</v>
      </c>
      <c r="BK148" s="22">
        <f t="shared" si="1229"/>
        <v>382.78808796398852</v>
      </c>
      <c r="BL148" s="22">
        <f t="shared" si="1229"/>
        <v>530.20500000000004</v>
      </c>
      <c r="BM148" s="22">
        <f t="shared" si="1229"/>
        <v>632.47836010034825</v>
      </c>
      <c r="BN148" s="22">
        <f t="shared" si="1229"/>
        <v>650.58799999999997</v>
      </c>
      <c r="BO148" s="22">
        <f t="shared" si="1229"/>
        <v>396.33905436714093</v>
      </c>
      <c r="BP148" s="22">
        <f t="shared" si="1229"/>
        <v>555.52599999999995</v>
      </c>
      <c r="BQ148" s="22">
        <f t="shared" si="1229"/>
        <v>735.1033394189709</v>
      </c>
      <c r="BR148" s="22">
        <f t="shared" si="1229"/>
        <v>594.06599999999992</v>
      </c>
      <c r="BS148" s="22">
        <f t="shared" si="1229"/>
        <v>478.43720497038305</v>
      </c>
      <c r="BT148" s="22">
        <f t="shared" si="1229"/>
        <v>816.60299999999995</v>
      </c>
      <c r="BU148" s="22">
        <f t="shared" si="1229"/>
        <v>924.91259247363871</v>
      </c>
      <c r="BV148" s="22">
        <f t="shared" si="1229"/>
        <v>854.50900000000001</v>
      </c>
      <c r="BW148" s="22">
        <f t="shared" si="1229"/>
        <v>708.19955800355899</v>
      </c>
      <c r="BX148" s="22">
        <f t="shared" si="1229"/>
        <v>975.20100000000002</v>
      </c>
      <c r="BY148" s="22">
        <f t="shared" si="1229"/>
        <v>1129.141483899195</v>
      </c>
      <c r="BZ148" s="22">
        <f t="shared" si="1229"/>
        <v>1252.1210000000001</v>
      </c>
      <c r="CA148" s="22">
        <f t="shared" si="1229"/>
        <v>1078.3721465807914</v>
      </c>
      <c r="CB148" s="22">
        <f t="shared" si="1229"/>
        <v>1495.9780000000001</v>
      </c>
      <c r="CC148" s="22">
        <f t="shared" si="1229"/>
        <v>1593.4760441279232</v>
      </c>
      <c r="CD148" s="22">
        <f t="shared" si="1229"/>
        <v>1464.8879999999999</v>
      </c>
      <c r="CE148" s="22">
        <f t="shared" si="1229"/>
        <v>1420.7137018624983</v>
      </c>
      <c r="CF148" s="22">
        <f t="shared" ref="CF148:CG148" si="1230">SUM(CF142:CF147)</f>
        <v>1718.1849999999999</v>
      </c>
      <c r="CG148" s="22">
        <f t="shared" si="1230"/>
        <v>1779.4073743152333</v>
      </c>
      <c r="CH148" s="22">
        <f t="shared" ref="CH148:CI148" si="1231">SUM(CH142:CH147)</f>
        <v>1807.0176000000001</v>
      </c>
      <c r="CI148" s="22">
        <f t="shared" si="1231"/>
        <v>1390.4341243198337</v>
      </c>
      <c r="CJ148" s="22">
        <f t="shared" ref="CJ148:DB148" si="1232">SUM(CJ142:CJ147)</f>
        <v>2074.3789999999999</v>
      </c>
      <c r="CK148" s="21">
        <f t="shared" si="1232"/>
        <v>2398.8111602012332</v>
      </c>
      <c r="CL148" s="22">
        <f t="shared" ref="CL148" si="1233">SUM(CL142:CL147)</f>
        <v>2213.5610000000001</v>
      </c>
      <c r="CM148" s="21">
        <f t="shared" si="1232"/>
        <v>1278.8342319696774</v>
      </c>
      <c r="CN148" s="21">
        <f t="shared" si="1232"/>
        <v>1880.2102737527725</v>
      </c>
      <c r="CO148" s="21">
        <f t="shared" si="1232"/>
        <v>2234.067749109327</v>
      </c>
      <c r="CP148" s="21">
        <f t="shared" si="1232"/>
        <v>3118.0057527587219</v>
      </c>
      <c r="CQ148" s="21">
        <f t="shared" si="1232"/>
        <v>1721.8120435016233</v>
      </c>
      <c r="CR148" s="21">
        <f t="shared" si="1232"/>
        <v>2579.4401830332508</v>
      </c>
      <c r="CS148" s="21">
        <f t="shared" si="1232"/>
        <v>3078.37318420676</v>
      </c>
      <c r="CT148" s="21">
        <f t="shared" si="1232"/>
        <v>4290.9969314877899</v>
      </c>
      <c r="CU148" s="21">
        <f t="shared" si="1232"/>
        <v>2355.6124363018043</v>
      </c>
      <c r="CV148" s="21">
        <f t="shared" si="1232"/>
        <v>3542.9333881762204</v>
      </c>
      <c r="CW148" s="21">
        <f t="shared" si="1232"/>
        <v>4229.493074503378</v>
      </c>
      <c r="CX148" s="21">
        <f t="shared" si="1232"/>
        <v>5891.2874774882275</v>
      </c>
      <c r="CY148" s="21">
        <f t="shared" si="1232"/>
        <v>3232.1994229134434</v>
      </c>
      <c r="CZ148" s="21">
        <f t="shared" si="1232"/>
        <v>4864.9206949727613</v>
      </c>
      <c r="DA148" s="21">
        <f t="shared" si="1232"/>
        <v>5807.2417209303403</v>
      </c>
      <c r="DB148" s="21">
        <f t="shared" si="1232"/>
        <v>8087.6138096229934</v>
      </c>
      <c r="DE148" s="126"/>
      <c r="DF148" s="22">
        <v>2148.6929735497774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10.4899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0</v>
      </c>
      <c r="CA149" s="23">
        <f t="shared" si="1238"/>
        <v>0</v>
      </c>
      <c r="CB149" s="23">
        <f>+'QTR Raw'!AV64</f>
        <v>0</v>
      </c>
      <c r="CC149" s="23">
        <f t="shared" si="1238"/>
        <v>0</v>
      </c>
      <c r="CD149" s="23">
        <f>+'QTR Raw'!AX64</f>
        <v>0</v>
      </c>
      <c r="CE149" s="23">
        <f t="shared" si="1238"/>
        <v>0</v>
      </c>
      <c r="CF149" s="23">
        <f>+'QTR Raw'!AZ64</f>
        <v>0</v>
      </c>
      <c r="CG149" s="23">
        <f t="shared" ref="CG149:CG152" si="1239">+CF149</f>
        <v>0</v>
      </c>
      <c r="CH149" s="23">
        <f t="shared" si="1192"/>
        <v>0</v>
      </c>
      <c r="CJ149" s="23">
        <f>+'QTR Raw'!BD64</f>
        <v>11.803000000000001</v>
      </c>
      <c r="CK149" s="24"/>
      <c r="CL149" s="23">
        <f>+'QTR Raw'!BF64</f>
        <v>10.49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10.49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0.48499999999999999</v>
      </c>
      <c r="N151" s="23">
        <f>'Annual Raw'!O52</f>
        <v>0.51100000000000001</v>
      </c>
      <c r="O151" s="23">
        <f>'Annual Raw'!P52</f>
        <v>0.47799999999999998</v>
      </c>
      <c r="P151" s="23">
        <f>'Annual Raw'!Q52</f>
        <v>0.59299999999999997</v>
      </c>
      <c r="Q151" s="23">
        <f>'Annual Raw'!R52</f>
        <v>0.59240000000000004</v>
      </c>
      <c r="R151" s="23">
        <f>'Annual Raw'!S52</f>
        <v>0.9304</v>
      </c>
      <c r="S151" s="23">
        <f>'Annual Raw'!T52</f>
        <v>0</v>
      </c>
      <c r="T151" s="23">
        <f>'Annual Raw'!U52</f>
        <v>0</v>
      </c>
      <c r="U151" s="23">
        <f>'Annual Raw'!V52</f>
        <v>0.39810000000000001</v>
      </c>
      <c r="V151" s="23">
        <f>'Annual Raw'!W52</f>
        <v>0.79049999999999998</v>
      </c>
      <c r="W151" s="23">
        <f>'Annual Raw'!X52</f>
        <v>1.5186999999999999</v>
      </c>
      <c r="X151" s="23">
        <f>'Annual Raw'!Y52</f>
        <v>2.1379000000000001</v>
      </c>
      <c r="Y151" s="23">
        <f>'Annual Raw'!Z52</f>
        <v>2.6642999999999999</v>
      </c>
      <c r="Z151" s="23">
        <f>'Annual Raw'!AA52</f>
        <v>2.8875000000000002</v>
      </c>
      <c r="AA151" s="23">
        <f>'Annual Raw'!AB52</f>
        <v>3.0310999999999999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0.59199999999999997</v>
      </c>
      <c r="AY151" s="23">
        <f t="shared" si="1238"/>
        <v>0.59199999999999997</v>
      </c>
      <c r="AZ151" s="23">
        <f>+'QTR Raw'!T66</f>
        <v>0</v>
      </c>
      <c r="BA151" s="23">
        <f t="shared" si="1238"/>
        <v>0</v>
      </c>
      <c r="BB151" s="23">
        <f>+'QTR Raw'!V66</f>
        <v>0.93</v>
      </c>
      <c r="BC151" s="23">
        <f t="shared" si="1238"/>
        <v>0.93</v>
      </c>
      <c r="BD151" s="23">
        <f>+'QTR Raw'!X66</f>
        <v>0.14699999999999999</v>
      </c>
      <c r="BE151" s="23">
        <f t="shared" si="1238"/>
        <v>0.14699999999999999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0.39800000000000002</v>
      </c>
      <c r="BO151" s="23">
        <f t="shared" si="1238"/>
        <v>0.39800000000000002</v>
      </c>
      <c r="BP151" s="23">
        <f>+'QTR Raw'!AJ66</f>
        <v>0.69799999999999995</v>
      </c>
      <c r="BQ151" s="23">
        <f t="shared" si="1238"/>
        <v>0.69799999999999995</v>
      </c>
      <c r="BR151" s="23">
        <f>+'QTR Raw'!AL66</f>
        <v>0.79</v>
      </c>
      <c r="BS151" s="23">
        <f t="shared" si="1238"/>
        <v>0.79</v>
      </c>
      <c r="BT151" s="23">
        <f>+'QTR Raw'!AN66</f>
        <v>1.357</v>
      </c>
      <c r="BU151" s="23">
        <f t="shared" si="1238"/>
        <v>1.357</v>
      </c>
      <c r="BV151" s="23">
        <f>+'QTR Raw'!AP66</f>
        <v>1.5189999999999999</v>
      </c>
      <c r="BW151" s="23">
        <f t="shared" si="1238"/>
        <v>1.5189999999999999</v>
      </c>
      <c r="BX151" s="23">
        <f>+'QTR Raw'!AR66</f>
        <v>2.1259999999999999</v>
      </c>
      <c r="BY151" s="23">
        <f t="shared" si="1238"/>
        <v>2.1259999999999999</v>
      </c>
      <c r="BZ151" s="23">
        <f>+'QTR Raw'!AT66</f>
        <v>2.1379999999999999</v>
      </c>
      <c r="CA151" s="23">
        <f t="shared" si="1238"/>
        <v>2.1379999999999999</v>
      </c>
      <c r="CB151" s="23">
        <f>+'QTR Raw'!AV66</f>
        <v>1.9690000000000001</v>
      </c>
      <c r="CC151" s="23">
        <f t="shared" si="1238"/>
        <v>1.9690000000000001</v>
      </c>
      <c r="CD151" s="23">
        <f>+'QTR Raw'!AX66</f>
        <v>2.6640000000000001</v>
      </c>
      <c r="CE151" s="23">
        <f t="shared" si="1238"/>
        <v>2.6640000000000001</v>
      </c>
      <c r="CF151" s="23">
        <f>+'QTR Raw'!AZ66</f>
        <v>4.6779999999999999</v>
      </c>
      <c r="CG151" s="23">
        <f t="shared" si="1239"/>
        <v>4.6779999999999999</v>
      </c>
      <c r="CH151" s="23">
        <f t="shared" si="1192"/>
        <v>2.8875000000000002</v>
      </c>
      <c r="CJ151" s="23">
        <f>+'QTR Raw'!BD66</f>
        <v>1.841</v>
      </c>
      <c r="CK151" s="24"/>
      <c r="CL151" s="23">
        <f>+'QTR Raw'!BF66</f>
        <v>3.0310000000000001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3.0310000000000001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1468.4662881598849</v>
      </c>
      <c r="AC152" s="24">
        <f t="shared" si="1235"/>
        <v>2020.9020881094345</v>
      </c>
      <c r="AD152" s="24">
        <f t="shared" si="1236"/>
        <v>2774.5802094481878</v>
      </c>
      <c r="AE152" s="24">
        <f t="shared" si="1237"/>
        <v>3808.969313343895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349.86621399581202</v>
      </c>
      <c r="CJ152" s="23">
        <f>+'QTR Raw'!BD87</f>
        <v>0</v>
      </c>
      <c r="CK152" s="24">
        <f t="shared" ref="CK152:DB152" si="1240">CK10/90*CK184</f>
        <v>728.56300552025596</v>
      </c>
      <c r="CL152" s="23">
        <f>+'QTR Raw'!BF87</f>
        <v>0</v>
      </c>
      <c r="CM152" s="24">
        <f t="shared" si="1240"/>
        <v>602.283993905648</v>
      </c>
      <c r="CN152" s="24">
        <f t="shared" si="1240"/>
        <v>885.51004090192566</v>
      </c>
      <c r="CO152" s="24">
        <f t="shared" si="1240"/>
        <v>1052.1639262947656</v>
      </c>
      <c r="CP152" s="24">
        <f t="shared" si="1240"/>
        <v>1468.4662881598849</v>
      </c>
      <c r="CQ152" s="24">
        <f t="shared" si="1240"/>
        <v>810.91028719005385</v>
      </c>
      <c r="CR152" s="24">
        <f t="shared" si="1240"/>
        <v>1214.8216685482178</v>
      </c>
      <c r="CS152" s="24">
        <f t="shared" si="1240"/>
        <v>1449.8008027674193</v>
      </c>
      <c r="CT152" s="24">
        <f t="shared" si="1240"/>
        <v>2020.9020881094345</v>
      </c>
      <c r="CU152" s="24">
        <f t="shared" si="1240"/>
        <v>1109.4070136396729</v>
      </c>
      <c r="CV152" s="24">
        <f t="shared" si="1240"/>
        <v>1668.5916108813076</v>
      </c>
      <c r="CW152" s="24">
        <f t="shared" si="1240"/>
        <v>1991.9360284754823</v>
      </c>
      <c r="CX152" s="24">
        <f t="shared" si="1240"/>
        <v>2774.5802094481878</v>
      </c>
      <c r="CY152" s="24">
        <f t="shared" si="1240"/>
        <v>1522.2473162401222</v>
      </c>
      <c r="CZ152" s="24">
        <f t="shared" si="1240"/>
        <v>2291.199119442957</v>
      </c>
      <c r="DA152" s="24">
        <f t="shared" si="1240"/>
        <v>2734.9977423347277</v>
      </c>
      <c r="DB152" s="24">
        <f t="shared" si="1240"/>
        <v>3808.969313343895</v>
      </c>
      <c r="DE152" s="123"/>
      <c r="DF152" s="23">
        <v>652.59751860515678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20.606999999999999</v>
      </c>
      <c r="N153" s="23">
        <f>'Annual Raw'!O54</f>
        <v>35.557000000000002</v>
      </c>
      <c r="O153" s="23">
        <f>'Annual Raw'!P54</f>
        <v>39.976999999999997</v>
      </c>
      <c r="P153" s="23">
        <f>'Annual Raw'!Q54</f>
        <v>63.125999999999998</v>
      </c>
      <c r="Q153" s="23">
        <f>'Annual Raw'!R54</f>
        <v>82.164599999999993</v>
      </c>
      <c r="R153" s="23">
        <f>'Annual Raw'!S54</f>
        <v>74.353899999999996</v>
      </c>
      <c r="S153" s="23">
        <f>'Annual Raw'!T54</f>
        <v>127.16589999999999</v>
      </c>
      <c r="T153" s="23">
        <f>'Annual Raw'!U54</f>
        <v>159.14089999999999</v>
      </c>
      <c r="U153" s="23">
        <f>'Annual Raw'!V54</f>
        <v>216.8066</v>
      </c>
      <c r="V153" s="23">
        <f>'Annual Raw'!W54</f>
        <v>256.6456</v>
      </c>
      <c r="W153" s="23">
        <f>'Annual Raw'!X54</f>
        <v>258.2002</v>
      </c>
      <c r="X153" s="23">
        <f>'Annual Raw'!Y54</f>
        <v>368.31560000000002</v>
      </c>
      <c r="Y153" s="23">
        <f>'Annual Raw'!Z54</f>
        <v>420.03179999999998</v>
      </c>
      <c r="Z153" s="23">
        <f>'Annual Raw'!AA54</f>
        <v>417.90679999999998</v>
      </c>
      <c r="AA153" s="23">
        <f>'Annual Raw'!AB54</f>
        <v>465.19510000000002</v>
      </c>
      <c r="AB153" s="24">
        <f t="shared" si="1234"/>
        <v>655.2702573611449</v>
      </c>
      <c r="AC153" s="24">
        <f t="shared" si="1235"/>
        <v>901.78238482854647</v>
      </c>
      <c r="AD153" s="24">
        <f t="shared" si="1236"/>
        <v>1238.094399969161</v>
      </c>
      <c r="AE153" s="24">
        <f t="shared" si="1237"/>
        <v>1699.6674165146421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82.165000000000006</v>
      </c>
      <c r="AY153" s="23">
        <f>+AY183*AY10/90</f>
        <v>65.425179308302958</v>
      </c>
      <c r="AZ153" s="23">
        <f>+'QTR Raw'!T89</f>
        <v>0</v>
      </c>
      <c r="BA153" s="23">
        <f>+BA183*BA10/90</f>
        <v>0</v>
      </c>
      <c r="BB153" s="23">
        <f>+'QTR Raw'!V89</f>
        <v>74.353999999999999</v>
      </c>
      <c r="BC153" s="23">
        <f>+BC183*BC10/90</f>
        <v>71.663197592343991</v>
      </c>
      <c r="BD153" s="23">
        <f>+'QTR Raw'!X89</f>
        <v>103.123</v>
      </c>
      <c r="BE153" s="23">
        <f>+BE183*BE10/90</f>
        <v>126.21304020694649</v>
      </c>
      <c r="BF153" s="23">
        <f>+'QTR Raw'!Z89</f>
        <v>127.166</v>
      </c>
      <c r="BG153" s="23">
        <f>+BG183*BG10/90</f>
        <v>114.88861190016571</v>
      </c>
      <c r="BH153" s="23">
        <f>+'QTR Raw'!AB89</f>
        <v>127.357</v>
      </c>
      <c r="BI153" s="23">
        <f>+BI183*BI10/90</f>
        <v>157.32893468860371</v>
      </c>
      <c r="BJ153" s="23">
        <f>+'QTR Raw'!AD89</f>
        <v>159.14099999999999</v>
      </c>
      <c r="BK153" s="23">
        <f>+BK183*BK10/90</f>
        <v>144.62761380734227</v>
      </c>
      <c r="BL153" s="23">
        <f>+'QTR Raw'!AF89</f>
        <v>174.22</v>
      </c>
      <c r="BM153" s="23">
        <f>+BM183*BM10/90</f>
        <v>236.15343968370428</v>
      </c>
      <c r="BN153" s="23">
        <f>+'QTR Raw'!AH89</f>
        <v>216.80699999999999</v>
      </c>
      <c r="BO153" s="23">
        <f>+BO183*BO10/90</f>
        <v>50.778015289320471</v>
      </c>
      <c r="BP153" s="23">
        <f>+'QTR Raw'!AJ89</f>
        <v>181.06899999999999</v>
      </c>
      <c r="BQ153" s="23">
        <f>+BQ183*BQ10/90</f>
        <v>290.62019191150449</v>
      </c>
      <c r="BR153" s="23">
        <f>+'QTR Raw'!AL89</f>
        <v>256.64499999999998</v>
      </c>
      <c r="BS153" s="23">
        <f>+BS183*BS10/90</f>
        <v>162.65947967551114</v>
      </c>
      <c r="BT153" s="23">
        <f>+'QTR Raw'!AN89</f>
        <v>244.631</v>
      </c>
      <c r="BU153" s="23">
        <f>+BU183*BU10/90</f>
        <v>304.26544912035365</v>
      </c>
      <c r="BV153" s="23">
        <f>+'QTR Raw'!AP89</f>
        <v>258.2</v>
      </c>
      <c r="BW153" s="23">
        <f>+BW183*BW10/90</f>
        <v>162.03958986526564</v>
      </c>
      <c r="BX153" s="23">
        <f>+'QTR Raw'!AR89</f>
        <v>279.96300000000002</v>
      </c>
      <c r="BY153" s="23">
        <f>+BY183*BY10/90</f>
        <v>388.97904392719641</v>
      </c>
      <c r="BZ153" s="23">
        <f>+'QTR Raw'!AT89</f>
        <v>368.31599999999997</v>
      </c>
      <c r="CA153" s="23">
        <f>+CA183*CA10/90</f>
        <v>259.29439534309955</v>
      </c>
      <c r="CB153" s="23">
        <f>+'QTR Raw'!AV89</f>
        <v>435.15499999999997</v>
      </c>
      <c r="CC153" s="23">
        <f>+CC183*CC10/90</f>
        <v>494.9148737277153</v>
      </c>
      <c r="CD153" s="23">
        <f>+'QTR Raw'!AX89</f>
        <v>420.03199999999998</v>
      </c>
      <c r="CE153" s="23">
        <f>+CE183*CE10/90</f>
        <v>391.9168112807165</v>
      </c>
      <c r="CF153" s="23">
        <f>+'QTR Raw'!AZ89</f>
        <v>486.488</v>
      </c>
      <c r="CG153" s="23">
        <f>+CG183*CG10/90</f>
        <v>523.22080543922345</v>
      </c>
      <c r="CH153" s="23">
        <f t="shared" si="1192"/>
        <v>417.90679999999998</v>
      </c>
      <c r="CI153" s="23">
        <f>+CI183*CI10/90</f>
        <v>321.56403761939225</v>
      </c>
      <c r="CJ153" s="23">
        <f>+'QTR Raw'!BD89</f>
        <v>455.09</v>
      </c>
      <c r="CK153" s="24">
        <f t="shared" ref="CK153:DB153" si="1241">+CK183*CK10/90</f>
        <v>526.26591905142652</v>
      </c>
      <c r="CL153" s="23">
        <f>+'QTR Raw'!BF89</f>
        <v>465.19499999999999</v>
      </c>
      <c r="CM153" s="24">
        <f t="shared" si="1241"/>
        <v>268.75576979407123</v>
      </c>
      <c r="CN153" s="24">
        <f t="shared" si="1241"/>
        <v>395.13906248728682</v>
      </c>
      <c r="CO153" s="24">
        <f t="shared" si="1241"/>
        <v>469.50463373131055</v>
      </c>
      <c r="CP153" s="24">
        <f t="shared" si="1241"/>
        <v>655.2702573611449</v>
      </c>
      <c r="CQ153" s="24">
        <f t="shared" si="1241"/>
        <v>361.85058987610353</v>
      </c>
      <c r="CR153" s="24">
        <f t="shared" si="1241"/>
        <v>542.08701542272968</v>
      </c>
      <c r="CS153" s="24">
        <f t="shared" si="1241"/>
        <v>646.94120172295391</v>
      </c>
      <c r="CT153" s="24">
        <f t="shared" si="1241"/>
        <v>901.78238482854647</v>
      </c>
      <c r="CU153" s="24">
        <f t="shared" si="1241"/>
        <v>495.04808193920013</v>
      </c>
      <c r="CV153" s="24">
        <f t="shared" si="1241"/>
        <v>744.57170934644978</v>
      </c>
      <c r="CW153" s="24">
        <f t="shared" si="1241"/>
        <v>888.85692817753784</v>
      </c>
      <c r="CX153" s="24">
        <f t="shared" si="1241"/>
        <v>1238.094399969161</v>
      </c>
      <c r="CY153" s="24">
        <f t="shared" si="1241"/>
        <v>679.26883900747225</v>
      </c>
      <c r="CZ153" s="24">
        <f t="shared" si="1241"/>
        <v>1022.3963932766495</v>
      </c>
      <c r="DA153" s="24">
        <f t="shared" si="1241"/>
        <v>1220.4316087824955</v>
      </c>
      <c r="DB153" s="24">
        <f t="shared" si="1241"/>
        <v>1699.6674165146421</v>
      </c>
      <c r="DE153" s="123"/>
      <c r="DF153" s="23">
        <v>471.39345574399283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29.584999999999997</v>
      </c>
      <c r="N154" s="23">
        <f>'Annual Raw'!O55-Template!N126</f>
        <v>22.325000000000003</v>
      </c>
      <c r="O154" s="23">
        <f>'Annual Raw'!P55-Template!O126</f>
        <v>33.001999999999995</v>
      </c>
      <c r="P154" s="23">
        <f>'Annual Raw'!Q55-Template!P126</f>
        <v>39.913000000000004</v>
      </c>
      <c r="Q154" s="23">
        <f>'Annual Raw'!R55-Template!Q126</f>
        <v>55.063299999999998</v>
      </c>
      <c r="R154" s="23">
        <f>'Annual Raw'!S55-Template!R126</f>
        <v>60.747700000000002</v>
      </c>
      <c r="S154" s="23">
        <f>'Annual Raw'!T55-Template!S126</f>
        <v>132.5514</v>
      </c>
      <c r="T154" s="23">
        <f>'Annual Raw'!U55-Template!T126</f>
        <v>163.8382</v>
      </c>
      <c r="U154" s="23">
        <f>'Annual Raw'!V55-Template!U126</f>
        <v>205.43620000000001</v>
      </c>
      <c r="V154" s="23">
        <f>'Annual Raw'!W55-Template!V126</f>
        <v>106.1429</v>
      </c>
      <c r="W154" s="23">
        <f>'Annual Raw'!X55-Template!W126</f>
        <v>223.8254</v>
      </c>
      <c r="X154" s="23">
        <f>'Annual Raw'!Y55-Template!X126</f>
        <v>447.68460000000005</v>
      </c>
      <c r="Y154" s="23">
        <f>'Annual Raw'!Z55-Template!Y126</f>
        <v>240.9494</v>
      </c>
      <c r="Z154" s="23">
        <f>'Annual Raw'!AA55-Template!Z126</f>
        <v>447.53949999999998</v>
      </c>
      <c r="AA154" s="23">
        <f>'Annual Raw'!AB55-Template!AA126</f>
        <v>1017.1868999999999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55.954000000000001</v>
      </c>
      <c r="AY154" s="23">
        <f t="shared" si="1238"/>
        <v>55.954000000000001</v>
      </c>
      <c r="AZ154" s="23">
        <f>+'QTR Raw'!T91</f>
        <v>0</v>
      </c>
      <c r="BA154" s="23">
        <f t="shared" si="1238"/>
        <v>0</v>
      </c>
      <c r="BB154" s="23">
        <f>+'QTR Raw'!V91</f>
        <v>74.415000000000006</v>
      </c>
      <c r="BC154" s="23">
        <f t="shared" si="1238"/>
        <v>74.415000000000006</v>
      </c>
      <c r="BD154" s="23">
        <f>+'QTR Raw'!X91</f>
        <v>65.501999999999995</v>
      </c>
      <c r="BE154" s="23">
        <f t="shared" si="1238"/>
        <v>65.501999999999995</v>
      </c>
      <c r="BF154" s="23">
        <f>+'QTR Raw'!Z91</f>
        <v>141.38200000000001</v>
      </c>
      <c r="BG154" s="23">
        <f t="shared" si="1238"/>
        <v>141.38200000000001</v>
      </c>
      <c r="BH154" s="23">
        <f>+'QTR Raw'!AB91</f>
        <v>174.69399999999999</v>
      </c>
      <c r="BI154" s="23">
        <f t="shared" si="1238"/>
        <v>174.69399999999999</v>
      </c>
      <c r="BJ154" s="23">
        <f>+'QTR Raw'!AD91</f>
        <v>175.51300000000001</v>
      </c>
      <c r="BK154" s="23">
        <f t="shared" si="1238"/>
        <v>175.51300000000001</v>
      </c>
      <c r="BL154" s="23">
        <f>+'QTR Raw'!AF91</f>
        <v>202.84399999999999</v>
      </c>
      <c r="BM154" s="23">
        <f t="shared" si="1238"/>
        <v>202.84399999999999</v>
      </c>
      <c r="BN154" s="23">
        <f>+'QTR Raw'!AH91</f>
        <v>212.572</v>
      </c>
      <c r="BO154" s="23">
        <f t="shared" si="1238"/>
        <v>212.572</v>
      </c>
      <c r="BP154" s="23">
        <f>+'QTR Raw'!AJ91</f>
        <v>121.104</v>
      </c>
      <c r="BQ154" s="23">
        <f t="shared" si="1238"/>
        <v>121.104</v>
      </c>
      <c r="BR154" s="23">
        <f>+'QTR Raw'!AL91</f>
        <v>113.071</v>
      </c>
      <c r="BS154" s="23">
        <f t="shared" si="1238"/>
        <v>113.071</v>
      </c>
      <c r="BT154" s="23">
        <f>+'QTR Raw'!AN91</f>
        <v>212.517</v>
      </c>
      <c r="BU154" s="23">
        <f t="shared" si="1238"/>
        <v>212.517</v>
      </c>
      <c r="BV154" s="23">
        <f>+'QTR Raw'!AP91</f>
        <v>223.83199999999999</v>
      </c>
      <c r="BW154" s="23">
        <f t="shared" si="1238"/>
        <v>223.83199999999999</v>
      </c>
      <c r="BX154" s="23">
        <f>+'QTR Raw'!AR91</f>
        <v>264.096</v>
      </c>
      <c r="BY154" s="23">
        <f t="shared" si="1238"/>
        <v>264.096</v>
      </c>
      <c r="BZ154" s="23">
        <f>+'QTR Raw'!AT91</f>
        <v>447.685</v>
      </c>
      <c r="CA154" s="23">
        <f t="shared" si="1238"/>
        <v>447.685</v>
      </c>
      <c r="CB154" s="23">
        <f>+'QTR Raw'!AV91</f>
        <v>372.88400000000001</v>
      </c>
      <c r="CC154" s="23">
        <f t="shared" si="1238"/>
        <v>372.88400000000001</v>
      </c>
      <c r="CD154" s="23">
        <f>+'QTR Raw'!AX91</f>
        <v>240.95</v>
      </c>
      <c r="CE154" s="23">
        <f t="shared" si="1238"/>
        <v>240.95</v>
      </c>
      <c r="CF154" s="23">
        <f>+'QTR Raw'!AZ91</f>
        <v>373.33</v>
      </c>
      <c r="CG154" s="23">
        <f t="shared" ref="CG154:CG155" si="1242">+CF154</f>
        <v>373.33</v>
      </c>
      <c r="CH154" s="23">
        <f t="shared" si="1192"/>
        <v>447.53949999999998</v>
      </c>
      <c r="CJ154" s="23">
        <f>+'QTR Raw'!BD91</f>
        <v>612.33900000000006</v>
      </c>
      <c r="CK154" s="24"/>
      <c r="CL154" s="23">
        <f>+'QTR Raw'!BF91</f>
        <v>1017.447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1017.447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2.5000000000000001E-2</v>
      </c>
      <c r="N155" s="23">
        <f>'Annual Raw'!O57</f>
        <v>0.98699999999999999</v>
      </c>
      <c r="O155" s="23">
        <f>'Annual Raw'!P57</f>
        <v>2.0129999999999999</v>
      </c>
      <c r="P155" s="23">
        <f>'Annual Raw'!Q57</f>
        <v>2.4159999999999999</v>
      </c>
      <c r="Q155" s="23">
        <f>'Annual Raw'!R57</f>
        <v>3.4352</v>
      </c>
      <c r="R155" s="23">
        <f>'Annual Raw'!S57</f>
        <v>11.8368</v>
      </c>
      <c r="S155" s="23">
        <f>'Annual Raw'!T57</f>
        <v>7.2797000000000001</v>
      </c>
      <c r="T155" s="23">
        <f>'Annual Raw'!U57</f>
        <v>10.8742</v>
      </c>
      <c r="U155" s="23">
        <f>'Annual Raw'!V57</f>
        <v>5.6001000000000003</v>
      </c>
      <c r="V155" s="23">
        <f>'Annual Raw'!W57</f>
        <v>7.9798</v>
      </c>
      <c r="W155" s="23">
        <f>'Annual Raw'!X57</f>
        <v>0.20319999999999999</v>
      </c>
      <c r="X155" s="23">
        <f>'Annual Raw'!Y57</f>
        <v>1.2863</v>
      </c>
      <c r="Y155" s="23">
        <f>'Annual Raw'!Z57</f>
        <v>3.1415000000000002</v>
      </c>
      <c r="Z155" s="23">
        <f>'Annual Raw'!AA57</f>
        <v>4.2614999999999998</v>
      </c>
      <c r="AA155" s="23">
        <f>'Annual Raw'!AB57</f>
        <v>11.797800000000001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3.4350000000000001</v>
      </c>
      <c r="AY155" s="23">
        <f t="shared" si="1238"/>
        <v>3.4350000000000001</v>
      </c>
      <c r="AZ155" s="23">
        <f>+'QTR Raw'!T92</f>
        <v>0</v>
      </c>
      <c r="BA155" s="23">
        <f t="shared" si="1238"/>
        <v>0</v>
      </c>
      <c r="BB155" s="23">
        <f>+'QTR Raw'!V92</f>
        <v>5.7000000000000002E-2</v>
      </c>
      <c r="BC155" s="23">
        <f t="shared" si="1238"/>
        <v>5.7000000000000002E-2</v>
      </c>
      <c r="BD155" s="23">
        <f>+'QTR Raw'!X92</f>
        <v>0</v>
      </c>
      <c r="BE155" s="23">
        <f t="shared" si="1238"/>
        <v>0</v>
      </c>
      <c r="BF155" s="23">
        <f>+'QTR Raw'!Z92</f>
        <v>0.59599999999999997</v>
      </c>
      <c r="BG155" s="23">
        <f t="shared" si="1238"/>
        <v>0.59599999999999997</v>
      </c>
      <c r="BH155" s="23">
        <f>+'QTR Raw'!AB92</f>
        <v>0.35399999999999998</v>
      </c>
      <c r="BI155" s="23">
        <f t="shared" si="1238"/>
        <v>0.35399999999999998</v>
      </c>
      <c r="BJ155" s="23">
        <f>+'QTR Raw'!AD92</f>
        <v>0.47399999999999998</v>
      </c>
      <c r="BK155" s="23">
        <f t="shared" si="1238"/>
        <v>0.47399999999999998</v>
      </c>
      <c r="BL155" s="23">
        <f>+'QTR Raw'!AF92</f>
        <v>0.91600000000000004</v>
      </c>
      <c r="BM155" s="23">
        <f t="shared" si="1238"/>
        <v>0.91600000000000004</v>
      </c>
      <c r="BN155" s="23">
        <f>+'QTR Raw'!AH92</f>
        <v>1.048</v>
      </c>
      <c r="BO155" s="23">
        <f t="shared" si="1238"/>
        <v>1.048</v>
      </c>
      <c r="BP155" s="23">
        <f>+'QTR Raw'!AJ92</f>
        <v>1.052</v>
      </c>
      <c r="BQ155" s="23">
        <f t="shared" si="1238"/>
        <v>1.052</v>
      </c>
      <c r="BR155" s="23">
        <f>+'QTR Raw'!AL92</f>
        <v>1.0509999999999999</v>
      </c>
      <c r="BS155" s="23">
        <f t="shared" si="1238"/>
        <v>1.0509999999999999</v>
      </c>
      <c r="BT155" s="23">
        <f>+'QTR Raw'!AN92</f>
        <v>1.3129999999999999</v>
      </c>
      <c r="BU155" s="23">
        <f t="shared" si="1238"/>
        <v>1.3129999999999999</v>
      </c>
      <c r="BV155" s="23">
        <f>+'QTR Raw'!AP92</f>
        <v>0.19600000000000001</v>
      </c>
      <c r="BW155" s="23">
        <f t="shared" si="1238"/>
        <v>0.19600000000000001</v>
      </c>
      <c r="BX155" s="23">
        <f>+'QTR Raw'!AR92</f>
        <v>0.80200000000000005</v>
      </c>
      <c r="BY155" s="23">
        <f t="shared" si="1238"/>
        <v>0.80200000000000005</v>
      </c>
      <c r="BZ155" s="23">
        <f>+'QTR Raw'!AT92</f>
        <v>1.286</v>
      </c>
      <c r="CA155" s="23">
        <f t="shared" si="1238"/>
        <v>1.286</v>
      </c>
      <c r="CB155" s="23">
        <f>+'QTR Raw'!AV92</f>
        <v>2.3679999999999999</v>
      </c>
      <c r="CC155" s="23">
        <f t="shared" si="1238"/>
        <v>2.3679999999999999</v>
      </c>
      <c r="CD155" s="23">
        <f>+'QTR Raw'!AX92</f>
        <v>3.1419999999999999</v>
      </c>
      <c r="CE155" s="23">
        <f t="shared" si="1238"/>
        <v>3.1419999999999999</v>
      </c>
      <c r="CF155" s="23">
        <f>+'QTR Raw'!AZ92</f>
        <v>1.6619999999999999</v>
      </c>
      <c r="CG155" s="23">
        <f t="shared" si="1242"/>
        <v>1.6619999999999999</v>
      </c>
      <c r="CH155" s="23">
        <f t="shared" si="1192"/>
        <v>4.2614999999999998</v>
      </c>
      <c r="CJ155" s="23">
        <f>+'QTR Raw'!BD92</f>
        <v>4.0439999999999996</v>
      </c>
      <c r="CK155" s="24"/>
      <c r="CL155" s="23">
        <f>+'QTR Raw'!BF92</f>
        <v>11.538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11.538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0</v>
      </c>
      <c r="K156" s="22">
        <f t="shared" si="1243"/>
        <v>0</v>
      </c>
      <c r="L156" s="22">
        <f t="shared" si="1243"/>
        <v>0</v>
      </c>
      <c r="M156" s="22">
        <f t="shared" si="1243"/>
        <v>50.701999999999991</v>
      </c>
      <c r="N156" s="22">
        <f t="shared" si="1243"/>
        <v>59.38000000000001</v>
      </c>
      <c r="O156" s="22">
        <f t="shared" si="1243"/>
        <v>75.47</v>
      </c>
      <c r="P156" s="22">
        <f t="shared" si="1243"/>
        <v>106.048</v>
      </c>
      <c r="Q156" s="22">
        <f t="shared" si="1243"/>
        <v>141.25549999999998</v>
      </c>
      <c r="R156" s="22">
        <f t="shared" si="1243"/>
        <v>147.86880000000002</v>
      </c>
      <c r="S156" s="22">
        <f t="shared" si="1243"/>
        <v>266.99700000000001</v>
      </c>
      <c r="T156" s="22">
        <f t="shared" si="1243"/>
        <v>333.85329999999999</v>
      </c>
      <c r="U156" s="22">
        <f t="shared" si="1243"/>
        <v>428.24099999999999</v>
      </c>
      <c r="V156" s="22">
        <f t="shared" si="1243"/>
        <v>371.55880000000002</v>
      </c>
      <c r="W156" s="22">
        <f t="shared" ref="W156" si="1244">SUM(W149:W155)</f>
        <v>483.7475</v>
      </c>
      <c r="X156" s="22">
        <f t="shared" ref="X156:Y156" si="1245">SUM(X149:X155)</f>
        <v>819.42440000000011</v>
      </c>
      <c r="Y156" s="22">
        <f t="shared" si="1245"/>
        <v>666.78699999999992</v>
      </c>
      <c r="Z156" s="22">
        <f t="shared" ref="Z156:AA156" si="1246">SUM(Z149:Z155)</f>
        <v>872.59529999999984</v>
      </c>
      <c r="AA156" s="22">
        <f t="shared" si="1246"/>
        <v>1507.7008000000001</v>
      </c>
      <c r="AB156" s="21">
        <f t="shared" ref="AA156:AD156" si="1247">SUM(AB149:AB155)</f>
        <v>2123.7365455210297</v>
      </c>
      <c r="AC156" s="21">
        <f t="shared" si="1247"/>
        <v>2922.6844729379809</v>
      </c>
      <c r="AD156" s="21">
        <f t="shared" si="1247"/>
        <v>4012.6746094173486</v>
      </c>
      <c r="AE156" s="21">
        <f t="shared" ref="AE156" si="1248">SUM(AE149:AE155)</f>
        <v>5508.6367298585374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142.14600000000002</v>
      </c>
      <c r="AY156" s="22">
        <f t="shared" si="1253"/>
        <v>125.40617930830297</v>
      </c>
      <c r="AZ156" s="22">
        <f t="shared" si="1253"/>
        <v>0</v>
      </c>
      <c r="BA156" s="22">
        <f t="shared" si="1253"/>
        <v>0</v>
      </c>
      <c r="BB156" s="22">
        <f t="shared" si="1253"/>
        <v>149.756</v>
      </c>
      <c r="BC156" s="22">
        <f t="shared" si="1253"/>
        <v>147.06519759234399</v>
      </c>
      <c r="BD156" s="22">
        <f t="shared" si="1253"/>
        <v>168.77199999999999</v>
      </c>
      <c r="BE156" s="22">
        <f t="shared" si="1253"/>
        <v>191.86204020694649</v>
      </c>
      <c r="BF156" s="22">
        <f t="shared" si="1253"/>
        <v>269.14400000000001</v>
      </c>
      <c r="BG156" s="22">
        <f t="shared" si="1253"/>
        <v>256.86661190016571</v>
      </c>
      <c r="BH156" s="22">
        <f t="shared" ref="BH156" si="1254">SUM(BH149:BH155)</f>
        <v>302.40499999999997</v>
      </c>
      <c r="BI156" s="22">
        <f t="shared" si="1253"/>
        <v>332.37693468860368</v>
      </c>
      <c r="BJ156" s="22">
        <f t="shared" si="1253"/>
        <v>335.12799999999999</v>
      </c>
      <c r="BK156" s="22">
        <f t="shared" si="1253"/>
        <v>320.61461380734227</v>
      </c>
      <c r="BL156" s="22">
        <f t="shared" si="1253"/>
        <v>377.97999999999996</v>
      </c>
      <c r="BM156" s="22">
        <f t="shared" si="1253"/>
        <v>439.91343968370427</v>
      </c>
      <c r="BN156" s="22">
        <f t="shared" si="1253"/>
        <v>430.82499999999999</v>
      </c>
      <c r="BO156" s="22">
        <f t="shared" si="1253"/>
        <v>264.79601528932051</v>
      </c>
      <c r="BP156" s="22">
        <f t="shared" si="1253"/>
        <v>303.923</v>
      </c>
      <c r="BQ156" s="22">
        <f t="shared" si="1253"/>
        <v>413.47419191150448</v>
      </c>
      <c r="BR156" s="22">
        <f t="shared" si="1253"/>
        <v>371.55699999999996</v>
      </c>
      <c r="BS156" s="22">
        <f t="shared" si="1253"/>
        <v>277.57147967551111</v>
      </c>
      <c r="BT156" s="22">
        <f t="shared" si="1253"/>
        <v>459.81799999999998</v>
      </c>
      <c r="BU156" s="22">
        <f t="shared" si="1253"/>
        <v>519.45244912035366</v>
      </c>
      <c r="BV156" s="22">
        <f t="shared" si="1253"/>
        <v>483.74700000000001</v>
      </c>
      <c r="BW156" s="22">
        <f t="shared" si="1253"/>
        <v>387.58658986526564</v>
      </c>
      <c r="BX156" s="22">
        <f t="shared" si="1253"/>
        <v>546.98699999999997</v>
      </c>
      <c r="BY156" s="22">
        <f t="shared" si="1253"/>
        <v>656.00304392719647</v>
      </c>
      <c r="BZ156" s="22">
        <f t="shared" si="1253"/>
        <v>819.42499999999984</v>
      </c>
      <c r="CA156" s="22">
        <f t="shared" si="1253"/>
        <v>710.40339534309953</v>
      </c>
      <c r="CB156" s="22">
        <f t="shared" si="1253"/>
        <v>812.37600000000009</v>
      </c>
      <c r="CC156" s="22">
        <f t="shared" si="1253"/>
        <v>872.13587372771542</v>
      </c>
      <c r="CD156" s="22">
        <f t="shared" si="1253"/>
        <v>666.78800000000001</v>
      </c>
      <c r="CE156" s="22">
        <f t="shared" si="1253"/>
        <v>638.67281128071659</v>
      </c>
      <c r="CF156" s="22">
        <f t="shared" ref="CF156:CG156" si="1255">SUM(CF149:CF155)</f>
        <v>866.15800000000002</v>
      </c>
      <c r="CG156" s="22">
        <f t="shared" si="1255"/>
        <v>902.89080543922341</v>
      </c>
      <c r="CH156" s="22">
        <f t="shared" ref="CH156:CI156" si="1256">SUM(CH149:CH155)</f>
        <v>872.59529999999984</v>
      </c>
      <c r="CI156" s="22">
        <f t="shared" si="1256"/>
        <v>671.43025161520427</v>
      </c>
      <c r="CJ156" s="22">
        <f t="shared" ref="CJ156:DB156" si="1257">SUM(CJ149:CJ155)</f>
        <v>1085.1170000000002</v>
      </c>
      <c r="CK156" s="21">
        <f t="shared" si="1257"/>
        <v>1254.8289245716824</v>
      </c>
      <c r="CL156" s="22">
        <f t="shared" ref="CL156" si="1258">SUM(CL149:CL155)</f>
        <v>1507.701</v>
      </c>
      <c r="CM156" s="21">
        <f t="shared" si="1257"/>
        <v>871.03976369971929</v>
      </c>
      <c r="CN156" s="21">
        <f t="shared" si="1257"/>
        <v>1280.6491033892125</v>
      </c>
      <c r="CO156" s="21">
        <f t="shared" si="1257"/>
        <v>1521.6685600260762</v>
      </c>
      <c r="CP156" s="21">
        <f t="shared" si="1257"/>
        <v>2123.7365455210297</v>
      </c>
      <c r="CQ156" s="21">
        <f t="shared" si="1257"/>
        <v>1172.7608770661573</v>
      </c>
      <c r="CR156" s="21">
        <f t="shared" si="1257"/>
        <v>1756.9086839709475</v>
      </c>
      <c r="CS156" s="21">
        <f t="shared" si="1257"/>
        <v>2096.7420044903733</v>
      </c>
      <c r="CT156" s="21">
        <f t="shared" si="1257"/>
        <v>2922.6844729379809</v>
      </c>
      <c r="CU156" s="21">
        <f t="shared" si="1257"/>
        <v>1604.4550955788729</v>
      </c>
      <c r="CV156" s="21">
        <f t="shared" si="1257"/>
        <v>2413.1633202277571</v>
      </c>
      <c r="CW156" s="21">
        <f t="shared" si="1257"/>
        <v>2880.7929566530202</v>
      </c>
      <c r="CX156" s="21">
        <f t="shared" si="1257"/>
        <v>4012.6746094173486</v>
      </c>
      <c r="CY156" s="21">
        <f t="shared" si="1257"/>
        <v>2201.5161552475947</v>
      </c>
      <c r="CZ156" s="21">
        <f t="shared" si="1257"/>
        <v>3313.5955127196066</v>
      </c>
      <c r="DA156" s="21">
        <f t="shared" si="1257"/>
        <v>3955.4293511172232</v>
      </c>
      <c r="DB156" s="21">
        <f t="shared" si="1257"/>
        <v>5508.6367298585374</v>
      </c>
      <c r="DE156" s="126"/>
      <c r="DF156" s="22">
        <v>1123.9909743491496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0</v>
      </c>
      <c r="K157" s="22">
        <f t="shared" si="1259"/>
        <v>0</v>
      </c>
      <c r="L157" s="22">
        <f t="shared" si="1259"/>
        <v>0</v>
      </c>
      <c r="M157" s="22">
        <f t="shared" si="1259"/>
        <v>-13.16899999999999</v>
      </c>
      <c r="N157" s="22">
        <f t="shared" si="1259"/>
        <v>-25.170000000000009</v>
      </c>
      <c r="O157" s="22">
        <f t="shared" si="1259"/>
        <v>-35.369999999999997</v>
      </c>
      <c r="P157" s="22">
        <f t="shared" si="1259"/>
        <v>-51.08</v>
      </c>
      <c r="Q157" s="22">
        <f t="shared" si="1259"/>
        <v>-70.746499999999983</v>
      </c>
      <c r="R157" s="22">
        <f t="shared" si="1259"/>
        <v>-1.6224000000000274</v>
      </c>
      <c r="S157" s="22">
        <f t="shared" si="1259"/>
        <v>6.362199999999973</v>
      </c>
      <c r="T157" s="22">
        <f t="shared" si="1259"/>
        <v>69.261599999999987</v>
      </c>
      <c r="U157" s="22">
        <f t="shared" si="1259"/>
        <v>222.34810000000004</v>
      </c>
      <c r="V157" s="22">
        <f t="shared" si="1259"/>
        <v>222.5077</v>
      </c>
      <c r="W157" s="22">
        <f t="shared" ref="W157" si="1260">W148-W156</f>
        <v>370.76199999999989</v>
      </c>
      <c r="X157" s="22">
        <f t="shared" ref="X157:Y157" si="1261">X148-X156</f>
        <v>432.69759999999974</v>
      </c>
      <c r="Y157" s="22">
        <f t="shared" si="1261"/>
        <v>798.10109999999997</v>
      </c>
      <c r="Z157" s="22">
        <f t="shared" ref="Z157:AA157" si="1262">Z148-Z156</f>
        <v>934.42230000000029</v>
      </c>
      <c r="AA157" s="22">
        <f t="shared" si="1262"/>
        <v>705.85989999999993</v>
      </c>
      <c r="AB157" s="21">
        <f t="shared" ref="AA157:AD157" si="1263">AB148-AB156</f>
        <v>994.26920723769217</v>
      </c>
      <c r="AC157" s="21">
        <f t="shared" si="1263"/>
        <v>1368.312458549809</v>
      </c>
      <c r="AD157" s="21">
        <f t="shared" si="1263"/>
        <v>1878.6128680708789</v>
      </c>
      <c r="AE157" s="21">
        <f t="shared" ref="AE157" si="1264">AE148-AE156</f>
        <v>2578.977079764456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-71.638000000000005</v>
      </c>
      <c r="AY157" s="22">
        <f t="shared" si="1269"/>
        <v>-61.015706186043943</v>
      </c>
      <c r="AZ157" s="22">
        <f t="shared" si="1269"/>
        <v>0</v>
      </c>
      <c r="BA157" s="22">
        <f t="shared" si="1269"/>
        <v>0</v>
      </c>
      <c r="BB157" s="22">
        <f t="shared" si="1269"/>
        <v>-1.1370000000000289</v>
      </c>
      <c r="BC157" s="22">
        <f t="shared" si="1269"/>
        <v>-0.68579462545858405</v>
      </c>
      <c r="BD157" s="22">
        <f t="shared" si="1269"/>
        <v>46.081000000000017</v>
      </c>
      <c r="BE157" s="22">
        <f t="shared" si="1269"/>
        <v>53.199027774393983</v>
      </c>
      <c r="BF157" s="22">
        <f t="shared" si="1269"/>
        <v>4.214999999999975</v>
      </c>
      <c r="BG157" s="22">
        <f t="shared" si="1269"/>
        <v>1.3079953314093018</v>
      </c>
      <c r="BH157" s="22">
        <f t="shared" ref="BH157" si="1270">BH148-BH156</f>
        <v>22.855000000000018</v>
      </c>
      <c r="BI157" s="22">
        <f t="shared" si="1269"/>
        <v>38.267517370002111</v>
      </c>
      <c r="BJ157" s="22">
        <f t="shared" si="1269"/>
        <v>67.987000000000023</v>
      </c>
      <c r="BK157" s="22">
        <f t="shared" si="1269"/>
        <v>62.17347415664625</v>
      </c>
      <c r="BL157" s="22">
        <f t="shared" si="1269"/>
        <v>152.22500000000008</v>
      </c>
      <c r="BM157" s="22">
        <f t="shared" si="1269"/>
        <v>192.56492041664399</v>
      </c>
      <c r="BN157" s="22">
        <f t="shared" si="1269"/>
        <v>219.76299999999998</v>
      </c>
      <c r="BO157" s="22">
        <f t="shared" si="1269"/>
        <v>131.54303907782042</v>
      </c>
      <c r="BP157" s="22">
        <f t="shared" si="1269"/>
        <v>251.60299999999995</v>
      </c>
      <c r="BQ157" s="22">
        <f t="shared" si="1269"/>
        <v>321.62914750746643</v>
      </c>
      <c r="BR157" s="22">
        <f t="shared" si="1269"/>
        <v>222.50899999999996</v>
      </c>
      <c r="BS157" s="22">
        <f t="shared" si="1269"/>
        <v>200.86572529487194</v>
      </c>
      <c r="BT157" s="22">
        <f t="shared" si="1269"/>
        <v>356.78499999999997</v>
      </c>
      <c r="BU157" s="22">
        <f t="shared" si="1269"/>
        <v>405.46014335328505</v>
      </c>
      <c r="BV157" s="22">
        <f t="shared" si="1269"/>
        <v>370.762</v>
      </c>
      <c r="BW157" s="22">
        <f t="shared" si="1269"/>
        <v>320.61296813829335</v>
      </c>
      <c r="BX157" s="22">
        <f t="shared" si="1269"/>
        <v>428.21400000000006</v>
      </c>
      <c r="BY157" s="22">
        <f t="shared" si="1269"/>
        <v>473.13843997199854</v>
      </c>
      <c r="BZ157" s="22">
        <f t="shared" si="1269"/>
        <v>432.69600000000025</v>
      </c>
      <c r="CA157" s="22">
        <f t="shared" si="1269"/>
        <v>367.96875123769189</v>
      </c>
      <c r="CB157" s="22">
        <f t="shared" si="1269"/>
        <v>683.60199999999998</v>
      </c>
      <c r="CC157" s="22">
        <f t="shared" si="1269"/>
        <v>721.34017040020774</v>
      </c>
      <c r="CD157" s="22">
        <f t="shared" si="1269"/>
        <v>798.09999999999991</v>
      </c>
      <c r="CE157" s="22">
        <f t="shared" si="1269"/>
        <v>782.0408905817817</v>
      </c>
      <c r="CF157" s="22">
        <f t="shared" ref="CF157:CG157" si="1271">CF148-CF156</f>
        <v>852.02699999999993</v>
      </c>
      <c r="CG157" s="22">
        <f t="shared" si="1271"/>
        <v>876.51656887600984</v>
      </c>
      <c r="CH157" s="22">
        <f t="shared" ref="CH157:CI157" si="1272">CH148-CH156</f>
        <v>934.42230000000029</v>
      </c>
      <c r="CI157" s="22">
        <f t="shared" si="1272"/>
        <v>719.00387270462943</v>
      </c>
      <c r="CJ157" s="22">
        <f t="shared" ref="CJ157:DB157" si="1273">CJ148-CJ156</f>
        <v>989.26199999999972</v>
      </c>
      <c r="CK157" s="21">
        <f t="shared" si="1273"/>
        <v>1143.9822356295508</v>
      </c>
      <c r="CL157" s="22">
        <f t="shared" ref="CL157" si="1274">CL148-CL156</f>
        <v>705.86000000000013</v>
      </c>
      <c r="CM157" s="21">
        <f t="shared" si="1273"/>
        <v>407.79446826995809</v>
      </c>
      <c r="CN157" s="21">
        <f t="shared" si="1273"/>
        <v>599.56117036356</v>
      </c>
      <c r="CO157" s="21">
        <f t="shared" si="1273"/>
        <v>712.3991890832508</v>
      </c>
      <c r="CP157" s="21">
        <f t="shared" si="1273"/>
        <v>994.26920723769217</v>
      </c>
      <c r="CQ157" s="21">
        <f t="shared" si="1273"/>
        <v>549.05116643546603</v>
      </c>
      <c r="CR157" s="21">
        <f t="shared" si="1273"/>
        <v>822.53149906230328</v>
      </c>
      <c r="CS157" s="21">
        <f t="shared" si="1273"/>
        <v>981.63117971638667</v>
      </c>
      <c r="CT157" s="21">
        <f t="shared" si="1273"/>
        <v>1368.312458549809</v>
      </c>
      <c r="CU157" s="21">
        <f t="shared" si="1273"/>
        <v>751.15734072293139</v>
      </c>
      <c r="CV157" s="21">
        <f t="shared" si="1273"/>
        <v>1129.7700679484633</v>
      </c>
      <c r="CW157" s="21">
        <f t="shared" si="1273"/>
        <v>1348.7001178503579</v>
      </c>
      <c r="CX157" s="21">
        <f t="shared" si="1273"/>
        <v>1878.6128680708789</v>
      </c>
      <c r="CY157" s="21">
        <f t="shared" si="1273"/>
        <v>1030.6832676658487</v>
      </c>
      <c r="CZ157" s="21">
        <f t="shared" si="1273"/>
        <v>1551.3251822531547</v>
      </c>
      <c r="DA157" s="21">
        <f t="shared" si="1273"/>
        <v>1851.8123698131171</v>
      </c>
      <c r="DB157" s="21">
        <f t="shared" si="1273"/>
        <v>2578.977079764456</v>
      </c>
      <c r="DE157" s="126"/>
      <c r="DF157" s="22">
        <v>1024.7019992006278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0.1</v>
      </c>
      <c r="N159" s="23">
        <f>'Annual Raw'!O75</f>
        <v>0</v>
      </c>
      <c r="O159" s="23">
        <f>'Annual Raw'!P75</f>
        <v>8.1159999999999997</v>
      </c>
      <c r="P159" s="23">
        <f>'Annual Raw'!Q75</f>
        <v>11.821999999999999</v>
      </c>
      <c r="Q159" s="23">
        <f>'Annual Raw'!R75</f>
        <v>12.9816</v>
      </c>
      <c r="R159" s="23">
        <f>'Annual Raw'!S75</f>
        <v>14.0815</v>
      </c>
      <c r="S159" s="23">
        <f>'Annual Raw'!T75</f>
        <v>15.117800000000001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12.981999999999999</v>
      </c>
      <c r="AZ159" s="23">
        <f>+'QTR Raw'!T80</f>
        <v>0</v>
      </c>
      <c r="BB159" s="23">
        <f>+'QTR Raw'!V80</f>
        <v>14.082000000000001</v>
      </c>
      <c r="BD159" s="23">
        <f>+'QTR Raw'!X80</f>
        <v>14.951000000000001</v>
      </c>
      <c r="BF159" s="23">
        <f>+'QTR Raw'!Z80</f>
        <v>15.118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35.935000000000002</v>
      </c>
      <c r="N160" s="23">
        <f>'Annual Raw'!O78</f>
        <v>44.613999999999997</v>
      </c>
      <c r="O160" s="23">
        <f>'Annual Raw'!P78</f>
        <v>68.436999999999998</v>
      </c>
      <c r="P160" s="23">
        <f>'Annual Raw'!Q78</f>
        <v>84.816000000000003</v>
      </c>
      <c r="Q160" s="23">
        <f>'Annual Raw'!R78</f>
        <v>112.054</v>
      </c>
      <c r="R160" s="23">
        <f>'Annual Raw'!S78</f>
        <v>106.6613</v>
      </c>
      <c r="S160" s="23">
        <f>'Annual Raw'!T78</f>
        <v>227.95079999999999</v>
      </c>
      <c r="T160" s="23">
        <f>'Annual Raw'!U78</f>
        <v>222.20429999999999</v>
      </c>
      <c r="U160" s="23">
        <f>'Annual Raw'!V78</f>
        <v>196.845</v>
      </c>
      <c r="V160" s="23">
        <f>'Annual Raw'!W78</f>
        <v>229.02699999999999</v>
      </c>
      <c r="W160" s="23">
        <f>'Annual Raw'!X78</f>
        <v>196.3459</v>
      </c>
      <c r="X160" s="23">
        <f>'Annual Raw'!Y78</f>
        <v>242.35589999999999</v>
      </c>
      <c r="Y160" s="23">
        <f>'Annual Raw'!Z78</f>
        <v>227.0941</v>
      </c>
      <c r="Z160" s="23">
        <f>'Annual Raw'!AA78</f>
        <v>207.84030000000001</v>
      </c>
      <c r="AA160" s="23">
        <f>'Annual Raw'!AB78</f>
        <v>415.50020000000001</v>
      </c>
      <c r="AB160" s="24">
        <f t="shared" si="1275"/>
        <v>366.16889941821813</v>
      </c>
      <c r="AC160" s="24">
        <f t="shared" si="1276"/>
        <v>294.89957764227785</v>
      </c>
      <c r="AD160" s="24">
        <f t="shared" si="1277"/>
        <v>179.70625269289485</v>
      </c>
      <c r="AE160" s="24">
        <f t="shared" si="1278"/>
        <v>4.1450111422137752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112.054</v>
      </c>
      <c r="AY160" s="23">
        <f t="shared" ref="AY160" si="1286">+AY210</f>
        <v>121.91270618604395</v>
      </c>
      <c r="AZ160" s="23">
        <f>+'QTR Raw'!T83</f>
        <v>0</v>
      </c>
      <c r="BA160" s="23">
        <f t="shared" ref="BA160" si="1287">+BA210</f>
        <v>7.3179999999999952</v>
      </c>
      <c r="BB160" s="23">
        <f>+'QTR Raw'!V83</f>
        <v>106.661</v>
      </c>
      <c r="BC160" s="23">
        <f t="shared" ref="BC160" si="1288">+BC210</f>
        <v>133.85379462545853</v>
      </c>
      <c r="BD160" s="23">
        <f>+'QTR Raw'!X83</f>
        <v>207.62100000000001</v>
      </c>
      <c r="BE160" s="23">
        <f t="shared" ref="BE160" si="1289">+BE210</f>
        <v>230.63097222560606</v>
      </c>
      <c r="BF160" s="23">
        <f>+'QTR Raw'!Z83</f>
        <v>227.95099999999999</v>
      </c>
      <c r="BG160" s="23">
        <f t="shared" ref="BG160" si="1290">+BG210</f>
        <v>267.04300466859064</v>
      </c>
      <c r="BH160" s="23">
        <f>+'QTR Raw'!AB83</f>
        <v>210.05199999999999</v>
      </c>
      <c r="BI160" s="23">
        <f t="shared" ref="BI160" si="1291">+BI210</f>
        <v>215.77848262999788</v>
      </c>
      <c r="BJ160" s="23">
        <f>+'QTR Raw'!AD83</f>
        <v>222.20400000000001</v>
      </c>
      <c r="BK160" s="23">
        <f t="shared" ref="BK160" si="1292">+BK210</f>
        <v>253.34652584335373</v>
      </c>
      <c r="BL160" s="23">
        <f>+'QTR Raw'!AF83</f>
        <v>221.93100000000001</v>
      </c>
      <c r="BM160" s="23">
        <f t="shared" ref="BM160" si="1293">+BM210</f>
        <v>218.11407958335607</v>
      </c>
      <c r="BN160" s="23">
        <f>+'QTR Raw'!AH83</f>
        <v>196.845</v>
      </c>
      <c r="BO160" s="23">
        <f t="shared" ref="BO160" si="1294">+BO210</f>
        <v>281.62196092217954</v>
      </c>
      <c r="BP160" s="23">
        <f>+'QTR Raw'!AJ83</f>
        <v>189.11</v>
      </c>
      <c r="BQ160" s="23">
        <f t="shared" ref="BQ160" si="1295">+BQ210</f>
        <v>148.2488524925335</v>
      </c>
      <c r="BR160" s="23">
        <f>+'QTR Raw'!AL83</f>
        <v>229.02699999999999</v>
      </c>
      <c r="BS160" s="23">
        <f t="shared" ref="BS160" si="1296">+BS210</f>
        <v>275.57927470512806</v>
      </c>
      <c r="BT160" s="23">
        <f>+'QTR Raw'!AN83</f>
        <v>195.36500000000001</v>
      </c>
      <c r="BU160" s="23">
        <f t="shared" ref="BU160" si="1297">+BU210</f>
        <v>196.82185664671499</v>
      </c>
      <c r="BV160" s="23">
        <f>+'QTR Raw'!AP83</f>
        <v>196.346</v>
      </c>
      <c r="BW160" s="23">
        <f t="shared" ref="BW160" si="1298">+BW210</f>
        <v>275.53203186170663</v>
      </c>
      <c r="BX160" s="23">
        <f>+'QTR Raw'!AR83</f>
        <v>237.459</v>
      </c>
      <c r="BY160" s="23">
        <f t="shared" ref="BY160" si="1299">+BY210</f>
        <v>227.89456002800151</v>
      </c>
      <c r="BZ160" s="23">
        <f>+'QTR Raw'!AT83</f>
        <v>242.35599999999999</v>
      </c>
      <c r="CA160" s="23">
        <f t="shared" ref="CA160" si="1300">+CA210</f>
        <v>344.93024876230834</v>
      </c>
      <c r="CB160" s="23">
        <f>+'QTR Raw'!AV83</f>
        <v>246.64099999999999</v>
      </c>
      <c r="CC160" s="23">
        <f t="shared" ref="CC160" si="1301">+CC210</f>
        <v>239.98782959979218</v>
      </c>
      <c r="CD160" s="23">
        <f>+'QTR Raw'!AX83</f>
        <v>227.09399999999999</v>
      </c>
      <c r="CE160" s="23">
        <f t="shared" ref="CE160" si="1302">+CE210</f>
        <v>277.83710941821823</v>
      </c>
      <c r="CF160" s="23">
        <f>+'QTR Raw'!AZ83</f>
        <v>279.32900000000001</v>
      </c>
      <c r="CG160" s="23">
        <f t="shared" ref="CG160:CI160" si="1303">+CG210</f>
        <v>259.89343112399018</v>
      </c>
      <c r="CH160" s="23">
        <f t="shared" si="1279"/>
        <v>207.84030000000001</v>
      </c>
      <c r="CI160" s="23">
        <f t="shared" si="1303"/>
        <v>440.57272729537078</v>
      </c>
      <c r="CJ160" s="23">
        <f>+'QTR Raw'!BD83</f>
        <v>192.49299999999999</v>
      </c>
      <c r="CK160" s="24">
        <f t="shared" ref="CK160:DB160" si="1304">+CK210</f>
        <v>79.264764370448873</v>
      </c>
      <c r="CL160" s="23">
        <f>+'QTR Raw'!BF83</f>
        <v>415.5</v>
      </c>
      <c r="CM160" s="24">
        <f t="shared" si="1304"/>
        <v>751.81034935349271</v>
      </c>
      <c r="CN160" s="24">
        <f t="shared" si="1304"/>
        <v>618.75419370329121</v>
      </c>
      <c r="CO160" s="24">
        <f t="shared" si="1304"/>
        <v>568.60221671882539</v>
      </c>
      <c r="CP160" s="24">
        <f t="shared" si="1304"/>
        <v>366.16889941821813</v>
      </c>
      <c r="CQ160" s="24">
        <f t="shared" si="1304"/>
        <v>856.89705129820095</v>
      </c>
      <c r="CR160" s="24">
        <f t="shared" si="1304"/>
        <v>656.07097439111726</v>
      </c>
      <c r="CS160" s="24">
        <f t="shared" si="1304"/>
        <v>576.65911855002196</v>
      </c>
      <c r="CT160" s="24">
        <f t="shared" si="1304"/>
        <v>294.89957764227785</v>
      </c>
      <c r="CU160" s="24">
        <f t="shared" si="1304"/>
        <v>968.96222084728379</v>
      </c>
      <c r="CV160" s="24">
        <f t="shared" si="1304"/>
        <v>684.47921177405692</v>
      </c>
      <c r="CW160" s="24">
        <f t="shared" si="1304"/>
        <v>570.02936666419521</v>
      </c>
      <c r="CX160" s="24">
        <f t="shared" si="1304"/>
        <v>179.70625269289485</v>
      </c>
      <c r="CY160" s="24">
        <f t="shared" si="1304"/>
        <v>1101.0877744375866</v>
      </c>
      <c r="CZ160" s="24">
        <f t="shared" si="1304"/>
        <v>705.1260249231924</v>
      </c>
      <c r="DA160" s="24">
        <f t="shared" si="1304"/>
        <v>543.80449705948547</v>
      </c>
      <c r="DB160" s="24">
        <f t="shared" si="1304"/>
        <v>4.1450111422137752</v>
      </c>
      <c r="DE160" s="123"/>
      <c r="DF160" s="23">
        <v>226.72044866946288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0</v>
      </c>
      <c r="K161" s="22">
        <f t="shared" si="1305"/>
        <v>0</v>
      </c>
      <c r="L161" s="22">
        <f t="shared" si="1305"/>
        <v>0</v>
      </c>
      <c r="M161" s="22">
        <f t="shared" si="1305"/>
        <v>36.035000000000004</v>
      </c>
      <c r="N161" s="22">
        <f t="shared" si="1305"/>
        <v>44.613999999999997</v>
      </c>
      <c r="O161" s="22">
        <f t="shared" si="1305"/>
        <v>76.552999999999997</v>
      </c>
      <c r="P161" s="22">
        <f t="shared" si="1305"/>
        <v>96.638000000000005</v>
      </c>
      <c r="Q161" s="22">
        <f t="shared" si="1305"/>
        <v>125.0356</v>
      </c>
      <c r="R161" s="22">
        <f t="shared" si="1305"/>
        <v>120.7428</v>
      </c>
      <c r="S161" s="22">
        <f t="shared" si="1305"/>
        <v>243.06859999999998</v>
      </c>
      <c r="T161" s="22">
        <f t="shared" si="1305"/>
        <v>222.20429999999999</v>
      </c>
      <c r="U161" s="22">
        <f t="shared" si="1305"/>
        <v>196.845</v>
      </c>
      <c r="V161" s="22">
        <f t="shared" si="1305"/>
        <v>229.02699999999999</v>
      </c>
      <c r="W161" s="22">
        <f t="shared" ref="W161" si="1306">W159+W160</f>
        <v>196.3459</v>
      </c>
      <c r="X161" s="22">
        <f t="shared" ref="X161:Y161" si="1307">X159+X160</f>
        <v>242.35589999999999</v>
      </c>
      <c r="Y161" s="22">
        <f t="shared" si="1307"/>
        <v>227.0941</v>
      </c>
      <c r="Z161" s="22">
        <f t="shared" ref="Z161:AA161" si="1308">Z159+Z160</f>
        <v>207.84030000000001</v>
      </c>
      <c r="AA161" s="22">
        <f t="shared" si="1308"/>
        <v>415.50020000000001</v>
      </c>
      <c r="AB161" s="21">
        <f t="shared" ref="AA161:AD161" si="1309">AB159+AB160</f>
        <v>366.16889941821813</v>
      </c>
      <c r="AC161" s="21">
        <f t="shared" si="1309"/>
        <v>294.89957764227785</v>
      </c>
      <c r="AD161" s="21">
        <f t="shared" si="1309"/>
        <v>179.70625269289485</v>
      </c>
      <c r="AE161" s="21">
        <f t="shared" ref="AE161" si="1310">AE159+AE160</f>
        <v>4.1450111422137752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125.036</v>
      </c>
      <c r="AY161" s="22">
        <f t="shared" si="1315"/>
        <v>121.91270618604395</v>
      </c>
      <c r="AZ161" s="22">
        <f t="shared" si="1315"/>
        <v>0</v>
      </c>
      <c r="BA161" s="22">
        <f t="shared" si="1315"/>
        <v>7.3179999999999952</v>
      </c>
      <c r="BB161" s="22">
        <f t="shared" si="1315"/>
        <v>120.74299999999999</v>
      </c>
      <c r="BC161" s="22">
        <f t="shared" si="1315"/>
        <v>133.85379462545853</v>
      </c>
      <c r="BD161" s="22">
        <f t="shared" si="1315"/>
        <v>222.572</v>
      </c>
      <c r="BE161" s="22">
        <f t="shared" si="1315"/>
        <v>230.63097222560606</v>
      </c>
      <c r="BF161" s="22">
        <f t="shared" si="1315"/>
        <v>243.06899999999999</v>
      </c>
      <c r="BG161" s="22">
        <f t="shared" si="1315"/>
        <v>267.04300466859064</v>
      </c>
      <c r="BH161" s="22">
        <f t="shared" si="1315"/>
        <v>210.05199999999999</v>
      </c>
      <c r="BI161" s="22">
        <f t="shared" si="1315"/>
        <v>215.77848262999788</v>
      </c>
      <c r="BJ161" s="22">
        <f t="shared" si="1315"/>
        <v>222.20400000000001</v>
      </c>
      <c r="BK161" s="22">
        <f t="shared" si="1315"/>
        <v>253.34652584335373</v>
      </c>
      <c r="BL161" s="22">
        <f t="shared" si="1315"/>
        <v>221.93100000000001</v>
      </c>
      <c r="BM161" s="22">
        <f t="shared" si="1315"/>
        <v>218.11407958335607</v>
      </c>
      <c r="BN161" s="22">
        <f t="shared" si="1315"/>
        <v>196.845</v>
      </c>
      <c r="BO161" s="22">
        <f t="shared" si="1315"/>
        <v>281.62196092217954</v>
      </c>
      <c r="BP161" s="22">
        <f t="shared" si="1315"/>
        <v>189.11</v>
      </c>
      <c r="BQ161" s="22">
        <f t="shared" si="1315"/>
        <v>148.2488524925335</v>
      </c>
      <c r="BR161" s="22">
        <f t="shared" si="1315"/>
        <v>229.02699999999999</v>
      </c>
      <c r="BS161" s="22">
        <f t="shared" si="1315"/>
        <v>275.57927470512806</v>
      </c>
      <c r="BT161" s="22">
        <f t="shared" si="1315"/>
        <v>195.36500000000001</v>
      </c>
      <c r="BU161" s="22">
        <f t="shared" si="1315"/>
        <v>196.82185664671499</v>
      </c>
      <c r="BV161" s="22">
        <f t="shared" si="1315"/>
        <v>196.346</v>
      </c>
      <c r="BW161" s="22">
        <f t="shared" si="1315"/>
        <v>275.53203186170663</v>
      </c>
      <c r="BX161" s="22">
        <f t="shared" si="1315"/>
        <v>237.459</v>
      </c>
      <c r="BY161" s="22">
        <f t="shared" si="1315"/>
        <v>227.89456002800151</v>
      </c>
      <c r="BZ161" s="22">
        <f t="shared" si="1315"/>
        <v>242.35599999999999</v>
      </c>
      <c r="CA161" s="22">
        <f t="shared" si="1315"/>
        <v>344.93024876230834</v>
      </c>
      <c r="CB161" s="22">
        <f t="shared" si="1315"/>
        <v>246.64099999999999</v>
      </c>
      <c r="CC161" s="22">
        <f t="shared" si="1315"/>
        <v>239.98782959979218</v>
      </c>
      <c r="CD161" s="22">
        <f t="shared" si="1315"/>
        <v>227.09399999999999</v>
      </c>
      <c r="CE161" s="22">
        <f t="shared" si="1315"/>
        <v>277.83710941821823</v>
      </c>
      <c r="CF161" s="22">
        <f t="shared" ref="CF161:CG161" si="1316">CF159+CF160</f>
        <v>279.32900000000001</v>
      </c>
      <c r="CG161" s="22">
        <f t="shared" si="1316"/>
        <v>259.89343112399018</v>
      </c>
      <c r="CH161" s="22">
        <f t="shared" ref="CH161:CI161" si="1317">CH159+CH160</f>
        <v>207.84030000000001</v>
      </c>
      <c r="CI161" s="22">
        <f t="shared" si="1317"/>
        <v>440.57272729537078</v>
      </c>
      <c r="CJ161" s="22">
        <f t="shared" ref="CJ161:DB161" si="1318">CJ159+CJ160</f>
        <v>192.49299999999999</v>
      </c>
      <c r="CK161" s="21">
        <f t="shared" si="1318"/>
        <v>79.264764370448873</v>
      </c>
      <c r="CL161" s="22">
        <f t="shared" ref="CL161" si="1319">CL159+CL160</f>
        <v>415.5</v>
      </c>
      <c r="CM161" s="21">
        <f t="shared" si="1318"/>
        <v>751.81034935349271</v>
      </c>
      <c r="CN161" s="21">
        <f t="shared" si="1318"/>
        <v>618.75419370329121</v>
      </c>
      <c r="CO161" s="21">
        <f t="shared" si="1318"/>
        <v>568.60221671882539</v>
      </c>
      <c r="CP161" s="21">
        <f t="shared" si="1318"/>
        <v>366.16889941821813</v>
      </c>
      <c r="CQ161" s="21">
        <f t="shared" si="1318"/>
        <v>856.89705129820095</v>
      </c>
      <c r="CR161" s="21">
        <f t="shared" si="1318"/>
        <v>656.07097439111726</v>
      </c>
      <c r="CS161" s="21">
        <f t="shared" si="1318"/>
        <v>576.65911855002196</v>
      </c>
      <c r="CT161" s="21">
        <f t="shared" si="1318"/>
        <v>294.89957764227785</v>
      </c>
      <c r="CU161" s="21">
        <f t="shared" si="1318"/>
        <v>968.96222084728379</v>
      </c>
      <c r="CV161" s="21">
        <f t="shared" si="1318"/>
        <v>684.47921177405692</v>
      </c>
      <c r="CW161" s="21">
        <f t="shared" si="1318"/>
        <v>570.02936666419521</v>
      </c>
      <c r="CX161" s="21">
        <f t="shared" si="1318"/>
        <v>179.70625269289485</v>
      </c>
      <c r="CY161" s="21">
        <f t="shared" si="1318"/>
        <v>1101.0877744375866</v>
      </c>
      <c r="CZ161" s="21">
        <f t="shared" si="1318"/>
        <v>705.1260249231924</v>
      </c>
      <c r="DA161" s="21">
        <f t="shared" si="1318"/>
        <v>543.80449705948547</v>
      </c>
      <c r="DB161" s="21">
        <f t="shared" si="1318"/>
        <v>4.1450111422137752</v>
      </c>
      <c r="DE161" s="126"/>
      <c r="DF161" s="22">
        <v>226.72044866946288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5.2999999999999999E-2</v>
      </c>
      <c r="N163" s="23">
        <f>-'Annual Raw'!O49</f>
        <v>0.17899999999999999</v>
      </c>
      <c r="O163" s="23">
        <f>-'Annual Raw'!P49</f>
        <v>0.313</v>
      </c>
      <c r="P163" s="23">
        <f>-'Annual Raw'!Q49</f>
        <v>0.49199999999999999</v>
      </c>
      <c r="Q163" s="23">
        <f>-'Annual Raw'!R49</f>
        <v>2.4609999999999999</v>
      </c>
      <c r="R163" s="23">
        <f>-'Annual Raw'!S49</f>
        <v>2.8325999999999998</v>
      </c>
      <c r="S163" s="23">
        <f>-'Annual Raw'!T49</f>
        <v>2.7972999999999999</v>
      </c>
      <c r="T163" s="23">
        <f>-'Annual Raw'!U49</f>
        <v>5.9212999999999996</v>
      </c>
      <c r="U163" s="23">
        <f>-'Annual Raw'!V49</f>
        <v>6.9640000000000004</v>
      </c>
      <c r="V163" s="23">
        <f>-'Annual Raw'!W49</f>
        <v>9.7314000000000007</v>
      </c>
      <c r="W163" s="23">
        <f>-'Annual Raw'!X49</f>
        <v>11.4702</v>
      </c>
      <c r="X163" s="23">
        <f>-'Annual Raw'!Y49</f>
        <v>12.924099999999999</v>
      </c>
      <c r="Y163" s="23">
        <f>-'Annual Raw'!Z49</f>
        <v>19.386099999999999</v>
      </c>
      <c r="Z163" s="23">
        <f>-'Annual Raw'!AA49</f>
        <v>27.4466</v>
      </c>
      <c r="AA163" s="23">
        <f>-'Annual Raw'!AB49</f>
        <v>45.216799999999999</v>
      </c>
      <c r="AB163" s="24">
        <f t="shared" ref="AB163:AB164" si="1320">+CP163</f>
        <v>45.216999999999999</v>
      </c>
      <c r="AC163" s="24">
        <f t="shared" ref="AC163:AC164" si="1321">+CT163</f>
        <v>45.216999999999999</v>
      </c>
      <c r="AD163" s="24">
        <f t="shared" ref="AD163:AD164" si="1322">+CX163</f>
        <v>45.216999999999999</v>
      </c>
      <c r="AE163" s="24">
        <f t="shared" ref="AE163:AE164" si="1323">+DB163</f>
        <v>45.216999999999999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2.4609999999999999</v>
      </c>
      <c r="AY163" s="23">
        <f t="shared" si="1324"/>
        <v>2.4609999999999999</v>
      </c>
      <c r="AZ163" s="23">
        <f>+'QTR Raw'!T96</f>
        <v>0</v>
      </c>
      <c r="BA163" s="23">
        <f t="shared" si="1324"/>
        <v>0</v>
      </c>
      <c r="BB163" s="23">
        <f>+'QTR Raw'!V96</f>
        <v>2.8330000000000002</v>
      </c>
      <c r="BC163" s="23">
        <f t="shared" si="1324"/>
        <v>2.8330000000000002</v>
      </c>
      <c r="BD163" s="23">
        <f>+'QTR Raw'!X96</f>
        <v>1.33</v>
      </c>
      <c r="BE163" s="23">
        <f t="shared" si="1324"/>
        <v>1.33</v>
      </c>
      <c r="BF163" s="23">
        <f>+'QTR Raw'!Z96</f>
        <v>2.7970000000000002</v>
      </c>
      <c r="BG163" s="23">
        <f t="shared" si="1324"/>
        <v>2.7970000000000002</v>
      </c>
      <c r="BH163" s="23">
        <f>+'QTR Raw'!AB96</f>
        <v>3.1429999999999998</v>
      </c>
      <c r="BI163" s="23">
        <f t="shared" si="1324"/>
        <v>3.1429999999999998</v>
      </c>
      <c r="BJ163" s="23">
        <f>+'QTR Raw'!AD96</f>
        <v>5.9210000000000003</v>
      </c>
      <c r="BK163" s="23">
        <f t="shared" si="1324"/>
        <v>5.9210000000000003</v>
      </c>
      <c r="BL163" s="23">
        <f>+'QTR Raw'!AF96</f>
        <v>5.8559999999999999</v>
      </c>
      <c r="BM163" s="23">
        <f t="shared" si="1324"/>
        <v>5.8559999999999999</v>
      </c>
      <c r="BN163" s="23">
        <f>+'QTR Raw'!AH96</f>
        <v>6.9640000000000004</v>
      </c>
      <c r="BO163" s="23">
        <f t="shared" si="1324"/>
        <v>6.9640000000000004</v>
      </c>
      <c r="BP163" s="23">
        <f>+'QTR Raw'!AJ96</f>
        <v>7.7510000000000003</v>
      </c>
      <c r="BQ163" s="23">
        <f t="shared" si="1324"/>
        <v>7.7510000000000003</v>
      </c>
      <c r="BR163" s="23">
        <f>+'QTR Raw'!AL96</f>
        <v>9.7309999999999999</v>
      </c>
      <c r="BS163" s="23">
        <f t="shared" si="1324"/>
        <v>9.7309999999999999</v>
      </c>
      <c r="BT163" s="23">
        <f>+'QTR Raw'!AN96</f>
        <v>10.84</v>
      </c>
      <c r="BU163" s="23">
        <f t="shared" si="1324"/>
        <v>10.84</v>
      </c>
      <c r="BV163" s="23">
        <f>+'QTR Raw'!AP96</f>
        <v>11.47</v>
      </c>
      <c r="BW163" s="23">
        <f t="shared" si="1324"/>
        <v>11.47</v>
      </c>
      <c r="BX163" s="23">
        <f>+'QTR Raw'!AR96</f>
        <v>11.798</v>
      </c>
      <c r="BY163" s="23">
        <f t="shared" si="1324"/>
        <v>11.798</v>
      </c>
      <c r="BZ163" s="23">
        <f>+'QTR Raw'!AT96</f>
        <v>12.923999999999999</v>
      </c>
      <c r="CA163" s="23">
        <f t="shared" si="1324"/>
        <v>12.923999999999999</v>
      </c>
      <c r="CB163" s="23">
        <f>+'QTR Raw'!AV96</f>
        <v>14.333</v>
      </c>
      <c r="CC163" s="23">
        <f t="shared" si="1324"/>
        <v>14.333</v>
      </c>
      <c r="CD163" s="23">
        <f>+'QTR Raw'!AX96</f>
        <v>19.385999999999999</v>
      </c>
      <c r="CE163" s="23">
        <f t="shared" si="1324"/>
        <v>19.385999999999999</v>
      </c>
      <c r="CF163" s="23">
        <f>+'QTR Raw'!AZ96</f>
        <v>22.466999999999999</v>
      </c>
      <c r="CG163" s="23">
        <f t="shared" ref="CG163:CI164" si="1325">+CF163</f>
        <v>22.466999999999999</v>
      </c>
      <c r="CH163" s="23">
        <f t="shared" ref="CH163:CH164" si="1326">Z163</f>
        <v>27.4466</v>
      </c>
      <c r="CI163" s="23">
        <f t="shared" si="1325"/>
        <v>27.4466</v>
      </c>
      <c r="CJ163" s="23">
        <f>+'QTR Raw'!BD96</f>
        <v>30.87</v>
      </c>
      <c r="CK163" s="24">
        <f t="shared" ref="CK163:CK164" si="1327">+CJ163</f>
        <v>30.87</v>
      </c>
      <c r="CL163" s="23">
        <f>+'QTR Raw'!BF96</f>
        <v>45.216999999999999</v>
      </c>
      <c r="CM163" s="24">
        <f t="shared" ref="CM163:CM164" si="1328">+CL163</f>
        <v>45.216999999999999</v>
      </c>
      <c r="CN163" s="24">
        <f t="shared" ref="CN163:CN164" si="1329">+CM163</f>
        <v>45.216999999999999</v>
      </c>
      <c r="CO163" s="24">
        <f t="shared" ref="CO163:CO164" si="1330">+CN163</f>
        <v>45.216999999999999</v>
      </c>
      <c r="CP163" s="24">
        <f t="shared" ref="CP163:CP164" si="1331">+CO163</f>
        <v>45.216999999999999</v>
      </c>
      <c r="CQ163" s="24">
        <f t="shared" ref="CQ163:CQ164" si="1332">+CP163</f>
        <v>45.216999999999999</v>
      </c>
      <c r="CR163" s="24">
        <f t="shared" ref="CR163:CR164" si="1333">+CQ163</f>
        <v>45.216999999999999</v>
      </c>
      <c r="CS163" s="24">
        <f t="shared" ref="CS163:CS164" si="1334">+CR163</f>
        <v>45.216999999999999</v>
      </c>
      <c r="CT163" s="24">
        <f t="shared" ref="CT163:CT164" si="1335">+CS163</f>
        <v>45.216999999999999</v>
      </c>
      <c r="CU163" s="24">
        <f t="shared" ref="CU163:CU164" si="1336">+CT163</f>
        <v>45.216999999999999</v>
      </c>
      <c r="CV163" s="24">
        <f t="shared" ref="CV163:CV164" si="1337">+CU163</f>
        <v>45.216999999999999</v>
      </c>
      <c r="CW163" s="24">
        <f t="shared" ref="CW163:CW164" si="1338">+CV163</f>
        <v>45.216999999999999</v>
      </c>
      <c r="CX163" s="24">
        <f t="shared" ref="CX163:CX164" si="1339">+CW163</f>
        <v>45.216999999999999</v>
      </c>
      <c r="CY163" s="24">
        <f t="shared" ref="CY163:CY164" si="1340">+CX163</f>
        <v>45.216999999999999</v>
      </c>
      <c r="CZ163" s="24">
        <f t="shared" ref="CZ163:CZ164" si="1341">+CY163</f>
        <v>45.216999999999999</v>
      </c>
      <c r="DA163" s="24">
        <f t="shared" ref="DA163:DA164" si="1342">+CZ163</f>
        <v>45.216999999999999</v>
      </c>
      <c r="DB163" s="24">
        <f t="shared" ref="DB163:DB164" si="1343">+DA163</f>
        <v>45.216999999999999</v>
      </c>
      <c r="DE163" s="123"/>
      <c r="DF163" s="23">
        <v>30.87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2.3729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0</v>
      </c>
      <c r="K165" s="26">
        <f t="shared" si="1345"/>
        <v>0</v>
      </c>
      <c r="L165" s="26">
        <f t="shared" si="1345"/>
        <v>0</v>
      </c>
      <c r="M165" s="26">
        <f t="shared" si="1345"/>
        <v>41.15100000000001</v>
      </c>
      <c r="N165" s="26">
        <f t="shared" si="1345"/>
        <v>41.579999999999984</v>
      </c>
      <c r="O165" s="26">
        <f t="shared" si="1345"/>
        <v>60.801000000000002</v>
      </c>
      <c r="P165" s="26">
        <f t="shared" si="1345"/>
        <v>80.330000000000013</v>
      </c>
      <c r="Q165" s="26">
        <f t="shared" si="1345"/>
        <v>111.29660000000001</v>
      </c>
      <c r="R165" s="26">
        <f t="shared" si="1345"/>
        <v>180.25089999999997</v>
      </c>
      <c r="S165" s="26">
        <f t="shared" si="1345"/>
        <v>332.72909999999996</v>
      </c>
      <c r="T165" s="26">
        <f t="shared" si="1345"/>
        <v>401.22839999999997</v>
      </c>
      <c r="U165" s="26">
        <f t="shared" si="1345"/>
        <v>534.70389999999998</v>
      </c>
      <c r="V165" s="26">
        <f t="shared" si="1345"/>
        <v>619.76690000000008</v>
      </c>
      <c r="W165" s="26">
        <f t="shared" si="1345"/>
        <v>786.61619999999994</v>
      </c>
      <c r="X165" s="26">
        <f t="shared" ref="X165:Y165" si="1346">X163+X161+X157+X140+X138+X164</f>
        <v>945.97379999999964</v>
      </c>
      <c r="Y165" s="26">
        <f t="shared" si="1346"/>
        <v>1369.96</v>
      </c>
      <c r="Z165" s="26">
        <f t="shared" ref="Z165:AA165" si="1347">Z163+Z161+Z157+Z140+Z138+Z164</f>
        <v>1480.4704000000002</v>
      </c>
      <c r="AA165" s="26">
        <f t="shared" si="1347"/>
        <v>1581.1774</v>
      </c>
      <c r="AB165" s="27">
        <f t="shared" ref="AA165:AD165" si="1348">AB163+AB161+AB157+AB140+AB138+AB164</f>
        <v>1705.0200161287155</v>
      </c>
      <c r="AC165" s="27">
        <f t="shared" si="1348"/>
        <v>1924.705033795565</v>
      </c>
      <c r="AD165" s="27">
        <f t="shared" si="1348"/>
        <v>2259.9023518692329</v>
      </c>
      <c r="AE165" s="27">
        <f t="shared" ref="AE165" si="1349">AE163+AE161+AE157+AE140+AE138+AE164</f>
        <v>2741.5084616718241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110.40599999999999</v>
      </c>
      <c r="AY165" s="26">
        <f t="shared" si="1353"/>
        <v>117.905</v>
      </c>
      <c r="AZ165" s="26">
        <f t="shared" si="1353"/>
        <v>0</v>
      </c>
      <c r="BA165" s="26">
        <f t="shared" si="1353"/>
        <v>7.3179999999999952</v>
      </c>
      <c r="BB165" s="26">
        <f t="shared" si="1353"/>
        <v>178.36399999999998</v>
      </c>
      <c r="BC165" s="26">
        <f t="shared" si="1353"/>
        <v>191.92599999999996</v>
      </c>
      <c r="BD165" s="26">
        <f t="shared" si="1353"/>
        <v>318.06500000000011</v>
      </c>
      <c r="BE165" s="26">
        <f t="shared" si="1353"/>
        <v>333.24200000000013</v>
      </c>
      <c r="BF165" s="26">
        <f t="shared" si="1353"/>
        <v>330.58199999999999</v>
      </c>
      <c r="BG165" s="26">
        <f t="shared" si="1353"/>
        <v>351.64899999999994</v>
      </c>
      <c r="BH165" s="26">
        <f t="shared" ref="BH165" si="1354">BH163+BH161+BH157+BH140+BH138+BH164</f>
        <v>343.31299999999999</v>
      </c>
      <c r="BI165" s="26">
        <f t="shared" si="1353"/>
        <v>364.45199999999994</v>
      </c>
      <c r="BJ165" s="26">
        <f t="shared" si="1353"/>
        <v>399.95299999999997</v>
      </c>
      <c r="BK165" s="26">
        <f t="shared" si="1353"/>
        <v>425.28199999999993</v>
      </c>
      <c r="BL165" s="26">
        <f t="shared" si="1353"/>
        <v>481.47300000000001</v>
      </c>
      <c r="BM165" s="26">
        <f t="shared" si="1353"/>
        <v>517.99600000000009</v>
      </c>
      <c r="BN165" s="26">
        <f t="shared" si="1353"/>
        <v>532.11900000000003</v>
      </c>
      <c r="BO165" s="26">
        <f t="shared" si="1353"/>
        <v>528.67599999999993</v>
      </c>
      <c r="BP165" s="26">
        <f t="shared" si="1353"/>
        <v>583.14099999999996</v>
      </c>
      <c r="BQ165" s="26">
        <f t="shared" si="1353"/>
        <v>612.30599999999993</v>
      </c>
      <c r="BR165" s="26">
        <f t="shared" si="1353"/>
        <v>619.76699999999994</v>
      </c>
      <c r="BS165" s="26">
        <f t="shared" si="1353"/>
        <v>644.67599999999993</v>
      </c>
      <c r="BT165" s="26">
        <f t="shared" si="1353"/>
        <v>771.4380000000001</v>
      </c>
      <c r="BU165" s="26">
        <f t="shared" si="1353"/>
        <v>821.57000000000016</v>
      </c>
      <c r="BV165" s="26">
        <f t="shared" si="1353"/>
        <v>786.61599999999999</v>
      </c>
      <c r="BW165" s="26">
        <f t="shared" si="1353"/>
        <v>815.65300000000002</v>
      </c>
      <c r="BX165" s="26">
        <f t="shared" si="1353"/>
        <v>877.41100000000006</v>
      </c>
      <c r="BY165" s="26">
        <f t="shared" si="1353"/>
        <v>912.77100000000007</v>
      </c>
      <c r="BZ165" s="26">
        <f t="shared" si="1353"/>
        <v>945.97300000000018</v>
      </c>
      <c r="CA165" s="26">
        <f t="shared" si="1353"/>
        <v>983.82000000000016</v>
      </c>
      <c r="CB165" s="26">
        <f t="shared" si="1353"/>
        <v>1268.2360000000001</v>
      </c>
      <c r="CC165" s="26">
        <f t="shared" si="1353"/>
        <v>1299.3209999999999</v>
      </c>
      <c r="CD165" s="26">
        <f t="shared" si="1353"/>
        <v>1369.9589999999998</v>
      </c>
      <c r="CE165" s="26">
        <f t="shared" si="1353"/>
        <v>1404.6429999999998</v>
      </c>
      <c r="CF165" s="26">
        <f t="shared" ref="CF165:CG165" si="1355">CF163+CF161+CF157+CF140+CF138+CF164</f>
        <v>1471.3769999999997</v>
      </c>
      <c r="CG165" s="26">
        <f t="shared" si="1355"/>
        <v>1476.4309999999998</v>
      </c>
      <c r="CH165" s="26">
        <f t="shared" ref="CH165:CI165" si="1356">CH163+CH161+CH157+CH140+CH138+CH164</f>
        <v>1480.4704000000002</v>
      </c>
      <c r="CI165" s="26">
        <f t="shared" si="1356"/>
        <v>1480.8924</v>
      </c>
      <c r="CJ165" s="26">
        <f t="shared" ref="CJ165:DB165" si="1357">CJ163+CJ161+CJ157+CJ140+CJ138+CJ164</f>
        <v>1575.2379999999996</v>
      </c>
      <c r="CK165" s="27">
        <f t="shared" si="1357"/>
        <v>1593.0719999999997</v>
      </c>
      <c r="CL165" s="26">
        <f t="shared" ref="CL165" si="1358">CL163+CL161+CL157+CL140+CL138+CL164</f>
        <v>1581.1780000000001</v>
      </c>
      <c r="CM165" s="27">
        <f t="shared" si="1357"/>
        <v>1586.9901645938244</v>
      </c>
      <c r="CN165" s="27">
        <f t="shared" si="1357"/>
        <v>1615.8144823867506</v>
      </c>
      <c r="CO165" s="27">
        <f t="shared" si="1357"/>
        <v>1650.9607893327022</v>
      </c>
      <c r="CP165" s="27">
        <f t="shared" si="1357"/>
        <v>1705.0200161287155</v>
      </c>
      <c r="CQ165" s="27">
        <f t="shared" si="1357"/>
        <v>1727.1451456704042</v>
      </c>
      <c r="CR165" s="27">
        <f t="shared" si="1357"/>
        <v>1778.2504733843105</v>
      </c>
      <c r="CS165" s="27">
        <f t="shared" si="1357"/>
        <v>1838.0812674151709</v>
      </c>
      <c r="CT165" s="27">
        <f t="shared" si="1357"/>
        <v>1924.705033795565</v>
      </c>
      <c r="CU165" s="27">
        <f t="shared" si="1357"/>
        <v>1964.7512385489913</v>
      </c>
      <c r="CV165" s="27">
        <f t="shared" si="1357"/>
        <v>2043.3434894741015</v>
      </c>
      <c r="CW165" s="27">
        <f t="shared" si="1357"/>
        <v>2133.5061391226495</v>
      </c>
      <c r="CX165" s="27">
        <f t="shared" si="1357"/>
        <v>2259.9023518692329</v>
      </c>
      <c r="CY165" s="27">
        <f t="shared" si="1357"/>
        <v>2321.1967210307794</v>
      </c>
      <c r="CZ165" s="27">
        <f t="shared" si="1357"/>
        <v>2434.6738746234614</v>
      </c>
      <c r="DA165" s="27">
        <f t="shared" si="1357"/>
        <v>2563.5161185212569</v>
      </c>
      <c r="DB165" s="27">
        <f t="shared" si="1357"/>
        <v>2741.5084616718241</v>
      </c>
      <c r="DE165" s="121"/>
      <c r="DF165" s="26">
        <v>1599.1463004686418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1.0000000001468834E-3</v>
      </c>
      <c r="BE166" s="23">
        <f t="shared" si="1368"/>
        <v>1.0000000001468834E-3</v>
      </c>
      <c r="BF166" s="23">
        <f t="shared" si="1368"/>
        <v>-9.9999999997635314E-4</v>
      </c>
      <c r="BG166" s="23">
        <f t="shared" si="1368"/>
        <v>-1.0000000000331966E-3</v>
      </c>
      <c r="BH166" s="23">
        <f t="shared" ref="BH166" si="1369">BH165-BH129</f>
        <v>2.9999999999859028E-3</v>
      </c>
      <c r="BI166" s="23">
        <f t="shared" si="1368"/>
        <v>2.9999999999859028E-3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-9.999999998626663E-4</v>
      </c>
      <c r="BU166" s="23">
        <f t="shared" si="1368"/>
        <v>-9.999999998626663E-4</v>
      </c>
      <c r="BV166" s="23">
        <f t="shared" si="1368"/>
        <v>0</v>
      </c>
      <c r="BW166" s="23">
        <f t="shared" si="1368"/>
        <v>0</v>
      </c>
      <c r="BX166" s="23">
        <f t="shared" si="1368"/>
        <v>-9.9999999997635314E-4</v>
      </c>
      <c r="BY166" s="23">
        <f t="shared" si="1368"/>
        <v>-9.9999999997635314E-4</v>
      </c>
      <c r="BZ166" s="23">
        <f t="shared" si="1368"/>
        <v>0</v>
      </c>
      <c r="CA166" s="23">
        <f t="shared" si="1368"/>
        <v>0</v>
      </c>
      <c r="CB166" s="23">
        <f t="shared" si="1368"/>
        <v>-9.9999999974897946E-4</v>
      </c>
      <c r="CC166" s="23">
        <f t="shared" si="1368"/>
        <v>-9.9999999997635314E-4</v>
      </c>
      <c r="CD166" s="23">
        <f t="shared" si="1368"/>
        <v>-1.0000000002037268E-3</v>
      </c>
      <c r="CE166" s="23">
        <f t="shared" si="1368"/>
        <v>-1.0000000002037268E-3</v>
      </c>
      <c r="CF166" s="23">
        <f t="shared" ref="CF166:CG166" si="1370">CF165-CF129</f>
        <v>-1.0000000004311005E-3</v>
      </c>
      <c r="CG166" s="23">
        <f t="shared" si="1370"/>
        <v>-1.0000000004311005E-3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0</v>
      </c>
      <c r="K168" s="22">
        <f t="shared" si="1374"/>
        <v>0</v>
      </c>
      <c r="L168" s="22">
        <f t="shared" si="1374"/>
        <v>0</v>
      </c>
      <c r="M168" s="22">
        <f t="shared" si="1374"/>
        <v>-10.165000000000003</v>
      </c>
      <c r="N168" s="22">
        <f t="shared" si="1374"/>
        <v>-29.628999999999998</v>
      </c>
      <c r="O168" s="22">
        <f t="shared" si="1374"/>
        <v>-50.545000000000002</v>
      </c>
      <c r="P168" s="22">
        <f t="shared" si="1374"/>
        <v>-63.230000000000004</v>
      </c>
      <c r="Q168" s="22">
        <f t="shared" si="1374"/>
        <v>-78.239000000000004</v>
      </c>
      <c r="R168" s="22">
        <f t="shared" si="1374"/>
        <v>-45.759100000000004</v>
      </c>
      <c r="S168" s="22">
        <f t="shared" si="1374"/>
        <v>-212.82739999999998</v>
      </c>
      <c r="T168" s="22">
        <f t="shared" si="1374"/>
        <v>-191.13669999999999</v>
      </c>
      <c r="U168" s="22">
        <f t="shared" si="1374"/>
        <v>-117.0095</v>
      </c>
      <c r="V168" s="22">
        <f t="shared" si="1374"/>
        <v>-145.15959999999998</v>
      </c>
      <c r="W168" s="22">
        <f t="shared" si="1374"/>
        <v>-96.688999999999993</v>
      </c>
      <c r="X168" s="22">
        <f t="shared" ref="X168:Y168" si="1375">X128-X161</f>
        <v>-97.374600000000015</v>
      </c>
      <c r="Y168" s="22">
        <f t="shared" si="1375"/>
        <v>227.99600000000001</v>
      </c>
      <c r="Z168" s="22">
        <f t="shared" ref="Z168:AA168" si="1376">Z128-Z161</f>
        <v>63.689799999999991</v>
      </c>
      <c r="AA168" s="22">
        <f t="shared" si="1376"/>
        <v>-98.274699999999996</v>
      </c>
      <c r="AB168" s="21">
        <f t="shared" ref="AA168:AD168" si="1377">AB128-AB161</f>
        <v>-48.942899418218133</v>
      </c>
      <c r="AC168" s="21">
        <f t="shared" si="1377"/>
        <v>22.326422357722151</v>
      </c>
      <c r="AD168" s="21">
        <f t="shared" si="1377"/>
        <v>137.51974730710515</v>
      </c>
      <c r="AE168" s="21">
        <f t="shared" ref="AE168" si="1378">AE128-AE161</f>
        <v>313.08098885778622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-79.13</v>
      </c>
      <c r="AY168" s="22">
        <f t="shared" si="1381"/>
        <v>-76.006706186043942</v>
      </c>
      <c r="AZ168" s="22">
        <f t="shared" si="1381"/>
        <v>0</v>
      </c>
      <c r="BA168" s="22">
        <f t="shared" si="1381"/>
        <v>-7.3179999999999952</v>
      </c>
      <c r="BB168" s="22">
        <f t="shared" si="1381"/>
        <v>-47.645999999999987</v>
      </c>
      <c r="BC168" s="22">
        <f t="shared" si="1381"/>
        <v>-60.756794625458525</v>
      </c>
      <c r="BD168" s="22">
        <f t="shared" si="1381"/>
        <v>-168.625</v>
      </c>
      <c r="BE168" s="22">
        <f t="shared" si="1381"/>
        <v>-176.68397222560606</v>
      </c>
      <c r="BF168" s="22">
        <f t="shared" si="1381"/>
        <v>-214.97399999999999</v>
      </c>
      <c r="BG168" s="22">
        <f t="shared" si="1381"/>
        <v>-238.94800466859064</v>
      </c>
      <c r="BH168" s="22">
        <f t="shared" si="1381"/>
        <v>-186.595</v>
      </c>
      <c r="BI168" s="22">
        <f t="shared" si="1381"/>
        <v>-192.32148262999789</v>
      </c>
      <c r="BJ168" s="22">
        <f t="shared" si="1381"/>
        <v>-192.41200000000001</v>
      </c>
      <c r="BK168" s="22">
        <f t="shared" si="1381"/>
        <v>-223.55452584335373</v>
      </c>
      <c r="BL168" s="22">
        <f t="shared" si="1381"/>
        <v>-146.63600000000002</v>
      </c>
      <c r="BM168" s="22">
        <f t="shared" si="1381"/>
        <v>-142.81907958335609</v>
      </c>
      <c r="BN168" s="22">
        <f t="shared" si="1381"/>
        <v>-119.595</v>
      </c>
      <c r="BO168" s="22">
        <f t="shared" si="1381"/>
        <v>-204.37196092217954</v>
      </c>
      <c r="BP168" s="22">
        <f t="shared" si="1381"/>
        <v>-71.301000000000002</v>
      </c>
      <c r="BQ168" s="22">
        <f t="shared" si="1381"/>
        <v>-30.43985249253349</v>
      </c>
      <c r="BR168" s="22">
        <f t="shared" si="1381"/>
        <v>-145.15999999999997</v>
      </c>
      <c r="BS168" s="22">
        <f t="shared" si="1381"/>
        <v>-191.71227470512804</v>
      </c>
      <c r="BT168" s="22">
        <f t="shared" si="1381"/>
        <v>-6.7530000000000143</v>
      </c>
      <c r="BU168" s="22">
        <f t="shared" si="1381"/>
        <v>-8.2098566467149965</v>
      </c>
      <c r="BV168" s="22">
        <f t="shared" si="1381"/>
        <v>-96.689000000000007</v>
      </c>
      <c r="BW168" s="22">
        <f t="shared" si="1381"/>
        <v>-175.87503186170665</v>
      </c>
      <c r="BX168" s="22">
        <f t="shared" si="1381"/>
        <v>-79.636000000000024</v>
      </c>
      <c r="BY168" s="22">
        <f t="shared" si="1381"/>
        <v>-70.071560028001528</v>
      </c>
      <c r="BZ168" s="22">
        <f t="shared" si="1381"/>
        <v>-97.375</v>
      </c>
      <c r="CA168" s="22">
        <f t="shared" si="1381"/>
        <v>-199.94924876230834</v>
      </c>
      <c r="CB168" s="22">
        <f t="shared" si="1381"/>
        <v>153.18999999999997</v>
      </c>
      <c r="CC168" s="22">
        <f t="shared" si="1381"/>
        <v>159.84317040020778</v>
      </c>
      <c r="CD168" s="22">
        <f t="shared" si="1381"/>
        <v>227.99600000000004</v>
      </c>
      <c r="CE168" s="22">
        <f t="shared" si="1381"/>
        <v>177.2528905817818</v>
      </c>
      <c r="CF168" s="22">
        <f t="shared" ref="CF168:CG168" si="1382">CF128-CF161</f>
        <v>-5.5509999999999877</v>
      </c>
      <c r="CG168" s="22">
        <f t="shared" si="1382"/>
        <v>13.884568876009837</v>
      </c>
      <c r="CH168" s="22">
        <f t="shared" ref="CH168:CI168" si="1383">CH128-CH161</f>
        <v>63.689799999999991</v>
      </c>
      <c r="CI168" s="22">
        <f t="shared" si="1383"/>
        <v>-169.04262729537078</v>
      </c>
      <c r="CJ168" s="22">
        <f t="shared" ref="CJ168:DB168" si="1384">CJ128-CJ161</f>
        <v>157.32800000000003</v>
      </c>
      <c r="CK168" s="21">
        <f t="shared" si="1384"/>
        <v>270.55623562955117</v>
      </c>
      <c r="CL168" s="22">
        <f t="shared" ref="CL168" si="1385">CL128-CL161</f>
        <v>-98.274000000000001</v>
      </c>
      <c r="CM168" s="21">
        <f t="shared" si="1384"/>
        <v>-434.58434935349271</v>
      </c>
      <c r="CN168" s="21">
        <f t="shared" si="1384"/>
        <v>-301.52819370329121</v>
      </c>
      <c r="CO168" s="21">
        <f t="shared" si="1384"/>
        <v>-251.37621671882539</v>
      </c>
      <c r="CP168" s="21">
        <f t="shared" si="1384"/>
        <v>-48.942899418218133</v>
      </c>
      <c r="CQ168" s="21">
        <f t="shared" si="1384"/>
        <v>-539.67105129820095</v>
      </c>
      <c r="CR168" s="21">
        <f t="shared" si="1384"/>
        <v>-338.84497439111726</v>
      </c>
      <c r="CS168" s="21">
        <f t="shared" si="1384"/>
        <v>-259.43311855002196</v>
      </c>
      <c r="CT168" s="21">
        <f t="shared" si="1384"/>
        <v>22.326422357722151</v>
      </c>
      <c r="CU168" s="21">
        <f t="shared" si="1384"/>
        <v>-651.73622084728379</v>
      </c>
      <c r="CV168" s="21">
        <f t="shared" si="1384"/>
        <v>-367.25321177405692</v>
      </c>
      <c r="CW168" s="21">
        <f t="shared" si="1384"/>
        <v>-252.80336666419521</v>
      </c>
      <c r="CX168" s="21">
        <f t="shared" si="1384"/>
        <v>137.51974730710515</v>
      </c>
      <c r="CY168" s="21">
        <f t="shared" si="1384"/>
        <v>-783.86177443758663</v>
      </c>
      <c r="CZ168" s="21">
        <f t="shared" si="1384"/>
        <v>-387.9000249231924</v>
      </c>
      <c r="DA168" s="21">
        <f t="shared" si="1384"/>
        <v>-226.57849705948547</v>
      </c>
      <c r="DB168" s="21">
        <f t="shared" si="1384"/>
        <v>313.08098885778622</v>
      </c>
      <c r="DE168" s="126"/>
      <c r="DF168" s="22">
        <v>123.10055133053714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20.555</v>
      </c>
      <c r="N170" s="49">
        <f>'Annual Raw'!O85</f>
        <v>17.654</v>
      </c>
      <c r="O170" s="49">
        <f>'Annual Raw'!P85</f>
        <v>18.268999999999998</v>
      </c>
      <c r="P170" s="49">
        <f>'Annual Raw'!Q85</f>
        <v>45.654000000000003</v>
      </c>
      <c r="Q170" s="49">
        <f>'Annual Raw'!R85</f>
        <v>72.688999999999993</v>
      </c>
      <c r="R170" s="49">
        <f>'Annual Raw'!S85</f>
        <v>117.7658</v>
      </c>
      <c r="S170" s="49">
        <f>'Annual Raw'!T85</f>
        <v>257.65280000000001</v>
      </c>
      <c r="T170" s="49">
        <f>'Annual Raw'!U85</f>
        <v>340.06310000000002</v>
      </c>
      <c r="U170" s="49">
        <f>'Annual Raw'!V85</f>
        <v>404.45150000000001</v>
      </c>
      <c r="V170" s="49">
        <f>'Annual Raw'!W85</f>
        <v>367.40410000000003</v>
      </c>
      <c r="W170" s="49">
        <f>'Annual Raw'!X85</f>
        <v>487.7319</v>
      </c>
      <c r="X170" s="49">
        <f>'Annual Raw'!Y85</f>
        <v>827.03750000000002</v>
      </c>
      <c r="Y170" s="49">
        <f>'Annual Raw'!Z85</f>
        <v>807.57410000000004</v>
      </c>
      <c r="Z170" s="49">
        <f>'Annual Raw'!AA85</f>
        <v>902.37879999999996</v>
      </c>
      <c r="AA170" s="49">
        <f>'Annual Raw'!AB85</f>
        <v>751.53089999999997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20.468</v>
      </c>
      <c r="N171" s="29">
        <f>'Annual Raw'!O95</f>
        <v>16.474</v>
      </c>
      <c r="O171" s="29">
        <f>'Annual Raw'!P95</f>
        <v>17.001999999999999</v>
      </c>
      <c r="P171" s="29">
        <f>'Annual Raw'!Q95</f>
        <v>44.323</v>
      </c>
      <c r="Q171" s="29">
        <f>'Annual Raw'!R95</f>
        <v>71.540700000000001</v>
      </c>
      <c r="R171" s="29">
        <f>'Annual Raw'!S95</f>
        <v>116.3956</v>
      </c>
      <c r="S171" s="29">
        <f>'Annual Raw'!T95</f>
        <v>256.2826</v>
      </c>
      <c r="T171" s="29">
        <f>'Annual Raw'!U95</f>
        <v>338.28199999999998</v>
      </c>
      <c r="U171" s="29">
        <f>'Annual Raw'!V95</f>
        <v>404.18430000000001</v>
      </c>
      <c r="V171" s="29">
        <f>'Annual Raw'!W95</f>
        <v>363.13310000000001</v>
      </c>
      <c r="W171" s="29">
        <f>'Annual Raw'!X95</f>
        <v>483.17410000000001</v>
      </c>
      <c r="X171" s="29">
        <f>'Annual Raw'!Y95</f>
        <v>822.52260000000001</v>
      </c>
      <c r="Y171" s="29">
        <f>'Annual Raw'!Z95</f>
        <v>802.06619999999998</v>
      </c>
      <c r="Z171" s="29">
        <f>'Annual Raw'!AA95</f>
        <v>896.35680000000002</v>
      </c>
      <c r="AA171" s="29">
        <f>'Annual Raw'!AB95</f>
        <v>735.39189999999996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8.6999999999999994E-2</v>
      </c>
      <c r="N172" s="29">
        <f>'Annual Raw'!O93</f>
        <v>1.18</v>
      </c>
      <c r="O172" s="29">
        <f>'Annual Raw'!P93</f>
        <v>1.2669999999999999</v>
      </c>
      <c r="P172" s="29">
        <f>'Annual Raw'!Q93</f>
        <v>1.331</v>
      </c>
      <c r="Q172" s="29">
        <f>'Annual Raw'!R93</f>
        <v>1.1483000000000001</v>
      </c>
      <c r="R172" s="29">
        <f>'Annual Raw'!S93</f>
        <v>1.3702000000000001</v>
      </c>
      <c r="S172" s="29">
        <f>'Annual Raw'!T93</f>
        <v>1.3702000000000001</v>
      </c>
      <c r="T172" s="29">
        <f>'Annual Raw'!U93</f>
        <v>1.7810999999999999</v>
      </c>
      <c r="U172" s="29">
        <f>'Annual Raw'!V93</f>
        <v>0.26719999999999999</v>
      </c>
      <c r="V172" s="29">
        <f>'Annual Raw'!W93</f>
        <v>4.2709999999999999</v>
      </c>
      <c r="W172" s="29">
        <f>'Annual Raw'!X93</f>
        <v>4.5578000000000003</v>
      </c>
      <c r="X172" s="29">
        <f>'Annual Raw'!Y93</f>
        <v>4.5148999999999999</v>
      </c>
      <c r="Y172" s="29">
        <f>'Annual Raw'!Z93</f>
        <v>5.5079000000000002</v>
      </c>
      <c r="Z172" s="29">
        <f>'Annual Raw'!AA93</f>
        <v>6.0220000000000002</v>
      </c>
      <c r="AA172" s="29">
        <f>'Annual Raw'!AB93</f>
        <v>16.138999999999999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-2.4980018054066022E-16</v>
      </c>
      <c r="N173" s="29">
        <f t="shared" si="1386"/>
        <v>0</v>
      </c>
      <c r="O173" s="29">
        <f t="shared" si="1386"/>
        <v>0</v>
      </c>
      <c r="P173" s="29">
        <f t="shared" si="1386"/>
        <v>3.1086244689504383E-15</v>
      </c>
      <c r="Q173" s="29">
        <f t="shared" si="1386"/>
        <v>-8.2156503822261584E-15</v>
      </c>
      <c r="R173" s="29">
        <f t="shared" si="1386"/>
        <v>-3.1086244689504383E-15</v>
      </c>
      <c r="S173" s="29">
        <f t="shared" si="1386"/>
        <v>1.1102230246251565E-14</v>
      </c>
      <c r="T173" s="29">
        <f t="shared" si="1386"/>
        <v>3.7747582837255322E-14</v>
      </c>
      <c r="U173" s="29">
        <f t="shared" si="1386"/>
        <v>2.55351295663786E-15</v>
      </c>
      <c r="V173" s="29">
        <f t="shared" si="1386"/>
        <v>1.5099033134902129E-14</v>
      </c>
      <c r="W173" s="29">
        <f t="shared" ref="W173" si="1387">W170-W171-W172</f>
        <v>-1.4210854715202004E-14</v>
      </c>
      <c r="X173" s="29">
        <f t="shared" ref="X173:Y173" si="1388">X170-X171-X172</f>
        <v>1.1546319456101628E-14</v>
      </c>
      <c r="Y173" s="29">
        <f t="shared" si="1388"/>
        <v>6.3060667798708891E-14</v>
      </c>
      <c r="Z173" s="29">
        <f t="shared" ref="Z173:AA173" si="1389">Z170-Z171-Z172</f>
        <v>-6.5725203057809267E-14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 t="e">
        <f t="shared" si="1392"/>
        <v>#DIV/0!</v>
      </c>
      <c r="K175" s="95" t="e">
        <f t="shared" si="1392"/>
        <v>#DIV/0!</v>
      </c>
      <c r="L175" s="95" t="e">
        <f t="shared" si="1392"/>
        <v>#DIV/0!</v>
      </c>
      <c r="M175" s="95">
        <f t="shared" si="1392"/>
        <v>1.345134480727701</v>
      </c>
      <c r="N175" s="95">
        <f t="shared" si="1392"/>
        <v>0.66380898665162613</v>
      </c>
      <c r="O175" s="95">
        <f t="shared" si="1392"/>
        <v>0.52507688328111968</v>
      </c>
      <c r="P175" s="95">
        <f t="shared" si="1392"/>
        <v>0.97297642896722236</v>
      </c>
      <c r="Q175" s="95">
        <f t="shared" si="1392"/>
        <v>1.1356307688461995</v>
      </c>
      <c r="R175" s="95">
        <f t="shared" si="1392"/>
        <v>1.1251538220479542</v>
      </c>
      <c r="S175" s="95">
        <f t="shared" si="1392"/>
        <v>0.85481846626697056</v>
      </c>
      <c r="T175" s="95">
        <f t="shared" si="1392"/>
        <v>0.92081387008264948</v>
      </c>
      <c r="U175" s="95">
        <f t="shared" si="1392"/>
        <v>0.89050613234882259</v>
      </c>
      <c r="V175" s="95">
        <f t="shared" si="1392"/>
        <v>0.68558395743978118</v>
      </c>
      <c r="W175" s="95">
        <f t="shared" si="1392"/>
        <v>0.70998660328202856</v>
      </c>
      <c r="X175" s="95">
        <f t="shared" ref="X175:Y175" si="1393">X170/X120</f>
        <v>1.0325159099492194</v>
      </c>
      <c r="Y175" s="95">
        <f t="shared" si="1393"/>
        <v>0.88272015507341539</v>
      </c>
      <c r="Z175" s="95">
        <f t="shared" ref="Z175:AA175" si="1394">Z170/Z120</f>
        <v>0.7464213079835289</v>
      </c>
      <c r="AA175" s="95">
        <f t="shared" si="1394"/>
        <v>0.59458821178242616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>
        <f t="shared" si="1397"/>
        <v>2.9032953254182834</v>
      </c>
      <c r="N179" s="67">
        <f t="shared" si="1397"/>
        <v>2.6034742791395544</v>
      </c>
      <c r="O179" s="67">
        <f t="shared" si="1397"/>
        <v>2.7145219618595942</v>
      </c>
      <c r="P179" s="67">
        <f t="shared" si="1397"/>
        <v>5.4794176259415988</v>
      </c>
      <c r="Q179" s="67">
        <f t="shared" si="1397"/>
        <v>7.5130181277889054</v>
      </c>
      <c r="R179" s="67">
        <f t="shared" si="1397"/>
        <v>2.9610920766593152</v>
      </c>
      <c r="S179" s="67">
        <f t="shared" si="1397"/>
        <v>16.419410497136354</v>
      </c>
      <c r="T179" s="67">
        <f t="shared" si="1397"/>
        <v>26.061927352703229</v>
      </c>
      <c r="U179" s="67">
        <f t="shared" si="1397"/>
        <v>23.574459401385742</v>
      </c>
      <c r="V179" s="67">
        <f t="shared" si="1397"/>
        <v>26.24088013304296</v>
      </c>
      <c r="W179" s="67">
        <f t="shared" si="1397"/>
        <v>17.090130260157053</v>
      </c>
      <c r="X179" s="67">
        <f t="shared" si="1397"/>
        <v>28.841766926100959</v>
      </c>
      <c r="Y179" s="67">
        <f t="shared" si="1397"/>
        <v>46.296146502388368</v>
      </c>
      <c r="Z179" s="67">
        <f t="shared" si="1397"/>
        <v>47.066966633078906</v>
      </c>
      <c r="AA179" s="67">
        <f t="shared" ref="AA179" si="1398">AA144/AA8*365</f>
        <v>40.295817566185818</v>
      </c>
      <c r="AB179" s="18">
        <f t="shared" si="1397"/>
        <v>41.678140829082217</v>
      </c>
      <c r="AC179" s="18">
        <f t="shared" si="1397"/>
        <v>41.829456918994474</v>
      </c>
      <c r="AD179" s="18">
        <f t="shared" si="1397"/>
        <v>41.839260855118951</v>
      </c>
      <c r="AE179" s="18">
        <f t="shared" si="1397"/>
        <v>41.838316114546807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>
        <f>AX144/AX8*90</f>
        <v>8.1579726503950702</v>
      </c>
      <c r="AY179" s="67">
        <f t="shared" ref="AY179:AY180" si="1406">+AX179</f>
        <v>8.1579726503950702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2.0087719840891798</v>
      </c>
      <c r="BC179" s="67">
        <f t="shared" ref="BC179:BC180" si="1408">+BB179</f>
        <v>2.0087719840891798</v>
      </c>
      <c r="BD179" s="67">
        <f>BD144/BD8*90</f>
        <v>5.9532220733341461</v>
      </c>
      <c r="BE179" s="67">
        <f t="shared" ref="BE179:BE180" si="1409">+BD179</f>
        <v>5.9532220733341461</v>
      </c>
      <c r="BF179" s="67">
        <f>BF144/BF8*90</f>
        <v>11.541279671719566</v>
      </c>
      <c r="BG179" s="67">
        <f t="shared" ref="BG179:BG180" si="1410">+BF179</f>
        <v>11.541279671719566</v>
      </c>
      <c r="BH179" s="67">
        <f>BH144/BH8*90</f>
        <v>22.794431790852631</v>
      </c>
      <c r="BI179" s="67">
        <f t="shared" ref="BI179:BI180" si="1411">+BH179</f>
        <v>22.794431790852631</v>
      </c>
      <c r="BJ179" s="67">
        <f>BJ144/BJ8*90</f>
        <v>19.937972406582013</v>
      </c>
      <c r="BK179" s="67">
        <f t="shared" ref="BK179:BK180" si="1412">+BJ179</f>
        <v>19.937972406582013</v>
      </c>
      <c r="BL179" s="67">
        <f>BL144/BL8*90</f>
        <v>33.423471627263204</v>
      </c>
      <c r="BM179" s="67">
        <f t="shared" ref="BM179:BM180" si="1413">+BL179</f>
        <v>33.423471627263204</v>
      </c>
      <c r="BN179" s="67">
        <f>BN144/BN8*90</f>
        <v>19.095151808622756</v>
      </c>
      <c r="BO179" s="67">
        <f t="shared" ref="BO179:BO180" si="1414">+BN179</f>
        <v>19.095151808622756</v>
      </c>
      <c r="BP179" s="67">
        <f>BP144/BP8*90</f>
        <v>34.666990283274231</v>
      </c>
      <c r="BQ179" s="67">
        <f t="shared" ref="BQ179:BQ180" si="1415">+BP179</f>
        <v>34.666990283274231</v>
      </c>
      <c r="BR179" s="67">
        <f>BR144/BR8*90</f>
        <v>16.034338141019241</v>
      </c>
      <c r="BS179" s="67">
        <f t="shared" ref="BS179:BS180" si="1416">+BR179</f>
        <v>16.034338141019241</v>
      </c>
      <c r="BT179" s="67">
        <f>BT144/BT8*90</f>
        <v>19.727846204676251</v>
      </c>
      <c r="BU179" s="67">
        <f t="shared" ref="BU179:BU180" si="1417">+BT179</f>
        <v>19.727846204676251</v>
      </c>
      <c r="BV179" s="67">
        <f>BV144/BV8*90</f>
        <v>13.281095904241797</v>
      </c>
      <c r="BW179" s="67">
        <f t="shared" ref="BW179:BW180" si="1418">+BV179</f>
        <v>13.281095904241797</v>
      </c>
      <c r="BX179" s="67">
        <f>BX144/BX8*90</f>
        <v>28.618180909045453</v>
      </c>
      <c r="BY179" s="67">
        <f t="shared" ref="BY179:BY180" si="1419">+BX179</f>
        <v>28.618180909045453</v>
      </c>
      <c r="BZ179" s="67">
        <f>BZ144/BZ8*90</f>
        <v>18.88894219171473</v>
      </c>
      <c r="CA179" s="67">
        <f t="shared" ref="CA179:CA180" si="1420">+BZ179</f>
        <v>18.88894219171473</v>
      </c>
      <c r="CB179" s="67">
        <f>CB144/CB8*90</f>
        <v>35.606073076383076</v>
      </c>
      <c r="CC179" s="67">
        <f t="shared" ref="CC179:CC180" si="1421">+CB179</f>
        <v>35.606073076383076</v>
      </c>
      <c r="CD179" s="67">
        <f>CD144/CD8*90</f>
        <v>42.836996581101864</v>
      </c>
      <c r="CE179" s="67">
        <f t="shared" si="1399"/>
        <v>42.836996581101864</v>
      </c>
      <c r="CF179" s="67">
        <f>CF144/CF8*90</f>
        <v>51.950522726574576</v>
      </c>
      <c r="CG179" s="67">
        <f t="shared" ref="CG179:CI180" si="1422">+CF179</f>
        <v>51.950522726574576</v>
      </c>
      <c r="CH179" s="67">
        <f>CH144/CH8*90</f>
        <v>43.327644909174943</v>
      </c>
      <c r="CI179" s="67">
        <f t="shared" si="1422"/>
        <v>43.327644909174943</v>
      </c>
      <c r="CJ179" s="67">
        <f>CJ144/CJ8*90</f>
        <v>41.69395019818856</v>
      </c>
      <c r="CK179" s="30">
        <f t="shared" ref="CK179:CK180" si="1423">+CJ179</f>
        <v>41.69395019818856</v>
      </c>
      <c r="CL179" s="67">
        <f>CL144/CL8*90</f>
        <v>28.052248843298305</v>
      </c>
      <c r="CM179" s="30">
        <f t="shared" ref="CM179:CM180" si="1424">+CL179</f>
        <v>28.052248843298305</v>
      </c>
      <c r="CN179" s="30">
        <f t="shared" ref="CN179:CN180" si="1425">+CM179</f>
        <v>28.052248843298305</v>
      </c>
      <c r="CO179" s="30">
        <f t="shared" ref="CO179:CO180" si="1426">+CN179</f>
        <v>28.052248843298305</v>
      </c>
      <c r="CP179" s="30">
        <f t="shared" ref="CP179:CP180" si="1427">+CO179</f>
        <v>28.052248843298305</v>
      </c>
      <c r="CQ179" s="30">
        <f t="shared" ref="CQ179:CQ180" si="1428">+CP179</f>
        <v>28.052248843298305</v>
      </c>
      <c r="CR179" s="30">
        <f t="shared" ref="CR179:CR180" si="1429">+CQ179</f>
        <v>28.052248843298305</v>
      </c>
      <c r="CS179" s="30">
        <f t="shared" ref="CS179:CS180" si="1430">+CR179</f>
        <v>28.052248843298305</v>
      </c>
      <c r="CT179" s="30">
        <f t="shared" ref="CT179:CT180" si="1431">+CS179</f>
        <v>28.052248843298305</v>
      </c>
      <c r="CU179" s="30">
        <f t="shared" ref="CU179:CU180" si="1432">+CT179</f>
        <v>28.052248843298305</v>
      </c>
      <c r="CV179" s="30">
        <f t="shared" ref="CV179:CV180" si="1433">+CU179</f>
        <v>28.052248843298305</v>
      </c>
      <c r="CW179" s="30">
        <f t="shared" ref="CW179:CW180" si="1434">+CV179</f>
        <v>28.052248843298305</v>
      </c>
      <c r="CX179" s="30">
        <f t="shared" ref="CX179:CX180" si="1435">+CW179</f>
        <v>28.052248843298305</v>
      </c>
      <c r="CY179" s="30">
        <f t="shared" ref="CY179:CY180" si="1436">+CX179</f>
        <v>28.052248843298305</v>
      </c>
      <c r="CZ179" s="30">
        <f t="shared" ref="CZ179:CZ180" si="1437">+CY179</f>
        <v>28.052248843298305</v>
      </c>
      <c r="DA179" s="30">
        <f t="shared" ref="DA179:DA180" si="1438">+CZ179</f>
        <v>28.052248843298305</v>
      </c>
      <c r="DB179" s="30">
        <f t="shared" ref="DB179:DB180" si="1439">+DA179</f>
        <v>28.052248843298305</v>
      </c>
      <c r="DE179" s="139"/>
      <c r="DF179" s="62">
        <v>41.69395019818856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>
        <f t="shared" si="1440"/>
        <v>38.721501060751095</v>
      </c>
      <c r="N180" s="67">
        <f t="shared" si="1440"/>
        <v>17.260963531341591</v>
      </c>
      <c r="O180" s="67">
        <f t="shared" si="1440"/>
        <v>23.858306444331454</v>
      </c>
      <c r="P180" s="67">
        <f t="shared" si="1440"/>
        <v>31.065214058829188</v>
      </c>
      <c r="Q180" s="67">
        <f t="shared" si="1440"/>
        <v>15.513678462275742</v>
      </c>
      <c r="R180" s="67">
        <f t="shared" si="1440"/>
        <v>47.824554390355821</v>
      </c>
      <c r="S180" s="67">
        <f t="shared" si="1440"/>
        <v>59.953724947179317</v>
      </c>
      <c r="T180" s="67">
        <f t="shared" si="1440"/>
        <v>51.387813062103753</v>
      </c>
      <c r="U180" s="67">
        <f t="shared" si="1440"/>
        <v>57.254213130443809</v>
      </c>
      <c r="V180" s="67">
        <f t="shared" si="1440"/>
        <v>66.636035550758891</v>
      </c>
      <c r="W180" s="67">
        <f t="shared" si="1440"/>
        <v>64.939062275376401</v>
      </c>
      <c r="X180" s="67">
        <f t="shared" si="1440"/>
        <v>81.721943527886694</v>
      </c>
      <c r="Y180" s="67">
        <f t="shared" si="1440"/>
        <v>49.833930118204307</v>
      </c>
      <c r="Z180" s="67">
        <f t="shared" si="1440"/>
        <v>76.982218087255745</v>
      </c>
      <c r="AA180" s="67">
        <f t="shared" ref="AA180" si="1441">AA145/AA8*365</f>
        <v>107.60120846890547</v>
      </c>
      <c r="AB180" s="18">
        <f t="shared" si="1440"/>
        <v>111.29234173323019</v>
      </c>
      <c r="AC180" s="18">
        <f t="shared" si="1440"/>
        <v>111.69639819192179</v>
      </c>
      <c r="AD180" s="18">
        <f t="shared" si="1440"/>
        <v>111.72257745490694</v>
      </c>
      <c r="AE180" s="18">
        <f t="shared" si="1440"/>
        <v>111.72005473223956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>
        <f>AX145/AX8*90</f>
        <v>16.845543198682481</v>
      </c>
      <c r="AY180" s="67">
        <f t="shared" si="1406"/>
        <v>16.845543198682481</v>
      </c>
      <c r="AZ180" s="67">
        <f>AZ145/AZ8*90</f>
        <v>0</v>
      </c>
      <c r="BA180" s="67">
        <f t="shared" si="1407"/>
        <v>0</v>
      </c>
      <c r="BB180" s="67">
        <f>BB145/BB8*90</f>
        <v>32.446566986903882</v>
      </c>
      <c r="BC180" s="67">
        <f t="shared" si="1408"/>
        <v>32.446566986903882</v>
      </c>
      <c r="BD180" s="67">
        <f>BD145/BD8*90</f>
        <v>81.054366441423696</v>
      </c>
      <c r="BE180" s="67">
        <f t="shared" si="1409"/>
        <v>81.054366441423696</v>
      </c>
      <c r="BF180" s="67">
        <f>BF145/BF8*90</f>
        <v>42.141218232913751</v>
      </c>
      <c r="BG180" s="67">
        <f t="shared" si="1410"/>
        <v>42.141218232913751</v>
      </c>
      <c r="BH180" s="67">
        <f>BH145/BH8*90</f>
        <v>59.05145217649639</v>
      </c>
      <c r="BI180" s="67">
        <f t="shared" si="1411"/>
        <v>59.05145217649639</v>
      </c>
      <c r="BJ180" s="67">
        <f>BJ145/BJ8*90</f>
        <v>39.312645654080967</v>
      </c>
      <c r="BK180" s="67">
        <f t="shared" si="1412"/>
        <v>39.312645654080967</v>
      </c>
      <c r="BL180" s="67">
        <f>BL145/BL8*90</f>
        <v>49.536001384114094</v>
      </c>
      <c r="BM180" s="67">
        <f t="shared" si="1413"/>
        <v>49.536001384114094</v>
      </c>
      <c r="BN180" s="67">
        <f>BN145/BN8*90</f>
        <v>46.375743048267189</v>
      </c>
      <c r="BO180" s="67">
        <f t="shared" si="1414"/>
        <v>46.375743048267189</v>
      </c>
      <c r="BP180" s="67">
        <f>BP145/BP8*90</f>
        <v>75.223747973968045</v>
      </c>
      <c r="BQ180" s="67">
        <f t="shared" si="1415"/>
        <v>75.223747973968045</v>
      </c>
      <c r="BR180" s="67">
        <f>BR145/BR8*90</f>
        <v>40.717538134628519</v>
      </c>
      <c r="BS180" s="67">
        <f t="shared" si="1416"/>
        <v>40.717538134628519</v>
      </c>
      <c r="BT180" s="67">
        <f>BT145/BT8*90</f>
        <v>82.688267881702998</v>
      </c>
      <c r="BU180" s="67">
        <f t="shared" si="1417"/>
        <v>82.688267881702998</v>
      </c>
      <c r="BV180" s="67">
        <f>BV145/BV8*90</f>
        <v>50.465665549439549</v>
      </c>
      <c r="BW180" s="67">
        <f t="shared" si="1418"/>
        <v>50.465665549439549</v>
      </c>
      <c r="BX180" s="67">
        <f>BX145/BX8*90</f>
        <v>70.220011000550016</v>
      </c>
      <c r="BY180" s="67">
        <f t="shared" si="1419"/>
        <v>70.220011000550016</v>
      </c>
      <c r="BZ180" s="67">
        <f>BZ145/BZ8*90</f>
        <v>53.520828307638332</v>
      </c>
      <c r="CA180" s="67">
        <f t="shared" si="1420"/>
        <v>53.520828307638332</v>
      </c>
      <c r="CB180" s="67">
        <f>CB145/CB8*90</f>
        <v>67.509477078300279</v>
      </c>
      <c r="CC180" s="67">
        <f t="shared" si="1421"/>
        <v>67.509477078300279</v>
      </c>
      <c r="CD180" s="67">
        <f>CD145/CD8*90</f>
        <v>46.110512924573094</v>
      </c>
      <c r="CE180" s="114">
        <f t="shared" ref="CE180" si="1442">+CD180</f>
        <v>46.110512924573094</v>
      </c>
      <c r="CF180" s="67">
        <f>CF145/CF8*90</f>
        <v>72.586446995218154</v>
      </c>
      <c r="CG180" s="67">
        <f t="shared" si="1422"/>
        <v>72.586446995218154</v>
      </c>
      <c r="CH180" s="67">
        <f>CH145/CH8*90</f>
        <v>70.866224195147183</v>
      </c>
      <c r="CI180" s="67">
        <f t="shared" si="1422"/>
        <v>70.866224195147183</v>
      </c>
      <c r="CJ180" s="67">
        <f>CJ145/CJ8*90</f>
        <v>88.678297143409978</v>
      </c>
      <c r="CK180" s="30">
        <f t="shared" si="1423"/>
        <v>88.678297143409978</v>
      </c>
      <c r="CL180" s="67">
        <f>CL145/CL8*90</f>
        <v>74.907383164161985</v>
      </c>
      <c r="CM180" s="30">
        <f t="shared" si="1424"/>
        <v>74.907383164161985</v>
      </c>
      <c r="CN180" s="30">
        <f t="shared" si="1425"/>
        <v>74.907383164161985</v>
      </c>
      <c r="CO180" s="30">
        <f t="shared" si="1426"/>
        <v>74.907383164161985</v>
      </c>
      <c r="CP180" s="30">
        <f t="shared" si="1427"/>
        <v>74.907383164161985</v>
      </c>
      <c r="CQ180" s="30">
        <f t="shared" si="1428"/>
        <v>74.907383164161985</v>
      </c>
      <c r="CR180" s="30">
        <f t="shared" si="1429"/>
        <v>74.907383164161985</v>
      </c>
      <c r="CS180" s="30">
        <f t="shared" si="1430"/>
        <v>74.907383164161985</v>
      </c>
      <c r="CT180" s="30">
        <f t="shared" si="1431"/>
        <v>74.907383164161985</v>
      </c>
      <c r="CU180" s="30">
        <f t="shared" si="1432"/>
        <v>74.907383164161985</v>
      </c>
      <c r="CV180" s="30">
        <f t="shared" si="1433"/>
        <v>74.907383164161985</v>
      </c>
      <c r="CW180" s="30">
        <f t="shared" si="1434"/>
        <v>74.907383164161985</v>
      </c>
      <c r="CX180" s="30">
        <f t="shared" si="1435"/>
        <v>74.907383164161985</v>
      </c>
      <c r="CY180" s="30">
        <f t="shared" si="1436"/>
        <v>74.907383164161985</v>
      </c>
      <c r="CZ180" s="30">
        <f t="shared" si="1437"/>
        <v>74.907383164161985</v>
      </c>
      <c r="DA180" s="30">
        <f t="shared" si="1438"/>
        <v>74.907383164161985</v>
      </c>
      <c r="DB180" s="30">
        <f t="shared" si="1439"/>
        <v>74.907383164161985</v>
      </c>
      <c r="DE180" s="139"/>
      <c r="DF180" s="62">
        <v>88.678297143409978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>
        <f t="shared" si="1443"/>
        <v>35.06020252229257</v>
      </c>
      <c r="N181" s="67">
        <f t="shared" si="1443"/>
        <v>28.672267960289506</v>
      </c>
      <c r="O181" s="67">
        <f t="shared" si="1443"/>
        <v>42.981376495131471</v>
      </c>
      <c r="P181" s="67">
        <f t="shared" si="1443"/>
        <v>34.980570894843986</v>
      </c>
      <c r="Q181" s="67">
        <f t="shared" si="1443"/>
        <v>31.043384164872272</v>
      </c>
      <c r="R181" s="67">
        <f t="shared" si="1443"/>
        <v>69.229057487741656</v>
      </c>
      <c r="S181" s="67">
        <f t="shared" si="1443"/>
        <v>56.370188581899285</v>
      </c>
      <c r="T181" s="67">
        <f t="shared" si="1443"/>
        <v>62.626434373127502</v>
      </c>
      <c r="U181" s="67">
        <f t="shared" si="1443"/>
        <v>77.559553907719661</v>
      </c>
      <c r="V181" s="67">
        <f>V182-V180-V179</f>
        <v>81.867900905047975</v>
      </c>
      <c r="W181" s="67">
        <f t="shared" ref="W181" si="1444">W182-W180-W179</f>
        <v>96.394533596123196</v>
      </c>
      <c r="X181" s="67">
        <f t="shared" ref="X181:Y181" si="1445">X182-X180-X179</f>
        <v>125.28266942098428</v>
      </c>
      <c r="Y181" s="67">
        <f t="shared" si="1445"/>
        <v>117.24952684554181</v>
      </c>
      <c r="Z181" s="67">
        <f t="shared" ref="Z181:AA181" si="1446">Z182-Z180-Z179</f>
        <v>138.50193841812933</v>
      </c>
      <c r="AA181" s="67">
        <f t="shared" si="1446"/>
        <v>108.70393054903731</v>
      </c>
      <c r="AB181" s="18">
        <f t="shared" ref="AA181:AD181" si="1447">AB182-AB180-AB179</f>
        <v>112.43281909317059</v>
      </c>
      <c r="AC181" s="18">
        <f t="shared" si="1447"/>
        <v>112.84101615341751</v>
      </c>
      <c r="AD181" s="18">
        <f t="shared" si="1447"/>
        <v>112.86746369053783</v>
      </c>
      <c r="AE181" s="18">
        <f t="shared" ref="AE181" si="1448">AE182-AE180-AE179</f>
        <v>112.86491511606391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>
        <f t="shared" si="1451"/>
        <v>33.708573120408587</v>
      </c>
      <c r="AY181" s="67">
        <f t="shared" si="1451"/>
        <v>42.333317840626535</v>
      </c>
      <c r="AZ181" s="67">
        <f t="shared" ref="AZ181:BC181" si="1452">AZ182-AZ180-AZ179</f>
        <v>0</v>
      </c>
      <c r="BA181" s="67">
        <f t="shared" si="1452"/>
        <v>0</v>
      </c>
      <c r="BB181" s="67">
        <f t="shared" si="1452"/>
        <v>48.289030070955313</v>
      </c>
      <c r="BC181" s="67">
        <f t="shared" si="1452"/>
        <v>50.102181629129454</v>
      </c>
      <c r="BD181" s="67">
        <f t="shared" ref="BD181:CE181" si="1453">BD182-BD180-BD179</f>
        <v>51.554606493590242</v>
      </c>
      <c r="BE181" s="67">
        <f t="shared" si="1453"/>
        <v>42.122950819672141</v>
      </c>
      <c r="BF181" s="67">
        <f t="shared" si="1453"/>
        <v>39.622227194635862</v>
      </c>
      <c r="BG181" s="67">
        <f t="shared" si="1453"/>
        <v>43.856393249937049</v>
      </c>
      <c r="BH181" s="67">
        <f t="shared" si="1453"/>
        <v>56.196471769915263</v>
      </c>
      <c r="BI181" s="67">
        <f t="shared" si="1453"/>
        <v>45.490767921150393</v>
      </c>
      <c r="BJ181" s="67">
        <f t="shared" si="1453"/>
        <v>47.910467599443528</v>
      </c>
      <c r="BK181" s="67">
        <f t="shared" si="1453"/>
        <v>52.718284728113026</v>
      </c>
      <c r="BL181" s="67">
        <f t="shared" si="1453"/>
        <v>69.928903954657443</v>
      </c>
      <c r="BM181" s="67">
        <f t="shared" si="1453"/>
        <v>51.589397398987394</v>
      </c>
      <c r="BN181" s="67">
        <f t="shared" si="1453"/>
        <v>62.822937048227757</v>
      </c>
      <c r="BO181" s="67">
        <f t="shared" si="1453"/>
        <v>268.23522808067963</v>
      </c>
      <c r="BP181" s="67">
        <f t="shared" si="1453"/>
        <v>95.786840871132</v>
      </c>
      <c r="BQ181" s="67">
        <f t="shared" si="1453"/>
        <v>59.679361491084364</v>
      </c>
      <c r="BR181" s="67">
        <f t="shared" si="1453"/>
        <v>50.024963752631159</v>
      </c>
      <c r="BS181" s="67">
        <f t="shared" si="1453"/>
        <v>78.929656285055273</v>
      </c>
      <c r="BT181" s="67">
        <f t="shared" si="1453"/>
        <v>85.817882855540262</v>
      </c>
      <c r="BU181" s="67">
        <f t="shared" si="1453"/>
        <v>68.998023145669436</v>
      </c>
      <c r="BV181" s="67">
        <f t="shared" si="1453"/>
        <v>74.910456560659284</v>
      </c>
      <c r="BW181" s="67">
        <f t="shared" si="1453"/>
        <v>119.3651495911883</v>
      </c>
      <c r="BX181" s="67">
        <f t="shared" si="1453"/>
        <v>144.97424871243561</v>
      </c>
      <c r="BY181" s="67">
        <f t="shared" si="1453"/>
        <v>104.34347614848942</v>
      </c>
      <c r="BZ181" s="67">
        <f t="shared" si="1453"/>
        <v>82.049332222197847</v>
      </c>
      <c r="CA181" s="67">
        <f t="shared" si="1453"/>
        <v>116.54737776635577</v>
      </c>
      <c r="CB181" s="67">
        <f t="shared" si="1453"/>
        <v>114.16415316314129</v>
      </c>
      <c r="CC181" s="67">
        <f t="shared" si="1453"/>
        <v>100.37908478183752</v>
      </c>
      <c r="CD181" s="67">
        <f t="shared" si="1453"/>
        <v>108.48887098489121</v>
      </c>
      <c r="CE181" s="114">
        <f t="shared" si="1453"/>
        <v>116.27160699898243</v>
      </c>
      <c r="CF181" s="67">
        <f t="shared" ref="CF181:CG181" si="1454">CF182-CF180-CF179</f>
        <v>139.36341016372961</v>
      </c>
      <c r="CG181" s="67">
        <f t="shared" si="1454"/>
        <v>129.57937830247059</v>
      </c>
      <c r="CH181" s="67">
        <f t="shared" ref="CH181" si="1455">CH182-CH180-CH179</f>
        <v>127.49839720487986</v>
      </c>
      <c r="CI181" s="67">
        <f>CH181</f>
        <v>127.49839720487986</v>
      </c>
      <c r="CJ181" s="67">
        <f t="shared" ref="CJ181:CL181" si="1456">CJ182-CJ180-CJ179</f>
        <v>135.24610665475356</v>
      </c>
      <c r="CK181" s="30">
        <f t="shared" ref="CK181:DB181" si="1457">CJ181</f>
        <v>135.24610665475356</v>
      </c>
      <c r="CL181" s="67">
        <f t="shared" si="1456"/>
        <v>75.67500269000395</v>
      </c>
      <c r="CM181" s="30">
        <f t="shared" si="1457"/>
        <v>75.67500269000395</v>
      </c>
      <c r="CN181" s="30">
        <f t="shared" si="1457"/>
        <v>75.67500269000395</v>
      </c>
      <c r="CO181" s="30">
        <f t="shared" si="1457"/>
        <v>75.67500269000395</v>
      </c>
      <c r="CP181" s="30">
        <f t="shared" si="1457"/>
        <v>75.67500269000395</v>
      </c>
      <c r="CQ181" s="30">
        <f t="shared" si="1457"/>
        <v>75.67500269000395</v>
      </c>
      <c r="CR181" s="30">
        <f t="shared" si="1457"/>
        <v>75.67500269000395</v>
      </c>
      <c r="CS181" s="30">
        <f t="shared" si="1457"/>
        <v>75.67500269000395</v>
      </c>
      <c r="CT181" s="30">
        <f t="shared" si="1457"/>
        <v>75.67500269000395</v>
      </c>
      <c r="CU181" s="30">
        <f t="shared" si="1457"/>
        <v>75.67500269000395</v>
      </c>
      <c r="CV181" s="30">
        <f t="shared" si="1457"/>
        <v>75.67500269000395</v>
      </c>
      <c r="CW181" s="30">
        <f t="shared" si="1457"/>
        <v>75.67500269000395</v>
      </c>
      <c r="CX181" s="30">
        <f t="shared" si="1457"/>
        <v>75.67500269000395</v>
      </c>
      <c r="CY181" s="30">
        <f t="shared" si="1457"/>
        <v>75.67500269000395</v>
      </c>
      <c r="CZ181" s="30">
        <f t="shared" si="1457"/>
        <v>75.67500269000395</v>
      </c>
      <c r="DA181" s="30">
        <f t="shared" si="1457"/>
        <v>75.67500269000395</v>
      </c>
      <c r="DB181" s="30">
        <f t="shared" si="1457"/>
        <v>75.67500269000395</v>
      </c>
      <c r="DE181" s="139"/>
      <c r="DF181" s="62">
        <v>135.24610665475356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>
        <f t="shared" si="1458"/>
        <v>76.684998908461949</v>
      </c>
      <c r="N182" s="70">
        <f t="shared" si="1458"/>
        <v>48.536705770770652</v>
      </c>
      <c r="O182" s="70">
        <f t="shared" si="1458"/>
        <v>69.554204901322521</v>
      </c>
      <c r="P182" s="70">
        <f t="shared" si="1458"/>
        <v>71.525202579614771</v>
      </c>
      <c r="Q182" s="70">
        <f t="shared" si="1458"/>
        <v>54.070080754936917</v>
      </c>
      <c r="R182" s="70">
        <f t="shared" si="1458"/>
        <v>120.01470395475678</v>
      </c>
      <c r="S182" s="70">
        <f t="shared" si="1458"/>
        <v>132.74332402621496</v>
      </c>
      <c r="T182" s="70">
        <f t="shared" si="1458"/>
        <v>140.07617478793449</v>
      </c>
      <c r="U182" s="70">
        <f t="shared" si="1458"/>
        <v>158.38822643954921</v>
      </c>
      <c r="V182" s="70">
        <f t="shared" si="1458"/>
        <v>174.74481658884983</v>
      </c>
      <c r="W182" s="70">
        <f t="shared" si="1458"/>
        <v>178.42372613165665</v>
      </c>
      <c r="X182" s="70">
        <f t="shared" si="1458"/>
        <v>235.84637987497194</v>
      </c>
      <c r="Y182" s="70">
        <f t="shared" si="1458"/>
        <v>213.37960346613448</v>
      </c>
      <c r="Z182" s="70">
        <f t="shared" si="1458"/>
        <v>262.55112313846399</v>
      </c>
      <c r="AA182" s="70">
        <f t="shared" ref="AA182" si="1459">AA148/AA8*365</f>
        <v>256.6009565841286</v>
      </c>
      <c r="AB182" s="71">
        <f t="shared" si="1458"/>
        <v>265.40330165548301</v>
      </c>
      <c r="AC182" s="71">
        <f t="shared" si="1458"/>
        <v>266.36687126433378</v>
      </c>
      <c r="AD182" s="71">
        <f t="shared" si="1458"/>
        <v>266.42930200056372</v>
      </c>
      <c r="AE182" s="71">
        <f t="shared" si="1458"/>
        <v>266.42328596285029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>
        <f t="shared" si="1460"/>
        <v>58.712088969486132</v>
      </c>
      <c r="AY182" s="70">
        <f t="shared" si="1460"/>
        <v>67.336833689704079</v>
      </c>
      <c r="AZ182" s="70">
        <f t="shared" si="1460"/>
        <v>0</v>
      </c>
      <c r="BA182" s="70">
        <f t="shared" si="1460"/>
        <v>0</v>
      </c>
      <c r="BB182" s="70">
        <f t="shared" si="1460"/>
        <v>82.744369041948374</v>
      </c>
      <c r="BC182" s="70">
        <f t="shared" si="1460"/>
        <v>84.557520600122515</v>
      </c>
      <c r="BD182" s="70">
        <f t="shared" si="1460"/>
        <v>138.56219500834808</v>
      </c>
      <c r="BE182" s="70">
        <f t="shared" si="1460"/>
        <v>129.13053933442998</v>
      </c>
      <c r="BF182" s="70">
        <f t="shared" si="1460"/>
        <v>93.304725099269177</v>
      </c>
      <c r="BG182" s="70">
        <f t="shared" si="1460"/>
        <v>97.538891154570365</v>
      </c>
      <c r="BH182" s="70">
        <f t="shared" si="1460"/>
        <v>138.04235573726427</v>
      </c>
      <c r="BI182" s="70">
        <f t="shared" si="1460"/>
        <v>127.33665188849942</v>
      </c>
      <c r="BJ182" s="70">
        <f t="shared" si="1460"/>
        <v>107.16108566010651</v>
      </c>
      <c r="BK182" s="70">
        <f t="shared" si="1460"/>
        <v>111.96890278877601</v>
      </c>
      <c r="BL182" s="70">
        <f t="shared" si="1460"/>
        <v>152.88837696603474</v>
      </c>
      <c r="BM182" s="70">
        <f t="shared" si="1460"/>
        <v>134.54887041036469</v>
      </c>
      <c r="BN182" s="70">
        <f t="shared" si="1460"/>
        <v>128.29383190511771</v>
      </c>
      <c r="BO182" s="70">
        <f t="shared" si="1460"/>
        <v>333.70612293756955</v>
      </c>
      <c r="BP182" s="70">
        <f t="shared" si="1460"/>
        <v>205.67757912837428</v>
      </c>
      <c r="BQ182" s="70">
        <f t="shared" si="1460"/>
        <v>169.57009974832664</v>
      </c>
      <c r="BR182" s="70">
        <f t="shared" si="1460"/>
        <v>106.77684002827893</v>
      </c>
      <c r="BS182" s="70">
        <f t="shared" si="1460"/>
        <v>135.68153256070303</v>
      </c>
      <c r="BT182" s="70">
        <f t="shared" si="1460"/>
        <v>188.23399694191951</v>
      </c>
      <c r="BU182" s="70">
        <f t="shared" si="1460"/>
        <v>171.41413723204869</v>
      </c>
      <c r="BV182" s="70">
        <f t="shared" si="1460"/>
        <v>138.65721801434063</v>
      </c>
      <c r="BW182" s="70">
        <f t="shared" si="1460"/>
        <v>183.11191104486963</v>
      </c>
      <c r="BX182" s="70">
        <f t="shared" si="1460"/>
        <v>243.81244062203109</v>
      </c>
      <c r="BY182" s="70">
        <f t="shared" si="1460"/>
        <v>203.18166805808488</v>
      </c>
      <c r="BZ182" s="70">
        <f t="shared" si="1460"/>
        <v>154.45910272155092</v>
      </c>
      <c r="CA182" s="70">
        <f t="shared" si="1460"/>
        <v>188.95714826570884</v>
      </c>
      <c r="CB182" s="70">
        <f t="shared" si="1460"/>
        <v>217.27970331782464</v>
      </c>
      <c r="CC182" s="70">
        <f t="shared" si="1460"/>
        <v>203.49463493652087</v>
      </c>
      <c r="CD182" s="70">
        <f t="shared" si="1460"/>
        <v>197.43638049056617</v>
      </c>
      <c r="CE182" s="115">
        <f>CE148/CE10*90</f>
        <v>205.21911650465739</v>
      </c>
      <c r="CF182" s="70">
        <f>CF148/CF8*90</f>
        <v>263.90037988552234</v>
      </c>
      <c r="CG182" s="70">
        <f>CG148/CG10*90</f>
        <v>254.11634802426332</v>
      </c>
      <c r="CH182" s="70">
        <f>CH148/CH8*90</f>
        <v>241.69226630920201</v>
      </c>
      <c r="CI182" s="70">
        <f>CI179+CI180+CI181</f>
        <v>241.69226630920198</v>
      </c>
      <c r="CJ182" s="70">
        <f>CJ148/CJ8*90</f>
        <v>265.61835399635208</v>
      </c>
      <c r="CK182" s="50">
        <f t="shared" ref="CK182:DB182" si="1461">CK179+CK180+CK181</f>
        <v>265.61835399635208</v>
      </c>
      <c r="CL182" s="70">
        <f>CL148/CL8*90</f>
        <v>178.63463469746424</v>
      </c>
      <c r="CM182" s="50">
        <f t="shared" si="1461"/>
        <v>178.63463469746424</v>
      </c>
      <c r="CN182" s="50">
        <f t="shared" si="1461"/>
        <v>178.63463469746424</v>
      </c>
      <c r="CO182" s="50">
        <f t="shared" si="1461"/>
        <v>178.63463469746424</v>
      </c>
      <c r="CP182" s="50">
        <f t="shared" si="1461"/>
        <v>178.63463469746424</v>
      </c>
      <c r="CQ182" s="50">
        <f t="shared" si="1461"/>
        <v>178.63463469746424</v>
      </c>
      <c r="CR182" s="50">
        <f t="shared" si="1461"/>
        <v>178.63463469746424</v>
      </c>
      <c r="CS182" s="50">
        <f t="shared" si="1461"/>
        <v>178.63463469746424</v>
      </c>
      <c r="CT182" s="50">
        <f t="shared" si="1461"/>
        <v>178.63463469746424</v>
      </c>
      <c r="CU182" s="50">
        <f t="shared" si="1461"/>
        <v>178.63463469746424</v>
      </c>
      <c r="CV182" s="50">
        <f t="shared" si="1461"/>
        <v>178.63463469746424</v>
      </c>
      <c r="CW182" s="50">
        <f t="shared" si="1461"/>
        <v>178.63463469746424</v>
      </c>
      <c r="CX182" s="50">
        <f t="shared" si="1461"/>
        <v>178.63463469746424</v>
      </c>
      <c r="CY182" s="50">
        <f t="shared" si="1461"/>
        <v>178.63463469746424</v>
      </c>
      <c r="CZ182" s="50">
        <f t="shared" si="1461"/>
        <v>178.63463469746424</v>
      </c>
      <c r="DA182" s="50">
        <f t="shared" si="1461"/>
        <v>178.63463469746424</v>
      </c>
      <c r="DB182" s="50">
        <f t="shared" si="1461"/>
        <v>178.63463469746424</v>
      </c>
      <c r="DE182" s="138"/>
      <c r="DF182" s="7">
        <v>265.61835399635208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>
        <f t="shared" si="1462"/>
        <v>42.102890056927912</v>
      </c>
      <c r="N183" s="67">
        <f t="shared" si="1462"/>
        <v>50.447811958237132</v>
      </c>
      <c r="O183" s="67">
        <f t="shared" si="1462"/>
        <v>69.340859085789774</v>
      </c>
      <c r="P183" s="67">
        <f t="shared" si="1462"/>
        <v>82.140516992445825</v>
      </c>
      <c r="Q183" s="67">
        <f t="shared" si="1462"/>
        <v>63.008219620149049</v>
      </c>
      <c r="R183" s="67">
        <f t="shared" si="1462"/>
        <v>61.017305700390509</v>
      </c>
      <c r="S183" s="67">
        <f t="shared" si="1462"/>
        <v>61.751805934408829</v>
      </c>
      <c r="T183" s="67">
        <f t="shared" si="1462"/>
        <v>55.298994218048506</v>
      </c>
      <c r="U183" s="67">
        <f t="shared" si="1462"/>
        <v>52.782336584472084</v>
      </c>
      <c r="V183" s="67">
        <f t="shared" si="1462"/>
        <v>75.492370467507115</v>
      </c>
      <c r="W183" s="67">
        <f t="shared" si="1462"/>
        <v>53.91284915140087</v>
      </c>
      <c r="X183" s="67">
        <f t="shared" si="1462"/>
        <v>69.3749498143777</v>
      </c>
      <c r="Y183" s="67">
        <f t="shared" si="1462"/>
        <v>61.182979728736079</v>
      </c>
      <c r="Z183" s="67">
        <f t="shared" si="1462"/>
        <v>60.719884359289814</v>
      </c>
      <c r="AA183" s="67">
        <f t="shared" ref="AA183" si="1463">AA153/AA8*365</f>
        <v>53.926466827067081</v>
      </c>
      <c r="AB183" s="18">
        <f t="shared" si="1462"/>
        <v>55.776321011086829</v>
      </c>
      <c r="AC183" s="18">
        <f t="shared" si="1462"/>
        <v>55.978821761772871</v>
      </c>
      <c r="AD183" s="18">
        <f t="shared" si="1462"/>
        <v>55.991942008443516</v>
      </c>
      <c r="AE183" s="18">
        <f t="shared" si="1462"/>
        <v>55.990677696927314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>
        <f>AX153/AX8*90</f>
        <v>68.418885660887113</v>
      </c>
      <c r="AY183" s="67">
        <f t="shared" ref="AY183" si="1471">+AX183</f>
        <v>68.418885660887113</v>
      </c>
      <c r="AZ183" s="67">
        <f>AZ153/AZ8*90</f>
        <v>0</v>
      </c>
      <c r="BA183" s="67">
        <f t="shared" ref="BA183" si="1472">+AZ183</f>
        <v>0</v>
      </c>
      <c r="BB183" s="67">
        <f>BB153/BB8*90</f>
        <v>41.396960117784609</v>
      </c>
      <c r="BC183" s="67">
        <f t="shared" ref="BC183" si="1473">+BB183</f>
        <v>41.396960117784609</v>
      </c>
      <c r="BD183" s="67">
        <f>BD153/BD8*90</f>
        <v>66.505700343238772</v>
      </c>
      <c r="BE183" s="67">
        <f t="shared" ref="BE183" si="1474">+BD183</f>
        <v>66.505700343238772</v>
      </c>
      <c r="BF183" s="67">
        <f>BF153/BF8*90</f>
        <v>43.405150999139096</v>
      </c>
      <c r="BG183" s="67">
        <f t="shared" ref="BG183" si="1475">+BF183</f>
        <v>43.405150999139096</v>
      </c>
      <c r="BH183" s="67">
        <f>BH153/BH8*90</f>
        <v>54.051098504675537</v>
      </c>
      <c r="BI183" s="67">
        <f t="shared" ref="BI183" si="1476">+BH183</f>
        <v>54.051098504675537</v>
      </c>
      <c r="BJ183" s="67">
        <f>BJ153/BJ8*90</f>
        <v>42.304856760564626</v>
      </c>
      <c r="BK183" s="67">
        <f t="shared" ref="BK183" si="1477">+BJ183</f>
        <v>42.304856760564626</v>
      </c>
      <c r="BL183" s="67">
        <f>BL153/BL8*90</f>
        <v>50.237574211904018</v>
      </c>
      <c r="BM183" s="67">
        <f t="shared" ref="BM183" si="1478">+BL183</f>
        <v>50.237574211904018</v>
      </c>
      <c r="BN183" s="67">
        <f>BN153/BN8*90</f>
        <v>42.753633349912462</v>
      </c>
      <c r="BO183" s="67">
        <f t="shared" ref="BO183" si="1479">+BN183</f>
        <v>42.753633349912462</v>
      </c>
      <c r="BP183" s="67">
        <f>BP153/BP8*90</f>
        <v>67.038866903071323</v>
      </c>
      <c r="BQ183" s="67">
        <f t="shared" ref="BQ183" si="1480">+BP183</f>
        <v>67.038866903071323</v>
      </c>
      <c r="BR183" s="67">
        <f>BR153/BR8*90</f>
        <v>46.129120517009298</v>
      </c>
      <c r="BS183" s="67">
        <f t="shared" ref="BS183" si="1481">+BR183</f>
        <v>46.129120517009298</v>
      </c>
      <c r="BT183" s="67">
        <f>BT153/BT8*90</f>
        <v>56.389544130867407</v>
      </c>
      <c r="BU183" s="67">
        <f t="shared" ref="BU183" si="1482">+BT183</f>
        <v>56.389544130867407</v>
      </c>
      <c r="BV183" s="67">
        <f>BV153/BV8*90</f>
        <v>41.896918220057074</v>
      </c>
      <c r="BW183" s="67">
        <f t="shared" ref="BW183" si="1483">+BV183</f>
        <v>41.896918220057074</v>
      </c>
      <c r="BX183" s="67">
        <f>BX153/BX8*90</f>
        <v>69.994249712485626</v>
      </c>
      <c r="BY183" s="67">
        <f t="shared" ref="BY183" si="1484">+BX183</f>
        <v>69.994249712485626</v>
      </c>
      <c r="BZ183" s="67">
        <f>BZ153/BZ8*90</f>
        <v>45.434713480558777</v>
      </c>
      <c r="CA183" s="67">
        <f t="shared" ref="CA183" si="1485">+BZ183</f>
        <v>45.434713480558777</v>
      </c>
      <c r="CB183" s="67">
        <f>CB153/CB8*90</f>
        <v>63.203034601623806</v>
      </c>
      <c r="CC183" s="67">
        <f t="shared" ref="CC183" si="1486">+CB183</f>
        <v>63.203034601623806</v>
      </c>
      <c r="CD183" s="67">
        <f>CD153/CD8*90</f>
        <v>56.611561955735525</v>
      </c>
      <c r="CE183" s="114">
        <f t="shared" si="1464"/>
        <v>56.611561955735525</v>
      </c>
      <c r="CF183" s="67">
        <f>CF153/CF8*90</f>
        <v>74.720922374335714</v>
      </c>
      <c r="CG183" s="67">
        <f t="shared" ref="CG183:CI183" si="1487">+CF183</f>
        <v>74.720922374335714</v>
      </c>
      <c r="CH183" s="67">
        <f>CH153/CH8*90</f>
        <v>55.895881477870731</v>
      </c>
      <c r="CI183" s="67">
        <f t="shared" si="1487"/>
        <v>55.895881477870731</v>
      </c>
      <c r="CJ183" s="67">
        <f>CJ153/CJ8*90</f>
        <v>58.272985177829057</v>
      </c>
      <c r="CK183" s="30">
        <f t="shared" ref="CK183" si="1488">+CJ183</f>
        <v>58.272985177829057</v>
      </c>
      <c r="CL183" s="67">
        <f>CL153/CL8*90</f>
        <v>37.541291560560957</v>
      </c>
      <c r="CM183" s="30">
        <f t="shared" ref="CM183" si="1489">+CL183</f>
        <v>37.541291560560957</v>
      </c>
      <c r="CN183" s="30">
        <f t="shared" ref="CN183" si="1490">+CM183</f>
        <v>37.541291560560957</v>
      </c>
      <c r="CO183" s="30">
        <f t="shared" ref="CO183" si="1491">+CN183</f>
        <v>37.541291560560957</v>
      </c>
      <c r="CP183" s="30">
        <f t="shared" ref="CP183" si="1492">+CO183</f>
        <v>37.541291560560957</v>
      </c>
      <c r="CQ183" s="30">
        <f t="shared" ref="CQ183" si="1493">+CP183</f>
        <v>37.541291560560957</v>
      </c>
      <c r="CR183" s="30">
        <f t="shared" ref="CR183" si="1494">+CQ183</f>
        <v>37.541291560560957</v>
      </c>
      <c r="CS183" s="30">
        <f t="shared" ref="CS183" si="1495">+CR183</f>
        <v>37.541291560560957</v>
      </c>
      <c r="CT183" s="30">
        <f t="shared" ref="CT183" si="1496">+CS183</f>
        <v>37.541291560560957</v>
      </c>
      <c r="CU183" s="30">
        <f t="shared" ref="CU183" si="1497">+CT183</f>
        <v>37.541291560560957</v>
      </c>
      <c r="CV183" s="30">
        <f t="shared" ref="CV183" si="1498">+CU183</f>
        <v>37.541291560560957</v>
      </c>
      <c r="CW183" s="30">
        <f t="shared" ref="CW183" si="1499">+CV183</f>
        <v>37.541291560560957</v>
      </c>
      <c r="CX183" s="30">
        <f t="shared" ref="CX183" si="1500">+CW183</f>
        <v>37.541291560560957</v>
      </c>
      <c r="CY183" s="30">
        <f t="shared" ref="CY183" si="1501">+CX183</f>
        <v>37.541291560560957</v>
      </c>
      <c r="CZ183" s="30">
        <f t="shared" ref="CZ183" si="1502">+CY183</f>
        <v>37.541291560560957</v>
      </c>
      <c r="DA183" s="30">
        <f t="shared" ref="DA183" si="1503">+CZ183</f>
        <v>37.541291560560957</v>
      </c>
      <c r="DB183" s="30">
        <f t="shared" ref="DB183" si="1504">+DA183</f>
        <v>37.541291560560957</v>
      </c>
      <c r="DE183" s="139"/>
      <c r="DF183" s="62">
        <v>58.272985177829057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>
        <f t="shared" si="1505"/>
        <v>61.488158211444905</v>
      </c>
      <c r="N184" s="67">
        <f t="shared" si="1505"/>
        <v>33.799764442475002</v>
      </c>
      <c r="O184" s="67">
        <f t="shared" si="1505"/>
        <v>61.563276672385044</v>
      </c>
      <c r="P184" s="67">
        <f t="shared" si="1505"/>
        <v>55.850763082561215</v>
      </c>
      <c r="Q184" s="67">
        <f t="shared" si="1505"/>
        <v>45.314069620642755</v>
      </c>
      <c r="R184" s="67">
        <f t="shared" si="1505"/>
        <v>60.328794143059611</v>
      </c>
      <c r="S184" s="67">
        <f t="shared" si="1505"/>
        <v>67.902031525707116</v>
      </c>
      <c r="T184" s="67">
        <f t="shared" si="1505"/>
        <v>60.709848928976655</v>
      </c>
      <c r="U184" s="67">
        <f t="shared" si="1505"/>
        <v>51.474455419419449</v>
      </c>
      <c r="V184" s="67">
        <f t="shared" si="1505"/>
        <v>33.801747881151044</v>
      </c>
      <c r="W184" s="67">
        <f t="shared" ref="W184" si="1506">W185-W183</f>
        <v>47.09484176002092</v>
      </c>
      <c r="X184" s="67">
        <f t="shared" ref="X184:Y184" si="1507">X185-X183</f>
        <v>84.969657437328621</v>
      </c>
      <c r="Y184" s="67">
        <f t="shared" si="1507"/>
        <v>35.943036692841382</v>
      </c>
      <c r="Z184" s="67">
        <f t="shared" ref="Z184:AA184" si="1508">Z185-Z183</f>
        <v>66.064091657515377</v>
      </c>
      <c r="AA184" s="67">
        <f t="shared" si="1508"/>
        <v>120.84961567324837</v>
      </c>
      <c r="AB184" s="18">
        <f t="shared" ref="AA184:AD184" si="1509">AB185-AB183</f>
        <v>124.99521558052876</v>
      </c>
      <c r="AC184" s="18">
        <f t="shared" si="1509"/>
        <v>125.44902150620442</v>
      </c>
      <c r="AD184" s="18">
        <f t="shared" si="1509"/>
        <v>125.47842409194939</v>
      </c>
      <c r="AE184" s="18">
        <f t="shared" ref="AE184" si="1510">AE185-AE183</f>
        <v>125.47559075895677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>
        <f t="shared" si="1513"/>
        <v>49.946244518051103</v>
      </c>
      <c r="AY184" s="67">
        <f t="shared" si="1513"/>
        <v>62.72559317701193</v>
      </c>
      <c r="AZ184" s="67">
        <f t="shared" ref="AZ184:BC184" si="1514">AZ185-AZ183</f>
        <v>0</v>
      </c>
      <c r="BA184" s="67">
        <f t="shared" si="1514"/>
        <v>0</v>
      </c>
      <c r="BB184" s="67">
        <f t="shared" si="1514"/>
        <v>41.980439341544432</v>
      </c>
      <c r="BC184" s="67">
        <f t="shared" si="1514"/>
        <v>43.556716580766498</v>
      </c>
      <c r="BD184" s="67">
        <f t="shared" ref="BD184:CE184" si="1515">BD185-BD183</f>
        <v>42.338108102298051</v>
      </c>
      <c r="BE184" s="67">
        <f t="shared" si="1515"/>
        <v>34.592564402810311</v>
      </c>
      <c r="BF184" s="67">
        <f t="shared" si="1515"/>
        <v>48.460882064040476</v>
      </c>
      <c r="BG184" s="67">
        <f t="shared" si="1515"/>
        <v>53.63957686172445</v>
      </c>
      <c r="BH184" s="67">
        <f t="shared" si="1515"/>
        <v>74.291453874121117</v>
      </c>
      <c r="BI184" s="67">
        <f t="shared" si="1515"/>
        <v>60.138567071425015</v>
      </c>
      <c r="BJ184" s="67">
        <f t="shared" si="1515"/>
        <v>46.783071783647749</v>
      </c>
      <c r="BK184" s="67">
        <f t="shared" si="1515"/>
        <v>51.477754702079729</v>
      </c>
      <c r="BL184" s="67">
        <f t="shared" si="1515"/>
        <v>58.755642988276662</v>
      </c>
      <c r="BM184" s="67">
        <f t="shared" si="1515"/>
        <v>43.34642821687396</v>
      </c>
      <c r="BN184" s="67">
        <f t="shared" si="1515"/>
        <v>42.20365164538768</v>
      </c>
      <c r="BO184" s="67">
        <f t="shared" si="1515"/>
        <v>180.19702129251959</v>
      </c>
      <c r="BP184" s="67">
        <f t="shared" si="1515"/>
        <v>45.485383773643903</v>
      </c>
      <c r="BQ184" s="67">
        <f t="shared" si="1515"/>
        <v>28.339369334040725</v>
      </c>
      <c r="BR184" s="67">
        <f t="shared" si="1515"/>
        <v>20.654170144949532</v>
      </c>
      <c r="BS184" s="67">
        <f t="shared" si="1515"/>
        <v>32.588260502401084</v>
      </c>
      <c r="BT184" s="67">
        <f t="shared" si="1515"/>
        <v>49.602449537830296</v>
      </c>
      <c r="BU184" s="67">
        <f t="shared" si="1515"/>
        <v>39.880626827560633</v>
      </c>
      <c r="BV184" s="67">
        <f t="shared" si="1515"/>
        <v>36.598467133149555</v>
      </c>
      <c r="BW184" s="67">
        <f t="shared" si="1515"/>
        <v>58.317379238225485</v>
      </c>
      <c r="BX184" s="67">
        <f t="shared" si="1515"/>
        <v>66.759337966898315</v>
      </c>
      <c r="BY184" s="67">
        <f t="shared" si="1515"/>
        <v>48.04923254098216</v>
      </c>
      <c r="BZ184" s="67">
        <f t="shared" si="1515"/>
        <v>55.64788975635431</v>
      </c>
      <c r="CA184" s="67">
        <f t="shared" si="1515"/>
        <v>79.045318879264528</v>
      </c>
      <c r="CB184" s="67">
        <f t="shared" si="1515"/>
        <v>54.78855101161458</v>
      </c>
      <c r="CC184" s="67">
        <f t="shared" si="1515"/>
        <v>48.172954948563337</v>
      </c>
      <c r="CD184" s="67">
        <f t="shared" si="1515"/>
        <v>33.25756747569109</v>
      </c>
      <c r="CE184" s="114">
        <f t="shared" si="1515"/>
        <v>35.643387014454419</v>
      </c>
      <c r="CF184" s="67">
        <f t="shared" ref="CF184:CG184" si="1516">CF185-CF183</f>
        <v>58.314475583907608</v>
      </c>
      <c r="CG184" s="67">
        <f t="shared" si="1516"/>
        <v>54.220497929261654</v>
      </c>
      <c r="CH184" s="67">
        <f t="shared" ref="CH184" si="1517">CH185-CH183</f>
        <v>60.815508398884205</v>
      </c>
      <c r="CI184" s="67">
        <f>CH184</f>
        <v>60.815508398884205</v>
      </c>
      <c r="CJ184" s="67">
        <f t="shared" ref="CJ184:CL184" si="1518">CJ185-CJ183</f>
        <v>80.673172411242021</v>
      </c>
      <c r="CK184" s="30">
        <f t="shared" ref="CK184:DB184" si="1519">CJ184</f>
        <v>80.673172411242021</v>
      </c>
      <c r="CL184" s="67">
        <f t="shared" si="1518"/>
        <v>84.130357591191114</v>
      </c>
      <c r="CM184" s="30">
        <f t="shared" si="1519"/>
        <v>84.130357591191114</v>
      </c>
      <c r="CN184" s="30">
        <f t="shared" si="1519"/>
        <v>84.130357591191114</v>
      </c>
      <c r="CO184" s="30">
        <f t="shared" si="1519"/>
        <v>84.130357591191114</v>
      </c>
      <c r="CP184" s="30">
        <f t="shared" si="1519"/>
        <v>84.130357591191114</v>
      </c>
      <c r="CQ184" s="30">
        <f t="shared" si="1519"/>
        <v>84.130357591191114</v>
      </c>
      <c r="CR184" s="30">
        <f t="shared" si="1519"/>
        <v>84.130357591191114</v>
      </c>
      <c r="CS184" s="30">
        <f t="shared" si="1519"/>
        <v>84.130357591191114</v>
      </c>
      <c r="CT184" s="30">
        <f t="shared" si="1519"/>
        <v>84.130357591191114</v>
      </c>
      <c r="CU184" s="30">
        <f t="shared" si="1519"/>
        <v>84.130357591191114</v>
      </c>
      <c r="CV184" s="30">
        <f t="shared" si="1519"/>
        <v>84.130357591191114</v>
      </c>
      <c r="CW184" s="30">
        <f t="shared" si="1519"/>
        <v>84.130357591191114</v>
      </c>
      <c r="CX184" s="30">
        <f t="shared" si="1519"/>
        <v>84.130357591191114</v>
      </c>
      <c r="CY184" s="30">
        <f t="shared" si="1519"/>
        <v>84.130357591191114</v>
      </c>
      <c r="CZ184" s="30">
        <f t="shared" si="1519"/>
        <v>84.130357591191114</v>
      </c>
      <c r="DA184" s="30">
        <f t="shared" si="1519"/>
        <v>84.130357591191114</v>
      </c>
      <c r="DB184" s="30">
        <f t="shared" si="1519"/>
        <v>84.130357591191114</v>
      </c>
      <c r="DE184" s="139"/>
      <c r="DF184" s="62">
        <v>80.673172411242021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>
        <f t="shared" si="1520"/>
        <v>103.59104826837282</v>
      </c>
      <c r="N185" s="70">
        <f t="shared" si="1520"/>
        <v>84.247576400712134</v>
      </c>
      <c r="O185" s="70">
        <f t="shared" si="1520"/>
        <v>130.90413575817482</v>
      </c>
      <c r="P185" s="70">
        <f t="shared" si="1520"/>
        <v>137.99128007500704</v>
      </c>
      <c r="Q185" s="70">
        <f t="shared" si="1520"/>
        <v>108.3222892407918</v>
      </c>
      <c r="R185" s="70">
        <f t="shared" si="1520"/>
        <v>121.34609984345012</v>
      </c>
      <c r="S185" s="70">
        <f t="shared" si="1520"/>
        <v>129.65383746011594</v>
      </c>
      <c r="T185" s="70">
        <f t="shared" si="1520"/>
        <v>116.00884314702516</v>
      </c>
      <c r="U185" s="70">
        <f t="shared" si="1520"/>
        <v>104.25679200389153</v>
      </c>
      <c r="V185" s="70">
        <f t="shared" si="1520"/>
        <v>109.29411834865816</v>
      </c>
      <c r="W185" s="70">
        <f t="shared" si="1520"/>
        <v>101.00769091142179</v>
      </c>
      <c r="X185" s="70">
        <f t="shared" si="1520"/>
        <v>154.34460725170632</v>
      </c>
      <c r="Y185" s="70">
        <f t="shared" si="1520"/>
        <v>97.126016421577461</v>
      </c>
      <c r="Z185" s="70">
        <f t="shared" si="1520"/>
        <v>126.78397601680518</v>
      </c>
      <c r="AA185" s="70">
        <f t="shared" ref="AA185" si="1521">AA156/AA8*365</f>
        <v>174.77608250031545</v>
      </c>
      <c r="AB185" s="71">
        <f t="shared" si="1520"/>
        <v>180.77153659161559</v>
      </c>
      <c r="AC185" s="71">
        <f t="shared" si="1520"/>
        <v>181.42784326797729</v>
      </c>
      <c r="AD185" s="71">
        <f t="shared" si="1520"/>
        <v>181.47036610039291</v>
      </c>
      <c r="AE185" s="71">
        <f t="shared" si="1520"/>
        <v>181.46626845588409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>
        <f t="shared" si="1522"/>
        <v>118.36513017893822</v>
      </c>
      <c r="AY185" s="70">
        <f t="shared" si="1522"/>
        <v>131.14447883789904</v>
      </c>
      <c r="AZ185" s="70">
        <f t="shared" si="1522"/>
        <v>0</v>
      </c>
      <c r="BA185" s="70">
        <f t="shared" si="1522"/>
        <v>0</v>
      </c>
      <c r="BB185" s="70">
        <f t="shared" si="1522"/>
        <v>83.377399459329041</v>
      </c>
      <c r="BC185" s="70">
        <f t="shared" si="1522"/>
        <v>84.953676698551106</v>
      </c>
      <c r="BD185" s="70">
        <f t="shared" si="1522"/>
        <v>108.84380844553682</v>
      </c>
      <c r="BE185" s="70">
        <f t="shared" si="1522"/>
        <v>101.09826474604908</v>
      </c>
      <c r="BF185" s="70">
        <f t="shared" si="1522"/>
        <v>91.866033063179572</v>
      </c>
      <c r="BG185" s="70">
        <f t="shared" si="1522"/>
        <v>97.044727860863546</v>
      </c>
      <c r="BH185" s="70">
        <f t="shared" si="1522"/>
        <v>128.34255237879665</v>
      </c>
      <c r="BI185" s="70">
        <f t="shared" si="1522"/>
        <v>114.18966557610055</v>
      </c>
      <c r="BJ185" s="70">
        <f t="shared" si="1522"/>
        <v>89.087928544212375</v>
      </c>
      <c r="BK185" s="70">
        <f t="shared" si="1522"/>
        <v>93.782611462644354</v>
      </c>
      <c r="BL185" s="70">
        <f t="shared" si="1522"/>
        <v>108.99321720018068</v>
      </c>
      <c r="BM185" s="70">
        <f t="shared" si="1522"/>
        <v>93.584002428777978</v>
      </c>
      <c r="BN185" s="70">
        <f t="shared" si="1522"/>
        <v>84.957284995300142</v>
      </c>
      <c r="BO185" s="70">
        <f t="shared" si="1522"/>
        <v>222.95065464243206</v>
      </c>
      <c r="BP185" s="70">
        <f t="shared" si="1522"/>
        <v>112.52425067671523</v>
      </c>
      <c r="BQ185" s="70">
        <f t="shared" si="1522"/>
        <v>95.378236237112048</v>
      </c>
      <c r="BR185" s="70">
        <f t="shared" si="1522"/>
        <v>66.78329066195883</v>
      </c>
      <c r="BS185" s="70">
        <f t="shared" si="1522"/>
        <v>78.717381019410382</v>
      </c>
      <c r="BT185" s="70">
        <f t="shared" si="1522"/>
        <v>105.9919936686977</v>
      </c>
      <c r="BU185" s="70">
        <f t="shared" si="1522"/>
        <v>96.270170958428039</v>
      </c>
      <c r="BV185" s="70">
        <f t="shared" si="1522"/>
        <v>78.495385353206629</v>
      </c>
      <c r="BW185" s="70">
        <f t="shared" si="1522"/>
        <v>100.21429745828256</v>
      </c>
      <c r="BX185" s="70">
        <f t="shared" si="1522"/>
        <v>136.75358767938394</v>
      </c>
      <c r="BY185" s="70">
        <f t="shared" si="1522"/>
        <v>118.04348225346779</v>
      </c>
      <c r="BZ185" s="70">
        <f t="shared" si="1522"/>
        <v>101.08260323691309</v>
      </c>
      <c r="CA185" s="70">
        <f t="shared" si="1522"/>
        <v>124.48003235982331</v>
      </c>
      <c r="CB185" s="70">
        <f t="shared" si="1522"/>
        <v>117.99158561323839</v>
      </c>
      <c r="CC185" s="70">
        <f t="shared" si="1522"/>
        <v>111.37598955018714</v>
      </c>
      <c r="CD185" s="70">
        <f t="shared" si="1522"/>
        <v>89.869129431426614</v>
      </c>
      <c r="CE185" s="115">
        <f>CE156/CE10*90</f>
        <v>92.254948970189943</v>
      </c>
      <c r="CF185" s="70">
        <f>CF156/CF8*90</f>
        <v>133.03539795824332</v>
      </c>
      <c r="CG185" s="70">
        <f>CG156/CG10*90</f>
        <v>128.94142030359737</v>
      </c>
      <c r="CH185" s="70">
        <f>CH156/CH8*90</f>
        <v>116.71138987675494</v>
      </c>
      <c r="CI185" s="70">
        <f>CI183+CI184</f>
        <v>116.71138987675494</v>
      </c>
      <c r="CJ185" s="70">
        <f>CJ156/CJ8*90</f>
        <v>138.94615758907108</v>
      </c>
      <c r="CK185" s="50">
        <f t="shared" ref="CK185:DB185" si="1523">CK183+CK184</f>
        <v>138.94615758907108</v>
      </c>
      <c r="CL185" s="70">
        <f>CL156/CL8*90</f>
        <v>121.67164915175208</v>
      </c>
      <c r="CM185" s="50">
        <f t="shared" si="1523"/>
        <v>121.67164915175206</v>
      </c>
      <c r="CN185" s="50">
        <f t="shared" si="1523"/>
        <v>121.67164915175206</v>
      </c>
      <c r="CO185" s="50">
        <f t="shared" si="1523"/>
        <v>121.67164915175206</v>
      </c>
      <c r="CP185" s="50">
        <f t="shared" si="1523"/>
        <v>121.67164915175206</v>
      </c>
      <c r="CQ185" s="50">
        <f t="shared" si="1523"/>
        <v>121.67164915175206</v>
      </c>
      <c r="CR185" s="50">
        <f t="shared" si="1523"/>
        <v>121.67164915175206</v>
      </c>
      <c r="CS185" s="50">
        <f t="shared" si="1523"/>
        <v>121.67164915175206</v>
      </c>
      <c r="CT185" s="50">
        <f t="shared" si="1523"/>
        <v>121.67164915175206</v>
      </c>
      <c r="CU185" s="50">
        <f t="shared" si="1523"/>
        <v>121.67164915175206</v>
      </c>
      <c r="CV185" s="50">
        <f t="shared" si="1523"/>
        <v>121.67164915175206</v>
      </c>
      <c r="CW185" s="50">
        <f t="shared" si="1523"/>
        <v>121.67164915175206</v>
      </c>
      <c r="CX185" s="50">
        <f t="shared" si="1523"/>
        <v>121.67164915175206</v>
      </c>
      <c r="CY185" s="50">
        <f t="shared" si="1523"/>
        <v>121.67164915175206</v>
      </c>
      <c r="CZ185" s="50">
        <f t="shared" si="1523"/>
        <v>121.67164915175206</v>
      </c>
      <c r="DA185" s="50">
        <f t="shared" si="1523"/>
        <v>121.67164915175206</v>
      </c>
      <c r="DB185" s="50">
        <f t="shared" si="1523"/>
        <v>121.67164915175206</v>
      </c>
      <c r="DE185" s="138"/>
      <c r="DF185" s="7">
        <v>138.94615758907108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>
        <f t="shared" si="1524"/>
        <v>-26.906049359910867</v>
      </c>
      <c r="N186" s="70">
        <f t="shared" si="1524"/>
        <v>-35.710870629941482</v>
      </c>
      <c r="O186" s="70">
        <f t="shared" si="1524"/>
        <v>-61.349930856852296</v>
      </c>
      <c r="P186" s="70">
        <f t="shared" si="1524"/>
        <v>-66.46607749539227</v>
      </c>
      <c r="Q186" s="70">
        <f t="shared" si="1524"/>
        <v>-54.252208485854887</v>
      </c>
      <c r="R186" s="70">
        <f t="shared" si="1524"/>
        <v>-1.3313958886933364</v>
      </c>
      <c r="S186" s="70">
        <f t="shared" si="1524"/>
        <v>3.0894865660990263</v>
      </c>
      <c r="T186" s="70">
        <f t="shared" si="1524"/>
        <v>24.06733164090933</v>
      </c>
      <c r="U186" s="70">
        <f t="shared" si="1524"/>
        <v>54.131434435657681</v>
      </c>
      <c r="V186" s="70">
        <f t="shared" si="1524"/>
        <v>65.45069824019167</v>
      </c>
      <c r="W186" s="70">
        <f t="shared" ref="W186" si="1525">W182-W185</f>
        <v>77.416035220234861</v>
      </c>
      <c r="X186" s="70">
        <f t="shared" ref="X186:Y186" si="1526">X182-X185</f>
        <v>81.501772623265623</v>
      </c>
      <c r="Y186" s="70">
        <f t="shared" si="1526"/>
        <v>116.25358704455702</v>
      </c>
      <c r="Z186" s="70">
        <f t="shared" ref="Z186:AA186" si="1527">Z182-Z185</f>
        <v>135.76714712165881</v>
      </c>
      <c r="AA186" s="70">
        <f t="shared" si="1527"/>
        <v>81.824874083813143</v>
      </c>
      <c r="AB186" s="71">
        <f t="shared" ref="AA186:AD186" si="1528">AB182-AB185</f>
        <v>84.631765063867419</v>
      </c>
      <c r="AC186" s="71">
        <f t="shared" si="1528"/>
        <v>84.939027996356486</v>
      </c>
      <c r="AD186" s="71">
        <f t="shared" si="1528"/>
        <v>84.958935900170815</v>
      </c>
      <c r="AE186" s="71">
        <f t="shared" ref="AE186" si="1529">AE182-AE185</f>
        <v>84.957017506966196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>
        <f t="shared" si="1532"/>
        <v>-59.653041209452084</v>
      </c>
      <c r="AY186" s="70">
        <f t="shared" si="1532"/>
        <v>-63.807645148194965</v>
      </c>
      <c r="AZ186" s="70">
        <f t="shared" ref="AZ186:BC186" si="1533">AZ182-AZ185</f>
        <v>0</v>
      </c>
      <c r="BA186" s="70">
        <f t="shared" si="1533"/>
        <v>0</v>
      </c>
      <c r="BB186" s="70">
        <f t="shared" si="1533"/>
        <v>-0.63303041738066668</v>
      </c>
      <c r="BC186" s="70">
        <f t="shared" si="1533"/>
        <v>-0.39615609842859101</v>
      </c>
      <c r="BD186" s="70">
        <f t="shared" ref="BD186:CE186" si="1534">BD182-BD185</f>
        <v>29.718386562811261</v>
      </c>
      <c r="BE186" s="70">
        <f t="shared" si="1534"/>
        <v>28.032274588380901</v>
      </c>
      <c r="BF186" s="70">
        <f t="shared" si="1534"/>
        <v>1.4386920360896056</v>
      </c>
      <c r="BG186" s="70">
        <f t="shared" si="1534"/>
        <v>0.49416329370681922</v>
      </c>
      <c r="BH186" s="70">
        <f t="shared" si="1534"/>
        <v>9.6998033584676193</v>
      </c>
      <c r="BI186" s="70">
        <f t="shared" si="1534"/>
        <v>13.146986312398866</v>
      </c>
      <c r="BJ186" s="70">
        <f t="shared" si="1534"/>
        <v>18.073157115894134</v>
      </c>
      <c r="BK186" s="70">
        <f t="shared" si="1534"/>
        <v>18.186291326131652</v>
      </c>
      <c r="BL186" s="70">
        <f t="shared" si="1534"/>
        <v>43.895159765854061</v>
      </c>
      <c r="BM186" s="70">
        <f t="shared" si="1534"/>
        <v>40.964867981586707</v>
      </c>
      <c r="BN186" s="70">
        <f t="shared" si="1534"/>
        <v>43.336546909817571</v>
      </c>
      <c r="BO186" s="70">
        <f t="shared" si="1534"/>
        <v>110.75546829513749</v>
      </c>
      <c r="BP186" s="70">
        <f t="shared" si="1534"/>
        <v>93.15332845165905</v>
      </c>
      <c r="BQ186" s="70">
        <f t="shared" si="1534"/>
        <v>74.191863511214592</v>
      </c>
      <c r="BR186" s="70">
        <f t="shared" si="1534"/>
        <v>39.993549366320096</v>
      </c>
      <c r="BS186" s="70">
        <f t="shared" si="1534"/>
        <v>56.964151541292651</v>
      </c>
      <c r="BT186" s="70">
        <f t="shared" si="1534"/>
        <v>82.242003273221812</v>
      </c>
      <c r="BU186" s="70">
        <f t="shared" si="1534"/>
        <v>75.143966273620649</v>
      </c>
      <c r="BV186" s="70">
        <f t="shared" si="1534"/>
        <v>60.161832661134</v>
      </c>
      <c r="BW186" s="70">
        <f t="shared" si="1534"/>
        <v>82.89761358658707</v>
      </c>
      <c r="BX186" s="70">
        <f t="shared" si="1534"/>
        <v>107.05885294264715</v>
      </c>
      <c r="BY186" s="70">
        <f t="shared" si="1534"/>
        <v>85.138185804617095</v>
      </c>
      <c r="BZ186" s="70">
        <f t="shared" si="1534"/>
        <v>53.376499484637833</v>
      </c>
      <c r="CA186" s="70">
        <f t="shared" si="1534"/>
        <v>64.477115905885526</v>
      </c>
      <c r="CB186" s="70">
        <f t="shared" si="1534"/>
        <v>99.288117704586256</v>
      </c>
      <c r="CC186" s="70">
        <f t="shared" si="1534"/>
        <v>92.118645386333725</v>
      </c>
      <c r="CD186" s="70">
        <f t="shared" si="1534"/>
        <v>107.56725105913955</v>
      </c>
      <c r="CE186" s="115">
        <f t="shared" si="1534"/>
        <v>112.96416753446745</v>
      </c>
      <c r="CF186" s="70">
        <f t="shared" ref="CF186:CG186" si="1535">CF182-CF185</f>
        <v>130.86498192727902</v>
      </c>
      <c r="CG186" s="70">
        <f t="shared" si="1535"/>
        <v>125.17492772066595</v>
      </c>
      <c r="CH186" s="70">
        <f t="shared" ref="CH186:CI186" si="1536">CH182-CH185</f>
        <v>124.98087643244708</v>
      </c>
      <c r="CI186" s="70">
        <f t="shared" si="1536"/>
        <v>124.98087643244705</v>
      </c>
      <c r="CJ186" s="70">
        <f t="shared" ref="CJ186:DB186" si="1537">CJ182-CJ185</f>
        <v>126.67219640728101</v>
      </c>
      <c r="CK186" s="50">
        <f t="shared" si="1537"/>
        <v>126.67219640728101</v>
      </c>
      <c r="CL186" s="70">
        <f t="shared" ref="CL186" si="1538">CL182-CL185</f>
        <v>56.962985545712158</v>
      </c>
      <c r="CM186" s="50">
        <f t="shared" si="1537"/>
        <v>56.962985545712172</v>
      </c>
      <c r="CN186" s="50">
        <f t="shared" si="1537"/>
        <v>56.962985545712172</v>
      </c>
      <c r="CO186" s="50">
        <f t="shared" si="1537"/>
        <v>56.962985545712172</v>
      </c>
      <c r="CP186" s="50">
        <f t="shared" si="1537"/>
        <v>56.962985545712172</v>
      </c>
      <c r="CQ186" s="50">
        <f t="shared" si="1537"/>
        <v>56.962985545712172</v>
      </c>
      <c r="CR186" s="50">
        <f t="shared" si="1537"/>
        <v>56.962985545712172</v>
      </c>
      <c r="CS186" s="50">
        <f t="shared" si="1537"/>
        <v>56.962985545712172</v>
      </c>
      <c r="CT186" s="50">
        <f t="shared" si="1537"/>
        <v>56.962985545712172</v>
      </c>
      <c r="CU186" s="50">
        <f t="shared" si="1537"/>
        <v>56.962985545712172</v>
      </c>
      <c r="CV186" s="50">
        <f t="shared" si="1537"/>
        <v>56.962985545712172</v>
      </c>
      <c r="CW186" s="50">
        <f t="shared" si="1537"/>
        <v>56.962985545712172</v>
      </c>
      <c r="CX186" s="50">
        <f t="shared" si="1537"/>
        <v>56.962985545712172</v>
      </c>
      <c r="CY186" s="50">
        <f t="shared" si="1537"/>
        <v>56.962985545712172</v>
      </c>
      <c r="CZ186" s="50">
        <f t="shared" si="1537"/>
        <v>56.962985545712172</v>
      </c>
      <c r="DA186" s="50">
        <f t="shared" si="1537"/>
        <v>56.962985545712172</v>
      </c>
      <c r="DB186" s="50">
        <f t="shared" si="1537"/>
        <v>56.962985545712172</v>
      </c>
      <c r="DE186" s="138"/>
      <c r="DF186" s="7">
        <v>126.67219640728101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>
        <f t="shared" si="1539"/>
        <v>0.44000291084963239</v>
      </c>
      <c r="O188" s="86">
        <f t="shared" si="1539"/>
        <v>-0.1820171431903439</v>
      </c>
      <c r="P188" s="86">
        <f t="shared" si="1539"/>
        <v>0.33285492961762553</v>
      </c>
      <c r="Q188" s="86">
        <f t="shared" si="1539"/>
        <v>0.69709229770878056</v>
      </c>
      <c r="R188" s="86">
        <f t="shared" si="1539"/>
        <v>-6.5532715409104658E-2</v>
      </c>
      <c r="S188" s="86">
        <f t="shared" si="1539"/>
        <v>0.68993608725965272</v>
      </c>
      <c r="T188" s="86">
        <f t="shared" si="1539"/>
        <v>0.39747346792756022</v>
      </c>
      <c r="U188" s="86">
        <f t="shared" si="1539"/>
        <v>0.42731328992030315</v>
      </c>
      <c r="V188" s="86">
        <f t="shared" si="1539"/>
        <v>-0.17234970628496349</v>
      </c>
      <c r="W188" s="86">
        <f t="shared" si="1539"/>
        <v>0.40874870573884747</v>
      </c>
      <c r="X188" s="86">
        <f t="shared" si="1539"/>
        <v>0.10854452467482156</v>
      </c>
      <c r="Y188" s="86">
        <f t="shared" si="1539"/>
        <v>0.29310596623191376</v>
      </c>
      <c r="Z188" s="86">
        <f>Z10/Y10-1</f>
        <v>2.5290242971423016E-3</v>
      </c>
      <c r="AA188" s="86">
        <f>AA10/Z10-1</f>
        <v>0.25338548942833561</v>
      </c>
      <c r="AB188" s="87">
        <f t="shared" ref="AA188:AE188" si="1540">AB10/AA10-1</f>
        <v>0.36187556035540003</v>
      </c>
      <c r="AC188" s="87">
        <f t="shared" si="1540"/>
        <v>0.37122083512661597</v>
      </c>
      <c r="AD188" s="87">
        <f t="shared" si="1540"/>
        <v>0.37261972041582481</v>
      </c>
      <c r="AE188" s="87">
        <f t="shared" si="1540"/>
        <v>0.37284022633704339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>
        <f t="shared" si="1541"/>
        <v>1.1933161858588845</v>
      </c>
      <c r="BC188" s="86">
        <f t="shared" si="1541"/>
        <v>0.63513680567001818</v>
      </c>
      <c r="BD188" s="86">
        <f t="shared" si="1541"/>
        <v>0.80422844087696466</v>
      </c>
      <c r="BE188" s="86">
        <f t="shared" si="1541"/>
        <v>1.0278413026149003</v>
      </c>
      <c r="BF188" s="86">
        <f t="shared" si="1541"/>
        <v>0.83278775658277748</v>
      </c>
      <c r="BG188" s="86">
        <f t="shared" si="1541"/>
        <v>0.58101697264468344</v>
      </c>
      <c r="BH188" s="86">
        <f t="shared" si="1541"/>
        <v>0.5245468150084307</v>
      </c>
      <c r="BI188" s="86">
        <f t="shared" si="1541"/>
        <v>0.52738333446108143</v>
      </c>
      <c r="BJ188" s="86">
        <f t="shared" si="1541"/>
        <v>0.38218133526055476</v>
      </c>
      <c r="BK188" s="86">
        <f t="shared" si="1541"/>
        <v>0.28759884996323937</v>
      </c>
      <c r="BL188" s="86">
        <f t="shared" si="1541"/>
        <v>0.37646491857306885</v>
      </c>
      <c r="BM188" s="86">
        <f t="shared" si="1541"/>
        <v>0.55091893305880646</v>
      </c>
      <c r="BN188" s="86">
        <f t="shared" si="1541"/>
        <v>0.46448779902951731</v>
      </c>
      <c r="BO188" s="86">
        <f t="shared" si="1541"/>
        <v>-0.1283621305950402</v>
      </c>
      <c r="BP188" s="86">
        <f t="shared" si="1541"/>
        <v>-0.43533356136535251</v>
      </c>
      <c r="BQ188" s="86">
        <f t="shared" si="1541"/>
        <v>-0.13865194734887687</v>
      </c>
      <c r="BR188" s="86">
        <f t="shared" si="1541"/>
        <v>1.2987470763409004E-2</v>
      </c>
      <c r="BS188" s="86">
        <f t="shared" si="1541"/>
        <v>0.45233086390822486</v>
      </c>
      <c r="BT188" s="86">
        <f t="shared" si="1541"/>
        <v>1.0224042654109686</v>
      </c>
      <c r="BU188" s="86">
        <f t="shared" si="1541"/>
        <v>0.38344716499932874</v>
      </c>
      <c r="BV188" s="86">
        <f t="shared" si="1541"/>
        <v>0.16767820762500207</v>
      </c>
      <c r="BW188" s="86">
        <f t="shared" si="1541"/>
        <v>0.10347006779271517</v>
      </c>
      <c r="BX188" s="86">
        <f t="shared" si="1541"/>
        <v>3.7722680373053485E-4</v>
      </c>
      <c r="BY188" s="86">
        <f t="shared" si="1541"/>
        <v>-1.8174533508511281E-2</v>
      </c>
      <c r="BZ188" s="86">
        <f t="shared" si="1541"/>
        <v>0.18213977757633359</v>
      </c>
      <c r="CA188" s="86">
        <f t="shared" si="1541"/>
        <v>0.37716967107515065</v>
      </c>
      <c r="CB188" s="86">
        <f t="shared" si="1541"/>
        <v>0.60053328512676796</v>
      </c>
      <c r="CC188" s="86">
        <f t="shared" si="1541"/>
        <v>0.53975462105543404</v>
      </c>
      <c r="CD188" s="86">
        <f t="shared" si="1541"/>
        <v>0.11609599094443457</v>
      </c>
      <c r="CE188" s="86">
        <f t="shared" si="1541"/>
        <v>3.8295993198258493E-2</v>
      </c>
      <c r="CF188" s="86">
        <f t="shared" si="1541"/>
        <v>6.6839615981928668E-2</v>
      </c>
      <c r="CG188" s="86">
        <f t="shared" si="1541"/>
        <v>-8.1717573880457861E-2</v>
      </c>
      <c r="CH188" s="86">
        <f t="shared" si="1541"/>
        <v>-5.0573074566359844E-2</v>
      </c>
      <c r="CI188" s="86">
        <f t="shared" si="1541"/>
        <v>-7.7603323776108457E-2</v>
      </c>
      <c r="CJ188" s="86">
        <f>+(CJ10+CI10)/(CF10+CE10)-1</f>
        <v>9.5944841641384393E-3</v>
      </c>
      <c r="CK188" s="87"/>
      <c r="CL188" s="86">
        <f>+(CL10+CK10)/(CH10+CG10)-1</f>
        <v>0.47957826623804678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0.25338552923526092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>
        <f t="shared" ref="N189" si="1551">N186/M186-1</f>
        <v>0.32724318432082833</v>
      </c>
      <c r="O189" s="86">
        <f t="shared" ref="O189" si="1552">O186/N186-1</f>
        <v>0.71796233960798372</v>
      </c>
      <c r="P189" s="86">
        <f t="shared" ref="P189" si="1553">P186/O186-1</f>
        <v>8.3392867230404288E-2</v>
      </c>
      <c r="Q189" s="86">
        <f t="shared" ref="Q189" si="1554">Q186/P186-1</f>
        <v>-0.18376094196899317</v>
      </c>
      <c r="R189" s="86">
        <f t="shared" ref="R189" si="1555">R186/Q186-1</f>
        <v>-0.97545913934470574</v>
      </c>
      <c r="S189" s="86">
        <f t="shared" ref="S189" si="1556">S186/R186-1</f>
        <v>-3.3204867855879607</v>
      </c>
      <c r="T189" s="86">
        <f t="shared" ref="T189" si="1557">T186/S186-1</f>
        <v>6.7900748638950086</v>
      </c>
      <c r="U189" s="86">
        <f t="shared" ref="U189" si="1558">U186/T186-1</f>
        <v>1.2491664320462426</v>
      </c>
      <c r="V189" s="86">
        <f t="shared" ref="V189" si="1559">V186/U186-1</f>
        <v>0.20910703591253288</v>
      </c>
      <c r="W189" s="86">
        <f t="shared" ref="W189:AA189" si="1560">W186/V186-1</f>
        <v>0.18281450468462035</v>
      </c>
      <c r="X189" s="86">
        <f t="shared" si="1560"/>
        <v>5.2776371089110485E-2</v>
      </c>
      <c r="Y189" s="86">
        <f t="shared" si="1560"/>
        <v>0.4263933568896523</v>
      </c>
      <c r="Z189" s="86">
        <f t="shared" si="1560"/>
        <v>0.16785340197393417</v>
      </c>
      <c r="AA189" s="86">
        <f t="shared" si="1560"/>
        <v>-0.3973146242036657</v>
      </c>
      <c r="AB189" s="87">
        <f t="shared" ref="AB189" si="1561">AB186/AA186-1</f>
        <v>3.4303639467616831E-2</v>
      </c>
      <c r="AC189" s="87">
        <f t="shared" ref="AC189" si="1562">AC186/AB186-1</f>
        <v>3.6305863673904426E-3</v>
      </c>
      <c r="AD189" s="87">
        <f t="shared" ref="AD189" si="1563">AD186/AC186-1</f>
        <v>2.3437875713838707E-4</v>
      </c>
      <c r="AE189" s="87">
        <f t="shared" ref="AE189" si="1564">AE186/AD186-1</f>
        <v>-2.2580240492620085E-5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>
        <f t="shared" si="1565"/>
        <v>-0.98938812834105161</v>
      </c>
      <c r="BC189" s="86">
        <f t="shared" si="1565"/>
        <v>-0.99379140074032657</v>
      </c>
      <c r="BD189" s="86" t="e">
        <f t="shared" si="1565"/>
        <v>#DIV/0!</v>
      </c>
      <c r="BE189" s="86" t="e">
        <f t="shared" si="1565"/>
        <v>#DIV/0!</v>
      </c>
      <c r="BF189" s="86">
        <f t="shared" si="1565"/>
        <v>-3.2727060131527015</v>
      </c>
      <c r="BG189" s="86">
        <f t="shared" si="1565"/>
        <v>-2.2473953970846026</v>
      </c>
      <c r="BH189" s="86">
        <f t="shared" si="1565"/>
        <v>-0.67360935500429631</v>
      </c>
      <c r="BI189" s="86">
        <f t="shared" si="1565"/>
        <v>-0.53100536772538032</v>
      </c>
      <c r="BJ189" s="86">
        <f t="shared" si="1565"/>
        <v>11.562213915507133</v>
      </c>
      <c r="BK189" s="86">
        <f t="shared" si="1565"/>
        <v>35.802189797855256</v>
      </c>
      <c r="BL189" s="86">
        <f t="shared" si="1565"/>
        <v>3.5253659423451076</v>
      </c>
      <c r="BM189" s="86">
        <f t="shared" si="1565"/>
        <v>2.1159131840696386</v>
      </c>
      <c r="BN189" s="86">
        <f t="shared" si="1565"/>
        <v>1.3978404344034598</v>
      </c>
      <c r="BO189" s="86">
        <f t="shared" si="1565"/>
        <v>5.0900524636375071</v>
      </c>
      <c r="BP189" s="86">
        <f t="shared" si="1565"/>
        <v>1.1221776831103552</v>
      </c>
      <c r="BQ189" s="86">
        <f t="shared" si="1565"/>
        <v>0.81110954744350905</v>
      </c>
      <c r="BR189" s="86">
        <f t="shared" si="1565"/>
        <v>-7.714037646917693E-2</v>
      </c>
      <c r="BS189" s="86">
        <f t="shared" si="1565"/>
        <v>-0.48567639667689844</v>
      </c>
      <c r="BT189" s="86">
        <f t="shared" si="1565"/>
        <v>-0.11713296089145708</v>
      </c>
      <c r="BU189" s="86">
        <f t="shared" si="1565"/>
        <v>1.2832980833028085E-2</v>
      </c>
      <c r="BV189" s="86">
        <f t="shared" si="1565"/>
        <v>0.50428840686489029</v>
      </c>
      <c r="BW189" s="86">
        <f t="shared" si="1565"/>
        <v>0.45525934019214787</v>
      </c>
      <c r="BX189" s="86">
        <f t="shared" si="1565"/>
        <v>0.30175395396169491</v>
      </c>
      <c r="BY189" s="86">
        <f t="shared" si="1565"/>
        <v>0.13300095838173664</v>
      </c>
      <c r="BZ189" s="86">
        <f t="shared" si="1565"/>
        <v>-0.11278468218737714</v>
      </c>
      <c r="CA189" s="86">
        <f t="shared" si="1565"/>
        <v>-0.22220781616905316</v>
      </c>
      <c r="CB189" s="86">
        <f t="shared" si="1565"/>
        <v>-7.2583770743590681E-2</v>
      </c>
      <c r="CC189" s="86">
        <f t="shared" si="1565"/>
        <v>8.1989761888232149E-2</v>
      </c>
      <c r="CD189" s="86">
        <f t="shared" si="1565"/>
        <v>1.0152548799139258</v>
      </c>
      <c r="CE189" s="86">
        <f t="shared" si="1565"/>
        <v>0.75200403968683083</v>
      </c>
      <c r="CF189" s="86">
        <f t="shared" si="1565"/>
        <v>0.31803266043016332</v>
      </c>
      <c r="CG189" s="86">
        <f t="shared" si="1565"/>
        <v>0.35884464209931055</v>
      </c>
      <c r="CH189" s="86">
        <f t="shared" si="1565"/>
        <v>0.16188593834877918</v>
      </c>
      <c r="CI189" s="86">
        <f t="shared" si="1565"/>
        <v>0.10637628869626359</v>
      </c>
      <c r="CJ189" s="86">
        <f>+CJ186/CF186-1</f>
        <v>-3.2039018064648594E-2</v>
      </c>
      <c r="CK189" s="87"/>
      <c r="CL189" s="86">
        <f>+CL186/CH186-1</f>
        <v>-0.54422638749456209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-0.39731455796152348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>
        <f t="shared" si="1566"/>
        <v>0</v>
      </c>
      <c r="O190" s="103" t="str">
        <f t="shared" si="1566"/>
        <v>RF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 t="str">
        <f t="shared" si="1566"/>
        <v>RF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 t="str">
        <f t="shared" ref="Z190:AA190" si="1569">IF(Z189&gt;Z188,"RF",0)</f>
        <v>RF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</v>
      </c>
      <c r="K193" s="23">
        <f t="shared" si="1572"/>
        <v>0</v>
      </c>
      <c r="L193" s="23">
        <f t="shared" si="1572"/>
        <v>0</v>
      </c>
      <c r="M193" s="23">
        <f t="shared" si="1572"/>
        <v>8.3519999999999879</v>
      </c>
      <c r="N193" s="23">
        <f t="shared" si="1572"/>
        <v>12.250000000000025</v>
      </c>
      <c r="O193" s="23">
        <f t="shared" si="1572"/>
        <v>10.069999999999981</v>
      </c>
      <c r="P193" s="23">
        <f t="shared" si="1572"/>
        <v>14.053999999999998</v>
      </c>
      <c r="Q193" s="23">
        <f t="shared" si="1572"/>
        <v>22.83209999999994</v>
      </c>
      <c r="R193" s="23">
        <f t="shared" si="1572"/>
        <v>41.505000000000017</v>
      </c>
      <c r="S193" s="23">
        <f t="shared" si="1572"/>
        <v>65.524099999999947</v>
      </c>
      <c r="T193" s="23">
        <f t="shared" si="1572"/>
        <v>89.431999999999931</v>
      </c>
      <c r="U193" s="23">
        <f t="shared" si="1572"/>
        <v>128.47609999999995</v>
      </c>
      <c r="V193" s="23">
        <f t="shared" si="1572"/>
        <v>81.526499999999871</v>
      </c>
      <c r="W193" s="23">
        <f t="shared" si="1572"/>
        <v>166.65229999999983</v>
      </c>
      <c r="X193" s="23">
        <f t="shared" si="1572"/>
        <v>131.94119999999992</v>
      </c>
      <c r="Y193" s="23">
        <f t="shared" si="1572"/>
        <v>122.97270000000015</v>
      </c>
      <c r="Z193" s="23">
        <f t="shared" si="1572"/>
        <v>56.417999999999807</v>
      </c>
      <c r="AA193" s="23">
        <f t="shared" ref="AA193" si="1573">AA48</f>
        <v>55.515799999999736</v>
      </c>
      <c r="AB193" s="24">
        <f t="shared" si="1572"/>
        <v>123.84201612871585</v>
      </c>
      <c r="AC193" s="24">
        <f t="shared" si="1572"/>
        <v>219.68501766684912</v>
      </c>
      <c r="AD193" s="24">
        <f t="shared" si="1572"/>
        <v>335.19731807366884</v>
      </c>
      <c r="AE193" s="24">
        <f t="shared" si="1572"/>
        <v>481.60610980259247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5.9460000000000033</v>
      </c>
      <c r="AY193" s="23">
        <f t="shared" si="1574"/>
        <v>7.498999999999997</v>
      </c>
      <c r="AZ193" s="23">
        <f t="shared" si="1574"/>
        <v>6.2750000000000092</v>
      </c>
      <c r="BA193" s="23">
        <f t="shared" si="1574"/>
        <v>7.3179999999999961</v>
      </c>
      <c r="BB193" s="23">
        <f t="shared" si="1574"/>
        <v>20.518000000000001</v>
      </c>
      <c r="BC193" s="23">
        <f t="shared" si="1574"/>
        <v>13.561999999999983</v>
      </c>
      <c r="BD193" s="23">
        <f t="shared" si="1574"/>
        <v>12.661000000000001</v>
      </c>
      <c r="BE193" s="23">
        <f t="shared" si="1574"/>
        <v>15.17700000000001</v>
      </c>
      <c r="BF193" s="23">
        <f t="shared" si="1574"/>
        <v>22.96500000000005</v>
      </c>
      <c r="BG193" s="23">
        <f t="shared" si="1574"/>
        <v>21.067000000000011</v>
      </c>
      <c r="BH193" s="23">
        <f t="shared" si="1574"/>
        <v>17.343999999999998</v>
      </c>
      <c r="BI193" s="23">
        <f t="shared" si="1574"/>
        <v>21.138999999999974</v>
      </c>
      <c r="BJ193" s="23">
        <f t="shared" si="1574"/>
        <v>29.897000000000009</v>
      </c>
      <c r="BK193" s="23">
        <f t="shared" si="1574"/>
        <v>25.328999999999976</v>
      </c>
      <c r="BL193" s="23">
        <f t="shared" si="1574"/>
        <v>32.521000000000008</v>
      </c>
      <c r="BM193" s="23">
        <f t="shared" si="1574"/>
        <v>36.522999999999982</v>
      </c>
      <c r="BN193" s="23">
        <f t="shared" si="1574"/>
        <v>34.103000000000009</v>
      </c>
      <c r="BO193" s="23">
        <f t="shared" ref="BO193:CT193" si="1575">BO48</f>
        <v>-3.4429999999999992</v>
      </c>
      <c r="BP193" s="23">
        <f t="shared" si="1575"/>
        <v>14.070000000000011</v>
      </c>
      <c r="BQ193" s="23">
        <f t="shared" si="1575"/>
        <v>29.164999999999953</v>
      </c>
      <c r="BR193" s="23">
        <f t="shared" si="1575"/>
        <v>41.734999999999971</v>
      </c>
      <c r="BS193" s="23">
        <f t="shared" si="1575"/>
        <v>24.909000000000042</v>
      </c>
      <c r="BT193" s="23">
        <f t="shared" si="1575"/>
        <v>36.393999999999998</v>
      </c>
      <c r="BU193" s="23">
        <f t="shared" si="1575"/>
        <v>50.132000000000062</v>
      </c>
      <c r="BV193" s="23">
        <f t="shared" si="1575"/>
        <v>55.22000000000012</v>
      </c>
      <c r="BW193" s="23">
        <f t="shared" si="1575"/>
        <v>29.036999999999967</v>
      </c>
      <c r="BX193" s="23">
        <f t="shared" si="1575"/>
        <v>21.545000000000023</v>
      </c>
      <c r="BY193" s="23">
        <f t="shared" si="1575"/>
        <v>35.359999999999985</v>
      </c>
      <c r="BZ193" s="23">
        <f t="shared" si="1575"/>
        <v>45.998000000000012</v>
      </c>
      <c r="CA193" s="23">
        <f t="shared" si="1575"/>
        <v>37.846999999999952</v>
      </c>
      <c r="CB193" s="23">
        <f t="shared" si="1575"/>
        <v>38.520000000000053</v>
      </c>
      <c r="CC193" s="23">
        <f t="shared" si="1575"/>
        <v>31.084999999999958</v>
      </c>
      <c r="CD193" s="23">
        <f t="shared" si="1575"/>
        <v>15.522000000000098</v>
      </c>
      <c r="CE193" s="23">
        <f t="shared" si="1575"/>
        <v>34.68399999999999</v>
      </c>
      <c r="CF193" s="23">
        <f t="shared" si="1575"/>
        <v>10.217000000000093</v>
      </c>
      <c r="CG193" s="23">
        <f t="shared" si="1575"/>
        <v>5.0540000000000589</v>
      </c>
      <c r="CH193" s="23">
        <f t="shared" si="1575"/>
        <v>6.4629999999999317</v>
      </c>
      <c r="CI193" s="23">
        <f t="shared" si="1575"/>
        <v>0.42199999999989307</v>
      </c>
      <c r="CJ193" s="23">
        <f t="shared" si="1575"/>
        <v>16.166999999999916</v>
      </c>
      <c r="CK193" s="24">
        <f t="shared" si="1575"/>
        <v>17.833999999999978</v>
      </c>
      <c r="CL193" s="23">
        <f t="shared" ref="CL193" si="1576">CL48</f>
        <v>21.09300000000016</v>
      </c>
      <c r="CM193" s="24">
        <f t="shared" si="1575"/>
        <v>5.8121645938243152</v>
      </c>
      <c r="CN193" s="24">
        <f t="shared" si="1575"/>
        <v>28.824317792926148</v>
      </c>
      <c r="CO193" s="24">
        <f t="shared" si="1575"/>
        <v>35.146306945951757</v>
      </c>
      <c r="CP193" s="24">
        <f t="shared" si="1575"/>
        <v>54.059226796013405</v>
      </c>
      <c r="CQ193" s="24">
        <f t="shared" si="1575"/>
        <v>22.125129541688707</v>
      </c>
      <c r="CR193" s="24">
        <f t="shared" si="1575"/>
        <v>51.105327713906277</v>
      </c>
      <c r="CS193" s="24">
        <f t="shared" si="1575"/>
        <v>59.830794030860226</v>
      </c>
      <c r="CT193" s="24">
        <f t="shared" si="1575"/>
        <v>86.62376638039396</v>
      </c>
      <c r="CU193" s="24">
        <f t="shared" ref="CU193:DB193" si="1577">CU48</f>
        <v>40.046204753426579</v>
      </c>
      <c r="CV193" s="24">
        <f t="shared" si="1577"/>
        <v>78.592250925110321</v>
      </c>
      <c r="CW193" s="24">
        <f t="shared" si="1577"/>
        <v>90.162649648547799</v>
      </c>
      <c r="CX193" s="24">
        <f t="shared" si="1577"/>
        <v>126.39621274658289</v>
      </c>
      <c r="CY193" s="24">
        <f t="shared" si="1577"/>
        <v>61.294369161546747</v>
      </c>
      <c r="CZ193" s="24">
        <f t="shared" si="1577"/>
        <v>113.47715359268211</v>
      </c>
      <c r="DA193" s="24">
        <f t="shared" si="1577"/>
        <v>128.84224389779502</v>
      </c>
      <c r="DB193" s="24">
        <f t="shared" si="1577"/>
        <v>177.99234315056756</v>
      </c>
      <c r="DE193" s="123"/>
      <c r="DF193" s="23">
        <v>6.0743004686423703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2.839</v>
      </c>
      <c r="N194" s="23">
        <f t="shared" si="1578"/>
        <v>3.7290000000000001</v>
      </c>
      <c r="O194" s="23">
        <f t="shared" si="1578"/>
        <v>3.6629999999999998</v>
      </c>
      <c r="P194" s="23">
        <f t="shared" si="1578"/>
        <v>5.1669999999999998</v>
      </c>
      <c r="Q194" s="23">
        <f t="shared" si="1578"/>
        <v>7.1284999999999998</v>
      </c>
      <c r="R194" s="23">
        <f t="shared" si="1578"/>
        <v>7.9177</v>
      </c>
      <c r="S194" s="23">
        <f t="shared" si="1578"/>
        <v>11.4786</v>
      </c>
      <c r="T194" s="23">
        <f t="shared" si="1578"/>
        <v>24.3017</v>
      </c>
      <c r="U194" s="23">
        <f t="shared" si="1578"/>
        <v>26.695499999999999</v>
      </c>
      <c r="V194" s="23">
        <f t="shared" si="1578"/>
        <v>25.637599999999999</v>
      </c>
      <c r="W194" s="23">
        <f t="shared" si="1578"/>
        <v>32.052799999999998</v>
      </c>
      <c r="X194" s="23">
        <f t="shared" si="1578"/>
        <v>40.005200000000002</v>
      </c>
      <c r="Y194" s="23">
        <f t="shared" si="1578"/>
        <v>64.867999999999995</v>
      </c>
      <c r="Z194" s="23">
        <f t="shared" si="1578"/>
        <v>72.651399999999995</v>
      </c>
      <c r="AA194" s="23">
        <f t="shared" ref="AA194" si="1579">AA32</f>
        <v>86.569199999999995</v>
      </c>
      <c r="AB194" s="24">
        <f t="shared" si="1578"/>
        <v>115.23609052719456</v>
      </c>
      <c r="AC194" s="24">
        <f t="shared" si="1578"/>
        <v>83.08891186932739</v>
      </c>
      <c r="AD194" s="24">
        <f t="shared" si="1578"/>
        <v>59.909766498019415</v>
      </c>
      <c r="AE194" s="24">
        <f t="shared" si="1578"/>
        <v>43.196860340304575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1.667</v>
      </c>
      <c r="AY194" s="23">
        <f t="shared" si="1580"/>
        <v>1.694</v>
      </c>
      <c r="AZ194" s="23">
        <f t="shared" si="1580"/>
        <v>1.837</v>
      </c>
      <c r="BA194" s="23">
        <f t="shared" si="1580"/>
        <v>1.9370000000000001</v>
      </c>
      <c r="BB194" s="23">
        <f t="shared" si="1580"/>
        <v>2.089</v>
      </c>
      <c r="BC194" s="23">
        <f t="shared" si="1580"/>
        <v>1.839</v>
      </c>
      <c r="BD194" s="23">
        <f t="shared" si="1580"/>
        <v>2.2850000000000001</v>
      </c>
      <c r="BE194" s="23">
        <f t="shared" si="1580"/>
        <v>2.766</v>
      </c>
      <c r="BF194" s="23">
        <f t="shared" si="1580"/>
        <v>4.2859999999999996</v>
      </c>
      <c r="BG194" s="23">
        <f t="shared" si="1580"/>
        <v>4.8419999999999996</v>
      </c>
      <c r="BH194" s="23">
        <f t="shared" si="1580"/>
        <v>5.8040000000000003</v>
      </c>
      <c r="BI194" s="23">
        <f t="shared" si="1580"/>
        <v>6.2210000000000001</v>
      </c>
      <c r="BJ194" s="23">
        <f t="shared" si="1580"/>
        <v>7.4349999999999996</v>
      </c>
      <c r="BK194" s="23">
        <f t="shared" si="1580"/>
        <v>5.8840000000000003</v>
      </c>
      <c r="BL194" s="23">
        <f t="shared" si="1580"/>
        <v>6.21</v>
      </c>
      <c r="BM194" s="23">
        <f t="shared" si="1580"/>
        <v>6.984</v>
      </c>
      <c r="BN194" s="23">
        <f t="shared" si="1580"/>
        <v>7.617</v>
      </c>
      <c r="BO194" s="23">
        <f t="shared" ref="BO194:CT194" si="1581">BO32</f>
        <v>6.1660000000000004</v>
      </c>
      <c r="BP194" s="23">
        <f t="shared" si="1581"/>
        <v>6.2709999999999999</v>
      </c>
      <c r="BQ194" s="23">
        <f t="shared" si="1581"/>
        <v>6.4390000000000001</v>
      </c>
      <c r="BR194" s="23">
        <f t="shared" si="1581"/>
        <v>6.7619999999999996</v>
      </c>
      <c r="BS194" s="23">
        <f t="shared" si="1581"/>
        <v>5.4189999999999996</v>
      </c>
      <c r="BT194" s="23">
        <f t="shared" si="1581"/>
        <v>7.03</v>
      </c>
      <c r="BU194" s="23">
        <f t="shared" si="1581"/>
        <v>9.3829999999999991</v>
      </c>
      <c r="BV194" s="23">
        <f t="shared" si="1581"/>
        <v>10.220000000000001</v>
      </c>
      <c r="BW194" s="23">
        <f t="shared" si="1581"/>
        <v>8.7230000000000008</v>
      </c>
      <c r="BX194" s="23">
        <f t="shared" si="1581"/>
        <v>9.0589999999999993</v>
      </c>
      <c r="BY194" s="23">
        <f t="shared" si="1581"/>
        <v>9.8469999999999995</v>
      </c>
      <c r="BZ194" s="23">
        <f t="shared" si="1581"/>
        <v>12.375999999999999</v>
      </c>
      <c r="CA194" s="23">
        <f t="shared" si="1581"/>
        <v>11.847</v>
      </c>
      <c r="CB194" s="23">
        <f t="shared" si="1581"/>
        <v>14.358000000000001</v>
      </c>
      <c r="CC194" s="23">
        <f t="shared" si="1581"/>
        <v>18.725999999999999</v>
      </c>
      <c r="CD194" s="23">
        <f t="shared" si="1581"/>
        <v>19.937000000000001</v>
      </c>
      <c r="CE194" s="23">
        <f t="shared" si="1581"/>
        <v>16.738</v>
      </c>
      <c r="CF194" s="23">
        <f t="shared" si="1581"/>
        <v>17.928000000000001</v>
      </c>
      <c r="CG194" s="23">
        <f t="shared" si="1581"/>
        <v>18.736000000000001</v>
      </c>
      <c r="CH194" s="23">
        <f t="shared" si="1581"/>
        <v>19.248000000000001</v>
      </c>
      <c r="CI194" s="23">
        <f t="shared" si="1581"/>
        <v>16.891999999999999</v>
      </c>
      <c r="CJ194" s="23">
        <f t="shared" si="1581"/>
        <v>19.649999999999999</v>
      </c>
      <c r="CK194" s="24">
        <f t="shared" si="1581"/>
        <v>23.658000000000001</v>
      </c>
      <c r="CL194" s="23">
        <f t="shared" ref="CL194" si="1582">CL32</f>
        <v>26.369</v>
      </c>
      <c r="CM194" s="24">
        <f t="shared" si="1581"/>
        <v>32.432653029626323</v>
      </c>
      <c r="CN194" s="24">
        <f t="shared" si="1581"/>
        <v>29.886228650474273</v>
      </c>
      <c r="CO194" s="24">
        <f t="shared" si="1581"/>
        <v>27.539734789273272</v>
      </c>
      <c r="CP194" s="24">
        <f t="shared" si="1581"/>
        <v>25.377474057820699</v>
      </c>
      <c r="CQ194" s="24">
        <f t="shared" si="1581"/>
        <v>23.384981536067912</v>
      </c>
      <c r="CR194" s="24">
        <f t="shared" si="1581"/>
        <v>21.548928005847351</v>
      </c>
      <c r="CS194" s="24">
        <f t="shared" si="1581"/>
        <v>19.857030782127868</v>
      </c>
      <c r="CT194" s="24">
        <f t="shared" si="1581"/>
        <v>18.297971545284252</v>
      </c>
      <c r="CU194" s="24">
        <f t="shared" ref="CU194:DB194" si="1583">CU32</f>
        <v>16.86132062470185</v>
      </c>
      <c r="CV194" s="24">
        <f t="shared" si="1583"/>
        <v>15.537467227194739</v>
      </c>
      <c r="CW194" s="24">
        <f t="shared" si="1583"/>
        <v>14.317555143485054</v>
      </c>
      <c r="CX194" s="24">
        <f t="shared" si="1583"/>
        <v>13.19342350263778</v>
      </c>
      <c r="CY194" s="24">
        <f t="shared" si="1583"/>
        <v>12.157552178114763</v>
      </c>
      <c r="CZ194" s="24">
        <f t="shared" si="1583"/>
        <v>11.203011480229669</v>
      </c>
      <c r="DA194" s="24">
        <f t="shared" si="1583"/>
        <v>10.3234157984605</v>
      </c>
      <c r="DB194" s="24">
        <f t="shared" si="1583"/>
        <v>9.5128808834996423</v>
      </c>
      <c r="DE194" s="123"/>
      <c r="DF194" s="23">
        <v>22.101147401448646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</v>
      </c>
      <c r="K195" s="22">
        <f t="shared" si="1584"/>
        <v>0</v>
      </c>
      <c r="L195" s="22">
        <f t="shared" si="1584"/>
        <v>0</v>
      </c>
      <c r="M195" s="22">
        <f t="shared" si="1584"/>
        <v>11.190999999999988</v>
      </c>
      <c r="N195" s="22">
        <f t="shared" si="1584"/>
        <v>15.979000000000024</v>
      </c>
      <c r="O195" s="22">
        <f t="shared" si="1584"/>
        <v>13.732999999999981</v>
      </c>
      <c r="P195" s="22">
        <f t="shared" si="1584"/>
        <v>19.220999999999997</v>
      </c>
      <c r="Q195" s="22">
        <f t="shared" si="1584"/>
        <v>29.960599999999939</v>
      </c>
      <c r="R195" s="22">
        <f t="shared" si="1584"/>
        <v>49.42270000000002</v>
      </c>
      <c r="S195" s="22">
        <f t="shared" si="1584"/>
        <v>77.002699999999948</v>
      </c>
      <c r="T195" s="22">
        <f t="shared" si="1584"/>
        <v>113.73369999999993</v>
      </c>
      <c r="U195" s="22">
        <f t="shared" si="1584"/>
        <v>155.17159999999996</v>
      </c>
      <c r="V195" s="22">
        <f t="shared" si="1584"/>
        <v>107.16409999999988</v>
      </c>
      <c r="W195" s="22">
        <f t="shared" si="1584"/>
        <v>198.70509999999982</v>
      </c>
      <c r="X195" s="22">
        <f t="shared" ref="X195:Y195" si="1585">X193+X194</f>
        <v>171.94639999999993</v>
      </c>
      <c r="Y195" s="22">
        <f t="shared" si="1585"/>
        <v>187.84070000000014</v>
      </c>
      <c r="Z195" s="22">
        <f t="shared" ref="Z195:AA195" si="1586">Z193+Z194</f>
        <v>129.0693999999998</v>
      </c>
      <c r="AA195" s="22">
        <f t="shared" si="1586"/>
        <v>142.08499999999972</v>
      </c>
      <c r="AB195" s="21">
        <f t="shared" ref="AA195:AD195" si="1587">AB193+AB194</f>
        <v>239.0781066559104</v>
      </c>
      <c r="AC195" s="21">
        <f t="shared" si="1587"/>
        <v>302.77392953617652</v>
      </c>
      <c r="AD195" s="21">
        <f t="shared" si="1587"/>
        <v>395.10708457168823</v>
      </c>
      <c r="AE195" s="21">
        <f t="shared" ref="AE195" si="1588">AE193+AE194</f>
        <v>524.80297014289704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7.6130000000000031</v>
      </c>
      <c r="AY195" s="22">
        <f t="shared" si="1592"/>
        <v>9.1929999999999978</v>
      </c>
      <c r="AZ195" s="22">
        <f t="shared" si="1592"/>
        <v>8.112000000000009</v>
      </c>
      <c r="BA195" s="22">
        <f t="shared" si="1592"/>
        <v>9.2549999999999955</v>
      </c>
      <c r="BB195" s="22">
        <f t="shared" si="1592"/>
        <v>22.606999999999999</v>
      </c>
      <c r="BC195" s="22">
        <f t="shared" si="1592"/>
        <v>15.400999999999984</v>
      </c>
      <c r="BD195" s="22">
        <f t="shared" si="1592"/>
        <v>14.946000000000002</v>
      </c>
      <c r="BE195" s="22">
        <f t="shared" si="1592"/>
        <v>17.943000000000012</v>
      </c>
      <c r="BF195" s="22">
        <f t="shared" si="1592"/>
        <v>27.251000000000047</v>
      </c>
      <c r="BG195" s="22">
        <f t="shared" si="1592"/>
        <v>25.90900000000001</v>
      </c>
      <c r="BH195" s="22">
        <f t="shared" si="1592"/>
        <v>23.147999999999996</v>
      </c>
      <c r="BI195" s="22">
        <f t="shared" si="1592"/>
        <v>27.359999999999975</v>
      </c>
      <c r="BJ195" s="22">
        <f t="shared" si="1592"/>
        <v>37.332000000000008</v>
      </c>
      <c r="BK195" s="22">
        <f t="shared" si="1592"/>
        <v>31.212999999999976</v>
      </c>
      <c r="BL195" s="22">
        <f t="shared" si="1592"/>
        <v>38.731000000000009</v>
      </c>
      <c r="BM195" s="22">
        <f t="shared" si="1592"/>
        <v>43.506999999999984</v>
      </c>
      <c r="BN195" s="22">
        <f t="shared" si="1592"/>
        <v>41.720000000000006</v>
      </c>
      <c r="BO195" s="22">
        <f t="shared" si="1592"/>
        <v>2.7230000000000012</v>
      </c>
      <c r="BP195" s="22">
        <f t="shared" si="1592"/>
        <v>20.341000000000012</v>
      </c>
      <c r="BQ195" s="22">
        <f t="shared" si="1592"/>
        <v>35.603999999999957</v>
      </c>
      <c r="BR195" s="22">
        <f t="shared" si="1592"/>
        <v>48.496999999999971</v>
      </c>
      <c r="BS195" s="22">
        <f t="shared" si="1592"/>
        <v>30.328000000000042</v>
      </c>
      <c r="BT195" s="22">
        <f t="shared" si="1592"/>
        <v>43.423999999999999</v>
      </c>
      <c r="BU195" s="22">
        <f t="shared" si="1592"/>
        <v>59.515000000000057</v>
      </c>
      <c r="BV195" s="22">
        <f t="shared" si="1592"/>
        <v>65.440000000000126</v>
      </c>
      <c r="BW195" s="22">
        <f t="shared" si="1592"/>
        <v>37.75999999999997</v>
      </c>
      <c r="BX195" s="22">
        <f t="shared" si="1592"/>
        <v>30.604000000000021</v>
      </c>
      <c r="BY195" s="22">
        <f t="shared" si="1592"/>
        <v>45.206999999999987</v>
      </c>
      <c r="BZ195" s="22">
        <f t="shared" si="1592"/>
        <v>58.374000000000009</v>
      </c>
      <c r="CA195" s="22">
        <f t="shared" si="1592"/>
        <v>49.693999999999953</v>
      </c>
      <c r="CB195" s="22">
        <f t="shared" si="1592"/>
        <v>52.878000000000057</v>
      </c>
      <c r="CC195" s="22">
        <f t="shared" si="1592"/>
        <v>49.810999999999957</v>
      </c>
      <c r="CD195" s="22">
        <f t="shared" si="1592"/>
        <v>35.459000000000103</v>
      </c>
      <c r="CE195" s="22">
        <f t="shared" ref="CE195:CF195" si="1593">CE193+CE194</f>
        <v>51.42199999999999</v>
      </c>
      <c r="CF195" s="22">
        <f t="shared" si="1593"/>
        <v>28.145000000000095</v>
      </c>
      <c r="CG195" s="22">
        <f t="shared" ref="CG195:CH195" si="1594">CG193+CG194</f>
        <v>23.79000000000006</v>
      </c>
      <c r="CH195" s="22">
        <f t="shared" si="1594"/>
        <v>25.710999999999935</v>
      </c>
      <c r="CI195" s="22">
        <f t="shared" ref="CI195:CJ195" si="1595">CI193+CI194</f>
        <v>17.313999999999893</v>
      </c>
      <c r="CJ195" s="22">
        <f t="shared" si="1595"/>
        <v>35.816999999999915</v>
      </c>
      <c r="CK195" s="21">
        <f t="shared" ref="CK195:DB195" si="1596">CK193+CK194</f>
        <v>41.491999999999976</v>
      </c>
      <c r="CL195" s="22">
        <f t="shared" si="1596"/>
        <v>47.46200000000016</v>
      </c>
      <c r="CM195" s="21">
        <f t="shared" si="1596"/>
        <v>38.244817623450636</v>
      </c>
      <c r="CN195" s="21">
        <f t="shared" si="1596"/>
        <v>58.710546443400418</v>
      </c>
      <c r="CO195" s="21">
        <f t="shared" si="1596"/>
        <v>62.686041735225032</v>
      </c>
      <c r="CP195" s="21">
        <f t="shared" si="1596"/>
        <v>79.436700853834111</v>
      </c>
      <c r="CQ195" s="21">
        <f t="shared" si="1596"/>
        <v>45.510111077756619</v>
      </c>
      <c r="CR195" s="21">
        <f t="shared" si="1596"/>
        <v>72.654255719753621</v>
      </c>
      <c r="CS195" s="21">
        <f t="shared" si="1596"/>
        <v>79.687824812988097</v>
      </c>
      <c r="CT195" s="21">
        <f t="shared" si="1596"/>
        <v>104.92173792567822</v>
      </c>
      <c r="CU195" s="21">
        <f t="shared" si="1596"/>
        <v>56.907525378128426</v>
      </c>
      <c r="CV195" s="21">
        <f t="shared" si="1596"/>
        <v>94.12971815230506</v>
      </c>
      <c r="CW195" s="21">
        <f t="shared" si="1596"/>
        <v>104.48020479203285</v>
      </c>
      <c r="CX195" s="21">
        <f t="shared" si="1596"/>
        <v>139.58963624922066</v>
      </c>
      <c r="CY195" s="21">
        <f t="shared" si="1596"/>
        <v>73.45192133966151</v>
      </c>
      <c r="CZ195" s="21">
        <f t="shared" si="1596"/>
        <v>124.68016507291179</v>
      </c>
      <c r="DA195" s="21">
        <f t="shared" si="1596"/>
        <v>139.16565969625552</v>
      </c>
      <c r="DB195" s="21">
        <f t="shared" si="1596"/>
        <v>187.5052240340672</v>
      </c>
      <c r="DE195" s="126"/>
      <c r="DF195" s="22">
        <v>28.175447870091016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7"/>
        <v>0</v>
      </c>
      <c r="M196" s="23">
        <f t="shared" si="1597"/>
        <v>-37.585999999999999</v>
      </c>
      <c r="N196" s="23">
        <f t="shared" si="1597"/>
        <v>3.1970000000000005</v>
      </c>
      <c r="O196" s="23">
        <f t="shared" si="1597"/>
        <v>-6.024</v>
      </c>
      <c r="P196" s="23">
        <f t="shared" si="1597"/>
        <v>-15.047000000000001</v>
      </c>
      <c r="Q196" s="23">
        <f t="shared" si="1597"/>
        <v>-17.509999999999994</v>
      </c>
      <c r="R196" s="23">
        <f t="shared" si="1597"/>
        <v>-78.481899999999996</v>
      </c>
      <c r="S196" s="23">
        <f t="shared" si="1597"/>
        <v>-124.7046</v>
      </c>
      <c r="T196" s="23">
        <f t="shared" si="1597"/>
        <v>-132.87969999999999</v>
      </c>
      <c r="U196" s="23">
        <f t="shared" si="1597"/>
        <v>-248.51690000000005</v>
      </c>
      <c r="V196" s="23">
        <f t="shared" si="1597"/>
        <v>53.755200000000009</v>
      </c>
      <c r="W196" s="23">
        <f t="shared" si="1597"/>
        <v>-262.18179999999984</v>
      </c>
      <c r="X196" s="23">
        <f t="shared" si="1597"/>
        <v>-399.06639999999999</v>
      </c>
      <c r="Y196" s="23">
        <f t="shared" si="1597"/>
        <v>-219.22810000000004</v>
      </c>
      <c r="Z196" s="23">
        <f t="shared" si="1597"/>
        <v>-350.19000000000023</v>
      </c>
      <c r="AA196" s="23">
        <f t="shared" si="1597"/>
        <v>-424.31329999999986</v>
      </c>
      <c r="AB196" s="24">
        <f t="shared" ref="AB196" si="1598">AA148-AB148+AA163+AA164-AB163-AB164</f>
        <v>-904.44525275872184</v>
      </c>
      <c r="AC196" s="24">
        <f t="shared" ref="AC196" si="1599">AB148-AC148+AB163+AB164-AC163-AC164</f>
        <v>-1172.991178729068</v>
      </c>
      <c r="AD196" s="24">
        <f t="shared" ref="AD196" si="1600">AC148-AD148+AC163+AC164-AD163-AD164</f>
        <v>-1600.2905460004376</v>
      </c>
      <c r="AE196" s="24">
        <f t="shared" ref="AE196" si="1601">AD148-AE148+AD163+AD164-AE163-AE164</f>
        <v>-2196.3263321347658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>
        <f t="shared" ref="AY196" si="1615">AX148-AY148+AX163+AX164-AY163-AY164</f>
        <v>6.1175268777409855</v>
      </c>
      <c r="AZ196" s="23">
        <f t="shared" ref="AZ196" si="1616">AY148-AZ148+AY163+AY164-AZ163-AZ164</f>
        <v>66.851473122259023</v>
      </c>
      <c r="BA196" s="23">
        <f t="shared" ref="BA196" si="1617">AZ148-BA148+AZ163+AZ164-BA163-BA164</f>
        <v>0</v>
      </c>
      <c r="BB196" s="23">
        <f t="shared" ref="BB196" si="1618">BA148-BB148+BA163+BA164-BB163-BB164</f>
        <v>-151.45199999999997</v>
      </c>
      <c r="BC196" s="23">
        <f t="shared" ref="BC196" si="1619">BB148-BC148+BB163+BB164-BC163-BC164</f>
        <v>2.2395970331145634</v>
      </c>
      <c r="BD196" s="23">
        <f t="shared" ref="BD196" si="1620">BC148-BD148+BC163+BC164-BD163-BD164</f>
        <v>-66.970597033114601</v>
      </c>
      <c r="BE196" s="23">
        <f t="shared" ref="BE196" si="1621">BD148-BE148+BD163+BD164-BE163-BE164</f>
        <v>-30.208067981340463</v>
      </c>
      <c r="BF196" s="23">
        <f t="shared" ref="BF196" si="1622">BE148-BF148+BE163+BE164-BF163-BF164</f>
        <v>-29.764932018659511</v>
      </c>
      <c r="BG196" s="23">
        <f t="shared" ref="BG196" si="1623">BF148-BG148+BF163+BF164-BG163-BG164</f>
        <v>15.184392768424971</v>
      </c>
      <c r="BH196" s="23">
        <f t="shared" ref="BH196" si="1624">BG148-BH148+BG163+BG164-BH163-BH164</f>
        <v>-67.431392768424985</v>
      </c>
      <c r="BI196" s="23">
        <f t="shared" ref="BI196" si="1625">BH148-BI148+BH163+BH164-BI163-BI164</f>
        <v>-45.384452058605802</v>
      </c>
      <c r="BJ196" s="23">
        <f t="shared" ref="BJ196" si="1626">BI148-BJ148+BI163+BI164-BJ163-BJ164</f>
        <v>-35.248547941394214</v>
      </c>
      <c r="BK196" s="23">
        <f t="shared" ref="BK196" si="1627">BJ148-BK148+BJ163+BJ164-BK163-BK164</f>
        <v>20.326912036011493</v>
      </c>
      <c r="BL196" s="23">
        <f t="shared" ref="BL196" si="1628">BK148-BL148+BK163+BK164-BL163-BL164</f>
        <v>-147.35191203601153</v>
      </c>
      <c r="BM196" s="23">
        <f t="shared" ref="BM196" si="1629">BL148-BM148+BL163+BL164-BM163-BM164</f>
        <v>-102.27336010034821</v>
      </c>
      <c r="BN196" s="23">
        <f t="shared" ref="BN196" si="1630">BM148-BN148+BM163+BM164-BN163-BN164</f>
        <v>-19.217639899651711</v>
      </c>
      <c r="BO196" s="23">
        <f t="shared" ref="BO196" si="1631">BN148-BO148+BN163+BN164-BO163-BO164</f>
        <v>254.24894563285903</v>
      </c>
      <c r="BP196" s="23">
        <f t="shared" ref="BP196" si="1632">BO148-BP148+BO163+BO164-BP163-BP164</f>
        <v>-159.97394563285903</v>
      </c>
      <c r="BQ196" s="23">
        <f t="shared" ref="BQ196" si="1633">BP148-BQ148+BP163+BP164-BQ163-BQ164</f>
        <v>-179.57733941897095</v>
      </c>
      <c r="BR196" s="23">
        <f t="shared" ref="BR196" si="1634">BQ148-BR148+BQ163+BQ164-BR163-BR164</f>
        <v>139.057339418971</v>
      </c>
      <c r="BS196" s="23">
        <f t="shared" ref="BS196" si="1635">BR148-BS148+BR163+BR164-BS163-BS164</f>
        <v>115.62879502961687</v>
      </c>
      <c r="BT196" s="23">
        <f t="shared" ref="BT196" si="1636">BS148-BT148+BS163+BS164-BT163-BT164</f>
        <v>-339.27479502961688</v>
      </c>
      <c r="BU196" s="23">
        <f t="shared" ref="BU196" si="1637">BT148-BU148+BT163+BT164-BU163-BU164</f>
        <v>-108.30959247363876</v>
      </c>
      <c r="BV196" s="23">
        <f t="shared" ref="BV196" si="1638">BU148-BV148+BU163+BU164-BV163-BV164</f>
        <v>69.773592473638701</v>
      </c>
      <c r="BW196" s="23">
        <f t="shared" ref="BW196" si="1639">BV148-BW148+BV163+BV164-BW163-BW164</f>
        <v>146.30944199644102</v>
      </c>
      <c r="BX196" s="23">
        <f t="shared" ref="BX196" si="1640">BW148-BX148+BW163+BW164-BX163-BX164</f>
        <v>-267.32944199644101</v>
      </c>
      <c r="BY196" s="23">
        <f t="shared" ref="BY196" si="1641">BX148-BY148+BX163+BX164-BY163-BY164</f>
        <v>-153.94048389919499</v>
      </c>
      <c r="BZ196" s="23">
        <f t="shared" ref="BZ196" si="1642">BY148-BZ148+BY163+BY164-BZ163-BZ164</f>
        <v>-124.10551610080509</v>
      </c>
      <c r="CA196" s="23">
        <f t="shared" ref="CA196" si="1643">BZ148-CA148+BZ163+BZ164-CA163-CA164</f>
        <v>173.74885341920867</v>
      </c>
      <c r="CB196" s="23">
        <f t="shared" ref="CB196" si="1644">CA148-CB148+CA163+CA164-CB163-CB164</f>
        <v>-419.01485341920869</v>
      </c>
      <c r="CC196" s="23">
        <f t="shared" ref="CC196" si="1645">CB148-CC148+CB163+CB164-CC163-CC164</f>
        <v>-97.498044127923094</v>
      </c>
      <c r="CD196" s="23">
        <f t="shared" ref="CD196" si="1646">CC148-CD148+CC163+CC164-CD163-CD164</f>
        <v>123.53504412792324</v>
      </c>
      <c r="CE196" s="23">
        <f t="shared" ref="CE196" si="1647">CD148-CE148+CD163+CD164-CE163-CE164</f>
        <v>44.174298137501637</v>
      </c>
      <c r="CF196" s="23">
        <f t="shared" ref="CF196" si="1648">CE148-CF148+CE163+CE164-CF163-CF164</f>
        <v>-300.55229813750162</v>
      </c>
      <c r="CG196" s="23">
        <f t="shared" ref="CG196" si="1649">CF148-CG148+CF163+CF164-CG163-CG164</f>
        <v>-61.22237431523331</v>
      </c>
      <c r="CH196" s="23">
        <f t="shared" ref="CH196:CL196" si="1650">CG148-CH148+CG163+CG164-CH163-CH164</f>
        <v>-32.589825684766879</v>
      </c>
      <c r="CI196" s="23">
        <f t="shared" si="1650"/>
        <v>416.58347568016643</v>
      </c>
      <c r="CJ196" s="23">
        <f t="shared" si="1650"/>
        <v>-687.36827568016622</v>
      </c>
      <c r="CK196" s="24">
        <f t="shared" ref="CK196" si="1651">CJ148-CK148+CJ163+CJ164-CK163-CK164</f>
        <v>-324.43216020123327</v>
      </c>
      <c r="CL196" s="23">
        <f t="shared" si="1650"/>
        <v>170.90316020123305</v>
      </c>
      <c r="CM196" s="24">
        <f t="shared" ref="CM196" si="1652">CL148-CM148+CL163+CL164-CM163-CM164</f>
        <v>934.72676803032277</v>
      </c>
      <c r="CN196" s="24">
        <f t="shared" ref="CN196" si="1653">CM148-CN148+CM163+CM164-CN163-CN164</f>
        <v>-601.37604178309516</v>
      </c>
      <c r="CO196" s="24">
        <f t="shared" ref="CO196" si="1654">CN148-CO148+CN163+CN164-CO163-CO164</f>
        <v>-353.85747535655446</v>
      </c>
      <c r="CP196" s="24">
        <f t="shared" ref="CP196" si="1655">CO148-CP148+CO163+CO164-CP163-CP164</f>
        <v>-883.93800364939489</v>
      </c>
      <c r="CQ196" s="24">
        <f t="shared" ref="CQ196" si="1656">CP148-CQ148+CP163+CP164-CQ163-CQ164</f>
        <v>1396.1937092570986</v>
      </c>
      <c r="CR196" s="24">
        <f t="shared" ref="CR196" si="1657">CQ148-CR148+CQ163+CQ164-CR163-CR164</f>
        <v>-857.62813953162754</v>
      </c>
      <c r="CS196" s="24">
        <f t="shared" ref="CS196" si="1658">CR148-CS148+CR163+CR164-CS163-CS164</f>
        <v>-498.93300117350918</v>
      </c>
      <c r="CT196" s="24">
        <f t="shared" ref="CT196" si="1659">CS148-CT148+CS163+CS164-CT163-CT164</f>
        <v>-1212.6237472810299</v>
      </c>
      <c r="CU196" s="24">
        <f t="shared" ref="CU196" si="1660">CT148-CU148+CT163+CT164-CU163-CU164</f>
        <v>1935.3844951859855</v>
      </c>
      <c r="CV196" s="24">
        <f t="shared" ref="CV196" si="1661">CU148-CV148+CU163+CU164-CV163-CV164</f>
        <v>-1187.3209518744161</v>
      </c>
      <c r="CW196" s="24">
        <f t="shared" ref="CW196" si="1662">CV148-CW148+CV163+CV164-CW163-CW164</f>
        <v>-686.55968632715758</v>
      </c>
      <c r="CX196" s="24">
        <f t="shared" ref="CX196" si="1663">CW148-CX148+CW163+CW164-CX163-CX164</f>
        <v>-1661.7944029848495</v>
      </c>
      <c r="CY196" s="24">
        <f t="shared" ref="CY196" si="1664">CX148-CY148+CX163+CX164-CY163-CY164</f>
        <v>2659.0880545747841</v>
      </c>
      <c r="CZ196" s="24">
        <f t="shared" ref="CZ196" si="1665">CY148-CZ148+CY163+CY164-CZ163-CZ164</f>
        <v>-1632.7212720593179</v>
      </c>
      <c r="DA196" s="24">
        <f t="shared" ref="DA196" si="1666">CZ148-DA148+CZ163+CZ164-DA163-DA164</f>
        <v>-942.32102595757897</v>
      </c>
      <c r="DB196" s="24">
        <f t="shared" ref="DB196" si="1667">DA148-DB148+DA163+DA164-DB163-DB164</f>
        <v>-2280.3720886926531</v>
      </c>
      <c r="DE196" s="123"/>
      <c r="DF196" s="23">
        <v>250.11818665145574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0</v>
      </c>
      <c r="K197" s="23">
        <f>J156-K156</f>
        <v>0</v>
      </c>
      <c r="L197" s="23">
        <f t="shared" si="1668"/>
        <v>0</v>
      </c>
      <c r="M197" s="23">
        <f t="shared" si="1668"/>
        <v>-50.701999999999991</v>
      </c>
      <c r="N197" s="23">
        <f t="shared" si="1668"/>
        <v>-8.6780000000000186</v>
      </c>
      <c r="O197" s="23">
        <f t="shared" si="1668"/>
        <v>-16.089999999999989</v>
      </c>
      <c r="P197" s="23">
        <f t="shared" si="1668"/>
        <v>-30.578000000000003</v>
      </c>
      <c r="Q197" s="23">
        <f t="shared" si="1668"/>
        <v>-35.207499999999982</v>
      </c>
      <c r="R197" s="23">
        <f t="shared" si="1668"/>
        <v>-6.6133000000000379</v>
      </c>
      <c r="S197" s="23">
        <f t="shared" si="1668"/>
        <v>-119.12819999999999</v>
      </c>
      <c r="T197" s="23">
        <f t="shared" si="1668"/>
        <v>-66.856299999999976</v>
      </c>
      <c r="U197" s="23">
        <f t="shared" si="1668"/>
        <v>-94.387699999999995</v>
      </c>
      <c r="V197" s="23">
        <f t="shared" si="1668"/>
        <v>56.682199999999966</v>
      </c>
      <c r="W197" s="23">
        <f t="shared" si="1668"/>
        <v>-112.18869999999998</v>
      </c>
      <c r="X197" s="23">
        <f t="shared" si="1668"/>
        <v>-335.6769000000001</v>
      </c>
      <c r="Y197" s="23">
        <f t="shared" si="1668"/>
        <v>152.63740000000018</v>
      </c>
      <c r="Z197" s="23">
        <f t="shared" si="1668"/>
        <v>-205.80829999999992</v>
      </c>
      <c r="AA197" s="23">
        <f t="shared" si="1668"/>
        <v>-635.10550000000023</v>
      </c>
      <c r="AB197" s="24">
        <f t="shared" ref="AB197" si="1669">AA156-AB156</f>
        <v>-616.03574552102964</v>
      </c>
      <c r="AC197" s="24">
        <f t="shared" ref="AC197" si="1670">AB156-AC156</f>
        <v>-798.94792741695119</v>
      </c>
      <c r="AD197" s="24">
        <f t="shared" ref="AD197" si="1671">AC156-AD156</f>
        <v>-1089.9901364793677</v>
      </c>
      <c r="AE197" s="24">
        <f t="shared" ref="AE197" si="1672">AD156-AE156</f>
        <v>-1495.9621204411887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>
        <f t="shared" ref="AY197" si="1689">AX156-AY156</f>
        <v>16.739820691697048</v>
      </c>
      <c r="AZ197" s="23">
        <f t="shared" ref="AZ197" si="1690">AY156-AZ156</f>
        <v>125.40617930830297</v>
      </c>
      <c r="BA197" s="23">
        <f t="shared" ref="BA197" si="1691">AZ156-BA156</f>
        <v>0</v>
      </c>
      <c r="BB197" s="23">
        <f t="shared" ref="BB197" si="1692">BA156-BB156</f>
        <v>-149.756</v>
      </c>
      <c r="BC197" s="23">
        <f t="shared" ref="BC197" si="1693">BB156-BC156</f>
        <v>2.6908024076560082</v>
      </c>
      <c r="BD197" s="23">
        <f t="shared" ref="BD197" si="1694">BC156-BD156</f>
        <v>-21.706802407655999</v>
      </c>
      <c r="BE197" s="23">
        <f t="shared" ref="BE197" si="1695">BD156-BE156</f>
        <v>-23.090040206946497</v>
      </c>
      <c r="BF197" s="23">
        <f t="shared" ref="BF197" si="1696">BE156-BF156</f>
        <v>-77.281959793053517</v>
      </c>
      <c r="BG197" s="23">
        <f t="shared" ref="BG197" si="1697">BF156-BG156</f>
        <v>12.277388099834297</v>
      </c>
      <c r="BH197" s="23">
        <f t="shared" ref="BH197" si="1698">BG156-BH156</f>
        <v>-45.538388099834265</v>
      </c>
      <c r="BI197" s="23">
        <f t="shared" ref="BI197" si="1699">BH156-BI156</f>
        <v>-29.97193468860371</v>
      </c>
      <c r="BJ197" s="23">
        <f t="shared" ref="BJ197" si="1700">BI156-BJ156</f>
        <v>-2.7510653113963031</v>
      </c>
      <c r="BK197" s="23">
        <f t="shared" ref="BK197" si="1701">BJ156-BK156</f>
        <v>14.51338619265772</v>
      </c>
      <c r="BL197" s="23">
        <f t="shared" ref="BL197" si="1702">BK156-BL156</f>
        <v>-57.365386192657695</v>
      </c>
      <c r="BM197" s="23">
        <f t="shared" ref="BM197" si="1703">BL156-BM156</f>
        <v>-61.933439683704307</v>
      </c>
      <c r="BN197" s="23">
        <f t="shared" ref="BN197" si="1704">BM156-BN156</f>
        <v>9.08843968370428</v>
      </c>
      <c r="BO197" s="23">
        <f t="shared" ref="BO197" si="1705">BN156-BO156</f>
        <v>166.02898471067948</v>
      </c>
      <c r="BP197" s="23">
        <f t="shared" ref="BP197" si="1706">BO156-BP156</f>
        <v>-39.126984710679494</v>
      </c>
      <c r="BQ197" s="23">
        <f t="shared" ref="BQ197" si="1707">BP156-BQ156</f>
        <v>-109.55119191150447</v>
      </c>
      <c r="BR197" s="23">
        <f t="shared" ref="BR197" si="1708">BQ156-BR156</f>
        <v>41.917191911504517</v>
      </c>
      <c r="BS197" s="23">
        <f t="shared" ref="BS197" si="1709">BR156-BS156</f>
        <v>93.985520324488846</v>
      </c>
      <c r="BT197" s="23">
        <f t="shared" ref="BT197" si="1710">BS156-BT156</f>
        <v>-182.24652032448887</v>
      </c>
      <c r="BU197" s="23">
        <f t="shared" ref="BU197" si="1711">BT156-BU156</f>
        <v>-59.634449120353679</v>
      </c>
      <c r="BV197" s="23">
        <f t="shared" ref="BV197" si="1712">BU156-BV156</f>
        <v>35.705449120353649</v>
      </c>
      <c r="BW197" s="23">
        <f t="shared" ref="BW197" si="1713">BV156-BW156</f>
        <v>96.160410134734377</v>
      </c>
      <c r="BX197" s="23">
        <f t="shared" ref="BX197" si="1714">BW156-BX156</f>
        <v>-159.40041013473433</v>
      </c>
      <c r="BY197" s="23">
        <f t="shared" ref="BY197" si="1715">BX156-BY156</f>
        <v>-109.01604392719651</v>
      </c>
      <c r="BZ197" s="23">
        <f t="shared" ref="BZ197" si="1716">BY156-BZ156</f>
        <v>-163.42195607280337</v>
      </c>
      <c r="CA197" s="23">
        <f t="shared" ref="CA197" si="1717">BZ156-CA156</f>
        <v>109.02160465690031</v>
      </c>
      <c r="CB197" s="23">
        <f t="shared" ref="CB197" si="1718">CA156-CB156</f>
        <v>-101.97260465690056</v>
      </c>
      <c r="CC197" s="23">
        <f t="shared" ref="CC197" si="1719">CB156-CC156</f>
        <v>-59.75987372771533</v>
      </c>
      <c r="CD197" s="23">
        <f t="shared" ref="CD197" si="1720">CC156-CD156</f>
        <v>205.34787372771541</v>
      </c>
      <c r="CE197" s="23">
        <f t="shared" ref="CE197" si="1721">CD156-CE156</f>
        <v>28.115188719283424</v>
      </c>
      <c r="CF197" s="23">
        <f t="shared" ref="CF197" si="1722">CE156-CF156</f>
        <v>-227.48518871928343</v>
      </c>
      <c r="CG197" s="23">
        <f t="shared" ref="CG197" si="1723">CF156-CG156</f>
        <v>-36.732805439223398</v>
      </c>
      <c r="CH197" s="23">
        <f t="shared" ref="CH197:CL197" si="1724">CG156-CH156</f>
        <v>30.295505439223575</v>
      </c>
      <c r="CI197" s="23">
        <f t="shared" si="1724"/>
        <v>201.16504838479557</v>
      </c>
      <c r="CJ197" s="23">
        <f t="shared" si="1724"/>
        <v>-413.68674838479592</v>
      </c>
      <c r="CK197" s="24">
        <f t="shared" ref="CK197" si="1725">CJ156-CK156</f>
        <v>-169.71192457168218</v>
      </c>
      <c r="CL197" s="23">
        <f t="shared" si="1724"/>
        <v>-252.87207542831766</v>
      </c>
      <c r="CM197" s="24">
        <f t="shared" ref="CM197" si="1726">CL156-CM156</f>
        <v>636.66123630028073</v>
      </c>
      <c r="CN197" s="24">
        <f t="shared" ref="CN197" si="1727">CM156-CN156</f>
        <v>-409.60933968949325</v>
      </c>
      <c r="CO197" s="24">
        <f t="shared" ref="CO197" si="1728">CN156-CO156</f>
        <v>-241.01945663686365</v>
      </c>
      <c r="CP197" s="24">
        <f t="shared" ref="CP197" si="1729">CO156-CP156</f>
        <v>-602.06798549495352</v>
      </c>
      <c r="CQ197" s="24">
        <f t="shared" ref="CQ197" si="1730">CP156-CQ156</f>
        <v>950.97566845487245</v>
      </c>
      <c r="CR197" s="24">
        <f t="shared" ref="CR197" si="1731">CQ156-CR156</f>
        <v>-584.14780690479029</v>
      </c>
      <c r="CS197" s="24">
        <f t="shared" ref="CS197" si="1732">CR156-CS156</f>
        <v>-339.8333205194258</v>
      </c>
      <c r="CT197" s="24">
        <f t="shared" ref="CT197" si="1733">CS156-CT156</f>
        <v>-825.94246844760755</v>
      </c>
      <c r="CU197" s="24">
        <f t="shared" ref="CU197" si="1734">CT156-CU156</f>
        <v>1318.229377359108</v>
      </c>
      <c r="CV197" s="24">
        <f t="shared" ref="CV197" si="1735">CU156-CV156</f>
        <v>-808.7082246488842</v>
      </c>
      <c r="CW197" s="24">
        <f t="shared" ref="CW197" si="1736">CV156-CW156</f>
        <v>-467.62963642526302</v>
      </c>
      <c r="CX197" s="24">
        <f t="shared" ref="CX197" si="1737">CW156-CX156</f>
        <v>-1131.8816527643285</v>
      </c>
      <c r="CY197" s="24">
        <f t="shared" ref="CY197" si="1738">CX156-CY156</f>
        <v>1811.1584541697539</v>
      </c>
      <c r="CZ197" s="24">
        <f t="shared" ref="CZ197" si="1739">CY156-CZ156</f>
        <v>-1112.0793574720119</v>
      </c>
      <c r="DA197" s="24">
        <f t="shared" ref="DA197" si="1740">CZ156-DA156</f>
        <v>-641.83383839761655</v>
      </c>
      <c r="DB197" s="24">
        <f t="shared" ref="DB197" si="1741">DA156-DB156</f>
        <v>-1553.2073787413142</v>
      </c>
      <c r="DE197" s="123"/>
      <c r="DF197" s="23">
        <v>130.83795022253275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0</v>
      </c>
      <c r="K198" s="22">
        <f t="shared" si="1742"/>
        <v>0</v>
      </c>
      <c r="L198" s="22">
        <f t="shared" si="1742"/>
        <v>0</v>
      </c>
      <c r="M198" s="22">
        <f t="shared" si="1742"/>
        <v>13.115999999999993</v>
      </c>
      <c r="N198" s="22">
        <f t="shared" si="1742"/>
        <v>11.87500000000002</v>
      </c>
      <c r="O198" s="22">
        <f t="shared" si="1742"/>
        <v>10.065999999999988</v>
      </c>
      <c r="P198" s="22">
        <f t="shared" si="1742"/>
        <v>15.531000000000002</v>
      </c>
      <c r="Q198" s="22">
        <f t="shared" si="1742"/>
        <v>17.697499999999987</v>
      </c>
      <c r="R198" s="22">
        <f t="shared" si="1742"/>
        <v>-71.868599999999958</v>
      </c>
      <c r="S198" s="22">
        <f t="shared" si="1742"/>
        <v>-5.5764000000000067</v>
      </c>
      <c r="T198" s="22">
        <f t="shared" si="1742"/>
        <v>-66.023400000000009</v>
      </c>
      <c r="U198" s="22">
        <f t="shared" si="1742"/>
        <v>-154.12920000000005</v>
      </c>
      <c r="V198" s="22">
        <f t="shared" si="1742"/>
        <v>-2.926999999999957</v>
      </c>
      <c r="W198" s="22">
        <f t="shared" si="1742"/>
        <v>-149.99309999999986</v>
      </c>
      <c r="X198" s="22">
        <f t="shared" ref="X198:Y198" si="1743">X196-X197</f>
        <v>-63.389499999999884</v>
      </c>
      <c r="Y198" s="22">
        <f t="shared" si="1743"/>
        <v>-371.86550000000022</v>
      </c>
      <c r="Z198" s="22">
        <f t="shared" ref="Z198:AA198" si="1744">Z196-Z197</f>
        <v>-144.38170000000031</v>
      </c>
      <c r="AA198" s="22">
        <f t="shared" si="1744"/>
        <v>210.79220000000038</v>
      </c>
      <c r="AB198" s="21">
        <f t="shared" ref="AA198:AD198" si="1745">AB196-AB197</f>
        <v>-288.4095072376922</v>
      </c>
      <c r="AC198" s="21">
        <f t="shared" si="1745"/>
        <v>-374.04325131211681</v>
      </c>
      <c r="AD198" s="21">
        <f t="shared" si="1745"/>
        <v>-510.30040952106992</v>
      </c>
      <c r="AE198" s="21">
        <f t="shared" ref="AE198" si="1746">AE196-AE197</f>
        <v>-700.36421169357709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>
        <f t="shared" si="1750"/>
        <v>-10.622293813956063</v>
      </c>
      <c r="AZ198" s="22">
        <f t="shared" si="1750"/>
        <v>-58.554706186043944</v>
      </c>
      <c r="BA198" s="22">
        <f t="shared" si="1750"/>
        <v>0</v>
      </c>
      <c r="BB198" s="22">
        <f t="shared" si="1750"/>
        <v>-1.6959999999999695</v>
      </c>
      <c r="BC198" s="22">
        <f t="shared" si="1750"/>
        <v>-0.45120537454144483</v>
      </c>
      <c r="BD198" s="22">
        <f t="shared" si="1750"/>
        <v>-45.263794625458601</v>
      </c>
      <c r="BE198" s="22">
        <f t="shared" si="1750"/>
        <v>-7.1180277743939655</v>
      </c>
      <c r="BF198" s="22">
        <f t="shared" si="1750"/>
        <v>47.517027774394009</v>
      </c>
      <c r="BG198" s="22">
        <f t="shared" si="1750"/>
        <v>2.9070046685906732</v>
      </c>
      <c r="BH198" s="22">
        <f t="shared" si="1750"/>
        <v>-21.89300466859072</v>
      </c>
      <c r="BI198" s="22">
        <f t="shared" si="1750"/>
        <v>-15.412517370002092</v>
      </c>
      <c r="BJ198" s="22">
        <f t="shared" si="1750"/>
        <v>-32.497482629997911</v>
      </c>
      <c r="BK198" s="22">
        <f t="shared" si="1750"/>
        <v>5.8135258433537729</v>
      </c>
      <c r="BL198" s="22">
        <f t="shared" si="1750"/>
        <v>-89.986525843353832</v>
      </c>
      <c r="BM198" s="22">
        <f t="shared" si="1750"/>
        <v>-40.339920416643906</v>
      </c>
      <c r="BN198" s="22">
        <f t="shared" si="1750"/>
        <v>-28.306079583355992</v>
      </c>
      <c r="BO198" s="22">
        <f t="shared" si="1750"/>
        <v>88.219960922179553</v>
      </c>
      <c r="BP198" s="22">
        <f t="shared" si="1750"/>
        <v>-120.84696092217953</v>
      </c>
      <c r="BQ198" s="22">
        <f t="shared" si="1750"/>
        <v>-70.026147507466476</v>
      </c>
      <c r="BR198" s="22">
        <f t="shared" si="1750"/>
        <v>97.14014750746648</v>
      </c>
      <c r="BS198" s="22">
        <f t="shared" si="1750"/>
        <v>21.643274705128022</v>
      </c>
      <c r="BT198" s="22">
        <f t="shared" si="1750"/>
        <v>-157.02827470512801</v>
      </c>
      <c r="BU198" s="22">
        <f t="shared" si="1750"/>
        <v>-48.67514335328508</v>
      </c>
      <c r="BV198" s="22">
        <f t="shared" si="1750"/>
        <v>34.068143353285052</v>
      </c>
      <c r="BW198" s="22">
        <f t="shared" si="1750"/>
        <v>50.149031861706646</v>
      </c>
      <c r="BX198" s="22">
        <f t="shared" si="1750"/>
        <v>-107.92903186170668</v>
      </c>
      <c r="BY198" s="22">
        <f t="shared" si="1750"/>
        <v>-44.924439971998481</v>
      </c>
      <c r="BZ198" s="22">
        <f t="shared" si="1750"/>
        <v>39.316439971998278</v>
      </c>
      <c r="CA198" s="22">
        <f t="shared" si="1750"/>
        <v>64.727248762308363</v>
      </c>
      <c r="CB198" s="22">
        <f t="shared" si="1750"/>
        <v>-317.04224876230813</v>
      </c>
      <c r="CC198" s="22">
        <f t="shared" si="1750"/>
        <v>-37.738170400207764</v>
      </c>
      <c r="CD198" s="22">
        <f t="shared" si="1750"/>
        <v>-81.812829599792167</v>
      </c>
      <c r="CE198" s="22">
        <f t="shared" ref="CE198:CF198" si="1751">CE196-CE197</f>
        <v>16.059109418218213</v>
      </c>
      <c r="CF198" s="22">
        <f t="shared" si="1751"/>
        <v>-73.067109418218195</v>
      </c>
      <c r="CG198" s="22">
        <f t="shared" ref="CG198:CH198" si="1752">CG196-CG197</f>
        <v>-24.489568876009912</v>
      </c>
      <c r="CH198" s="22">
        <f t="shared" si="1752"/>
        <v>-62.885331123990454</v>
      </c>
      <c r="CI198" s="22">
        <f t="shared" ref="CI198:CJ198" si="1753">CI196-CI197</f>
        <v>215.41842729537086</v>
      </c>
      <c r="CJ198" s="22">
        <f t="shared" si="1753"/>
        <v>-273.6815272953703</v>
      </c>
      <c r="CK198" s="21">
        <f t="shared" ref="CK198:DB198" si="1754">CK196-CK197</f>
        <v>-154.7202356295511</v>
      </c>
      <c r="CL198" s="22">
        <f t="shared" si="1754"/>
        <v>423.77523562955071</v>
      </c>
      <c r="CM198" s="21">
        <f t="shared" si="1754"/>
        <v>298.06553173004204</v>
      </c>
      <c r="CN198" s="21">
        <f t="shared" si="1754"/>
        <v>-191.76670209360191</v>
      </c>
      <c r="CO198" s="21">
        <f t="shared" si="1754"/>
        <v>-112.83801871969081</v>
      </c>
      <c r="CP198" s="21">
        <f t="shared" si="1754"/>
        <v>-281.87001815444137</v>
      </c>
      <c r="CQ198" s="21">
        <f t="shared" si="1754"/>
        <v>445.21804080222614</v>
      </c>
      <c r="CR198" s="21">
        <f t="shared" si="1754"/>
        <v>-273.48033262683725</v>
      </c>
      <c r="CS198" s="21">
        <f t="shared" si="1754"/>
        <v>-159.09968065408339</v>
      </c>
      <c r="CT198" s="21">
        <f t="shared" si="1754"/>
        <v>-386.68127883342231</v>
      </c>
      <c r="CU198" s="21">
        <f t="shared" si="1754"/>
        <v>617.15511782687759</v>
      </c>
      <c r="CV198" s="21">
        <f t="shared" si="1754"/>
        <v>-378.6127272255319</v>
      </c>
      <c r="CW198" s="21">
        <f t="shared" si="1754"/>
        <v>-218.93004990189456</v>
      </c>
      <c r="CX198" s="21">
        <f t="shared" si="1754"/>
        <v>-529.91275022052105</v>
      </c>
      <c r="CY198" s="21">
        <f t="shared" si="1754"/>
        <v>847.92960040503021</v>
      </c>
      <c r="CZ198" s="21">
        <f t="shared" si="1754"/>
        <v>-520.64191458730602</v>
      </c>
      <c r="DA198" s="21">
        <f t="shared" si="1754"/>
        <v>-300.48718755996242</v>
      </c>
      <c r="DB198" s="21">
        <f t="shared" si="1754"/>
        <v>-727.16470995133886</v>
      </c>
      <c r="DE198" s="126"/>
      <c r="DF198" s="22">
        <v>119.28023642892299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0</v>
      </c>
      <c r="K199" s="22">
        <f t="shared" si="1755"/>
        <v>0</v>
      </c>
      <c r="L199" s="22">
        <f t="shared" si="1755"/>
        <v>0</v>
      </c>
      <c r="M199" s="22">
        <f t="shared" si="1755"/>
        <v>24.306999999999981</v>
      </c>
      <c r="N199" s="22">
        <f t="shared" si="1755"/>
        <v>27.854000000000042</v>
      </c>
      <c r="O199" s="22">
        <f t="shared" si="1755"/>
        <v>23.798999999999971</v>
      </c>
      <c r="P199" s="22">
        <f t="shared" si="1755"/>
        <v>34.751999999999995</v>
      </c>
      <c r="Q199" s="22">
        <f t="shared" si="1755"/>
        <v>47.658099999999926</v>
      </c>
      <c r="R199" s="22">
        <f t="shared" si="1755"/>
        <v>-22.445899999999938</v>
      </c>
      <c r="S199" s="22">
        <f t="shared" si="1755"/>
        <v>71.426299999999941</v>
      </c>
      <c r="T199" s="22">
        <f t="shared" si="1755"/>
        <v>47.710299999999918</v>
      </c>
      <c r="U199" s="22">
        <f t="shared" si="1755"/>
        <v>1.0423999999999012</v>
      </c>
      <c r="V199" s="22">
        <f t="shared" si="1755"/>
        <v>104.23709999999991</v>
      </c>
      <c r="W199" s="22">
        <f t="shared" si="1755"/>
        <v>48.711999999999961</v>
      </c>
      <c r="X199" s="22">
        <f t="shared" ref="X199:Y199" si="1756">X195+X198</f>
        <v>108.55690000000004</v>
      </c>
      <c r="Y199" s="22">
        <f t="shared" si="1756"/>
        <v>-184.02480000000008</v>
      </c>
      <c r="Z199" s="22">
        <f t="shared" ref="Z199:AA199" si="1757">Z195+Z198</f>
        <v>-15.312300000000505</v>
      </c>
      <c r="AA199" s="22">
        <f t="shared" si="1757"/>
        <v>352.87720000000013</v>
      </c>
      <c r="AB199" s="21">
        <f t="shared" ref="AA199:AD199" si="1758">AB195+AB198</f>
        <v>-49.331400581781793</v>
      </c>
      <c r="AC199" s="21">
        <f t="shared" si="1758"/>
        <v>-71.269321775940284</v>
      </c>
      <c r="AD199" s="21">
        <f t="shared" si="1758"/>
        <v>-115.19332494938169</v>
      </c>
      <c r="AE199" s="21">
        <f t="shared" ref="AE199" si="1759">AE195+AE198</f>
        <v>-175.56124155068005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>
        <f t="shared" si="1763"/>
        <v>-1.4292938139560647</v>
      </c>
      <c r="AZ199" s="22">
        <f t="shared" si="1763"/>
        <v>-50.442706186043935</v>
      </c>
      <c r="BA199" s="22">
        <f t="shared" si="1763"/>
        <v>9.2549999999999955</v>
      </c>
      <c r="BB199" s="22">
        <f t="shared" si="1763"/>
        <v>20.91100000000003</v>
      </c>
      <c r="BC199" s="22">
        <f t="shared" si="1763"/>
        <v>14.949794625458539</v>
      </c>
      <c r="BD199" s="22">
        <f t="shared" si="1763"/>
        <v>-30.3177946254586</v>
      </c>
      <c r="BE199" s="22">
        <f t="shared" si="1763"/>
        <v>10.824972225606047</v>
      </c>
      <c r="BF199" s="22">
        <f t="shared" si="1763"/>
        <v>74.768027774394056</v>
      </c>
      <c r="BG199" s="22">
        <f t="shared" si="1763"/>
        <v>28.816004668590683</v>
      </c>
      <c r="BH199" s="22">
        <f t="shared" si="1763"/>
        <v>1.2549953314092761</v>
      </c>
      <c r="BI199" s="22">
        <f t="shared" si="1763"/>
        <v>11.947482629997882</v>
      </c>
      <c r="BJ199" s="22">
        <f t="shared" si="1763"/>
        <v>4.8345173700020965</v>
      </c>
      <c r="BK199" s="22">
        <f t="shared" si="1763"/>
        <v>37.026525843353753</v>
      </c>
      <c r="BL199" s="22">
        <f t="shared" si="1763"/>
        <v>-51.255525843353823</v>
      </c>
      <c r="BM199" s="22">
        <f t="shared" si="1763"/>
        <v>3.1670795833560774</v>
      </c>
      <c r="BN199" s="22">
        <f t="shared" si="1763"/>
        <v>13.413920416644014</v>
      </c>
      <c r="BO199" s="22">
        <f t="shared" si="1763"/>
        <v>90.942960922179552</v>
      </c>
      <c r="BP199" s="22">
        <f t="shared" si="1763"/>
        <v>-100.50596092217953</v>
      </c>
      <c r="BQ199" s="22">
        <f t="shared" si="1763"/>
        <v>-34.422147507466519</v>
      </c>
      <c r="BR199" s="22">
        <f t="shared" si="1763"/>
        <v>145.63714750746647</v>
      </c>
      <c r="BS199" s="22">
        <f t="shared" si="1763"/>
        <v>51.971274705128067</v>
      </c>
      <c r="BT199" s="22">
        <f t="shared" si="1763"/>
        <v>-113.60427470512801</v>
      </c>
      <c r="BU199" s="22">
        <f t="shared" si="1763"/>
        <v>10.839856646714978</v>
      </c>
      <c r="BV199" s="22">
        <f t="shared" si="1763"/>
        <v>99.508143353285178</v>
      </c>
      <c r="BW199" s="22">
        <f t="shared" si="1763"/>
        <v>87.909031861706609</v>
      </c>
      <c r="BX199" s="22">
        <f t="shared" si="1763"/>
        <v>-77.325031861706663</v>
      </c>
      <c r="BY199" s="22">
        <f t="shared" si="1763"/>
        <v>0.28256002800150526</v>
      </c>
      <c r="BZ199" s="22">
        <f t="shared" si="1763"/>
        <v>97.690439971998288</v>
      </c>
      <c r="CA199" s="22">
        <f t="shared" si="1763"/>
        <v>114.42124876230832</v>
      </c>
      <c r="CB199" s="22">
        <f t="shared" si="1763"/>
        <v>-264.16424876230809</v>
      </c>
      <c r="CC199" s="22">
        <f t="shared" si="1763"/>
        <v>12.072829599792193</v>
      </c>
      <c r="CD199" s="22">
        <f t="shared" si="1763"/>
        <v>-46.353829599792064</v>
      </c>
      <c r="CE199" s="22">
        <f t="shared" ref="CE199:CF199" si="1764">CE195+CE198</f>
        <v>67.48110941821821</v>
      </c>
      <c r="CF199" s="22">
        <f t="shared" si="1764"/>
        <v>-44.922109418218099</v>
      </c>
      <c r="CG199" s="22">
        <f t="shared" ref="CG199:CH199" si="1765">CG195+CG198</f>
        <v>-0.6995688760098524</v>
      </c>
      <c r="CH199" s="22">
        <f t="shared" si="1765"/>
        <v>-37.17433112399052</v>
      </c>
      <c r="CI199" s="22">
        <f t="shared" ref="CI199:CJ199" si="1766">CI195+CI198</f>
        <v>232.73242729537077</v>
      </c>
      <c r="CJ199" s="22">
        <f t="shared" si="1766"/>
        <v>-237.86452729537038</v>
      </c>
      <c r="CK199" s="21">
        <f t="shared" ref="CK199:DB199" si="1767">CK195+CK198</f>
        <v>-113.22823562955112</v>
      </c>
      <c r="CL199" s="22">
        <f t="shared" si="1767"/>
        <v>471.23723562955087</v>
      </c>
      <c r="CM199" s="21">
        <f t="shared" si="1767"/>
        <v>336.31034935349265</v>
      </c>
      <c r="CN199" s="21">
        <f t="shared" si="1767"/>
        <v>-133.0561556502015</v>
      </c>
      <c r="CO199" s="21">
        <f t="shared" si="1767"/>
        <v>-50.151976984465776</v>
      </c>
      <c r="CP199" s="21">
        <f t="shared" si="1767"/>
        <v>-202.43331730060726</v>
      </c>
      <c r="CQ199" s="21">
        <f t="shared" si="1767"/>
        <v>490.72815187998276</v>
      </c>
      <c r="CR199" s="21">
        <f t="shared" si="1767"/>
        <v>-200.82607690708363</v>
      </c>
      <c r="CS199" s="21">
        <f t="shared" si="1767"/>
        <v>-79.411855841095289</v>
      </c>
      <c r="CT199" s="21">
        <f t="shared" si="1767"/>
        <v>-281.75954090774411</v>
      </c>
      <c r="CU199" s="21">
        <f t="shared" si="1767"/>
        <v>674.062643205006</v>
      </c>
      <c r="CV199" s="21">
        <f t="shared" si="1767"/>
        <v>-284.48300907322687</v>
      </c>
      <c r="CW199" s="21">
        <f t="shared" si="1767"/>
        <v>-114.44984510986171</v>
      </c>
      <c r="CX199" s="21">
        <f t="shared" si="1767"/>
        <v>-390.32311397130036</v>
      </c>
      <c r="CY199" s="21">
        <f t="shared" si="1767"/>
        <v>921.38152174469178</v>
      </c>
      <c r="CZ199" s="21">
        <f t="shared" si="1767"/>
        <v>-395.96174951439423</v>
      </c>
      <c r="DA199" s="21">
        <f t="shared" si="1767"/>
        <v>-161.3215278637069</v>
      </c>
      <c r="DB199" s="21">
        <f t="shared" si="1767"/>
        <v>-539.6594859172717</v>
      </c>
      <c r="DE199" s="126"/>
      <c r="DF199" s="22">
        <v>147.455684299014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0</v>
      </c>
      <c r="L201" s="22">
        <f t="shared" si="1768"/>
        <v>0</v>
      </c>
      <c r="M201" s="22">
        <f t="shared" si="1768"/>
        <v>-21.070999999999998</v>
      </c>
      <c r="N201" s="22">
        <f t="shared" si="1768"/>
        <v>-7.4539999999999971</v>
      </c>
      <c r="O201" s="22">
        <f t="shared" si="1768"/>
        <v>-1.0110000000000046</v>
      </c>
      <c r="P201" s="22">
        <f t="shared" si="1768"/>
        <v>-20.142000000000003</v>
      </c>
      <c r="Q201" s="22">
        <f t="shared" si="1768"/>
        <v>-27.394999999999992</v>
      </c>
      <c r="R201" s="22">
        <f t="shared" si="1768"/>
        <v>-9.2961999999999989</v>
      </c>
      <c r="S201" s="22">
        <f t="shared" si="1768"/>
        <v>-36.054600000000001</v>
      </c>
      <c r="T201" s="22">
        <f t="shared" si="1768"/>
        <v>-47.641900000000007</v>
      </c>
      <c r="U201" s="22">
        <f t="shared" si="1768"/>
        <v>-31.401099999999985</v>
      </c>
      <c r="V201" s="22">
        <f t="shared" si="1768"/>
        <v>-75.591600000000014</v>
      </c>
      <c r="W201" s="22">
        <f t="shared" si="1768"/>
        <v>-81.590100000000007</v>
      </c>
      <c r="X201" s="22">
        <f t="shared" ref="X201:Y201" si="1769">X202+X203</f>
        <v>-89.963299999999947</v>
      </c>
      <c r="Y201" s="22">
        <f t="shared" si="1769"/>
        <v>-132.25050000000005</v>
      </c>
      <c r="Z201" s="22">
        <f t="shared" ref="Z201:AA201" si="1770">Z202+Z203</f>
        <v>-58.033899999999932</v>
      </c>
      <c r="AA201" s="22">
        <f t="shared" si="1770"/>
        <v>-190.40850000000003</v>
      </c>
      <c r="AB201" s="21">
        <f t="shared" ref="AA201:AD201" si="1771">AB202+AB203</f>
        <v>-4.9999999998151523E-4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-56.213999999999999</v>
      </c>
      <c r="AY201" s="22">
        <f t="shared" si="1776"/>
        <v>-1.6940000000000026</v>
      </c>
      <c r="AZ201" s="22">
        <f t="shared" si="1776"/>
        <v>52.709999999999994</v>
      </c>
      <c r="BA201" s="22">
        <f t="shared" si="1776"/>
        <v>-1.9370000000000001</v>
      </c>
      <c r="BB201" s="22">
        <f t="shared" si="1776"/>
        <v>-58.013999999999996</v>
      </c>
      <c r="BC201" s="22">
        <f t="shared" si="1776"/>
        <v>-1.8389999999999986</v>
      </c>
      <c r="BD201" s="22">
        <f t="shared" si="1776"/>
        <v>5.5579999999999989</v>
      </c>
      <c r="BE201" s="22">
        <f t="shared" si="1776"/>
        <v>-2.7659999999999982</v>
      </c>
      <c r="BF201" s="22">
        <f t="shared" si="1776"/>
        <v>-36.705000000000005</v>
      </c>
      <c r="BG201" s="22">
        <f t="shared" si="1776"/>
        <v>-4.8419999999999987</v>
      </c>
      <c r="BH201" s="22">
        <f t="shared" si="1776"/>
        <v>-32.565999999999988</v>
      </c>
      <c r="BI201" s="22">
        <f t="shared" si="1776"/>
        <v>-6.2210000000000036</v>
      </c>
      <c r="BJ201" s="22">
        <f t="shared" si="1776"/>
        <v>-4.0130000000000035</v>
      </c>
      <c r="BK201" s="22">
        <f t="shared" si="1776"/>
        <v>-5.8840000000000003</v>
      </c>
      <c r="BL201" s="22">
        <f t="shared" si="1776"/>
        <v>-3.8299999999999841</v>
      </c>
      <c r="BM201" s="22">
        <f t="shared" si="1776"/>
        <v>-6.9839999999999947</v>
      </c>
      <c r="BN201" s="22">
        <f t="shared" si="1776"/>
        <v>-14.703000000000017</v>
      </c>
      <c r="BO201" s="22">
        <f t="shared" si="1776"/>
        <v>-6.1659999999999968</v>
      </c>
      <c r="BP201" s="22">
        <f t="shared" si="1776"/>
        <v>-32.40100000000001</v>
      </c>
      <c r="BQ201" s="22">
        <f t="shared" si="1776"/>
        <v>-6.438999999999993</v>
      </c>
      <c r="BR201" s="22">
        <f t="shared" si="1776"/>
        <v>-30.58499999999999</v>
      </c>
      <c r="BS201" s="22">
        <f t="shared" si="1776"/>
        <v>-5.4190000000000111</v>
      </c>
      <c r="BT201" s="22">
        <f t="shared" si="1776"/>
        <v>-56.978000000000009</v>
      </c>
      <c r="BU201" s="22">
        <f t="shared" si="1776"/>
        <v>-9.3830000000000098</v>
      </c>
      <c r="BV201" s="22">
        <f t="shared" si="1776"/>
        <v>-9.8100000000000023</v>
      </c>
      <c r="BW201" s="22">
        <f t="shared" si="1776"/>
        <v>-8.7230000000000132</v>
      </c>
      <c r="BX201" s="22">
        <f t="shared" si="1776"/>
        <v>-0.96099999999998431</v>
      </c>
      <c r="BY201" s="22">
        <f t="shared" si="1776"/>
        <v>-9.8470000000000084</v>
      </c>
      <c r="BZ201" s="22">
        <f t="shared" si="1776"/>
        <v>-70.432999999999993</v>
      </c>
      <c r="CA201" s="22">
        <f t="shared" si="1776"/>
        <v>-11.847000000000008</v>
      </c>
      <c r="CB201" s="22">
        <f t="shared" si="1776"/>
        <v>-80.021000000000015</v>
      </c>
      <c r="CC201" s="22">
        <f t="shared" si="1776"/>
        <v>-18.725999999999999</v>
      </c>
      <c r="CD201" s="22">
        <f t="shared" si="1776"/>
        <v>-21.656000000000006</v>
      </c>
      <c r="CE201" s="22">
        <f t="shared" ref="CE201:CF201" si="1777">CE202+CE203</f>
        <v>-16.738</v>
      </c>
      <c r="CF201" s="22">
        <f t="shared" si="1777"/>
        <v>-10.103000000000009</v>
      </c>
      <c r="CG201" s="22">
        <f t="shared" ref="CG201:CH201" si="1778">CG202+CG203</f>
        <v>-18.73599999999999</v>
      </c>
      <c r="CH201" s="22">
        <f t="shared" si="1778"/>
        <v>-12.455199999999941</v>
      </c>
      <c r="CI201" s="22">
        <f t="shared" ref="CI201:CJ201" si="1779">CI202+CI203</f>
        <v>0</v>
      </c>
      <c r="CJ201" s="22">
        <f t="shared" si="1779"/>
        <v>-88.393799999999999</v>
      </c>
      <c r="CK201" s="21">
        <f t="shared" ref="CK201:DB201" si="1780">CK202+CK203</f>
        <v>0</v>
      </c>
      <c r="CL201" s="22">
        <f t="shared" si="1780"/>
        <v>-102.01499999999997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-0.214</v>
      </c>
      <c r="N202" s="23">
        <f t="shared" si="1781"/>
        <v>-3.2789999999999999</v>
      </c>
      <c r="O202" s="23">
        <f t="shared" si="1781"/>
        <v>2.6929999999999996</v>
      </c>
      <c r="P202" s="23">
        <f t="shared" si="1781"/>
        <v>-2.6999999999999913E-2</v>
      </c>
      <c r="Q202" s="23">
        <f t="shared" si="1781"/>
        <v>-9.3700000000000006E-2</v>
      </c>
      <c r="R202" s="23">
        <f t="shared" si="1781"/>
        <v>-2.9036999999999997</v>
      </c>
      <c r="S202" s="23">
        <f t="shared" si="1781"/>
        <v>3.1675999999999997</v>
      </c>
      <c r="T202" s="23">
        <f t="shared" si="1781"/>
        <v>0</v>
      </c>
      <c r="U202" s="23">
        <f t="shared" si="1781"/>
        <v>0</v>
      </c>
      <c r="V202" s="23">
        <f t="shared" si="1781"/>
        <v>-9.9999999999998979E-3</v>
      </c>
      <c r="W202" s="23">
        <f t="shared" si="1781"/>
        <v>0</v>
      </c>
      <c r="X202" s="23">
        <f t="shared" si="1781"/>
        <v>0</v>
      </c>
      <c r="Y202" s="23">
        <f t="shared" si="1781"/>
        <v>0</v>
      </c>
      <c r="Z202" s="23">
        <f t="shared" si="1781"/>
        <v>0</v>
      </c>
      <c r="AA202" s="23">
        <f t="shared" si="1781"/>
        <v>9.9999999999998979E-3</v>
      </c>
      <c r="AB202" s="24">
        <f t="shared" ref="AB202" si="1782">AA140-AB140</f>
        <v>-1.9999999999997797E-4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-0.92100000000000004</v>
      </c>
      <c r="AY202" s="23">
        <f t="shared" ref="AY202" si="1802">AX140-AY140</f>
        <v>0</v>
      </c>
      <c r="AZ202" s="23">
        <f t="shared" ref="AZ202" si="1803">AY140-AZ140</f>
        <v>0.92100000000000004</v>
      </c>
      <c r="BA202" s="23">
        <f t="shared" ref="BA202" si="1804">AZ140-BA140</f>
        <v>0</v>
      </c>
      <c r="BB202" s="23">
        <f t="shared" ref="BB202" si="1805">BA140-BB140</f>
        <v>-3.8239999999999998</v>
      </c>
      <c r="BC202" s="23">
        <f t="shared" ref="BC202" si="1806">BB140-BC140</f>
        <v>0</v>
      </c>
      <c r="BD202" s="23">
        <f t="shared" ref="BD202" si="1807">BC140-BD140</f>
        <v>-3.7350000000000003</v>
      </c>
      <c r="BE202" s="23">
        <f t="shared" ref="BE202" si="1808">BD140-BE140</f>
        <v>0</v>
      </c>
      <c r="BF202" s="23">
        <f t="shared" ref="BF202" si="1809">BE140-BF140</f>
        <v>6.9020000000000001</v>
      </c>
      <c r="BG202" s="23">
        <f t="shared" ref="BG202" si="1810">BF140-BG140</f>
        <v>0</v>
      </c>
      <c r="BH202" s="23">
        <f t="shared" ref="BH202" si="1811">BG140-BH140</f>
        <v>-7.077</v>
      </c>
      <c r="BI202" s="23">
        <f t="shared" ref="BI202" si="1812">BH140-BI140</f>
        <v>0</v>
      </c>
      <c r="BJ202" s="23">
        <f t="shared" ref="BJ202" si="1813">BI140-BJ140</f>
        <v>7.077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-1.0000000000000009E-2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2.00000000000089E-4</v>
      </c>
      <c r="CI202" s="23">
        <f t="shared" si="1837"/>
        <v>0</v>
      </c>
      <c r="CJ202" s="23">
        <f t="shared" si="1837"/>
        <v>-2.00000000000089E-4</v>
      </c>
      <c r="CK202" s="24">
        <f t="shared" ref="CK202" si="1838">CJ140-CK140</f>
        <v>0</v>
      </c>
      <c r="CL202" s="23">
        <f t="shared" si="1837"/>
        <v>1.0000000000000009E-2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0</v>
      </c>
      <c r="L203" s="23">
        <f t="shared" si="1855"/>
        <v>0</v>
      </c>
      <c r="M203" s="23">
        <f t="shared" si="1855"/>
        <v>-20.856999999999999</v>
      </c>
      <c r="N203" s="23">
        <f t="shared" si="1855"/>
        <v>-4.1749999999999972</v>
      </c>
      <c r="O203" s="23">
        <f t="shared" si="1855"/>
        <v>-3.7040000000000042</v>
      </c>
      <c r="P203" s="23">
        <f t="shared" si="1855"/>
        <v>-20.115000000000002</v>
      </c>
      <c r="Q203" s="23">
        <f t="shared" si="1855"/>
        <v>-27.301299999999994</v>
      </c>
      <c r="R203" s="23">
        <f t="shared" si="1855"/>
        <v>-6.3924999999999983</v>
      </c>
      <c r="S203" s="23">
        <f t="shared" si="1855"/>
        <v>-39.222200000000001</v>
      </c>
      <c r="T203" s="23">
        <f t="shared" si="1855"/>
        <v>-47.641900000000007</v>
      </c>
      <c r="U203" s="23">
        <f t="shared" si="1855"/>
        <v>-31.401099999999985</v>
      </c>
      <c r="V203" s="23">
        <f t="shared" si="1855"/>
        <v>-75.581600000000009</v>
      </c>
      <c r="W203" s="23">
        <f t="shared" si="1855"/>
        <v>-81.590100000000007</v>
      </c>
      <c r="X203" s="23">
        <f t="shared" si="1855"/>
        <v>-89.963299999999947</v>
      </c>
      <c r="Y203" s="23">
        <f t="shared" si="1855"/>
        <v>-132.25050000000005</v>
      </c>
      <c r="Z203" s="23">
        <f t="shared" si="1855"/>
        <v>-58.033899999999932</v>
      </c>
      <c r="AA203" s="23">
        <f t="shared" si="1855"/>
        <v>-190.41850000000002</v>
      </c>
      <c r="AB203" s="24">
        <f t="shared" si="1855"/>
        <v>-2.9999999998153726E-4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-55.292999999999999</v>
      </c>
      <c r="AY203" s="23">
        <f t="shared" si="1856"/>
        <v>-1.6940000000000026</v>
      </c>
      <c r="AZ203" s="23">
        <f t="shared" si="1856"/>
        <v>51.788999999999994</v>
      </c>
      <c r="BA203" s="23">
        <f t="shared" si="1856"/>
        <v>-1.9370000000000001</v>
      </c>
      <c r="BB203" s="23">
        <f t="shared" si="1856"/>
        <v>-54.19</v>
      </c>
      <c r="BC203" s="23">
        <f t="shared" si="1856"/>
        <v>-1.8389999999999986</v>
      </c>
      <c r="BD203" s="23">
        <f t="shared" si="1856"/>
        <v>9.2929999999999993</v>
      </c>
      <c r="BE203" s="23">
        <f t="shared" si="1856"/>
        <v>-2.7659999999999982</v>
      </c>
      <c r="BF203" s="23">
        <f t="shared" si="1856"/>
        <v>-43.607000000000006</v>
      </c>
      <c r="BG203" s="23">
        <f t="shared" si="1856"/>
        <v>-4.8419999999999987</v>
      </c>
      <c r="BH203" s="23">
        <f t="shared" si="1856"/>
        <v>-25.48899999999999</v>
      </c>
      <c r="BI203" s="23">
        <f t="shared" si="1856"/>
        <v>-6.2210000000000036</v>
      </c>
      <c r="BJ203" s="23">
        <f t="shared" si="1856"/>
        <v>-11.090000000000003</v>
      </c>
      <c r="BK203" s="23">
        <f t="shared" si="1856"/>
        <v>-5.8840000000000003</v>
      </c>
      <c r="BL203" s="23">
        <f t="shared" si="1856"/>
        <v>-3.8299999999999841</v>
      </c>
      <c r="BM203" s="23">
        <f t="shared" si="1856"/>
        <v>-6.9839999999999947</v>
      </c>
      <c r="BN203" s="23">
        <f t="shared" si="1856"/>
        <v>-14.703000000000017</v>
      </c>
      <c r="BO203" s="23">
        <f t="shared" ref="BO203:CT203" si="1857">BN138-BO32-BO138</f>
        <v>-6.1659999999999968</v>
      </c>
      <c r="BP203" s="23">
        <f t="shared" si="1857"/>
        <v>-32.40100000000001</v>
      </c>
      <c r="BQ203" s="23">
        <f t="shared" si="1857"/>
        <v>-6.438999999999993</v>
      </c>
      <c r="BR203" s="23">
        <f t="shared" si="1857"/>
        <v>-30.574999999999989</v>
      </c>
      <c r="BS203" s="23">
        <f t="shared" si="1857"/>
        <v>-5.4190000000000111</v>
      </c>
      <c r="BT203" s="23">
        <f t="shared" si="1857"/>
        <v>-56.978000000000009</v>
      </c>
      <c r="BU203" s="23">
        <f t="shared" si="1857"/>
        <v>-9.3830000000000098</v>
      </c>
      <c r="BV203" s="23">
        <f t="shared" si="1857"/>
        <v>-9.8100000000000023</v>
      </c>
      <c r="BW203" s="23">
        <f t="shared" si="1857"/>
        <v>-8.7230000000000132</v>
      </c>
      <c r="BX203" s="23">
        <f t="shared" si="1857"/>
        <v>-0.96099999999998431</v>
      </c>
      <c r="BY203" s="23">
        <f t="shared" si="1857"/>
        <v>-9.8470000000000084</v>
      </c>
      <c r="BZ203" s="23">
        <f t="shared" si="1857"/>
        <v>-70.432999999999993</v>
      </c>
      <c r="CA203" s="23">
        <f t="shared" si="1857"/>
        <v>-11.847000000000008</v>
      </c>
      <c r="CB203" s="23">
        <f t="shared" si="1857"/>
        <v>-80.021000000000015</v>
      </c>
      <c r="CC203" s="23">
        <f t="shared" si="1857"/>
        <v>-18.725999999999999</v>
      </c>
      <c r="CD203" s="23">
        <f t="shared" si="1857"/>
        <v>-21.656000000000006</v>
      </c>
      <c r="CE203" s="23">
        <f t="shared" si="1857"/>
        <v>-16.738</v>
      </c>
      <c r="CF203" s="23">
        <f t="shared" si="1857"/>
        <v>-10.103000000000009</v>
      </c>
      <c r="CG203" s="23">
        <f t="shared" si="1857"/>
        <v>-18.73599999999999</v>
      </c>
      <c r="CH203" s="23">
        <f t="shared" si="1857"/>
        <v>-12.455399999999941</v>
      </c>
      <c r="CI203" s="23">
        <f t="shared" si="1857"/>
        <v>0</v>
      </c>
      <c r="CJ203" s="23">
        <f t="shared" si="1857"/>
        <v>-88.393599999999992</v>
      </c>
      <c r="CK203" s="24">
        <f t="shared" si="1857"/>
        <v>0</v>
      </c>
      <c r="CL203" s="23">
        <f t="shared" si="1857"/>
        <v>-102.02499999999998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</v>
      </c>
      <c r="K205" s="22">
        <f t="shared" si="1859"/>
        <v>0</v>
      </c>
      <c r="L205" s="22">
        <f t="shared" si="1859"/>
        <v>0</v>
      </c>
      <c r="M205" s="22">
        <f t="shared" si="1859"/>
        <v>32.799000000000014</v>
      </c>
      <c r="N205" s="22">
        <f t="shared" si="1859"/>
        <v>-11.821000000000025</v>
      </c>
      <c r="O205" s="22">
        <f t="shared" si="1859"/>
        <v>9.1510000000000176</v>
      </c>
      <c r="P205" s="22">
        <f t="shared" si="1859"/>
        <v>5.4749999999999979</v>
      </c>
      <c r="Q205" s="22">
        <f t="shared" si="1859"/>
        <v>8.134500000000056</v>
      </c>
      <c r="R205" s="22">
        <f t="shared" si="1859"/>
        <v>27.449299999999983</v>
      </c>
      <c r="S205" s="22">
        <f t="shared" si="1859"/>
        <v>86.954100000000096</v>
      </c>
      <c r="T205" s="22">
        <f t="shared" si="1859"/>
        <v>-20.932699999999929</v>
      </c>
      <c r="U205" s="22">
        <f t="shared" si="1859"/>
        <v>4.9994000000000298</v>
      </c>
      <c r="V205" s="22">
        <f t="shared" si="1859"/>
        <v>3.5365000000001086</v>
      </c>
      <c r="W205" s="22">
        <f t="shared" si="1859"/>
        <v>0.19700000000014484</v>
      </c>
      <c r="X205" s="22">
        <f t="shared" ref="X205:Y205" si="1860">X206+X207</f>
        <v>27.416400000000067</v>
      </c>
      <c r="Y205" s="22">
        <f t="shared" si="1860"/>
        <v>301.01349999999996</v>
      </c>
      <c r="Z205" s="22">
        <f t="shared" ref="Z205:AA205" si="1861">Z206+Z207</f>
        <v>54.092400000000282</v>
      </c>
      <c r="AA205" s="22">
        <f t="shared" si="1861"/>
        <v>45.191200000000151</v>
      </c>
      <c r="AB205" s="21">
        <f t="shared" ref="AA205:AD205" si="1862">AB206+AB207</f>
        <v>5.9999999973570084E-4</v>
      </c>
      <c r="AC205" s="21">
        <f t="shared" si="1862"/>
        <v>2.2737367544323206E-13</v>
      </c>
      <c r="AD205" s="21">
        <f t="shared" si="1862"/>
        <v>-1.1368683772161603E-12</v>
      </c>
      <c r="AE205" s="21">
        <f t="shared" ref="AE205" si="1863">AE206+AE207</f>
        <v>-1.1368683772161603E-12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104.45999999999998</v>
      </c>
      <c r="AY205" s="22">
        <f t="shared" si="1867"/>
        <v>1.4210854715202004E-14</v>
      </c>
      <c r="AZ205" s="22">
        <f t="shared" si="1867"/>
        <v>-124.18</v>
      </c>
      <c r="BA205" s="22">
        <f t="shared" si="1867"/>
        <v>0</v>
      </c>
      <c r="BB205" s="22">
        <f t="shared" si="1867"/>
        <v>150.52800000000002</v>
      </c>
      <c r="BC205" s="22">
        <f t="shared" si="1867"/>
        <v>0</v>
      </c>
      <c r="BD205" s="22">
        <f t="shared" si="1867"/>
        <v>113.47699999999998</v>
      </c>
      <c r="BE205" s="22">
        <f t="shared" si="1867"/>
        <v>0</v>
      </c>
      <c r="BF205" s="22">
        <f t="shared" si="1867"/>
        <v>-25.62300000000004</v>
      </c>
      <c r="BG205" s="22">
        <f t="shared" si="1867"/>
        <v>0</v>
      </c>
      <c r="BH205" s="22">
        <f t="shared" si="1867"/>
        <v>-25.683999999999969</v>
      </c>
      <c r="BI205" s="22">
        <f t="shared" si="1867"/>
        <v>0</v>
      </c>
      <c r="BJ205" s="22">
        <f t="shared" si="1867"/>
        <v>5.6070000000000606</v>
      </c>
      <c r="BK205" s="22">
        <f t="shared" si="1867"/>
        <v>0</v>
      </c>
      <c r="BL205" s="22">
        <f t="shared" si="1867"/>
        <v>23.670000000000012</v>
      </c>
      <c r="BM205" s="22">
        <f t="shared" si="1867"/>
        <v>0</v>
      </c>
      <c r="BN205" s="22">
        <f t="shared" si="1867"/>
        <v>-19.979999999999954</v>
      </c>
      <c r="BO205" s="22">
        <f t="shared" si="1867"/>
        <v>0</v>
      </c>
      <c r="BP205" s="22">
        <f t="shared" si="1867"/>
        <v>40.394999999999982</v>
      </c>
      <c r="BQ205" s="22">
        <f t="shared" si="1867"/>
        <v>0</v>
      </c>
      <c r="BR205" s="22">
        <f t="shared" si="1867"/>
        <v>-34.273999999999944</v>
      </c>
      <c r="BS205" s="22">
        <f t="shared" si="1867"/>
        <v>0</v>
      </c>
      <c r="BT205" s="22">
        <f t="shared" si="1867"/>
        <v>90.369000000000014</v>
      </c>
      <c r="BU205" s="22">
        <f t="shared" si="1867"/>
        <v>0</v>
      </c>
      <c r="BV205" s="22">
        <f t="shared" si="1867"/>
        <v>-90.175000000000253</v>
      </c>
      <c r="BW205" s="22">
        <f t="shared" si="1867"/>
        <v>0</v>
      </c>
      <c r="BX205" s="22">
        <f t="shared" si="1867"/>
        <v>40.214000000000098</v>
      </c>
      <c r="BY205" s="22">
        <f t="shared" si="1867"/>
        <v>0</v>
      </c>
      <c r="BZ205" s="22">
        <f t="shared" si="1867"/>
        <v>-12.797000000000139</v>
      </c>
      <c r="CA205" s="22">
        <f t="shared" si="1867"/>
        <v>0</v>
      </c>
      <c r="CB205" s="22">
        <f t="shared" si="1867"/>
        <v>245.89699999999988</v>
      </c>
      <c r="CC205" s="22">
        <f t="shared" si="1867"/>
        <v>0</v>
      </c>
      <c r="CD205" s="22">
        <f t="shared" si="1867"/>
        <v>55.116000000000156</v>
      </c>
      <c r="CE205" s="22">
        <f t="shared" ref="CE205:CF205" si="1868">CE206+CE207</f>
        <v>0</v>
      </c>
      <c r="CF205" s="22">
        <f t="shared" si="1868"/>
        <v>56.517000000000053</v>
      </c>
      <c r="CG205" s="22">
        <f t="shared" ref="CG205:CH205" si="1869">CG206+CG207</f>
        <v>0</v>
      </c>
      <c r="CH205" s="22">
        <f t="shared" si="1869"/>
        <v>-2.4245999999999981</v>
      </c>
      <c r="CI205" s="22">
        <f t="shared" ref="CI205:CJ205" si="1870">CI206+CI207</f>
        <v>0</v>
      </c>
      <c r="CJ205" s="22">
        <f t="shared" si="1870"/>
        <v>78.178600000000245</v>
      </c>
      <c r="CK205" s="21">
        <f t="shared" ref="CK205:DB205" si="1871">CK206+CK207</f>
        <v>0</v>
      </c>
      <c r="CL205" s="22">
        <f t="shared" si="1871"/>
        <v>-32.987000000000307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25.87</v>
      </c>
      <c r="N206" s="23">
        <f t="shared" si="1872"/>
        <v>-10.885000000000002</v>
      </c>
      <c r="O206" s="23">
        <f t="shared" si="1872"/>
        <v>11.023</v>
      </c>
      <c r="P206" s="23">
        <f t="shared" si="1872"/>
        <v>7.4000000000000021</v>
      </c>
      <c r="Q206" s="23">
        <f t="shared" si="1872"/>
        <v>13.388599999999997</v>
      </c>
      <c r="R206" s="23">
        <f t="shared" si="1872"/>
        <v>28.187100000000001</v>
      </c>
      <c r="S206" s="23">
        <f t="shared" si="1872"/>
        <v>-44.7425</v>
      </c>
      <c r="T206" s="23">
        <f t="shared" si="1872"/>
        <v>0.82639999999999958</v>
      </c>
      <c r="U206" s="23">
        <f t="shared" si="1872"/>
        <v>48.767899999999997</v>
      </c>
      <c r="V206" s="23">
        <f t="shared" si="1872"/>
        <v>4.0319000000000074</v>
      </c>
      <c r="W206" s="23">
        <f t="shared" si="1872"/>
        <v>15.789500000000004</v>
      </c>
      <c r="X206" s="23">
        <f t="shared" si="1872"/>
        <v>45.324399999999969</v>
      </c>
      <c r="Y206" s="23">
        <f t="shared" si="1872"/>
        <v>310.10880000000003</v>
      </c>
      <c r="Z206" s="23">
        <f t="shared" si="1872"/>
        <v>-183.56</v>
      </c>
      <c r="AA206" s="23">
        <f t="shared" si="1872"/>
        <v>45.695400000000006</v>
      </c>
      <c r="AB206" s="24">
        <f t="shared" ref="AB206" si="1873">AB128-AA128</f>
        <v>4.9999999998817657E-4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45.905999999999999</v>
      </c>
      <c r="AY206" s="23">
        <f t="shared" ref="AY206" si="1893">AY128-AX128</f>
        <v>0</v>
      </c>
      <c r="AZ206" s="23">
        <f t="shared" ref="AZ206" si="1894">AZ128-AY128</f>
        <v>-45.905999999999999</v>
      </c>
      <c r="BA206" s="23">
        <f t="shared" ref="BA206" si="1895">BA128-AZ128</f>
        <v>0</v>
      </c>
      <c r="BB206" s="23">
        <f t="shared" ref="BB206" si="1896">BB128-BA128</f>
        <v>73.097000000000008</v>
      </c>
      <c r="BC206" s="23">
        <f t="shared" ref="BC206" si="1897">BC128-BB128</f>
        <v>0</v>
      </c>
      <c r="BD206" s="23">
        <f t="shared" ref="BD206" si="1898">BD128-BC128</f>
        <v>-19.150000000000006</v>
      </c>
      <c r="BE206" s="23">
        <f t="shared" ref="BE206" si="1899">BE128-BD128</f>
        <v>0</v>
      </c>
      <c r="BF206" s="23">
        <f t="shared" ref="BF206" si="1900">BF128-BE128</f>
        <v>-25.852000000000004</v>
      </c>
      <c r="BG206" s="23">
        <f t="shared" ref="BG206" si="1901">BG128-BF128</f>
        <v>0</v>
      </c>
      <c r="BH206" s="23">
        <f t="shared" ref="BH206" si="1902">BH128-BG128</f>
        <v>-4.6379999999999981</v>
      </c>
      <c r="BI206" s="23">
        <f t="shared" ref="BI206" si="1903">BI128-BH128</f>
        <v>0</v>
      </c>
      <c r="BJ206" s="23">
        <f t="shared" ref="BJ206" si="1904">BJ128-BI128</f>
        <v>6.3349999999999973</v>
      </c>
      <c r="BK206" s="23">
        <f t="shared" ref="BK206" si="1905">BK128-BJ128</f>
        <v>0</v>
      </c>
      <c r="BL206" s="23">
        <f t="shared" ref="BL206" si="1906">BL128-BK128</f>
        <v>45.503</v>
      </c>
      <c r="BM206" s="23">
        <f t="shared" ref="BM206" si="1907">BM128-BL128</f>
        <v>0</v>
      </c>
      <c r="BN206" s="23">
        <f t="shared" ref="BN206" si="1908">BN128-BM128</f>
        <v>1.9549999999999983</v>
      </c>
      <c r="BO206" s="23">
        <f t="shared" ref="BO206" si="1909">BO128-BN128</f>
        <v>0</v>
      </c>
      <c r="BP206" s="23">
        <f t="shared" ref="BP206" si="1910">BP128-BO128</f>
        <v>40.559000000000012</v>
      </c>
      <c r="BQ206" s="23">
        <f t="shared" ref="BQ206" si="1911">BQ128-BP128</f>
        <v>0</v>
      </c>
      <c r="BR206" s="23">
        <f t="shared" ref="BR206" si="1912">BR128-BQ128</f>
        <v>-33.942000000000007</v>
      </c>
      <c r="BS206" s="23">
        <f t="shared" ref="BS206" si="1913">BS128-BR128</f>
        <v>0</v>
      </c>
      <c r="BT206" s="23">
        <f t="shared" ref="BT206" si="1914">BT128-BS128</f>
        <v>104.74499999999999</v>
      </c>
      <c r="BU206" s="23">
        <f t="shared" ref="BU206" si="1915">BU128-BT128</f>
        <v>0</v>
      </c>
      <c r="BV206" s="23">
        <f t="shared" ref="BV206" si="1916">BV128-BU128</f>
        <v>-88.954999999999998</v>
      </c>
      <c r="BW206" s="23">
        <f t="shared" ref="BW206" si="1917">BW128-BV128</f>
        <v>0</v>
      </c>
      <c r="BX206" s="23">
        <f t="shared" ref="BX206" si="1918">BX128-BW128</f>
        <v>58.165999999999983</v>
      </c>
      <c r="BY206" s="23">
        <f t="shared" ref="BY206" si="1919">BY128-BX128</f>
        <v>0</v>
      </c>
      <c r="BZ206" s="23">
        <f t="shared" ref="BZ206" si="1920">BZ128-BY128</f>
        <v>-12.841999999999985</v>
      </c>
      <c r="CA206" s="23">
        <f t="shared" ref="CA206" si="1921">CA128-BZ128</f>
        <v>0</v>
      </c>
      <c r="CB206" s="23">
        <f t="shared" ref="CB206" si="1922">CB128-CA128</f>
        <v>254.84999999999997</v>
      </c>
      <c r="CC206" s="23">
        <f t="shared" ref="CC206" si="1923">CC128-CB128</f>
        <v>0</v>
      </c>
      <c r="CD206" s="23">
        <f t="shared" ref="CD206" si="1924">CD128-CC128</f>
        <v>55.259000000000071</v>
      </c>
      <c r="CE206" s="23">
        <f t="shared" ref="CE206" si="1925">CE128-CD128</f>
        <v>0</v>
      </c>
      <c r="CF206" s="23">
        <f t="shared" ref="CF206" si="1926">CF128-CE128</f>
        <v>-181.31200000000001</v>
      </c>
      <c r="CG206" s="23">
        <f t="shared" ref="CG206" si="1927">CG128-CF128</f>
        <v>0</v>
      </c>
      <c r="CH206" s="23">
        <f t="shared" ref="CH206:CL206" si="1928">CH128-CG128</f>
        <v>-2.2479000000000156</v>
      </c>
      <c r="CI206" s="23">
        <f t="shared" si="1928"/>
        <v>0</v>
      </c>
      <c r="CJ206" s="23">
        <f t="shared" si="1928"/>
        <v>78.290900000000022</v>
      </c>
      <c r="CK206" s="24">
        <f t="shared" ref="CK206" si="1929">CK128-CJ128</f>
        <v>0</v>
      </c>
      <c r="CL206" s="23">
        <f t="shared" si="1928"/>
        <v>-32.595000000000027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</v>
      </c>
      <c r="K207" s="23">
        <f t="shared" si="1946"/>
        <v>0</v>
      </c>
      <c r="L207" s="23">
        <f t="shared" si="1946"/>
        <v>0</v>
      </c>
      <c r="M207" s="23">
        <f t="shared" si="1946"/>
        <v>6.9290000000000127</v>
      </c>
      <c r="N207" s="23">
        <f t="shared" si="1946"/>
        <v>-0.93600000000002304</v>
      </c>
      <c r="O207" s="23">
        <f t="shared" si="1946"/>
        <v>-1.8719999999999821</v>
      </c>
      <c r="P207" s="23">
        <f t="shared" si="1946"/>
        <v>-1.9250000000000043</v>
      </c>
      <c r="Q207" s="23">
        <f t="shared" si="1946"/>
        <v>-5.2540999999999407</v>
      </c>
      <c r="R207" s="23">
        <f t="shared" si="1946"/>
        <v>-0.73780000000001733</v>
      </c>
      <c r="S207" s="23">
        <f t="shared" si="1946"/>
        <v>131.6966000000001</v>
      </c>
      <c r="T207" s="23">
        <f t="shared" si="1946"/>
        <v>-21.759099999999929</v>
      </c>
      <c r="U207" s="23">
        <f t="shared" si="1946"/>
        <v>-43.768499999999968</v>
      </c>
      <c r="V207" s="23">
        <f t="shared" si="1946"/>
        <v>-0.49539999999989892</v>
      </c>
      <c r="W207" s="23">
        <f t="shared" si="1946"/>
        <v>-15.592499999999859</v>
      </c>
      <c r="X207" s="23">
        <f t="shared" si="1946"/>
        <v>-17.907999999999902</v>
      </c>
      <c r="Y207" s="23">
        <f t="shared" si="1946"/>
        <v>-9.0953000000000657</v>
      </c>
      <c r="Z207" s="23">
        <f t="shared" si="1946"/>
        <v>237.65240000000028</v>
      </c>
      <c r="AA207" s="23">
        <f t="shared" si="1946"/>
        <v>-0.50419999999985521</v>
      </c>
      <c r="AB207" s="24">
        <f t="shared" si="1946"/>
        <v>9.9999999747524271E-5</v>
      </c>
      <c r="AC207" s="24">
        <f t="shared" si="1946"/>
        <v>2.2737367544323206E-13</v>
      </c>
      <c r="AD207" s="24">
        <f t="shared" si="1946"/>
        <v>-1.1368683772161603E-12</v>
      </c>
      <c r="AE207" s="24">
        <f t="shared" si="1946"/>
        <v>-1.1368683772161603E-12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58.553999999999988</v>
      </c>
      <c r="AY207" s="23">
        <f t="shared" si="1947"/>
        <v>1.4210854715202004E-14</v>
      </c>
      <c r="AZ207" s="23">
        <f t="shared" si="1947"/>
        <v>-78.274000000000015</v>
      </c>
      <c r="BA207" s="23">
        <f t="shared" si="1947"/>
        <v>0</v>
      </c>
      <c r="BB207" s="23">
        <f t="shared" si="1947"/>
        <v>77.430999999999997</v>
      </c>
      <c r="BC207" s="23">
        <f t="shared" si="1947"/>
        <v>0</v>
      </c>
      <c r="BD207" s="23">
        <f t="shared" si="1947"/>
        <v>132.62699999999998</v>
      </c>
      <c r="BE207" s="23">
        <f t="shared" si="1947"/>
        <v>0</v>
      </c>
      <c r="BF207" s="23">
        <f t="shared" si="1947"/>
        <v>0.22899999999996323</v>
      </c>
      <c r="BG207" s="23">
        <f t="shared" si="1947"/>
        <v>0</v>
      </c>
      <c r="BH207" s="23">
        <f t="shared" si="1947"/>
        <v>-21.045999999999971</v>
      </c>
      <c r="BI207" s="23">
        <f t="shared" si="1947"/>
        <v>0</v>
      </c>
      <c r="BJ207" s="23">
        <f t="shared" si="1947"/>
        <v>-0.72799999999993681</v>
      </c>
      <c r="BK207" s="23">
        <f t="shared" si="1947"/>
        <v>0</v>
      </c>
      <c r="BL207" s="23">
        <f t="shared" si="1947"/>
        <v>-21.832999999999988</v>
      </c>
      <c r="BM207" s="23">
        <f t="shared" si="1947"/>
        <v>0</v>
      </c>
      <c r="BN207" s="23">
        <f t="shared" si="1947"/>
        <v>-21.934999999999953</v>
      </c>
      <c r="BO207" s="23">
        <f t="shared" ref="BO207:CT207" si="1948">BO120-BO48-BN120+BO122-BN122</f>
        <v>0</v>
      </c>
      <c r="BP207" s="23">
        <f t="shared" si="1948"/>
        <v>-0.16400000000003012</v>
      </c>
      <c r="BQ207" s="23">
        <f t="shared" si="1948"/>
        <v>0</v>
      </c>
      <c r="BR207" s="23">
        <f t="shared" si="1948"/>
        <v>-0.33199999999993901</v>
      </c>
      <c r="BS207" s="23">
        <f t="shared" si="1948"/>
        <v>0</v>
      </c>
      <c r="BT207" s="23">
        <f t="shared" si="1948"/>
        <v>-14.375999999999976</v>
      </c>
      <c r="BU207" s="23">
        <f t="shared" si="1948"/>
        <v>0</v>
      </c>
      <c r="BV207" s="23">
        <f t="shared" si="1948"/>
        <v>-1.2200000000002547</v>
      </c>
      <c r="BW207" s="23">
        <f t="shared" si="1948"/>
        <v>0</v>
      </c>
      <c r="BX207" s="23">
        <f t="shared" si="1948"/>
        <v>-17.951999999999884</v>
      </c>
      <c r="BY207" s="23">
        <f t="shared" si="1948"/>
        <v>0</v>
      </c>
      <c r="BZ207" s="23">
        <f t="shared" si="1948"/>
        <v>4.4999999999845386E-2</v>
      </c>
      <c r="CA207" s="23">
        <f t="shared" si="1948"/>
        <v>0</v>
      </c>
      <c r="CB207" s="23">
        <f t="shared" si="1948"/>
        <v>-8.9530000000000882</v>
      </c>
      <c r="CC207" s="23">
        <f t="shared" si="1948"/>
        <v>0</v>
      </c>
      <c r="CD207" s="23">
        <f t="shared" si="1948"/>
        <v>-0.14299999999991542</v>
      </c>
      <c r="CE207" s="23">
        <f t="shared" si="1948"/>
        <v>0</v>
      </c>
      <c r="CF207" s="23">
        <f t="shared" si="1948"/>
        <v>237.82900000000006</v>
      </c>
      <c r="CG207" s="23">
        <f t="shared" si="1948"/>
        <v>0</v>
      </c>
      <c r="CH207" s="23">
        <f t="shared" si="1948"/>
        <v>-0.17669999999998254</v>
      </c>
      <c r="CI207" s="23">
        <f t="shared" si="1948"/>
        <v>0</v>
      </c>
      <c r="CJ207" s="23">
        <f t="shared" si="1948"/>
        <v>-0.11229999999977736</v>
      </c>
      <c r="CK207" s="24">
        <f t="shared" si="1948"/>
        <v>0</v>
      </c>
      <c r="CL207" s="23">
        <f t="shared" si="1948"/>
        <v>-0.39200000000028012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0</v>
      </c>
      <c r="L209" s="23">
        <f t="shared" ref="L209" si="1956">K161</f>
        <v>0</v>
      </c>
      <c r="M209" s="23">
        <f t="shared" ref="M209" si="1957">L161</f>
        <v>0</v>
      </c>
      <c r="N209" s="23">
        <f t="shared" ref="N209" si="1958">M161</f>
        <v>36.035000000000004</v>
      </c>
      <c r="O209" s="23">
        <f t="shared" ref="O209" si="1959">N161</f>
        <v>44.613999999999997</v>
      </c>
      <c r="P209" s="23">
        <f t="shared" ref="P209" si="1960">O161</f>
        <v>76.552999999999997</v>
      </c>
      <c r="Q209" s="23">
        <f t="shared" ref="Q209" si="1961">P161</f>
        <v>96.638000000000005</v>
      </c>
      <c r="R209" s="23">
        <f t="shared" ref="R209" si="1962">Q161</f>
        <v>125.0356</v>
      </c>
      <c r="S209" s="23">
        <f t="shared" ref="S209" si="1963">R161</f>
        <v>120.7428</v>
      </c>
      <c r="T209" s="23">
        <f t="shared" ref="T209" si="1964">S161</f>
        <v>243.06859999999998</v>
      </c>
      <c r="U209" s="23">
        <f t="shared" ref="U209" si="1965">T161</f>
        <v>222.20429999999999</v>
      </c>
      <c r="V209" s="23">
        <f t="shared" ref="V209" si="1966">U161</f>
        <v>196.845</v>
      </c>
      <c r="W209" s="23">
        <f t="shared" ref="W209:AA209" si="1967">V161</f>
        <v>229.02699999999999</v>
      </c>
      <c r="X209" s="23">
        <f t="shared" si="1967"/>
        <v>196.3459</v>
      </c>
      <c r="Y209" s="23">
        <f t="shared" si="1967"/>
        <v>242.35589999999999</v>
      </c>
      <c r="Z209" s="23">
        <f t="shared" si="1967"/>
        <v>227.0941</v>
      </c>
      <c r="AA209" s="23">
        <f t="shared" si="1967"/>
        <v>207.84030000000001</v>
      </c>
      <c r="AB209" s="24">
        <f t="shared" ref="AB209" si="1968">AA161</f>
        <v>415.50020000000001</v>
      </c>
      <c r="AC209" s="24">
        <f t="shared" ref="AC209" si="1969">AB161</f>
        <v>366.16889941821813</v>
      </c>
      <c r="AD209" s="24">
        <f t="shared" ref="AD209" si="1970">AC161</f>
        <v>294.89957764227785</v>
      </c>
      <c r="AE209" s="24">
        <f t="shared" ref="AE209" si="1971">AD161</f>
        <v>179.70625269289485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125.036</v>
      </c>
      <c r="AZ209" s="23">
        <f t="shared" ref="AZ209" si="1989">AY161</f>
        <v>121.91270618604395</v>
      </c>
      <c r="BA209" s="23">
        <f t="shared" ref="BA209" si="1990">AZ161</f>
        <v>0</v>
      </c>
      <c r="BB209" s="23">
        <f t="shared" ref="BB209" si="1991">BA161</f>
        <v>7.3179999999999952</v>
      </c>
      <c r="BC209" s="23">
        <f t="shared" ref="BC209" si="1992">BB161</f>
        <v>120.74299999999999</v>
      </c>
      <c r="BD209" s="23">
        <f t="shared" ref="BD209" si="1993">BC161</f>
        <v>133.85379462545853</v>
      </c>
      <c r="BE209" s="23">
        <f t="shared" ref="BE209" si="1994">BD161</f>
        <v>222.572</v>
      </c>
      <c r="BF209" s="23">
        <f t="shared" ref="BF209" si="1995">BE161</f>
        <v>230.63097222560606</v>
      </c>
      <c r="BG209" s="23">
        <f t="shared" ref="BG209" si="1996">BF161</f>
        <v>243.06899999999999</v>
      </c>
      <c r="BH209" s="23">
        <f t="shared" ref="BH209" si="1997">BG161</f>
        <v>267.04300466859064</v>
      </c>
      <c r="BI209" s="23">
        <f t="shared" ref="BI209" si="1998">BH161</f>
        <v>210.05199999999999</v>
      </c>
      <c r="BJ209" s="23">
        <f t="shared" ref="BJ209" si="1999">BI161</f>
        <v>215.77848262999788</v>
      </c>
      <c r="BK209" s="23">
        <f t="shared" ref="BK209" si="2000">BJ161</f>
        <v>222.20400000000001</v>
      </c>
      <c r="BL209" s="23">
        <f t="shared" ref="BL209" si="2001">BK161</f>
        <v>253.34652584335373</v>
      </c>
      <c r="BM209" s="23">
        <f t="shared" ref="BM209" si="2002">BL161</f>
        <v>221.93100000000001</v>
      </c>
      <c r="BN209" s="23">
        <f t="shared" ref="BN209" si="2003">BM161</f>
        <v>218.11407958335607</v>
      </c>
      <c r="BO209" s="23">
        <f t="shared" ref="BO209" si="2004">BN161</f>
        <v>196.845</v>
      </c>
      <c r="BP209" s="23">
        <f t="shared" ref="BP209" si="2005">BO161</f>
        <v>281.62196092217954</v>
      </c>
      <c r="BQ209" s="23">
        <f t="shared" ref="BQ209" si="2006">BP161</f>
        <v>189.11</v>
      </c>
      <c r="BR209" s="23">
        <f t="shared" ref="BR209" si="2007">BQ161</f>
        <v>148.2488524925335</v>
      </c>
      <c r="BS209" s="23">
        <f t="shared" ref="BS209" si="2008">BR161</f>
        <v>229.02699999999999</v>
      </c>
      <c r="BT209" s="23">
        <f t="shared" ref="BT209" si="2009">BS161</f>
        <v>275.57927470512806</v>
      </c>
      <c r="BU209" s="23">
        <f t="shared" ref="BU209" si="2010">BT161</f>
        <v>195.36500000000001</v>
      </c>
      <c r="BV209" s="23">
        <f t="shared" ref="BV209" si="2011">BU161</f>
        <v>196.82185664671499</v>
      </c>
      <c r="BW209" s="23">
        <f t="shared" ref="BW209" si="2012">BV161</f>
        <v>196.346</v>
      </c>
      <c r="BX209" s="23">
        <f t="shared" ref="BX209" si="2013">BW161</f>
        <v>275.53203186170663</v>
      </c>
      <c r="BY209" s="23">
        <f t="shared" ref="BY209" si="2014">BX161</f>
        <v>237.459</v>
      </c>
      <c r="BZ209" s="23">
        <f t="shared" ref="BZ209" si="2015">BY161</f>
        <v>227.89456002800151</v>
      </c>
      <c r="CA209" s="23">
        <f t="shared" ref="CA209" si="2016">BZ161</f>
        <v>242.35599999999999</v>
      </c>
      <c r="CB209" s="23">
        <f t="shared" ref="CB209" si="2017">CA161</f>
        <v>344.93024876230834</v>
      </c>
      <c r="CC209" s="23">
        <f t="shared" ref="CC209" si="2018">CB161</f>
        <v>246.64099999999999</v>
      </c>
      <c r="CD209" s="23">
        <f t="shared" ref="CD209" si="2019">CC161</f>
        <v>239.98782959979218</v>
      </c>
      <c r="CE209" s="23">
        <f t="shared" ref="CE209" si="2020">CD161</f>
        <v>227.09399999999999</v>
      </c>
      <c r="CF209" s="23">
        <f t="shared" ref="CF209" si="2021">CE161</f>
        <v>277.83710941821823</v>
      </c>
      <c r="CG209" s="23">
        <f t="shared" ref="CG209" si="2022">CF161</f>
        <v>279.32900000000001</v>
      </c>
      <c r="CH209" s="23">
        <f t="shared" ref="CH209:CL209" si="2023">CG161</f>
        <v>259.89343112399018</v>
      </c>
      <c r="CI209" s="23">
        <f t="shared" si="2023"/>
        <v>207.84030000000001</v>
      </c>
      <c r="CJ209" s="23">
        <f t="shared" si="2023"/>
        <v>440.57272729537078</v>
      </c>
      <c r="CK209" s="24">
        <f t="shared" ref="CK209" si="2024">CJ161</f>
        <v>192.49299999999999</v>
      </c>
      <c r="CL209" s="23">
        <f t="shared" si="2023"/>
        <v>79.264764370448873</v>
      </c>
      <c r="CM209" s="24">
        <f t="shared" ref="CM209" si="2025">CL161</f>
        <v>415.5</v>
      </c>
      <c r="CN209" s="24">
        <f t="shared" ref="CN209" si="2026">CM161</f>
        <v>751.81034935349271</v>
      </c>
      <c r="CO209" s="24">
        <f t="shared" ref="CO209" si="2027">CN161</f>
        <v>618.75419370329121</v>
      </c>
      <c r="CP209" s="24">
        <f t="shared" ref="CP209" si="2028">CO161</f>
        <v>568.60221671882539</v>
      </c>
      <c r="CQ209" s="24">
        <f t="shared" ref="CQ209" si="2029">CP161</f>
        <v>366.16889941821813</v>
      </c>
      <c r="CR209" s="24">
        <f t="shared" ref="CR209" si="2030">CQ161</f>
        <v>856.89705129820095</v>
      </c>
      <c r="CS209" s="24">
        <f t="shared" ref="CS209" si="2031">CR161</f>
        <v>656.07097439111726</v>
      </c>
      <c r="CT209" s="24">
        <f t="shared" ref="CT209" si="2032">CS161</f>
        <v>576.65911855002196</v>
      </c>
      <c r="CU209" s="24">
        <f t="shared" ref="CU209" si="2033">CT161</f>
        <v>294.89957764227785</v>
      </c>
      <c r="CV209" s="24">
        <f t="shared" ref="CV209" si="2034">CU161</f>
        <v>968.96222084728379</v>
      </c>
      <c r="CW209" s="24">
        <f t="shared" ref="CW209" si="2035">CV161</f>
        <v>684.47921177405692</v>
      </c>
      <c r="CX209" s="24">
        <f t="shared" ref="CX209" si="2036">CW161</f>
        <v>570.02936666419521</v>
      </c>
      <c r="CY209" s="24">
        <f t="shared" ref="CY209" si="2037">CX161</f>
        <v>179.70625269289485</v>
      </c>
      <c r="CZ209" s="24">
        <f t="shared" ref="CZ209" si="2038">CY161</f>
        <v>1101.0877744375866</v>
      </c>
      <c r="DA209" s="24">
        <f t="shared" ref="DA209" si="2039">CZ161</f>
        <v>705.1260249231924</v>
      </c>
      <c r="DB209" s="24">
        <f t="shared" ref="DB209" si="2040">DA161</f>
        <v>543.80449705948547</v>
      </c>
      <c r="DE209" s="123"/>
      <c r="DF209" s="23">
        <v>79.264764370448873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36.034999999999997</v>
      </c>
      <c r="N210" s="23">
        <f t="shared" si="2041"/>
        <v>44.614000000000019</v>
      </c>
      <c r="O210" s="23">
        <f t="shared" si="2041"/>
        <v>76.552999999999983</v>
      </c>
      <c r="P210" s="23">
        <f t="shared" si="2041"/>
        <v>96.637999999999977</v>
      </c>
      <c r="Q210" s="23">
        <f t="shared" si="2041"/>
        <v>125.03559999999999</v>
      </c>
      <c r="R210" s="23">
        <f t="shared" si="2041"/>
        <v>120.74280000000005</v>
      </c>
      <c r="S210" s="23">
        <f t="shared" si="2041"/>
        <v>243.06860000000003</v>
      </c>
      <c r="T210" s="23">
        <f t="shared" si="2041"/>
        <v>222.20429999999993</v>
      </c>
      <c r="U210" s="23">
        <f t="shared" si="2041"/>
        <v>196.84499999999994</v>
      </c>
      <c r="V210" s="23">
        <f t="shared" si="2041"/>
        <v>229.02699999999999</v>
      </c>
      <c r="W210" s="23">
        <f t="shared" si="2041"/>
        <v>196.34590000000009</v>
      </c>
      <c r="X210" s="23">
        <f t="shared" ref="X210:Y210" si="2042">X209+X205+X201+X199</f>
        <v>242.35590000000016</v>
      </c>
      <c r="Y210" s="23">
        <f t="shared" si="2042"/>
        <v>227.0940999999998</v>
      </c>
      <c r="Z210" s="23">
        <f t="shared" ref="Z210:AA210" si="2043">Z209+Z205+Z201+Z199</f>
        <v>207.84029999999981</v>
      </c>
      <c r="AA210" s="23">
        <f t="shared" si="2043"/>
        <v>415.50020000000029</v>
      </c>
      <c r="AB210" s="24">
        <f t="shared" ref="AA210:AD210" si="2044">AB209+AB205+AB201+AB199</f>
        <v>366.16889941821796</v>
      </c>
      <c r="AC210" s="24">
        <f t="shared" si="2044"/>
        <v>294.89957764227808</v>
      </c>
      <c r="AD210" s="24">
        <f t="shared" si="2044"/>
        <v>179.70625269289502</v>
      </c>
      <c r="AE210" s="24">
        <f t="shared" ref="AE210" si="2045">AE209+AE205+AE201+AE199</f>
        <v>4.1450111422136615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>
        <f t="shared" si="2049"/>
        <v>121.91270618604395</v>
      </c>
      <c r="AZ210" s="23">
        <f t="shared" si="2049"/>
        <v>0</v>
      </c>
      <c r="BA210" s="23">
        <f t="shared" si="2049"/>
        <v>7.3179999999999952</v>
      </c>
      <c r="BB210" s="23">
        <f t="shared" si="2049"/>
        <v>120.74300000000004</v>
      </c>
      <c r="BC210" s="23">
        <f t="shared" si="2049"/>
        <v>133.85379462545853</v>
      </c>
      <c r="BD210" s="23">
        <f t="shared" si="2049"/>
        <v>222.57099999999991</v>
      </c>
      <c r="BE210" s="23">
        <f t="shared" si="2049"/>
        <v>230.63097222560606</v>
      </c>
      <c r="BF210" s="23">
        <f t="shared" si="2049"/>
        <v>243.07100000000005</v>
      </c>
      <c r="BG210" s="23">
        <f t="shared" si="2049"/>
        <v>267.04300466859064</v>
      </c>
      <c r="BH210" s="23">
        <f t="shared" si="2049"/>
        <v>210.04799999999997</v>
      </c>
      <c r="BI210" s="23">
        <f t="shared" si="2049"/>
        <v>215.77848262999788</v>
      </c>
      <c r="BJ210" s="23">
        <f t="shared" si="2049"/>
        <v>222.20700000000002</v>
      </c>
      <c r="BK210" s="23">
        <f t="shared" si="2049"/>
        <v>253.34652584335373</v>
      </c>
      <c r="BL210" s="23">
        <f t="shared" si="2049"/>
        <v>221.93099999999993</v>
      </c>
      <c r="BM210" s="23">
        <f t="shared" si="2049"/>
        <v>218.11407958335607</v>
      </c>
      <c r="BN210" s="23">
        <f t="shared" si="2049"/>
        <v>196.84500000000011</v>
      </c>
      <c r="BO210" s="23">
        <f t="shared" si="2049"/>
        <v>281.62196092217954</v>
      </c>
      <c r="BP210" s="23">
        <f t="shared" si="2049"/>
        <v>189.10999999999999</v>
      </c>
      <c r="BQ210" s="23">
        <f t="shared" si="2049"/>
        <v>148.2488524925335</v>
      </c>
      <c r="BR210" s="23">
        <f t="shared" si="2049"/>
        <v>229.02700000000004</v>
      </c>
      <c r="BS210" s="23">
        <f t="shared" si="2049"/>
        <v>275.57927470512806</v>
      </c>
      <c r="BT210" s="23">
        <f t="shared" si="2049"/>
        <v>195.36600000000007</v>
      </c>
      <c r="BU210" s="23">
        <f t="shared" si="2049"/>
        <v>196.82185664671499</v>
      </c>
      <c r="BV210" s="23">
        <f t="shared" si="2049"/>
        <v>196.34499999999991</v>
      </c>
      <c r="BW210" s="23">
        <f t="shared" si="2049"/>
        <v>275.53203186170663</v>
      </c>
      <c r="BX210" s="23">
        <f t="shared" si="2049"/>
        <v>237.46000000000012</v>
      </c>
      <c r="BY210" s="23">
        <f t="shared" si="2049"/>
        <v>227.89456002800151</v>
      </c>
      <c r="BZ210" s="23">
        <f t="shared" si="2049"/>
        <v>242.35499999999968</v>
      </c>
      <c r="CA210" s="23">
        <f t="shared" si="2049"/>
        <v>344.93024876230834</v>
      </c>
      <c r="CB210" s="23">
        <f t="shared" si="2049"/>
        <v>246.64200000000017</v>
      </c>
      <c r="CC210" s="23">
        <f t="shared" si="2049"/>
        <v>239.98782959979218</v>
      </c>
      <c r="CD210" s="23">
        <f t="shared" si="2049"/>
        <v>227.09400000000028</v>
      </c>
      <c r="CE210" s="23">
        <f t="shared" ref="CE210:CF210" si="2050">CE209+CE205+CE201+CE199</f>
        <v>277.83710941821823</v>
      </c>
      <c r="CF210" s="23">
        <f t="shared" si="2050"/>
        <v>279.32900000000018</v>
      </c>
      <c r="CG210" s="23">
        <f t="shared" ref="CG210:CH210" si="2051">CG209+CG205+CG201+CG199</f>
        <v>259.89343112399018</v>
      </c>
      <c r="CH210" s="23">
        <f t="shared" si="2051"/>
        <v>207.83929999999972</v>
      </c>
      <c r="CI210" s="23">
        <f t="shared" ref="CI210:CJ210" si="2052">CI209+CI205+CI201+CI199</f>
        <v>440.57272729537078</v>
      </c>
      <c r="CJ210" s="23">
        <f t="shared" si="2052"/>
        <v>192.49300000000071</v>
      </c>
      <c r="CK210" s="24">
        <f t="shared" ref="CK210:DB210" si="2053">CK209+CK205+CK201+CK199</f>
        <v>79.264764370448873</v>
      </c>
      <c r="CL210" s="23">
        <f t="shared" si="2053"/>
        <v>415.49999999999943</v>
      </c>
      <c r="CM210" s="24">
        <f t="shared" si="2053"/>
        <v>751.81034935349271</v>
      </c>
      <c r="CN210" s="24">
        <f t="shared" si="2053"/>
        <v>618.75419370329121</v>
      </c>
      <c r="CO210" s="24">
        <f t="shared" si="2053"/>
        <v>568.60221671882539</v>
      </c>
      <c r="CP210" s="24">
        <f t="shared" si="2053"/>
        <v>366.16889941821813</v>
      </c>
      <c r="CQ210" s="24">
        <f t="shared" si="2053"/>
        <v>856.89705129820095</v>
      </c>
      <c r="CR210" s="24">
        <f t="shared" si="2053"/>
        <v>656.07097439111726</v>
      </c>
      <c r="CS210" s="24">
        <f t="shared" si="2053"/>
        <v>576.65911855002196</v>
      </c>
      <c r="CT210" s="24">
        <f t="shared" si="2053"/>
        <v>294.89957764227785</v>
      </c>
      <c r="CU210" s="24">
        <f t="shared" si="2053"/>
        <v>968.96222084728379</v>
      </c>
      <c r="CV210" s="24">
        <f t="shared" si="2053"/>
        <v>684.47921177405692</v>
      </c>
      <c r="CW210" s="24">
        <f t="shared" si="2053"/>
        <v>570.02936666419521</v>
      </c>
      <c r="CX210" s="24">
        <f t="shared" si="2053"/>
        <v>179.70625269289485</v>
      </c>
      <c r="CY210" s="24">
        <f t="shared" si="2053"/>
        <v>1101.0877744375866</v>
      </c>
      <c r="CZ210" s="24">
        <f t="shared" si="2053"/>
        <v>705.1260249231924</v>
      </c>
      <c r="DA210" s="24">
        <f t="shared" si="2053"/>
        <v>543.80449705948547</v>
      </c>
      <c r="DB210" s="24">
        <f t="shared" si="2053"/>
        <v>4.1450111422137752</v>
      </c>
      <c r="DE210" s="123"/>
      <c r="DF210" s="23">
        <v>226.72044866946288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-1.1368683772161603E-13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>
        <f t="shared" si="2062"/>
        <v>0</v>
      </c>
      <c r="AZ211" s="28">
        <f t="shared" si="2062"/>
        <v>0</v>
      </c>
      <c r="BA211" s="28">
        <f t="shared" si="2062"/>
        <v>0</v>
      </c>
      <c r="BB211" s="28">
        <f t="shared" si="2062"/>
        <v>0</v>
      </c>
      <c r="BC211" s="28">
        <f t="shared" si="2062"/>
        <v>0</v>
      </c>
      <c r="BD211" s="28">
        <f t="shared" si="2062"/>
        <v>-1.00000000009004E-3</v>
      </c>
      <c r="BE211" s="28">
        <f t="shared" si="2062"/>
        <v>0</v>
      </c>
      <c r="BF211" s="28">
        <f t="shared" si="2062"/>
        <v>2.0000000000663931E-3</v>
      </c>
      <c r="BG211" s="28">
        <f t="shared" si="2062"/>
        <v>0</v>
      </c>
      <c r="BH211" s="28">
        <f t="shared" si="2062"/>
        <v>-4.0000000000190994E-3</v>
      </c>
      <c r="BI211" s="28">
        <f t="shared" si="2062"/>
        <v>0</v>
      </c>
      <c r="BJ211" s="28">
        <f t="shared" si="2062"/>
        <v>3.0000000000143245E-3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1.0000000000616183E-3</v>
      </c>
      <c r="BU211" s="28">
        <f t="shared" si="2062"/>
        <v>0</v>
      </c>
      <c r="BV211" s="28">
        <f t="shared" si="2062"/>
        <v>-1.00000000009004E-3</v>
      </c>
      <c r="BW211" s="28">
        <f t="shared" si="2062"/>
        <v>0</v>
      </c>
      <c r="BX211" s="28">
        <f t="shared" si="2062"/>
        <v>1.0000000001184617E-3</v>
      </c>
      <c r="BY211" s="28">
        <f t="shared" si="2062"/>
        <v>0</v>
      </c>
      <c r="BZ211" s="28">
        <f t="shared" si="2062"/>
        <v>-1.0000000003174137E-3</v>
      </c>
      <c r="CA211" s="28">
        <f t="shared" si="2062"/>
        <v>0</v>
      </c>
      <c r="CB211" s="28">
        <f t="shared" si="2062"/>
        <v>1.0000000001753051E-3</v>
      </c>
      <c r="CC211" s="28">
        <f t="shared" si="2062"/>
        <v>0</v>
      </c>
      <c r="CD211" s="28">
        <f t="shared" si="2062"/>
        <v>2.8421709430404007E-13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-1.0000000002889919E-3</v>
      </c>
      <c r="CI211" s="28">
        <f t="shared" ref="CI211:CJ211" si="2065">CI210-CI161</f>
        <v>0</v>
      </c>
      <c r="CJ211" s="28">
        <f t="shared" si="2065"/>
        <v>7.1054273576010019E-13</v>
      </c>
      <c r="CK211" s="30">
        <f t="shared" ref="CK211:DB211" si="2066">CK210-CK161</f>
        <v>0</v>
      </c>
      <c r="CL211" s="28">
        <f t="shared" si="2066"/>
        <v>-5.6843418860808015E-13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0</v>
      </c>
      <c r="K213" s="22">
        <f t="shared" si="2067"/>
        <v>0</v>
      </c>
      <c r="L213" s="22">
        <f t="shared" si="2067"/>
        <v>0</v>
      </c>
      <c r="M213" s="22">
        <f t="shared" si="2067"/>
        <v>3.2359999999999829</v>
      </c>
      <c r="N213" s="22">
        <f t="shared" si="2067"/>
        <v>20.400000000000045</v>
      </c>
      <c r="O213" s="22">
        <f t="shared" si="2067"/>
        <v>22.787999999999968</v>
      </c>
      <c r="P213" s="22">
        <f t="shared" si="2067"/>
        <v>14.609999999999992</v>
      </c>
      <c r="Q213" s="22">
        <f t="shared" si="2067"/>
        <v>20.263099999999934</v>
      </c>
      <c r="R213" s="22">
        <f t="shared" si="2067"/>
        <v>-31.742099999999937</v>
      </c>
      <c r="S213" s="22">
        <f t="shared" si="2067"/>
        <v>35.37169999999994</v>
      </c>
      <c r="T213" s="22">
        <f t="shared" si="2067"/>
        <v>6.8399999999911643E-2</v>
      </c>
      <c r="U213" s="22">
        <f t="shared" si="2067"/>
        <v>-30.358700000000084</v>
      </c>
      <c r="V213" s="22">
        <f t="shared" si="2067"/>
        <v>28.645499999999899</v>
      </c>
      <c r="W213" s="22">
        <f t="shared" si="2067"/>
        <v>-32.878100000000046</v>
      </c>
      <c r="X213" s="22">
        <f t="shared" ref="X213:Y213" si="2068">X199+X201</f>
        <v>18.593600000000094</v>
      </c>
      <c r="Y213" s="22">
        <f t="shared" si="2068"/>
        <v>-316.27530000000013</v>
      </c>
      <c r="Z213" s="22">
        <f t="shared" ref="Z213:AA213" si="2069">Z199+Z201</f>
        <v>-73.346200000000437</v>
      </c>
      <c r="AA213" s="22">
        <f t="shared" si="2069"/>
        <v>162.4687000000001</v>
      </c>
      <c r="AB213" s="21">
        <f t="shared" ref="AA213:AD213" si="2070">AB199+AB201</f>
        <v>-49.331900581781774</v>
      </c>
      <c r="AC213" s="21">
        <f t="shared" si="2070"/>
        <v>-71.269321775940284</v>
      </c>
      <c r="AD213" s="21">
        <f t="shared" si="2070"/>
        <v>-115.19332494938169</v>
      </c>
      <c r="AE213" s="21">
        <f t="shared" ref="AE213" si="2071">AE199+AE201</f>
        <v>-175.56124155068005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>
        <f t="shared" si="2075"/>
        <v>-3.1232938139560673</v>
      </c>
      <c r="AZ213" s="22">
        <f t="shared" si="2075"/>
        <v>2.2672938139560586</v>
      </c>
      <c r="BA213" s="22">
        <f t="shared" si="2075"/>
        <v>7.3179999999999952</v>
      </c>
      <c r="BB213" s="22">
        <f t="shared" si="2075"/>
        <v>-37.102999999999966</v>
      </c>
      <c r="BC213" s="22">
        <f t="shared" si="2075"/>
        <v>13.11079462545854</v>
      </c>
      <c r="BD213" s="22">
        <f t="shared" si="2075"/>
        <v>-24.7597946254586</v>
      </c>
      <c r="BE213" s="22">
        <f t="shared" si="2075"/>
        <v>8.0589722256060483</v>
      </c>
      <c r="BF213" s="22">
        <f t="shared" si="2075"/>
        <v>38.063027774394051</v>
      </c>
      <c r="BG213" s="22">
        <f t="shared" si="2075"/>
        <v>23.974004668590684</v>
      </c>
      <c r="BH213" s="22">
        <f t="shared" si="2075"/>
        <v>-31.311004668590712</v>
      </c>
      <c r="BI213" s="22">
        <f t="shared" si="2075"/>
        <v>5.7264826299978786</v>
      </c>
      <c r="BJ213" s="22">
        <f t="shared" si="2075"/>
        <v>0.82151737000209302</v>
      </c>
      <c r="BK213" s="22">
        <f t="shared" si="2075"/>
        <v>31.142525843353752</v>
      </c>
      <c r="BL213" s="22">
        <f t="shared" si="2075"/>
        <v>-55.085525843353807</v>
      </c>
      <c r="BM213" s="22">
        <f t="shared" si="2075"/>
        <v>-3.8169204166439172</v>
      </c>
      <c r="BN213" s="22">
        <f t="shared" si="2075"/>
        <v>-1.2890795833560027</v>
      </c>
      <c r="BO213" s="22">
        <f t="shared" si="2075"/>
        <v>84.776960922179555</v>
      </c>
      <c r="BP213" s="22">
        <f t="shared" si="2075"/>
        <v>-132.90696092217954</v>
      </c>
      <c r="BQ213" s="22">
        <f t="shared" si="2075"/>
        <v>-40.861147507466512</v>
      </c>
      <c r="BR213" s="22">
        <f t="shared" si="2075"/>
        <v>115.05214750746647</v>
      </c>
      <c r="BS213" s="22">
        <f t="shared" si="2075"/>
        <v>46.552274705128056</v>
      </c>
      <c r="BT213" s="22">
        <f t="shared" si="2075"/>
        <v>-170.58227470512801</v>
      </c>
      <c r="BU213" s="22">
        <f t="shared" si="2075"/>
        <v>1.456856646714968</v>
      </c>
      <c r="BV213" s="22">
        <f t="shared" si="2075"/>
        <v>89.698143353285175</v>
      </c>
      <c r="BW213" s="22">
        <f t="shared" si="2075"/>
        <v>79.186031861706596</v>
      </c>
      <c r="BX213" s="22">
        <f t="shared" si="2075"/>
        <v>-78.286031861706647</v>
      </c>
      <c r="BY213" s="22">
        <f t="shared" si="2075"/>
        <v>-9.5644399719985032</v>
      </c>
      <c r="BZ213" s="22">
        <f t="shared" si="2075"/>
        <v>27.257439971998295</v>
      </c>
      <c r="CA213" s="22">
        <f t="shared" si="2075"/>
        <v>102.57424876230832</v>
      </c>
      <c r="CB213" s="22">
        <f t="shared" si="2075"/>
        <v>-344.18524876230811</v>
      </c>
      <c r="CC213" s="22">
        <f t="shared" si="2075"/>
        <v>-6.6531704002078058</v>
      </c>
      <c r="CD213" s="22">
        <f t="shared" si="2075"/>
        <v>-68.00982959979207</v>
      </c>
      <c r="CE213" s="22">
        <f t="shared" ref="CE213:CF213" si="2076">CE199+CE201</f>
        <v>50.743109418218211</v>
      </c>
      <c r="CF213" s="22">
        <f t="shared" si="2076"/>
        <v>-55.025109418218108</v>
      </c>
      <c r="CG213" s="22">
        <f t="shared" ref="CG213:CH213" si="2077">CG199+CG201</f>
        <v>-19.435568876009842</v>
      </c>
      <c r="CH213" s="22">
        <f t="shared" si="2077"/>
        <v>-49.629531123990461</v>
      </c>
      <c r="CI213" s="22">
        <f t="shared" ref="CI213:CJ213" si="2078">CI199+CI201</f>
        <v>232.73242729537077</v>
      </c>
      <c r="CJ213" s="22">
        <f t="shared" si="2078"/>
        <v>-326.25832729537035</v>
      </c>
      <c r="CK213" s="21">
        <f t="shared" ref="CK213:DB213" si="2079">CK199+CK201</f>
        <v>-113.22823562955112</v>
      </c>
      <c r="CL213" s="22">
        <f t="shared" si="2079"/>
        <v>369.22223562955088</v>
      </c>
      <c r="CM213" s="21">
        <f t="shared" si="2079"/>
        <v>336.31034935349265</v>
      </c>
      <c r="CN213" s="21">
        <f t="shared" si="2079"/>
        <v>-133.0561556502015</v>
      </c>
      <c r="CO213" s="21">
        <f t="shared" si="2079"/>
        <v>-50.151976984465776</v>
      </c>
      <c r="CP213" s="21">
        <f t="shared" si="2079"/>
        <v>-202.43331730060726</v>
      </c>
      <c r="CQ213" s="21">
        <f t="shared" si="2079"/>
        <v>490.72815187998276</v>
      </c>
      <c r="CR213" s="21">
        <f t="shared" si="2079"/>
        <v>-200.82607690708363</v>
      </c>
      <c r="CS213" s="21">
        <f t="shared" si="2079"/>
        <v>-79.411855841095289</v>
      </c>
      <c r="CT213" s="21">
        <f t="shared" si="2079"/>
        <v>-281.75954090774411</v>
      </c>
      <c r="CU213" s="21">
        <f t="shared" si="2079"/>
        <v>674.062643205006</v>
      </c>
      <c r="CV213" s="21">
        <f t="shared" si="2079"/>
        <v>-284.48300907322687</v>
      </c>
      <c r="CW213" s="21">
        <f t="shared" si="2079"/>
        <v>-114.44984510986171</v>
      </c>
      <c r="CX213" s="21">
        <f t="shared" si="2079"/>
        <v>-390.32311397130036</v>
      </c>
      <c r="CY213" s="21">
        <f t="shared" si="2079"/>
        <v>921.38152174469178</v>
      </c>
      <c r="CZ213" s="21">
        <f t="shared" si="2079"/>
        <v>-395.96174951439423</v>
      </c>
      <c r="DA213" s="21">
        <f t="shared" si="2079"/>
        <v>-161.3215278637069</v>
      </c>
      <c r="DB213" s="21">
        <f t="shared" si="2079"/>
        <v>-539.6594859172717</v>
      </c>
      <c r="DE213" s="126"/>
      <c r="DF213" s="22">
        <v>147.455684299014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108.08200000000001</v>
      </c>
      <c r="AY225" s="66">
        <f t="shared" si="2080"/>
        <v>194.14400000000001</v>
      </c>
      <c r="AZ225" s="66">
        <f t="shared" si="2080"/>
        <v>271.78300000000002</v>
      </c>
      <c r="BA225" s="66">
        <f t="shared" si="2080"/>
        <v>347.19</v>
      </c>
      <c r="BB225" s="66">
        <f t="shared" si="2080"/>
        <v>400.75900000000001</v>
      </c>
      <c r="BC225" s="66">
        <f t="shared" si="2080"/>
        <v>470.49799999999999</v>
      </c>
      <c r="BD225" s="66">
        <f t="shared" si="2080"/>
        <v>532.41200000000003</v>
      </c>
      <c r="BE225" s="66">
        <f t="shared" si="2080"/>
        <v>627.80500000000006</v>
      </c>
      <c r="BF225" s="66">
        <f t="shared" si="2080"/>
        <v>729.83100000000002</v>
      </c>
      <c r="BG225" s="66">
        <f t="shared" si="2080"/>
        <v>812.25</v>
      </c>
      <c r="BH225" s="66">
        <f t="shared" si="2080"/>
        <v>884.75800000000004</v>
      </c>
      <c r="BI225" s="66">
        <f t="shared" si="2080"/>
        <v>975.92500000000007</v>
      </c>
      <c r="BJ225" s="66">
        <f t="shared" si="2080"/>
        <v>1050.807</v>
      </c>
      <c r="BK225" s="66">
        <f t="shared" si="2080"/>
        <v>1120.27</v>
      </c>
      <c r="BL225" s="66">
        <f t="shared" si="2080"/>
        <v>1220.3220000000001</v>
      </c>
      <c r="BM225" s="66">
        <f t="shared" si="2080"/>
        <v>1381.421</v>
      </c>
      <c r="BN225" s="66">
        <f t="shared" si="2080"/>
        <v>1499.259</v>
      </c>
      <c r="BO225" s="66">
        <f t="shared" si="2080"/>
        <v>1298.4680000000001</v>
      </c>
      <c r="BP225" s="66">
        <f t="shared" si="2080"/>
        <v>1229.441</v>
      </c>
      <c r="BQ225" s="66">
        <f t="shared" si="2080"/>
        <v>1196.5340000000001</v>
      </c>
      <c r="BR225" s="66">
        <f t="shared" ref="BR225:CW225" si="2081">SUM(BO10:BR10)</f>
        <v>1240.8629999999998</v>
      </c>
      <c r="BS225" s="66">
        <f t="shared" si="2081"/>
        <v>1451.327</v>
      </c>
      <c r="BT225" s="66">
        <f t="shared" si="2081"/>
        <v>1598.682</v>
      </c>
      <c r="BU225" s="66">
        <f t="shared" si="2081"/>
        <v>1694.143</v>
      </c>
      <c r="BV225" s="66">
        <f t="shared" si="2081"/>
        <v>1748.0639999999999</v>
      </c>
      <c r="BW225" s="66">
        <f t="shared" si="2081"/>
        <v>1778.79</v>
      </c>
      <c r="BX225" s="66">
        <f t="shared" si="2081"/>
        <v>1748.3310000000001</v>
      </c>
      <c r="BY225" s="66">
        <f t="shared" si="2081"/>
        <v>1762.8679999999999</v>
      </c>
      <c r="BZ225" s="66">
        <f t="shared" si="2081"/>
        <v>1937.8049999999998</v>
      </c>
      <c r="CA225" s="66">
        <f t="shared" si="2081"/>
        <v>2103.35</v>
      </c>
      <c r="CB225" s="66">
        <f t="shared" si="2081"/>
        <v>2363.0209999999997</v>
      </c>
      <c r="CC225" s="66">
        <f t="shared" si="2081"/>
        <v>2567.6139999999996</v>
      </c>
      <c r="CD225" s="66">
        <f t="shared" si="2081"/>
        <v>2505.7889999999998</v>
      </c>
      <c r="CE225" s="66">
        <f t="shared" si="2081"/>
        <v>2615.2240000000002</v>
      </c>
      <c r="CF225" s="66">
        <f t="shared" si="2081"/>
        <v>2581.5369999999998</v>
      </c>
      <c r="CG225" s="66">
        <f t="shared" si="2081"/>
        <v>2506.9969999999998</v>
      </c>
      <c r="CH225" s="66">
        <f t="shared" si="2081"/>
        <v>2512.125</v>
      </c>
      <c r="CI225" s="66">
        <f t="shared" si="2081"/>
        <v>2406.8249999999998</v>
      </c>
      <c r="CJ225" s="66">
        <f t="shared" si="2081"/>
        <v>2523.7249999999999</v>
      </c>
      <c r="CK225" s="50">
        <f t="shared" si="2081"/>
        <v>2706.3089999999997</v>
      </c>
      <c r="CL225" s="66">
        <f t="shared" si="2081"/>
        <v>3148.6620000000003</v>
      </c>
      <c r="CM225" s="50">
        <f t="shared" si="2081"/>
        <v>3275.2043985965884</v>
      </c>
      <c r="CN225" s="50">
        <f t="shared" si="2081"/>
        <v>3519.6290789528298</v>
      </c>
      <c r="CO225" s="50">
        <f t="shared" si="2081"/>
        <v>3832.4068235384484</v>
      </c>
      <c r="CP225" s="50">
        <f t="shared" si="2081"/>
        <v>4288.0856894321987</v>
      </c>
      <c r="CQ225" s="50">
        <f t="shared" si="2081"/>
        <v>4511.2675102778348</v>
      </c>
      <c r="CR225" s="50">
        <f t="shared" si="2081"/>
        <v>4863.5546909907043</v>
      </c>
      <c r="CS225" s="50">
        <f t="shared" si="2081"/>
        <v>5288.9340654186326</v>
      </c>
      <c r="CT225" s="50">
        <f t="shared" si="2081"/>
        <v>5879.9124401577101</v>
      </c>
      <c r="CU225" s="50">
        <f t="shared" si="2081"/>
        <v>6199.234812600338</v>
      </c>
      <c r="CV225" s="50">
        <f t="shared" si="2081"/>
        <v>6684.6635683941213</v>
      </c>
      <c r="CW225" s="50">
        <f t="shared" si="2081"/>
        <v>7264.6227140668188</v>
      </c>
      <c r="CX225" s="50">
        <f t="shared" ref="CX225:DB225" si="2082">SUM(CU10:CX10)</f>
        <v>8070.8837696788069</v>
      </c>
      <c r="CY225" s="50">
        <f t="shared" si="2082"/>
        <v>8512.5272893056717</v>
      </c>
      <c r="CZ225" s="50">
        <f t="shared" si="2082"/>
        <v>9178.5731421336604</v>
      </c>
      <c r="DA225" s="50">
        <f t="shared" si="2082"/>
        <v>9973.4771002541747</v>
      </c>
      <c r="DB225" s="50">
        <f t="shared" si="2082"/>
        <v>11080.033901105824</v>
      </c>
      <c r="DE225" s="138"/>
      <c r="DF225" s="66">
        <v>2761.467952811438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9.267000000000003</v>
      </c>
      <c r="AY226" s="66">
        <f t="shared" si="2083"/>
        <v>21.103999999999999</v>
      </c>
      <c r="AZ226" s="66">
        <f t="shared" si="2083"/>
        <v>32.353000000000009</v>
      </c>
      <c r="BA226" s="66">
        <f t="shared" si="2083"/>
        <v>41.794000000000004</v>
      </c>
      <c r="BB226" s="66">
        <f t="shared" si="2083"/>
        <v>65.941000000000003</v>
      </c>
      <c r="BC226" s="66">
        <f t="shared" si="2083"/>
        <v>74.013999999999982</v>
      </c>
      <c r="BD226" s="66">
        <f t="shared" si="2083"/>
        <v>81.404999999999973</v>
      </c>
      <c r="BE226" s="66">
        <f t="shared" si="2083"/>
        <v>98.518999999999991</v>
      </c>
      <c r="BF226" s="66">
        <f t="shared" si="2083"/>
        <v>101.39500000000004</v>
      </c>
      <c r="BG226" s="66">
        <f t="shared" si="2083"/>
        <v>114.90300000000006</v>
      </c>
      <c r="BH226" s="66">
        <f t="shared" si="2083"/>
        <v>125.12000000000006</v>
      </c>
      <c r="BI226" s="66">
        <f t="shared" si="2083"/>
        <v>135.18800000000005</v>
      </c>
      <c r="BJ226" s="66">
        <f t="shared" si="2083"/>
        <v>148.97800000000001</v>
      </c>
      <c r="BK226" s="66">
        <f t="shared" si="2083"/>
        <v>158.70299999999997</v>
      </c>
      <c r="BL226" s="66">
        <f t="shared" si="2083"/>
        <v>172.66399999999996</v>
      </c>
      <c r="BM226" s="66">
        <f t="shared" si="2083"/>
        <v>190.01499999999999</v>
      </c>
      <c r="BN226" s="66">
        <f t="shared" si="2083"/>
        <v>190.87699999999998</v>
      </c>
      <c r="BO226" s="66">
        <f t="shared" si="2083"/>
        <v>149.029</v>
      </c>
      <c r="BP226" s="66">
        <f t="shared" si="2083"/>
        <v>131.815</v>
      </c>
      <c r="BQ226" s="66">
        <f t="shared" si="2083"/>
        <v>122.68799999999997</v>
      </c>
      <c r="BR226" s="66">
        <f t="shared" ref="BR226:CW226" si="2084">SUM(BO28:BR28)</f>
        <v>134.77099999999996</v>
      </c>
      <c r="BS226" s="66">
        <f t="shared" si="2084"/>
        <v>172.86499999999998</v>
      </c>
      <c r="BT226" s="66">
        <f t="shared" si="2084"/>
        <v>201.96799999999996</v>
      </c>
      <c r="BU226" s="66">
        <f t="shared" si="2084"/>
        <v>233.11900000000006</v>
      </c>
      <c r="BV226" s="66">
        <f t="shared" si="2084"/>
        <v>258.44000000000017</v>
      </c>
      <c r="BW226" s="66">
        <f t="shared" si="2084"/>
        <v>266.92500000000013</v>
      </c>
      <c r="BX226" s="66">
        <f t="shared" si="2084"/>
        <v>251.69300000000015</v>
      </c>
      <c r="BY226" s="66">
        <f t="shared" si="2084"/>
        <v>237.4860000000001</v>
      </c>
      <c r="BZ226" s="66">
        <f t="shared" si="2084"/>
        <v>230.06200000000001</v>
      </c>
      <c r="CA226" s="66">
        <f t="shared" si="2084"/>
        <v>248.36199999999999</v>
      </c>
      <c r="CB226" s="66">
        <f t="shared" si="2084"/>
        <v>281.38700000000006</v>
      </c>
      <c r="CC226" s="66">
        <f t="shared" si="2084"/>
        <v>289.20100000000002</v>
      </c>
      <c r="CD226" s="66">
        <f t="shared" si="2084"/>
        <v>260.93600000000004</v>
      </c>
      <c r="CE226" s="66">
        <f t="shared" si="2084"/>
        <v>268.71900000000011</v>
      </c>
      <c r="CF226" s="66">
        <f t="shared" si="2084"/>
        <v>233.81600000000014</v>
      </c>
      <c r="CG226" s="66">
        <f t="shared" si="2084"/>
        <v>199.73500000000024</v>
      </c>
      <c r="CH226" s="66">
        <f t="shared" si="2084"/>
        <v>179.42700000000008</v>
      </c>
      <c r="CI226" s="66">
        <f t="shared" si="2084"/>
        <v>130.26299999999998</v>
      </c>
      <c r="CJ226" s="66">
        <f t="shared" si="2084"/>
        <v>142.5949999999998</v>
      </c>
      <c r="CK226" s="50">
        <f t="shared" si="2084"/>
        <v>161.60299999999972</v>
      </c>
      <c r="CL226" s="66">
        <f t="shared" si="2084"/>
        <v>189.04999999999995</v>
      </c>
      <c r="CM226" s="50">
        <f t="shared" si="2084"/>
        <v>202.85573418987497</v>
      </c>
      <c r="CN226" s="50">
        <f t="shared" si="2084"/>
        <v>212.52389220133153</v>
      </c>
      <c r="CO226" s="50">
        <f t="shared" si="2084"/>
        <v>226.51953347550216</v>
      </c>
      <c r="CP226" s="50">
        <f t="shared" si="2084"/>
        <v>259.92636817677271</v>
      </c>
      <c r="CQ226" s="50">
        <f t="shared" si="2084"/>
        <v>274.03469492163384</v>
      </c>
      <c r="CR226" s="50">
        <f t="shared" si="2084"/>
        <v>293.67420081205279</v>
      </c>
      <c r="CS226" s="50">
        <f t="shared" si="2084"/>
        <v>318.9566596184772</v>
      </c>
      <c r="CT226" s="50">
        <f t="shared" si="2084"/>
        <v>356.30276323342656</v>
      </c>
      <c r="CU226" s="50">
        <f t="shared" si="2084"/>
        <v>375.57602179505363</v>
      </c>
      <c r="CV226" s="50">
        <f t="shared" si="2084"/>
        <v>404.55235402341248</v>
      </c>
      <c r="CW226" s="50">
        <f t="shared" si="2084"/>
        <v>439.7398016561516</v>
      </c>
      <c r="CX226" s="50">
        <f t="shared" ref="CX226:DB226" si="2085">SUM(CU28:CX28)</f>
        <v>488.91007497365138</v>
      </c>
      <c r="CY226" s="50">
        <f t="shared" si="2085"/>
        <v>515.5972803391478</v>
      </c>
      <c r="CZ226" s="50">
        <f t="shared" si="2085"/>
        <v>555.85586111361192</v>
      </c>
      <c r="DA226" s="50">
        <f t="shared" si="2085"/>
        <v>604.05279652734009</v>
      </c>
      <c r="DB226" s="50">
        <f t="shared" si="2085"/>
        <v>671.13490274353342</v>
      </c>
      <c r="DE226" s="138"/>
      <c r="DF226" s="66">
        <v>171.86074219872955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5.9460000000000033</v>
      </c>
      <c r="AY227" s="66">
        <f t="shared" si="2086"/>
        <v>13.445</v>
      </c>
      <c r="AZ227" s="66">
        <f t="shared" si="2086"/>
        <v>19.72000000000001</v>
      </c>
      <c r="BA227" s="66">
        <f t="shared" si="2086"/>
        <v>27.038000000000004</v>
      </c>
      <c r="BB227" s="66">
        <f t="shared" si="2086"/>
        <v>41.61</v>
      </c>
      <c r="BC227" s="66">
        <f t="shared" si="2086"/>
        <v>47.672999999999988</v>
      </c>
      <c r="BD227" s="66">
        <f t="shared" si="2086"/>
        <v>54.058999999999983</v>
      </c>
      <c r="BE227" s="66">
        <f t="shared" si="2086"/>
        <v>61.917999999999992</v>
      </c>
      <c r="BF227" s="66">
        <f t="shared" si="2086"/>
        <v>64.365000000000038</v>
      </c>
      <c r="BG227" s="66">
        <f t="shared" si="2086"/>
        <v>71.871000000000066</v>
      </c>
      <c r="BH227" s="66">
        <f t="shared" si="2086"/>
        <v>76.497000000000071</v>
      </c>
      <c r="BI227" s="66">
        <f t="shared" si="2086"/>
        <v>82.367000000000033</v>
      </c>
      <c r="BJ227" s="66">
        <f t="shared" si="2086"/>
        <v>89.133999999999986</v>
      </c>
      <c r="BK227" s="66">
        <f t="shared" si="2086"/>
        <v>93.456999999999951</v>
      </c>
      <c r="BL227" s="66">
        <f t="shared" si="2086"/>
        <v>108.08599999999997</v>
      </c>
      <c r="BM227" s="66">
        <f t="shared" si="2086"/>
        <v>123.30099999999997</v>
      </c>
      <c r="BN227" s="66">
        <f t="shared" si="2086"/>
        <v>128.21299999999997</v>
      </c>
      <c r="BO227" s="66">
        <f t="shared" si="2086"/>
        <v>100.297</v>
      </c>
      <c r="BP227" s="66">
        <f t="shared" si="2086"/>
        <v>83.650999999999996</v>
      </c>
      <c r="BQ227" s="66">
        <f t="shared" si="2086"/>
        <v>75.938999999999965</v>
      </c>
      <c r="BR227" s="66">
        <f t="shared" ref="BR227:CW227" si="2087">SUM(BO41:BR41)</f>
        <v>83.366999999999933</v>
      </c>
      <c r="BS227" s="66">
        <f t="shared" si="2087"/>
        <v>110.70099999999998</v>
      </c>
      <c r="BT227" s="66">
        <f t="shared" si="2087"/>
        <v>131.76999999999998</v>
      </c>
      <c r="BU227" s="66">
        <f t="shared" si="2087"/>
        <v>153.51800000000009</v>
      </c>
      <c r="BV227" s="66">
        <f t="shared" si="2087"/>
        <v>166.27700000000021</v>
      </c>
      <c r="BW227" s="66">
        <f t="shared" si="2087"/>
        <v>170.49500000000015</v>
      </c>
      <c r="BX227" s="66">
        <f t="shared" si="2087"/>
        <v>155.67900000000017</v>
      </c>
      <c r="BY227" s="66">
        <f t="shared" si="2087"/>
        <v>140.70900000000012</v>
      </c>
      <c r="BZ227" s="66">
        <f t="shared" si="2087"/>
        <v>134.63999999999999</v>
      </c>
      <c r="CA227" s="66">
        <f t="shared" si="2087"/>
        <v>143.44199999999998</v>
      </c>
      <c r="CB227" s="66">
        <f t="shared" si="2087"/>
        <v>160.40100000000001</v>
      </c>
      <c r="CC227" s="66">
        <f t="shared" si="2087"/>
        <v>156.14099999999999</v>
      </c>
      <c r="CD227" s="66">
        <f t="shared" si="2087"/>
        <v>123.45900000000006</v>
      </c>
      <c r="CE227" s="66">
        <f t="shared" si="2087"/>
        <v>120.31700000000009</v>
      </c>
      <c r="CF227" s="66">
        <f t="shared" si="2087"/>
        <v>92.055000000000135</v>
      </c>
      <c r="CG227" s="66">
        <f t="shared" si="2087"/>
        <v>67.572000000000244</v>
      </c>
      <c r="CH227" s="66">
        <f t="shared" si="2087"/>
        <v>57.96100000000007</v>
      </c>
      <c r="CI227" s="66">
        <f t="shared" si="2087"/>
        <v>23.699999999999978</v>
      </c>
      <c r="CJ227" s="66">
        <f t="shared" si="2087"/>
        <v>29.645999999999802</v>
      </c>
      <c r="CK227" s="50">
        <f t="shared" si="2087"/>
        <v>40.901999999999717</v>
      </c>
      <c r="CL227" s="66">
        <f t="shared" si="2087"/>
        <v>55.592999999999947</v>
      </c>
      <c r="CM227" s="50">
        <f t="shared" si="2087"/>
        <v>61.046164593824365</v>
      </c>
      <c r="CN227" s="50">
        <f t="shared" si="2087"/>
        <v>73.771482386750606</v>
      </c>
      <c r="CO227" s="50">
        <f t="shared" si="2087"/>
        <v>91.143789332702383</v>
      </c>
      <c r="CP227" s="50">
        <f t="shared" si="2087"/>
        <v>124.11001612871564</v>
      </c>
      <c r="CQ227" s="50">
        <f t="shared" si="2087"/>
        <v>140.42298107658002</v>
      </c>
      <c r="CR227" s="50">
        <f t="shared" si="2087"/>
        <v>162.70399099756014</v>
      </c>
      <c r="CS227" s="50">
        <f t="shared" si="2087"/>
        <v>187.38847808246862</v>
      </c>
      <c r="CT227" s="50">
        <f t="shared" si="2087"/>
        <v>219.95301766684918</v>
      </c>
      <c r="CU227" s="50">
        <f t="shared" si="2087"/>
        <v>237.87409287858705</v>
      </c>
      <c r="CV227" s="50">
        <f t="shared" si="2087"/>
        <v>265.36101608979106</v>
      </c>
      <c r="CW227" s="50">
        <f t="shared" si="2087"/>
        <v>295.69287170747862</v>
      </c>
      <c r="CX227" s="50">
        <f t="shared" ref="CX227:DB227" si="2088">SUM(CU41:CX41)</f>
        <v>335.46531807366756</v>
      </c>
      <c r="CY227" s="50">
        <f t="shared" si="2088"/>
        <v>356.71348248178771</v>
      </c>
      <c r="CZ227" s="50">
        <f t="shared" si="2088"/>
        <v>391.59838514935956</v>
      </c>
      <c r="DA227" s="50">
        <f t="shared" si="2088"/>
        <v>430.27797939860676</v>
      </c>
      <c r="DB227" s="50">
        <f t="shared" si="2088"/>
        <v>481.87410980259142</v>
      </c>
      <c r="DE227" s="138"/>
      <c r="DF227" s="66">
        <v>40.514300468642155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178.64699999999999</v>
      </c>
      <c r="N231" s="64">
        <f t="shared" si="2089"/>
        <v>257.262</v>
      </c>
      <c r="O231" s="64">
        <f t="shared" si="2089"/>
        <v>210.43299999999999</v>
      </c>
      <c r="P231" s="64">
        <f t="shared" si="2089"/>
        <v>280.50700000000001</v>
      </c>
      <c r="Q231" s="64">
        <f t="shared" si="2089"/>
        <v>475.97089999999997</v>
      </c>
      <c r="R231" s="64">
        <f t="shared" si="2089"/>
        <v>444.7783</v>
      </c>
      <c r="S231" s="64">
        <f t="shared" si="2089"/>
        <v>751.64689999999996</v>
      </c>
      <c r="T231" s="64">
        <f t="shared" si="2089"/>
        <v>1050.4066</v>
      </c>
      <c r="U231" s="64">
        <f t="shared" si="2089"/>
        <v>1499.2592999999999</v>
      </c>
      <c r="V231" s="64">
        <f t="shared" si="2089"/>
        <v>1240.8624</v>
      </c>
      <c r="W231" s="64">
        <f t="shared" si="2089"/>
        <v>1748.0633</v>
      </c>
      <c r="X231" s="64">
        <f t="shared" si="2089"/>
        <v>1937.806</v>
      </c>
      <c r="Y231" s="64">
        <f t="shared" si="2089"/>
        <v>2505.7885000000001</v>
      </c>
      <c r="Z231" s="64">
        <f t="shared" si="2089"/>
        <v>2512.1257000000001</v>
      </c>
      <c r="AA231" s="64">
        <f t="shared" ref="AA231" si="2090">AA8-AA237</f>
        <v>3148.6619000000001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108.08200000000001</v>
      </c>
      <c r="AY231" s="64">
        <f t="shared" si="2091"/>
        <v>86.061999999999998</v>
      </c>
      <c r="AZ231" s="64">
        <f t="shared" si="2091"/>
        <v>77.638999999999996</v>
      </c>
      <c r="BA231" s="64">
        <f t="shared" si="2091"/>
        <v>75.406999999999996</v>
      </c>
      <c r="BB231" s="64">
        <f t="shared" si="2091"/>
        <v>161.65100000000001</v>
      </c>
      <c r="BC231" s="64">
        <f t="shared" si="2091"/>
        <v>155.80099999999999</v>
      </c>
      <c r="BD231" s="64">
        <f t="shared" si="2091"/>
        <v>139.553</v>
      </c>
      <c r="BE231" s="64">
        <f t="shared" si="2091"/>
        <v>170.8</v>
      </c>
      <c r="BF231" s="64">
        <f t="shared" si="2091"/>
        <v>263.67700000000002</v>
      </c>
      <c r="BG231" s="64">
        <f t="shared" si="2091"/>
        <v>238.22</v>
      </c>
      <c r="BH231" s="64">
        <f t="shared" si="2091"/>
        <v>212.06100000000001</v>
      </c>
      <c r="BI231" s="64">
        <f t="shared" si="2091"/>
        <v>261.96699999999998</v>
      </c>
      <c r="BJ231" s="64">
        <f t="shared" si="2091"/>
        <v>338.55900000000003</v>
      </c>
      <c r="BK231" s="64">
        <f t="shared" si="2091"/>
        <v>307.68299999999999</v>
      </c>
      <c r="BL231" s="64">
        <f t="shared" si="2091"/>
        <v>312.113</v>
      </c>
      <c r="BM231" s="64">
        <f t="shared" si="2091"/>
        <v>423.06599999999997</v>
      </c>
      <c r="BN231" s="64">
        <f t="shared" si="2091"/>
        <v>456.39699999999999</v>
      </c>
      <c r="BO231" s="64">
        <f t="shared" ref="BO231:CT231" si="2092">BO8-BO237</f>
        <v>106.892</v>
      </c>
      <c r="BP231" s="64">
        <f t="shared" si="2092"/>
        <v>243.08600000000001</v>
      </c>
      <c r="BQ231" s="64">
        <f t="shared" si="2092"/>
        <v>390.15899999999999</v>
      </c>
      <c r="BR231" s="64">
        <f t="shared" si="2092"/>
        <v>500.726</v>
      </c>
      <c r="BS231" s="64">
        <f t="shared" si="2092"/>
        <v>317.35599999999999</v>
      </c>
      <c r="BT231" s="64">
        <f t="shared" si="2092"/>
        <v>390.44099999999997</v>
      </c>
      <c r="BU231" s="64">
        <f t="shared" si="2092"/>
        <v>485.62</v>
      </c>
      <c r="BV231" s="64">
        <f t="shared" si="2092"/>
        <v>554.64700000000005</v>
      </c>
      <c r="BW231" s="64">
        <f t="shared" si="2092"/>
        <v>348.08199999999999</v>
      </c>
      <c r="BX231" s="64">
        <f t="shared" si="2092"/>
        <v>359.98200000000003</v>
      </c>
      <c r="BY231" s="64">
        <f t="shared" si="2092"/>
        <v>500.15699999999998</v>
      </c>
      <c r="BZ231" s="64">
        <f t="shared" si="2092"/>
        <v>729.58399999999995</v>
      </c>
      <c r="CA231" s="64">
        <f t="shared" si="2092"/>
        <v>513.62699999999995</v>
      </c>
      <c r="CB231" s="64">
        <f t="shared" si="2092"/>
        <v>619.65300000000002</v>
      </c>
      <c r="CC231" s="64">
        <f t="shared" si="2092"/>
        <v>704.75</v>
      </c>
      <c r="CD231" s="64">
        <f t="shared" si="2092"/>
        <v>667.75900000000001</v>
      </c>
      <c r="CE231" s="64">
        <f t="shared" si="2092"/>
        <v>623.06200000000001</v>
      </c>
      <c r="CF231" s="64">
        <f t="shared" si="2092"/>
        <v>585.96600000000001</v>
      </c>
      <c r="CG231" s="64">
        <f t="shared" si="2092"/>
        <v>630.21</v>
      </c>
      <c r="CH231" s="64">
        <f t="shared" si="2092"/>
        <v>672.88699999999994</v>
      </c>
      <c r="CI231" s="64">
        <f t="shared" si="2092"/>
        <v>517.76199999999994</v>
      </c>
      <c r="CJ231" s="64">
        <f t="shared" si="2092"/>
        <v>702.86599999999999</v>
      </c>
      <c r="CK231" s="30">
        <f t="shared" si="2092"/>
        <v>812.79399999999998</v>
      </c>
      <c r="CL231" s="64">
        <f t="shared" ref="CL231" si="2093">CL8-CL237</f>
        <v>1115.24</v>
      </c>
      <c r="CM231" s="30">
        <f t="shared" si="2092"/>
        <v>644.3043985965885</v>
      </c>
      <c r="CN231" s="30">
        <f t="shared" si="2092"/>
        <v>947.29068035624141</v>
      </c>
      <c r="CO231" s="30">
        <f t="shared" si="2092"/>
        <v>1125.5717445856183</v>
      </c>
      <c r="CP231" s="30">
        <f t="shared" si="2092"/>
        <v>1570.9188658937505</v>
      </c>
      <c r="CQ231" s="30">
        <f t="shared" si="2092"/>
        <v>867.48621944222464</v>
      </c>
      <c r="CR231" s="30">
        <f t="shared" si="2092"/>
        <v>1299.5778610691109</v>
      </c>
      <c r="CS231" s="30">
        <f t="shared" si="2092"/>
        <v>1550.9511190135472</v>
      </c>
      <c r="CT231" s="30">
        <f t="shared" si="2092"/>
        <v>2161.8972406328276</v>
      </c>
      <c r="CU231" s="30">
        <f t="shared" ref="CU231:DB231" si="2094">CU8-CU237</f>
        <v>1186.8085918848515</v>
      </c>
      <c r="CV231" s="30">
        <f t="shared" si="2094"/>
        <v>1785.0066168628955</v>
      </c>
      <c r="CW231" s="30">
        <f t="shared" si="2094"/>
        <v>2130.9102646862439</v>
      </c>
      <c r="CX231" s="30">
        <f t="shared" si="2094"/>
        <v>2968.1582962448156</v>
      </c>
      <c r="CY231" s="30">
        <f t="shared" si="2094"/>
        <v>1628.4521115117175</v>
      </c>
      <c r="CZ231" s="30">
        <f t="shared" si="2094"/>
        <v>2451.0524696908833</v>
      </c>
      <c r="DA231" s="30">
        <f t="shared" si="2094"/>
        <v>2925.8142228067586</v>
      </c>
      <c r="DB231" s="30">
        <f t="shared" si="2094"/>
        <v>4074.715097096464</v>
      </c>
      <c r="DE231" s="139"/>
      <c r="DF231" s="64">
        <v>728.04595281143793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0</v>
      </c>
      <c r="K232" s="64">
        <f t="shared" si="2095"/>
        <v>0</v>
      </c>
      <c r="L232" s="64">
        <f t="shared" si="2095"/>
        <v>0</v>
      </c>
      <c r="M232" s="64">
        <f t="shared" si="2095"/>
        <v>15.413999999999987</v>
      </c>
      <c r="N232" s="64">
        <f t="shared" si="2095"/>
        <v>21.975000000000023</v>
      </c>
      <c r="O232" s="64">
        <f t="shared" si="2095"/>
        <v>16.742999999999981</v>
      </c>
      <c r="P232" s="64">
        <f t="shared" si="2095"/>
        <v>22.411000000000001</v>
      </c>
      <c r="Q232" s="64">
        <f t="shared" si="2095"/>
        <v>34.866099999999932</v>
      </c>
      <c r="R232" s="64">
        <f t="shared" si="2095"/>
        <v>67.094700000000017</v>
      </c>
      <c r="S232" s="64">
        <f t="shared" si="2095"/>
        <v>104.50109999999995</v>
      </c>
      <c r="T232" s="64">
        <f t="shared" si="2095"/>
        <v>148.56139999999994</v>
      </c>
      <c r="U232" s="64">
        <f t="shared" si="2095"/>
        <v>190.83169999999996</v>
      </c>
      <c r="V232" s="64">
        <f t="shared" si="2095"/>
        <v>134.93669999999986</v>
      </c>
      <c r="W232" s="64">
        <f t="shared" si="2095"/>
        <v>258.43909999999983</v>
      </c>
      <c r="X232" s="64">
        <f t="shared" si="2095"/>
        <v>230.0637999999999</v>
      </c>
      <c r="Y232" s="64">
        <f t="shared" si="2095"/>
        <v>260.93520000000012</v>
      </c>
      <c r="Z232" s="64">
        <f t="shared" si="2095"/>
        <v>179.42919999999981</v>
      </c>
      <c r="AA232" s="64">
        <f t="shared" ref="AA232" si="2096">AA28-AA238</f>
        <v>189.04999999999973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9.267000000000003</v>
      </c>
      <c r="AY232" s="64">
        <f t="shared" si="2097"/>
        <v>11.836999999999996</v>
      </c>
      <c r="AZ232" s="64">
        <f t="shared" si="2097"/>
        <v>11.249000000000009</v>
      </c>
      <c r="BA232" s="64">
        <f t="shared" si="2097"/>
        <v>9.4409999999999954</v>
      </c>
      <c r="BB232" s="64">
        <f t="shared" si="2097"/>
        <v>33.414000000000001</v>
      </c>
      <c r="BC232" s="64">
        <f t="shared" si="2097"/>
        <v>19.909999999999982</v>
      </c>
      <c r="BD232" s="64">
        <f t="shared" si="2097"/>
        <v>18.64</v>
      </c>
      <c r="BE232" s="64">
        <f t="shared" si="2097"/>
        <v>26.555000000000007</v>
      </c>
      <c r="BF232" s="64">
        <f t="shared" si="2097"/>
        <v>36.290000000000049</v>
      </c>
      <c r="BG232" s="64">
        <f t="shared" si="2097"/>
        <v>33.418000000000006</v>
      </c>
      <c r="BH232" s="64">
        <f t="shared" si="2097"/>
        <v>28.856999999999999</v>
      </c>
      <c r="BI232" s="64">
        <f t="shared" si="2097"/>
        <v>36.622999999999976</v>
      </c>
      <c r="BJ232" s="64">
        <f t="shared" si="2097"/>
        <v>50.080000000000013</v>
      </c>
      <c r="BK232" s="64">
        <f t="shared" si="2097"/>
        <v>43.142999999999972</v>
      </c>
      <c r="BL232" s="64">
        <f t="shared" si="2097"/>
        <v>42.818000000000012</v>
      </c>
      <c r="BM232" s="64">
        <f t="shared" si="2097"/>
        <v>53.97399999999999</v>
      </c>
      <c r="BN232" s="64">
        <f t="shared" si="2097"/>
        <v>50.942000000000007</v>
      </c>
      <c r="BO232" s="64">
        <f t="shared" ref="BO232:CT232" si="2098">BO28-BO238</f>
        <v>1.2950000000000017</v>
      </c>
      <c r="BP232" s="64">
        <f t="shared" si="2098"/>
        <v>25.604000000000013</v>
      </c>
      <c r="BQ232" s="64">
        <f t="shared" si="2098"/>
        <v>44.846999999999952</v>
      </c>
      <c r="BR232" s="64">
        <f t="shared" si="2098"/>
        <v>63.024999999999977</v>
      </c>
      <c r="BS232" s="64">
        <f t="shared" si="2098"/>
        <v>39.389000000000038</v>
      </c>
      <c r="BT232" s="64">
        <f t="shared" si="2098"/>
        <v>54.706999999999994</v>
      </c>
      <c r="BU232" s="64">
        <f t="shared" si="2098"/>
        <v>75.998000000000047</v>
      </c>
      <c r="BV232" s="64">
        <f t="shared" si="2098"/>
        <v>88.346000000000117</v>
      </c>
      <c r="BW232" s="64">
        <f t="shared" si="2098"/>
        <v>47.873999999999967</v>
      </c>
      <c r="BX232" s="64">
        <f t="shared" si="2098"/>
        <v>39.475000000000023</v>
      </c>
      <c r="BY232" s="64">
        <f t="shared" si="2098"/>
        <v>61.790999999999997</v>
      </c>
      <c r="BZ232" s="64">
        <f t="shared" si="2098"/>
        <v>80.922000000000025</v>
      </c>
      <c r="CA232" s="64">
        <f t="shared" si="2098"/>
        <v>66.17399999999995</v>
      </c>
      <c r="CB232" s="64">
        <f t="shared" si="2098"/>
        <v>72.500000000000057</v>
      </c>
      <c r="CC232" s="64">
        <f t="shared" si="2098"/>
        <v>69.604999999999961</v>
      </c>
      <c r="CD232" s="64">
        <f t="shared" si="2098"/>
        <v>52.657000000000096</v>
      </c>
      <c r="CE232" s="64">
        <f t="shared" si="2098"/>
        <v>73.956999999999994</v>
      </c>
      <c r="CF232" s="64">
        <f t="shared" si="2098"/>
        <v>37.597000000000094</v>
      </c>
      <c r="CG232" s="64">
        <f t="shared" si="2098"/>
        <v>35.524000000000058</v>
      </c>
      <c r="CH232" s="64">
        <f t="shared" si="2098"/>
        <v>32.348999999999933</v>
      </c>
      <c r="CI232" s="64">
        <f t="shared" si="2098"/>
        <v>24.792999999999893</v>
      </c>
      <c r="CJ232" s="64">
        <f t="shared" si="2098"/>
        <v>49.928999999999917</v>
      </c>
      <c r="CK232" s="30">
        <f t="shared" si="2098"/>
        <v>54.531999999999982</v>
      </c>
      <c r="CL232" s="64">
        <f t="shared" ref="CL232" si="2099">CL28-CL238</f>
        <v>59.796000000000163</v>
      </c>
      <c r="CM232" s="30">
        <f t="shared" si="2098"/>
        <v>38.598734189874904</v>
      </c>
      <c r="CN232" s="30">
        <f t="shared" si="2098"/>
        <v>59.597158011456486</v>
      </c>
      <c r="CO232" s="30">
        <f t="shared" si="2098"/>
        <v>68.527641274170605</v>
      </c>
      <c r="CP232" s="30">
        <f t="shared" si="2098"/>
        <v>93.202834701270717</v>
      </c>
      <c r="CQ232" s="30">
        <f t="shared" si="2098"/>
        <v>52.707060934736035</v>
      </c>
      <c r="CR232" s="30">
        <f t="shared" si="2098"/>
        <v>79.236663901875431</v>
      </c>
      <c r="CS232" s="30">
        <f t="shared" si="2098"/>
        <v>93.810100080595021</v>
      </c>
      <c r="CT232" s="30">
        <f t="shared" si="2098"/>
        <v>130.54893831622007</v>
      </c>
      <c r="CU232" s="30">
        <f t="shared" ref="CU232:DB232" si="2100">CU28-CU238</f>
        <v>71.980319496363109</v>
      </c>
      <c r="CV232" s="30">
        <f t="shared" si="2100"/>
        <v>108.21299613023427</v>
      </c>
      <c r="CW232" s="30">
        <f t="shared" si="2100"/>
        <v>128.99754771333414</v>
      </c>
      <c r="CX232" s="30">
        <f t="shared" si="2100"/>
        <v>179.71921163371985</v>
      </c>
      <c r="CY232" s="30">
        <f t="shared" si="2100"/>
        <v>98.667524861859533</v>
      </c>
      <c r="CZ232" s="30">
        <f t="shared" si="2100"/>
        <v>148.4715769046984</v>
      </c>
      <c r="DA232" s="30">
        <f t="shared" si="2100"/>
        <v>177.19448312706231</v>
      </c>
      <c r="DB232" s="30">
        <f t="shared" si="2100"/>
        <v>246.80131784991318</v>
      </c>
      <c r="DE232" s="139"/>
      <c r="DF232" s="64">
        <v>42.606742198729762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>
        <f t="shared" ref="M233" si="2111">+M232/M231</f>
        <v>8.6281885506053771E-2</v>
      </c>
      <c r="N233" s="86">
        <f t="shared" ref="N233" si="2112">+N232/N231</f>
        <v>8.5418755976397684E-2</v>
      </c>
      <c r="O233" s="86">
        <f t="shared" ref="O233" si="2113">+O232/O231</f>
        <v>7.9564516972147822E-2</v>
      </c>
      <c r="P233" s="86">
        <f t="shared" ref="P233" si="2114">+P232/P231</f>
        <v>7.9894619385612486E-2</v>
      </c>
      <c r="Q233" s="86">
        <f t="shared" ref="Q233" si="2115">+Q232/Q231</f>
        <v>7.3252587500622274E-2</v>
      </c>
      <c r="R233" s="86">
        <f t="shared" ref="R233" si="2116">+R232/R231</f>
        <v>0.15084976043120812</v>
      </c>
      <c r="S233" s="86">
        <f t="shared" ref="S233" si="2117">+S232/S231</f>
        <v>0.13902950973389228</v>
      </c>
      <c r="T233" s="86">
        <f t="shared" ref="T233" si="2118">+T232/T231</f>
        <v>0.14143227965246974</v>
      </c>
      <c r="U233" s="86">
        <f t="shared" ref="U233" si="2119">+U232/U231</f>
        <v>0.12728398616570194</v>
      </c>
      <c r="V233" s="86">
        <f t="shared" ref="V233" si="2120">+V232/V231</f>
        <v>0.10874428945546248</v>
      </c>
      <c r="W233" s="86">
        <f t="shared" ref="W233" si="2121">+W232/W231</f>
        <v>0.1478431015627408</v>
      </c>
      <c r="X233" s="86">
        <f t="shared" ref="X233:Y233" si="2122">+X232/X231</f>
        <v>0.11872385574200921</v>
      </c>
      <c r="Y233" s="86">
        <f t="shared" si="2122"/>
        <v>0.1041329705200579</v>
      </c>
      <c r="Z233" s="86">
        <f t="shared" ref="Z233:AA233" si="2123">+Z232/Z231</f>
        <v>7.1425247550311599E-2</v>
      </c>
      <c r="AA233" s="86">
        <f t="shared" si="2123"/>
        <v>6.004137821212234E-2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>
        <f t="shared" ref="AX233" si="2139">+AX232/AX231</f>
        <v>8.5740456320201344E-2</v>
      </c>
      <c r="AY233" s="86">
        <f t="shared" ref="AY233" si="2140">+AY232/AY231</f>
        <v>0.13754037786711901</v>
      </c>
      <c r="AZ233" s="86">
        <f t="shared" ref="AZ233" si="2141">+AZ232/AZ231</f>
        <v>0.14488852252089812</v>
      </c>
      <c r="BA233" s="86">
        <f t="shared" ref="BA233" si="2142">+BA232/BA231</f>
        <v>0.12520057819565816</v>
      </c>
      <c r="BB233" s="86">
        <f t="shared" ref="BB233" si="2143">+BB232/BB231</f>
        <v>0.20670456724672287</v>
      </c>
      <c r="BC233" s="86">
        <f t="shared" ref="BC233" si="2144">+BC232/BC231</f>
        <v>0.1277912208522409</v>
      </c>
      <c r="BD233" s="86">
        <f t="shared" ref="BD233" si="2145">+BD232/BD231</f>
        <v>0.13356932491598175</v>
      </c>
      <c r="BE233" s="86">
        <f t="shared" ref="BE233" si="2146">+BE232/BE231</f>
        <v>0.15547423887587825</v>
      </c>
      <c r="BF233" s="86">
        <f t="shared" ref="BF233" si="2147">+BF232/BF231</f>
        <v>0.13763051005586396</v>
      </c>
      <c r="BG233" s="86">
        <f t="shared" ref="BG233" si="2148">+BG232/BG231</f>
        <v>0.14028209218369578</v>
      </c>
      <c r="BH233" s="86">
        <f t="shared" ref="BH233" si="2149">+BH232/BH231</f>
        <v>0.13607876978793837</v>
      </c>
      <c r="BI233" s="86">
        <f t="shared" ref="BI233" si="2150">+BI232/BI231</f>
        <v>0.13980005115148084</v>
      </c>
      <c r="BJ233" s="86">
        <f t="shared" ref="BJ233" si="2151">+BJ232/BJ231</f>
        <v>0.14792104182727386</v>
      </c>
      <c r="BK233" s="86">
        <f t="shared" ref="BK233" si="2152">+BK232/BK231</f>
        <v>0.14021899162449655</v>
      </c>
      <c r="BL233" s="86">
        <f t="shared" ref="BL233" si="2153">+BL232/BL231</f>
        <v>0.13718749299132049</v>
      </c>
      <c r="BM233" s="86">
        <f t="shared" ref="BM233" si="2154">+BM232/BM231</f>
        <v>0.12757820292814831</v>
      </c>
      <c r="BN233" s="86">
        <f t="shared" ref="BN233" si="2155">+BN232/BN231</f>
        <v>0.11161773631290303</v>
      </c>
      <c r="BO233" s="86">
        <f t="shared" ref="BO233" si="2156">+BO232/BO231</f>
        <v>1.2115031994910767E-2</v>
      </c>
      <c r="BP233" s="86">
        <f t="shared" ref="BP233" si="2157">+BP232/BP231</f>
        <v>0.10532897822169937</v>
      </c>
      <c r="BQ233" s="86">
        <f t="shared" ref="BQ233" si="2158">+BQ232/BQ231</f>
        <v>0.11494544531844697</v>
      </c>
      <c r="BR233" s="86">
        <f t="shared" ref="BR233" si="2159">+BR232/BR231</f>
        <v>0.12586724076640712</v>
      </c>
      <c r="BS233" s="86">
        <f t="shared" ref="BS233" si="2160">+BS232/BS231</f>
        <v>0.12411613456181714</v>
      </c>
      <c r="BT233" s="86">
        <f t="shared" ref="BT233" si="2161">+BT232/BT231</f>
        <v>0.14011592020305244</v>
      </c>
      <c r="BU233" s="86">
        <f t="shared" ref="BU233" si="2162">+BU232/BU231</f>
        <v>0.1564968493884108</v>
      </c>
      <c r="BV233" s="86">
        <f t="shared" ref="BV233" si="2163">+BV232/BV231</f>
        <v>0.1592832918955662</v>
      </c>
      <c r="BW233" s="86">
        <f t="shared" ref="BW233" si="2164">+BW232/BW231</f>
        <v>0.13753655747783558</v>
      </c>
      <c r="BX233" s="86">
        <f t="shared" ref="BX233" si="2165">+BX232/BX231</f>
        <v>0.10965826069081237</v>
      </c>
      <c r="BY233" s="86">
        <f t="shared" ref="BY233" si="2166">+BY232/BY231</f>
        <v>0.12354320743286608</v>
      </c>
      <c r="BZ233" s="86">
        <f t="shared" ref="BZ233" si="2167">+BZ232/BZ231</f>
        <v>0.11091526129958995</v>
      </c>
      <c r="CA233" s="86">
        <f t="shared" ref="CA233" si="2168">+CA232/CA231</f>
        <v>0.12883668498735454</v>
      </c>
      <c r="CB233" s="86">
        <f t="shared" ref="CB233:CC233" si="2169">+CB232/CB231</f>
        <v>0.11700096667005574</v>
      </c>
      <c r="CC233" s="86">
        <f t="shared" si="2169"/>
        <v>9.8765519687832509E-2</v>
      </c>
      <c r="CD233" s="86">
        <f t="shared" ref="CD233" si="2170">+CD232/CD231</f>
        <v>7.8856293962342838E-2</v>
      </c>
      <c r="CE233" s="86">
        <f t="shared" ref="CE233:CF233" si="2171">+CE232/CE231</f>
        <v>0.1186992626736986</v>
      </c>
      <c r="CF233" s="86">
        <f t="shared" si="2171"/>
        <v>6.4162425806275611E-2</v>
      </c>
      <c r="CG233" s="86">
        <f t="shared" ref="CG233:CH233" si="2172">+CG232/CG231</f>
        <v>5.6368512083273918E-2</v>
      </c>
      <c r="CH233" s="86">
        <f t="shared" si="2172"/>
        <v>4.8074936802167283E-2</v>
      </c>
      <c r="CI233" s="86">
        <f t="shared" ref="CI233:CJ233" si="2173">+CI232/CI231</f>
        <v>4.7884935549538002E-2</v>
      </c>
      <c r="CJ233" s="86">
        <f t="shared" si="2173"/>
        <v>7.1036299949065559E-2</v>
      </c>
      <c r="CK233" s="47">
        <f t="shared" ref="CK233:DB233" si="2174">+CK232/CK231</f>
        <v>6.7092030699045499E-2</v>
      </c>
      <c r="CL233" s="86">
        <f t="shared" si="2174"/>
        <v>5.3617158638499481E-2</v>
      </c>
      <c r="CM233" s="47">
        <f t="shared" si="2174"/>
        <v>5.9907606209037109E-2</v>
      </c>
      <c r="CN233" s="47">
        <f t="shared" si="2174"/>
        <v>6.2913273873911837E-2</v>
      </c>
      <c r="CO233" s="47">
        <f t="shared" si="2174"/>
        <v>6.088251735512356E-2</v>
      </c>
      <c r="CP233" s="47">
        <f t="shared" si="2174"/>
        <v>5.9330139019143024E-2</v>
      </c>
      <c r="CQ233" s="47">
        <f t="shared" si="2174"/>
        <v>6.0758384114303933E-2</v>
      </c>
      <c r="CR233" s="47">
        <f t="shared" si="2174"/>
        <v>6.0971078590620641E-2</v>
      </c>
      <c r="CS233" s="47">
        <f t="shared" si="2174"/>
        <v>6.0485529769797736E-2</v>
      </c>
      <c r="CT233" s="47">
        <f t="shared" si="2174"/>
        <v>6.0386282873466257E-2</v>
      </c>
      <c r="CU233" s="47">
        <f t="shared" si="2174"/>
        <v>6.0650318837047065E-2</v>
      </c>
      <c r="CV233" s="47">
        <f t="shared" si="2174"/>
        <v>6.0623302517732909E-2</v>
      </c>
      <c r="CW233" s="47">
        <f t="shared" si="2174"/>
        <v>6.053635849951091E-2</v>
      </c>
      <c r="CX233" s="47">
        <f t="shared" si="2174"/>
        <v>6.0549065681939122E-2</v>
      </c>
      <c r="CY233" s="47">
        <f t="shared" si="2174"/>
        <v>6.0589761384057486E-2</v>
      </c>
      <c r="CZ233" s="47">
        <f t="shared" si="2174"/>
        <v>6.0574622020810112E-2</v>
      </c>
      <c r="DA233" s="47">
        <f t="shared" si="2174"/>
        <v>6.0562451896579453E-2</v>
      </c>
      <c r="DB233" s="47">
        <f t="shared" si="2174"/>
        <v>6.0568975245846604E-2</v>
      </c>
      <c r="DE233" s="130"/>
      <c r="DF233" s="89">
        <v>5.8522050749954244E-2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</v>
      </c>
      <c r="K234" s="64">
        <f t="shared" si="2175"/>
        <v>0</v>
      </c>
      <c r="L234" s="64">
        <f t="shared" si="2175"/>
        <v>0</v>
      </c>
      <c r="M234" s="64">
        <f t="shared" si="2175"/>
        <v>8.3519999999999879</v>
      </c>
      <c r="N234" s="64">
        <f t="shared" si="2175"/>
        <v>12.250000000000025</v>
      </c>
      <c r="O234" s="64">
        <f t="shared" si="2175"/>
        <v>10.069999999999981</v>
      </c>
      <c r="P234" s="64">
        <f t="shared" si="2175"/>
        <v>14.053999999999998</v>
      </c>
      <c r="Q234" s="64">
        <f t="shared" si="2175"/>
        <v>22.024499999999939</v>
      </c>
      <c r="R234" s="64">
        <f t="shared" si="2175"/>
        <v>41.61340000000002</v>
      </c>
      <c r="S234" s="64">
        <f t="shared" si="2175"/>
        <v>65.998899999999949</v>
      </c>
      <c r="T234" s="64">
        <f t="shared" si="2175"/>
        <v>89.119399999999928</v>
      </c>
      <c r="U234" s="64">
        <f t="shared" si="2175"/>
        <v>128.20179999999993</v>
      </c>
      <c r="V234" s="64">
        <f t="shared" si="2175"/>
        <v>83.365699999999862</v>
      </c>
      <c r="W234" s="64">
        <f t="shared" si="2175"/>
        <v>166.27469999999983</v>
      </c>
      <c r="X234" s="64">
        <f t="shared" si="2175"/>
        <v>134.64119999999991</v>
      </c>
      <c r="Y234" s="64">
        <f t="shared" si="2175"/>
        <v>123.45800000000014</v>
      </c>
      <c r="Z234" s="64">
        <f t="shared" si="2175"/>
        <v>57.960399999999808</v>
      </c>
      <c r="AA234" s="64">
        <f t="shared" ref="AA234" si="2176">AA41-AA240</f>
        <v>55.592099999999739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5.9460000000000033</v>
      </c>
      <c r="AY234" s="64">
        <f t="shared" si="2177"/>
        <v>7.498999999999997</v>
      </c>
      <c r="AZ234" s="64">
        <f t="shared" si="2177"/>
        <v>6.2750000000000092</v>
      </c>
      <c r="BA234" s="64">
        <f t="shared" si="2177"/>
        <v>7.3179999999999961</v>
      </c>
      <c r="BB234" s="64">
        <f t="shared" si="2177"/>
        <v>20.518000000000001</v>
      </c>
      <c r="BC234" s="64">
        <f t="shared" si="2177"/>
        <v>13.561999999999983</v>
      </c>
      <c r="BD234" s="64">
        <f t="shared" si="2177"/>
        <v>12.661000000000001</v>
      </c>
      <c r="BE234" s="64">
        <f t="shared" si="2177"/>
        <v>15.17700000000001</v>
      </c>
      <c r="BF234" s="64">
        <f t="shared" si="2177"/>
        <v>22.96500000000005</v>
      </c>
      <c r="BG234" s="64">
        <f t="shared" si="2177"/>
        <v>21.068000000000012</v>
      </c>
      <c r="BH234" s="64">
        <f t="shared" si="2177"/>
        <v>17.286999999999999</v>
      </c>
      <c r="BI234" s="64">
        <f t="shared" si="2177"/>
        <v>21.046999999999976</v>
      </c>
      <c r="BJ234" s="64">
        <f t="shared" si="2177"/>
        <v>29.732000000000006</v>
      </c>
      <c r="BK234" s="64">
        <f t="shared" si="2177"/>
        <v>25.390999999999977</v>
      </c>
      <c r="BL234" s="64">
        <f t="shared" si="2177"/>
        <v>31.916000000000007</v>
      </c>
      <c r="BM234" s="64">
        <f t="shared" si="2177"/>
        <v>36.261999999999986</v>
      </c>
      <c r="BN234" s="64">
        <f t="shared" si="2177"/>
        <v>34.644000000000005</v>
      </c>
      <c r="BO234" s="64">
        <f t="shared" ref="BO234:CT234" si="2178">BO41-BO240</f>
        <v>-2.524999999999999</v>
      </c>
      <c r="BP234" s="64">
        <f t="shared" si="2178"/>
        <v>15.270000000000012</v>
      </c>
      <c r="BQ234" s="64">
        <f t="shared" si="2178"/>
        <v>28.549999999999955</v>
      </c>
      <c r="BR234" s="64">
        <f t="shared" si="2178"/>
        <v>42.071999999999974</v>
      </c>
      <c r="BS234" s="64">
        <f t="shared" si="2178"/>
        <v>24.80900000000004</v>
      </c>
      <c r="BT234" s="64">
        <f t="shared" si="2178"/>
        <v>36.338999999999999</v>
      </c>
      <c r="BU234" s="64">
        <f t="shared" si="2178"/>
        <v>50.298000000000059</v>
      </c>
      <c r="BV234" s="64">
        <f t="shared" si="2178"/>
        <v>54.831000000000117</v>
      </c>
      <c r="BW234" s="64">
        <f t="shared" si="2178"/>
        <v>29.026999999999965</v>
      </c>
      <c r="BX234" s="64">
        <f t="shared" si="2178"/>
        <v>21.523000000000025</v>
      </c>
      <c r="BY234" s="64">
        <f t="shared" si="2178"/>
        <v>35.327999999999989</v>
      </c>
      <c r="BZ234" s="64">
        <f t="shared" si="2178"/>
        <v>48.762000000000015</v>
      </c>
      <c r="CA234" s="64">
        <f t="shared" si="2178"/>
        <v>37.828999999999951</v>
      </c>
      <c r="CB234" s="64">
        <f t="shared" si="2178"/>
        <v>38.482000000000056</v>
      </c>
      <c r="CC234" s="64">
        <f t="shared" si="2178"/>
        <v>31.067999999999959</v>
      </c>
      <c r="CD234" s="64">
        <f t="shared" si="2178"/>
        <v>16.080000000000098</v>
      </c>
      <c r="CE234" s="64">
        <f t="shared" si="2178"/>
        <v>34.686999999999991</v>
      </c>
      <c r="CF234" s="64">
        <f t="shared" si="2178"/>
        <v>10.220000000000093</v>
      </c>
      <c r="CG234" s="64">
        <f t="shared" si="2178"/>
        <v>6.5850000000000586</v>
      </c>
      <c r="CH234" s="64">
        <f t="shared" si="2178"/>
        <v>6.4689999999999319</v>
      </c>
      <c r="CI234" s="64">
        <f t="shared" si="2178"/>
        <v>0.42599999999989308</v>
      </c>
      <c r="CJ234" s="64">
        <f t="shared" si="2178"/>
        <v>16.165999999999915</v>
      </c>
      <c r="CK234" s="30">
        <f t="shared" si="2178"/>
        <v>17.84099999999998</v>
      </c>
      <c r="CL234" s="64">
        <f t="shared" ref="CL234" si="2179">CL41-CL240</f>
        <v>21.16000000000016</v>
      </c>
      <c r="CM234" s="30">
        <f t="shared" si="2178"/>
        <v>5.8791645938243153</v>
      </c>
      <c r="CN234" s="30">
        <f t="shared" si="2178"/>
        <v>28.891317792926149</v>
      </c>
      <c r="CO234" s="30">
        <f t="shared" si="2178"/>
        <v>35.213306945951757</v>
      </c>
      <c r="CP234" s="30">
        <f t="shared" si="2178"/>
        <v>54.126226796013405</v>
      </c>
      <c r="CQ234" s="30">
        <f t="shared" si="2178"/>
        <v>22.192129541688708</v>
      </c>
      <c r="CR234" s="30">
        <f t="shared" si="2178"/>
        <v>51.172327713906277</v>
      </c>
      <c r="CS234" s="30">
        <f t="shared" si="2178"/>
        <v>59.897794030860226</v>
      </c>
      <c r="CT234" s="30">
        <f t="shared" si="2178"/>
        <v>86.690766380393953</v>
      </c>
      <c r="CU234" s="30">
        <f t="shared" ref="CU234:DB234" si="2180">CU41-CU240</f>
        <v>40.113204753426579</v>
      </c>
      <c r="CV234" s="30">
        <f t="shared" si="2180"/>
        <v>78.659250925110314</v>
      </c>
      <c r="CW234" s="30">
        <f t="shared" si="2180"/>
        <v>90.229649648547792</v>
      </c>
      <c r="CX234" s="30">
        <f t="shared" si="2180"/>
        <v>126.46321274658288</v>
      </c>
      <c r="CY234" s="30">
        <f t="shared" si="2180"/>
        <v>61.361369161546747</v>
      </c>
      <c r="CZ234" s="30">
        <f t="shared" si="2180"/>
        <v>113.54415359268211</v>
      </c>
      <c r="DA234" s="30">
        <f t="shared" si="2180"/>
        <v>128.90924389779502</v>
      </c>
      <c r="DB234" s="30">
        <f t="shared" si="2180"/>
        <v>178.05934315056757</v>
      </c>
      <c r="DE234" s="139"/>
      <c r="DF234" s="64">
        <v>6.0813004686423699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 t="e">
        <f t="shared" si="2235"/>
        <v>#DIV/0!</v>
      </c>
      <c r="K244" s="84" t="e">
        <f t="shared" si="2235"/>
        <v>#DIV/0!</v>
      </c>
      <c r="L244" s="84" t="e">
        <f t="shared" si="2235"/>
        <v>#DIV/0!</v>
      </c>
      <c r="M244" s="84">
        <f t="shared" si="2235"/>
        <v>1.9505382918786711</v>
      </c>
      <c r="N244" s="84">
        <f t="shared" si="2235"/>
        <v>2.6441596085848205</v>
      </c>
      <c r="O244" s="84">
        <f t="shared" si="2235"/>
        <v>1.5568593793930068</v>
      </c>
      <c r="P244" s="84">
        <f t="shared" si="2235"/>
        <v>1.5155274804251617</v>
      </c>
      <c r="Q244" s="84">
        <f t="shared" si="2235"/>
        <v>1.9102184689674215</v>
      </c>
      <c r="R244" s="84">
        <f t="shared" si="2235"/>
        <v>1.3938969531461052</v>
      </c>
      <c r="S244" s="84">
        <f t="shared" si="2235"/>
        <v>1.2605772197923095</v>
      </c>
      <c r="T244" s="84">
        <f t="shared" si="2235"/>
        <v>1.4418687841762212</v>
      </c>
      <c r="U244" s="84">
        <f t="shared" si="2235"/>
        <v>1.5693724255464714</v>
      </c>
      <c r="V244" s="84">
        <f t="shared" si="2235"/>
        <v>1.2649889008107122</v>
      </c>
      <c r="W244" s="84">
        <f t="shared" si="2235"/>
        <v>1.3893071097601093</v>
      </c>
      <c r="X244" s="84">
        <f t="shared" si="2235"/>
        <v>1.1061753196256232</v>
      </c>
      <c r="Y244" s="84">
        <f t="shared" si="2235"/>
        <v>1.2425228496478471</v>
      </c>
      <c r="Z244" s="84">
        <f>Z10/(Z161+Z148+Z138)</f>
        <v>1.0805063398504993</v>
      </c>
      <c r="AA244" s="84">
        <f>AA10/(AA161+AA148+AA138)</f>
        <v>1.0347213737369967</v>
      </c>
      <c r="AB244" s="50">
        <f t="shared" ref="AA244:AE244" si="2236">AB10/(AB161+AB148+AB138)</f>
        <v>1.1335497783896653</v>
      </c>
      <c r="AC244" s="50">
        <f t="shared" si="2236"/>
        <v>1.224595116252742</v>
      </c>
      <c r="AD244" s="50">
        <f t="shared" si="2236"/>
        <v>1.2961729216662643</v>
      </c>
      <c r="AE244" s="50">
        <f t="shared" si="2236"/>
        <v>1.3505201915490364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>
        <f t="shared" si="2237"/>
        <v>0.43376811012561706</v>
      </c>
      <c r="AY244" s="84">
        <f t="shared" si="2237"/>
        <v>0.80917210886855007</v>
      </c>
      <c r="AZ244" s="84" t="e">
        <f t="shared" si="2237"/>
        <v>#DIV/0!</v>
      </c>
      <c r="BA244" s="84">
        <f t="shared" si="2237"/>
        <v>47.443290516534603</v>
      </c>
      <c r="BB244" s="84">
        <f t="shared" si="2237"/>
        <v>1.2466722453283894</v>
      </c>
      <c r="BC244" s="84">
        <f t="shared" si="2237"/>
        <v>1.4157375419340203</v>
      </c>
      <c r="BD244" s="84">
        <f t="shared" si="2237"/>
        <v>1.1139538192439344</v>
      </c>
      <c r="BE244" s="84">
        <f t="shared" si="2237"/>
        <v>1.2161695245227995</v>
      </c>
      <c r="BF244" s="84">
        <f t="shared" si="2237"/>
        <v>1.2239900582284595</v>
      </c>
      <c r="BG244" s="84">
        <f t="shared" si="2237"/>
        <v>1.3424252737653768</v>
      </c>
      <c r="BH244" s="84">
        <f t="shared" si="2237"/>
        <v>1.393668650890538</v>
      </c>
      <c r="BI244" s="84">
        <f t="shared" si="2237"/>
        <v>1.4227308804705585</v>
      </c>
      <c r="BJ244" s="84">
        <f t="shared" si="2237"/>
        <v>1.4424195919577547</v>
      </c>
      <c r="BK244" s="84">
        <f t="shared" si="2237"/>
        <v>1.5152736304457894</v>
      </c>
      <c r="BL244" s="84">
        <f t="shared" si="2237"/>
        <v>1.430724318240439</v>
      </c>
      <c r="BM244" s="84">
        <f t="shared" si="2237"/>
        <v>1.451993030853951</v>
      </c>
      <c r="BN244" s="84">
        <f t="shared" si="2237"/>
        <v>1.5693739185594819</v>
      </c>
      <c r="BO244" s="84">
        <f t="shared" si="2237"/>
        <v>1.6523081026012971</v>
      </c>
      <c r="BP244" s="84">
        <f t="shared" si="2237"/>
        <v>1.3992290498215458</v>
      </c>
      <c r="BQ244" s="84">
        <f t="shared" si="2237"/>
        <v>1.1761025212925025</v>
      </c>
      <c r="BR244" s="84">
        <f t="shared" si="2237"/>
        <v>1.2649914468573573</v>
      </c>
      <c r="BS244" s="84">
        <f t="shared" si="2237"/>
        <v>1.5916300138883297</v>
      </c>
      <c r="BT244" s="84">
        <f t="shared" si="2237"/>
        <v>1.310664735121734</v>
      </c>
      <c r="BU244" s="84">
        <f t="shared" si="2237"/>
        <v>1.2742559713171402</v>
      </c>
      <c r="BV244" s="84">
        <f t="shared" si="2237"/>
        <v>1.3893084390244674</v>
      </c>
      <c r="BW244" s="84">
        <f t="shared" si="2237"/>
        <v>1.4933978106799448</v>
      </c>
      <c r="BX244" s="84">
        <f t="shared" si="2237"/>
        <v>1.2382535148622493</v>
      </c>
      <c r="BY244" s="84">
        <f t="shared" si="2237"/>
        <v>1.1327236109555541</v>
      </c>
      <c r="BZ244" s="84">
        <f t="shared" si="2237"/>
        <v>1.106174938220934</v>
      </c>
      <c r="CA244" s="84">
        <f t="shared" si="2237"/>
        <v>1.2515229420950218</v>
      </c>
      <c r="CB244" s="84">
        <f t="shared" si="2237"/>
        <v>1.1439810574299527</v>
      </c>
      <c r="CC244" s="84">
        <f t="shared" si="2237"/>
        <v>1.1906632732986426</v>
      </c>
      <c r="CD244" s="84">
        <f t="shared" si="2237"/>
        <v>1.242523159190239</v>
      </c>
      <c r="CE244" s="84">
        <f t="shared" si="2237"/>
        <v>1.2925775066979928</v>
      </c>
      <c r="CF244" s="84">
        <f t="shared" si="2237"/>
        <v>1.1154233860078699</v>
      </c>
      <c r="CG244" s="84">
        <f t="shared" si="2237"/>
        <v>1.0640055916649069</v>
      </c>
      <c r="CH244" s="84">
        <f t="shared" si="2237"/>
        <v>1.0805060387690535</v>
      </c>
      <c r="CI244" s="84">
        <f t="shared" si="2237"/>
        <v>1.1330451546475</v>
      </c>
      <c r="CJ244" s="84">
        <f t="shared" si="2237"/>
        <v>0.96002271743422329</v>
      </c>
      <c r="CK244" s="50">
        <f t="shared" ref="CK244" si="2238">SUM(CH10:CK10)/(CK161+CK148+CK138)</f>
        <v>0.96092304562933217</v>
      </c>
      <c r="CL244" s="84">
        <f t="shared" si="2237"/>
        <v>1.0347212705861477</v>
      </c>
      <c r="CM244" s="50">
        <f t="shared" ref="CM244:DB244" si="2239">SUM(CJ10:CM10)/(CM161+CM148+CM138)</f>
        <v>1.3577913269121038</v>
      </c>
      <c r="CN244" s="50">
        <f t="shared" si="2239"/>
        <v>1.2347021460105232</v>
      </c>
      <c r="CO244" s="50">
        <f t="shared" si="2239"/>
        <v>1.2256817036626744</v>
      </c>
      <c r="CP244" s="50">
        <f t="shared" si="2239"/>
        <v>1.1335497783896653</v>
      </c>
      <c r="CQ244" s="50">
        <f t="shared" si="2239"/>
        <v>1.5806646436826763</v>
      </c>
      <c r="CR244" s="50">
        <f t="shared" si="2239"/>
        <v>1.3938541769045578</v>
      </c>
      <c r="CS244" s="50">
        <f t="shared" si="2239"/>
        <v>1.3599905001658996</v>
      </c>
      <c r="CT244" s="50">
        <f t="shared" si="2239"/>
        <v>1.224595116252742</v>
      </c>
      <c r="CU244" s="50">
        <f t="shared" si="2239"/>
        <v>1.7594805782449257</v>
      </c>
      <c r="CV244" s="50">
        <f t="shared" si="2239"/>
        <v>1.5155792505987313</v>
      </c>
      <c r="CW244" s="50">
        <f t="shared" si="2239"/>
        <v>1.4621580428461036</v>
      </c>
      <c r="CX244" s="50">
        <f t="shared" si="2239"/>
        <v>1.2961729216662643</v>
      </c>
      <c r="CY244" s="50">
        <f t="shared" si="2239"/>
        <v>1.9014593834080962</v>
      </c>
      <c r="CZ244" s="50">
        <f t="shared" si="2239"/>
        <v>1.6095995662640743</v>
      </c>
      <c r="DA244" s="50">
        <f t="shared" si="2239"/>
        <v>1.5407642487857767</v>
      </c>
      <c r="DB244" s="50">
        <f t="shared" si="2239"/>
        <v>1.3505201915490364</v>
      </c>
      <c r="DE244" s="138"/>
      <c r="DF244" s="84">
        <v>1.025957672336163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>
        <f t="shared" si="2240"/>
        <v>4.675272332374239E-2</v>
      </c>
      <c r="N245" s="181">
        <f t="shared" si="2240"/>
        <v>4.7619973177321327E-2</v>
      </c>
      <c r="O245" s="181">
        <f t="shared" si="2240"/>
        <v>4.7856212753419225E-2</v>
      </c>
      <c r="P245" s="181">
        <f t="shared" si="2240"/>
        <v>5.0110175353523828E-2</v>
      </c>
      <c r="Q245" s="181">
        <f t="shared" si="2240"/>
        <v>4.6272884062626522E-2</v>
      </c>
      <c r="R245" s="181">
        <f t="shared" si="2240"/>
        <v>9.3559870164529199E-2</v>
      </c>
      <c r="S245" s="181">
        <f t="shared" si="2240"/>
        <v>8.7805723671580307E-2</v>
      </c>
      <c r="T245" s="181">
        <f t="shared" si="2240"/>
        <v>8.4842764697022968E-2</v>
      </c>
      <c r="U245" s="181">
        <f t="shared" si="2240"/>
        <v>8.5510091549873948E-2</v>
      </c>
      <c r="V245" s="181">
        <f t="shared" si="2240"/>
        <v>6.7183678061322402E-2</v>
      </c>
      <c r="W245" s="181">
        <f t="shared" si="2240"/>
        <v>9.5119381546423298E-2</v>
      </c>
      <c r="X245" s="181">
        <f t="shared" si="2240"/>
        <v>6.9481258701851428E-2</v>
      </c>
      <c r="Y245" s="181">
        <f t="shared" si="2240"/>
        <v>4.9269122274286169E-2</v>
      </c>
      <c r="Z245" s="181">
        <f t="shared" si="2240"/>
        <v>2.3072253112175003E-2</v>
      </c>
      <c r="AA245" s="181">
        <f t="shared" ref="AA245" si="2241">+AA42</f>
        <v>1.765578577998474E-2</v>
      </c>
      <c r="AB245" s="182">
        <f t="shared" si="2240"/>
        <v>2.8942988810736599E-2</v>
      </c>
      <c r="AC245" s="182">
        <f t="shared" si="2240"/>
        <v>3.7407532834102808E-2</v>
      </c>
      <c r="AD245" s="182">
        <f t="shared" si="2240"/>
        <v>4.1564880333671214E-2</v>
      </c>
      <c r="AE245" s="182">
        <f t="shared" si="2240"/>
        <v>4.3490310057128959E-2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>
        <f t="shared" si="2242"/>
        <v>5.5013785829277795E-2</v>
      </c>
      <c r="AY245" s="181">
        <f t="shared" si="2242"/>
        <v>8.7134856266412555E-2</v>
      </c>
      <c r="AZ245" s="181">
        <f t="shared" si="2242"/>
        <v>8.0822782364533413E-2</v>
      </c>
      <c r="BA245" s="181">
        <f t="shared" si="2242"/>
        <v>9.704669327781236E-2</v>
      </c>
      <c r="BB245" s="181">
        <f t="shared" si="2242"/>
        <v>0.12692776413384391</v>
      </c>
      <c r="BC245" s="181">
        <f t="shared" si="2242"/>
        <v>8.7046938081270245E-2</v>
      </c>
      <c r="BD245" s="181">
        <f t="shared" si="2242"/>
        <v>9.0725387487191264E-2</v>
      </c>
      <c r="BE245" s="181">
        <f t="shared" si="2242"/>
        <v>8.8858313817330267E-2</v>
      </c>
      <c r="BF245" s="181">
        <f t="shared" si="2242"/>
        <v>8.7095196016338347E-2</v>
      </c>
      <c r="BG245" s="181">
        <f t="shared" si="2242"/>
        <v>8.8439257828897708E-2</v>
      </c>
      <c r="BH245" s="181">
        <f t="shared" si="2242"/>
        <v>8.1518996892403592E-2</v>
      </c>
      <c r="BI245" s="181">
        <f t="shared" si="2242"/>
        <v>8.0342180503651134E-2</v>
      </c>
      <c r="BJ245" s="181">
        <f t="shared" si="2242"/>
        <v>8.7819257500169848E-2</v>
      </c>
      <c r="BK245" s="181">
        <f t="shared" si="2242"/>
        <v>8.252324632820135E-2</v>
      </c>
      <c r="BL245" s="181">
        <f t="shared" si="2242"/>
        <v>0.1022578361042315</v>
      </c>
      <c r="BM245" s="181">
        <f t="shared" si="2242"/>
        <v>8.5712394756373683E-2</v>
      </c>
      <c r="BN245" s="181">
        <f t="shared" si="2242"/>
        <v>7.5907597990346132E-2</v>
      </c>
      <c r="BO245" s="181">
        <f t="shared" si="2242"/>
        <v>-2.3621973580810529E-2</v>
      </c>
      <c r="BP245" s="181">
        <f t="shared" si="2242"/>
        <v>6.2817274544811341E-2</v>
      </c>
      <c r="BQ245" s="181">
        <f t="shared" si="2242"/>
        <v>7.3175295200161874E-2</v>
      </c>
      <c r="BR245" s="181">
        <f t="shared" si="2242"/>
        <v>8.4022000055918755E-2</v>
      </c>
      <c r="BS245" s="181">
        <f t="shared" si="2242"/>
        <v>7.8174037988883269E-2</v>
      </c>
      <c r="BT245" s="181">
        <f t="shared" si="2242"/>
        <v>9.3071680484375363E-2</v>
      </c>
      <c r="BU245" s="181">
        <f t="shared" si="2242"/>
        <v>0.10357481158107174</v>
      </c>
      <c r="BV245" s="181">
        <f t="shared" si="2242"/>
        <v>9.8857471508905864E-2</v>
      </c>
      <c r="BW245" s="181">
        <f t="shared" si="2242"/>
        <v>8.3391269873190704E-2</v>
      </c>
      <c r="BX245" s="181">
        <f t="shared" si="2242"/>
        <v>5.978910056613948E-2</v>
      </c>
      <c r="BY245" s="181">
        <f t="shared" si="2242"/>
        <v>7.0633820980212189E-2</v>
      </c>
      <c r="BZ245" s="181">
        <f t="shared" si="2242"/>
        <v>6.6835347266387443E-2</v>
      </c>
      <c r="CA245" s="181">
        <f t="shared" si="2242"/>
        <v>7.3650723190174877E-2</v>
      </c>
      <c r="CB245" s="181">
        <f t="shared" si="2242"/>
        <v>6.2102499302028803E-2</v>
      </c>
      <c r="CC245" s="181">
        <f t="shared" si="2242"/>
        <v>4.4083717630365317E-2</v>
      </c>
      <c r="CD245" s="181">
        <f t="shared" si="2242"/>
        <v>2.408054402860927E-2</v>
      </c>
      <c r="CE245" s="181">
        <f t="shared" si="2242"/>
        <v>5.5671827201787288E-2</v>
      </c>
      <c r="CF245" s="181">
        <f t="shared" si="2242"/>
        <v>1.7441284989231615E-2</v>
      </c>
      <c r="CG245" s="181">
        <f t="shared" si="2242"/>
        <v>1.0448897986385583E-2</v>
      </c>
      <c r="CH245" s="181">
        <f t="shared" si="2242"/>
        <v>9.6137984535292435E-3</v>
      </c>
      <c r="CI245" s="181">
        <f t="shared" si="2242"/>
        <v>8.227718527043181E-4</v>
      </c>
      <c r="CJ245" s="181">
        <f t="shared" si="2242"/>
        <v>2.3000116665196375E-2</v>
      </c>
      <c r="CK245" s="182">
        <f t="shared" si="2242"/>
        <v>2.1950211246638113E-2</v>
      </c>
      <c r="CL245" s="181">
        <f t="shared" ref="CL245" si="2243">+CL42</f>
        <v>1.8973494494458735E-2</v>
      </c>
      <c r="CM245" s="182">
        <f t="shared" si="2242"/>
        <v>9.1248245497472912E-3</v>
      </c>
      <c r="CN245" s="182">
        <f t="shared" si="2242"/>
        <v>3.0498893731395287E-2</v>
      </c>
      <c r="CO245" s="182">
        <f t="shared" si="2242"/>
        <v>3.1284817796235292E-2</v>
      </c>
      <c r="CP245" s="182">
        <f t="shared" si="2242"/>
        <v>3.4455138308635121E-2</v>
      </c>
      <c r="CQ245" s="182">
        <f t="shared" si="2242"/>
        <v>2.5582111904852829E-2</v>
      </c>
      <c r="CR245" s="182">
        <f t="shared" si="2242"/>
        <v>3.9376115311635769E-2</v>
      </c>
      <c r="CS245" s="182">
        <f t="shared" si="2242"/>
        <v>3.8620039855902788E-2</v>
      </c>
      <c r="CT245" s="182">
        <f t="shared" si="2242"/>
        <v>4.0099392677432691E-2</v>
      </c>
      <c r="CU245" s="182">
        <f t="shared" si="2242"/>
        <v>3.3799220049224678E-2</v>
      </c>
      <c r="CV245" s="182">
        <f t="shared" si="2242"/>
        <v>4.4066643889170552E-2</v>
      </c>
      <c r="CW245" s="182">
        <f t="shared" si="2242"/>
        <v>4.2343242295955263E-2</v>
      </c>
      <c r="CX245" s="182">
        <f t="shared" ref="CX245:DB245" si="2244">+CX42</f>
        <v>4.2606626778153515E-2</v>
      </c>
      <c r="CY245" s="182">
        <f t="shared" si="2244"/>
        <v>3.7680794373857289E-2</v>
      </c>
      <c r="CZ245" s="182">
        <f t="shared" si="2244"/>
        <v>4.6324652367397842E-2</v>
      </c>
      <c r="DA245" s="182">
        <f t="shared" si="2244"/>
        <v>4.4059271738084341E-2</v>
      </c>
      <c r="DB245" s="182">
        <f t="shared" si="2244"/>
        <v>4.3698599511275776E-2</v>
      </c>
      <c r="DE245" s="138"/>
      <c r="DF245" s="84">
        <v>8.3529074575013976E-3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 t="e">
        <f t="shared" si="2245"/>
        <v>#DIV/0!</v>
      </c>
      <c r="K246" s="84" t="e">
        <f t="shared" si="2245"/>
        <v>#DIV/0!</v>
      </c>
      <c r="L246" s="84" t="e">
        <f t="shared" si="2245"/>
        <v>#DIV/0!</v>
      </c>
      <c r="M246" s="84">
        <f t="shared" si="2245"/>
        <v>6.0074602447483807</v>
      </c>
      <c r="N246" s="84">
        <f t="shared" si="2245"/>
        <v>3.7894717052077453</v>
      </c>
      <c r="O246" s="84">
        <f t="shared" si="2245"/>
        <v>3.9076250970022706</v>
      </c>
      <c r="P246" s="84">
        <f t="shared" si="2245"/>
        <v>3.9615958399045224</v>
      </c>
      <c r="Q246" s="84">
        <f t="shared" si="2245"/>
        <v>3.9072094563770556</v>
      </c>
      <c r="R246" s="84">
        <f t="shared" si="2245"/>
        <v>3.0851753762429968</v>
      </c>
      <c r="S246" s="84">
        <f t="shared" si="2245"/>
        <v>1.9804394180330394</v>
      </c>
      <c r="T246" s="84">
        <f t="shared" si="2245"/>
        <v>1.9744012503415176</v>
      </c>
      <c r="U246" s="84">
        <f t="shared" si="2245"/>
        <v>2.104842864616268</v>
      </c>
      <c r="V246" s="84">
        <f t="shared" si="2245"/>
        <v>1.8316760885203289</v>
      </c>
      <c r="W246" s="84">
        <f t="shared" si="2245"/>
        <v>1.8325590759161423</v>
      </c>
      <c r="X246" s="84">
        <f t="shared" si="2245"/>
        <v>2.1878782884983319</v>
      </c>
      <c r="Y246" s="84">
        <f t="shared" si="2245"/>
        <v>2.2050795419108224</v>
      </c>
      <c r="Z246" s="84">
        <f t="shared" si="2245"/>
        <v>1.9236839900200196</v>
      </c>
      <c r="AA246" s="84">
        <f t="shared" ref="AA246" si="2246">(AA161+AA148+AA138+AA140)/AA120</f>
        <v>2.4080516038624569</v>
      </c>
      <c r="AB246" s="50">
        <f t="shared" si="2245"/>
        <v>2.7262976476898348</v>
      </c>
      <c r="AC246" s="50">
        <f t="shared" si="2245"/>
        <v>2.987393555855407</v>
      </c>
      <c r="AD246" s="50">
        <f t="shared" si="2245"/>
        <v>3.2055570941061022</v>
      </c>
      <c r="AE246" s="50">
        <f t="shared" si="2245"/>
        <v>3.3844769828809924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>
        <f t="shared" si="2247"/>
        <v>3.9071834770653671</v>
      </c>
      <c r="AY246" s="84">
        <f t="shared" si="2247"/>
        <v>3.3682042220803967</v>
      </c>
      <c r="AZ246" s="84" t="e">
        <f t="shared" si="2247"/>
        <v>#DIV/0!</v>
      </c>
      <c r="BA246" s="84">
        <f t="shared" si="2247"/>
        <v>0.99999999999999989</v>
      </c>
      <c r="BB246" s="84">
        <f t="shared" si="2247"/>
        <v>3.1078573748877378</v>
      </c>
      <c r="BC246" s="84">
        <f t="shared" si="2247"/>
        <v>2.8433044421993436</v>
      </c>
      <c r="BD246" s="84">
        <f t="shared" si="2247"/>
        <v>1.8382269978835142</v>
      </c>
      <c r="BE246" s="84">
        <f t="shared" si="2247"/>
        <v>1.8753501335758971</v>
      </c>
      <c r="BF246" s="84">
        <f t="shared" si="2247"/>
        <v>1.9804420527384448</v>
      </c>
      <c r="BG246" s="84">
        <f t="shared" si="2247"/>
        <v>1.8783195553824148</v>
      </c>
      <c r="BH246" s="84">
        <f t="shared" si="2247"/>
        <v>2.0089697454768287</v>
      </c>
      <c r="BI246" s="84">
        <f t="shared" si="2247"/>
        <v>2.034317329112131</v>
      </c>
      <c r="BJ246" s="84">
        <f t="shared" si="2247"/>
        <v>1.974400701855096</v>
      </c>
      <c r="BK246" s="84">
        <f t="shared" si="2247"/>
        <v>1.8750839097480776</v>
      </c>
      <c r="BL246" s="84">
        <f t="shared" si="2247"/>
        <v>2.1053959593816982</v>
      </c>
      <c r="BM246" s="84">
        <f t="shared" si="2247"/>
        <v>2.1541815015153194</v>
      </c>
      <c r="BN246" s="84">
        <f t="shared" si="2247"/>
        <v>2.1048390292878185</v>
      </c>
      <c r="BO246" s="84">
        <f t="shared" si="2247"/>
        <v>1.7449300266658099</v>
      </c>
      <c r="BP246" s="84">
        <f t="shared" si="2247"/>
        <v>1.8919437051253638</v>
      </c>
      <c r="BQ246" s="84">
        <f t="shared" si="2247"/>
        <v>2.0610715481311286</v>
      </c>
      <c r="BR246" s="84">
        <f t="shared" si="2247"/>
        <v>1.8316719537227093</v>
      </c>
      <c r="BS246" s="84">
        <f t="shared" si="2247"/>
        <v>1.6271430730881837</v>
      </c>
      <c r="BT246" s="84">
        <f t="shared" si="2247"/>
        <v>2.093959270932884</v>
      </c>
      <c r="BU246" s="84">
        <f t="shared" si="2247"/>
        <v>2.1015301925090779</v>
      </c>
      <c r="BV246" s="84">
        <f t="shared" si="2247"/>
        <v>1.8325591483625663</v>
      </c>
      <c r="BW246" s="84">
        <f t="shared" si="2247"/>
        <v>1.6644919662473894</v>
      </c>
      <c r="BX246" s="84">
        <f t="shared" si="2247"/>
        <v>1.9630650273975836</v>
      </c>
      <c r="BY246" s="84">
        <f t="shared" si="2247"/>
        <v>2.0623592374149728</v>
      </c>
      <c r="BZ246" s="84">
        <f t="shared" si="2247"/>
        <v>2.1878795293835642</v>
      </c>
      <c r="CA246" s="84">
        <f t="shared" si="2247"/>
        <v>2.0043171518528582</v>
      </c>
      <c r="CB246" s="84">
        <f t="shared" si="2247"/>
        <v>2.3793928185664313</v>
      </c>
      <c r="CC246" s="84">
        <f t="shared" si="2247"/>
        <v>2.398160597190762</v>
      </c>
      <c r="CD246" s="84">
        <f t="shared" si="2247"/>
        <v>2.2050794101894255</v>
      </c>
      <c r="CE246" s="84">
        <f t="shared" si="2247"/>
        <v>2.1314530940638621</v>
      </c>
      <c r="CF246" s="84">
        <f t="shared" si="2247"/>
        <v>1.9330895123580489</v>
      </c>
      <c r="CG246" s="84">
        <f t="shared" si="2247"/>
        <v>1.959711442725192</v>
      </c>
      <c r="CH246" s="84">
        <f t="shared" si="2247"/>
        <v>1.9236839900200196</v>
      </c>
      <c r="CI246" s="84">
        <f t="shared" si="2247"/>
        <v>1.7570219045320039</v>
      </c>
      <c r="CJ246" s="84">
        <f t="shared" si="2247"/>
        <v>2.1457879236211017</v>
      </c>
      <c r="CK246" s="50">
        <f t="shared" si="2247"/>
        <v>2.2658585632118386</v>
      </c>
      <c r="CL246" s="84">
        <f t="shared" ref="CL246" si="2248">(CL161+CL148+CL138+CL140)/CL120</f>
        <v>2.4080518880463817</v>
      </c>
      <c r="CM246" s="50">
        <f t="shared" si="2247"/>
        <v>1.900205562239474</v>
      </c>
      <c r="CN246" s="50">
        <f t="shared" si="2247"/>
        <v>2.1956506040585642</v>
      </c>
      <c r="CO246" s="50">
        <f t="shared" si="2247"/>
        <v>2.3448532454668101</v>
      </c>
      <c r="CP246" s="50">
        <f t="shared" si="2247"/>
        <v>2.7262976476898348</v>
      </c>
      <c r="CQ246" s="50">
        <f t="shared" si="2247"/>
        <v>2.0247182482079009</v>
      </c>
      <c r="CR246" s="50">
        <f t="shared" si="2247"/>
        <v>2.3886952073233738</v>
      </c>
      <c r="CS246" s="50">
        <f t="shared" si="2247"/>
        <v>2.5575124439791548</v>
      </c>
      <c r="CT246" s="50">
        <f t="shared" si="2247"/>
        <v>2.987393555855407</v>
      </c>
      <c r="CU246" s="50">
        <f t="shared" si="2247"/>
        <v>2.138959241214121</v>
      </c>
      <c r="CV246" s="50">
        <f t="shared" si="2247"/>
        <v>2.5556138771560981</v>
      </c>
      <c r="CW246" s="50">
        <f t="shared" si="2247"/>
        <v>2.7358566493910876</v>
      </c>
      <c r="CX246" s="50">
        <f t="shared" ref="CX246:DB246" si="2249">(CX161+CX148+CX138+CX140)/CX120</f>
        <v>3.2055570941061022</v>
      </c>
      <c r="CY246" s="50">
        <f t="shared" si="2249"/>
        <v>2.2343120232691285</v>
      </c>
      <c r="CZ246" s="50">
        <f t="shared" si="2249"/>
        <v>2.6933614072352188</v>
      </c>
      <c r="DA246" s="50">
        <f t="shared" si="2249"/>
        <v>2.8819645406712495</v>
      </c>
      <c r="DB246" s="50">
        <f t="shared" si="2249"/>
        <v>3.3844769828809924</v>
      </c>
      <c r="DE246" s="138"/>
      <c r="DF246" s="84">
        <v>2.1549769894261148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 t="e">
        <f t="shared" si="2250"/>
        <v>#DIV/0!</v>
      </c>
      <c r="K248" s="88" t="e">
        <f t="shared" si="2250"/>
        <v>#DIV/0!</v>
      </c>
      <c r="L248" s="88" t="e">
        <f t="shared" si="2250"/>
        <v>#DIV/0!</v>
      </c>
      <c r="M248" s="88">
        <f t="shared" si="2250"/>
        <v>2.3581571886656634</v>
      </c>
      <c r="N248" s="88">
        <f t="shared" si="2250"/>
        <v>1.6775333709343858</v>
      </c>
      <c r="O248" s="88">
        <f t="shared" si="2250"/>
        <v>2.2002414278734226</v>
      </c>
      <c r="P248" s="88">
        <f t="shared" si="2250"/>
        <v>2.0595456289160738</v>
      </c>
      <c r="Q248" s="88">
        <f t="shared" si="2250"/>
        <v>1.9534492778982497</v>
      </c>
      <c r="R248" s="88">
        <f t="shared" si="2250"/>
        <v>1.153596569672789</v>
      </c>
      <c r="S248" s="88">
        <f t="shared" si="2250"/>
        <v>0.80643225243296301</v>
      </c>
      <c r="T248" s="88">
        <f t="shared" si="2250"/>
        <v>0.60167892791663091</v>
      </c>
      <c r="U248" s="88">
        <f t="shared" si="2250"/>
        <v>0.43340593278107259</v>
      </c>
      <c r="V248" s="88">
        <f t="shared" si="2250"/>
        <v>0.42736931085026203</v>
      </c>
      <c r="W248" s="88">
        <f t="shared" si="2250"/>
        <v>0.28581882507449857</v>
      </c>
      <c r="X248" s="88">
        <f t="shared" si="2250"/>
        <v>0.30256949971441682</v>
      </c>
      <c r="Y248" s="88">
        <f t="shared" si="2250"/>
        <v>0.24822556737302209</v>
      </c>
      <c r="Z248" s="88">
        <f t="shared" si="2250"/>
        <v>0.17191940743475917</v>
      </c>
      <c r="AA248" s="88">
        <f t="shared" ref="AA248" si="2251">AA161/AA120</f>
        <v>0.32873102212196526</v>
      </c>
      <c r="AB248" s="42">
        <f t="shared" si="2250"/>
        <v>0.26384960243570943</v>
      </c>
      <c r="AC248" s="42">
        <f t="shared" si="2250"/>
        <v>0.18345469610633966</v>
      </c>
      <c r="AD248" s="42">
        <f t="shared" si="2250"/>
        <v>9.2504473285003178E-2</v>
      </c>
      <c r="AE248" s="42">
        <f t="shared" si="2250"/>
        <v>1.7097888582485183E-3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>
        <f t="shared" si="2252"/>
        <v>1.953443319585052</v>
      </c>
      <c r="AY248" s="88">
        <f t="shared" si="2252"/>
        <v>1.7049058999264959</v>
      </c>
      <c r="AZ248" s="88" t="e">
        <f t="shared" si="2252"/>
        <v>#DIV/0!</v>
      </c>
      <c r="BA248" s="88">
        <f t="shared" si="2252"/>
        <v>0.99999999999999989</v>
      </c>
      <c r="BB248" s="88">
        <f t="shared" si="2252"/>
        <v>1.1536028891903769</v>
      </c>
      <c r="BC248" s="88">
        <f t="shared" si="2252"/>
        <v>1.1321666155687193</v>
      </c>
      <c r="BD248" s="88">
        <f t="shared" si="2252"/>
        <v>0.84270228724391094</v>
      </c>
      <c r="BE248" s="88">
        <f t="shared" si="2252"/>
        <v>0.82576414898138184</v>
      </c>
      <c r="BF248" s="88">
        <f t="shared" si="2252"/>
        <v>0.80643438217456509</v>
      </c>
      <c r="BG248" s="88">
        <f t="shared" si="2252"/>
        <v>0.82809424696985123</v>
      </c>
      <c r="BH248" s="88">
        <f t="shared" si="2252"/>
        <v>0.65671417807555343</v>
      </c>
      <c r="BI248" s="88">
        <f t="shared" si="2252"/>
        <v>0.63279631964972172</v>
      </c>
      <c r="BJ248" s="88">
        <f t="shared" si="2252"/>
        <v>0.60167827850541689</v>
      </c>
      <c r="BK248" s="88">
        <f t="shared" si="2252"/>
        <v>0.64197520206811787</v>
      </c>
      <c r="BL248" s="88">
        <f t="shared" si="2252"/>
        <v>0.5473925408143886</v>
      </c>
      <c r="BM248" s="88">
        <f t="shared" si="2252"/>
        <v>0.49351989696566195</v>
      </c>
      <c r="BN248" s="88">
        <f t="shared" si="2252"/>
        <v>0.43340555107864248</v>
      </c>
      <c r="BO248" s="88">
        <f t="shared" si="2252"/>
        <v>0.62480051853107788</v>
      </c>
      <c r="BP248" s="88">
        <f t="shared" si="2252"/>
        <v>0.40689205558914471</v>
      </c>
      <c r="BQ248" s="88">
        <f t="shared" si="2252"/>
        <v>0.30014020653153373</v>
      </c>
      <c r="BR248" s="88">
        <f t="shared" si="2252"/>
        <v>0.42736891211046835</v>
      </c>
      <c r="BS248" s="88">
        <f t="shared" si="2252"/>
        <v>0.49139595602982133</v>
      </c>
      <c r="BT248" s="88">
        <f t="shared" si="2252"/>
        <v>0.33520238424094972</v>
      </c>
      <c r="BU248" s="88">
        <f t="shared" si="2252"/>
        <v>0.3109551434559189</v>
      </c>
      <c r="BV248" s="88">
        <f t="shared" si="2252"/>
        <v>0.28581909546275691</v>
      </c>
      <c r="BW248" s="88">
        <f t="shared" si="2252"/>
        <v>0.38482342340139702</v>
      </c>
      <c r="BX248" s="88">
        <f t="shared" si="2252"/>
        <v>0.3299925374067697</v>
      </c>
      <c r="BY248" s="88">
        <f t="shared" si="2252"/>
        <v>0.30186749042385841</v>
      </c>
      <c r="BZ248" s="88">
        <f t="shared" si="2252"/>
        <v>0.30256981343134515</v>
      </c>
      <c r="CA248" s="88">
        <f t="shared" si="2252"/>
        <v>0.41119958509595805</v>
      </c>
      <c r="CB248" s="88">
        <f t="shared" si="2252"/>
        <v>0.28401577142488654</v>
      </c>
      <c r="CC248" s="88">
        <f t="shared" si="2252"/>
        <v>0.26680403650485912</v>
      </c>
      <c r="CD248" s="88">
        <f t="shared" si="2252"/>
        <v>0.24822543093554275</v>
      </c>
      <c r="CE248" s="88">
        <f t="shared" si="2252"/>
        <v>0.29259748199493474</v>
      </c>
      <c r="CF248" s="88">
        <f t="shared" si="2252"/>
        <v>0.23324064796259183</v>
      </c>
      <c r="CG248" s="88">
        <f t="shared" si="2252"/>
        <v>0.21609991828405356</v>
      </c>
      <c r="CH248" s="88">
        <f t="shared" si="2252"/>
        <v>0.17191940743475917</v>
      </c>
      <c r="CI248" s="88">
        <f t="shared" si="2252"/>
        <v>0.36430168800149532</v>
      </c>
      <c r="CJ248" s="88">
        <f t="shared" si="2252"/>
        <v>0.15708367029345927</v>
      </c>
      <c r="CK248" s="42">
        <f t="shared" si="2252"/>
        <v>6.3756043124396325E-2</v>
      </c>
      <c r="CL248" s="88">
        <f t="shared" ref="CL248" si="2253">CL161/CL120</f>
        <v>0.32873083787991947</v>
      </c>
      <c r="CM248" s="42">
        <f t="shared" si="2252"/>
        <v>0.59208660184073147</v>
      </c>
      <c r="CN248" s="42">
        <f t="shared" si="2252"/>
        <v>0.47648212046825433</v>
      </c>
      <c r="CO248" s="42">
        <f t="shared" si="2252"/>
        <v>0.42632330000427598</v>
      </c>
      <c r="CP248" s="42">
        <f t="shared" si="2252"/>
        <v>0.26384960243570943</v>
      </c>
      <c r="CQ248" s="42">
        <f t="shared" si="2252"/>
        <v>0.6077632564459956</v>
      </c>
      <c r="CR248" s="42">
        <f t="shared" si="2252"/>
        <v>0.44904858634667316</v>
      </c>
      <c r="CS248" s="42">
        <f t="shared" si="2252"/>
        <v>0.3791676505352844</v>
      </c>
      <c r="CT248" s="42">
        <f t="shared" si="2252"/>
        <v>0.18345469610633966</v>
      </c>
      <c r="CU248" s="42">
        <f t="shared" si="2252"/>
        <v>0.58813194370282806</v>
      </c>
      <c r="CV248" s="42">
        <f t="shared" si="2252"/>
        <v>0.39654265480074474</v>
      </c>
      <c r="CW248" s="42">
        <f t="shared" si="2252"/>
        <v>0.31384440890244314</v>
      </c>
      <c r="CX248" s="42">
        <f t="shared" ref="CX248:DB248" si="2254">CX161/CX120</f>
        <v>9.2504473285003178E-2</v>
      </c>
      <c r="CY248" s="42">
        <f t="shared" si="2254"/>
        <v>0.54945302487813885</v>
      </c>
      <c r="CZ248" s="42">
        <f t="shared" si="2254"/>
        <v>0.33300750085693731</v>
      </c>
      <c r="DA248" s="42">
        <f t="shared" si="2254"/>
        <v>0.2420900544304912</v>
      </c>
      <c r="DB248" s="42">
        <f t="shared" si="2254"/>
        <v>1.7097888582485183E-3</v>
      </c>
      <c r="DE248" s="125"/>
      <c r="DF248" s="88">
        <v>0.1814743114418769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>
        <f t="shared" si="2255"/>
        <v>-0.42075763432547353</v>
      </c>
      <c r="O249" s="89">
        <f t="shared" si="2255"/>
        <v>0.73560226893560232</v>
      </c>
      <c r="P249" s="89">
        <f t="shared" si="2255"/>
        <v>0.28452783758843436</v>
      </c>
      <c r="Q249" s="89">
        <f t="shared" si="2255"/>
        <v>0.40076029693486581</v>
      </c>
      <c r="R249" s="89">
        <f t="shared" si="2255"/>
        <v>0.60233222071688974</v>
      </c>
      <c r="S249" s="89">
        <f t="shared" si="2255"/>
        <v>-0.59669634867311161</v>
      </c>
      <c r="T249" s="89">
        <f t="shared" si="2255"/>
        <v>2.7326957924949991E-2</v>
      </c>
      <c r="U249" s="89">
        <f t="shared" si="2255"/>
        <v>1.569735029419717</v>
      </c>
      <c r="V249" s="89">
        <f t="shared" si="2255"/>
        <v>5.0502595962948815E-2</v>
      </c>
      <c r="W249" s="89">
        <f t="shared" si="2255"/>
        <v>0.18826743168382465</v>
      </c>
      <c r="X249" s="89">
        <f t="shared" si="2255"/>
        <v>0.45480443401309856</v>
      </c>
      <c r="Y249" s="89">
        <f t="shared" si="2255"/>
        <v>2.1389572310360032</v>
      </c>
      <c r="Z249" s="89">
        <f t="shared" si="2255"/>
        <v>-0.40334869952125962</v>
      </c>
      <c r="AA249" s="89">
        <f t="shared" si="2255"/>
        <v>0.16828852491860014</v>
      </c>
      <c r="AB249" s="47">
        <f t="shared" si="2255"/>
        <v>1.5761658505031306E-6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>
        <f t="shared" si="2256"/>
        <v>0</v>
      </c>
      <c r="AZ249" s="89">
        <f t="shared" si="2256"/>
        <v>-1</v>
      </c>
      <c r="BA249" s="89" t="e">
        <f t="shared" si="2256"/>
        <v>#DIV/0!</v>
      </c>
      <c r="BB249" s="89" t="e">
        <f t="shared" si="2256"/>
        <v>#DIV/0!</v>
      </c>
      <c r="BC249" s="89">
        <f t="shared" si="2256"/>
        <v>0</v>
      </c>
      <c r="BD249" s="89">
        <f t="shared" si="2256"/>
        <v>-0.26198065584086905</v>
      </c>
      <c r="BE249" s="89">
        <f t="shared" si="2256"/>
        <v>0</v>
      </c>
      <c r="BF249" s="89">
        <f t="shared" si="2256"/>
        <v>-0.47921107753906622</v>
      </c>
      <c r="BG249" s="89">
        <f t="shared" si="2256"/>
        <v>0</v>
      </c>
      <c r="BH249" s="89">
        <f t="shared" si="2256"/>
        <v>-0.16508275493860114</v>
      </c>
      <c r="BI249" s="89">
        <f t="shared" si="2256"/>
        <v>0</v>
      </c>
      <c r="BJ249" s="89">
        <f t="shared" si="2256"/>
        <v>0.2700686362279916</v>
      </c>
      <c r="BK249" s="89">
        <f t="shared" si="2256"/>
        <v>0</v>
      </c>
      <c r="BL249" s="89">
        <f t="shared" si="2256"/>
        <v>1.5273563372717511</v>
      </c>
      <c r="BM249" s="89">
        <f t="shared" si="2256"/>
        <v>0</v>
      </c>
      <c r="BN249" s="89">
        <f t="shared" si="2256"/>
        <v>2.5964539478052995E-2</v>
      </c>
      <c r="BO249" s="89">
        <f t="shared" si="2256"/>
        <v>0</v>
      </c>
      <c r="BP249" s="89">
        <f t="shared" si="2256"/>
        <v>0.52503559870550176</v>
      </c>
      <c r="BQ249" s="89">
        <f t="shared" si="2256"/>
        <v>0</v>
      </c>
      <c r="BR249" s="89">
        <f t="shared" si="2256"/>
        <v>-0.28811041601235898</v>
      </c>
      <c r="BS249" s="89">
        <f t="shared" si="2256"/>
        <v>0</v>
      </c>
      <c r="BT249" s="89">
        <f t="shared" si="2256"/>
        <v>1.2489417768609821</v>
      </c>
      <c r="BU249" s="89">
        <f t="shared" si="2256"/>
        <v>0</v>
      </c>
      <c r="BV249" s="89">
        <f t="shared" si="2256"/>
        <v>-0.47162958878544314</v>
      </c>
      <c r="BW249" s="89">
        <f t="shared" si="2256"/>
        <v>0</v>
      </c>
      <c r="BX249" s="89">
        <f t="shared" si="2256"/>
        <v>0.58366196052459918</v>
      </c>
      <c r="BY249" s="89">
        <f t="shared" si="2256"/>
        <v>0</v>
      </c>
      <c r="BZ249" s="89">
        <f t="shared" si="2256"/>
        <v>-8.136963560444288E-2</v>
      </c>
      <c r="CA249" s="89">
        <f t="shared" si="2256"/>
        <v>0</v>
      </c>
      <c r="CB249" s="89">
        <f t="shared" si="2256"/>
        <v>1.7578165414778488</v>
      </c>
      <c r="CC249" s="89">
        <f t="shared" si="2256"/>
        <v>0</v>
      </c>
      <c r="CD249" s="89">
        <f t="shared" si="2256"/>
        <v>0.13820589198936561</v>
      </c>
      <c r="CE249" s="89">
        <f t="shared" si="2256"/>
        <v>0</v>
      </c>
      <c r="CF249" s="89">
        <f t="shared" si="2256"/>
        <v>-0.39840910589114242</v>
      </c>
      <c r="CG249" s="89">
        <f t="shared" si="2256"/>
        <v>0</v>
      </c>
      <c r="CH249" s="89">
        <f t="shared" si="2256"/>
        <v>-8.2106670367962931E-3</v>
      </c>
      <c r="CI249" s="89">
        <f t="shared" si="2256"/>
        <v>0</v>
      </c>
      <c r="CJ249" s="89">
        <f t="shared" si="2256"/>
        <v>0.28833230643674512</v>
      </c>
      <c r="CK249" s="47">
        <f t="shared" si="2256"/>
        <v>0</v>
      </c>
      <c r="CL249" s="89">
        <f t="shared" si="2256"/>
        <v>-9.3176224411913644E-2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 t="e">
        <f t="shared" si="2258"/>
        <v>#DIV/0!</v>
      </c>
      <c r="L250" s="89" t="e">
        <f t="shared" si="2258"/>
        <v>#DIV/0!</v>
      </c>
      <c r="M250" s="89" t="e">
        <f t="shared" si="2258"/>
        <v>#DIV/0!</v>
      </c>
      <c r="N250" s="89">
        <f t="shared" si="2258"/>
        <v>0.425652004671081</v>
      </c>
      <c r="O250" s="89">
        <f t="shared" si="2258"/>
        <v>-0.23808873720136681</v>
      </c>
      <c r="P250" s="89">
        <f t="shared" si="2258"/>
        <v>0.33852953473093406</v>
      </c>
      <c r="Q250" s="89">
        <f t="shared" si="2258"/>
        <v>0.55575833296148902</v>
      </c>
      <c r="R250" s="89">
        <f t="shared" si="2258"/>
        <v>0.92435345507527789</v>
      </c>
      <c r="S250" s="89">
        <f t="shared" si="2258"/>
        <v>0.55751646553304401</v>
      </c>
      <c r="T250" s="89">
        <f t="shared" si="2258"/>
        <v>0.42162522691148707</v>
      </c>
      <c r="U250" s="89">
        <f t="shared" si="2258"/>
        <v>0.28453084044711496</v>
      </c>
      <c r="V250" s="89">
        <f t="shared" si="2258"/>
        <v>-0.29290207025352766</v>
      </c>
      <c r="W250" s="89">
        <f t="shared" si="2258"/>
        <v>0.91526174865696364</v>
      </c>
      <c r="X250" s="89">
        <f t="shared" si="2258"/>
        <v>-0.1097949188029208</v>
      </c>
      <c r="Y250" s="89">
        <f t="shared" si="2258"/>
        <v>0.13418625616024871</v>
      </c>
      <c r="Z250" s="89">
        <f t="shared" si="2258"/>
        <v>-0.31236107661979018</v>
      </c>
      <c r="AA250" s="89">
        <f t="shared" si="2258"/>
        <v>5.3618920443271989E-2</v>
      </c>
      <c r="AB250" s="47">
        <f t="shared" si="2258"/>
        <v>0.37490805700488394</v>
      </c>
      <c r="AC250" s="47">
        <f t="shared" si="2258"/>
        <v>0.3707834481460115</v>
      </c>
      <c r="AD250" s="47">
        <f t="shared" si="2258"/>
        <v>0.37217592851883219</v>
      </c>
      <c r="AE250" s="47">
        <f t="shared" si="2258"/>
        <v>0.37271645052457125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>
        <f t="shared" si="2259"/>
        <v>0.27732815366353636</v>
      </c>
      <c r="AZ250" s="89">
        <f t="shared" si="2259"/>
        <v>-4.9674748669425228E-2</v>
      </c>
      <c r="BA250" s="89">
        <f t="shared" si="2259"/>
        <v>-0.1607253978131401</v>
      </c>
      <c r="BB250" s="89">
        <f t="shared" si="2259"/>
        <v>2.5392437241817625</v>
      </c>
      <c r="BC250" s="89">
        <f t="shared" si="2259"/>
        <v>-0.40414197641707128</v>
      </c>
      <c r="BD250" s="89">
        <f t="shared" si="2259"/>
        <v>-6.3787041687593304E-2</v>
      </c>
      <c r="BE250" s="89">
        <f t="shared" si="2259"/>
        <v>0.42462446351931371</v>
      </c>
      <c r="BF250" s="89">
        <f t="shared" si="2259"/>
        <v>0.36659762756543168</v>
      </c>
      <c r="BG250" s="89">
        <f t="shared" si="2259"/>
        <v>-7.9140259024525705E-2</v>
      </c>
      <c r="BH250" s="89">
        <f t="shared" si="2259"/>
        <v>-0.13648333233586707</v>
      </c>
      <c r="BI250" s="89">
        <f t="shared" si="2259"/>
        <v>0.26912014415912866</v>
      </c>
      <c r="BJ250" s="89">
        <f t="shared" si="2259"/>
        <v>0.36744668650847956</v>
      </c>
      <c r="BK250" s="89">
        <f t="shared" si="2259"/>
        <v>-0.13851837060702954</v>
      </c>
      <c r="BL250" s="89">
        <f t="shared" si="2259"/>
        <v>-7.5330876387816881E-3</v>
      </c>
      <c r="BM250" s="89">
        <f t="shared" si="2259"/>
        <v>0.2605446307627628</v>
      </c>
      <c r="BN250" s="89">
        <f t="shared" si="2259"/>
        <v>-5.6175195464482575E-2</v>
      </c>
      <c r="BO250" s="89">
        <f t="shared" si="2259"/>
        <v>-0.97457893290408693</v>
      </c>
      <c r="BP250" s="89">
        <f t="shared" si="2259"/>
        <v>18.771428571428554</v>
      </c>
      <c r="BQ250" s="89">
        <f t="shared" si="2259"/>
        <v>0.75156225589751324</v>
      </c>
      <c r="BR250" s="89">
        <f t="shared" si="2259"/>
        <v>0.40533369010190312</v>
      </c>
      <c r="BS250" s="89">
        <f t="shared" si="2259"/>
        <v>-0.37502578341927728</v>
      </c>
      <c r="BT250" s="89">
        <f t="shared" si="2259"/>
        <v>0.38889029932214436</v>
      </c>
      <c r="BU250" s="89">
        <f t="shared" si="2259"/>
        <v>0.3891823715429481</v>
      </c>
      <c r="BV250" s="89">
        <f t="shared" si="2259"/>
        <v>0.16247795994631509</v>
      </c>
      <c r="BW250" s="89">
        <f t="shared" si="2259"/>
        <v>-0.45810789396237628</v>
      </c>
      <c r="BX250" s="89">
        <f t="shared" si="2259"/>
        <v>-0.17543969586831998</v>
      </c>
      <c r="BY250" s="89">
        <f t="shared" si="2259"/>
        <v>0.56531982267257663</v>
      </c>
      <c r="BZ250" s="89">
        <f t="shared" si="2259"/>
        <v>0.3096081953682579</v>
      </c>
      <c r="CA250" s="89">
        <f t="shared" si="2259"/>
        <v>-0.18224957366352867</v>
      </c>
      <c r="CB250" s="89">
        <f t="shared" si="2259"/>
        <v>9.5596457823315939E-2</v>
      </c>
      <c r="CC250" s="89">
        <f t="shared" si="2259"/>
        <v>-3.993103448275992E-2</v>
      </c>
      <c r="CD250" s="89">
        <f t="shared" si="2259"/>
        <v>-0.24348825515408201</v>
      </c>
      <c r="CE250" s="89">
        <f t="shared" si="2259"/>
        <v>0.40450462426647671</v>
      </c>
      <c r="CF250" s="89">
        <f t="shared" si="2259"/>
        <v>-0.49163703232959566</v>
      </c>
      <c r="CG250" s="89">
        <f t="shared" si="2259"/>
        <v>-5.5137377982286684E-2</v>
      </c>
      <c r="CH250" s="89">
        <f t="shared" si="2259"/>
        <v>-8.937619637428551E-2</v>
      </c>
      <c r="CI250" s="89">
        <f t="shared" si="2259"/>
        <v>-0.23357754490092597</v>
      </c>
      <c r="CJ250" s="89">
        <f t="shared" si="2259"/>
        <v>1.0138345500746233</v>
      </c>
      <c r="CK250" s="47">
        <f t="shared" si="2259"/>
        <v>9.2190911093754657E-2</v>
      </c>
      <c r="CL250" s="89">
        <f t="shared" si="2259"/>
        <v>9.6530477517791091E-2</v>
      </c>
      <c r="CM250" s="47">
        <f t="shared" si="2259"/>
        <v>-0.35449303983753433</v>
      </c>
      <c r="CN250" s="47">
        <f t="shared" si="2259"/>
        <v>0.54401845714126607</v>
      </c>
      <c r="CO250" s="47">
        <f t="shared" si="2259"/>
        <v>0.14984746858226683</v>
      </c>
      <c r="CP250" s="47">
        <f t="shared" si="2259"/>
        <v>0.36007650297458382</v>
      </c>
      <c r="CQ250" s="47">
        <f t="shared" si="2259"/>
        <v>-0.43449079522452083</v>
      </c>
      <c r="CR250" s="47">
        <f t="shared" si="2259"/>
        <v>0.50334058656750758</v>
      </c>
      <c r="CS250" s="47">
        <f t="shared" si="2259"/>
        <v>0.18392288949427438</v>
      </c>
      <c r="CT250" s="47">
        <f t="shared" si="2259"/>
        <v>0.39162987998159715</v>
      </c>
      <c r="CU250" s="47">
        <f t="shared" si="2259"/>
        <v>-0.44863343643584497</v>
      </c>
      <c r="CV250" s="47">
        <f t="shared" si="2259"/>
        <v>0.50336921102026877</v>
      </c>
      <c r="CW250" s="47">
        <f t="shared" si="2259"/>
        <v>0.19207075237142202</v>
      </c>
      <c r="CX250" s="47">
        <f t="shared" ref="CX250:DB250" si="2260">CX28/CW28-1</f>
        <v>0.39319866787779834</v>
      </c>
      <c r="CY250" s="47">
        <f t="shared" si="2260"/>
        <v>-0.45099066502166307</v>
      </c>
      <c r="CZ250" s="47">
        <f t="shared" si="2260"/>
        <v>0.50476640731149924</v>
      </c>
      <c r="DA250" s="47">
        <f t="shared" si="2260"/>
        <v>0.19345727189791151</v>
      </c>
      <c r="DB250" s="47">
        <f t="shared" si="2260"/>
        <v>0.39282732449935986</v>
      </c>
      <c r="DE250" s="130"/>
      <c r="DF250" s="89">
        <v>-0.21868366832814168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>
        <f t="shared" si="2261"/>
        <v>0</v>
      </c>
      <c r="O251" s="103" t="str">
        <f t="shared" si="2261"/>
        <v>RF</v>
      </c>
      <c r="P251" s="103">
        <f t="shared" si="2261"/>
        <v>0</v>
      </c>
      <c r="Q251" s="103">
        <f t="shared" si="2261"/>
        <v>0</v>
      </c>
      <c r="R251" s="103">
        <f t="shared" si="2261"/>
        <v>0</v>
      </c>
      <c r="S251" s="103">
        <f t="shared" si="2261"/>
        <v>0</v>
      </c>
      <c r="T251" s="103">
        <f t="shared" si="2261"/>
        <v>0</v>
      </c>
      <c r="U251" s="103" t="str">
        <f t="shared" si="2261"/>
        <v>RF</v>
      </c>
      <c r="V251" s="103" t="str">
        <f>IF(V249&gt;V250,"RF",0)</f>
        <v>RF</v>
      </c>
      <c r="W251" s="103">
        <f t="shared" ref="W251:AE251" si="2262">IF(W249&gt;W250,"RF",0)</f>
        <v>0</v>
      </c>
      <c r="X251" s="103" t="str">
        <f t="shared" si="2262"/>
        <v>RF</v>
      </c>
      <c r="Y251" s="103" t="str">
        <f t="shared" si="2262"/>
        <v>RF</v>
      </c>
      <c r="Z251" s="103">
        <f t="shared" si="2262"/>
        <v>0</v>
      </c>
      <c r="AA251" s="103" t="str">
        <f t="shared" ref="AA251" si="2263">IF(AA249&gt;AA250,"RF",0)</f>
        <v>RF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>
        <f t="shared" si="2264"/>
        <v>0</v>
      </c>
      <c r="AZ251" s="103">
        <f t="shared" si="2264"/>
        <v>0</v>
      </c>
      <c r="BA251" s="103" t="e">
        <f t="shared" si="2264"/>
        <v>#DIV/0!</v>
      </c>
      <c r="BB251" s="103" t="e">
        <f t="shared" si="2264"/>
        <v>#DIV/0!</v>
      </c>
      <c r="BC251" s="103" t="str">
        <f t="shared" si="2264"/>
        <v>RF</v>
      </c>
      <c r="BD251" s="103">
        <f t="shared" si="2264"/>
        <v>0</v>
      </c>
      <c r="BE251" s="103">
        <f t="shared" si="2264"/>
        <v>0</v>
      </c>
      <c r="BF251" s="103">
        <f t="shared" si="2264"/>
        <v>0</v>
      </c>
      <c r="BG251" s="103" t="str">
        <f t="shared" si="2264"/>
        <v>RF</v>
      </c>
      <c r="BH251" s="103">
        <f t="shared" si="2264"/>
        <v>0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 t="str">
        <f t="shared" si="2264"/>
        <v>RF</v>
      </c>
      <c r="BM251" s="103">
        <f t="shared" si="2264"/>
        <v>0</v>
      </c>
      <c r="BN251" s="103" t="str">
        <f t="shared" si="2264"/>
        <v>RF</v>
      </c>
      <c r="BO251" s="103" t="str">
        <f t="shared" si="2264"/>
        <v>RF</v>
      </c>
      <c r="BP251" s="103">
        <f t="shared" si="2264"/>
        <v>0</v>
      </c>
      <c r="BQ251" s="103">
        <f t="shared" si="2264"/>
        <v>0</v>
      </c>
      <c r="BR251" s="103">
        <f t="shared" si="2264"/>
        <v>0</v>
      </c>
      <c r="BS251" s="103" t="str">
        <f t="shared" si="2264"/>
        <v>RF</v>
      </c>
      <c r="BT251" s="103" t="str">
        <f t="shared" si="2264"/>
        <v>RF</v>
      </c>
      <c r="BU251" s="103">
        <f t="shared" si="2264"/>
        <v>0</v>
      </c>
      <c r="BV251" s="103">
        <f t="shared" si="2264"/>
        <v>0</v>
      </c>
      <c r="BW251" s="103" t="str">
        <f t="shared" si="2264"/>
        <v>RF</v>
      </c>
      <c r="BX251" s="103" t="str">
        <f t="shared" si="2264"/>
        <v>RF</v>
      </c>
      <c r="BY251" s="103">
        <f t="shared" si="2264"/>
        <v>0</v>
      </c>
      <c r="BZ251" s="103">
        <f t="shared" si="2264"/>
        <v>0</v>
      </c>
      <c r="CA251" s="103" t="str">
        <f t="shared" si="2264"/>
        <v>RF</v>
      </c>
      <c r="CB251" s="103" t="str">
        <f t="shared" si="2264"/>
        <v>RF</v>
      </c>
      <c r="CC251" s="103" t="str">
        <f t="shared" si="2264"/>
        <v>RF</v>
      </c>
      <c r="CD251" s="103" t="str">
        <f t="shared" si="2264"/>
        <v>RF</v>
      </c>
      <c r="CE251" s="103">
        <f t="shared" si="2264"/>
        <v>0</v>
      </c>
      <c r="CF251" s="103" t="str">
        <f t="shared" si="2264"/>
        <v>RF</v>
      </c>
      <c r="CG251" s="103" t="str">
        <f t="shared" si="2264"/>
        <v>RF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>
        <f t="shared" si="2267"/>
        <v>1.2762598868158994E-2</v>
      </c>
      <c r="N252" s="86">
        <f t="shared" si="2267"/>
        <v>1.4685417978558823E-2</v>
      </c>
      <c r="O252" s="86">
        <f t="shared" si="2267"/>
        <v>9.7228096353708781E-3</v>
      </c>
      <c r="P252" s="86">
        <f t="shared" si="2267"/>
        <v>8.8839137704228421E-3</v>
      </c>
      <c r="Q252" s="86">
        <f t="shared" si="2267"/>
        <v>7.0439180210386818E-3</v>
      </c>
      <c r="R252" s="86">
        <f t="shared" si="2267"/>
        <v>1.7865979522831935E-2</v>
      </c>
      <c r="S252" s="86">
        <f t="shared" si="2267"/>
        <v>1.2369238800825228E-2</v>
      </c>
      <c r="T252" s="86">
        <f t="shared" si="2267"/>
        <v>9.2096717594881833E-3</v>
      </c>
      <c r="U252" s="86">
        <f t="shared" si="2267"/>
        <v>1.004215881802434E-2</v>
      </c>
      <c r="V252" s="86">
        <f t="shared" si="2267"/>
        <v>1.2094733469238813E-2</v>
      </c>
      <c r="W252" s="86">
        <f t="shared" si="2267"/>
        <v>1.5153284208872757E-2</v>
      </c>
      <c r="X252" s="86">
        <f t="shared" si="2267"/>
        <v>1.6492724245873943E-2</v>
      </c>
      <c r="Y252" s="86">
        <f t="shared" si="2267"/>
        <v>2.028279721133687E-2</v>
      </c>
      <c r="Z252" s="86">
        <f t="shared" si="2267"/>
        <v>1.7604174822939793E-2</v>
      </c>
      <c r="AA252" s="86">
        <f t="shared" ref="AA252" si="2268">AA36/AA8</f>
        <v>1.4367373010103117E-2</v>
      </c>
      <c r="AB252" s="87">
        <f t="shared" si="2267"/>
        <v>-5.5543681516020951E-3</v>
      </c>
      <c r="AC252" s="87">
        <f t="shared" si="2267"/>
        <v>-4.4279584315592485E-3</v>
      </c>
      <c r="AD252" s="87">
        <f t="shared" si="2267"/>
        <v>-3.3959919828994403E-3</v>
      </c>
      <c r="AE252" s="87">
        <f t="shared" si="2267"/>
        <v>-2.4961769282868407E-3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>
        <f t="shared" si="2269"/>
        <v>6.7078699505930678E-3</v>
      </c>
      <c r="AY252" s="86">
        <f t="shared" si="2269"/>
        <v>1.7754642002277429E-2</v>
      </c>
      <c r="AZ252" s="86">
        <f t="shared" si="2269"/>
        <v>2.2707659810146961E-2</v>
      </c>
      <c r="BA252" s="86">
        <f t="shared" si="2269"/>
        <v>2.9625896800031828E-2</v>
      </c>
      <c r="BB252" s="86">
        <f t="shared" si="2269"/>
        <v>1.2409449987936973E-2</v>
      </c>
      <c r="BC252" s="86">
        <f t="shared" si="2269"/>
        <v>8.7547576716452413E-3</v>
      </c>
      <c r="BD252" s="86">
        <f t="shared" si="2269"/>
        <v>1.441029572993773E-2</v>
      </c>
      <c r="BE252" s="86">
        <f t="shared" si="2269"/>
        <v>1.3682669789227166E-2</v>
      </c>
      <c r="BF252" s="86">
        <f t="shared" si="2269"/>
        <v>1.1335838924138244E-2</v>
      </c>
      <c r="BG252" s="86">
        <f t="shared" si="2269"/>
        <v>6.7248761648895979E-3</v>
      </c>
      <c r="BH252" s="86">
        <f t="shared" si="2269"/>
        <v>1.1312782642730158E-2</v>
      </c>
      <c r="BI252" s="86">
        <f t="shared" si="2269"/>
        <v>9.130921070211134E-3</v>
      </c>
      <c r="BJ252" s="86">
        <f t="shared" si="2269"/>
        <v>9.6822119630551838E-3</v>
      </c>
      <c r="BK252" s="86">
        <f t="shared" si="2269"/>
        <v>9.3050314772021858E-3</v>
      </c>
      <c r="BL252" s="86">
        <f t="shared" si="2269"/>
        <v>1.2088570485689478E-2</v>
      </c>
      <c r="BM252" s="86">
        <f t="shared" si="2269"/>
        <v>9.799889378962149E-3</v>
      </c>
      <c r="BN252" s="86">
        <f t="shared" si="2269"/>
        <v>9.3646540183217677E-3</v>
      </c>
      <c r="BO252" s="86">
        <f t="shared" si="2269"/>
        <v>2.7944093103319242E-2</v>
      </c>
      <c r="BP252" s="86">
        <f t="shared" si="2269"/>
        <v>1.8507853187760707E-2</v>
      </c>
      <c r="BQ252" s="86">
        <f t="shared" si="2269"/>
        <v>7.4892543809062465E-3</v>
      </c>
      <c r="BR252" s="86">
        <f t="shared" si="2269"/>
        <v>9.1846638680635716E-3</v>
      </c>
      <c r="BS252" s="86">
        <f t="shared" si="2269"/>
        <v>1.0874223269766446E-2</v>
      </c>
      <c r="BT252" s="86">
        <f t="shared" si="2269"/>
        <v>9.7453904687263906E-3</v>
      </c>
      <c r="BU252" s="86">
        <f t="shared" si="2269"/>
        <v>2.0124788929615747E-2</v>
      </c>
      <c r="BV252" s="86">
        <f t="shared" si="2269"/>
        <v>1.7054090259209911E-2</v>
      </c>
      <c r="BW252" s="86">
        <f t="shared" si="2269"/>
        <v>1.6070925816330635E-2</v>
      </c>
      <c r="BX252" s="86">
        <f t="shared" si="2269"/>
        <v>1.9584312548960779E-2</v>
      </c>
      <c r="BY252" s="86">
        <f t="shared" si="2269"/>
        <v>2.0249641612533665E-2</v>
      </c>
      <c r="BZ252" s="86">
        <f t="shared" si="2269"/>
        <v>1.2593477927147528E-2</v>
      </c>
      <c r="CA252" s="86">
        <f t="shared" si="2269"/>
        <v>1.7685986133906512E-2</v>
      </c>
      <c r="CB252" s="86">
        <f t="shared" si="2269"/>
        <v>2.0095117751386664E-2</v>
      </c>
      <c r="CC252" s="86">
        <f t="shared" si="2269"/>
        <v>2.1663001064207165E-2</v>
      </c>
      <c r="CD252" s="86">
        <f t="shared" si="2269"/>
        <v>2.0997096257781626E-2</v>
      </c>
      <c r="CE252" s="86">
        <f t="shared" si="2269"/>
        <v>2.1132728364111435E-2</v>
      </c>
      <c r="CF252" s="86">
        <f t="shared" si="2269"/>
        <v>1.8057361689927401E-2</v>
      </c>
      <c r="CG252" s="86">
        <f t="shared" si="2269"/>
        <v>1.6250138842608019E-2</v>
      </c>
      <c r="CH252" s="86">
        <f t="shared" si="2269"/>
        <v>1.5210577704726055E-2</v>
      </c>
      <c r="CI252" s="86">
        <f t="shared" si="2269"/>
        <v>2.1579412934900594E-2</v>
      </c>
      <c r="CJ252" s="86">
        <f t="shared" si="2269"/>
        <v>1.7072955584706048E-2</v>
      </c>
      <c r="CK252" s="87">
        <f t="shared" si="2269"/>
        <v>1.3356397808054686E-2</v>
      </c>
      <c r="CL252" s="86">
        <f t="shared" ref="CL252" si="2270">CL36/CL8</f>
        <v>1.0049854739786953E-2</v>
      </c>
      <c r="CM252" s="87">
        <f t="shared" si="2269"/>
        <v>-3.345882709195688E-3</v>
      </c>
      <c r="CN252" s="87">
        <f t="shared" si="2269"/>
        <v>-1.0063614517225927E-2</v>
      </c>
      <c r="CO252" s="87">
        <f t="shared" si="2269"/>
        <v>-5.8764888872843103E-3</v>
      </c>
      <c r="CP252" s="87">
        <f t="shared" si="2269"/>
        <v>-3.5102140956834904E-3</v>
      </c>
      <c r="CQ252" s="87">
        <f t="shared" si="2269"/>
        <v>-1.2376284518199792E-3</v>
      </c>
      <c r="CR252" s="87">
        <f t="shared" si="2269"/>
        <v>-9.1094046371584109E-3</v>
      </c>
      <c r="CS252" s="87">
        <f t="shared" si="2269"/>
        <v>-4.792544055357068E-3</v>
      </c>
      <c r="CT252" s="87">
        <f t="shared" si="2269"/>
        <v>-2.6324100761921506E-3</v>
      </c>
      <c r="CU252" s="87">
        <f t="shared" si="2269"/>
        <v>4.1266879516036067E-4</v>
      </c>
      <c r="CV252" s="87">
        <f t="shared" si="2269"/>
        <v>-8.0093118411737625E-3</v>
      </c>
      <c r="CW252" s="87">
        <f t="shared" si="2269"/>
        <v>-3.7806251290205262E-3</v>
      </c>
      <c r="CX252" s="87">
        <f t="shared" ref="CX252:DB252" si="2271">CX36/CX8</f>
        <v>-1.8683531562597039E-3</v>
      </c>
      <c r="CY252" s="87">
        <f t="shared" si="2271"/>
        <v>1.8524788127997822E-3</v>
      </c>
      <c r="CZ252" s="87">
        <f t="shared" si="2271"/>
        <v>-7.0153614755735219E-3</v>
      </c>
      <c r="DA252" s="87">
        <f t="shared" si="2271"/>
        <v>-2.9082801311618015E-3</v>
      </c>
      <c r="DB252" s="87">
        <f t="shared" si="2271"/>
        <v>-1.2197887366933605E-3</v>
      </c>
      <c r="DE252" s="141"/>
      <c r="DF252" s="86">
        <v>1.6482523327750187E-2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>
        <f t="shared" si="2272"/>
        <v>1.589167464329096E-2</v>
      </c>
      <c r="N253" s="86">
        <f t="shared" si="2272"/>
        <v>1.449495067285491E-2</v>
      </c>
      <c r="O253" s="86">
        <f t="shared" si="2272"/>
        <v>1.7406965637518829E-2</v>
      </c>
      <c r="P253" s="86">
        <f t="shared" si="2272"/>
        <v>1.8420217677277216E-2</v>
      </c>
      <c r="Q253" s="86">
        <f t="shared" si="2272"/>
        <v>1.4976755931927772E-2</v>
      </c>
      <c r="R253" s="86">
        <f t="shared" si="2272"/>
        <v>1.7801452993547573E-2</v>
      </c>
      <c r="S253" s="86">
        <f t="shared" si="2272"/>
        <v>1.5271266335296534E-2</v>
      </c>
      <c r="T253" s="86">
        <f t="shared" si="2272"/>
        <v>2.3135517236849045E-2</v>
      </c>
      <c r="U253" s="86">
        <f t="shared" si="2272"/>
        <v>1.7805792500336665E-2</v>
      </c>
      <c r="V253" s="86">
        <f t="shared" si="2272"/>
        <v>2.0661114399146915E-2</v>
      </c>
      <c r="W253" s="86">
        <f t="shared" si="2272"/>
        <v>1.8336178100644293E-2</v>
      </c>
      <c r="X253" s="86">
        <f t="shared" si="2272"/>
        <v>2.0644584648824495E-2</v>
      </c>
      <c r="Y253" s="86">
        <f t="shared" si="2272"/>
        <v>2.588726063672173E-2</v>
      </c>
      <c r="Z253" s="86">
        <f t="shared" si="2272"/>
        <v>2.8920288503079282E-2</v>
      </c>
      <c r="AA253" s="86">
        <f t="shared" ref="AA253" si="2273">AA32/AA8</f>
        <v>2.7493964976042676E-2</v>
      </c>
      <c r="AB253" s="87">
        <f t="shared" si="2272"/>
        <v>2.6873551247165818E-2</v>
      </c>
      <c r="AC253" s="87">
        <f t="shared" si="2272"/>
        <v>1.4130977750937189E-2</v>
      </c>
      <c r="AD253" s="87">
        <f t="shared" si="2272"/>
        <v>7.4229499776830039E-3</v>
      </c>
      <c r="AE253" s="87">
        <f t="shared" si="2272"/>
        <v>3.8986216762381372E-3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>
        <f t="shared" si="2274"/>
        <v>1.542347476915675E-2</v>
      </c>
      <c r="AY253" s="86">
        <f t="shared" si="2274"/>
        <v>1.9683483999907044E-2</v>
      </c>
      <c r="AZ253" s="86">
        <f t="shared" si="2274"/>
        <v>2.3660789036437875E-2</v>
      </c>
      <c r="BA253" s="86">
        <f t="shared" si="2274"/>
        <v>2.5687270412561171E-2</v>
      </c>
      <c r="BB253" s="86">
        <f t="shared" si="2274"/>
        <v>1.2922901806979232E-2</v>
      </c>
      <c r="BC253" s="86">
        <f t="shared" si="2274"/>
        <v>1.1803518591023165E-2</v>
      </c>
      <c r="BD253" s="86">
        <f t="shared" si="2274"/>
        <v>1.6373707480312142E-2</v>
      </c>
      <c r="BE253" s="86">
        <f t="shared" si="2274"/>
        <v>1.6194379391100702E-2</v>
      </c>
      <c r="BF253" s="86">
        <f t="shared" si="2274"/>
        <v>1.625473590794798E-2</v>
      </c>
      <c r="BG253" s="86">
        <f t="shared" si="2274"/>
        <v>2.0325749307362941E-2</v>
      </c>
      <c r="BH253" s="86">
        <f t="shared" si="2274"/>
        <v>2.7369483309047867E-2</v>
      </c>
      <c r="BI253" s="86">
        <f t="shared" si="2274"/>
        <v>2.3747265876999775E-2</v>
      </c>
      <c r="BJ253" s="86">
        <f t="shared" si="2274"/>
        <v>2.1960721764891788E-2</v>
      </c>
      <c r="BK253" s="86">
        <f t="shared" si="2274"/>
        <v>1.912357848824927E-2</v>
      </c>
      <c r="BL253" s="86">
        <f t="shared" si="2274"/>
        <v>1.989663999897473E-2</v>
      </c>
      <c r="BM253" s="86">
        <f t="shared" si="2274"/>
        <v>1.6508062571797308E-2</v>
      </c>
      <c r="BN253" s="86">
        <f t="shared" si="2274"/>
        <v>1.6689417327458333E-2</v>
      </c>
      <c r="BO253" s="86">
        <f t="shared" si="2274"/>
        <v>5.7684391722486253E-2</v>
      </c>
      <c r="BP253" s="86">
        <f t="shared" si="2274"/>
        <v>2.5797454398854724E-2</v>
      </c>
      <c r="BQ253" s="86">
        <f t="shared" si="2274"/>
        <v>1.6503528048821121E-2</v>
      </c>
      <c r="BR253" s="86">
        <f t="shared" si="2274"/>
        <v>1.3504391623362876E-2</v>
      </c>
      <c r="BS253" s="86">
        <f t="shared" si="2274"/>
        <v>1.7075460996483445E-2</v>
      </c>
      <c r="BT253" s="86">
        <f t="shared" si="2274"/>
        <v>1.8005281207660057E-2</v>
      </c>
      <c r="BU253" s="86">
        <f t="shared" si="2274"/>
        <v>1.9321691857831225E-2</v>
      </c>
      <c r="BV253" s="86">
        <f t="shared" si="2274"/>
        <v>1.842613409970666E-2</v>
      </c>
      <c r="BW253" s="86">
        <f t="shared" si="2274"/>
        <v>2.5060186967438711E-2</v>
      </c>
      <c r="BX253" s="86">
        <f t="shared" si="2274"/>
        <v>2.5165147146246198E-2</v>
      </c>
      <c r="BY253" s="86">
        <f t="shared" si="2274"/>
        <v>1.9687818025140105E-2</v>
      </c>
      <c r="BZ253" s="86">
        <f t="shared" si="2274"/>
        <v>1.6963091295861751E-2</v>
      </c>
      <c r="CA253" s="86">
        <f t="shared" si="2274"/>
        <v>2.3065376236062359E-2</v>
      </c>
      <c r="CB253" s="86">
        <f t="shared" si="2274"/>
        <v>2.3171032819981507E-2</v>
      </c>
      <c r="CC253" s="86">
        <f t="shared" si="2274"/>
        <v>2.6571124512238382E-2</v>
      </c>
      <c r="CD253" s="86">
        <f t="shared" si="2274"/>
        <v>2.9856579993680354E-2</v>
      </c>
      <c r="CE253" s="86">
        <f t="shared" si="2274"/>
        <v>2.686410020190607E-2</v>
      </c>
      <c r="CF253" s="86">
        <f t="shared" si="2274"/>
        <v>3.0595631828467865E-2</v>
      </c>
      <c r="CG253" s="86">
        <f t="shared" si="2274"/>
        <v>2.9729772615477379E-2</v>
      </c>
      <c r="CH253" s="86">
        <f t="shared" si="2274"/>
        <v>2.8605100113391999E-2</v>
      </c>
      <c r="CI253" s="86">
        <f t="shared" si="2274"/>
        <v>3.2625028487992556E-2</v>
      </c>
      <c r="CJ253" s="86">
        <f t="shared" si="2274"/>
        <v>2.7956964769956148E-2</v>
      </c>
      <c r="CK253" s="87">
        <f t="shared" si="2274"/>
        <v>2.9107006203293824E-2</v>
      </c>
      <c r="CL253" s="86">
        <f t="shared" ref="CL253" si="2275">CL32/CL8</f>
        <v>2.3644238011549083E-2</v>
      </c>
      <c r="CM253" s="87">
        <f t="shared" si="2274"/>
        <v>5.0337469525693922E-2</v>
      </c>
      <c r="CN253" s="87">
        <f t="shared" si="2274"/>
        <v>3.154916359911316E-2</v>
      </c>
      <c r="CO253" s="87">
        <f t="shared" si="2274"/>
        <v>2.44673295343E-2</v>
      </c>
      <c r="CP253" s="87">
        <f t="shared" si="2274"/>
        <v>1.6154541529032163E-2</v>
      </c>
      <c r="CQ253" s="87">
        <f t="shared" si="2274"/>
        <v>2.6957179274967574E-2</v>
      </c>
      <c r="CR253" s="87">
        <f t="shared" si="2274"/>
        <v>1.6581482842528503E-2</v>
      </c>
      <c r="CS253" s="87">
        <f t="shared" si="2274"/>
        <v>1.2803131277765577E-2</v>
      </c>
      <c r="CT253" s="87">
        <f t="shared" si="2274"/>
        <v>8.463848882996906E-3</v>
      </c>
      <c r="CU253" s="87">
        <f t="shared" si="2274"/>
        <v>1.4207278865350342E-2</v>
      </c>
      <c r="CV253" s="87">
        <f t="shared" si="2274"/>
        <v>8.7044311659199604E-3</v>
      </c>
      <c r="CW253" s="87">
        <f t="shared" si="2274"/>
        <v>6.718985487449973E-3</v>
      </c>
      <c r="CX253" s="87">
        <f t="shared" ref="CX253:DB253" si="2276">CX32/CX8</f>
        <v>4.4449864817956387E-3</v>
      </c>
      <c r="CY253" s="87">
        <f t="shared" si="2276"/>
        <v>7.4657105923911496E-3</v>
      </c>
      <c r="CZ253" s="87">
        <f t="shared" si="2276"/>
        <v>4.5706942706300151E-3</v>
      </c>
      <c r="DA253" s="87">
        <f t="shared" si="2276"/>
        <v>3.5283907358127334E-3</v>
      </c>
      <c r="DB253" s="87">
        <f t="shared" si="2276"/>
        <v>2.3346125205853715E-3</v>
      </c>
      <c r="DE253" s="141"/>
      <c r="DF253" s="86">
        <v>3.0356802776119254E-2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284184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PSP Projects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104.417</v>
      </c>
      <c r="S6">
        <f>_xll.EQNXTDZ($A$1,$B6,S$1,$B$1)</f>
        <v>86.061999999999998</v>
      </c>
      <c r="T6">
        <f>_xll.EQNXTDZ($A$1,$B6,T$1,$B$1)</f>
        <v>77.638999999999996</v>
      </c>
      <c r="U6">
        <f>_xll.EQNXTDZ($A$1,$B6,U$1,$B$1)</f>
        <v>75.406999999999996</v>
      </c>
      <c r="V6">
        <f>_xll.EQNXTDZ($A$1,$B6,V$1,$B$1)</f>
        <v>161.65100000000001</v>
      </c>
      <c r="W6">
        <f>_xll.EQNXTDZ($A$1,$B6,W$1,$B$1)</f>
        <v>155.80099999999999</v>
      </c>
      <c r="X6">
        <f>_xll.EQNXTDZ($A$1,$B6,X$1,$B$1)</f>
        <v>139.553</v>
      </c>
      <c r="Y6">
        <f>_xll.EQNXTDZ($A$1,$B6,Y$1,$B$1)</f>
        <v>170.8</v>
      </c>
      <c r="Z6">
        <f>_xll.EQNXTDZ($A$1,$B6,Z$1,$B$1)</f>
        <v>263.67700000000002</v>
      </c>
      <c r="AA6">
        <f>_xll.EQNXTDZ($A$1,$B6,AA$1,$B$1)</f>
        <v>238.22</v>
      </c>
      <c r="AB6">
        <f>_xll.EQNXTDZ($A$1,$B6,AB$1,$B$1)</f>
        <v>212.06100000000001</v>
      </c>
      <c r="AC6">
        <f>_xll.EQNXTDZ($A$1,$B6,AC$1,$B$1)</f>
        <v>261.96699999999998</v>
      </c>
      <c r="AD6">
        <f>_xll.EQNXTDZ($A$1,$B6,AD$1,$B$1)</f>
        <v>338.55900000000003</v>
      </c>
      <c r="AE6">
        <f>_xll.EQNXTDZ($A$1,$B6,AE$1,$B$1)</f>
        <v>307.68299999999999</v>
      </c>
      <c r="AF6">
        <f>_xll.EQNXTDZ($A$1,$B6,AF$1,$B$1)</f>
        <v>312.113</v>
      </c>
      <c r="AG6">
        <f>_xll.EQNXTDZ($A$1,$B6,AG$1,$B$1)</f>
        <v>423.06599999999997</v>
      </c>
      <c r="AH6">
        <f>_xll.EQNXTDZ($A$1,$B6,AH$1,$B$1)</f>
        <v>456.39699999999999</v>
      </c>
      <c r="AI6">
        <f>_xll.EQNXTDZ($A$1,$B6,AI$1,$B$1)</f>
        <v>106.892</v>
      </c>
      <c r="AJ6">
        <f>_xll.EQNXTDZ($A$1,$B6,AJ$1,$B$1)</f>
        <v>243.08600000000001</v>
      </c>
      <c r="AK6">
        <f>_xll.EQNXTDZ($A$1,$B6,AK$1,$B$1)</f>
        <v>390.15899999999999</v>
      </c>
      <c r="AL6">
        <f>_xll.EQNXTDZ($A$1,$B6,AL$1,$B$1)</f>
        <v>500.726</v>
      </c>
      <c r="AM6">
        <f>_xll.EQNXTDZ($A$1,$B6,AM$1,$B$1)</f>
        <v>317.35599999999999</v>
      </c>
      <c r="AN6">
        <f>_xll.EQNXTDZ($A$1,$B6,AN$1,$B$1)</f>
        <v>390.44099999999997</v>
      </c>
      <c r="AO6">
        <f>_xll.EQNXTDZ($A$1,$B6,AO$1,$B$1)</f>
        <v>485.62</v>
      </c>
      <c r="AP6">
        <f>_xll.EQNXTDZ($A$1,$B6,AP$1,$B$1)</f>
        <v>554.64700000000005</v>
      </c>
      <c r="AQ6">
        <f>_xll.EQNXTDZ($A$1,$B6,AQ$1,$B$1)</f>
        <v>348.08199999999999</v>
      </c>
      <c r="AR6">
        <f>_xll.EQNXTDZ($A$1,$B6,AR$1,$B$1)</f>
        <v>359.98200000000003</v>
      </c>
      <c r="AS6">
        <f>_xll.EQNXTDZ($A$1,$B6,AS$1,$B$1)</f>
        <v>500.15699999999998</v>
      </c>
      <c r="AT6">
        <f>_xll.EQNXTDZ($A$1,$B6,AT$1,$B$1)</f>
        <v>729.58399999999995</v>
      </c>
      <c r="AU6">
        <f>_xll.EQNXTDZ($A$1,$B6,AU$1,$B$1)</f>
        <v>513.62699999999995</v>
      </c>
      <c r="AV6">
        <f>_xll.EQNXTDZ($A$1,$B6,AV$1,$B$1)</f>
        <v>619.65300000000002</v>
      </c>
      <c r="AW6">
        <f>_xll.EQNXTDZ($A$1,$B6,AW$1,$B$1)</f>
        <v>704.75</v>
      </c>
      <c r="AX6">
        <f>_xll.EQNXTDZ($A$1,$B6,AX$1,$B$1)</f>
        <v>667.75900000000001</v>
      </c>
      <c r="AY6">
        <f>_xll.EQNXTDZ($A$1,$B6,AY$1,$B$1)</f>
        <v>623.06200000000001</v>
      </c>
      <c r="AZ6">
        <f>_xll.EQNXTDZ($A$1,$B6,AZ$1,$B$1)</f>
        <v>585.96600000000001</v>
      </c>
      <c r="BA6">
        <f>_xll.EQNXTDZ($A$1,$B6,BA$1,$B$1)</f>
        <v>630.21</v>
      </c>
      <c r="BB6">
        <f>_xll.EQNXTDZ($A$1,$B6,BB$1,$B$1)</f>
        <v>672.88699999999994</v>
      </c>
      <c r="BC6">
        <f>_xll.EQNXTDZ($A$1,$B6,BC$1,$B$1)</f>
        <v>517.76199999999994</v>
      </c>
      <c r="BD6">
        <f>_xll.EQNXTDZ($A$1,$B6,BD$1,$B$1)</f>
        <v>702.86599999999999</v>
      </c>
      <c r="BE6">
        <f>_xll.EQNXTDZ($A$1,$B6,BE$1,$B$1)</f>
        <v>812.79399999999998</v>
      </c>
      <c r="BF6">
        <f>_xll.EQNXTDZ($A$1,$B6,BF$1,$B$1)</f>
        <v>1115.24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3.665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108.08199999999999</v>
      </c>
      <c r="S9">
        <f>_xll.EQNXTDZ($A$1,$B9,S$1,$B$1)</f>
        <v>86.061999999999998</v>
      </c>
      <c r="T9">
        <f>_xll.EQNXTDZ($A$1,$B9,T$1,$B$1)</f>
        <v>77.638999999999996</v>
      </c>
      <c r="U9">
        <f>_xll.EQNXTDZ($A$1,$B9,U$1,$B$1)</f>
        <v>75.406999999999996</v>
      </c>
      <c r="V9">
        <f>_xll.EQNXTDZ($A$1,$B9,V$1,$B$1)</f>
        <v>161.65</v>
      </c>
      <c r="W9">
        <f>_xll.EQNXTDZ($A$1,$B9,W$1,$B$1)</f>
        <v>155.80099999999999</v>
      </c>
      <c r="X9">
        <f>_xll.EQNXTDZ($A$1,$B9,X$1,$B$1)</f>
        <v>139.553</v>
      </c>
      <c r="Y9">
        <f>_xll.EQNXTDZ($A$1,$B9,Y$1,$B$1)</f>
        <v>170.8</v>
      </c>
      <c r="Z9">
        <f>_xll.EQNXTDZ($A$1,$B9,Z$1,$B$1)</f>
        <v>263.67700000000002</v>
      </c>
      <c r="AA9">
        <f>_xll.EQNXTDZ($A$1,$B9,AA$1,$B$1)</f>
        <v>238.22</v>
      </c>
      <c r="AB9">
        <f>_xll.EQNXTDZ($A$1,$B9,AB$1,$B$1)</f>
        <v>212.06100000000001</v>
      </c>
      <c r="AC9">
        <f>_xll.EQNXTDZ($A$1,$B9,AC$1,$B$1)</f>
        <v>261.96699999999998</v>
      </c>
      <c r="AD9">
        <f>_xll.EQNXTDZ($A$1,$B9,AD$1,$B$1)</f>
        <v>338.55900000000003</v>
      </c>
      <c r="AE9">
        <f>_xll.EQNXTDZ($A$1,$B9,AE$1,$B$1)</f>
        <v>307.68299999999999</v>
      </c>
      <c r="AF9">
        <f>_xll.EQNXTDZ($A$1,$B9,AF$1,$B$1)</f>
        <v>312.113</v>
      </c>
      <c r="AG9">
        <f>_xll.EQNXTDZ($A$1,$B9,AG$1,$B$1)</f>
        <v>423.06599999999997</v>
      </c>
      <c r="AH9">
        <f>_xll.EQNXTDZ($A$1,$B9,AH$1,$B$1)</f>
        <v>456.39699999999999</v>
      </c>
      <c r="AI9">
        <f>_xll.EQNXTDZ($A$1,$B9,AI$1,$B$1)</f>
        <v>106.892</v>
      </c>
      <c r="AJ9">
        <f>_xll.EQNXTDZ($A$1,$B9,AJ$1,$B$1)</f>
        <v>243.08600000000001</v>
      </c>
      <c r="AK9">
        <f>_xll.EQNXTDZ($A$1,$B9,AK$1,$B$1)</f>
        <v>390.15899999999999</v>
      </c>
      <c r="AL9">
        <f>_xll.EQNXTDZ($A$1,$B9,AL$1,$B$1)</f>
        <v>500.726</v>
      </c>
      <c r="AM9">
        <f>_xll.EQNXTDZ($A$1,$B9,AM$1,$B$1)</f>
        <v>317.35599999999999</v>
      </c>
      <c r="AN9">
        <f>_xll.EQNXTDZ($A$1,$B9,AN$1,$B$1)</f>
        <v>390.44099999999997</v>
      </c>
      <c r="AO9">
        <f>_xll.EQNXTDZ($A$1,$B9,AO$1,$B$1)</f>
        <v>485.62</v>
      </c>
      <c r="AP9">
        <f>_xll.EQNXTDZ($A$1,$B9,AP$1,$B$1)</f>
        <v>554.64700000000005</v>
      </c>
      <c r="AQ9">
        <f>_xll.EQNXTDZ($A$1,$B9,AQ$1,$B$1)</f>
        <v>348.08199999999999</v>
      </c>
      <c r="AR9">
        <f>_xll.EQNXTDZ($A$1,$B9,AR$1,$B$1)</f>
        <v>359.98200000000003</v>
      </c>
      <c r="AS9">
        <f>_xll.EQNXTDZ($A$1,$B9,AS$1,$B$1)</f>
        <v>500.15699999999998</v>
      </c>
      <c r="AT9">
        <f>_xll.EQNXTDZ($A$1,$B9,AT$1,$B$1)</f>
        <v>729.58399999999995</v>
      </c>
      <c r="AU9">
        <f>_xll.EQNXTDZ($A$1,$B9,AU$1,$B$1)</f>
        <v>513.62699999999995</v>
      </c>
      <c r="AV9">
        <f>_xll.EQNXTDZ($A$1,$B9,AV$1,$B$1)</f>
        <v>619.65300000000002</v>
      </c>
      <c r="AW9">
        <f>_xll.EQNXTDZ($A$1,$B9,AW$1,$B$1)</f>
        <v>704.75</v>
      </c>
      <c r="AX9">
        <f>_xll.EQNXTDZ($A$1,$B9,AX$1,$B$1)</f>
        <v>667.75900000000001</v>
      </c>
      <c r="AY9">
        <f>_xll.EQNXTDZ($A$1,$B9,AY$1,$B$1)</f>
        <v>623.06200000000001</v>
      </c>
      <c r="AZ9">
        <f>_xll.EQNXTDZ($A$1,$B9,AZ$1,$B$1)</f>
        <v>585.96600000000001</v>
      </c>
      <c r="BA9">
        <f>_xll.EQNXTDZ($A$1,$B9,BA$1,$B$1)</f>
        <v>630.21</v>
      </c>
      <c r="BB9">
        <f>_xll.EQNXTDZ($A$1,$B9,BB$1,$B$1)</f>
        <v>672.88699999999994</v>
      </c>
      <c r="BC9">
        <f>_xll.EQNXTDZ($A$1,$B9,BC$1,$B$1)</f>
        <v>517.76199999999994</v>
      </c>
      <c r="BD9">
        <f>_xll.EQNXTDZ($A$1,$B9,BD$1,$B$1)</f>
        <v>702.86599999999999</v>
      </c>
      <c r="BE9">
        <f>_xll.EQNXTDZ($A$1,$B9,BE$1,$B$1)</f>
        <v>812.79399999999998</v>
      </c>
      <c r="BF9">
        <f>_xll.EQNXTDZ($A$1,$B9,BF$1,$B$1)</f>
        <v>1115.24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0.04</v>
      </c>
      <c r="S10">
        <f>_xll.EQNXTDZ($A$1,$B10,S$1,$B$1)</f>
        <v>0.57699999999999996</v>
      </c>
      <c r="T10">
        <f>_xll.EQNXTDZ($A$1,$B10,T$1,$B$1)</f>
        <v>0.72199999999999998</v>
      </c>
      <c r="U10">
        <f>_xll.EQNXTDZ($A$1,$B10,U$1,$B$1)</f>
        <v>-3.395</v>
      </c>
      <c r="V10">
        <f>_xll.EQNXTDZ($A$1,$B10,V$1,$B$1)</f>
        <v>4.0549999999999997</v>
      </c>
      <c r="W10">
        <f>_xll.EQNXTDZ($A$1,$B10,W$1,$B$1)</f>
        <v>-7.2130000000000001</v>
      </c>
      <c r="X10">
        <f>_xll.EQNXTDZ($A$1,$B10,X$1,$B$1)</f>
        <v>4.7949999999999999</v>
      </c>
      <c r="Y10">
        <f>_xll.EQNXTDZ($A$1,$B10,Y$1,$B$1)</f>
        <v>-4.165</v>
      </c>
      <c r="Z10">
        <f>_xll.EQNXTDZ($A$1,$B10,Z$1,$B$1)</f>
        <v>-3.6720000000000002</v>
      </c>
      <c r="AA10">
        <f>_xll.EQNXTDZ($A$1,$B10,AA$1,$B$1)</f>
        <v>9.0510000000000002</v>
      </c>
      <c r="AB10">
        <f>_xll.EQNXTDZ($A$1,$B10,AB$1,$B$1)</f>
        <v>-12.63</v>
      </c>
      <c r="AC10">
        <f>_xll.EQNXTDZ($A$1,$B10,AC$1,$B$1)</f>
        <v>-37.744999999999997</v>
      </c>
      <c r="AD10">
        <f>_xll.EQNXTDZ($A$1,$B10,AD$1,$B$1)</f>
        <v>-5.9729999999999999</v>
      </c>
      <c r="AE10">
        <f>_xll.EQNXTDZ($A$1,$B10,AE$1,$B$1)</f>
        <v>-0.36299999999999999</v>
      </c>
      <c r="AF10">
        <f>_xll.EQNXTDZ($A$1,$B10,AF$1,$B$1)</f>
        <v>-27.414999999999999</v>
      </c>
      <c r="AG10">
        <f>_xll.EQNXTDZ($A$1,$B10,AG$1,$B$1)</f>
        <v>28.15</v>
      </c>
      <c r="AH10">
        <f>_xll.EQNXTDZ($A$1,$B10,AH$1,$B$1)</f>
        <v>8.0220000000000002</v>
      </c>
      <c r="AI10">
        <f>_xll.EQNXTDZ($A$1,$B10,AI$1,$B$1)</f>
        <v>-3.5179999999999998</v>
      </c>
      <c r="AJ10">
        <f>_xll.EQNXTDZ($A$1,$B10,AJ$1,$B$1)</f>
        <v>-3.9039999999999999</v>
      </c>
      <c r="AK10">
        <f>_xll.EQNXTDZ($A$1,$B10,AK$1,$B$1)</f>
        <v>-1.8540000000000001</v>
      </c>
      <c r="AL10">
        <f>_xll.EQNXTDZ($A$1,$B10,AL$1,$B$1)</f>
        <v>6.91</v>
      </c>
      <c r="AM10">
        <f>_xll.EQNXTDZ($A$1,$B10,AM$1,$B$1)</f>
        <v>-3.9990000000000001</v>
      </c>
      <c r="AN10">
        <f>_xll.EQNXTDZ($A$1,$B10,AN$1,$B$1)</f>
        <v>3.9289999999999998</v>
      </c>
      <c r="AO10">
        <f>_xll.EQNXTDZ($A$1,$B10,AO$1,$B$1)</f>
        <v>-2.87</v>
      </c>
      <c r="AP10">
        <f>_xll.EQNXTDZ($A$1,$B10,AP$1,$B$1)</f>
        <v>6.5259999999999998</v>
      </c>
      <c r="AQ10">
        <f>_xll.EQNXTDZ($A$1,$B10,AQ$1,$B$1)</f>
        <v>-0.74099999999999999</v>
      </c>
      <c r="AR10">
        <f>_xll.EQNXTDZ($A$1,$B10,AR$1,$B$1)</f>
        <v>-34.542000000000002</v>
      </c>
      <c r="AS10">
        <f>_xll.EQNXTDZ($A$1,$B10,AS$1,$B$1)</f>
        <v>15.362</v>
      </c>
      <c r="AT10">
        <f>_xll.EQNXTDZ($A$1,$B10,AT$1,$B$1)</f>
        <v>-1.34</v>
      </c>
      <c r="AU10">
        <f>_xll.EQNXTDZ($A$1,$B10,AU$1,$B$1)</f>
        <v>-15.846</v>
      </c>
      <c r="AV10">
        <f>_xll.EQNXTDZ($A$1,$B10,AV$1,$B$1)</f>
        <v>-47.433</v>
      </c>
      <c r="AW10">
        <f>_xll.EQNXTDZ($A$1,$B10,AW$1,$B$1)</f>
        <v>-43.491999999999997</v>
      </c>
      <c r="AX10">
        <f>_xll.EQNXTDZ($A$1,$B10,AX$1,$B$1)</f>
        <v>-62.478999999999999</v>
      </c>
      <c r="AY10">
        <f>_xll.EQNXTDZ($A$1,$B10,AY$1,$B$1)</f>
        <v>20.257999999999999</v>
      </c>
      <c r="AZ10">
        <f>_xll.EQNXTDZ($A$1,$B10,AZ$1,$B$1)</f>
        <v>-18.311</v>
      </c>
      <c r="BA10">
        <f>_xll.EQNXTDZ($A$1,$B10,BA$1,$B$1)</f>
        <v>19.742000000000001</v>
      </c>
      <c r="BB10">
        <f>_xll.EQNXTDZ($A$1,$B10,BB$1,$B$1)</f>
        <v>10.553000000000001</v>
      </c>
      <c r="BC10">
        <f>_xll.EQNXTDZ($A$1,$B10,BC$1,$B$1)</f>
        <v>-10.000999999999999</v>
      </c>
      <c r="BD10">
        <f>_xll.EQNXTDZ($A$1,$B10,BD$1,$B$1)</f>
        <v>20.888999999999999</v>
      </c>
      <c r="BE10">
        <f>_xll.EQNXTDZ($A$1,$B10,BE$1,$B$1)</f>
        <v>-7.0250000000000004</v>
      </c>
      <c r="BF10">
        <f>_xll.EQNXTDZ($A$1,$B10,BF$1,$B$1)</f>
        <v>15.925000000000001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44.844999999999999</v>
      </c>
      <c r="S11">
        <f>_xll.EQNXTDZ($A$1,$B11,S$1,$B$1)</f>
        <v>32.972999999999999</v>
      </c>
      <c r="T11">
        <f>_xll.EQNXTDZ($A$1,$B11,T$1,$B$1)</f>
        <v>19.257999999999999</v>
      </c>
      <c r="U11">
        <f>_xll.EQNXTDZ($A$1,$B11,U$1,$B$1)</f>
        <v>27.425000000000001</v>
      </c>
      <c r="V11">
        <f>_xll.EQNXTDZ($A$1,$B11,V$1,$B$1)</f>
        <v>49.317</v>
      </c>
      <c r="W11">
        <f>_xll.EQNXTDZ($A$1,$B11,W$1,$B$1)</f>
        <v>73.287999999999997</v>
      </c>
      <c r="X11">
        <f>_xll.EQNXTDZ($A$1,$B11,X$1,$B$1)</f>
        <v>56.923999999999999</v>
      </c>
      <c r="Y11">
        <f>_xll.EQNXTDZ($A$1,$B11,Y$1,$B$1)</f>
        <v>60.612000000000002</v>
      </c>
      <c r="Z11">
        <f>_xll.EQNXTDZ($A$1,$B11,Z$1,$B$1)</f>
        <v>92.838999999999999</v>
      </c>
      <c r="AA11">
        <f>_xll.EQNXTDZ($A$1,$B11,AA$1,$B$1)</f>
        <v>109.63800000000001</v>
      </c>
      <c r="AB11">
        <f>_xll.EQNXTDZ($A$1,$B11,AB$1,$B$1)</f>
        <v>85.725999999999999</v>
      </c>
      <c r="AC11">
        <f>_xll.EQNXTDZ($A$1,$B11,AC$1,$B$1)</f>
        <v>135.36600000000001</v>
      </c>
      <c r="AD11">
        <f>_xll.EQNXTDZ($A$1,$B11,AD$1,$B$1)</f>
        <v>132.99600000000001</v>
      </c>
      <c r="AE11">
        <f>_xll.EQNXTDZ($A$1,$B11,AE$1,$B$1)</f>
        <v>115.223</v>
      </c>
      <c r="AF11">
        <f>_xll.EQNXTDZ($A$1,$B11,AF$1,$B$1)</f>
        <v>123.64400000000001</v>
      </c>
      <c r="AG11">
        <f>_xll.EQNXTDZ($A$1,$B11,AG$1,$B$1)</f>
        <v>140.05500000000001</v>
      </c>
      <c r="AH11">
        <f>_xll.EQNXTDZ($A$1,$B11,AH$1,$B$1)</f>
        <v>147.738</v>
      </c>
      <c r="AI11">
        <f>_xll.EQNXTDZ($A$1,$B11,AI$1,$B$1)</f>
        <v>35.912999999999997</v>
      </c>
      <c r="AJ11">
        <f>_xll.EQNXTDZ($A$1,$B11,AJ$1,$B$1)</f>
        <v>74.653999999999996</v>
      </c>
      <c r="AK11">
        <f>_xll.EQNXTDZ($A$1,$B11,AK$1,$B$1)</f>
        <v>141.95400000000001</v>
      </c>
      <c r="AL11">
        <f>_xll.EQNXTDZ($A$1,$B11,AL$1,$B$1)</f>
        <v>145.61099999999999</v>
      </c>
      <c r="AM11">
        <f>_xll.EQNXTDZ($A$1,$B11,AM$1,$B$1)</f>
        <v>103.044</v>
      </c>
      <c r="AN11">
        <f>_xll.EQNXTDZ($A$1,$B11,AN$1,$B$1)</f>
        <v>125.538</v>
      </c>
      <c r="AO11">
        <f>_xll.EQNXTDZ($A$1,$B11,AO$1,$B$1)</f>
        <v>130.23099999999999</v>
      </c>
      <c r="AP11">
        <f>_xll.EQNXTDZ($A$1,$B11,AP$1,$B$1)</f>
        <v>136.577</v>
      </c>
      <c r="AQ11">
        <f>_xll.EQNXTDZ($A$1,$B11,AQ$1,$B$1)</f>
        <v>104.449</v>
      </c>
      <c r="AR11">
        <f>_xll.EQNXTDZ($A$1,$B11,AR$1,$B$1)</f>
        <v>116.852</v>
      </c>
      <c r="AS11">
        <f>_xll.EQNXTDZ($A$1,$B11,AS$1,$B$1)</f>
        <v>154.054</v>
      </c>
      <c r="AT11">
        <f>_xll.EQNXTDZ($A$1,$B11,AT$1,$B$1)</f>
        <v>227.41900000000001</v>
      </c>
      <c r="AU11">
        <f>_xll.EQNXTDZ($A$1,$B11,AU$1,$B$1)</f>
        <v>209.23500000000001</v>
      </c>
      <c r="AV11">
        <f>_xll.EQNXTDZ($A$1,$B11,AV$1,$B$1)</f>
        <v>270.03199999999998</v>
      </c>
      <c r="AW11">
        <f>_xll.EQNXTDZ($A$1,$B11,AW$1,$B$1)</f>
        <v>251.303</v>
      </c>
      <c r="AX11">
        <f>_xll.EQNXTDZ($A$1,$B11,AX$1,$B$1)</f>
        <v>228.28</v>
      </c>
      <c r="AY11">
        <f>_xll.EQNXTDZ($A$1,$B11,AY$1,$B$1)</f>
        <v>173.86699999999999</v>
      </c>
      <c r="AZ11">
        <f>_xll.EQNXTDZ($A$1,$B11,AZ$1,$B$1)</f>
        <v>196.886</v>
      </c>
      <c r="BA11">
        <f>_xll.EQNXTDZ($A$1,$B11,BA$1,$B$1)</f>
        <v>208.41900000000001</v>
      </c>
      <c r="BB11">
        <f>_xll.EQNXTDZ($A$1,$B11,BB$1,$B$1)</f>
        <v>206.79300000000001</v>
      </c>
      <c r="BC11">
        <f>_xll.EQNXTDZ($A$1,$B11,BC$1,$B$1)</f>
        <v>200.648</v>
      </c>
      <c r="BD11">
        <f>_xll.EQNXTDZ($A$1,$B11,BD$1,$B$1)</f>
        <v>302.44600000000003</v>
      </c>
      <c r="BE11">
        <f>_xll.EQNXTDZ($A$1,$B11,BE$1,$B$1)</f>
        <v>310.56700000000001</v>
      </c>
      <c r="BF11">
        <f>_xll.EQNXTDZ($A$1,$B11,BF$1,$B$1)</f>
        <v>354.608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50.622999999999998</v>
      </c>
      <c r="S14">
        <f>_xll.EQNXTDZ($A$1,$B14,S$1,$B$1)</f>
        <v>36.051000000000002</v>
      </c>
      <c r="T14">
        <f>_xll.EQNXTDZ($A$1,$B14,T$1,$B$1)</f>
        <v>41.637</v>
      </c>
      <c r="U14">
        <f>_xll.EQNXTDZ($A$1,$B14,U$1,$B$1)</f>
        <v>37.225000000000001</v>
      </c>
      <c r="V14">
        <f>_xll.EQNXTDZ($A$1,$B14,V$1,$B$1)</f>
        <v>68.137</v>
      </c>
      <c r="W14">
        <f>_xll.EQNXTDZ($A$1,$B14,W$1,$B$1)</f>
        <v>63.826999999999998</v>
      </c>
      <c r="X14">
        <f>_xll.EQNXTDZ($A$1,$B14,X$1,$B$1)</f>
        <v>52.462000000000003</v>
      </c>
      <c r="Y14">
        <f>_xll.EQNXTDZ($A$1,$B14,Y$1,$B$1)</f>
        <v>80.400999999999996</v>
      </c>
      <c r="Z14">
        <f>_xll.EQNXTDZ($A$1,$B14,Z$1,$B$1)</f>
        <v>129.72499999999999</v>
      </c>
      <c r="AA14">
        <f>_xll.EQNXTDZ($A$1,$B14,AA$1,$B$1)</f>
        <v>76.11</v>
      </c>
      <c r="AB14">
        <f>_xll.EQNXTDZ($A$1,$B14,AB$1,$B$1)</f>
        <v>99.322000000000003</v>
      </c>
      <c r="AC14">
        <f>_xll.EQNXTDZ($A$1,$B14,AC$1,$B$1)</f>
        <v>116.98</v>
      </c>
      <c r="AD14">
        <f>_xll.EQNXTDZ($A$1,$B14,AD$1,$B$1)</f>
        <v>149.77600000000001</v>
      </c>
      <c r="AE14">
        <f>_xll.EQNXTDZ($A$1,$B14,AE$1,$B$1)</f>
        <v>135.88200000000001</v>
      </c>
      <c r="AF14">
        <f>_xll.EQNXTDZ($A$1,$B14,AF$1,$B$1)</f>
        <v>158.44900000000001</v>
      </c>
      <c r="AG14">
        <f>_xll.EQNXTDZ($A$1,$B14,AG$1,$B$1)</f>
        <v>185.65100000000001</v>
      </c>
      <c r="AH14">
        <f>_xll.EQNXTDZ($A$1,$B14,AH$1,$B$1)</f>
        <v>233.86099999999999</v>
      </c>
      <c r="AI14">
        <f>_xll.EQNXTDZ($A$1,$B14,AI$1,$B$1)</f>
        <v>63.500999999999998</v>
      </c>
      <c r="AJ14">
        <f>_xll.EQNXTDZ($A$1,$B14,AJ$1,$B$1)</f>
        <v>133.446</v>
      </c>
      <c r="AK14">
        <f>_xll.EQNXTDZ($A$1,$B14,AK$1,$B$1)</f>
        <v>191.51900000000001</v>
      </c>
      <c r="AL14">
        <f>_xll.EQNXTDZ($A$1,$B14,AL$1,$B$1)</f>
        <v>270.96199999999999</v>
      </c>
      <c r="AM14">
        <f>_xll.EQNXTDZ($A$1,$B14,AM$1,$B$1)</f>
        <v>163.73400000000001</v>
      </c>
      <c r="AN14">
        <f>_xll.EQNXTDZ($A$1,$B14,AN$1,$B$1)</f>
        <v>190.75399999999999</v>
      </c>
      <c r="AO14">
        <f>_xll.EQNXTDZ($A$1,$B14,AO$1,$B$1)</f>
        <v>265.86799999999999</v>
      </c>
      <c r="AP14">
        <f>_xll.EQNXTDZ($A$1,$B14,AP$1,$B$1)</f>
        <v>297.95299999999997</v>
      </c>
      <c r="AQ14">
        <f>_xll.EQNXTDZ($A$1,$B14,AQ$1,$B$1)</f>
        <v>174.709</v>
      </c>
      <c r="AR14">
        <f>_xll.EQNXTDZ($A$1,$B14,AR$1,$B$1)</f>
        <v>215.71</v>
      </c>
      <c r="AS14">
        <f>_xll.EQNXTDZ($A$1,$B14,AS$1,$B$1)</f>
        <v>245.47399999999999</v>
      </c>
      <c r="AT14">
        <f>_xll.EQNXTDZ($A$1,$B14,AT$1,$B$1)</f>
        <v>396.88499999999999</v>
      </c>
      <c r="AU14">
        <f>_xll.EQNXTDZ($A$1,$B14,AU$1,$B$1)</f>
        <v>225.876</v>
      </c>
      <c r="AV14">
        <f>_xll.EQNXTDZ($A$1,$B14,AV$1,$B$1)</f>
        <v>294.99299999999999</v>
      </c>
      <c r="AW14">
        <f>_xll.EQNXTDZ($A$1,$B14,AW$1,$B$1)</f>
        <v>393.58199999999999</v>
      </c>
      <c r="AX14">
        <f>_xll.EQNXTDZ($A$1,$B14,AX$1,$B$1)</f>
        <v>415.75099999999998</v>
      </c>
      <c r="AY14">
        <f>_xll.EQNXTDZ($A$1,$B14,AY$1,$B$1)</f>
        <v>322.36200000000002</v>
      </c>
      <c r="AZ14">
        <f>_xll.EQNXTDZ($A$1,$B14,AZ$1,$B$1)</f>
        <v>339.29899999999998</v>
      </c>
      <c r="BA14">
        <f>_xll.EQNXTDZ($A$1,$B14,BA$1,$B$1)</f>
        <v>333.19600000000003</v>
      </c>
      <c r="BB14">
        <f>_xll.EQNXTDZ($A$1,$B14,BB$1,$B$1)</f>
        <v>400.12799999999999</v>
      </c>
      <c r="BC14">
        <f>_xll.EQNXTDZ($A$1,$B14,BC$1,$B$1)</f>
        <v>267.28300000000002</v>
      </c>
      <c r="BD14">
        <f>_xll.EQNXTDZ($A$1,$B14,BD$1,$B$1)</f>
        <v>296.35000000000002</v>
      </c>
      <c r="BE14">
        <f>_xll.EQNXTDZ($A$1,$B14,BE$1,$B$1)</f>
        <v>413.69099999999997</v>
      </c>
      <c r="BF14">
        <f>_xll.EQNXTDZ($A$1,$B14,BF$1,$B$1)</f>
        <v>648.48099999999999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3.3069999999999999</v>
      </c>
      <c r="S16">
        <f>_xll.EQNXTDZ($A$1,$B16,S$1,$B$1)</f>
        <v>4.6239999999999997</v>
      </c>
      <c r="T16">
        <f>_xll.EQNXTDZ($A$1,$B16,T$1,$B$1)</f>
        <v>4.7729999999999997</v>
      </c>
      <c r="U16">
        <f>_xll.EQNXTDZ($A$1,$B16,U$1,$B$1)</f>
        <v>4.7110000000000003</v>
      </c>
      <c r="V16">
        <f>_xll.EQNXTDZ($A$1,$B16,V$1,$B$1)</f>
        <v>6.7279999999999998</v>
      </c>
      <c r="W16">
        <f>_xll.EQNXTDZ($A$1,$B16,W$1,$B$1)</f>
        <v>5.9889999999999999</v>
      </c>
      <c r="X16">
        <f>_xll.EQNXTDZ($A$1,$B16,X$1,$B$1)</f>
        <v>6.7320000000000002</v>
      </c>
      <c r="Y16">
        <f>_xll.EQNXTDZ($A$1,$B16,Y$1,$B$1)</f>
        <v>7.3970000000000002</v>
      </c>
      <c r="Z16">
        <f>_xll.EQNXTDZ($A$1,$B16,Z$1,$B$1)</f>
        <v>8.4949999999999992</v>
      </c>
      <c r="AA16">
        <f>_xll.EQNXTDZ($A$1,$B16,AA$1,$B$1)</f>
        <v>10.003</v>
      </c>
      <c r="AB16">
        <f>_xll.EQNXTDZ($A$1,$B16,AB$1,$B$1)</f>
        <v>10.786</v>
      </c>
      <c r="AC16">
        <f>_xll.EQNXTDZ($A$1,$B16,AC$1,$B$1)</f>
        <v>10.743</v>
      </c>
      <c r="AD16">
        <f>_xll.EQNXTDZ($A$1,$B16,AD$1,$B$1)</f>
        <v>11.68</v>
      </c>
      <c r="AE16">
        <f>_xll.EQNXTDZ($A$1,$B16,AE$1,$B$1)</f>
        <v>13.798</v>
      </c>
      <c r="AF16">
        <f>_xll.EQNXTDZ($A$1,$B16,AF$1,$B$1)</f>
        <v>14.617000000000001</v>
      </c>
      <c r="AG16">
        <f>_xll.EQNXTDZ($A$1,$B16,AG$1,$B$1)</f>
        <v>15.236000000000001</v>
      </c>
      <c r="AH16">
        <f>_xll.EQNXTDZ($A$1,$B16,AH$1,$B$1)</f>
        <v>15.834</v>
      </c>
      <c r="AI16">
        <f>_xll.EQNXTDZ($A$1,$B16,AI$1,$B$1)</f>
        <v>9.7010000000000005</v>
      </c>
      <c r="AJ16">
        <f>_xll.EQNXTDZ($A$1,$B16,AJ$1,$B$1)</f>
        <v>13.286</v>
      </c>
      <c r="AK16">
        <f>_xll.EQNXTDZ($A$1,$B16,AK$1,$B$1)</f>
        <v>13.693</v>
      </c>
      <c r="AL16">
        <f>_xll.EQNXTDZ($A$1,$B16,AL$1,$B$1)</f>
        <v>14.218</v>
      </c>
      <c r="AM16">
        <f>_xll.EQNXTDZ($A$1,$B16,AM$1,$B$1)</f>
        <v>15.188000000000001</v>
      </c>
      <c r="AN16">
        <f>_xll.EQNXTDZ($A$1,$B16,AN$1,$B$1)</f>
        <v>15.513</v>
      </c>
      <c r="AO16">
        <f>_xll.EQNXTDZ($A$1,$B16,AO$1,$B$1)</f>
        <v>16.393000000000001</v>
      </c>
      <c r="AP16">
        <f>_xll.EQNXTDZ($A$1,$B16,AP$1,$B$1)</f>
        <v>25.245000000000001</v>
      </c>
      <c r="AQ16">
        <f>_xll.EQNXTDZ($A$1,$B16,AQ$1,$B$1)</f>
        <v>21.791</v>
      </c>
      <c r="AR16">
        <f>_xll.EQNXTDZ($A$1,$B16,AR$1,$B$1)</f>
        <v>22.486999999999998</v>
      </c>
      <c r="AS16">
        <f>_xll.EQNXTDZ($A$1,$B16,AS$1,$B$1)</f>
        <v>23.475999999999999</v>
      </c>
      <c r="AT16">
        <f>_xll.EQNXTDZ($A$1,$B16,AT$1,$B$1)</f>
        <v>25.698</v>
      </c>
      <c r="AU16">
        <f>_xll.EQNXTDZ($A$1,$B16,AU$1,$B$1)</f>
        <v>28.187999999999999</v>
      </c>
      <c r="AV16">
        <f>_xll.EQNXTDZ($A$1,$B16,AV$1,$B$1)</f>
        <v>29.561</v>
      </c>
      <c r="AW16">
        <f>_xll.EQNXTDZ($A$1,$B16,AW$1,$B$1)</f>
        <v>33.752000000000002</v>
      </c>
      <c r="AX16">
        <f>_xll.EQNXTDZ($A$1,$B16,AX$1,$B$1)</f>
        <v>33.549999999999997</v>
      </c>
      <c r="AY16">
        <f>_xll.EQNXTDZ($A$1,$B16,AY$1,$B$1)</f>
        <v>32.618000000000002</v>
      </c>
      <c r="AZ16">
        <f>_xll.EQNXTDZ($A$1,$B16,AZ$1,$B$1)</f>
        <v>30.495000000000001</v>
      </c>
      <c r="BA16">
        <f>_xll.EQNXTDZ($A$1,$B16,BA$1,$B$1)</f>
        <v>33.329000000000001</v>
      </c>
      <c r="BB16">
        <f>_xll.EQNXTDZ($A$1,$B16,BB$1,$B$1)</f>
        <v>23.064</v>
      </c>
      <c r="BC16">
        <f>_xll.EQNXTDZ($A$1,$B16,BC$1,$B$1)</f>
        <v>35.039000000000001</v>
      </c>
      <c r="BD16">
        <f>_xll.EQNXTDZ($A$1,$B16,BD$1,$B$1)</f>
        <v>33.252000000000002</v>
      </c>
      <c r="BE16">
        <f>_xll.EQNXTDZ($A$1,$B16,BE$1,$B$1)</f>
        <v>41.029000000000003</v>
      </c>
      <c r="BF16">
        <f>_xll.EQNXTDZ($A$1,$B16,BF$1,$B$1)</f>
        <v>36.43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9.2680000000000007</v>
      </c>
      <c r="S22">
        <f>_xll.EQNXTDZ($A$1,$B22,S$1,$B$1)</f>
        <v>11.837</v>
      </c>
      <c r="T22">
        <f>_xll.EQNXTDZ($A$1,$B22,T$1,$B$1)</f>
        <v>11.249000000000001</v>
      </c>
      <c r="U22">
        <f>_xll.EQNXTDZ($A$1,$B22,U$1,$B$1)</f>
        <v>9.4410000000000096</v>
      </c>
      <c r="V22">
        <f>_xll.EQNXTDZ($A$1,$B22,V$1,$B$1)</f>
        <v>33.412999999999997</v>
      </c>
      <c r="W22">
        <f>_xll.EQNXTDZ($A$1,$B22,W$1,$B$1)</f>
        <v>19.91</v>
      </c>
      <c r="X22">
        <f>_xll.EQNXTDZ($A$1,$B22,X$1,$B$1)</f>
        <v>18.64</v>
      </c>
      <c r="Y22">
        <f>_xll.EQNXTDZ($A$1,$B22,Y$1,$B$1)</f>
        <v>26.556000000000001</v>
      </c>
      <c r="Z22">
        <f>_xll.EQNXTDZ($A$1,$B22,Z$1,$B$1)</f>
        <v>36.29</v>
      </c>
      <c r="AA22">
        <f>_xll.EQNXTDZ($A$1,$B22,AA$1,$B$1)</f>
        <v>33.417000000000002</v>
      </c>
      <c r="AB22">
        <f>_xll.EQNXTDZ($A$1,$B22,AB$1,$B$1)</f>
        <v>28.856999999999999</v>
      </c>
      <c r="AC22">
        <f>_xll.EQNXTDZ($A$1,$B22,AC$1,$B$1)</f>
        <v>36.622999999999998</v>
      </c>
      <c r="AD22">
        <f>_xll.EQNXTDZ($A$1,$B22,AD$1,$B$1)</f>
        <v>50.08</v>
      </c>
      <c r="AE22">
        <f>_xll.EQNXTDZ($A$1,$B22,AE$1,$B$1)</f>
        <v>43.143000000000001</v>
      </c>
      <c r="AF22">
        <f>_xll.EQNXTDZ($A$1,$B22,AF$1,$B$1)</f>
        <v>42.817999999999998</v>
      </c>
      <c r="AG22">
        <f>_xll.EQNXTDZ($A$1,$B22,AG$1,$B$1)</f>
        <v>53.973999999999997</v>
      </c>
      <c r="AH22">
        <f>_xll.EQNXTDZ($A$1,$B22,AH$1,$B$1)</f>
        <v>50.942</v>
      </c>
      <c r="AI22">
        <f>_xll.EQNXTDZ($A$1,$B22,AI$1,$B$1)</f>
        <v>1.2949999999999999</v>
      </c>
      <c r="AJ22">
        <f>_xll.EQNXTDZ($A$1,$B22,AJ$1,$B$1)</f>
        <v>25.603999999999999</v>
      </c>
      <c r="AK22">
        <f>_xll.EQNXTDZ($A$1,$B22,AK$1,$B$1)</f>
        <v>44.847000000000001</v>
      </c>
      <c r="AL22">
        <f>_xll.EQNXTDZ($A$1,$B22,AL$1,$B$1)</f>
        <v>63.024999999999999</v>
      </c>
      <c r="AM22">
        <f>_xll.EQNXTDZ($A$1,$B22,AM$1,$B$1)</f>
        <v>39.389000000000003</v>
      </c>
      <c r="AN22">
        <f>_xll.EQNXTDZ($A$1,$B22,AN$1,$B$1)</f>
        <v>54.707000000000001</v>
      </c>
      <c r="AO22">
        <f>_xll.EQNXTDZ($A$1,$B22,AO$1,$B$1)</f>
        <v>75.998000000000005</v>
      </c>
      <c r="AP22">
        <f>_xll.EQNXTDZ($A$1,$B22,AP$1,$B$1)</f>
        <v>88.346000000000004</v>
      </c>
      <c r="AQ22">
        <f>_xll.EQNXTDZ($A$1,$B22,AQ$1,$B$1)</f>
        <v>47.874000000000002</v>
      </c>
      <c r="AR22">
        <f>_xll.EQNXTDZ($A$1,$B22,AR$1,$B$1)</f>
        <v>39.475000000000001</v>
      </c>
      <c r="AS22">
        <f>_xll.EQNXTDZ($A$1,$B22,AS$1,$B$1)</f>
        <v>61.790999999999997</v>
      </c>
      <c r="AT22">
        <f>_xll.EQNXTDZ($A$1,$B22,AT$1,$B$1)</f>
        <v>80.922000000000097</v>
      </c>
      <c r="AU22">
        <f>_xll.EQNXTDZ($A$1,$B22,AU$1,$B$1)</f>
        <v>66.174000000000106</v>
      </c>
      <c r="AV22">
        <f>_xll.EQNXTDZ($A$1,$B22,AV$1,$B$1)</f>
        <v>72.5</v>
      </c>
      <c r="AW22">
        <f>_xll.EQNXTDZ($A$1,$B22,AW$1,$B$1)</f>
        <v>69.604999999999905</v>
      </c>
      <c r="AX22">
        <f>_xll.EQNXTDZ($A$1,$B22,AX$1,$B$1)</f>
        <v>52.656999999999996</v>
      </c>
      <c r="AY22">
        <f>_xll.EQNXTDZ($A$1,$B22,AY$1,$B$1)</f>
        <v>73.956999999999994</v>
      </c>
      <c r="AZ22">
        <f>_xll.EQNXTDZ($A$1,$B22,AZ$1,$B$1)</f>
        <v>37.597000000000001</v>
      </c>
      <c r="BA22">
        <f>_xll.EQNXTDZ($A$1,$B22,BA$1,$B$1)</f>
        <v>35.5240000000001</v>
      </c>
      <c r="BB22">
        <f>_xll.EQNXTDZ($A$1,$B22,BB$1,$B$1)</f>
        <v>32.348999999999997</v>
      </c>
      <c r="BC22">
        <f>_xll.EQNXTDZ($A$1,$B22,BC$1,$B$1)</f>
        <v>24.7929999999999</v>
      </c>
      <c r="BD22">
        <f>_xll.EQNXTDZ($A$1,$B22,BD$1,$B$1)</f>
        <v>49.928999999999903</v>
      </c>
      <c r="BE22">
        <f>_xll.EQNXTDZ($A$1,$B22,BE$1,$B$1)</f>
        <v>54.531999999999996</v>
      </c>
      <c r="BF22">
        <f>_xll.EQNXTDZ($A$1,$B22,BF$1,$B$1)</f>
        <v>59.796000000000099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2.423</v>
      </c>
      <c r="S23">
        <f>_xll.EQNXTDZ($A$1,$B23,S$1,$B$1)</f>
        <v>2.669</v>
      </c>
      <c r="T23">
        <f>_xll.EQNXTDZ($A$1,$B23,T$1,$B$1)</f>
        <v>2.2930000000000001</v>
      </c>
      <c r="U23">
        <f>_xll.EQNXTDZ($A$1,$B23,U$1,$B$1)</f>
        <v>4.9809999999999999</v>
      </c>
      <c r="V23">
        <f>_xll.EQNXTDZ($A$1,$B23,V$1,$B$1)</f>
        <v>3.448</v>
      </c>
      <c r="W23">
        <f>_xll.EQNXTDZ($A$1,$B23,W$1,$B$1)</f>
        <v>4.1050000000000004</v>
      </c>
      <c r="X23">
        <f>_xll.EQNXTDZ($A$1,$B23,X$1,$B$1)</f>
        <v>5.1859999999999999</v>
      </c>
      <c r="Y23">
        <f>_xll.EQNXTDZ($A$1,$B23,Y$1,$B$1)</f>
        <v>3.222</v>
      </c>
      <c r="Z23">
        <f>_xll.EQNXTDZ($A$1,$B23,Z$1,$B$1)</f>
        <v>5.851</v>
      </c>
      <c r="AA23">
        <f>_xll.EQNXTDZ($A$1,$B23,AA$1,$B$1)</f>
        <v>5.8310000000000004</v>
      </c>
      <c r="AB23">
        <f>_xll.EQNXTDZ($A$1,$B23,AB$1,$B$1)</f>
        <v>5.7389999999999999</v>
      </c>
      <c r="AC23">
        <f>_xll.EQNXTDZ($A$1,$B23,AC$1,$B$1)</f>
        <v>4.7210000000000001</v>
      </c>
      <c r="AD23">
        <f>_xll.EQNXTDZ($A$1,$B23,AD$1,$B$1)</f>
        <v>6.0529999999999999</v>
      </c>
      <c r="AE23">
        <f>_xll.EQNXTDZ($A$1,$B23,AE$1,$B$1)</f>
        <v>4.6420000000000003</v>
      </c>
      <c r="AF23">
        <f>_xll.EQNXTDZ($A$1,$B23,AF$1,$B$1)</f>
        <v>6.5759999999999996</v>
      </c>
      <c r="AG23">
        <f>_xll.EQNXTDZ($A$1,$B23,AG$1,$B$1)</f>
        <v>5.4290000000000003</v>
      </c>
      <c r="AH23">
        <f>_xll.EQNXTDZ($A$1,$B23,AH$1,$B$1)</f>
        <v>7.4850000000000003</v>
      </c>
      <c r="AI23">
        <f>_xll.EQNXTDZ($A$1,$B23,AI$1,$B$1)</f>
        <v>4.8719999999999999</v>
      </c>
      <c r="AJ23">
        <f>_xll.EQNXTDZ($A$1,$B23,AJ$1,$B$1)</f>
        <v>4.5709999999999997</v>
      </c>
      <c r="AK23">
        <f>_xll.EQNXTDZ($A$1,$B23,AK$1,$B$1)</f>
        <v>3.7480000000000002</v>
      </c>
      <c r="AL23">
        <f>_xll.EQNXTDZ($A$1,$B23,AL$1,$B$1)</f>
        <v>3.6339999999999999</v>
      </c>
      <c r="AM23">
        <f>_xll.EQNXTDZ($A$1,$B23,AM$1,$B$1)</f>
        <v>3.5339999999999998</v>
      </c>
      <c r="AN23">
        <f>_xll.EQNXTDZ($A$1,$B23,AN$1,$B$1)</f>
        <v>4.3860000000000001</v>
      </c>
      <c r="AO23">
        <f>_xll.EQNXTDZ($A$1,$B23,AO$1,$B$1)</f>
        <v>9.07</v>
      </c>
      <c r="AP23">
        <f>_xll.EQNXTDZ($A$1,$B23,AP$1,$B$1)</f>
        <v>4.7270000000000003</v>
      </c>
      <c r="AQ23">
        <f>_xll.EQNXTDZ($A$1,$B23,AQ$1,$B$1)</f>
        <v>5.58</v>
      </c>
      <c r="AR23">
        <f>_xll.EQNXTDZ($A$1,$B23,AR$1,$B$1)</f>
        <v>6.2839999999999998</v>
      </c>
      <c r="AS23">
        <f>_xll.EQNXTDZ($A$1,$B23,AS$1,$B$1)</f>
        <v>6.4340000000000002</v>
      </c>
      <c r="AT23">
        <f>_xll.EQNXTDZ($A$1,$B23,AT$1,$B$1)</f>
        <v>6.7039999999999997</v>
      </c>
      <c r="AU23">
        <f>_xll.EQNXTDZ($A$1,$B23,AU$1,$B$1)</f>
        <v>5.6609999999999996</v>
      </c>
      <c r="AV23">
        <f>_xll.EQNXTDZ($A$1,$B23,AV$1,$B$1)</f>
        <v>6.05</v>
      </c>
      <c r="AW23">
        <f>_xll.EQNXTDZ($A$1,$B23,AW$1,$B$1)</f>
        <v>6.4329999999999998</v>
      </c>
      <c r="AX23">
        <f>_xll.EQNXTDZ($A$1,$B23,AX$1,$B$1)</f>
        <v>6.0720000000000001</v>
      </c>
      <c r="AY23">
        <f>_xll.EQNXTDZ($A$1,$B23,AY$1,$B$1)</f>
        <v>3.7879999999999998</v>
      </c>
      <c r="AZ23">
        <f>_xll.EQNXTDZ($A$1,$B23,AZ$1,$B$1)</f>
        <v>4.5720000000000001</v>
      </c>
      <c r="BA23">
        <f>_xll.EQNXTDZ($A$1,$B23,BA$1,$B$1)</f>
        <v>3.7770000000000001</v>
      </c>
      <c r="BB23">
        <f>_xll.EQNXTDZ($A$1,$B23,BB$1,$B$1)</f>
        <v>5.1829999999999998</v>
      </c>
      <c r="BC23">
        <f>_xll.EQNXTDZ($A$1,$B23,BC$1,$B$1)</f>
        <v>3.9969999999999999</v>
      </c>
      <c r="BD23">
        <f>_xll.EQNXTDZ($A$1,$B23,BD$1,$B$1)</f>
        <v>4.1109999999999998</v>
      </c>
      <c r="BE23">
        <f>_xll.EQNXTDZ($A$1,$B23,BE$1,$B$1)</f>
        <v>3.8780000000000001</v>
      </c>
      <c r="BF23">
        <f>_xll.EQNXTDZ($A$1,$B23,BF$1,$B$1)</f>
        <v>5.2729999999999997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11.691000000000001</v>
      </c>
      <c r="S24">
        <f>_xll.EQNXTDZ($A$1,$B24,S$1,$B$1)</f>
        <v>14.506</v>
      </c>
      <c r="T24">
        <f>_xll.EQNXTDZ($A$1,$B24,T$1,$B$1)</f>
        <v>13.542</v>
      </c>
      <c r="U24">
        <f>_xll.EQNXTDZ($A$1,$B24,U$1,$B$1)</f>
        <v>14.420999999999999</v>
      </c>
      <c r="V24">
        <f>_xll.EQNXTDZ($A$1,$B24,V$1,$B$1)</f>
        <v>36.860999999999997</v>
      </c>
      <c r="W24">
        <f>_xll.EQNXTDZ($A$1,$B24,W$1,$B$1)</f>
        <v>24.013999999999999</v>
      </c>
      <c r="X24">
        <f>_xll.EQNXTDZ($A$1,$B24,X$1,$B$1)</f>
        <v>23.826000000000001</v>
      </c>
      <c r="Y24">
        <f>_xll.EQNXTDZ($A$1,$B24,Y$1,$B$1)</f>
        <v>29.777999999999999</v>
      </c>
      <c r="Z24">
        <f>_xll.EQNXTDZ($A$1,$B24,Z$1,$B$1)</f>
        <v>42.140999999999998</v>
      </c>
      <c r="AA24">
        <f>_xll.EQNXTDZ($A$1,$B24,AA$1,$B$1)</f>
        <v>39.249000000000002</v>
      </c>
      <c r="AB24">
        <f>_xll.EQNXTDZ($A$1,$B24,AB$1,$B$1)</f>
        <v>34.597000000000001</v>
      </c>
      <c r="AC24">
        <f>_xll.EQNXTDZ($A$1,$B24,AC$1,$B$1)</f>
        <v>41.344000000000001</v>
      </c>
      <c r="AD24">
        <f>_xll.EQNXTDZ($A$1,$B24,AD$1,$B$1)</f>
        <v>56.133000000000003</v>
      </c>
      <c r="AE24">
        <f>_xll.EQNXTDZ($A$1,$B24,AE$1,$B$1)</f>
        <v>47.784999999999997</v>
      </c>
      <c r="AF24">
        <f>_xll.EQNXTDZ($A$1,$B24,AF$1,$B$1)</f>
        <v>49.395000000000003</v>
      </c>
      <c r="AG24">
        <f>_xll.EQNXTDZ($A$1,$B24,AG$1,$B$1)</f>
        <v>59.402999999999999</v>
      </c>
      <c r="AH24">
        <f>_xll.EQNXTDZ($A$1,$B24,AH$1,$B$1)</f>
        <v>58.427</v>
      </c>
      <c r="AI24">
        <f>_xll.EQNXTDZ($A$1,$B24,AI$1,$B$1)</f>
        <v>6.1670000000000096</v>
      </c>
      <c r="AJ24">
        <f>_xll.EQNXTDZ($A$1,$B24,AJ$1,$B$1)</f>
        <v>30.173999999999999</v>
      </c>
      <c r="AK24">
        <f>_xll.EQNXTDZ($A$1,$B24,AK$1,$B$1)</f>
        <v>48.594999999999999</v>
      </c>
      <c r="AL24">
        <f>_xll.EQNXTDZ($A$1,$B24,AL$1,$B$1)</f>
        <v>66.659999999999897</v>
      </c>
      <c r="AM24">
        <f>_xll.EQNXTDZ($A$1,$B24,AM$1,$B$1)</f>
        <v>42.923000000000002</v>
      </c>
      <c r="AN24">
        <f>_xll.EQNXTDZ($A$1,$B24,AN$1,$B$1)</f>
        <v>59.093000000000004</v>
      </c>
      <c r="AO24">
        <f>_xll.EQNXTDZ($A$1,$B24,AO$1,$B$1)</f>
        <v>85.067999999999898</v>
      </c>
      <c r="AP24">
        <f>_xll.EQNXTDZ($A$1,$B24,AP$1,$B$1)</f>
        <v>93.071999999999903</v>
      </c>
      <c r="AQ24">
        <f>_xll.EQNXTDZ($A$1,$B24,AQ$1,$B$1)</f>
        <v>53.454000000000001</v>
      </c>
      <c r="AR24">
        <f>_xll.EQNXTDZ($A$1,$B24,AR$1,$B$1)</f>
        <v>45.759</v>
      </c>
      <c r="AS24">
        <f>_xll.EQNXTDZ($A$1,$B24,AS$1,$B$1)</f>
        <v>68.224999999999994</v>
      </c>
      <c r="AT24">
        <f>_xll.EQNXTDZ($A$1,$B24,AT$1,$B$1)</f>
        <v>87.626000000000104</v>
      </c>
      <c r="AU24">
        <f>_xll.EQNXTDZ($A$1,$B24,AU$1,$B$1)</f>
        <v>71.834999999999994</v>
      </c>
      <c r="AV24">
        <f>_xll.EQNXTDZ($A$1,$B24,AV$1,$B$1)</f>
        <v>78.551000000000002</v>
      </c>
      <c r="AW24">
        <f>_xll.EQNXTDZ($A$1,$B24,AW$1,$B$1)</f>
        <v>76.037999999999897</v>
      </c>
      <c r="AX24">
        <f>_xll.EQNXTDZ($A$1,$B24,AX$1,$B$1)</f>
        <v>58.728999999999999</v>
      </c>
      <c r="AY24">
        <f>_xll.EQNXTDZ($A$1,$B24,AY$1,$B$1)</f>
        <v>77.745000000000005</v>
      </c>
      <c r="AZ24">
        <f>_xll.EQNXTDZ($A$1,$B24,AZ$1,$B$1)</f>
        <v>42.169000000000104</v>
      </c>
      <c r="BA24">
        <f>_xll.EQNXTDZ($A$1,$B24,BA$1,$B$1)</f>
        <v>39.301000000000002</v>
      </c>
      <c r="BB24">
        <f>_xll.EQNXTDZ($A$1,$B24,BB$1,$B$1)</f>
        <v>37.531999999999996</v>
      </c>
      <c r="BC24">
        <f>_xll.EQNXTDZ($A$1,$B24,BC$1,$B$1)</f>
        <v>28.79</v>
      </c>
      <c r="BD24">
        <f>_xll.EQNXTDZ($A$1,$B24,BD$1,$B$1)</f>
        <v>54.038999999999902</v>
      </c>
      <c r="BE24">
        <f>_xll.EQNXTDZ($A$1,$B24,BE$1,$B$1)</f>
        <v>58.41</v>
      </c>
      <c r="BF24">
        <f>_xll.EQNXTDZ($A$1,$B24,BF$1,$B$1)</f>
        <v>65.070000000000107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0.72499999999999998</v>
      </c>
      <c r="S25">
        <f>_xll.EQNXTDZ($A$1,$B25,S$1,$B$1)</f>
        <v>1.528</v>
      </c>
      <c r="T25">
        <f>_xll.EQNXTDZ($A$1,$B25,T$1,$B$1)</f>
        <v>1.7629999999999999</v>
      </c>
      <c r="U25">
        <f>_xll.EQNXTDZ($A$1,$B25,U$1,$B$1)</f>
        <v>2.234</v>
      </c>
      <c r="V25">
        <f>_xll.EQNXTDZ($A$1,$B25,V$1,$B$1)</f>
        <v>2.0059999999999998</v>
      </c>
      <c r="W25">
        <f>_xll.EQNXTDZ($A$1,$B25,W$1,$B$1)</f>
        <v>1.3640000000000001</v>
      </c>
      <c r="X25">
        <f>_xll.EQNXTDZ($A$1,$B25,X$1,$B$1)</f>
        <v>2.0110000000000001</v>
      </c>
      <c r="Y25">
        <f>_xll.EQNXTDZ($A$1,$B25,Y$1,$B$1)</f>
        <v>2.3370000000000002</v>
      </c>
      <c r="Z25">
        <f>_xll.EQNXTDZ($A$1,$B25,Z$1,$B$1)</f>
        <v>2.9889999999999999</v>
      </c>
      <c r="AA25">
        <f>_xll.EQNXTDZ($A$1,$B25,AA$1,$B$1)</f>
        <v>1.6020000000000001</v>
      </c>
      <c r="AB25">
        <f>_xll.EQNXTDZ($A$1,$B25,AB$1,$B$1)</f>
        <v>2.399</v>
      </c>
      <c r="AC25">
        <f>_xll.EQNXTDZ($A$1,$B25,AC$1,$B$1)</f>
        <v>2.3919999999999999</v>
      </c>
      <c r="AD25">
        <f>_xll.EQNXTDZ($A$1,$B25,AD$1,$B$1)</f>
        <v>3.278</v>
      </c>
      <c r="AE25">
        <f>_xll.EQNXTDZ($A$1,$B25,AE$1,$B$1)</f>
        <v>2.863</v>
      </c>
      <c r="AF25">
        <f>_xll.EQNXTDZ($A$1,$B25,AF$1,$B$1)</f>
        <v>3.7730000000000001</v>
      </c>
      <c r="AG25">
        <f>_xll.EQNXTDZ($A$1,$B25,AG$1,$B$1)</f>
        <v>4.1459999999999999</v>
      </c>
      <c r="AH25">
        <f>_xll.EQNXTDZ($A$1,$B25,AH$1,$B$1)</f>
        <v>4.274</v>
      </c>
      <c r="AI25">
        <f>_xll.EQNXTDZ($A$1,$B25,AI$1,$B$1)</f>
        <v>2.9870000000000001</v>
      </c>
      <c r="AJ25">
        <f>_xll.EQNXTDZ($A$1,$B25,AJ$1,$B$1)</f>
        <v>4.4989999999999997</v>
      </c>
      <c r="AK25">
        <f>_xll.EQNXTDZ($A$1,$B25,AK$1,$B$1)</f>
        <v>2.9220000000000002</v>
      </c>
      <c r="AL25">
        <f>_xll.EQNXTDZ($A$1,$B25,AL$1,$B$1)</f>
        <v>4.5990000000000002</v>
      </c>
      <c r="AM25">
        <f>_xll.EQNXTDZ($A$1,$B25,AM$1,$B$1)</f>
        <v>3.4510000000000001</v>
      </c>
      <c r="AN25">
        <f>_xll.EQNXTDZ($A$1,$B25,AN$1,$B$1)</f>
        <v>3.8050000000000002</v>
      </c>
      <c r="AO25">
        <f>_xll.EQNXTDZ($A$1,$B25,AO$1,$B$1)</f>
        <v>9.7729999999999997</v>
      </c>
      <c r="AP25">
        <f>_xll.EQNXTDZ($A$1,$B25,AP$1,$B$1)</f>
        <v>9.4589999999999996</v>
      </c>
      <c r="AQ25">
        <f>_xll.EQNXTDZ($A$1,$B25,AQ$1,$B$1)</f>
        <v>5.5940000000000003</v>
      </c>
      <c r="AR25">
        <f>_xll.EQNXTDZ($A$1,$B25,AR$1,$B$1)</f>
        <v>7.05</v>
      </c>
      <c r="AS25">
        <f>_xll.EQNXTDZ($A$1,$B25,AS$1,$B$1)</f>
        <v>10.128</v>
      </c>
      <c r="AT25">
        <f>_xll.EQNXTDZ($A$1,$B25,AT$1,$B$1)</f>
        <v>9.1880000000000006</v>
      </c>
      <c r="AU25">
        <f>_xll.EQNXTDZ($A$1,$B25,AU$1,$B$1)</f>
        <v>9.0839999999999996</v>
      </c>
      <c r="AV25">
        <f>_xll.EQNXTDZ($A$1,$B25,AV$1,$B$1)</f>
        <v>12.452</v>
      </c>
      <c r="AW25">
        <f>_xll.EQNXTDZ($A$1,$B25,AW$1,$B$1)</f>
        <v>15.266999999999999</v>
      </c>
      <c r="AX25">
        <f>_xll.EQNXTDZ($A$1,$B25,AX$1,$B$1)</f>
        <v>14.021000000000001</v>
      </c>
      <c r="AY25">
        <f>_xll.EQNXTDZ($A$1,$B25,AY$1,$B$1)</f>
        <v>13.167</v>
      </c>
      <c r="AZ25">
        <f>_xll.EQNXTDZ($A$1,$B25,AZ$1,$B$1)</f>
        <v>10.581</v>
      </c>
      <c r="BA25">
        <f>_xll.EQNXTDZ($A$1,$B25,BA$1,$B$1)</f>
        <v>10.241</v>
      </c>
      <c r="BB25">
        <f>_xll.EQNXTDZ($A$1,$B25,BB$1,$B$1)</f>
        <v>10.234999999999999</v>
      </c>
      <c r="BC25">
        <f>_xll.EQNXTDZ($A$1,$B25,BC$1,$B$1)</f>
        <v>11.173</v>
      </c>
      <c r="BD25">
        <f>_xll.EQNXTDZ($A$1,$B25,BD$1,$B$1)</f>
        <v>12</v>
      </c>
      <c r="BE25">
        <f>_xll.EQNXTDZ($A$1,$B25,BE$1,$B$1)</f>
        <v>10.856</v>
      </c>
      <c r="BF25">
        <f>_xll.EQNXTDZ($A$1,$B25,BF$1,$B$1)</f>
        <v>11.208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10.965999999999999</v>
      </c>
      <c r="S27">
        <f>_xll.EQNXTDZ($A$1,$B27,S$1,$B$1)</f>
        <v>12.978</v>
      </c>
      <c r="T27">
        <f>_xll.EQNXTDZ($A$1,$B27,T$1,$B$1)</f>
        <v>11.779</v>
      </c>
      <c r="U27">
        <f>_xll.EQNXTDZ($A$1,$B27,U$1,$B$1)</f>
        <v>12.186999999999999</v>
      </c>
      <c r="V27">
        <f>_xll.EQNXTDZ($A$1,$B27,V$1,$B$1)</f>
        <v>34.854999999999997</v>
      </c>
      <c r="W27">
        <f>_xll.EQNXTDZ($A$1,$B27,W$1,$B$1)</f>
        <v>22.65</v>
      </c>
      <c r="X27">
        <f>_xll.EQNXTDZ($A$1,$B27,X$1,$B$1)</f>
        <v>21.815999999999999</v>
      </c>
      <c r="Y27">
        <f>_xll.EQNXTDZ($A$1,$B27,Y$1,$B$1)</f>
        <v>27.440999999999999</v>
      </c>
      <c r="Z27">
        <f>_xll.EQNXTDZ($A$1,$B27,Z$1,$B$1)</f>
        <v>39.152000000000001</v>
      </c>
      <c r="AA27">
        <f>_xll.EQNXTDZ($A$1,$B27,AA$1,$B$1)</f>
        <v>37.646999999999998</v>
      </c>
      <c r="AB27">
        <f>_xll.EQNXTDZ($A$1,$B27,AB$1,$B$1)</f>
        <v>32.198</v>
      </c>
      <c r="AC27">
        <f>_xll.EQNXTDZ($A$1,$B27,AC$1,$B$1)</f>
        <v>38.951999999999998</v>
      </c>
      <c r="AD27">
        <f>_xll.EQNXTDZ($A$1,$B27,AD$1,$B$1)</f>
        <v>52.854999999999997</v>
      </c>
      <c r="AE27">
        <f>_xll.EQNXTDZ($A$1,$B27,AE$1,$B$1)</f>
        <v>44.921999999999997</v>
      </c>
      <c r="AF27">
        <f>_xll.EQNXTDZ($A$1,$B27,AF$1,$B$1)</f>
        <v>45.622</v>
      </c>
      <c r="AG27">
        <f>_xll.EQNXTDZ($A$1,$B27,AG$1,$B$1)</f>
        <v>55.256999999999998</v>
      </c>
      <c r="AH27">
        <f>_xll.EQNXTDZ($A$1,$B27,AH$1,$B$1)</f>
        <v>54.152999999999999</v>
      </c>
      <c r="AI27">
        <f>_xll.EQNXTDZ($A$1,$B27,AI$1,$B$1)</f>
        <v>3.1800000000000099</v>
      </c>
      <c r="AJ27">
        <f>_xll.EQNXTDZ($A$1,$B27,AJ$1,$B$1)</f>
        <v>25.675000000000001</v>
      </c>
      <c r="AK27">
        <f>_xll.EQNXTDZ($A$1,$B27,AK$1,$B$1)</f>
        <v>45.673000000000002</v>
      </c>
      <c r="AL27">
        <f>_xll.EQNXTDZ($A$1,$B27,AL$1,$B$1)</f>
        <v>62.0609999999999</v>
      </c>
      <c r="AM27">
        <f>_xll.EQNXTDZ($A$1,$B27,AM$1,$B$1)</f>
        <v>39.472000000000001</v>
      </c>
      <c r="AN27">
        <f>_xll.EQNXTDZ($A$1,$B27,AN$1,$B$1)</f>
        <v>55.287999999999997</v>
      </c>
      <c r="AO27">
        <f>_xll.EQNXTDZ($A$1,$B27,AO$1,$B$1)</f>
        <v>75.294999999999902</v>
      </c>
      <c r="AP27">
        <f>_xll.EQNXTDZ($A$1,$B27,AP$1,$B$1)</f>
        <v>83.6129999999999</v>
      </c>
      <c r="AQ27">
        <f>_xll.EQNXTDZ($A$1,$B27,AQ$1,$B$1)</f>
        <v>47.86</v>
      </c>
      <c r="AR27">
        <f>_xll.EQNXTDZ($A$1,$B27,AR$1,$B$1)</f>
        <v>38.709000000000003</v>
      </c>
      <c r="AS27">
        <f>_xll.EQNXTDZ($A$1,$B27,AS$1,$B$1)</f>
        <v>58.097000000000001</v>
      </c>
      <c r="AT27">
        <f>_xll.EQNXTDZ($A$1,$B27,AT$1,$B$1)</f>
        <v>78.438000000000102</v>
      </c>
      <c r="AU27">
        <f>_xll.EQNXTDZ($A$1,$B27,AU$1,$B$1)</f>
        <v>62.750999999999998</v>
      </c>
      <c r="AV27">
        <f>_xll.EQNXTDZ($A$1,$B27,AV$1,$B$1)</f>
        <v>66.099000000000004</v>
      </c>
      <c r="AW27">
        <f>_xll.EQNXTDZ($A$1,$B27,AW$1,$B$1)</f>
        <v>60.770999999999901</v>
      </c>
      <c r="AX27">
        <f>_xll.EQNXTDZ($A$1,$B27,AX$1,$B$1)</f>
        <v>44.707999999999998</v>
      </c>
      <c r="AY27">
        <f>_xll.EQNXTDZ($A$1,$B27,AY$1,$B$1)</f>
        <v>64.578000000000003</v>
      </c>
      <c r="AZ27">
        <f>_xll.EQNXTDZ($A$1,$B27,AZ$1,$B$1)</f>
        <v>31.5880000000001</v>
      </c>
      <c r="BA27">
        <f>_xll.EQNXTDZ($A$1,$B27,BA$1,$B$1)</f>
        <v>29.06</v>
      </c>
      <c r="BB27">
        <f>_xll.EQNXTDZ($A$1,$B27,BB$1,$B$1)</f>
        <v>27.297000000000001</v>
      </c>
      <c r="BC27">
        <f>_xll.EQNXTDZ($A$1,$B27,BC$1,$B$1)</f>
        <v>17.617000000000001</v>
      </c>
      <c r="BD27">
        <f>_xll.EQNXTDZ($A$1,$B27,BD$1,$B$1)</f>
        <v>42.038999999999902</v>
      </c>
      <c r="BE27">
        <f>_xll.EQNXTDZ($A$1,$B27,BE$1,$B$1)</f>
        <v>47.554000000000002</v>
      </c>
      <c r="BF27">
        <f>_xll.EQNXTDZ($A$1,$B27,BF$1,$B$1)</f>
        <v>53.862000000000101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1.667</v>
      </c>
      <c r="S28">
        <f>_xll.EQNXTDZ($A$1,$B28,S$1,$B$1)</f>
        <v>1.694</v>
      </c>
      <c r="T28">
        <f>_xll.EQNXTDZ($A$1,$B28,T$1,$B$1)</f>
        <v>1.837</v>
      </c>
      <c r="U28">
        <f>_xll.EQNXTDZ($A$1,$B28,U$1,$B$1)</f>
        <v>1.9370000000000001</v>
      </c>
      <c r="V28">
        <f>_xll.EQNXTDZ($A$1,$B28,V$1,$B$1)</f>
        <v>2.089</v>
      </c>
      <c r="W28">
        <f>_xll.EQNXTDZ($A$1,$B28,W$1,$B$1)</f>
        <v>1.839</v>
      </c>
      <c r="X28">
        <f>_xll.EQNXTDZ($A$1,$B28,X$1,$B$1)</f>
        <v>2.2850000000000001</v>
      </c>
      <c r="Y28">
        <f>_xll.EQNXTDZ($A$1,$B28,Y$1,$B$1)</f>
        <v>2.766</v>
      </c>
      <c r="Z28">
        <f>_xll.EQNXTDZ($A$1,$B28,Z$1,$B$1)</f>
        <v>4.2859999999999996</v>
      </c>
      <c r="AA28">
        <f>_xll.EQNXTDZ($A$1,$B28,AA$1,$B$1)</f>
        <v>4.8419999999999996</v>
      </c>
      <c r="AB28">
        <f>_xll.EQNXTDZ($A$1,$B28,AB$1,$B$1)</f>
        <v>5.8040000000000003</v>
      </c>
      <c r="AC28">
        <f>_xll.EQNXTDZ($A$1,$B28,AC$1,$B$1)</f>
        <v>6.2210000000000001</v>
      </c>
      <c r="AD28">
        <f>_xll.EQNXTDZ($A$1,$B28,AD$1,$B$1)</f>
        <v>7.4349999999999996</v>
      </c>
      <c r="AE28">
        <f>_xll.EQNXTDZ($A$1,$B28,AE$1,$B$1)</f>
        <v>5.8840000000000003</v>
      </c>
      <c r="AF28">
        <f>_xll.EQNXTDZ($A$1,$B28,AF$1,$B$1)</f>
        <v>6.21</v>
      </c>
      <c r="AG28">
        <f>_xll.EQNXTDZ($A$1,$B28,AG$1,$B$1)</f>
        <v>6.984</v>
      </c>
      <c r="AH28">
        <f>_xll.EQNXTDZ($A$1,$B28,AH$1,$B$1)</f>
        <v>7.617</v>
      </c>
      <c r="AI28">
        <f>_xll.EQNXTDZ($A$1,$B28,AI$1,$B$1)</f>
        <v>6.1660000000000004</v>
      </c>
      <c r="AJ28">
        <f>_xll.EQNXTDZ($A$1,$B28,AJ$1,$B$1)</f>
        <v>6.2709999999999999</v>
      </c>
      <c r="AK28">
        <f>_xll.EQNXTDZ($A$1,$B28,AK$1,$B$1)</f>
        <v>6.4390000000000001</v>
      </c>
      <c r="AL28">
        <f>_xll.EQNXTDZ($A$1,$B28,AL$1,$B$1)</f>
        <v>6.7619999999999996</v>
      </c>
      <c r="AM28">
        <f>_xll.EQNXTDZ($A$1,$B28,AM$1,$B$1)</f>
        <v>5.4189999999999996</v>
      </c>
      <c r="AN28">
        <f>_xll.EQNXTDZ($A$1,$B28,AN$1,$B$1)</f>
        <v>7.03</v>
      </c>
      <c r="AO28">
        <f>_xll.EQNXTDZ($A$1,$B28,AO$1,$B$1)</f>
        <v>9.3829999999999991</v>
      </c>
      <c r="AP28">
        <f>_xll.EQNXTDZ($A$1,$B28,AP$1,$B$1)</f>
        <v>10.220000000000001</v>
      </c>
      <c r="AQ28">
        <f>_xll.EQNXTDZ($A$1,$B28,AQ$1,$B$1)</f>
        <v>8.7230000000000008</v>
      </c>
      <c r="AR28">
        <f>_xll.EQNXTDZ($A$1,$B28,AR$1,$B$1)</f>
        <v>9.0589999999999993</v>
      </c>
      <c r="AS28">
        <f>_xll.EQNXTDZ($A$1,$B28,AS$1,$B$1)</f>
        <v>9.8469999999999995</v>
      </c>
      <c r="AT28">
        <f>_xll.EQNXTDZ($A$1,$B28,AT$1,$B$1)</f>
        <v>12.375999999999999</v>
      </c>
      <c r="AU28">
        <f>_xll.EQNXTDZ($A$1,$B28,AU$1,$B$1)</f>
        <v>11.847</v>
      </c>
      <c r="AV28">
        <f>_xll.EQNXTDZ($A$1,$B28,AV$1,$B$1)</f>
        <v>14.358000000000001</v>
      </c>
      <c r="AW28">
        <f>_xll.EQNXTDZ($A$1,$B28,AW$1,$B$1)</f>
        <v>18.725999999999999</v>
      </c>
      <c r="AX28">
        <f>_xll.EQNXTDZ($A$1,$B28,AX$1,$B$1)</f>
        <v>19.937000000000001</v>
      </c>
      <c r="AY28">
        <f>_xll.EQNXTDZ($A$1,$B28,AY$1,$B$1)</f>
        <v>16.738</v>
      </c>
      <c r="AZ28">
        <f>_xll.EQNXTDZ($A$1,$B28,AZ$1,$B$1)</f>
        <v>17.928000000000001</v>
      </c>
      <c r="BA28">
        <f>_xll.EQNXTDZ($A$1,$B28,BA$1,$B$1)</f>
        <v>18.736000000000001</v>
      </c>
      <c r="BB28">
        <f>_xll.EQNXTDZ($A$1,$B28,BB$1,$B$1)</f>
        <v>19.248000000000001</v>
      </c>
      <c r="BC28">
        <f>_xll.EQNXTDZ($A$1,$B28,BC$1,$B$1)</f>
        <v>16.891999999999999</v>
      </c>
      <c r="BD28">
        <f>_xll.EQNXTDZ($A$1,$B28,BD$1,$B$1)</f>
        <v>19.649999999999999</v>
      </c>
      <c r="BE28">
        <f>_xll.EQNXTDZ($A$1,$B28,BE$1,$B$1)</f>
        <v>23.658000000000001</v>
      </c>
      <c r="BF28">
        <f>_xll.EQNXTDZ($A$1,$B28,BF$1,$B$1)</f>
        <v>26.369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3.3519999999999999</v>
      </c>
      <c r="S29">
        <f>_xll.EQNXTDZ($A$1,$B29,S$1,$B$1)</f>
        <v>3.7850000000000001</v>
      </c>
      <c r="T29">
        <f>_xll.EQNXTDZ($A$1,$B29,T$1,$B$1)</f>
        <v>3.6669999999999998</v>
      </c>
      <c r="U29">
        <f>_xll.EQNXTDZ($A$1,$B29,U$1,$B$1)</f>
        <v>2.9329999999999998</v>
      </c>
      <c r="V29">
        <f>_xll.EQNXTDZ($A$1,$B29,V$1,$B$1)</f>
        <v>12.249000000000001</v>
      </c>
      <c r="W29">
        <f>_xll.EQNXTDZ($A$1,$B29,W$1,$B$1)</f>
        <v>7.25</v>
      </c>
      <c r="X29">
        <f>_xll.EQNXTDZ($A$1,$B29,X$1,$B$1)</f>
        <v>6.8689999999999998</v>
      </c>
      <c r="Y29">
        <f>_xll.EQNXTDZ($A$1,$B29,Y$1,$B$1)</f>
        <v>9.4969999999999999</v>
      </c>
      <c r="Z29">
        <f>_xll.EQNXTDZ($A$1,$B29,Z$1,$B$1)</f>
        <v>11.901</v>
      </c>
      <c r="AA29">
        <f>_xll.EQNXTDZ($A$1,$B29,AA$1,$B$1)</f>
        <v>11.737</v>
      </c>
      <c r="AB29">
        <f>_xll.EQNXTDZ($A$1,$B29,AB$1,$B$1)</f>
        <v>9.1059999999999999</v>
      </c>
      <c r="AC29">
        <f>_xll.EQNXTDZ($A$1,$B29,AC$1,$B$1)</f>
        <v>11.683999999999999</v>
      </c>
      <c r="AD29">
        <f>_xll.EQNXTDZ($A$1,$B29,AD$1,$B$1)</f>
        <v>15.688000000000001</v>
      </c>
      <c r="AE29">
        <f>_xll.EQNXTDZ($A$1,$B29,AE$1,$B$1)</f>
        <v>13.647</v>
      </c>
      <c r="AF29">
        <f>_xll.EQNXTDZ($A$1,$B29,AF$1,$B$1)</f>
        <v>7.4950000000000001</v>
      </c>
      <c r="AG29">
        <f>_xll.EQNXTDZ($A$1,$B29,AG$1,$B$1)</f>
        <v>12.010999999999999</v>
      </c>
      <c r="AH29">
        <f>_xll.EQNXTDZ($A$1,$B29,AH$1,$B$1)</f>
        <v>11.891999999999999</v>
      </c>
      <c r="AI29">
        <f>_xll.EQNXTDZ($A$1,$B29,AI$1,$B$1)</f>
        <v>-0.46100000000000002</v>
      </c>
      <c r="AJ29">
        <f>_xll.EQNXTDZ($A$1,$B29,AJ$1,$B$1)</f>
        <v>4.1349999999999998</v>
      </c>
      <c r="AK29">
        <f>_xll.EQNXTDZ($A$1,$B29,AK$1,$B$1)</f>
        <v>10.683999999999999</v>
      </c>
      <c r="AL29">
        <f>_xll.EQNXTDZ($A$1,$B29,AL$1,$B$1)</f>
        <v>13.226000000000001</v>
      </c>
      <c r="AM29">
        <f>_xll.EQNXTDZ($A$1,$B29,AM$1,$B$1)</f>
        <v>9.2439999999999998</v>
      </c>
      <c r="AN29">
        <f>_xll.EQNXTDZ($A$1,$B29,AN$1,$B$1)</f>
        <v>11.919</v>
      </c>
      <c r="AO29">
        <f>_xll.EQNXTDZ($A$1,$B29,AO$1,$B$1)</f>
        <v>15.614000000000001</v>
      </c>
      <c r="AP29">
        <f>_xll.EQNXTDZ($A$1,$B29,AP$1,$B$1)</f>
        <v>18.562999999999999</v>
      </c>
      <c r="AQ29">
        <f>_xll.EQNXTDZ($A$1,$B29,AQ$1,$B$1)</f>
        <v>10.11</v>
      </c>
      <c r="AR29">
        <f>_xll.EQNXTDZ($A$1,$B29,AR$1,$B$1)</f>
        <v>8.1270000000000007</v>
      </c>
      <c r="AS29">
        <f>_xll.EQNXTDZ($A$1,$B29,AS$1,$B$1)</f>
        <v>12.922000000000001</v>
      </c>
      <c r="AT29">
        <f>_xll.EQNXTDZ($A$1,$B29,AT$1,$B$1)</f>
        <v>17.3</v>
      </c>
      <c r="AU29">
        <f>_xll.EQNXTDZ($A$1,$B29,AU$1,$B$1)</f>
        <v>13.074999999999999</v>
      </c>
      <c r="AV29">
        <f>_xll.EQNXTDZ($A$1,$B29,AV$1,$B$1)</f>
        <v>13.257999999999999</v>
      </c>
      <c r="AW29">
        <f>_xll.EQNXTDZ($A$1,$B29,AW$1,$B$1)</f>
        <v>10.977</v>
      </c>
      <c r="AX29">
        <f>_xll.EQNXTDZ($A$1,$B29,AX$1,$B$1)</f>
        <v>8.6910000000000007</v>
      </c>
      <c r="AY29">
        <f>_xll.EQNXTDZ($A$1,$B29,AY$1,$B$1)</f>
        <v>13.153</v>
      </c>
      <c r="AZ29">
        <f>_xll.EQNXTDZ($A$1,$B29,AZ$1,$B$1)</f>
        <v>3.44</v>
      </c>
      <c r="BA29">
        <f>_xll.EQNXTDZ($A$1,$B29,BA$1,$B$1)</f>
        <v>3.7389999999999999</v>
      </c>
      <c r="BB29">
        <f>_xll.EQNXTDZ($A$1,$B29,BB$1,$B$1)</f>
        <v>1.58</v>
      </c>
      <c r="BC29">
        <f>_xll.EQNXTDZ($A$1,$B29,BC$1,$B$1)</f>
        <v>0.29899999999999999</v>
      </c>
      <c r="BD29">
        <f>_xll.EQNXTDZ($A$1,$B29,BD$1,$B$1)</f>
        <v>6.2240000000000002</v>
      </c>
      <c r="BE29">
        <f>_xll.EQNXTDZ($A$1,$B29,BE$1,$B$1)</f>
        <v>6.0549999999999997</v>
      </c>
      <c r="BF29">
        <f>_xll.EQNXTDZ($A$1,$B29,BF$1,$B$1)</f>
        <v>6.3319999999999999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5.9470000000000001</v>
      </c>
      <c r="S30">
        <f>_xll.EQNXTDZ($A$1,$B30,S$1,$B$1)</f>
        <v>7.4989999999999997</v>
      </c>
      <c r="T30">
        <f>_xll.EQNXTDZ($A$1,$B30,T$1,$B$1)</f>
        <v>6.2750000000000004</v>
      </c>
      <c r="U30">
        <f>_xll.EQNXTDZ($A$1,$B30,U$1,$B$1)</f>
        <v>7.3179999999999996</v>
      </c>
      <c r="V30">
        <f>_xll.EQNXTDZ($A$1,$B30,V$1,$B$1)</f>
        <v>20.518000000000001</v>
      </c>
      <c r="W30">
        <f>_xll.EQNXTDZ($A$1,$B30,W$1,$B$1)</f>
        <v>13.561</v>
      </c>
      <c r="X30">
        <f>_xll.EQNXTDZ($A$1,$B30,X$1,$B$1)</f>
        <v>12.662000000000001</v>
      </c>
      <c r="Y30">
        <f>_xll.EQNXTDZ($A$1,$B30,Y$1,$B$1)</f>
        <v>15.178000000000001</v>
      </c>
      <c r="Z30">
        <f>_xll.EQNXTDZ($A$1,$B30,Z$1,$B$1)</f>
        <v>22.965</v>
      </c>
      <c r="AA30">
        <f>_xll.EQNXTDZ($A$1,$B30,AA$1,$B$1)</f>
        <v>21.068999999999999</v>
      </c>
      <c r="AB30">
        <f>_xll.EQNXTDZ($A$1,$B30,AB$1,$B$1)</f>
        <v>17.288</v>
      </c>
      <c r="AC30">
        <f>_xll.EQNXTDZ($A$1,$B30,AC$1,$B$1)</f>
        <v>21.047000000000001</v>
      </c>
      <c r="AD30">
        <f>_xll.EQNXTDZ($A$1,$B30,AD$1,$B$1)</f>
        <v>29.731999999999999</v>
      </c>
      <c r="AE30">
        <f>_xll.EQNXTDZ($A$1,$B30,AE$1,$B$1)</f>
        <v>25.390999999999998</v>
      </c>
      <c r="AF30">
        <f>_xll.EQNXTDZ($A$1,$B30,AF$1,$B$1)</f>
        <v>31.917000000000002</v>
      </c>
      <c r="AG30">
        <f>_xll.EQNXTDZ($A$1,$B30,AG$1,$B$1)</f>
        <v>36.262</v>
      </c>
      <c r="AH30">
        <f>_xll.EQNXTDZ($A$1,$B30,AH$1,$B$1)</f>
        <v>34.643999999999899</v>
      </c>
      <c r="AI30">
        <f>_xll.EQNXTDZ($A$1,$B30,AI$1,$B$1)</f>
        <v>-2.5249999999999901</v>
      </c>
      <c r="AJ30">
        <f>_xll.EQNXTDZ($A$1,$B30,AJ$1,$B$1)</f>
        <v>15.269</v>
      </c>
      <c r="AK30">
        <f>_xll.EQNXTDZ($A$1,$B30,AK$1,$B$1)</f>
        <v>28.55</v>
      </c>
      <c r="AL30">
        <f>_xll.EQNXTDZ($A$1,$B30,AL$1,$B$1)</f>
        <v>42.072999999999901</v>
      </c>
      <c r="AM30">
        <f>_xll.EQNXTDZ($A$1,$B30,AM$1,$B$1)</f>
        <v>24.809000000000001</v>
      </c>
      <c r="AN30">
        <f>_xll.EQNXTDZ($A$1,$B30,AN$1,$B$1)</f>
        <v>36.338999999999999</v>
      </c>
      <c r="AO30">
        <f>_xll.EQNXTDZ($A$1,$B30,AO$1,$B$1)</f>
        <v>50.297999999999902</v>
      </c>
      <c r="AP30">
        <f>_xll.EQNXTDZ($A$1,$B30,AP$1,$B$1)</f>
        <v>54.829999999999899</v>
      </c>
      <c r="AQ30">
        <f>_xll.EQNXTDZ($A$1,$B30,AQ$1,$B$1)</f>
        <v>29.027000000000001</v>
      </c>
      <c r="AR30">
        <f>_xll.EQNXTDZ($A$1,$B30,AR$1,$B$1)</f>
        <v>21.523</v>
      </c>
      <c r="AS30">
        <f>_xll.EQNXTDZ($A$1,$B30,AS$1,$B$1)</f>
        <v>35.328000000000003</v>
      </c>
      <c r="AT30">
        <f>_xll.EQNXTDZ($A$1,$B30,AT$1,$B$1)</f>
        <v>48.7620000000001</v>
      </c>
      <c r="AU30">
        <f>_xll.EQNXTDZ($A$1,$B30,AU$1,$B$1)</f>
        <v>37.829000000000001</v>
      </c>
      <c r="AV30">
        <f>_xll.EQNXTDZ($A$1,$B30,AV$1,$B$1)</f>
        <v>38.482999999999997</v>
      </c>
      <c r="AW30">
        <f>_xll.EQNXTDZ($A$1,$B30,AW$1,$B$1)</f>
        <v>31.067999999999898</v>
      </c>
      <c r="AX30">
        <f>_xll.EQNXTDZ($A$1,$B30,AX$1,$B$1)</f>
        <v>16.079999999999998</v>
      </c>
      <c r="AY30">
        <f>_xll.EQNXTDZ($A$1,$B30,AY$1,$B$1)</f>
        <v>34.686999999999998</v>
      </c>
      <c r="AZ30">
        <f>_xll.EQNXTDZ($A$1,$B30,AZ$1,$B$1)</f>
        <v>10.2200000000001</v>
      </c>
      <c r="BA30">
        <f>_xll.EQNXTDZ($A$1,$B30,BA$1,$B$1)</f>
        <v>6.5850000000000204</v>
      </c>
      <c r="BB30">
        <f>_xll.EQNXTDZ($A$1,$B30,BB$1,$B$1)</f>
        <v>6.4689999999999701</v>
      </c>
      <c r="BC30">
        <f>_xll.EQNXTDZ($A$1,$B30,BC$1,$B$1)</f>
        <v>0.42599999999996302</v>
      </c>
      <c r="BD30">
        <f>_xll.EQNXTDZ($A$1,$B30,BD$1,$B$1)</f>
        <v>16.1649999999999</v>
      </c>
      <c r="BE30">
        <f>_xll.EQNXTDZ($A$1,$B30,BE$1,$B$1)</f>
        <v>17.841000000000001</v>
      </c>
      <c r="BF30">
        <f>_xll.EQNXTDZ($A$1,$B30,BF$1,$B$1)</f>
        <v>21.161000000000101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-1E-3</v>
      </c>
      <c r="AB34">
        <f>_xll.EQNXTDZ($A$1,$B34,AB$1,$B$1)</f>
        <v>5.7000000000000002E-2</v>
      </c>
      <c r="AC34">
        <f>_xll.EQNXTDZ($A$1,$B34,AC$1,$B$1)</f>
        <v>9.1999999999999998E-2</v>
      </c>
      <c r="AD34">
        <f>_xll.EQNXTDZ($A$1,$B34,AD$1,$B$1)</f>
        <v>7.3999999999999996E-2</v>
      </c>
      <c r="AE34">
        <f>_xll.EQNXTDZ($A$1,$B34,AE$1,$B$1)</f>
        <v>4.8000000000000001E-2</v>
      </c>
      <c r="AF34">
        <f>_xll.EQNXTDZ($A$1,$B34,AF$1,$B$1)</f>
        <v>6.0999999999999999E-2</v>
      </c>
      <c r="AG34">
        <f>_xll.EQNXTDZ($A$1,$B34,AG$1,$B$1)</f>
        <v>4.7E-2</v>
      </c>
      <c r="AH34">
        <f>_xll.EQNXTDZ($A$1,$B34,AH$1,$B$1)</f>
        <v>1.0999999999999999E-2</v>
      </c>
      <c r="AI34">
        <f>_xll.EQNXTDZ($A$1,$B34,AI$1,$B$1)</f>
        <v>6.5000000000000002E-2</v>
      </c>
      <c r="AJ34">
        <f>_xll.EQNXTDZ($A$1,$B34,AJ$1,$B$1)</f>
        <v>5.6000000000000001E-2</v>
      </c>
      <c r="AK34">
        <f>_xll.EQNXTDZ($A$1,$B34,AK$1,$B$1)</f>
        <v>0.45900000000000002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9.0999999999999998E-2</v>
      </c>
      <c r="AE35">
        <f>_xll.EQNXTDZ($A$1,$B35,AE$1,$B$1)</f>
        <v>-0.11</v>
      </c>
      <c r="AF35">
        <f>_xll.EQNXTDZ($A$1,$B35,AF$1,$B$1)</f>
        <v>0.54400000000000004</v>
      </c>
      <c r="AG35">
        <f>_xll.EQNXTDZ($A$1,$B35,AG$1,$B$1)</f>
        <v>0.214</v>
      </c>
      <c r="AH35">
        <f>_xll.EQNXTDZ($A$1,$B35,AH$1,$B$1)</f>
        <v>-0.55200000000000005</v>
      </c>
      <c r="AI35">
        <f>_xll.EQNXTDZ($A$1,$B35,AI$1,$B$1)</f>
        <v>-0.98299999999999998</v>
      </c>
      <c r="AJ35">
        <f>_xll.EQNXTDZ($A$1,$B35,AJ$1,$B$1)</f>
        <v>-1.256</v>
      </c>
      <c r="AK35">
        <f>_xll.EQNXTDZ($A$1,$B35,AK$1,$B$1)</f>
        <v>0.156</v>
      </c>
      <c r="AL35">
        <f>_xll.EQNXTDZ($A$1,$B35,AL$1,$B$1)</f>
        <v>-0.33700000000000002</v>
      </c>
      <c r="AM35">
        <f>_xll.EQNXTDZ($A$1,$B35,AM$1,$B$1)</f>
        <v>0.1</v>
      </c>
      <c r="AN35">
        <f>_xll.EQNXTDZ($A$1,$B35,AN$1,$B$1)</f>
        <v>5.5E-2</v>
      </c>
      <c r="AO35">
        <f>_xll.EQNXTDZ($A$1,$B35,AO$1,$B$1)</f>
        <v>-0.16600000000000001</v>
      </c>
      <c r="AP35">
        <f>_xll.EQNXTDZ($A$1,$B35,AP$1,$B$1)</f>
        <v>0.38900000000000001</v>
      </c>
      <c r="AQ35">
        <f>_xll.EQNXTDZ($A$1,$B35,AQ$1,$B$1)</f>
        <v>0.01</v>
      </c>
      <c r="AR35">
        <f>_xll.EQNXTDZ($A$1,$B35,AR$1,$B$1)</f>
        <v>2.1999999999999999E-2</v>
      </c>
      <c r="AS35">
        <f>_xll.EQNXTDZ($A$1,$B35,AS$1,$B$1)</f>
        <v>3.2000000000000001E-2</v>
      </c>
      <c r="AT35">
        <f>_xll.EQNXTDZ($A$1,$B35,AT$1,$B$1)</f>
        <v>-2.7639999999999998</v>
      </c>
      <c r="AU35">
        <f>_xll.EQNXTDZ($A$1,$B35,AU$1,$B$1)</f>
        <v>1.7999999999999999E-2</v>
      </c>
      <c r="AV35">
        <f>_xll.EQNXTDZ($A$1,$B35,AV$1,$B$1)</f>
        <v>3.7999999999999999E-2</v>
      </c>
      <c r="AW35">
        <f>_xll.EQNXTDZ($A$1,$B35,AW$1,$B$1)</f>
        <v>1.7000000000000001E-2</v>
      </c>
      <c r="AX35">
        <f>_xll.EQNXTDZ($A$1,$B35,AX$1,$B$1)</f>
        <v>-0.55800000000000005</v>
      </c>
      <c r="AY35">
        <f>_xll.EQNXTDZ($A$1,$B35,AY$1,$B$1)</f>
        <v>-3.0000000000000001E-3</v>
      </c>
      <c r="AZ35">
        <f>_xll.EQNXTDZ($A$1,$B35,AZ$1,$B$1)</f>
        <v>-3.0000000000000001E-3</v>
      </c>
      <c r="BA35">
        <f>_xll.EQNXTDZ($A$1,$B35,BA$1,$B$1)</f>
        <v>-1.5309999999999999</v>
      </c>
      <c r="BB35">
        <f>_xll.EQNXTDZ($A$1,$B35,BB$1,$B$1)</f>
        <v>-6.0000000000000001E-3</v>
      </c>
      <c r="BC35">
        <f>_xll.EQNXTDZ($A$1,$B35,BC$1,$B$1)</f>
        <v>-4.0000000000000001E-3</v>
      </c>
      <c r="BD35">
        <f>_xll.EQNXTDZ($A$1,$B35,BD$1,$B$1)</f>
        <v>1E-3</v>
      </c>
      <c r="BE35">
        <f>_xll.EQNXTDZ($A$1,$B35,BE$1,$B$1)</f>
        <v>-7.0000000000000001E-3</v>
      </c>
      <c r="BF35">
        <f>_xll.EQNXTDZ($A$1,$B35,BF$1,$B$1)</f>
        <v>-6.7000000000000004E-2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5.9470000000000001</v>
      </c>
      <c r="S38">
        <f>_xll.EQNXTDZ($A$1,$B38,S$1,$B$1)</f>
        <v>7.4989999999999997</v>
      </c>
      <c r="T38">
        <f>_xll.EQNXTDZ($A$1,$B38,T$1,$B$1)</f>
        <v>6.2750000000000004</v>
      </c>
      <c r="U38">
        <f>_xll.EQNXTDZ($A$1,$B38,U$1,$B$1)</f>
        <v>7.3179999999999996</v>
      </c>
      <c r="V38">
        <f>_xll.EQNXTDZ($A$1,$B38,V$1,$B$1)</f>
        <v>20.518000000000001</v>
      </c>
      <c r="W38">
        <f>_xll.EQNXTDZ($A$1,$B38,W$1,$B$1)</f>
        <v>13.561</v>
      </c>
      <c r="X38">
        <f>_xll.EQNXTDZ($A$1,$B38,X$1,$B$1)</f>
        <v>12.662000000000001</v>
      </c>
      <c r="Y38">
        <f>_xll.EQNXTDZ($A$1,$B38,Y$1,$B$1)</f>
        <v>15.178000000000001</v>
      </c>
      <c r="Z38">
        <f>_xll.EQNXTDZ($A$1,$B38,Z$1,$B$1)</f>
        <v>22.965</v>
      </c>
      <c r="AA38">
        <f>_xll.EQNXTDZ($A$1,$B38,AA$1,$B$1)</f>
        <v>21.068000000000001</v>
      </c>
      <c r="AB38">
        <f>_xll.EQNXTDZ($A$1,$B38,AB$1,$B$1)</f>
        <v>17.344000000000001</v>
      </c>
      <c r="AC38">
        <f>_xll.EQNXTDZ($A$1,$B38,AC$1,$B$1)</f>
        <v>21.14</v>
      </c>
      <c r="AD38">
        <f>_xll.EQNXTDZ($A$1,$B38,AD$1,$B$1)</f>
        <v>29.896000000000001</v>
      </c>
      <c r="AE38">
        <f>_xll.EQNXTDZ($A$1,$B38,AE$1,$B$1)</f>
        <v>25.329000000000001</v>
      </c>
      <c r="AF38">
        <f>_xll.EQNXTDZ($A$1,$B38,AF$1,$B$1)</f>
        <v>32.523000000000003</v>
      </c>
      <c r="AG38">
        <f>_xll.EQNXTDZ($A$1,$B38,AG$1,$B$1)</f>
        <v>36.521999999999998</v>
      </c>
      <c r="AH38">
        <f>_xll.EQNXTDZ($A$1,$B38,AH$1,$B$1)</f>
        <v>34.103000000000002</v>
      </c>
      <c r="AI38">
        <f>_xll.EQNXTDZ($A$1,$B38,AI$1,$B$1)</f>
        <v>-3.444</v>
      </c>
      <c r="AJ38">
        <f>_xll.EQNXTDZ($A$1,$B38,AJ$1,$B$1)</f>
        <v>14.07</v>
      </c>
      <c r="AK38">
        <f>_xll.EQNXTDZ($A$1,$B38,AK$1,$B$1)</f>
        <v>29.164999999999999</v>
      </c>
      <c r="AL38">
        <f>_xll.EQNXTDZ($A$1,$B38,AL$1,$B$1)</f>
        <v>41.735999999999997</v>
      </c>
      <c r="AM38">
        <f>_xll.EQNXTDZ($A$1,$B38,AM$1,$B$1)</f>
        <v>24.908999999999999</v>
      </c>
      <c r="AN38">
        <f>_xll.EQNXTDZ($A$1,$B38,AN$1,$B$1)</f>
        <v>36.392000000000003</v>
      </c>
      <c r="AO38">
        <f>_xll.EQNXTDZ($A$1,$B38,AO$1,$B$1)</f>
        <v>50.131999999999998</v>
      </c>
      <c r="AP38">
        <f>_xll.EQNXTDZ($A$1,$B38,AP$1,$B$1)</f>
        <v>55.219000000000001</v>
      </c>
      <c r="AQ38">
        <f>_xll.EQNXTDZ($A$1,$B38,AQ$1,$B$1)</f>
        <v>29.036999999999999</v>
      </c>
      <c r="AR38">
        <f>_xll.EQNXTDZ($A$1,$B38,AR$1,$B$1)</f>
        <v>21.545999999999999</v>
      </c>
      <c r="AS38">
        <f>_xll.EQNXTDZ($A$1,$B38,AS$1,$B$1)</f>
        <v>35.36</v>
      </c>
      <c r="AT38">
        <f>_xll.EQNXTDZ($A$1,$B38,AT$1,$B$1)</f>
        <v>45.997999999999998</v>
      </c>
      <c r="AU38">
        <f>_xll.EQNXTDZ($A$1,$B38,AU$1,$B$1)</f>
        <v>37.847999999999999</v>
      </c>
      <c r="AV38">
        <f>_xll.EQNXTDZ($A$1,$B38,AV$1,$B$1)</f>
        <v>38.520000000000003</v>
      </c>
      <c r="AW38">
        <f>_xll.EQNXTDZ($A$1,$B38,AW$1,$B$1)</f>
        <v>31.082999999999998</v>
      </c>
      <c r="AX38">
        <f>_xll.EQNXTDZ($A$1,$B38,AX$1,$B$1)</f>
        <v>15.522</v>
      </c>
      <c r="AY38">
        <f>_xll.EQNXTDZ($A$1,$B38,AY$1,$B$1)</f>
        <v>34.683999999999997</v>
      </c>
      <c r="AZ38">
        <f>_xll.EQNXTDZ($A$1,$B38,AZ$1,$B$1)</f>
        <v>10.217000000000001</v>
      </c>
      <c r="BA38">
        <f>_xll.EQNXTDZ($A$1,$B38,BA$1,$B$1)</f>
        <v>5.0529999999999999</v>
      </c>
      <c r="BB38">
        <f>_xll.EQNXTDZ($A$1,$B38,BB$1,$B$1)</f>
        <v>6.4630000000000001</v>
      </c>
      <c r="BC38">
        <f>_xll.EQNXTDZ($A$1,$B38,BC$1,$B$1)</f>
        <v>0.42299999999999999</v>
      </c>
      <c r="BD38">
        <f>_xll.EQNXTDZ($A$1,$B38,BD$1,$B$1)</f>
        <v>16.164999999999999</v>
      </c>
      <c r="BE38">
        <f>_xll.EQNXTDZ($A$1,$B38,BE$1,$B$1)</f>
        <v>17.834</v>
      </c>
      <c r="BF38">
        <f>_xll.EQNXTDZ($A$1,$B38,BF$1,$B$1)</f>
        <v>21.093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7.0000000000000001E-3</v>
      </c>
      <c r="T40">
        <f>_xll.EQNXTDZ($A$1,$B40,T$1,$B$1)</f>
        <v>0.159</v>
      </c>
      <c r="U40">
        <f>_xll.EQNXTDZ($A$1,$B40,U$1,$B$1)</f>
        <v>2.5000000000000001E-2</v>
      </c>
      <c r="V40">
        <f>_xll.EQNXTDZ($A$1,$B40,V$1,$B$1)</f>
        <v>-0.373</v>
      </c>
      <c r="W40">
        <f>_xll.EQNXTDZ($A$1,$B40,W$1,$B$1)</f>
        <v>-5.7000000000000002E-2</v>
      </c>
      <c r="X40">
        <f>_xll.EQNXTDZ($A$1,$B40,X$1,$B$1)</f>
        <v>2E-3</v>
      </c>
      <c r="Y40">
        <f>_xll.EQNXTDZ($A$1,$B40,Y$1,$B$1)</f>
        <v>-3.9E-2</v>
      </c>
      <c r="Z40">
        <f>_xll.EQNXTDZ($A$1,$B40,Z$1,$B$1)</f>
        <v>6.5000000000000002E-2</v>
      </c>
      <c r="AA40">
        <f>_xll.EQNXTDZ($A$1,$B40,AA$1,$B$1)</f>
        <v>-0.26100000000000001</v>
      </c>
      <c r="AB40">
        <f>_xll.EQNXTDZ($A$1,$B40,AB$1,$B$1)</f>
        <v>8.6999999999999994E-2</v>
      </c>
      <c r="AC40">
        <f>_xll.EQNXTDZ($A$1,$B40,AC$1,$B$1)</f>
        <v>-8.9999999999999993E-3</v>
      </c>
      <c r="AD40">
        <f>_xll.EQNXTDZ($A$1,$B40,AD$1,$B$1)</f>
        <v>-9.1999999999999998E-2</v>
      </c>
      <c r="AE40">
        <f>_xll.EQNXTDZ($A$1,$B40,AE$1,$B$1)</f>
        <v>-2E-3</v>
      </c>
      <c r="AF40">
        <f>_xll.EQNXTDZ($A$1,$B40,AF$1,$B$1)</f>
        <v>4.0000000000000001E-3</v>
      </c>
      <c r="AG40">
        <f>_xll.EQNXTDZ($A$1,$B40,AG$1,$B$1)</f>
        <v>-3.5000000000000003E-2</v>
      </c>
      <c r="AH40">
        <f>_xll.EQNXTDZ($A$1,$B40,AH$1,$B$1)</f>
        <v>-0.13300000000000001</v>
      </c>
      <c r="AI40">
        <f>_xll.EQNXTDZ($A$1,$B40,AI$1,$B$1)</f>
        <v>-3.3000000000000002E-2</v>
      </c>
      <c r="AJ40">
        <f>_xll.EQNXTDZ($A$1,$B40,AJ$1,$B$1)</f>
        <v>-6.0000000000000001E-3</v>
      </c>
      <c r="AK40">
        <f>_xll.EQNXTDZ($A$1,$B40,AK$1,$B$1)</f>
        <v>-2.5999999999999999E-2</v>
      </c>
      <c r="AL40">
        <f>_xll.EQNXTDZ($A$1,$B40,AL$1,$B$1)</f>
        <v>0.16300000000000001</v>
      </c>
      <c r="AM40">
        <f>_xll.EQNXTDZ($A$1,$B40,AM$1,$B$1)</f>
        <v>5.0000000000000001E-3</v>
      </c>
      <c r="AN40">
        <f>_xll.EQNXTDZ($A$1,$B40,AN$1,$B$1)</f>
        <v>2.1000000000000001E-2</v>
      </c>
      <c r="AO40">
        <f>_xll.EQNXTDZ($A$1,$B40,AO$1,$B$1)</f>
        <v>3.5000000000000003E-2</v>
      </c>
      <c r="AP40">
        <f>_xll.EQNXTDZ($A$1,$B40,AP$1,$B$1)</f>
        <v>-1.2529999999999999</v>
      </c>
      <c r="AQ40">
        <f>_xll.EQNXTDZ($A$1,$B40,AQ$1,$B$1)</f>
        <v>2.3E-2</v>
      </c>
      <c r="AR40">
        <f>_xll.EQNXTDZ($A$1,$B40,AR$1,$B$1)</f>
        <v>2.3E-2</v>
      </c>
      <c r="AS40">
        <f>_xll.EQNXTDZ($A$1,$B40,AS$1,$B$1)</f>
        <v>2.3E-2</v>
      </c>
      <c r="AT40">
        <f>_xll.EQNXTDZ($A$1,$B40,AT$1,$B$1)</f>
        <v>2.3E-2</v>
      </c>
      <c r="AU40">
        <f>_xll.EQNXTDZ($A$1,$B40,AU$1,$B$1)</f>
        <v>2.3E-2</v>
      </c>
      <c r="AV40">
        <f>_xll.EQNXTDZ($A$1,$B40,AV$1,$B$1)</f>
        <v>2.3E-2</v>
      </c>
      <c r="AW40">
        <f>_xll.EQNXTDZ($A$1,$B40,AW$1,$B$1)</f>
        <v>2.3E-2</v>
      </c>
      <c r="AX40">
        <f>_xll.EQNXTDZ($A$1,$B40,AX$1,$B$1)</f>
        <v>-0.16400000000000001</v>
      </c>
      <c r="AY40">
        <f>_xll.EQNXTDZ($A$1,$B40,AY$1,$B$1)</f>
        <v>-2.4E-2</v>
      </c>
      <c r="AZ40">
        <f>_xll.EQNXTDZ($A$1,$B40,AZ$1,$B$1)</f>
        <v>-2.4E-2</v>
      </c>
      <c r="BA40">
        <f>_xll.EQNXTDZ($A$1,$B40,BA$1,$B$1)</f>
        <v>-2.4E-2</v>
      </c>
      <c r="BB40">
        <f>_xll.EQNXTDZ($A$1,$B40,BB$1,$B$1)</f>
        <v>-0.152</v>
      </c>
      <c r="BC40">
        <f>_xll.EQNXTDZ($A$1,$B40,BC$1,$B$1)</f>
        <v>-5.6000000000000001E-2</v>
      </c>
      <c r="BD40">
        <f>_xll.EQNXTDZ($A$1,$B40,BD$1,$B$1)</f>
        <v>-5.6000000000000001E-2</v>
      </c>
      <c r="BE40">
        <f>_xll.EQNXTDZ($A$1,$B40,BE$1,$B$1)</f>
        <v>-0.36799999999999999</v>
      </c>
      <c r="BF40">
        <f>_xll.EQNXTDZ($A$1,$B40,BF$1,$B$1)</f>
        <v>-2.5000000000000001E-2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5.9470000000000001</v>
      </c>
      <c r="S41">
        <f>_xll.EQNXTDZ($A$1,$B41,S$1,$B$1)</f>
        <v>7.5060000000000002</v>
      </c>
      <c r="T41">
        <f>_xll.EQNXTDZ($A$1,$B41,T$1,$B$1)</f>
        <v>6.4340000000000002</v>
      </c>
      <c r="U41">
        <f>_xll.EQNXTDZ($A$1,$B41,U$1,$B$1)</f>
        <v>7.343</v>
      </c>
      <c r="V41">
        <f>_xll.EQNXTDZ($A$1,$B41,V$1,$B$1)</f>
        <v>20.145</v>
      </c>
      <c r="W41">
        <f>_xll.EQNXTDZ($A$1,$B41,W$1,$B$1)</f>
        <v>13.504</v>
      </c>
      <c r="X41">
        <f>_xll.EQNXTDZ($A$1,$B41,X$1,$B$1)</f>
        <v>12.664</v>
      </c>
      <c r="Y41">
        <f>_xll.EQNXTDZ($A$1,$B41,Y$1,$B$1)</f>
        <v>15.138999999999999</v>
      </c>
      <c r="Z41">
        <f>_xll.EQNXTDZ($A$1,$B41,Z$1,$B$1)</f>
        <v>23.029</v>
      </c>
      <c r="AA41">
        <f>_xll.EQNXTDZ($A$1,$B41,AA$1,$B$1)</f>
        <v>20.806999999999999</v>
      </c>
      <c r="AB41">
        <f>_xll.EQNXTDZ($A$1,$B41,AB$1,$B$1)</f>
        <v>17.431000000000001</v>
      </c>
      <c r="AC41">
        <f>_xll.EQNXTDZ($A$1,$B41,AC$1,$B$1)</f>
        <v>21.149000000000001</v>
      </c>
      <c r="AD41">
        <f>_xll.EQNXTDZ($A$1,$B41,AD$1,$B$1)</f>
        <v>29.803999999999998</v>
      </c>
      <c r="AE41">
        <f>_xll.EQNXTDZ($A$1,$B41,AE$1,$B$1)</f>
        <v>25.327000000000002</v>
      </c>
      <c r="AF41">
        <f>_xll.EQNXTDZ($A$1,$B41,AF$1,$B$1)</f>
        <v>32.527999999999999</v>
      </c>
      <c r="AG41">
        <f>_xll.EQNXTDZ($A$1,$B41,AG$1,$B$1)</f>
        <v>36.487000000000002</v>
      </c>
      <c r="AH41">
        <f>_xll.EQNXTDZ($A$1,$B41,AH$1,$B$1)</f>
        <v>33.97</v>
      </c>
      <c r="AI41">
        <f>_xll.EQNXTDZ($A$1,$B41,AI$1,$B$1)</f>
        <v>-3.4780000000000002</v>
      </c>
      <c r="AJ41">
        <f>_xll.EQNXTDZ($A$1,$B41,AJ$1,$B$1)</f>
        <v>14.064</v>
      </c>
      <c r="AK41">
        <f>_xll.EQNXTDZ($A$1,$B41,AK$1,$B$1)</f>
        <v>29.14</v>
      </c>
      <c r="AL41">
        <f>_xll.EQNXTDZ($A$1,$B41,AL$1,$B$1)</f>
        <v>41.899000000000001</v>
      </c>
      <c r="AM41">
        <f>_xll.EQNXTDZ($A$1,$B41,AM$1,$B$1)</f>
        <v>24.914000000000001</v>
      </c>
      <c r="AN41">
        <f>_xll.EQNXTDZ($A$1,$B41,AN$1,$B$1)</f>
        <v>36.412999999999997</v>
      </c>
      <c r="AO41">
        <f>_xll.EQNXTDZ($A$1,$B41,AO$1,$B$1)</f>
        <v>50.167000000000002</v>
      </c>
      <c r="AP41">
        <f>_xll.EQNXTDZ($A$1,$B41,AP$1,$B$1)</f>
        <v>53.966000000000001</v>
      </c>
      <c r="AQ41">
        <f>_xll.EQNXTDZ($A$1,$B41,AQ$1,$B$1)</f>
        <v>29.06</v>
      </c>
      <c r="AR41">
        <f>_xll.EQNXTDZ($A$1,$B41,AR$1,$B$1)</f>
        <v>21.568999999999999</v>
      </c>
      <c r="AS41">
        <f>_xll.EQNXTDZ($A$1,$B41,AS$1,$B$1)</f>
        <v>35.383000000000003</v>
      </c>
      <c r="AT41">
        <f>_xll.EQNXTDZ($A$1,$B41,AT$1,$B$1)</f>
        <v>46.021000000000001</v>
      </c>
      <c r="AU41">
        <f>_xll.EQNXTDZ($A$1,$B41,AU$1,$B$1)</f>
        <v>37.871000000000002</v>
      </c>
      <c r="AV41">
        <f>_xll.EQNXTDZ($A$1,$B41,AV$1,$B$1)</f>
        <v>38.542999999999999</v>
      </c>
      <c r="AW41">
        <f>_xll.EQNXTDZ($A$1,$B41,AW$1,$B$1)</f>
        <v>31.106000000000002</v>
      </c>
      <c r="AX41">
        <f>_xll.EQNXTDZ($A$1,$B41,AX$1,$B$1)</f>
        <v>15.358000000000001</v>
      </c>
      <c r="AY41">
        <f>_xll.EQNXTDZ($A$1,$B41,AY$1,$B$1)</f>
        <v>34.661000000000001</v>
      </c>
      <c r="AZ41">
        <f>_xll.EQNXTDZ($A$1,$B41,AZ$1,$B$1)</f>
        <v>10.193</v>
      </c>
      <c r="BA41">
        <f>_xll.EQNXTDZ($A$1,$B41,BA$1,$B$1)</f>
        <v>5.0289999999999999</v>
      </c>
      <c r="BB41">
        <f>_xll.EQNXTDZ($A$1,$B41,BB$1,$B$1)</f>
        <v>6.3109999999999999</v>
      </c>
      <c r="BC41">
        <f>_xll.EQNXTDZ($A$1,$B41,BC$1,$B$1)</f>
        <v>0.36699999999999999</v>
      </c>
      <c r="BD41">
        <f>_xll.EQNXTDZ($A$1,$B41,BD$1,$B$1)</f>
        <v>16.109000000000002</v>
      </c>
      <c r="BE41">
        <f>_xll.EQNXTDZ($A$1,$B41,BE$1,$B$1)</f>
        <v>17.466000000000001</v>
      </c>
      <c r="BF41">
        <f>_xll.EQNXTDZ($A$1,$B41,BF$1,$B$1)</f>
        <v>21.068000000000001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5.9470000000000001</v>
      </c>
      <c r="S42">
        <f>_xll.EQNXTDZ($A$1,$B42,S$1,$B$1)</f>
        <v>7.4989999999999997</v>
      </c>
      <c r="T42">
        <f>_xll.EQNXTDZ($A$1,$B42,T$1,$B$1)</f>
        <v>6.2750000000000004</v>
      </c>
      <c r="U42">
        <f>_xll.EQNXTDZ($A$1,$B42,U$1,$B$1)</f>
        <v>7.3179999999999996</v>
      </c>
      <c r="V42">
        <f>_xll.EQNXTDZ($A$1,$B42,V$1,$B$1)</f>
        <v>20.518000000000001</v>
      </c>
      <c r="W42">
        <f>_xll.EQNXTDZ($A$1,$B42,W$1,$B$1)</f>
        <v>13.561</v>
      </c>
      <c r="X42">
        <f>_xll.EQNXTDZ($A$1,$B42,X$1,$B$1)</f>
        <v>12.662000000000001</v>
      </c>
      <c r="Y42">
        <f>_xll.EQNXTDZ($A$1,$B42,Y$1,$B$1)</f>
        <v>15.178000000000001</v>
      </c>
      <c r="Z42">
        <f>_xll.EQNXTDZ($A$1,$B42,Z$1,$B$1)</f>
        <v>22.965</v>
      </c>
      <c r="AA42">
        <f>_xll.EQNXTDZ($A$1,$B42,AA$1,$B$1)</f>
        <v>21.068000000000001</v>
      </c>
      <c r="AB42">
        <f>_xll.EQNXTDZ($A$1,$B42,AB$1,$B$1)</f>
        <v>17.344000000000001</v>
      </c>
      <c r="AC42">
        <f>_xll.EQNXTDZ($A$1,$B42,AC$1,$B$1)</f>
        <v>21.14</v>
      </c>
      <c r="AD42">
        <f>_xll.EQNXTDZ($A$1,$B42,AD$1,$B$1)</f>
        <v>29.896000000000001</v>
      </c>
      <c r="AE42">
        <f>_xll.EQNXTDZ($A$1,$B42,AE$1,$B$1)</f>
        <v>25.329000000000001</v>
      </c>
      <c r="AF42">
        <f>_xll.EQNXTDZ($A$1,$B42,AF$1,$B$1)</f>
        <v>32.523000000000003</v>
      </c>
      <c r="AG42">
        <f>_xll.EQNXTDZ($A$1,$B42,AG$1,$B$1)</f>
        <v>36.521999999999998</v>
      </c>
      <c r="AH42">
        <f>_xll.EQNXTDZ($A$1,$B42,AH$1,$B$1)</f>
        <v>34.103000000000002</v>
      </c>
      <c r="AI42">
        <f>_xll.EQNXTDZ($A$1,$B42,AI$1,$B$1)</f>
        <v>-3.444</v>
      </c>
      <c r="AJ42">
        <f>_xll.EQNXTDZ($A$1,$B42,AJ$1,$B$1)</f>
        <v>14.07</v>
      </c>
      <c r="AK42">
        <f>_xll.EQNXTDZ($A$1,$B42,AK$1,$B$1)</f>
        <v>29.164999999999999</v>
      </c>
      <c r="AL42">
        <f>_xll.EQNXTDZ($A$1,$B42,AL$1,$B$1)</f>
        <v>41.735999999999997</v>
      </c>
      <c r="AM42">
        <f>_xll.EQNXTDZ($A$1,$B42,AM$1,$B$1)</f>
        <v>24.908999999999999</v>
      </c>
      <c r="AN42">
        <f>_xll.EQNXTDZ($A$1,$B42,AN$1,$B$1)</f>
        <v>36.392000000000003</v>
      </c>
      <c r="AO42">
        <f>_xll.EQNXTDZ($A$1,$B42,AO$1,$B$1)</f>
        <v>50.131999999999998</v>
      </c>
      <c r="AP42">
        <f>_xll.EQNXTDZ($A$1,$B42,AP$1,$B$1)</f>
        <v>55.219000000000001</v>
      </c>
      <c r="AQ42">
        <f>_xll.EQNXTDZ($A$1,$B42,AQ$1,$B$1)</f>
        <v>29.036999999999999</v>
      </c>
      <c r="AR42">
        <f>_xll.EQNXTDZ($A$1,$B42,AR$1,$B$1)</f>
        <v>21.545999999999999</v>
      </c>
      <c r="AS42">
        <f>_xll.EQNXTDZ($A$1,$B42,AS$1,$B$1)</f>
        <v>35.36</v>
      </c>
      <c r="AT42">
        <f>_xll.EQNXTDZ($A$1,$B42,AT$1,$B$1)</f>
        <v>45.997999999999998</v>
      </c>
      <c r="AU42">
        <f>_xll.EQNXTDZ($A$1,$B42,AU$1,$B$1)</f>
        <v>37.847999999999999</v>
      </c>
      <c r="AV42">
        <f>_xll.EQNXTDZ($A$1,$B42,AV$1,$B$1)</f>
        <v>38.520000000000003</v>
      </c>
      <c r="AW42">
        <f>_xll.EQNXTDZ($A$1,$B42,AW$1,$B$1)</f>
        <v>31.082999999999998</v>
      </c>
      <c r="AX42">
        <f>_xll.EQNXTDZ($A$1,$B42,AX$1,$B$1)</f>
        <v>15.522</v>
      </c>
      <c r="AY42">
        <f>_xll.EQNXTDZ($A$1,$B42,AY$1,$B$1)</f>
        <v>34.683999999999997</v>
      </c>
      <c r="AZ42">
        <f>_xll.EQNXTDZ($A$1,$B42,AZ$1,$B$1)</f>
        <v>10.217000000000001</v>
      </c>
      <c r="BA42">
        <f>_xll.EQNXTDZ($A$1,$B42,BA$1,$B$1)</f>
        <v>5.0529999999999999</v>
      </c>
      <c r="BB42">
        <f>_xll.EQNXTDZ($A$1,$B42,BB$1,$B$1)</f>
        <v>6.4630000000000001</v>
      </c>
      <c r="BC42">
        <f>_xll.EQNXTDZ($A$1,$B42,BC$1,$B$1)</f>
        <v>0.42299999999999999</v>
      </c>
      <c r="BD42">
        <f>_xll.EQNXTDZ($A$1,$B42,BD$1,$B$1)</f>
        <v>16.164999999999999</v>
      </c>
      <c r="BE42">
        <f>_xll.EQNXTDZ($A$1,$B42,BE$1,$B$1)</f>
        <v>17.834</v>
      </c>
      <c r="BF42">
        <f>_xll.EQNXTDZ($A$1,$B42,BF$1,$B$1)</f>
        <v>21.093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3.2</v>
      </c>
      <c r="S45">
        <f>_xll.EQNXTDZ($A$1,$B45,S$1,$B$1)</f>
        <v>3.2</v>
      </c>
      <c r="T45">
        <f>_xll.EQNXTDZ($A$1,$B45,T$1,$B$1)</f>
        <v>3.2</v>
      </c>
      <c r="U45">
        <f>_xll.EQNXTDZ($A$1,$B45,U$1,$B$1)</f>
        <v>36</v>
      </c>
      <c r="V45">
        <f>_xll.EQNXTDZ($A$1,$B45,V$1,$B$1)</f>
        <v>28.8</v>
      </c>
      <c r="W45">
        <f>_xll.EQNXTDZ($A$1,$B45,W$1,$B$1)</f>
        <v>36</v>
      </c>
      <c r="X45">
        <f>_xll.EQNXTDZ($A$1,$B45,X$1,$B$1)</f>
        <v>36</v>
      </c>
      <c r="Y45">
        <f>_xll.EQNXTDZ($A$1,$B45,Y$1,$B$1)</f>
        <v>36</v>
      </c>
      <c r="Z45">
        <f>_xll.EQNXTDZ($A$1,$B45,Z$1,$B$1)</f>
        <v>36</v>
      </c>
      <c r="AA45">
        <f>_xll.EQNXTDZ($A$1,$B45,AA$1,$B$1)</f>
        <v>36</v>
      </c>
      <c r="AB45">
        <f>_xll.EQNXTDZ($A$1,$B45,AB$1,$B$1)</f>
        <v>36</v>
      </c>
      <c r="AC45">
        <f>_xll.EQNXTDZ($A$1,$B45,AC$1,$B$1)</f>
        <v>36</v>
      </c>
      <c r="AD45">
        <f>_xll.EQNXTDZ($A$1,$B45,AD$1,$B$1)</f>
        <v>36</v>
      </c>
      <c r="AE45">
        <f>_xll.EQNXTDZ($A$1,$B45,AE$1,$B$1)</f>
        <v>36</v>
      </c>
      <c r="AF45">
        <f>_xll.EQNXTDZ($A$1,$B45,AF$1,$B$1)</f>
        <v>36</v>
      </c>
      <c r="AG45">
        <f>_xll.EQNXTDZ($A$1,$B45,AG$1,$B$1)</f>
        <v>36</v>
      </c>
      <c r="AH45">
        <f>_xll.EQNXTDZ($A$1,$B45,AH$1,$B$1)</f>
        <v>36</v>
      </c>
      <c r="AI45">
        <f>_xll.EQNXTDZ($A$1,$B45,AI$1,$B$1)</f>
        <v>36</v>
      </c>
      <c r="AJ45">
        <f>_xll.EQNXTDZ($A$1,$B45,AJ$1,$B$1)</f>
        <v>36</v>
      </c>
      <c r="AK45">
        <f>_xll.EQNXTDZ($A$1,$B45,AK$1,$B$1)</f>
        <v>36</v>
      </c>
      <c r="AL45">
        <f>_xll.EQNXTDZ($A$1,$B45,AL$1,$B$1)</f>
        <v>36</v>
      </c>
      <c r="AM45">
        <f>_xll.EQNXTDZ($A$1,$B45,AM$1,$B$1)</f>
        <v>36</v>
      </c>
      <c r="AN45">
        <f>_xll.EQNXTDZ($A$1,$B45,AN$1,$B$1)</f>
        <v>36</v>
      </c>
      <c r="AO45">
        <f>_xll.EQNXTDZ($A$1,$B45,AO$1,$B$1)</f>
        <v>36</v>
      </c>
      <c r="AP45">
        <f>_xll.EQNXTDZ($A$1,$B45,AP$1,$B$1)</f>
        <v>36</v>
      </c>
      <c r="AQ45">
        <f>_xll.EQNXTDZ($A$1,$B45,AQ$1,$B$1)</f>
        <v>36</v>
      </c>
      <c r="AR45">
        <f>_xll.EQNXTDZ($A$1,$B45,AR$1,$B$1)</f>
        <v>36</v>
      </c>
      <c r="AS45">
        <f>_xll.EQNXTDZ($A$1,$B45,AS$1,$B$1)</f>
        <v>36</v>
      </c>
      <c r="AT45">
        <f>_xll.EQNXTDZ($A$1,$B45,AT$1,$B$1)</f>
        <v>36</v>
      </c>
      <c r="AU45">
        <f>_xll.EQNXTDZ($A$1,$B45,AU$1,$B$1)</f>
        <v>36</v>
      </c>
      <c r="AV45">
        <f>_xll.EQNXTDZ($A$1,$B45,AV$1,$B$1)</f>
        <v>36</v>
      </c>
      <c r="AW45">
        <f>_xll.EQNXTDZ($A$1,$B45,AW$1,$B$1)</f>
        <v>36</v>
      </c>
      <c r="AX45">
        <f>_xll.EQNXTDZ($A$1,$B45,AX$1,$B$1)</f>
        <v>36</v>
      </c>
      <c r="AY45">
        <f>_xll.EQNXTDZ($A$1,$B45,AY$1,$B$1)</f>
        <v>39.642000000000003</v>
      </c>
      <c r="AZ45">
        <f>_xll.EQNXTDZ($A$1,$B45,AZ$1,$B$1)</f>
        <v>39.642000000000003</v>
      </c>
      <c r="BA45">
        <f>_xll.EQNXTDZ($A$1,$B45,BA$1,$B$1)</f>
        <v>39.642000000000003</v>
      </c>
      <c r="BB45">
        <f>_xll.EQNXTDZ($A$1,$B45,BB$1,$B$1)</f>
        <v>39.642000000000003</v>
      </c>
      <c r="BC45">
        <f>_xll.EQNXTDZ($A$1,$B45,BC$1,$B$1)</f>
        <v>39.642000000000003</v>
      </c>
      <c r="BD45">
        <f>_xll.EQNXTDZ($A$1,$B45,BD$1,$B$1)</f>
        <v>39.642000000000003</v>
      </c>
      <c r="BE45">
        <f>_xll.EQNXTDZ($A$1,$B45,BE$1,$B$1)</f>
        <v>39.642000000000003</v>
      </c>
      <c r="BF45">
        <f>_xll.EQNXTDZ($A$1,$B45,BF$1,$B$1)</f>
        <v>39.642000000000003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269.75</v>
      </c>
      <c r="X48" s="55">
        <f>_xll.EQNXTDZ($A$1,$B48,X$5)</f>
        <v>338.3</v>
      </c>
      <c r="Y48" s="55">
        <f>_xll.EQNXTDZ($A$1,$B48,Y$5)</f>
        <v>514.20000000000005</v>
      </c>
      <c r="Z48" s="55">
        <f>_xll.EQNXTDZ($A$1,$B48,Z$5)</f>
        <v>449.5</v>
      </c>
      <c r="AA48" s="55">
        <f>_xll.EQNXTDZ($A$1,$B48,AA$5)</f>
        <v>493.15</v>
      </c>
      <c r="AB48" s="55">
        <f>_xll.EQNXTDZ($A$1,$B48,AB$5)</f>
        <v>411.05</v>
      </c>
      <c r="AC48" s="55">
        <f>_xll.EQNXTDZ($A$1,$B48,AC$5)</f>
        <v>392.05</v>
      </c>
      <c r="AD48" s="55">
        <f>_xll.EQNXTDZ($A$1,$B48,AD$5)</f>
        <v>459.95</v>
      </c>
      <c r="AE48" s="55">
        <f>_xll.EQNXTDZ($A$1,$B48,AE$5)</f>
        <v>550.20000000000005</v>
      </c>
      <c r="AF48" s="55">
        <f>_xll.EQNXTDZ($A$1,$B48,AF$5)</f>
        <v>564.5</v>
      </c>
      <c r="AG48" s="55">
        <f>_xll.EQNXTDZ($A$1,$B48,AG$5)</f>
        <v>495.75</v>
      </c>
      <c r="AH48" s="55">
        <f>_xll.EQNXTDZ($A$1,$B48,AH$5)</f>
        <v>321.7</v>
      </c>
      <c r="AI48" s="55">
        <f>_xll.EQNXTDZ($A$1,$B48,AI$5)</f>
        <v>390</v>
      </c>
      <c r="AJ48" s="55">
        <f>_xll.EQNXTDZ($A$1,$B48,AJ$5)</f>
        <v>403.15</v>
      </c>
      <c r="AK48" s="55">
        <f>_xll.EQNXTDZ($A$1,$B48,AK$5)</f>
        <v>414.95</v>
      </c>
      <c r="AL48" s="55">
        <f>_xll.EQNXTDZ($A$1,$B48,AL$5)</f>
        <v>463.4</v>
      </c>
      <c r="AM48" s="55">
        <f>_xll.EQNXTDZ($A$1,$B48,AM$5)</f>
        <v>418.4</v>
      </c>
      <c r="AN48" s="55">
        <f>_xll.EQNXTDZ($A$1,$B48,AN$5)</f>
        <v>482.75</v>
      </c>
      <c r="AO48" s="55">
        <f>_xll.EQNXTDZ($A$1,$B48,AO$5)</f>
        <v>485.45</v>
      </c>
      <c r="AP48" s="55">
        <f>_xll.EQNXTDZ($A$1,$B48,AP$5)</f>
        <v>539.85</v>
      </c>
      <c r="AQ48" s="55">
        <f>_xll.EQNXTDZ($A$1,$B48,AQ$5)</f>
        <v>552.9</v>
      </c>
      <c r="AR48" s="55">
        <f>_xll.EQNXTDZ($A$1,$B48,AR$5)</f>
        <v>641.54999999999995</v>
      </c>
      <c r="AS48" s="55">
        <f>_xll.EQNXTDZ($A$1,$B48,AS$5)</f>
        <v>699.35</v>
      </c>
      <c r="AT48" s="55">
        <f>_xll.EQNXTDZ($A$1,$B48,AT$5)</f>
        <v>671.4</v>
      </c>
      <c r="AU48" s="55">
        <f>_xll.EQNXTDZ($A$1,$B48,AU$5)</f>
        <v>713.25</v>
      </c>
      <c r="AV48" s="55">
        <f>_xll.EQNXTDZ($A$1,$B48,AV$5)</f>
        <v>797.45</v>
      </c>
      <c r="AW48" s="55">
        <f>_xll.EQNXTDZ($A$1,$B48,AW$5)</f>
        <v>768.05</v>
      </c>
      <c r="AX48" s="55">
        <f>_xll.EQNXTDZ($A$1,$B48,AX$5)</f>
        <v>686.1</v>
      </c>
      <c r="AY48" s="55">
        <f>_xll.EQNXTDZ($A$1,$B48,AY$5)</f>
        <v>684.15</v>
      </c>
      <c r="AZ48" s="55">
        <f>_xll.EQNXTDZ($A$1,$B48,AZ$5)</f>
        <v>652.54999999999995</v>
      </c>
      <c r="BA48" s="55">
        <f>_xll.EQNXTDZ($A$1,$B48,BA$5)</f>
        <v>649.79999999999995</v>
      </c>
      <c r="BB48" s="55">
        <f>_xll.EQNXTDZ($A$1,$B48,BB$5)</f>
        <v>632.29999999999995</v>
      </c>
      <c r="BC48" s="55">
        <f>_xll.EQNXTDZ($A$1,$B48,BC$5)</f>
        <v>760</v>
      </c>
      <c r="BD48" s="55">
        <f>_xll.EQNXTDZ($A$1,$B48,BD$5)</f>
        <v>753.1</v>
      </c>
      <c r="BE48" s="55">
        <f>_xll.EQNXTDZ($A$1,$B48,BE$5)</f>
        <v>867.9</v>
      </c>
      <c r="BF48" s="55">
        <f>_xll.EQNXTDZ($A$1,$B48,BF$5)</f>
        <v>580.04999999999995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99.99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71.989999999999995</v>
      </c>
      <c r="X49" s="55">
        <f>_xll.EQNXTDZ($A$1,$B49,X$5)</f>
        <v>71.989999999999995</v>
      </c>
      <c r="Y49" s="55">
        <f>_xll.EQNXTDZ($A$1,$B49,Y$5)</f>
        <v>71.989999999999995</v>
      </c>
      <c r="Z49" s="55">
        <f>_xll.EQNXTDZ($A$1,$B49,Z$5)</f>
        <v>72.13</v>
      </c>
      <c r="AA49" s="55">
        <f>_xll.EQNXTDZ($A$1,$B49,AA$5)</f>
        <v>72.44</v>
      </c>
      <c r="AB49" s="55">
        <f>_xll.EQNXTDZ($A$1,$B49,AB$5)</f>
        <v>72.959999999999994</v>
      </c>
      <c r="AC49" s="55">
        <f>_xll.EQNXTDZ($A$1,$B49,AC$5)</f>
        <v>73.28</v>
      </c>
      <c r="AD49" s="55">
        <f>_xll.EQNXTDZ($A$1,$B49,AD$5)</f>
        <v>73.28</v>
      </c>
      <c r="AE49" s="55">
        <f>_xll.EQNXTDZ($A$1,$B49,AE$5)</f>
        <v>73.28</v>
      </c>
      <c r="AF49" s="55">
        <f>_xll.EQNXTDZ($A$1,$B49,AF$5)</f>
        <v>73.680000000000007</v>
      </c>
      <c r="AG49" s="55">
        <f>_xll.EQNXTDZ($A$1,$B49,AG$5)</f>
        <v>73.680000000000007</v>
      </c>
      <c r="AH49" s="55">
        <f>_xll.EQNXTDZ($A$1,$B49,AH$5)</f>
        <v>73.819999999999993</v>
      </c>
      <c r="AI49" s="55">
        <f>_xll.EQNXTDZ($A$1,$B49,AI$5)</f>
        <v>73.959999999999994</v>
      </c>
      <c r="AJ49" s="55">
        <f>_xll.EQNXTDZ($A$1,$B49,AJ$5)</f>
        <v>74.16</v>
      </c>
      <c r="AK49" s="55">
        <f>_xll.EQNXTDZ($A$1,$B49,AK$5)</f>
        <v>74.19</v>
      </c>
      <c r="AL49" s="55">
        <f>_xll.EQNXTDZ($A$1,$B49,AL$5)</f>
        <v>74.19</v>
      </c>
      <c r="AM49" s="55">
        <f>_xll.EQNXTDZ($A$1,$B49,AM$5)</f>
        <v>74.19</v>
      </c>
      <c r="AN49" s="55">
        <f>_xll.EQNXTDZ($A$1,$B49,AN$5)</f>
        <v>69.88</v>
      </c>
      <c r="AO49" s="55">
        <f>_xll.EQNXTDZ($A$1,$B49,AO$5)</f>
        <v>70.16</v>
      </c>
      <c r="AP49" s="55">
        <f>_xll.EQNXTDZ($A$1,$B49,AP$5)</f>
        <v>70.2</v>
      </c>
      <c r="AQ49" s="55">
        <f>_xll.EQNXTDZ($A$1,$B49,AQ$5)</f>
        <v>70.39</v>
      </c>
      <c r="AR49" s="55">
        <f>_xll.EQNXTDZ($A$1,$B49,AR$5)</f>
        <v>70.45</v>
      </c>
      <c r="AS49" s="55">
        <f>_xll.EQNXTDZ($A$1,$B49,AS$5)</f>
        <v>67.540000000000006</v>
      </c>
      <c r="AT49" s="55">
        <f>_xll.EQNXTDZ($A$1,$B49,AT$5)</f>
        <v>67.59</v>
      </c>
      <c r="AU49" s="55">
        <f>_xll.EQNXTDZ($A$1,$B49,AU$5)</f>
        <v>66.22</v>
      </c>
      <c r="AV49" s="55">
        <f>_xll.EQNXTDZ($A$1,$B49,AV$5)</f>
        <v>66.22</v>
      </c>
      <c r="AW49" s="55">
        <f>_xll.EQNXTDZ($A$1,$B49,AW$5)</f>
        <v>66.22</v>
      </c>
      <c r="AX49" s="55">
        <f>_xll.EQNXTDZ($A$1,$B49,AX$5)</f>
        <v>66.22</v>
      </c>
      <c r="AY49" s="55">
        <f>_xll.EQNXTDZ($A$1,$B49,AY$5)</f>
        <v>60.14</v>
      </c>
      <c r="AZ49" s="55">
        <f>_xll.EQNXTDZ($A$1,$B49,AZ$5)</f>
        <v>60.14</v>
      </c>
      <c r="BA49" s="55">
        <f>_xll.EQNXTDZ($A$1,$B49,BA$5)</f>
        <v>60.14</v>
      </c>
      <c r="BB49" s="55">
        <f>_xll.EQNXTDZ($A$1,$B49,BB$5)</f>
        <v>60.14</v>
      </c>
      <c r="BC49" s="55">
        <f>_xll.EQNXTDZ($A$1,$B49,BC$5)</f>
        <v>60.14</v>
      </c>
      <c r="BD49" s="55">
        <f>_xll.EQNXTDZ($A$1,$B49,BD$5)</f>
        <v>68.819999999999993</v>
      </c>
      <c r="BE49" s="55">
        <f>_xll.EQNXTDZ($A$1,$B49,BE$5)</f>
        <v>68.819999999999993</v>
      </c>
      <c r="BF49" s="55">
        <f>_xll.EQNXTDZ($A$1,$B49,BF$5)</f>
        <v>68.819999999999993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3.2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28.8</v>
      </c>
      <c r="W56" s="55">
        <f>_xll.EQNXTDZ($A$1,$B56,W$5,$B$1)</f>
        <v>0</v>
      </c>
      <c r="X56" s="55">
        <f>_xll.EQNXTDZ($A$1,$B56,X$5,$B$1)</f>
        <v>36</v>
      </c>
      <c r="Y56" s="55">
        <f>_xll.EQNXTDZ($A$1,$B56,Y$5,$B$1)</f>
        <v>0</v>
      </c>
      <c r="Z56" s="55">
        <f>_xll.EQNXTDZ($A$1,$B56,Z$5,$B$1)</f>
        <v>36</v>
      </c>
      <c r="AA56" s="55">
        <f>_xll.EQNXTDZ($A$1,$B56,AA$5,$B$1)</f>
        <v>0</v>
      </c>
      <c r="AB56" s="55">
        <f>_xll.EQNXTDZ($A$1,$B56,AB$5,$B$1)</f>
        <v>36</v>
      </c>
      <c r="AC56" s="55">
        <f>_xll.EQNXTDZ($A$1,$B56,AC$5,$B$1)</f>
        <v>0</v>
      </c>
      <c r="AD56" s="55">
        <f>_xll.EQNXTDZ($A$1,$B56,AD$5,$B$1)</f>
        <v>36</v>
      </c>
      <c r="AE56" s="55">
        <f>_xll.EQNXTDZ($A$1,$B56,AE$5,$B$1)</f>
        <v>0</v>
      </c>
      <c r="AF56" s="55">
        <f>_xll.EQNXTDZ($A$1,$B56,AF$5,$B$1)</f>
        <v>36</v>
      </c>
      <c r="AG56" s="55">
        <f>_xll.EQNXTDZ($A$1,$B56,AG$5,$B$1)</f>
        <v>0</v>
      </c>
      <c r="AH56" s="55">
        <f>_xll.EQNXTDZ($A$1,$B56,AH$5,$B$1)</f>
        <v>36</v>
      </c>
      <c r="AI56" s="55">
        <f>_xll.EQNXTDZ($A$1,$B56,AI$5,$B$1)</f>
        <v>0</v>
      </c>
      <c r="AJ56" s="55">
        <f>_xll.EQNXTDZ($A$1,$B56,AJ$5,$B$1)</f>
        <v>36</v>
      </c>
      <c r="AK56" s="55">
        <f>_xll.EQNXTDZ($A$1,$B56,AK$5,$B$1)</f>
        <v>0</v>
      </c>
      <c r="AL56" s="55">
        <f>_xll.EQNXTDZ($A$1,$B56,AL$5,$B$1)</f>
        <v>36</v>
      </c>
      <c r="AM56" s="55">
        <f>_xll.EQNXTDZ($A$1,$B56,AM$5,$B$1)</f>
        <v>0</v>
      </c>
      <c r="AN56" s="55">
        <f>_xll.EQNXTDZ($A$1,$B56,AN$5,$B$1)</f>
        <v>36</v>
      </c>
      <c r="AO56" s="55">
        <f>_xll.EQNXTDZ($A$1,$B56,AO$5,$B$1)</f>
        <v>0</v>
      </c>
      <c r="AP56" s="55">
        <f>_xll.EQNXTDZ($A$1,$B56,AP$5,$B$1)</f>
        <v>36</v>
      </c>
      <c r="AQ56" s="55">
        <f>_xll.EQNXTDZ($A$1,$B56,AQ$5,$B$1)</f>
        <v>0</v>
      </c>
      <c r="AR56" s="55">
        <f>_xll.EQNXTDZ($A$1,$B56,AR$5,$B$1)</f>
        <v>36</v>
      </c>
      <c r="AS56" s="55">
        <f>_xll.EQNXTDZ($A$1,$B56,AS$5,$B$1)</f>
        <v>0</v>
      </c>
      <c r="AT56" s="55">
        <f>_xll.EQNXTDZ($A$1,$B56,AT$5,$B$1)</f>
        <v>36</v>
      </c>
      <c r="AU56" s="55">
        <f>_xll.EQNXTDZ($A$1,$B56,AU$5,$B$1)</f>
        <v>0</v>
      </c>
      <c r="AV56" s="55">
        <f>_xll.EQNXTDZ($A$1,$B56,AV$5,$B$1)</f>
        <v>36</v>
      </c>
      <c r="AW56" s="55">
        <f>_xll.EQNXTDZ($A$1,$B56,AW$5,$B$1)</f>
        <v>0</v>
      </c>
      <c r="AX56" s="55">
        <f>_xll.EQNXTDZ($A$1,$B56,AX$5,$B$1)</f>
        <v>36</v>
      </c>
      <c r="AY56" s="55">
        <f>_xll.EQNXTDZ($A$1,$B56,AY$5,$B$1)</f>
        <v>0</v>
      </c>
      <c r="AZ56" s="55">
        <f>_xll.EQNXTDZ($A$1,$B56,AZ$5,$B$1)</f>
        <v>39.642000000000003</v>
      </c>
      <c r="BA56" s="55">
        <f>_xll.EQNXTDZ($A$1,$B56,BA$5,$B$1)</f>
        <v>0</v>
      </c>
      <c r="BB56" s="55">
        <f>_xll.EQNXTDZ($A$1,$B56,BB$5,$B$1)</f>
        <v>39.642000000000003</v>
      </c>
      <c r="BC56" s="55">
        <f>_xll.EQNXTDZ($A$1,$B56,BC$5,$B$1)</f>
        <v>0</v>
      </c>
      <c r="BD56" s="55">
        <f>_xll.EQNXTDZ($A$1,$B56,BD$5,$B$1)</f>
        <v>39.642000000000003</v>
      </c>
      <c r="BE56" s="55">
        <f>_xll.EQNXTDZ($A$1,$B56,BE$5,$B$1)</f>
        <v>0</v>
      </c>
      <c r="BF56" s="55">
        <f>_xll.EQNXTDZ($A$1,$B56,BF$5,$B$1)</f>
        <v>39.642000000000003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60.808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75.866</v>
      </c>
      <c r="W58" s="55">
        <f>_xll.EQNXTDZ($A$1,$B58,W$5,$B$1)</f>
        <v>0</v>
      </c>
      <c r="X58" s="55">
        <f>_xll.EQNXTDZ($A$1,$B58,X$5,$B$1)</f>
        <v>228.11699999999999</v>
      </c>
      <c r="Y58" s="55">
        <f>_xll.EQNXTDZ($A$1,$B58,Y$5,$B$1)</f>
        <v>0</v>
      </c>
      <c r="Z58" s="55">
        <f>_xll.EQNXTDZ($A$1,$B58,Z$5,$B$1)</f>
        <v>265.41199999999998</v>
      </c>
      <c r="AA58" s="55">
        <f>_xll.EQNXTDZ($A$1,$B58,AA$5,$B$1)</f>
        <v>0</v>
      </c>
      <c r="AB58" s="55">
        <f>_xll.EQNXTDZ($A$1,$B58,AB$5,$B$1)</f>
        <v>283.85300000000001</v>
      </c>
      <c r="AC58" s="55">
        <f>_xll.EQNXTDZ($A$1,$B58,AC$5,$B$1)</f>
        <v>0</v>
      </c>
      <c r="AD58" s="55">
        <f>_xll.EQNXTDZ($A$1,$B58,AD$5,$B$1)</f>
        <v>333.30700000000002</v>
      </c>
      <c r="AE58" s="55">
        <f>_xll.EQNXTDZ($A$1,$B58,AE$5,$B$1)</f>
        <v>0</v>
      </c>
      <c r="AF58" s="55">
        <f>_xll.EQNXTDZ($A$1,$B58,AF$5,$B$1)</f>
        <v>369.43299999999999</v>
      </c>
      <c r="AG58" s="55">
        <f>_xll.EQNXTDZ($A$1,$B58,AG$5,$B$1)</f>
        <v>0</v>
      </c>
      <c r="AH58" s="55">
        <f>_xll.EQNXTDZ($A$1,$B58,AH$5,$B$1)</f>
        <v>418.18200000000002</v>
      </c>
      <c r="AI58" s="55">
        <f>_xll.EQNXTDZ($A$1,$B58,AI$5,$B$1)</f>
        <v>0</v>
      </c>
      <c r="AJ58" s="55">
        <f>_xll.EQNXTDZ($A$1,$B58,AJ$5,$B$1)</f>
        <v>428.767</v>
      </c>
      <c r="AK58" s="55">
        <f>_xll.EQNXTDZ($A$1,$B58,AK$5,$B$1)</f>
        <v>0</v>
      </c>
      <c r="AL58" s="55">
        <f>_xll.EQNXTDZ($A$1,$B58,AL$5,$B$1)</f>
        <v>499.9</v>
      </c>
      <c r="AM58" s="55">
        <f>_xll.EQNXTDZ($A$1,$B58,AM$5,$B$1)</f>
        <v>0</v>
      </c>
      <c r="AN58" s="55">
        <f>_xll.EQNXTDZ($A$1,$B58,AN$5,$B$1)</f>
        <v>546.827</v>
      </c>
      <c r="AO58" s="55">
        <f>_xll.EQNXTDZ($A$1,$B58,AO$5,$B$1)</f>
        <v>0</v>
      </c>
      <c r="AP58" s="55">
        <f>_xll.EQNXTDZ($A$1,$B58,AP$5,$B$1)</f>
        <v>650.95899999999995</v>
      </c>
      <c r="AQ58" s="55">
        <f>_xll.EQNXTDZ($A$1,$B58,AQ$5,$B$1)</f>
        <v>0</v>
      </c>
      <c r="AR58" s="55">
        <f>_xll.EQNXTDZ($A$1,$B58,AR$5,$B$1)</f>
        <v>683.58900000000006</v>
      </c>
      <c r="AS58" s="55">
        <f>_xll.EQNXTDZ($A$1,$B58,AS$5,$B$1)</f>
        <v>0</v>
      </c>
      <c r="AT58" s="55">
        <f>_xll.EQNXTDZ($A$1,$B58,AT$5,$B$1)</f>
        <v>764.99199999999996</v>
      </c>
      <c r="AU58" s="55">
        <f>_xll.EQNXTDZ($A$1,$B58,AU$5,$B$1)</f>
        <v>0</v>
      </c>
      <c r="AV58" s="55">
        <f>_xll.EQNXTDZ($A$1,$B58,AV$5,$B$1)</f>
        <v>832.40599999999995</v>
      </c>
      <c r="AW58" s="55">
        <f>_xll.EQNXTDZ($A$1,$B58,AW$5,$B$1)</f>
        <v>0</v>
      </c>
      <c r="AX58" s="55">
        <f>_xll.EQNXTDZ($A$1,$B58,AX$5,$B$1)</f>
        <v>878.87</v>
      </c>
      <c r="AY58" s="55">
        <f>_xll.EQNXTDZ($A$1,$B58,AY$5,$B$1)</f>
        <v>0</v>
      </c>
      <c r="AZ58" s="55">
        <f>_xll.EQNXTDZ($A$1,$B58,AZ$5,$B$1)</f>
        <v>1157.9580000000001</v>
      </c>
      <c r="BA58" s="55">
        <f>_xll.EQNXTDZ($A$1,$B58,BA$5,$B$1)</f>
        <v>0</v>
      </c>
      <c r="BB58" s="55">
        <f>_xll.EQNXTDZ($A$1,$B58,BB$5,$B$1)</f>
        <v>1169.298</v>
      </c>
      <c r="BC58" s="55">
        <f>_xll.EQNXTDZ($A$1,$B58,BC$5,$B$1)</f>
        <v>0</v>
      </c>
      <c r="BD58" s="55">
        <f>_xll.EQNXTDZ($A$1,$B58,BD$5,$B$1)</f>
        <v>1185.7750000000001</v>
      </c>
      <c r="BE58" s="55">
        <f>_xll.EQNXTDZ($A$1,$B58,BE$5,$B$1)</f>
        <v>0</v>
      </c>
      <c r="BF58" s="55">
        <f>_xll.EQNXTDZ($A$1,$B58,BF$5,$B$1)</f>
        <v>1224.31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64.007999999999996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104.666</v>
      </c>
      <c r="W59" s="55">
        <f>_xll.EQNXTDZ($A$1,$B59,W$5,$B$1)</f>
        <v>0</v>
      </c>
      <c r="X59" s="55">
        <f>_xll.EQNXTDZ($A$1,$B59,X$5,$B$1)</f>
        <v>264.11700000000002</v>
      </c>
      <c r="Y59" s="55">
        <f>_xll.EQNXTDZ($A$1,$B59,Y$5,$B$1)</f>
        <v>0</v>
      </c>
      <c r="Z59" s="55">
        <f>_xll.EQNXTDZ($A$1,$B59,Z$5,$B$1)</f>
        <v>301.41199999999998</v>
      </c>
      <c r="AA59" s="55">
        <f>_xll.EQNXTDZ($A$1,$B59,AA$5,$B$1)</f>
        <v>0</v>
      </c>
      <c r="AB59" s="55">
        <f>_xll.EQNXTDZ($A$1,$B59,AB$5,$B$1)</f>
        <v>319.85300000000001</v>
      </c>
      <c r="AC59" s="55">
        <f>_xll.EQNXTDZ($A$1,$B59,AC$5,$B$1)</f>
        <v>0</v>
      </c>
      <c r="AD59" s="55">
        <f>_xll.EQNXTDZ($A$1,$B59,AD$5,$B$1)</f>
        <v>369.30700000000002</v>
      </c>
      <c r="AE59" s="55">
        <f>_xll.EQNXTDZ($A$1,$B59,AE$5,$B$1)</f>
        <v>0</v>
      </c>
      <c r="AF59" s="55">
        <f>_xll.EQNXTDZ($A$1,$B59,AF$5,$B$1)</f>
        <v>405.43299999999999</v>
      </c>
      <c r="AG59" s="55">
        <f>_xll.EQNXTDZ($A$1,$B59,AG$5,$B$1)</f>
        <v>0</v>
      </c>
      <c r="AH59" s="55">
        <f>_xll.EQNXTDZ($A$1,$B59,AH$5,$B$1)</f>
        <v>454.18200000000002</v>
      </c>
      <c r="AI59" s="55">
        <f>_xll.EQNXTDZ($A$1,$B59,AI$5,$B$1)</f>
        <v>0</v>
      </c>
      <c r="AJ59" s="55">
        <f>_xll.EQNXTDZ($A$1,$B59,AJ$5,$B$1)</f>
        <v>464.767</v>
      </c>
      <c r="AK59" s="55">
        <f>_xll.EQNXTDZ($A$1,$B59,AK$5,$B$1)</f>
        <v>0</v>
      </c>
      <c r="AL59" s="55">
        <f>_xll.EQNXTDZ($A$1,$B59,AL$5,$B$1)</f>
        <v>535.9</v>
      </c>
      <c r="AM59" s="55">
        <f>_xll.EQNXTDZ($A$1,$B59,AM$5,$B$1)</f>
        <v>0</v>
      </c>
      <c r="AN59" s="55">
        <f>_xll.EQNXTDZ($A$1,$B59,AN$5,$B$1)</f>
        <v>582.827</v>
      </c>
      <c r="AO59" s="55">
        <f>_xll.EQNXTDZ($A$1,$B59,AO$5,$B$1)</f>
        <v>0</v>
      </c>
      <c r="AP59" s="55">
        <f>_xll.EQNXTDZ($A$1,$B59,AP$5,$B$1)</f>
        <v>686.95899999999995</v>
      </c>
      <c r="AQ59" s="55">
        <f>_xll.EQNXTDZ($A$1,$B59,AQ$5,$B$1)</f>
        <v>0</v>
      </c>
      <c r="AR59" s="55">
        <f>_xll.EQNXTDZ($A$1,$B59,AR$5,$B$1)</f>
        <v>719.58900000000006</v>
      </c>
      <c r="AS59" s="55">
        <f>_xll.EQNXTDZ($A$1,$B59,AS$5,$B$1)</f>
        <v>0</v>
      </c>
      <c r="AT59" s="55">
        <f>_xll.EQNXTDZ($A$1,$B59,AT$5,$B$1)</f>
        <v>800.99199999999996</v>
      </c>
      <c r="AU59" s="55">
        <f>_xll.EQNXTDZ($A$1,$B59,AU$5,$B$1)</f>
        <v>0</v>
      </c>
      <c r="AV59" s="55">
        <f>_xll.EQNXTDZ($A$1,$B59,AV$5,$B$1)</f>
        <v>868.40599999999995</v>
      </c>
      <c r="AW59" s="55">
        <f>_xll.EQNXTDZ($A$1,$B59,AW$5,$B$1)</f>
        <v>0</v>
      </c>
      <c r="AX59" s="55">
        <f>_xll.EQNXTDZ($A$1,$B59,AX$5,$B$1)</f>
        <v>914.87</v>
      </c>
      <c r="AY59" s="55">
        <f>_xll.EQNXTDZ($A$1,$B59,AY$5,$B$1)</f>
        <v>0</v>
      </c>
      <c r="AZ59" s="55">
        <f>_xll.EQNXTDZ($A$1,$B59,AZ$5,$B$1)</f>
        <v>1197.5999999999999</v>
      </c>
      <c r="BA59" s="55">
        <f>_xll.EQNXTDZ($A$1,$B59,BA$5,$B$1)</f>
        <v>0</v>
      </c>
      <c r="BB59" s="55">
        <f>_xll.EQNXTDZ($A$1,$B59,BB$5,$B$1)</f>
        <v>1208.94</v>
      </c>
      <c r="BC59" s="55">
        <f>_xll.EQNXTDZ($A$1,$B59,BC$5,$B$1)</f>
        <v>0</v>
      </c>
      <c r="BD59" s="55">
        <f>_xll.EQNXTDZ($A$1,$B59,BD$5,$B$1)</f>
        <v>1225.4169999999999</v>
      </c>
      <c r="BE59" s="55">
        <f>_xll.EQNXTDZ($A$1,$B59,BE$5,$B$1)</f>
        <v>0</v>
      </c>
      <c r="BF59" s="55">
        <f>_xll.EQNXTDZ($A$1,$B59,BF$5,$B$1)</f>
        <v>1263.952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0.49199999999999999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0.60099999999999998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1.0760000000000001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0.85399999999999998</v>
      </c>
      <c r="AE60" s="55">
        <f>_xll.EQNXTDZ($A$1,$B60,AE$5,$B$1)</f>
        <v>0</v>
      </c>
      <c r="AF60" s="55">
        <f>_xll.EQNXTDZ($A$1,$B60,AF$5,$B$1)</f>
        <v>0.745</v>
      </c>
      <c r="AG60" s="55">
        <f>_xll.EQNXTDZ($A$1,$B60,AG$5,$B$1)</f>
        <v>0</v>
      </c>
      <c r="AH60" s="55">
        <f>_xll.EQNXTDZ($A$1,$B60,AH$5,$B$1)</f>
        <v>0.68700000000000006</v>
      </c>
      <c r="AI60" s="55">
        <f>_xll.EQNXTDZ($A$1,$B60,AI$5,$B$1)</f>
        <v>0</v>
      </c>
      <c r="AJ60" s="55">
        <f>_xll.EQNXTDZ($A$1,$B60,AJ$5,$B$1)</f>
        <v>0.56499999999999995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1.0409999999999999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3.3639999999999999</v>
      </c>
      <c r="W61" s="55">
        <f>_xll.EQNXTDZ($A$1,$B61,W$5,$B$1)</f>
        <v>0</v>
      </c>
      <c r="X61" s="55">
        <f>_xll.EQNXTDZ($A$1,$B61,X$5,$B$1)</f>
        <v>2.218</v>
      </c>
      <c r="Y61" s="55">
        <f>_xll.EQNXTDZ($A$1,$B61,Y$5,$B$1)</f>
        <v>0</v>
      </c>
      <c r="Z61" s="55">
        <f>_xll.EQNXTDZ($A$1,$B61,Z$5,$B$1)</f>
        <v>1.6850000000000001</v>
      </c>
      <c r="AA61" s="55">
        <f>_xll.EQNXTDZ($A$1,$B61,AA$5,$B$1)</f>
        <v>0</v>
      </c>
      <c r="AB61" s="55">
        <f>_xll.EQNXTDZ($A$1,$B61,AB$5,$B$1)</f>
        <v>0.79300000000000004</v>
      </c>
      <c r="AC61" s="55">
        <f>_xll.EQNXTDZ($A$1,$B61,AC$5,$B$1)</f>
        <v>0</v>
      </c>
      <c r="AD61" s="55">
        <f>_xll.EQNXTDZ($A$1,$B61,AD$5,$B$1)</f>
        <v>0.40899999999999997</v>
      </c>
      <c r="AE61" s="55">
        <f>_xll.EQNXTDZ($A$1,$B61,AE$5,$B$1)</f>
        <v>0</v>
      </c>
      <c r="AF61" s="55">
        <f>_xll.EQNXTDZ($A$1,$B61,AF$5,$B$1)</f>
        <v>0.218</v>
      </c>
      <c r="AG61" s="55">
        <f>_xll.EQNXTDZ($A$1,$B61,AG$5,$B$1)</f>
        <v>0</v>
      </c>
      <c r="AH61" s="55">
        <f>_xll.EQNXTDZ($A$1,$B61,AH$5,$B$1)</f>
        <v>4.0369999999999999</v>
      </c>
      <c r="AI61" s="55">
        <f>_xll.EQNXTDZ($A$1,$B61,AI$5,$B$1)</f>
        <v>0</v>
      </c>
      <c r="AJ61" s="55">
        <f>_xll.EQNXTDZ($A$1,$B61,AJ$5,$B$1)</f>
        <v>3.2959999999999998</v>
      </c>
      <c r="AK61" s="55">
        <f>_xll.EQNXTDZ($A$1,$B61,AK$5,$B$1)</f>
        <v>0</v>
      </c>
      <c r="AL61" s="55">
        <f>_xll.EQNXTDZ($A$1,$B61,AL$5,$B$1)</f>
        <v>2.7829999999999999</v>
      </c>
      <c r="AM61" s="55">
        <f>_xll.EQNXTDZ($A$1,$B61,AM$5,$B$1)</f>
        <v>0</v>
      </c>
      <c r="AN61" s="55">
        <f>_xll.EQNXTDZ($A$1,$B61,AN$5,$B$1)</f>
        <v>23.106999999999999</v>
      </c>
      <c r="AO61" s="55">
        <f>_xll.EQNXTDZ($A$1,$B61,AO$5,$B$1)</f>
        <v>0</v>
      </c>
      <c r="AP61" s="55">
        <f>_xll.EQNXTDZ($A$1,$B61,AP$5,$B$1)</f>
        <v>17.181000000000001</v>
      </c>
      <c r="AQ61" s="55">
        <f>_xll.EQNXTDZ($A$1,$B61,AQ$5,$B$1)</f>
        <v>0</v>
      </c>
      <c r="AR61" s="55">
        <f>_xll.EQNXTDZ($A$1,$B61,AR$5,$B$1)</f>
        <v>20.771999999999998</v>
      </c>
      <c r="AS61" s="55">
        <f>_xll.EQNXTDZ($A$1,$B61,AS$5,$B$1)</f>
        <v>0</v>
      </c>
      <c r="AT61" s="55">
        <f>_xll.EQNXTDZ($A$1,$B61,AT$5,$B$1)</f>
        <v>38.058</v>
      </c>
      <c r="AU61" s="55">
        <f>_xll.EQNXTDZ($A$1,$B61,AU$5,$B$1)</f>
        <v>0</v>
      </c>
      <c r="AV61" s="55">
        <f>_xll.EQNXTDZ($A$1,$B61,AV$5,$B$1)</f>
        <v>22.501000000000001</v>
      </c>
      <c r="AW61" s="55">
        <f>_xll.EQNXTDZ($A$1,$B61,AW$5,$B$1)</f>
        <v>0</v>
      </c>
      <c r="AX61" s="55">
        <f>_xll.EQNXTDZ($A$1,$B61,AX$5,$B$1)</f>
        <v>41.698999999999998</v>
      </c>
      <c r="AY61" s="55">
        <f>_xll.EQNXTDZ($A$1,$B61,AY$5,$B$1)</f>
        <v>0</v>
      </c>
      <c r="AZ61" s="55">
        <f>_xll.EQNXTDZ($A$1,$B61,AZ$5,$B$1)</f>
        <v>27.856000000000002</v>
      </c>
      <c r="BA61" s="55">
        <f>_xll.EQNXTDZ($A$1,$B61,BA$5,$B$1)</f>
        <v>0</v>
      </c>
      <c r="BB61" s="55">
        <f>_xll.EQNXTDZ($A$1,$B61,BB$5,$B$1)</f>
        <v>18.417999999999999</v>
      </c>
      <c r="BC61" s="55">
        <f>_xll.EQNXTDZ($A$1,$B61,BC$5,$B$1)</f>
        <v>0</v>
      </c>
      <c r="BD61" s="55">
        <f>_xll.EQNXTDZ($A$1,$B61,BD$5,$B$1)</f>
        <v>9.4700000000000006</v>
      </c>
      <c r="BE61" s="55">
        <f>_xll.EQNXTDZ($A$1,$B61,BE$5,$B$1)</f>
        <v>0</v>
      </c>
      <c r="BF61" s="55">
        <f>_xll.EQNXTDZ($A$1,$B61,BF$5,$B$1)</f>
        <v>22.831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1.0409999999999999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3.3639999999999999</v>
      </c>
      <c r="W63" s="55">
        <f>_xll.EQNXTDZ($A$1,$B63,W$5,$B$1)</f>
        <v>0</v>
      </c>
      <c r="X63" s="55">
        <f>_xll.EQNXTDZ($A$1,$B63,X$5,$B$1)</f>
        <v>2.218</v>
      </c>
      <c r="Y63" s="55">
        <f>_xll.EQNXTDZ($A$1,$B63,Y$5,$B$1)</f>
        <v>0</v>
      </c>
      <c r="Z63" s="55">
        <f>_xll.EQNXTDZ($A$1,$B63,Z$5,$B$1)</f>
        <v>1.6850000000000001</v>
      </c>
      <c r="AA63" s="55">
        <f>_xll.EQNXTDZ($A$1,$B63,AA$5,$B$1)</f>
        <v>0</v>
      </c>
      <c r="AB63" s="55">
        <f>_xll.EQNXTDZ($A$1,$B63,AB$5,$B$1)</f>
        <v>0.79300000000000004</v>
      </c>
      <c r="AC63" s="55">
        <f>_xll.EQNXTDZ($A$1,$B63,AC$5,$B$1)</f>
        <v>0</v>
      </c>
      <c r="AD63" s="55">
        <f>_xll.EQNXTDZ($A$1,$B63,AD$5,$B$1)</f>
        <v>0.40899999999999997</v>
      </c>
      <c r="AE63" s="55">
        <f>_xll.EQNXTDZ($A$1,$B63,AE$5,$B$1)</f>
        <v>0</v>
      </c>
      <c r="AF63" s="55">
        <f>_xll.EQNXTDZ($A$1,$B63,AF$5,$B$1)</f>
        <v>0.218</v>
      </c>
      <c r="AG63" s="55">
        <f>_xll.EQNXTDZ($A$1,$B63,AG$5,$B$1)</f>
        <v>0</v>
      </c>
      <c r="AH63" s="55">
        <f>_xll.EQNXTDZ($A$1,$B63,AH$5,$B$1)</f>
        <v>4.0369999999999999</v>
      </c>
      <c r="AI63" s="55">
        <f>_xll.EQNXTDZ($A$1,$B63,AI$5,$B$1)</f>
        <v>0</v>
      </c>
      <c r="AJ63" s="55">
        <f>_xll.EQNXTDZ($A$1,$B63,AJ$5,$B$1)</f>
        <v>3.2959999999999998</v>
      </c>
      <c r="AK63" s="55">
        <f>_xll.EQNXTDZ($A$1,$B63,AK$5,$B$1)</f>
        <v>0</v>
      </c>
      <c r="AL63" s="55">
        <f>_xll.EQNXTDZ($A$1,$B63,AL$5,$B$1)</f>
        <v>2.7829999999999999</v>
      </c>
      <c r="AM63" s="55">
        <f>_xll.EQNXTDZ($A$1,$B63,AM$5,$B$1)</f>
        <v>0</v>
      </c>
      <c r="AN63" s="55">
        <f>_xll.EQNXTDZ($A$1,$B63,AN$5,$B$1)</f>
        <v>23.106999999999999</v>
      </c>
      <c r="AO63" s="55">
        <f>_xll.EQNXTDZ($A$1,$B63,AO$5,$B$1)</f>
        <v>0</v>
      </c>
      <c r="AP63" s="55">
        <f>_xll.EQNXTDZ($A$1,$B63,AP$5,$B$1)</f>
        <v>17.181000000000001</v>
      </c>
      <c r="AQ63" s="55">
        <f>_xll.EQNXTDZ($A$1,$B63,AQ$5,$B$1)</f>
        <v>0</v>
      </c>
      <c r="AR63" s="55">
        <f>_xll.EQNXTDZ($A$1,$B63,AR$5,$B$1)</f>
        <v>20.771999999999998</v>
      </c>
      <c r="AS63" s="55">
        <f>_xll.EQNXTDZ($A$1,$B63,AS$5,$B$1)</f>
        <v>0</v>
      </c>
      <c r="AT63" s="55">
        <f>_xll.EQNXTDZ($A$1,$B63,AT$5,$B$1)</f>
        <v>38.058</v>
      </c>
      <c r="AU63" s="55">
        <f>_xll.EQNXTDZ($A$1,$B63,AU$5,$B$1)</f>
        <v>0</v>
      </c>
      <c r="AV63" s="55">
        <f>_xll.EQNXTDZ($A$1,$B63,AV$5,$B$1)</f>
        <v>22.501000000000001</v>
      </c>
      <c r="AW63" s="55">
        <f>_xll.EQNXTDZ($A$1,$B63,AW$5,$B$1)</f>
        <v>0</v>
      </c>
      <c r="AX63" s="55">
        <f>_xll.EQNXTDZ($A$1,$B63,AX$5,$B$1)</f>
        <v>41.698999999999998</v>
      </c>
      <c r="AY63" s="55">
        <f>_xll.EQNXTDZ($A$1,$B63,AY$5,$B$1)</f>
        <v>0</v>
      </c>
      <c r="AZ63" s="55">
        <f>_xll.EQNXTDZ($A$1,$B63,AZ$5,$B$1)</f>
        <v>27.856000000000002</v>
      </c>
      <c r="BA63" s="55">
        <f>_xll.EQNXTDZ($A$1,$B63,BA$5,$B$1)</f>
        <v>0</v>
      </c>
      <c r="BB63" s="55">
        <f>_xll.EQNXTDZ($A$1,$B63,BB$5,$B$1)</f>
        <v>18.417999999999999</v>
      </c>
      <c r="BC63" s="55">
        <f>_xll.EQNXTDZ($A$1,$B63,BC$5,$B$1)</f>
        <v>0</v>
      </c>
      <c r="BD63" s="55">
        <f>_xll.EQNXTDZ($A$1,$B63,BD$5,$B$1)</f>
        <v>9.4700000000000006</v>
      </c>
      <c r="BE63" s="55">
        <f>_xll.EQNXTDZ($A$1,$B63,BE$5,$B$1)</f>
        <v>0</v>
      </c>
      <c r="BF63" s="55">
        <f>_xll.EQNXTDZ($A$1,$B63,BF$5,$B$1)</f>
        <v>22.831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11.803000000000001</v>
      </c>
      <c r="BE64" s="55">
        <f>_xll.EQNXTDZ($A$1,$B64,BE$5,$B$1)</f>
        <v>0</v>
      </c>
      <c r="BF64" s="55">
        <f>_xll.EQNXTDZ($A$1,$B64,BF$5,$B$1)</f>
        <v>10.49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0.59199999999999997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0.93</v>
      </c>
      <c r="W66" s="55">
        <f>_xll.EQNXTDZ($A$1,$B66,W$5,$B$1)</f>
        <v>0</v>
      </c>
      <c r="X66" s="55">
        <f>_xll.EQNXTDZ($A$1,$B66,X$5,$B$1)</f>
        <v>0.14699999999999999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0.39800000000000002</v>
      </c>
      <c r="AI66" s="55">
        <f>_xll.EQNXTDZ($A$1,$B66,AI$5,$B$1)</f>
        <v>0</v>
      </c>
      <c r="AJ66" s="55">
        <f>_xll.EQNXTDZ($A$1,$B66,AJ$5,$B$1)</f>
        <v>0.69799999999999995</v>
      </c>
      <c r="AK66" s="55">
        <f>_xll.EQNXTDZ($A$1,$B66,AK$5,$B$1)</f>
        <v>0</v>
      </c>
      <c r="AL66" s="55">
        <f>_xll.EQNXTDZ($A$1,$B66,AL$5,$B$1)</f>
        <v>0.79</v>
      </c>
      <c r="AM66" s="55">
        <f>_xll.EQNXTDZ($A$1,$B66,AM$5,$B$1)</f>
        <v>0</v>
      </c>
      <c r="AN66" s="55">
        <f>_xll.EQNXTDZ($A$1,$B66,AN$5,$B$1)</f>
        <v>1.357</v>
      </c>
      <c r="AO66" s="55">
        <f>_xll.EQNXTDZ($A$1,$B66,AO$5,$B$1)</f>
        <v>0</v>
      </c>
      <c r="AP66" s="55">
        <f>_xll.EQNXTDZ($A$1,$B66,AP$5,$B$1)</f>
        <v>1.5189999999999999</v>
      </c>
      <c r="AQ66" s="55">
        <f>_xll.EQNXTDZ($A$1,$B66,AQ$5,$B$1)</f>
        <v>0</v>
      </c>
      <c r="AR66" s="55">
        <f>_xll.EQNXTDZ($A$1,$B66,AR$5,$B$1)</f>
        <v>2.1259999999999999</v>
      </c>
      <c r="AS66" s="55">
        <f>_xll.EQNXTDZ($A$1,$B66,AS$5,$B$1)</f>
        <v>0</v>
      </c>
      <c r="AT66" s="55">
        <f>_xll.EQNXTDZ($A$1,$B66,AT$5,$B$1)</f>
        <v>2.1379999999999999</v>
      </c>
      <c r="AU66" s="55">
        <f>_xll.EQNXTDZ($A$1,$B66,AU$5,$B$1)</f>
        <v>0</v>
      </c>
      <c r="AV66" s="55">
        <f>_xll.EQNXTDZ($A$1,$B66,AV$5,$B$1)</f>
        <v>1.9690000000000001</v>
      </c>
      <c r="AW66" s="55">
        <f>_xll.EQNXTDZ($A$1,$B66,AW$5,$B$1)</f>
        <v>0</v>
      </c>
      <c r="AX66" s="55">
        <f>_xll.EQNXTDZ($A$1,$B66,AX$5,$B$1)</f>
        <v>2.6640000000000001</v>
      </c>
      <c r="AY66" s="55">
        <f>_xll.EQNXTDZ($A$1,$B66,AY$5,$B$1)</f>
        <v>0</v>
      </c>
      <c r="AZ66" s="55">
        <f>_xll.EQNXTDZ($A$1,$B66,AZ$5,$B$1)</f>
        <v>4.6779999999999999</v>
      </c>
      <c r="BA66" s="55">
        <f>_xll.EQNXTDZ($A$1,$B66,BA$5,$B$1)</f>
        <v>0</v>
      </c>
      <c r="BB66" s="55">
        <f>_xll.EQNXTDZ($A$1,$B66,BB$5,$B$1)</f>
        <v>2.8879999999999999</v>
      </c>
      <c r="BC66" s="55">
        <f>_xll.EQNXTDZ($A$1,$B66,BC$5,$B$1)</f>
        <v>0</v>
      </c>
      <c r="BD66" s="55">
        <f>_xll.EQNXTDZ($A$1,$B66,BD$5,$B$1)</f>
        <v>1.841</v>
      </c>
      <c r="BE66" s="55">
        <f>_xll.EQNXTDZ($A$1,$B66,BE$5,$B$1)</f>
        <v>0</v>
      </c>
      <c r="BF66" s="55">
        <f>_xll.EQNXTDZ($A$1,$B66,BF$5,$B$1)</f>
        <v>3.0310000000000001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66.132999999999996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109.56100000000001</v>
      </c>
      <c r="W67" s="55">
        <f>_xll.EQNXTDZ($A$1,$B67,W$5,$B$1)</f>
        <v>0</v>
      </c>
      <c r="X67" s="55">
        <f>_xll.EQNXTDZ($A$1,$B67,X$5,$B$1)</f>
        <v>266.48200000000003</v>
      </c>
      <c r="Y67" s="55">
        <f>_xll.EQNXTDZ($A$1,$B67,Y$5,$B$1)</f>
        <v>0</v>
      </c>
      <c r="Z67" s="55">
        <f>_xll.EQNXTDZ($A$1,$B67,Z$5,$B$1)</f>
        <v>304.173</v>
      </c>
      <c r="AA67" s="55">
        <f>_xll.EQNXTDZ($A$1,$B67,AA$5,$B$1)</f>
        <v>0</v>
      </c>
      <c r="AB67" s="55">
        <f>_xll.EQNXTDZ($A$1,$B67,AB$5,$B$1)</f>
        <v>320.64600000000002</v>
      </c>
      <c r="AC67" s="55">
        <f>_xll.EQNXTDZ($A$1,$B67,AC$5,$B$1)</f>
        <v>0</v>
      </c>
      <c r="AD67" s="55">
        <f>_xll.EQNXTDZ($A$1,$B67,AD$5,$B$1)</f>
        <v>370.57</v>
      </c>
      <c r="AE67" s="55">
        <f>_xll.EQNXTDZ($A$1,$B67,AE$5,$B$1)</f>
        <v>0</v>
      </c>
      <c r="AF67" s="55">
        <f>_xll.EQNXTDZ($A$1,$B67,AF$5,$B$1)</f>
        <v>406.39600000000002</v>
      </c>
      <c r="AG67" s="55">
        <f>_xll.EQNXTDZ($A$1,$B67,AG$5,$B$1)</f>
        <v>0</v>
      </c>
      <c r="AH67" s="55">
        <f>_xll.EQNXTDZ($A$1,$B67,AH$5,$B$1)</f>
        <v>459.30399999999997</v>
      </c>
      <c r="AI67" s="55">
        <f>_xll.EQNXTDZ($A$1,$B67,AI$5,$B$1)</f>
        <v>0</v>
      </c>
      <c r="AJ67" s="55">
        <f>_xll.EQNXTDZ($A$1,$B67,AJ$5,$B$1)</f>
        <v>469.32600000000002</v>
      </c>
      <c r="AK67" s="55">
        <f>_xll.EQNXTDZ($A$1,$B67,AK$5,$B$1)</f>
        <v>0</v>
      </c>
      <c r="AL67" s="55">
        <f>_xll.EQNXTDZ($A$1,$B67,AL$5,$B$1)</f>
        <v>539.47299999999996</v>
      </c>
      <c r="AM67" s="55">
        <f>_xll.EQNXTDZ($A$1,$B67,AM$5,$B$1)</f>
        <v>0</v>
      </c>
      <c r="AN67" s="55">
        <f>_xll.EQNXTDZ($A$1,$B67,AN$5,$B$1)</f>
        <v>607.29100000000005</v>
      </c>
      <c r="AO67" s="55">
        <f>_xll.EQNXTDZ($A$1,$B67,AO$5,$B$1)</f>
        <v>0</v>
      </c>
      <c r="AP67" s="55">
        <f>_xll.EQNXTDZ($A$1,$B67,AP$5,$B$1)</f>
        <v>705.65899999999999</v>
      </c>
      <c r="AQ67" s="55">
        <f>_xll.EQNXTDZ($A$1,$B67,AQ$5,$B$1)</f>
        <v>0</v>
      </c>
      <c r="AR67" s="55">
        <f>_xll.EQNXTDZ($A$1,$B67,AR$5,$B$1)</f>
        <v>742.48699999999997</v>
      </c>
      <c r="AS67" s="55">
        <f>_xll.EQNXTDZ($A$1,$B67,AS$5,$B$1)</f>
        <v>0</v>
      </c>
      <c r="AT67" s="55">
        <f>_xll.EQNXTDZ($A$1,$B67,AT$5,$B$1)</f>
        <v>841.18799999999999</v>
      </c>
      <c r="AU67" s="55">
        <f>_xll.EQNXTDZ($A$1,$B67,AU$5,$B$1)</f>
        <v>0</v>
      </c>
      <c r="AV67" s="55">
        <f>_xll.EQNXTDZ($A$1,$B67,AV$5,$B$1)</f>
        <v>892.87599999999998</v>
      </c>
      <c r="AW67" s="55">
        <f>_xll.EQNXTDZ($A$1,$B67,AW$5,$B$1)</f>
        <v>0</v>
      </c>
      <c r="AX67" s="55">
        <f>_xll.EQNXTDZ($A$1,$B67,AX$5,$B$1)</f>
        <v>959.23299999999995</v>
      </c>
      <c r="AY67" s="55">
        <f>_xll.EQNXTDZ($A$1,$B67,AY$5,$B$1)</f>
        <v>0</v>
      </c>
      <c r="AZ67" s="55">
        <f>_xll.EQNXTDZ($A$1,$B67,AZ$5,$B$1)</f>
        <v>1230.134</v>
      </c>
      <c r="BA67" s="55">
        <f>_xll.EQNXTDZ($A$1,$B67,BA$5,$B$1)</f>
        <v>0</v>
      </c>
      <c r="BB67" s="55">
        <f>_xll.EQNXTDZ($A$1,$B67,BB$5,$B$1)</f>
        <v>1230.2460000000001</v>
      </c>
      <c r="BC67" s="55">
        <f>_xll.EQNXTDZ($A$1,$B67,BC$5,$B$1)</f>
        <v>0</v>
      </c>
      <c r="BD67" s="55">
        <f>_xll.EQNXTDZ($A$1,$B67,BD$5,$B$1)</f>
        <v>1248.5309999999999</v>
      </c>
      <c r="BE67" s="55">
        <f>_xll.EQNXTDZ($A$1,$B67,BE$5,$B$1)</f>
        <v>0</v>
      </c>
      <c r="BF67" s="55">
        <f>_xll.EQNXTDZ($A$1,$B67,BF$5,$B$1)</f>
        <v>1300.3040000000001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53.616999999999997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52.100999999999999</v>
      </c>
      <c r="W68" s="55">
        <f>_xll.EQNXTDZ($A$1,$B68,W$5,$B$1)</f>
        <v>0</v>
      </c>
      <c r="X68" s="55">
        <f>_xll.EQNXTDZ($A$1,$B68,X$5,$B$1)</f>
        <v>39.994</v>
      </c>
      <c r="Y68" s="55">
        <f>_xll.EQNXTDZ($A$1,$B68,Y$5,$B$1)</f>
        <v>0</v>
      </c>
      <c r="Z68" s="55">
        <f>_xll.EQNXTDZ($A$1,$B68,Z$5,$B$1)</f>
        <v>78.081000000000003</v>
      </c>
      <c r="AA68" s="55">
        <f>_xll.EQNXTDZ($A$1,$B68,AA$5,$B$1)</f>
        <v>0</v>
      </c>
      <c r="AB68" s="55">
        <f>_xll.EQNXTDZ($A$1,$B68,AB$5,$B$1)</f>
        <v>99.528999999999996</v>
      </c>
      <c r="AC68" s="55">
        <f>_xll.EQNXTDZ($A$1,$B68,AC$5,$B$1)</f>
        <v>0</v>
      </c>
      <c r="AD68" s="55">
        <f>_xll.EQNXTDZ($A$1,$B68,AD$5,$B$1)</f>
        <v>103.184</v>
      </c>
      <c r="AE68" s="55">
        <f>_xll.EQNXTDZ($A$1,$B68,AE$5,$B$1)</f>
        <v>0</v>
      </c>
      <c r="AF68" s="55">
        <f>_xll.EQNXTDZ($A$1,$B68,AF$5,$B$1)</f>
        <v>99.855999999999995</v>
      </c>
      <c r="AG68" s="55">
        <f>_xll.EQNXTDZ($A$1,$B68,AG$5,$B$1)</f>
        <v>0</v>
      </c>
      <c r="AH68" s="55">
        <f>_xll.EQNXTDZ($A$1,$B68,AH$5,$B$1)</f>
        <v>107.89</v>
      </c>
      <c r="AI68" s="55">
        <f>_xll.EQNXTDZ($A$1,$B68,AI$5,$B$1)</f>
        <v>0</v>
      </c>
      <c r="AJ68" s="55">
        <f>_xll.EQNXTDZ($A$1,$B68,AJ$5,$B$1)</f>
        <v>128.096</v>
      </c>
      <c r="AK68" s="55">
        <f>_xll.EQNXTDZ($A$1,$B68,AK$5,$B$1)</f>
        <v>0</v>
      </c>
      <c r="AL68" s="55">
        <f>_xll.EQNXTDZ($A$1,$B68,AL$5,$B$1)</f>
        <v>116.18600000000001</v>
      </c>
      <c r="AM68" s="55">
        <f>_xll.EQNXTDZ($A$1,$B68,AM$5,$B$1)</f>
        <v>0</v>
      </c>
      <c r="AN68" s="55">
        <f>_xll.EQNXTDZ($A$1,$B68,AN$5,$B$1)</f>
        <v>146.47399999999999</v>
      </c>
      <c r="AO68" s="55">
        <f>_xll.EQNXTDZ($A$1,$B68,AO$5,$B$1)</f>
        <v>0</v>
      </c>
      <c r="AP68" s="55">
        <f>_xll.EQNXTDZ($A$1,$B68,AP$5,$B$1)</f>
        <v>207.37100000000001</v>
      </c>
      <c r="AQ68" s="55">
        <f>_xll.EQNXTDZ($A$1,$B68,AQ$5,$B$1)</f>
        <v>0</v>
      </c>
      <c r="AR68" s="55">
        <f>_xll.EQNXTDZ($A$1,$B68,AR$5,$B$1)</f>
        <v>199.273</v>
      </c>
      <c r="AS68" s="55">
        <f>_xll.EQNXTDZ($A$1,$B68,AS$5,$B$1)</f>
        <v>0</v>
      </c>
      <c r="AT68" s="55">
        <f>_xll.EQNXTDZ($A$1,$B68,AT$5,$B$1)</f>
        <v>239.595</v>
      </c>
      <c r="AU68" s="55">
        <f>_xll.EQNXTDZ($A$1,$B68,AU$5,$B$1)</f>
        <v>0</v>
      </c>
      <c r="AV68" s="55">
        <f>_xll.EQNXTDZ($A$1,$B68,AV$5,$B$1)</f>
        <v>310.61500000000001</v>
      </c>
      <c r="AW68" s="55">
        <f>_xll.EQNXTDZ($A$1,$B68,AW$5,$B$1)</f>
        <v>0</v>
      </c>
      <c r="AX68" s="55">
        <f>_xll.EQNXTDZ($A$1,$B68,AX$5,$B$1)</f>
        <v>321.83100000000002</v>
      </c>
      <c r="AY68" s="55">
        <f>_xll.EQNXTDZ($A$1,$B68,AY$5,$B$1)</f>
        <v>0</v>
      </c>
      <c r="AZ68" s="55">
        <f>_xll.EQNXTDZ($A$1,$B68,AZ$5,$B$1)</f>
        <v>316.267</v>
      </c>
      <c r="BA68" s="55">
        <f>_xll.EQNXTDZ($A$1,$B68,BA$5,$B$1)</f>
        <v>0</v>
      </c>
      <c r="BB68" s="55">
        <f>_xll.EQNXTDZ($A$1,$B68,BB$5,$B$1)</f>
        <v>307.327</v>
      </c>
      <c r="BC68" s="55">
        <f>_xll.EQNXTDZ($A$1,$B68,BC$5,$B$1)</f>
        <v>0</v>
      </c>
      <c r="BD68" s="55">
        <f>_xll.EQNXTDZ($A$1,$B68,BD$5,$B$1)</f>
        <v>359.50799999999998</v>
      </c>
      <c r="BE68" s="55">
        <f>_xll.EQNXTDZ($A$1,$B68,BE$5,$B$1)</f>
        <v>0</v>
      </c>
      <c r="BF68" s="55">
        <f>_xll.EQNXTDZ($A$1,$B68,BF$5,$B$1)</f>
        <v>413.08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53.616999999999997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52.100999999999999</v>
      </c>
      <c r="W71" s="55">
        <f>_xll.EQNXTDZ($A$1,$B71,W$5,$B$1)</f>
        <v>0</v>
      </c>
      <c r="X71" s="55">
        <f>_xll.EQNXTDZ($A$1,$B71,X$5,$B$1)</f>
        <v>39.994</v>
      </c>
      <c r="Y71" s="55">
        <f>_xll.EQNXTDZ($A$1,$B71,Y$5,$B$1)</f>
        <v>0</v>
      </c>
      <c r="Z71" s="55">
        <f>_xll.EQNXTDZ($A$1,$B71,Z$5,$B$1)</f>
        <v>78.081000000000003</v>
      </c>
      <c r="AA71" s="55">
        <f>_xll.EQNXTDZ($A$1,$B71,AA$5,$B$1)</f>
        <v>0</v>
      </c>
      <c r="AB71" s="55">
        <f>_xll.EQNXTDZ($A$1,$B71,AB$5,$B$1)</f>
        <v>99.528999999999996</v>
      </c>
      <c r="AC71" s="55">
        <f>_xll.EQNXTDZ($A$1,$B71,AC$5,$B$1)</f>
        <v>0</v>
      </c>
      <c r="AD71" s="55">
        <f>_xll.EQNXTDZ($A$1,$B71,AD$5,$B$1)</f>
        <v>103.184</v>
      </c>
      <c r="AE71" s="55">
        <f>_xll.EQNXTDZ($A$1,$B71,AE$5,$B$1)</f>
        <v>0</v>
      </c>
      <c r="AF71" s="55">
        <f>_xll.EQNXTDZ($A$1,$B71,AF$5,$B$1)</f>
        <v>99.855999999999995</v>
      </c>
      <c r="AG71" s="55">
        <f>_xll.EQNXTDZ($A$1,$B71,AG$5,$B$1)</f>
        <v>0</v>
      </c>
      <c r="AH71" s="55">
        <f>_xll.EQNXTDZ($A$1,$B71,AH$5,$B$1)</f>
        <v>107.89</v>
      </c>
      <c r="AI71" s="55">
        <f>_xll.EQNXTDZ($A$1,$B71,AI$5,$B$1)</f>
        <v>0</v>
      </c>
      <c r="AJ71" s="55">
        <f>_xll.EQNXTDZ($A$1,$B71,AJ$5,$B$1)</f>
        <v>128.096</v>
      </c>
      <c r="AK71" s="55">
        <f>_xll.EQNXTDZ($A$1,$B71,AK$5,$B$1)</f>
        <v>0</v>
      </c>
      <c r="AL71" s="55">
        <f>_xll.EQNXTDZ($A$1,$B71,AL$5,$B$1)</f>
        <v>116.18600000000001</v>
      </c>
      <c r="AM71" s="55">
        <f>_xll.EQNXTDZ($A$1,$B71,AM$5,$B$1)</f>
        <v>0</v>
      </c>
      <c r="AN71" s="55">
        <f>_xll.EQNXTDZ($A$1,$B71,AN$5,$B$1)</f>
        <v>146.47399999999999</v>
      </c>
      <c r="AO71" s="55">
        <f>_xll.EQNXTDZ($A$1,$B71,AO$5,$B$1)</f>
        <v>0</v>
      </c>
      <c r="AP71" s="55">
        <f>_xll.EQNXTDZ($A$1,$B71,AP$5,$B$1)</f>
        <v>207.37100000000001</v>
      </c>
      <c r="AQ71" s="55">
        <f>_xll.EQNXTDZ($A$1,$B71,AQ$5,$B$1)</f>
        <v>0</v>
      </c>
      <c r="AR71" s="55">
        <f>_xll.EQNXTDZ($A$1,$B71,AR$5,$B$1)</f>
        <v>199.273</v>
      </c>
      <c r="AS71" s="55">
        <f>_xll.EQNXTDZ($A$1,$B71,AS$5,$B$1)</f>
        <v>0</v>
      </c>
      <c r="AT71" s="55">
        <f>_xll.EQNXTDZ($A$1,$B71,AT$5,$B$1)</f>
        <v>239.595</v>
      </c>
      <c r="AU71" s="55">
        <f>_xll.EQNXTDZ($A$1,$B71,AU$5,$B$1)</f>
        <v>0</v>
      </c>
      <c r="AV71" s="55">
        <f>_xll.EQNXTDZ($A$1,$B71,AV$5,$B$1)</f>
        <v>310.61500000000001</v>
      </c>
      <c r="AW71" s="55">
        <f>_xll.EQNXTDZ($A$1,$B71,AW$5,$B$1)</f>
        <v>0</v>
      </c>
      <c r="AX71" s="55">
        <f>_xll.EQNXTDZ($A$1,$B71,AX$5,$B$1)</f>
        <v>321.83100000000002</v>
      </c>
      <c r="AY71" s="55">
        <f>_xll.EQNXTDZ($A$1,$B71,AY$5,$B$1)</f>
        <v>0</v>
      </c>
      <c r="AZ71" s="55">
        <f>_xll.EQNXTDZ($A$1,$B71,AZ$5,$B$1)</f>
        <v>316.267</v>
      </c>
      <c r="BA71" s="55">
        <f>_xll.EQNXTDZ($A$1,$B71,BA$5,$B$1)</f>
        <v>0</v>
      </c>
      <c r="BB71" s="55">
        <f>_xll.EQNXTDZ($A$1,$B71,BB$5,$B$1)</f>
        <v>307.327</v>
      </c>
      <c r="BC71" s="55">
        <f>_xll.EQNXTDZ($A$1,$B71,BC$5,$B$1)</f>
        <v>0</v>
      </c>
      <c r="BD71" s="55">
        <f>_xll.EQNXTDZ($A$1,$B71,BD$5,$B$1)</f>
        <v>359.50799999999998</v>
      </c>
      <c r="BE71" s="55">
        <f>_xll.EQNXTDZ($A$1,$B71,BE$5,$B$1)</f>
        <v>0</v>
      </c>
      <c r="BF71" s="55">
        <f>_xll.EQNXTDZ($A$1,$B71,BF$5,$B$1)</f>
        <v>413.08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8.9999999999999993E-3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0.52900000000000003</v>
      </c>
      <c r="Y74" s="55">
        <f>_xll.EQNXTDZ($A$1,$B74,Y$5,$B$1)</f>
        <v>0</v>
      </c>
      <c r="Z74" s="55">
        <f>_xll.EQNXTDZ($A$1,$B74,Z$5,$B$1)</f>
        <v>1.7629999999999999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0.94799999999999995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5.9240000000000004</v>
      </c>
      <c r="AK74" s="55">
        <f>_xll.EQNXTDZ($A$1,$B74,AK$5,$B$1)</f>
        <v>0</v>
      </c>
      <c r="AL74" s="55">
        <f>_xll.EQNXTDZ($A$1,$B74,AL$5,$B$1)</f>
        <v>41.646999999999998</v>
      </c>
      <c r="AM74" s="55">
        <f>_xll.EQNXTDZ($A$1,$B74,AM$5,$B$1)</f>
        <v>0</v>
      </c>
      <c r="AN74" s="55">
        <f>_xll.EQNXTDZ($A$1,$B74,AN$5,$B$1)</f>
        <v>61.307000000000002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17.734999999999999</v>
      </c>
      <c r="AU74" s="55">
        <f>_xll.EQNXTDZ($A$1,$B74,AU$5,$B$1)</f>
        <v>0</v>
      </c>
      <c r="AV74" s="55">
        <f>_xll.EQNXTDZ($A$1,$B74,AV$5,$B$1)</f>
        <v>12.378</v>
      </c>
      <c r="AW74" s="55">
        <f>_xll.EQNXTDZ($A$1,$B74,AW$5,$B$1)</f>
        <v>0</v>
      </c>
      <c r="AX74" s="55">
        <f>_xll.EQNXTDZ($A$1,$B74,AX$5,$B$1)</f>
        <v>2.8809999999999998</v>
      </c>
      <c r="AY74" s="55">
        <f>_xll.EQNXTDZ($A$1,$B74,AY$5,$B$1)</f>
        <v>0</v>
      </c>
      <c r="AZ74" s="55">
        <f>_xll.EQNXTDZ($A$1,$B74,AZ$5,$B$1)</f>
        <v>0.62</v>
      </c>
      <c r="BA74" s="55">
        <f>_xll.EQNXTDZ($A$1,$B74,BA$5,$B$1)</f>
        <v>0</v>
      </c>
      <c r="BB74" s="55">
        <f>_xll.EQNXTDZ($A$1,$B74,BB$5,$B$1)</f>
        <v>2.7669999999999999</v>
      </c>
      <c r="BC74" s="55">
        <f>_xll.EQNXTDZ($A$1,$B74,BC$5,$B$1)</f>
        <v>0</v>
      </c>
      <c r="BD74" s="55">
        <f>_xll.EQNXTDZ($A$1,$B74,BD$5,$B$1)</f>
        <v>2.4380000000000002</v>
      </c>
      <c r="BE74" s="55">
        <f>_xll.EQNXTDZ($A$1,$B74,BE$5,$B$1)</f>
        <v>0</v>
      </c>
      <c r="BF74" s="55">
        <f>_xll.EQNXTDZ($A$1,$B74,BF$5,$B$1)</f>
        <v>0.86399999999999999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0.92100000000000004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3.8239999999999998</v>
      </c>
      <c r="W77" s="55">
        <f>_xll.EQNXTDZ($A$1,$B77,W$5,$B$1)</f>
        <v>0</v>
      </c>
      <c r="X77" s="55">
        <f>_xll.EQNXTDZ($A$1,$B77,X$5,$B$1)</f>
        <v>7.5590000000000002</v>
      </c>
      <c r="Y77" s="55">
        <f>_xll.EQNXTDZ($A$1,$B77,Y$5,$B$1)</f>
        <v>0</v>
      </c>
      <c r="Z77" s="55">
        <f>_xll.EQNXTDZ($A$1,$B77,Z$5,$B$1)</f>
        <v>0.65700000000000003</v>
      </c>
      <c r="AA77" s="55">
        <f>_xll.EQNXTDZ($A$1,$B77,AA$5,$B$1)</f>
        <v>0</v>
      </c>
      <c r="AB77" s="55">
        <f>_xll.EQNXTDZ($A$1,$B77,AB$5,$B$1)</f>
        <v>7.734</v>
      </c>
      <c r="AC77" s="55">
        <f>_xll.EQNXTDZ($A$1,$B77,AC$5,$B$1)</f>
        <v>0</v>
      </c>
      <c r="AD77" s="55">
        <f>_xll.EQNXTDZ($A$1,$B77,AD$5,$B$1)</f>
        <v>0.65700000000000003</v>
      </c>
      <c r="AE77" s="55">
        <f>_xll.EQNXTDZ($A$1,$B77,AE$5,$B$1)</f>
        <v>0</v>
      </c>
      <c r="AF77" s="55">
        <f>_xll.EQNXTDZ($A$1,$B77,AF$5,$B$1)</f>
        <v>0.65700000000000003</v>
      </c>
      <c r="AG77" s="55">
        <f>_xll.EQNXTDZ($A$1,$B77,AG$5,$B$1)</f>
        <v>0</v>
      </c>
      <c r="AH77" s="55">
        <f>_xll.EQNXTDZ($A$1,$B77,AH$5,$B$1)</f>
        <v>0.65700000000000003</v>
      </c>
      <c r="AI77" s="55">
        <f>_xll.EQNXTDZ($A$1,$B77,AI$5,$B$1)</f>
        <v>0</v>
      </c>
      <c r="AJ77" s="55">
        <f>_xll.EQNXTDZ($A$1,$B77,AJ$5,$B$1)</f>
        <v>0.65700000000000003</v>
      </c>
      <c r="AK77" s="55">
        <f>_xll.EQNXTDZ($A$1,$B77,AK$5,$B$1)</f>
        <v>0</v>
      </c>
      <c r="AL77" s="55">
        <f>_xll.EQNXTDZ($A$1,$B77,AL$5,$B$1)</f>
        <v>0.66700000000000004</v>
      </c>
      <c r="AM77" s="55">
        <f>_xll.EQNXTDZ($A$1,$B77,AM$5,$B$1)</f>
        <v>0</v>
      </c>
      <c r="AN77" s="55">
        <f>_xll.EQNXTDZ($A$1,$B77,AN$5,$B$1)</f>
        <v>0.66700000000000004</v>
      </c>
      <c r="AO77" s="55">
        <f>_xll.EQNXTDZ($A$1,$B77,AO$5,$B$1)</f>
        <v>0</v>
      </c>
      <c r="AP77" s="55">
        <f>_xll.EQNXTDZ($A$1,$B77,AP$5,$B$1)</f>
        <v>0.66700000000000004</v>
      </c>
      <c r="AQ77" s="55">
        <f>_xll.EQNXTDZ($A$1,$B77,AQ$5,$B$1)</f>
        <v>0</v>
      </c>
      <c r="AR77" s="55">
        <f>_xll.EQNXTDZ($A$1,$B77,AR$5,$B$1)</f>
        <v>0.66700000000000004</v>
      </c>
      <c r="AS77" s="55">
        <f>_xll.EQNXTDZ($A$1,$B77,AS$5,$B$1)</f>
        <v>0</v>
      </c>
      <c r="AT77" s="55">
        <f>_xll.EQNXTDZ($A$1,$B77,AT$5,$B$1)</f>
        <v>0.66700000000000004</v>
      </c>
      <c r="AU77" s="55">
        <f>_xll.EQNXTDZ($A$1,$B77,AU$5,$B$1)</f>
        <v>0</v>
      </c>
      <c r="AV77" s="55">
        <f>_xll.EQNXTDZ($A$1,$B77,AV$5,$B$1)</f>
        <v>0.66700000000000004</v>
      </c>
      <c r="AW77" s="55">
        <f>_xll.EQNXTDZ($A$1,$B77,AW$5,$B$1)</f>
        <v>0</v>
      </c>
      <c r="AX77" s="55">
        <f>_xll.EQNXTDZ($A$1,$B77,AX$5,$B$1)</f>
        <v>0.66700000000000004</v>
      </c>
      <c r="AY77" s="55">
        <f>_xll.EQNXTDZ($A$1,$B77,AY$5,$B$1)</f>
        <v>0</v>
      </c>
      <c r="AZ77" s="55">
        <f>_xll.EQNXTDZ($A$1,$B77,AZ$5,$B$1)</f>
        <v>0.66700000000000004</v>
      </c>
      <c r="BA77" s="55">
        <f>_xll.EQNXTDZ($A$1,$B77,BA$5,$B$1)</f>
        <v>0</v>
      </c>
      <c r="BB77" s="55">
        <f>_xll.EQNXTDZ($A$1,$B77,BB$5,$B$1)</f>
        <v>0.66700000000000004</v>
      </c>
      <c r="BC77" s="55">
        <f>_xll.EQNXTDZ($A$1,$B77,BC$5,$B$1)</f>
        <v>0</v>
      </c>
      <c r="BD77" s="55">
        <f>_xll.EQNXTDZ($A$1,$B77,BD$5,$B$1)</f>
        <v>0.66700000000000004</v>
      </c>
      <c r="BE77" s="55">
        <f>_xll.EQNXTDZ($A$1,$B77,BE$5,$B$1)</f>
        <v>0</v>
      </c>
      <c r="BF77" s="55">
        <f>_xll.EQNXTDZ($A$1,$B77,BF$5,$B$1)</f>
        <v>0.65700000000000003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5.0250000000000004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15.558</v>
      </c>
      <c r="W78" s="55">
        <f>_xll.EQNXTDZ($A$1,$B78,W$5,$B$1)</f>
        <v>0</v>
      </c>
      <c r="X78" s="55">
        <f>_xll.EQNXTDZ($A$1,$B78,X$5,$B$1)</f>
        <v>16.666</v>
      </c>
      <c r="Y78" s="55">
        <f>_xll.EQNXTDZ($A$1,$B78,Y$5,$B$1)</f>
        <v>0</v>
      </c>
      <c r="Z78" s="55">
        <f>_xll.EQNXTDZ($A$1,$B78,Z$5,$B$1)</f>
        <v>17.948</v>
      </c>
      <c r="AA78" s="55">
        <f>_xll.EQNXTDZ($A$1,$B78,AA$5,$B$1)</f>
        <v>0</v>
      </c>
      <c r="AB78" s="55">
        <f>_xll.EQNXTDZ($A$1,$B78,AB$5,$B$1)</f>
        <v>20.677</v>
      </c>
      <c r="AC78" s="55">
        <f>_xll.EQNXTDZ($A$1,$B78,AC$5,$B$1)</f>
        <v>0</v>
      </c>
      <c r="AD78" s="55">
        <f>_xll.EQNXTDZ($A$1,$B78,AD$5,$B$1)</f>
        <v>22.823</v>
      </c>
      <c r="AE78" s="55">
        <f>_xll.EQNXTDZ($A$1,$B78,AE$5,$B$1)</f>
        <v>0</v>
      </c>
      <c r="AF78" s="55">
        <f>_xll.EQNXTDZ($A$1,$B78,AF$5,$B$1)</f>
        <v>25.09</v>
      </c>
      <c r="AG78" s="55">
        <f>_xll.EQNXTDZ($A$1,$B78,AG$5,$B$1)</f>
        <v>0</v>
      </c>
      <c r="AH78" s="55">
        <f>_xll.EQNXTDZ($A$1,$B78,AH$5,$B$1)</f>
        <v>26.683</v>
      </c>
      <c r="AI78" s="55">
        <f>_xll.EQNXTDZ($A$1,$B78,AI$5,$B$1)</f>
        <v>0</v>
      </c>
      <c r="AJ78" s="55">
        <f>_xll.EQNXTDZ($A$1,$B78,AJ$5,$B$1)</f>
        <v>20.843</v>
      </c>
      <c r="AK78" s="55">
        <f>_xll.EQNXTDZ($A$1,$B78,AK$5,$B$1)</f>
        <v>0</v>
      </c>
      <c r="AL78" s="55">
        <f>_xll.EQNXTDZ($A$1,$B78,AL$5,$B$1)</f>
        <v>24.73</v>
      </c>
      <c r="AM78" s="55">
        <f>_xll.EQNXTDZ($A$1,$B78,AM$5,$B$1)</f>
        <v>0</v>
      </c>
      <c r="AN78" s="55">
        <f>_xll.EQNXTDZ($A$1,$B78,AN$5,$B$1)</f>
        <v>30.893999999999998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8.5359999999999996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46.546999999999997</v>
      </c>
      <c r="W79" s="55">
        <f>_xll.EQNXTDZ($A$1,$B79,W$5,$B$1)</f>
        <v>0</v>
      </c>
      <c r="X79" s="55">
        <f>_xll.EQNXTDZ($A$1,$B79,X$5,$B$1)</f>
        <v>27.457000000000001</v>
      </c>
      <c r="Y79" s="55">
        <f>_xll.EQNXTDZ($A$1,$B79,Y$5,$B$1)</f>
        <v>0</v>
      </c>
      <c r="Z79" s="55">
        <f>_xll.EQNXTDZ($A$1,$B79,Z$5,$B$1)</f>
        <v>73.545000000000002</v>
      </c>
      <c r="AA79" s="55">
        <f>_xll.EQNXTDZ($A$1,$B79,AA$5,$B$1)</f>
        <v>0</v>
      </c>
      <c r="AB79" s="55">
        <f>_xll.EQNXTDZ($A$1,$B79,AB$5,$B$1)</f>
        <v>33.088999999999999</v>
      </c>
      <c r="AC79" s="55">
        <f>_xll.EQNXTDZ($A$1,$B79,AC$5,$B$1)</f>
        <v>0</v>
      </c>
      <c r="AD79" s="55">
        <f>_xll.EQNXTDZ($A$1,$B79,AD$5,$B$1)</f>
        <v>60.997</v>
      </c>
      <c r="AE79" s="55">
        <f>_xll.EQNXTDZ($A$1,$B79,AE$5,$B$1)</f>
        <v>0</v>
      </c>
      <c r="AF79" s="55">
        <f>_xll.EQNXTDZ($A$1,$B79,AF$5,$B$1)</f>
        <v>100.46599999999999</v>
      </c>
      <c r="AG79" s="55">
        <f>_xll.EQNXTDZ($A$1,$B79,AG$5,$B$1)</f>
        <v>0</v>
      </c>
      <c r="AH79" s="55">
        <f>_xll.EQNXTDZ($A$1,$B79,AH$5,$B$1)</f>
        <v>121.68</v>
      </c>
      <c r="AI79" s="55">
        <f>_xll.EQNXTDZ($A$1,$B79,AI$5,$B$1)</f>
        <v>0</v>
      </c>
      <c r="AJ79" s="55">
        <f>_xll.EQNXTDZ($A$1,$B79,AJ$5,$B$1)</f>
        <v>88.846999999999994</v>
      </c>
      <c r="AK79" s="55">
        <f>_xll.EQNXTDZ($A$1,$B79,AK$5,$B$1)</f>
        <v>0</v>
      </c>
      <c r="AL79" s="55">
        <f>_xll.EQNXTDZ($A$1,$B79,AL$5,$B$1)</f>
        <v>105.69199999999999</v>
      </c>
      <c r="AM79" s="55">
        <f>_xll.EQNXTDZ($A$1,$B79,AM$5,$B$1)</f>
        <v>0</v>
      </c>
      <c r="AN79" s="55">
        <f>_xll.EQNXTDZ($A$1,$B79,AN$5,$B$1)</f>
        <v>114.996</v>
      </c>
      <c r="AO79" s="55">
        <f>_xll.EQNXTDZ($A$1,$B79,AO$5,$B$1)</f>
        <v>0</v>
      </c>
      <c r="AP79" s="55">
        <f>_xll.EQNXTDZ($A$1,$B79,AP$5,$B$1)</f>
        <v>229.773</v>
      </c>
      <c r="AQ79" s="55">
        <f>_xll.EQNXTDZ($A$1,$B79,AQ$5,$B$1)</f>
        <v>0</v>
      </c>
      <c r="AR79" s="55">
        <f>_xll.EQNXTDZ($A$1,$B79,AR$5,$B$1)</f>
        <v>206.01499999999999</v>
      </c>
      <c r="AS79" s="55">
        <f>_xll.EQNXTDZ($A$1,$B79,AS$5,$B$1)</f>
        <v>0</v>
      </c>
      <c r="AT79" s="55">
        <f>_xll.EQNXTDZ($A$1,$B79,AT$5,$B$1)</f>
        <v>212.30099999999999</v>
      </c>
      <c r="AU79" s="55">
        <f>_xll.EQNXTDZ($A$1,$B79,AU$5,$B$1)</f>
        <v>0</v>
      </c>
      <c r="AV79" s="55">
        <f>_xll.EQNXTDZ($A$1,$B79,AV$5,$B$1)</f>
        <v>172.99700000000001</v>
      </c>
      <c r="AW79" s="55">
        <f>_xll.EQNXTDZ($A$1,$B79,AW$5,$B$1)</f>
        <v>0</v>
      </c>
      <c r="AX79" s="55">
        <f>_xll.EQNXTDZ($A$1,$B79,AX$5,$B$1)</f>
        <v>162.31899999999999</v>
      </c>
      <c r="AY79" s="55">
        <f>_xll.EQNXTDZ($A$1,$B79,AY$5,$B$1)</f>
        <v>0</v>
      </c>
      <c r="AZ79" s="55">
        <f>_xll.EQNXTDZ($A$1,$B79,AZ$5,$B$1)</f>
        <v>192.21799999999999</v>
      </c>
      <c r="BA79" s="55">
        <f>_xll.EQNXTDZ($A$1,$B79,BA$5,$B$1)</f>
        <v>0</v>
      </c>
      <c r="BB79" s="55">
        <f>_xll.EQNXTDZ($A$1,$B79,BB$5,$B$1)</f>
        <v>235.52</v>
      </c>
      <c r="BC79" s="55">
        <f>_xll.EQNXTDZ($A$1,$B79,BC$5,$B$1)</f>
        <v>0</v>
      </c>
      <c r="BD79" s="55">
        <f>_xll.EQNXTDZ($A$1,$B79,BD$5,$B$1)</f>
        <v>212.26400000000001</v>
      </c>
      <c r="BE79" s="55">
        <f>_xll.EQNXTDZ($A$1,$B79,BE$5,$B$1)</f>
        <v>0</v>
      </c>
      <c r="BF79" s="55">
        <f>_xll.EQNXTDZ($A$1,$B79,BF$5,$B$1)</f>
        <v>242.08099999999999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12.981999999999999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14.082000000000001</v>
      </c>
      <c r="W80" s="55">
        <f>_xll.EQNXTDZ($A$1,$B80,W$5,$B$1)</f>
        <v>0</v>
      </c>
      <c r="X80" s="55">
        <f>_xll.EQNXTDZ($A$1,$B80,X$5,$B$1)</f>
        <v>14.951000000000001</v>
      </c>
      <c r="Y80" s="55">
        <f>_xll.EQNXTDZ($A$1,$B80,Y$5,$B$1)</f>
        <v>0</v>
      </c>
      <c r="Z80" s="55">
        <f>_xll.EQNXTDZ($A$1,$B80,Z$5,$B$1)</f>
        <v>15.118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9.7970000000000006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3.6080000000000001</v>
      </c>
      <c r="W81" s="55">
        <f>_xll.EQNXTDZ($A$1,$B81,W$5,$B$1)</f>
        <v>0</v>
      </c>
      <c r="X81" s="55">
        <f>_xll.EQNXTDZ($A$1,$B81,X$5,$B$1)</f>
        <v>9.2309999999999999</v>
      </c>
      <c r="Y81" s="55">
        <f>_xll.EQNXTDZ($A$1,$B81,Y$5,$B$1)</f>
        <v>0</v>
      </c>
      <c r="Z81" s="55">
        <f>_xll.EQNXTDZ($A$1,$B81,Z$5,$B$1)</f>
        <v>33.813000000000002</v>
      </c>
      <c r="AA81" s="55">
        <f>_xll.EQNXTDZ($A$1,$B81,AA$5,$B$1)</f>
        <v>0</v>
      </c>
      <c r="AB81" s="55">
        <f>_xll.EQNXTDZ($A$1,$B81,AB$5,$B$1)</f>
        <v>53.709000000000003</v>
      </c>
      <c r="AC81" s="55">
        <f>_xll.EQNXTDZ($A$1,$B81,AC$5,$B$1)</f>
        <v>0</v>
      </c>
      <c r="AD81" s="55">
        <f>_xll.EQNXTDZ($A$1,$B81,AD$5,$B$1)</f>
        <v>75.001999999999995</v>
      </c>
      <c r="AE81" s="55">
        <f>_xll.EQNXTDZ($A$1,$B81,AE$5,$B$1)</f>
        <v>0</v>
      </c>
      <c r="AF81" s="55">
        <f>_xll.EQNXTDZ($A$1,$B81,AF$5,$B$1)</f>
        <v>115.91</v>
      </c>
      <c r="AG81" s="55">
        <f>_xll.EQNXTDZ($A$1,$B81,AG$5,$B$1)</f>
        <v>0</v>
      </c>
      <c r="AH81" s="55">
        <f>_xll.EQNXTDZ($A$1,$B81,AH$5,$B$1)</f>
        <v>96.832999999999998</v>
      </c>
      <c r="AI81" s="55">
        <f>_xll.EQNXTDZ($A$1,$B81,AI$5,$B$1)</f>
        <v>0</v>
      </c>
      <c r="AJ81" s="55">
        <f>_xll.EQNXTDZ($A$1,$B81,AJ$5,$B$1)</f>
        <v>93.634</v>
      </c>
      <c r="AK81" s="55">
        <f>_xll.EQNXTDZ($A$1,$B81,AK$5,$B$1)</f>
        <v>0</v>
      </c>
      <c r="AL81" s="55">
        <f>_xll.EQNXTDZ($A$1,$B81,AL$5,$B$1)</f>
        <v>89.209000000000003</v>
      </c>
      <c r="AM81" s="55">
        <f>_xll.EQNXTDZ($A$1,$B81,AM$5,$B$1)</f>
        <v>0</v>
      </c>
      <c r="AN81" s="55">
        <f>_xll.EQNXTDZ($A$1,$B81,AN$5,$B$1)</f>
        <v>85.584000000000003</v>
      </c>
      <c r="AO81" s="55">
        <f>_xll.EQNXTDZ($A$1,$B81,AO$5,$B$1)</f>
        <v>0</v>
      </c>
      <c r="AP81" s="55">
        <f>_xll.EQNXTDZ($A$1,$B81,AP$5,$B$1)</f>
        <v>81.847999999999999</v>
      </c>
      <c r="AQ81" s="55">
        <f>_xll.EQNXTDZ($A$1,$B81,AQ$5,$B$1)</f>
        <v>0</v>
      </c>
      <c r="AR81" s="55">
        <f>_xll.EQNXTDZ($A$1,$B81,AR$5,$B$1)</f>
        <v>114.467</v>
      </c>
      <c r="AS81" s="55">
        <f>_xll.EQNXTDZ($A$1,$B81,AS$5,$B$1)</f>
        <v>0</v>
      </c>
      <c r="AT81" s="55">
        <f>_xll.EQNXTDZ($A$1,$B81,AT$5,$B$1)</f>
        <v>153.12299999999999</v>
      </c>
      <c r="AU81" s="55">
        <f>_xll.EQNXTDZ($A$1,$B81,AU$5,$B$1)</f>
        <v>0</v>
      </c>
      <c r="AV81" s="55">
        <f>_xll.EQNXTDZ($A$1,$B81,AV$5,$B$1)</f>
        <v>245.149</v>
      </c>
      <c r="AW81" s="55">
        <f>_xll.EQNXTDZ($A$1,$B81,AW$5,$B$1)</f>
        <v>0</v>
      </c>
      <c r="AX81" s="55">
        <f>_xll.EQNXTDZ($A$1,$B81,AX$5,$B$1)</f>
        <v>317.83100000000002</v>
      </c>
      <c r="AY81" s="55">
        <f>_xll.EQNXTDZ($A$1,$B81,AY$5,$B$1)</f>
        <v>0</v>
      </c>
      <c r="AZ81" s="55">
        <f>_xll.EQNXTDZ($A$1,$B81,AZ$5,$B$1)</f>
        <v>338.23599999999999</v>
      </c>
      <c r="BA81" s="55">
        <f>_xll.EQNXTDZ($A$1,$B81,BA$5,$B$1)</f>
        <v>0</v>
      </c>
      <c r="BB81" s="55">
        <f>_xll.EQNXTDZ($A$1,$B81,BB$5,$B$1)</f>
        <v>323.94</v>
      </c>
      <c r="BC81" s="55">
        <f>_xll.EQNXTDZ($A$1,$B81,BC$5,$B$1)</f>
        <v>0</v>
      </c>
      <c r="BD81" s="55">
        <f>_xll.EQNXTDZ($A$1,$B81,BD$5,$B$1)</f>
        <v>325.61399999999998</v>
      </c>
      <c r="BE81" s="55">
        <f>_xll.EQNXTDZ($A$1,$B81,BE$5,$B$1)</f>
        <v>0</v>
      </c>
      <c r="BF81" s="55">
        <f>_xll.EQNXTDZ($A$1,$B81,BF$5,$B$1)</f>
        <v>347.61099999999999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20.23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58.277999999999999</v>
      </c>
      <c r="W82" s="55">
        <f>_xll.EQNXTDZ($A$1,$B82,W$5,$B$1)</f>
        <v>0</v>
      </c>
      <c r="X82" s="55">
        <f>_xll.EQNXTDZ($A$1,$B82,X$5,$B$1)</f>
        <v>125.682</v>
      </c>
      <c r="Y82" s="55">
        <f>_xll.EQNXTDZ($A$1,$B82,Y$5,$B$1)</f>
        <v>0</v>
      </c>
      <c r="Z82" s="55">
        <f>_xll.EQNXTDZ($A$1,$B82,Z$5,$B$1)</f>
        <v>123.46299999999999</v>
      </c>
      <c r="AA82" s="55">
        <f>_xll.EQNXTDZ($A$1,$B82,AA$5,$B$1)</f>
        <v>0</v>
      </c>
      <c r="AB82" s="55">
        <f>_xll.EQNXTDZ($A$1,$B82,AB$5,$B$1)</f>
        <v>139.13900000000001</v>
      </c>
      <c r="AC82" s="55">
        <f>_xll.EQNXTDZ($A$1,$B82,AC$5,$B$1)</f>
        <v>0</v>
      </c>
      <c r="AD82" s="55">
        <f>_xll.EQNXTDZ($A$1,$B82,AD$5,$B$1)</f>
        <v>147.88499999999999</v>
      </c>
      <c r="AE82" s="55">
        <f>_xll.EQNXTDZ($A$1,$B82,AE$5,$B$1)</f>
        <v>0</v>
      </c>
      <c r="AF82" s="55">
        <f>_xll.EQNXTDZ($A$1,$B82,AF$5,$B$1)</f>
        <v>171.78700000000001</v>
      </c>
      <c r="AG82" s="55">
        <f>_xll.EQNXTDZ($A$1,$B82,AG$5,$B$1)</f>
        <v>0</v>
      </c>
      <c r="AH82" s="55">
        <f>_xll.EQNXTDZ($A$1,$B82,AH$5,$B$1)</f>
        <v>235.17500000000001</v>
      </c>
      <c r="AI82" s="55">
        <f>_xll.EQNXTDZ($A$1,$B82,AI$5,$B$1)</f>
        <v>0</v>
      </c>
      <c r="AJ82" s="55">
        <f>_xll.EQNXTDZ($A$1,$B82,AJ$5,$B$1)</f>
        <v>203.17599999999999</v>
      </c>
      <c r="AK82" s="55">
        <f>_xll.EQNXTDZ($A$1,$B82,AK$5,$B$1)</f>
        <v>0</v>
      </c>
      <c r="AL82" s="55">
        <f>_xll.EQNXTDZ($A$1,$B82,AL$5,$B$1)</f>
        <v>226.53700000000001</v>
      </c>
      <c r="AM82" s="55">
        <f>_xll.EQNXTDZ($A$1,$B82,AM$5,$B$1)</f>
        <v>0</v>
      </c>
      <c r="AN82" s="55">
        <f>_xll.EQNXTDZ($A$1,$B82,AN$5,$B$1)</f>
        <v>358.721</v>
      </c>
      <c r="AO82" s="55">
        <f>_xll.EQNXTDZ($A$1,$B82,AO$5,$B$1)</f>
        <v>0</v>
      </c>
      <c r="AP82" s="55">
        <f>_xll.EQNXTDZ($A$1,$B82,AP$5,$B$1)</f>
        <v>311.00700000000001</v>
      </c>
      <c r="AQ82" s="55">
        <f>_xll.EQNXTDZ($A$1,$B82,AQ$5,$B$1)</f>
        <v>0</v>
      </c>
      <c r="AR82" s="55">
        <f>_xll.EQNXTDZ($A$1,$B82,AR$5,$B$1)</f>
        <v>280.86599999999999</v>
      </c>
      <c r="AS82" s="55">
        <f>_xll.EQNXTDZ($A$1,$B82,AS$5,$B$1)</f>
        <v>0</v>
      </c>
      <c r="AT82" s="55">
        <f>_xll.EQNXTDZ($A$1,$B82,AT$5,$B$1)</f>
        <v>433.86599999999999</v>
      </c>
      <c r="AU82" s="55">
        <f>_xll.EQNXTDZ($A$1,$B82,AU$5,$B$1)</f>
        <v>0</v>
      </c>
      <c r="AV82" s="55">
        <f>_xll.EQNXTDZ($A$1,$B82,AV$5,$B$1)</f>
        <v>464.80500000000001</v>
      </c>
      <c r="AW82" s="55">
        <f>_xll.EQNXTDZ($A$1,$B82,AW$5,$B$1)</f>
        <v>0</v>
      </c>
      <c r="AX82" s="55">
        <f>_xll.EQNXTDZ($A$1,$B82,AX$5,$B$1)</f>
        <v>342.11900000000003</v>
      </c>
      <c r="AY82" s="55">
        <f>_xll.EQNXTDZ($A$1,$B82,AY$5,$B$1)</f>
        <v>0</v>
      </c>
      <c r="AZ82" s="55">
        <f>_xll.EQNXTDZ($A$1,$B82,AZ$5,$B$1)</f>
        <v>472.59100000000001</v>
      </c>
      <c r="BA82" s="55">
        <f>_xll.EQNXTDZ($A$1,$B82,BA$5,$B$1)</f>
        <v>0</v>
      </c>
      <c r="BB82" s="55">
        <f>_xll.EQNXTDZ($A$1,$B82,BB$5,$B$1)</f>
        <v>529.83299999999997</v>
      </c>
      <c r="BC82" s="55">
        <f>_xll.EQNXTDZ($A$1,$B82,BC$5,$B$1)</f>
        <v>0</v>
      </c>
      <c r="BD82" s="55">
        <f>_xll.EQNXTDZ($A$1,$B82,BD$5,$B$1)</f>
        <v>692.54399999999998</v>
      </c>
      <c r="BE82" s="55">
        <f>_xll.EQNXTDZ($A$1,$B82,BE$5,$B$1)</f>
        <v>0</v>
      </c>
      <c r="BF82" s="55">
        <f>_xll.EQNXTDZ($A$1,$B82,BF$5,$B$1)</f>
        <v>928.21900000000005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112.054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106.661</v>
      </c>
      <c r="W83" s="55">
        <f>_xll.EQNXTDZ($A$1,$B83,W$5,$B$1)</f>
        <v>0</v>
      </c>
      <c r="X83" s="55">
        <f>_xll.EQNXTDZ($A$1,$B83,X$5,$B$1)</f>
        <v>207.62100000000001</v>
      </c>
      <c r="Y83" s="55">
        <f>_xll.EQNXTDZ($A$1,$B83,Y$5,$B$1)</f>
        <v>0</v>
      </c>
      <c r="Z83" s="55">
        <f>_xll.EQNXTDZ($A$1,$B83,Z$5,$B$1)</f>
        <v>227.95099999999999</v>
      </c>
      <c r="AA83" s="55">
        <f>_xll.EQNXTDZ($A$1,$B83,AA$5,$B$1)</f>
        <v>0</v>
      </c>
      <c r="AB83" s="55">
        <f>_xll.EQNXTDZ($A$1,$B83,AB$5,$B$1)</f>
        <v>210.05199999999999</v>
      </c>
      <c r="AC83" s="55">
        <f>_xll.EQNXTDZ($A$1,$B83,AC$5,$B$1)</f>
        <v>0</v>
      </c>
      <c r="AD83" s="55">
        <f>_xll.EQNXTDZ($A$1,$B83,AD$5,$B$1)</f>
        <v>222.20400000000001</v>
      </c>
      <c r="AE83" s="55">
        <f>_xll.EQNXTDZ($A$1,$B83,AE$5,$B$1)</f>
        <v>0</v>
      </c>
      <c r="AF83" s="55">
        <f>_xll.EQNXTDZ($A$1,$B83,AF$5,$B$1)</f>
        <v>221.93100000000001</v>
      </c>
      <c r="AG83" s="55">
        <f>_xll.EQNXTDZ($A$1,$B83,AG$5,$B$1)</f>
        <v>0</v>
      </c>
      <c r="AH83" s="55">
        <f>_xll.EQNXTDZ($A$1,$B83,AH$5,$B$1)</f>
        <v>196.845</v>
      </c>
      <c r="AI83" s="55">
        <f>_xll.EQNXTDZ($A$1,$B83,AI$5,$B$1)</f>
        <v>0</v>
      </c>
      <c r="AJ83" s="55">
        <f>_xll.EQNXTDZ($A$1,$B83,AJ$5,$B$1)</f>
        <v>189.11</v>
      </c>
      <c r="AK83" s="55">
        <f>_xll.EQNXTDZ($A$1,$B83,AK$5,$B$1)</f>
        <v>0</v>
      </c>
      <c r="AL83" s="55">
        <f>_xll.EQNXTDZ($A$1,$B83,AL$5,$B$1)</f>
        <v>229.02699999999999</v>
      </c>
      <c r="AM83" s="55">
        <f>_xll.EQNXTDZ($A$1,$B83,AM$5,$B$1)</f>
        <v>0</v>
      </c>
      <c r="AN83" s="55">
        <f>_xll.EQNXTDZ($A$1,$B83,AN$5,$B$1)</f>
        <v>195.36500000000001</v>
      </c>
      <c r="AO83" s="55">
        <f>_xll.EQNXTDZ($A$1,$B83,AO$5,$B$1)</f>
        <v>0</v>
      </c>
      <c r="AP83" s="55">
        <f>_xll.EQNXTDZ($A$1,$B83,AP$5,$B$1)</f>
        <v>196.346</v>
      </c>
      <c r="AQ83" s="55">
        <f>_xll.EQNXTDZ($A$1,$B83,AQ$5,$B$1)</f>
        <v>0</v>
      </c>
      <c r="AR83" s="55">
        <f>_xll.EQNXTDZ($A$1,$B83,AR$5,$B$1)</f>
        <v>237.459</v>
      </c>
      <c r="AS83" s="55">
        <f>_xll.EQNXTDZ($A$1,$B83,AS$5,$B$1)</f>
        <v>0</v>
      </c>
      <c r="AT83" s="55">
        <f>_xll.EQNXTDZ($A$1,$B83,AT$5,$B$1)</f>
        <v>242.35599999999999</v>
      </c>
      <c r="AU83" s="55">
        <f>_xll.EQNXTDZ($A$1,$B83,AU$5,$B$1)</f>
        <v>0</v>
      </c>
      <c r="AV83" s="55">
        <f>_xll.EQNXTDZ($A$1,$B83,AV$5,$B$1)</f>
        <v>246.64099999999999</v>
      </c>
      <c r="AW83" s="55">
        <f>_xll.EQNXTDZ($A$1,$B83,AW$5,$B$1)</f>
        <v>0</v>
      </c>
      <c r="AX83" s="55">
        <f>_xll.EQNXTDZ($A$1,$B83,AX$5,$B$1)</f>
        <v>227.09399999999999</v>
      </c>
      <c r="AY83" s="55">
        <f>_xll.EQNXTDZ($A$1,$B83,AY$5,$B$1)</f>
        <v>0</v>
      </c>
      <c r="AZ83" s="55">
        <f>_xll.EQNXTDZ($A$1,$B83,AZ$5,$B$1)</f>
        <v>279.32900000000001</v>
      </c>
      <c r="BA83" s="55">
        <f>_xll.EQNXTDZ($A$1,$B83,BA$5,$B$1)</f>
        <v>0</v>
      </c>
      <c r="BB83" s="55">
        <f>_xll.EQNXTDZ($A$1,$B83,BB$5,$B$1)</f>
        <v>207.84</v>
      </c>
      <c r="BC83" s="55">
        <f>_xll.EQNXTDZ($A$1,$B83,BC$5,$B$1)</f>
        <v>0</v>
      </c>
      <c r="BD83" s="55">
        <f>_xll.EQNXTDZ($A$1,$B83,BD$5,$B$1)</f>
        <v>192.49299999999999</v>
      </c>
      <c r="BE83" s="55">
        <f>_xll.EQNXTDZ($A$1,$B83,BE$5,$B$1)</f>
        <v>0</v>
      </c>
      <c r="BF83" s="55">
        <f>_xll.EQNXTDZ($A$1,$B83,BF$5,$B$1)</f>
        <v>415.5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5.2640000000000002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24.297000000000001</v>
      </c>
      <c r="W84" s="55">
        <f>_xll.EQNXTDZ($A$1,$B84,W$5,$B$1)</f>
        <v>0</v>
      </c>
      <c r="X84" s="55">
        <f>_xll.EQNXTDZ($A$1,$B84,X$5,$B$1)</f>
        <v>35.817</v>
      </c>
      <c r="Y84" s="55">
        <f>_xll.EQNXTDZ($A$1,$B84,Y$5,$B$1)</f>
        <v>0</v>
      </c>
      <c r="Z84" s="55">
        <f>_xll.EQNXTDZ($A$1,$B84,Z$5,$B$1)</f>
        <v>20.411999999999999</v>
      </c>
      <c r="AA84" s="55">
        <f>_xll.EQNXTDZ($A$1,$B84,AA$5,$B$1)</f>
        <v>0</v>
      </c>
      <c r="AB84" s="55">
        <f>_xll.EQNXTDZ($A$1,$B84,AB$5,$B$1)</f>
        <v>60.185000000000002</v>
      </c>
      <c r="AC84" s="55">
        <f>_xll.EQNXTDZ($A$1,$B84,AC$5,$B$1)</f>
        <v>0</v>
      </c>
      <c r="AD84" s="55">
        <f>_xll.EQNXTDZ($A$1,$B84,AD$5,$B$1)</f>
        <v>85.625</v>
      </c>
      <c r="AE84" s="55">
        <f>_xll.EQNXTDZ($A$1,$B84,AE$5,$B$1)</f>
        <v>0</v>
      </c>
      <c r="AF84" s="55">
        <f>_xll.EQNXTDZ($A$1,$B84,AF$5,$B$1)</f>
        <v>105.71599999999999</v>
      </c>
      <c r="AG84" s="55">
        <f>_xll.EQNXTDZ($A$1,$B84,AG$5,$B$1)</f>
        <v>0</v>
      </c>
      <c r="AH84" s="55">
        <f>_xll.EQNXTDZ($A$1,$B84,AH$5,$B$1)</f>
        <v>163.30699999999999</v>
      </c>
      <c r="AI84" s="55">
        <f>_xll.EQNXTDZ($A$1,$B84,AI$5,$B$1)</f>
        <v>0</v>
      </c>
      <c r="AJ84" s="55">
        <f>_xll.EQNXTDZ($A$1,$B84,AJ$5,$B$1)</f>
        <v>143.78100000000001</v>
      </c>
      <c r="AK84" s="55">
        <f>_xll.EQNXTDZ($A$1,$B84,AK$5,$B$1)</f>
        <v>0</v>
      </c>
      <c r="AL84" s="55">
        <f>_xll.EQNXTDZ($A$1,$B84,AL$5,$B$1)</f>
        <v>142.35300000000001</v>
      </c>
      <c r="AM84" s="55">
        <f>_xll.EQNXTDZ($A$1,$B84,AM$5,$B$1)</f>
        <v>0</v>
      </c>
      <c r="AN84" s="55">
        <f>_xll.EQNXTDZ($A$1,$B84,AN$5,$B$1)</f>
        <v>220.80799999999999</v>
      </c>
      <c r="AO84" s="55">
        <f>_xll.EQNXTDZ($A$1,$B84,AO$5,$B$1)</f>
        <v>0</v>
      </c>
      <c r="AP84" s="55">
        <f>_xll.EQNXTDZ($A$1,$B84,AP$5,$B$1)</f>
        <v>225.94900000000001</v>
      </c>
      <c r="AQ84" s="55">
        <f>_xll.EQNXTDZ($A$1,$B84,AQ$5,$B$1)</f>
        <v>0</v>
      </c>
      <c r="AR84" s="55">
        <f>_xll.EQNXTDZ($A$1,$B84,AR$5,$B$1)</f>
        <v>367.85300000000001</v>
      </c>
      <c r="AS84" s="55">
        <f>_xll.EQNXTDZ($A$1,$B84,AS$5,$B$1)</f>
        <v>0</v>
      </c>
      <c r="AT84" s="55">
        <f>_xll.EQNXTDZ($A$1,$B84,AT$5,$B$1)</f>
        <v>449.47899999999998</v>
      </c>
      <c r="AU84" s="55">
        <f>_xll.EQNXTDZ($A$1,$B84,AU$5,$B$1)</f>
        <v>0</v>
      </c>
      <c r="AV84" s="55">
        <f>_xll.EQNXTDZ($A$1,$B84,AV$5,$B$1)</f>
        <v>609.50300000000004</v>
      </c>
      <c r="AW84" s="55">
        <f>_xll.EQNXTDZ($A$1,$B84,AW$5,$B$1)</f>
        <v>0</v>
      </c>
      <c r="AX84" s="55">
        <f>_xll.EQNXTDZ($A$1,$B84,AX$5,$B$1)</f>
        <v>639.12699999999995</v>
      </c>
      <c r="AY84" s="55">
        <f>_xll.EQNXTDZ($A$1,$B84,AY$5,$B$1)</f>
        <v>0</v>
      </c>
      <c r="AZ84" s="55">
        <f>_xll.EQNXTDZ($A$1,$B84,AZ$5,$B$1)</f>
        <v>712.61900000000003</v>
      </c>
      <c r="BA84" s="55">
        <f>_xll.EQNXTDZ($A$1,$B84,BA$5,$B$1)</f>
        <v>0</v>
      </c>
      <c r="BB84" s="55">
        <f>_xll.EQNXTDZ($A$1,$B84,BB$5,$B$1)</f>
        <v>717.04</v>
      </c>
      <c r="BC84" s="55">
        <f>_xll.EQNXTDZ($A$1,$B84,BC$5,$B$1)</f>
        <v>0</v>
      </c>
      <c r="BD84" s="55">
        <f>_xll.EQNXTDZ($A$1,$B84,BD$5,$B$1)</f>
        <v>843.399</v>
      </c>
      <c r="BE84" s="55">
        <f>_xll.EQNXTDZ($A$1,$B84,BE$5,$B$1)</f>
        <v>0</v>
      </c>
      <c r="BF84" s="55">
        <f>_xll.EQNXTDZ($A$1,$B84,BF$5,$B$1)</f>
        <v>695.23699999999997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21.655999999999999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0.33100000000000002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4.1779999999999999</v>
      </c>
      <c r="AA85" s="55">
        <f>_xll.EQNXTDZ($A$1,$B85,AA$5,$B$1)</f>
        <v>0</v>
      </c>
      <c r="AB85" s="55">
        <f>_xll.EQNXTDZ($A$1,$B85,AB$5,$B$1)</f>
        <v>18.460999999999999</v>
      </c>
      <c r="AC85" s="55">
        <f>_xll.EQNXTDZ($A$1,$B85,AC$5,$B$1)</f>
        <v>0</v>
      </c>
      <c r="AD85" s="55">
        <f>_xll.EQNXTDZ($A$1,$B85,AD$5,$B$1)</f>
        <v>10.782999999999999</v>
      </c>
      <c r="AE85" s="55">
        <f>_xll.EQNXTDZ($A$1,$B85,AE$5,$B$1)</f>
        <v>0</v>
      </c>
      <c r="AF85" s="55">
        <f>_xll.EQNXTDZ($A$1,$B85,AF$5,$B$1)</f>
        <v>11.236000000000001</v>
      </c>
      <c r="AG85" s="55">
        <f>_xll.EQNXTDZ($A$1,$B85,AG$5,$B$1)</f>
        <v>0</v>
      </c>
      <c r="AH85" s="55">
        <f>_xll.EQNXTDZ($A$1,$B85,AH$5,$B$1)</f>
        <v>6.91</v>
      </c>
      <c r="AI85" s="55">
        <f>_xll.EQNXTDZ($A$1,$B85,AI$5,$B$1)</f>
        <v>0</v>
      </c>
      <c r="AJ85" s="55">
        <f>_xll.EQNXTDZ($A$1,$B85,AJ$5,$B$1)</f>
        <v>5.2450000000000001</v>
      </c>
      <c r="AK85" s="55">
        <f>_xll.EQNXTDZ($A$1,$B85,AK$5,$B$1)</f>
        <v>0</v>
      </c>
      <c r="AL85" s="55">
        <f>_xll.EQNXTDZ($A$1,$B85,AL$5,$B$1)</f>
        <v>5.5449999999999999</v>
      </c>
      <c r="AM85" s="55">
        <f>_xll.EQNXTDZ($A$1,$B85,AM$5,$B$1)</f>
        <v>0</v>
      </c>
      <c r="AN85" s="55">
        <f>_xll.EQNXTDZ($A$1,$B85,AN$5,$B$1)</f>
        <v>5.6</v>
      </c>
      <c r="AO85" s="55">
        <f>_xll.EQNXTDZ($A$1,$B85,AO$5,$B$1)</f>
        <v>0</v>
      </c>
      <c r="AP85" s="55">
        <f>_xll.EQNXTDZ($A$1,$B85,AP$5,$B$1)</f>
        <v>5.9320000000000004</v>
      </c>
      <c r="AQ85" s="55">
        <f>_xll.EQNXTDZ($A$1,$B85,AQ$5,$B$1)</f>
        <v>0</v>
      </c>
      <c r="AR85" s="55">
        <f>_xll.EQNXTDZ($A$1,$B85,AR$5,$B$1)</f>
        <v>6</v>
      </c>
      <c r="AS85" s="55">
        <f>_xll.EQNXTDZ($A$1,$B85,AS$5,$B$1)</f>
        <v>0</v>
      </c>
      <c r="AT85" s="55">
        <f>_xll.EQNXTDZ($A$1,$B85,AT$5,$B$1)</f>
        <v>3.3519999999999999</v>
      </c>
      <c r="AU85" s="55">
        <f>_xll.EQNXTDZ($A$1,$B85,AU$5,$B$1)</f>
        <v>0</v>
      </c>
      <c r="AV85" s="55">
        <f>_xll.EQNXTDZ($A$1,$B85,AV$5,$B$1)</f>
        <v>3.524</v>
      </c>
      <c r="AW85" s="55">
        <f>_xll.EQNXTDZ($A$1,$B85,AW$5,$B$1)</f>
        <v>0</v>
      </c>
      <c r="AX85" s="55">
        <f>_xll.EQNXTDZ($A$1,$B85,AX$5,$B$1)</f>
        <v>3.492</v>
      </c>
      <c r="AY85" s="55">
        <f>_xll.EQNXTDZ($A$1,$B85,AY$5,$B$1)</f>
        <v>0</v>
      </c>
      <c r="AZ85" s="55">
        <f>_xll.EQNXTDZ($A$1,$B85,AZ$5,$B$1)</f>
        <v>2.5209999999999999</v>
      </c>
      <c r="BA85" s="55">
        <f>_xll.EQNXTDZ($A$1,$B85,BA$5,$B$1)</f>
        <v>0</v>
      </c>
      <c r="BB85" s="55">
        <f>_xll.EQNXTDZ($A$1,$B85,BB$5,$B$1)</f>
        <v>0.68500000000000005</v>
      </c>
      <c r="BC85" s="55">
        <f>_xll.EQNXTDZ($A$1,$B85,BC$5,$B$1)</f>
        <v>0</v>
      </c>
      <c r="BD85" s="55">
        <f>_xll.EQNXTDZ($A$1,$B85,BD$5,$B$1)</f>
        <v>0.55800000000000005</v>
      </c>
      <c r="BE85" s="55">
        <f>_xll.EQNXTDZ($A$1,$B85,BE$5,$B$1)</f>
        <v>0</v>
      </c>
      <c r="BF85" s="55">
        <f>_xll.EQNXTDZ($A$1,$B85,BF$5,$B$1)</f>
        <v>0.41299999999999998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181.983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207.25700000000001</v>
      </c>
      <c r="W86" s="55">
        <f>_xll.EQNXTDZ($A$1,$B86,W$5,$B$1)</f>
        <v>0</v>
      </c>
      <c r="X86" s="55">
        <f>_xll.EQNXTDZ($A$1,$B86,X$5,$B$1)</f>
        <v>393.30200000000002</v>
      </c>
      <c r="Y86" s="55">
        <f>_xll.EQNXTDZ($A$1,$B86,Y$5,$B$1)</f>
        <v>0</v>
      </c>
      <c r="Z86" s="55">
        <f>_xll.EQNXTDZ($A$1,$B86,Z$5,$B$1)</f>
        <v>424.935</v>
      </c>
      <c r="AA86" s="55">
        <f>_xll.EQNXTDZ($A$1,$B86,AA$5,$B$1)</f>
        <v>0</v>
      </c>
      <c r="AB86" s="55">
        <f>_xll.EQNXTDZ($A$1,$B86,AB$5,$B$1)</f>
        <v>481.54599999999999</v>
      </c>
      <c r="AC86" s="55">
        <f>_xll.EQNXTDZ($A$1,$B86,AC$5,$B$1)</f>
        <v>0</v>
      </c>
      <c r="AD86" s="55">
        <f>_xll.EQNXTDZ($A$1,$B86,AD$5,$B$1)</f>
        <v>541.49900000000002</v>
      </c>
      <c r="AE86" s="55">
        <f>_xll.EQNXTDZ($A$1,$B86,AE$5,$B$1)</f>
        <v>0</v>
      </c>
      <c r="AF86" s="55">
        <f>_xll.EQNXTDZ($A$1,$B86,AF$5,$B$1)</f>
        <v>626.58000000000004</v>
      </c>
      <c r="AG86" s="55">
        <f>_xll.EQNXTDZ($A$1,$B86,AG$5,$B$1)</f>
        <v>0</v>
      </c>
      <c r="AH86" s="55">
        <f>_xll.EQNXTDZ($A$1,$B86,AH$5,$B$1)</f>
        <v>699.07</v>
      </c>
      <c r="AI86" s="55">
        <f>_xll.EQNXTDZ($A$1,$B86,AI$5,$B$1)</f>
        <v>0</v>
      </c>
      <c r="AJ86" s="55">
        <f>_xll.EQNXTDZ($A$1,$B86,AJ$5,$B$1)</f>
        <v>634.94600000000003</v>
      </c>
      <c r="AK86" s="55">
        <f>_xll.EQNXTDZ($A$1,$B86,AK$5,$B$1)</f>
        <v>0</v>
      </c>
      <c r="AL86" s="55">
        <f>_xll.EQNXTDZ($A$1,$B86,AL$5,$B$1)</f>
        <v>692.67100000000005</v>
      </c>
      <c r="AM86" s="55">
        <f>_xll.EQNXTDZ($A$1,$B86,AM$5,$B$1)</f>
        <v>0</v>
      </c>
      <c r="AN86" s="55">
        <f>_xll.EQNXTDZ($A$1,$B86,AN$5,$B$1)</f>
        <v>866.07799999999997</v>
      </c>
      <c r="AO86" s="55">
        <f>_xll.EQNXTDZ($A$1,$B86,AO$5,$B$1)</f>
        <v>0</v>
      </c>
      <c r="AP86" s="55">
        <f>_xll.EQNXTDZ($A$1,$B86,AP$5,$B$1)</f>
        <v>821.08199999999999</v>
      </c>
      <c r="AQ86" s="55">
        <f>_xll.EQNXTDZ($A$1,$B86,AQ$5,$B$1)</f>
        <v>0</v>
      </c>
      <c r="AR86" s="55">
        <f>_xll.EQNXTDZ($A$1,$B86,AR$5,$B$1)</f>
        <v>1006.645</v>
      </c>
      <c r="AS86" s="55">
        <f>_xll.EQNXTDZ($A$1,$B86,AS$5,$B$1)</f>
        <v>0</v>
      </c>
      <c r="AT86" s="55">
        <f>_xll.EQNXTDZ($A$1,$B86,AT$5,$B$1)</f>
        <v>1282.1759999999999</v>
      </c>
      <c r="AU86" s="55">
        <f>_xll.EQNXTDZ($A$1,$B86,AU$5,$B$1)</f>
        <v>0</v>
      </c>
      <c r="AV86" s="55">
        <f>_xll.EQNXTDZ($A$1,$B86,AV$5,$B$1)</f>
        <v>1569.6220000000001</v>
      </c>
      <c r="AW86" s="55">
        <f>_xll.EQNXTDZ($A$1,$B86,AW$5,$B$1)</f>
        <v>0</v>
      </c>
      <c r="AX86" s="55">
        <f>_xll.EQNXTDZ($A$1,$B86,AX$5,$B$1)</f>
        <v>1529.663</v>
      </c>
      <c r="AY86" s="55">
        <f>_xll.EQNXTDZ($A$1,$B86,AY$5,$B$1)</f>
        <v>0</v>
      </c>
      <c r="AZ86" s="55">
        <f>_xll.EQNXTDZ($A$1,$B86,AZ$5,$B$1)</f>
        <v>1805.296</v>
      </c>
      <c r="BA86" s="55">
        <f>_xll.EQNXTDZ($A$1,$B86,BA$5,$B$1)</f>
        <v>0</v>
      </c>
      <c r="BB86" s="55">
        <f>_xll.EQNXTDZ($A$1,$B86,BB$5,$B$1)</f>
        <v>1779.338</v>
      </c>
      <c r="BC86" s="55">
        <f>_xll.EQNXTDZ($A$1,$B86,BC$5,$B$1)</f>
        <v>0</v>
      </c>
      <c r="BD86" s="55">
        <f>_xll.EQNXTDZ($A$1,$B86,BD$5,$B$1)</f>
        <v>2054.6080000000002</v>
      </c>
      <c r="BE86" s="55">
        <f>_xll.EQNXTDZ($A$1,$B86,BE$5,$B$1)</f>
        <v>0</v>
      </c>
      <c r="BF86" s="55">
        <f>_xll.EQNXTDZ($A$1,$B86,BF$5,$B$1)</f>
        <v>2386.98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44.865000000000002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69.733000000000004</v>
      </c>
      <c r="W88" s="55">
        <f>_xll.EQNXTDZ($A$1,$B88,W$5,$B$1)</f>
        <v>0</v>
      </c>
      <c r="X88" s="55">
        <f>_xll.EQNXTDZ($A$1,$B88,X$5,$B$1)</f>
        <v>51.728999999999999</v>
      </c>
      <c r="Y88" s="55">
        <f>_xll.EQNXTDZ($A$1,$B88,Y$5,$B$1)</f>
        <v>0</v>
      </c>
      <c r="Z88" s="55">
        <f>_xll.EQNXTDZ($A$1,$B88,Z$5,$B$1)</f>
        <v>26.41</v>
      </c>
      <c r="AA88" s="55">
        <f>_xll.EQNXTDZ($A$1,$B88,AA$5,$B$1)</f>
        <v>0</v>
      </c>
      <c r="AB88" s="55">
        <f>_xll.EQNXTDZ($A$1,$B88,AB$5,$B$1)</f>
        <v>22.664000000000001</v>
      </c>
      <c r="AC88" s="55">
        <f>_xll.EQNXTDZ($A$1,$B88,AC$5,$B$1)</f>
        <v>0</v>
      </c>
      <c r="AD88" s="55">
        <f>_xll.EQNXTDZ($A$1,$B88,AD$5,$B$1)</f>
        <v>29.382999999999999</v>
      </c>
      <c r="AE88" s="55">
        <f>_xll.EQNXTDZ($A$1,$B88,AE$5,$B$1)</f>
        <v>0</v>
      </c>
      <c r="AF88" s="55">
        <f>_xll.EQNXTDZ($A$1,$B88,AF$5,$B$1)</f>
        <v>75.076999999999998</v>
      </c>
      <c r="AG88" s="55">
        <f>_xll.EQNXTDZ($A$1,$B88,AG$5,$B$1)</f>
        <v>0</v>
      </c>
      <c r="AH88" s="55">
        <f>_xll.EQNXTDZ($A$1,$B88,AH$5,$B$1)</f>
        <v>73.212999999999994</v>
      </c>
      <c r="AI88" s="55">
        <f>_xll.EQNXTDZ($A$1,$B88,AI$5,$B$1)</f>
        <v>0</v>
      </c>
      <c r="AJ88" s="55">
        <f>_xll.EQNXTDZ($A$1,$B88,AJ$5,$B$1)</f>
        <v>114.51300000000001</v>
      </c>
      <c r="AK88" s="55">
        <f>_xll.EQNXTDZ($A$1,$B88,AK$5,$B$1)</f>
        <v>0</v>
      </c>
      <c r="AL88" s="55">
        <f>_xll.EQNXTDZ($A$1,$B88,AL$5,$B$1)</f>
        <v>81.084000000000003</v>
      </c>
      <c r="AM88" s="55">
        <f>_xll.EQNXTDZ($A$1,$B88,AM$5,$B$1)</f>
        <v>0</v>
      </c>
      <c r="AN88" s="55">
        <f>_xll.EQNXTDZ($A$1,$B88,AN$5,$B$1)</f>
        <v>165.505</v>
      </c>
      <c r="AO88" s="55">
        <f>_xll.EQNXTDZ($A$1,$B88,AO$5,$B$1)</f>
        <v>0</v>
      </c>
      <c r="AP88" s="55">
        <f>_xll.EQNXTDZ($A$1,$B88,AP$5,$B$1)</f>
        <v>82.475999999999999</v>
      </c>
      <c r="AQ88" s="55">
        <f>_xll.EQNXTDZ($A$1,$B88,AQ$5,$B$1)</f>
        <v>0</v>
      </c>
      <c r="AR88" s="55">
        <f>_xll.EQNXTDZ($A$1,$B88,AR$5,$B$1)</f>
        <v>137.05099999999999</v>
      </c>
      <c r="AS88" s="55">
        <f>_xll.EQNXTDZ($A$1,$B88,AS$5,$B$1)</f>
        <v>0</v>
      </c>
      <c r="AT88" s="55">
        <f>_xll.EQNXTDZ($A$1,$B88,AT$5,$B$1)</f>
        <v>106.923</v>
      </c>
      <c r="AU88" s="55">
        <f>_xll.EQNXTDZ($A$1,$B88,AU$5,$B$1)</f>
        <v>0</v>
      </c>
      <c r="AV88" s="55">
        <f>_xll.EQNXTDZ($A$1,$B88,AV$5,$B$1)</f>
        <v>377.33</v>
      </c>
      <c r="AW88" s="55">
        <f>_xll.EQNXTDZ($A$1,$B88,AW$5,$B$1)</f>
        <v>0</v>
      </c>
      <c r="AX88" s="55">
        <f>_xll.EQNXTDZ($A$1,$B88,AX$5,$B$1)</f>
        <v>413.39100000000002</v>
      </c>
      <c r="AY88" s="55">
        <f>_xll.EQNXTDZ($A$1,$B88,AY$5,$B$1)</f>
        <v>0</v>
      </c>
      <c r="AZ88" s="55">
        <f>_xll.EQNXTDZ($A$1,$B88,AZ$5,$B$1)</f>
        <v>245.922</v>
      </c>
      <c r="BA88" s="55">
        <f>_xll.EQNXTDZ($A$1,$B88,BA$5,$B$1)</f>
        <v>0</v>
      </c>
      <c r="BB88" s="55">
        <f>_xll.EQNXTDZ($A$1,$B88,BB$5,$B$1)</f>
        <v>253.11199999999999</v>
      </c>
      <c r="BC88" s="55">
        <f>_xll.EQNXTDZ($A$1,$B88,BC$5,$B$1)</f>
        <v>0</v>
      </c>
      <c r="BD88" s="55">
        <f>_xll.EQNXTDZ($A$1,$B88,BD$5,$B$1)</f>
        <v>340.351</v>
      </c>
      <c r="BE88" s="55">
        <f>_xll.EQNXTDZ($A$1,$B88,BE$5,$B$1)</f>
        <v>0</v>
      </c>
      <c r="BF88" s="55">
        <f>_xll.EQNXTDZ($A$1,$B88,BF$5,$B$1)</f>
        <v>294.39499999999998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82.165000000000006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74.353999999999999</v>
      </c>
      <c r="W89" s="55">
        <f>_xll.EQNXTDZ($A$1,$B89,W$5,$B$1)</f>
        <v>0</v>
      </c>
      <c r="X89" s="55">
        <f>_xll.EQNXTDZ($A$1,$B89,X$5,$B$1)</f>
        <v>103.123</v>
      </c>
      <c r="Y89" s="55">
        <f>_xll.EQNXTDZ($A$1,$B89,Y$5,$B$1)</f>
        <v>0</v>
      </c>
      <c r="Z89" s="55">
        <f>_xll.EQNXTDZ($A$1,$B89,Z$5,$B$1)</f>
        <v>127.166</v>
      </c>
      <c r="AA89" s="55">
        <f>_xll.EQNXTDZ($A$1,$B89,AA$5,$B$1)</f>
        <v>0</v>
      </c>
      <c r="AB89" s="55">
        <f>_xll.EQNXTDZ($A$1,$B89,AB$5,$B$1)</f>
        <v>127.357</v>
      </c>
      <c r="AC89" s="55">
        <f>_xll.EQNXTDZ($A$1,$B89,AC$5,$B$1)</f>
        <v>0</v>
      </c>
      <c r="AD89" s="55">
        <f>_xll.EQNXTDZ($A$1,$B89,AD$5,$B$1)</f>
        <v>159.14099999999999</v>
      </c>
      <c r="AE89" s="55">
        <f>_xll.EQNXTDZ($A$1,$B89,AE$5,$B$1)</f>
        <v>0</v>
      </c>
      <c r="AF89" s="55">
        <f>_xll.EQNXTDZ($A$1,$B89,AF$5,$B$1)</f>
        <v>174.22</v>
      </c>
      <c r="AG89" s="55">
        <f>_xll.EQNXTDZ($A$1,$B89,AG$5,$B$1)</f>
        <v>0</v>
      </c>
      <c r="AH89" s="55">
        <f>_xll.EQNXTDZ($A$1,$B89,AH$5,$B$1)</f>
        <v>216.80699999999999</v>
      </c>
      <c r="AI89" s="55">
        <f>_xll.EQNXTDZ($A$1,$B89,AI$5,$B$1)</f>
        <v>0</v>
      </c>
      <c r="AJ89" s="55">
        <f>_xll.EQNXTDZ($A$1,$B89,AJ$5,$B$1)</f>
        <v>181.06899999999999</v>
      </c>
      <c r="AK89" s="55">
        <f>_xll.EQNXTDZ($A$1,$B89,AK$5,$B$1)</f>
        <v>0</v>
      </c>
      <c r="AL89" s="55">
        <f>_xll.EQNXTDZ($A$1,$B89,AL$5,$B$1)</f>
        <v>256.64499999999998</v>
      </c>
      <c r="AM89" s="55">
        <f>_xll.EQNXTDZ($A$1,$B89,AM$5,$B$1)</f>
        <v>0</v>
      </c>
      <c r="AN89" s="55">
        <f>_xll.EQNXTDZ($A$1,$B89,AN$5,$B$1)</f>
        <v>244.631</v>
      </c>
      <c r="AO89" s="55">
        <f>_xll.EQNXTDZ($A$1,$B89,AO$5,$B$1)</f>
        <v>0</v>
      </c>
      <c r="AP89" s="55">
        <f>_xll.EQNXTDZ($A$1,$B89,AP$5,$B$1)</f>
        <v>258.2</v>
      </c>
      <c r="AQ89" s="55">
        <f>_xll.EQNXTDZ($A$1,$B89,AQ$5,$B$1)</f>
        <v>0</v>
      </c>
      <c r="AR89" s="55">
        <f>_xll.EQNXTDZ($A$1,$B89,AR$5,$B$1)</f>
        <v>279.96300000000002</v>
      </c>
      <c r="AS89" s="55">
        <f>_xll.EQNXTDZ($A$1,$B89,AS$5,$B$1)</f>
        <v>0</v>
      </c>
      <c r="AT89" s="55">
        <f>_xll.EQNXTDZ($A$1,$B89,AT$5,$B$1)</f>
        <v>368.31599999999997</v>
      </c>
      <c r="AU89" s="55">
        <f>_xll.EQNXTDZ($A$1,$B89,AU$5,$B$1)</f>
        <v>0</v>
      </c>
      <c r="AV89" s="55">
        <f>_xll.EQNXTDZ($A$1,$B89,AV$5,$B$1)</f>
        <v>435.15499999999997</v>
      </c>
      <c r="AW89" s="55">
        <f>_xll.EQNXTDZ($A$1,$B89,AW$5,$B$1)</f>
        <v>0</v>
      </c>
      <c r="AX89" s="55">
        <f>_xll.EQNXTDZ($A$1,$B89,AX$5,$B$1)</f>
        <v>420.03199999999998</v>
      </c>
      <c r="AY89" s="55">
        <f>_xll.EQNXTDZ($A$1,$B89,AY$5,$B$1)</f>
        <v>0</v>
      </c>
      <c r="AZ89" s="55">
        <f>_xll.EQNXTDZ($A$1,$B89,AZ$5,$B$1)</f>
        <v>486.488</v>
      </c>
      <c r="BA89" s="55">
        <f>_xll.EQNXTDZ($A$1,$B89,BA$5,$B$1)</f>
        <v>0</v>
      </c>
      <c r="BB89" s="55">
        <f>_xll.EQNXTDZ($A$1,$B89,BB$5,$B$1)</f>
        <v>417.90600000000001</v>
      </c>
      <c r="BC89" s="55">
        <f>_xll.EQNXTDZ($A$1,$B89,BC$5,$B$1)</f>
        <v>0</v>
      </c>
      <c r="BD89" s="55">
        <f>_xll.EQNXTDZ($A$1,$B89,BD$5,$B$1)</f>
        <v>455.09</v>
      </c>
      <c r="BE89" s="55">
        <f>_xll.EQNXTDZ($A$1,$B89,BE$5,$B$1)</f>
        <v>0</v>
      </c>
      <c r="BF89" s="55">
        <f>_xll.EQNXTDZ($A$1,$B89,BF$5,$B$1)</f>
        <v>465.19499999999999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55.954000000000001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74.415000000000006</v>
      </c>
      <c r="W91" s="55">
        <f>_xll.EQNXTDZ($A$1,$B91,W$5,$B$1)</f>
        <v>0</v>
      </c>
      <c r="X91" s="55">
        <f>_xll.EQNXTDZ($A$1,$B91,X$5,$B$1)</f>
        <v>65.501999999999995</v>
      </c>
      <c r="Y91" s="55">
        <f>_xll.EQNXTDZ($A$1,$B91,Y$5,$B$1)</f>
        <v>0</v>
      </c>
      <c r="Z91" s="55">
        <f>_xll.EQNXTDZ($A$1,$B91,Z$5,$B$1)</f>
        <v>141.38200000000001</v>
      </c>
      <c r="AA91" s="55">
        <f>_xll.EQNXTDZ($A$1,$B91,AA$5,$B$1)</f>
        <v>0</v>
      </c>
      <c r="AB91" s="55">
        <f>_xll.EQNXTDZ($A$1,$B91,AB$5,$B$1)</f>
        <v>174.69399999999999</v>
      </c>
      <c r="AC91" s="55">
        <f>_xll.EQNXTDZ($A$1,$B91,AC$5,$B$1)</f>
        <v>0</v>
      </c>
      <c r="AD91" s="55">
        <f>_xll.EQNXTDZ($A$1,$B91,AD$5,$B$1)</f>
        <v>175.51300000000001</v>
      </c>
      <c r="AE91" s="55">
        <f>_xll.EQNXTDZ($A$1,$B91,AE$5,$B$1)</f>
        <v>0</v>
      </c>
      <c r="AF91" s="55">
        <f>_xll.EQNXTDZ($A$1,$B91,AF$5,$B$1)</f>
        <v>202.84399999999999</v>
      </c>
      <c r="AG91" s="55">
        <f>_xll.EQNXTDZ($A$1,$B91,AG$5,$B$1)</f>
        <v>0</v>
      </c>
      <c r="AH91" s="55">
        <f>_xll.EQNXTDZ($A$1,$B91,AH$5,$B$1)</f>
        <v>212.572</v>
      </c>
      <c r="AI91" s="55">
        <f>_xll.EQNXTDZ($A$1,$B91,AI$5,$B$1)</f>
        <v>0</v>
      </c>
      <c r="AJ91" s="55">
        <f>_xll.EQNXTDZ($A$1,$B91,AJ$5,$B$1)</f>
        <v>121.104</v>
      </c>
      <c r="AK91" s="55">
        <f>_xll.EQNXTDZ($A$1,$B91,AK$5,$B$1)</f>
        <v>0</v>
      </c>
      <c r="AL91" s="55">
        <f>_xll.EQNXTDZ($A$1,$B91,AL$5,$B$1)</f>
        <v>113.071</v>
      </c>
      <c r="AM91" s="55">
        <f>_xll.EQNXTDZ($A$1,$B91,AM$5,$B$1)</f>
        <v>0</v>
      </c>
      <c r="AN91" s="55">
        <f>_xll.EQNXTDZ($A$1,$B91,AN$5,$B$1)</f>
        <v>212.517</v>
      </c>
      <c r="AO91" s="55">
        <f>_xll.EQNXTDZ($A$1,$B91,AO$5,$B$1)</f>
        <v>0</v>
      </c>
      <c r="AP91" s="55">
        <f>_xll.EQNXTDZ($A$1,$B91,AP$5,$B$1)</f>
        <v>223.83199999999999</v>
      </c>
      <c r="AQ91" s="55">
        <f>_xll.EQNXTDZ($A$1,$B91,AQ$5,$B$1)</f>
        <v>0</v>
      </c>
      <c r="AR91" s="55">
        <f>_xll.EQNXTDZ($A$1,$B91,AR$5,$B$1)</f>
        <v>264.096</v>
      </c>
      <c r="AS91" s="55">
        <f>_xll.EQNXTDZ($A$1,$B91,AS$5,$B$1)</f>
        <v>0</v>
      </c>
      <c r="AT91" s="55">
        <f>_xll.EQNXTDZ($A$1,$B91,AT$5,$B$1)</f>
        <v>447.685</v>
      </c>
      <c r="AU91" s="55">
        <f>_xll.EQNXTDZ($A$1,$B91,AU$5,$B$1)</f>
        <v>0</v>
      </c>
      <c r="AV91" s="55">
        <f>_xll.EQNXTDZ($A$1,$B91,AV$5,$B$1)</f>
        <v>372.88400000000001</v>
      </c>
      <c r="AW91" s="55">
        <f>_xll.EQNXTDZ($A$1,$B91,AW$5,$B$1)</f>
        <v>0</v>
      </c>
      <c r="AX91" s="55">
        <f>_xll.EQNXTDZ($A$1,$B91,AX$5,$B$1)</f>
        <v>240.95</v>
      </c>
      <c r="AY91" s="55">
        <f>_xll.EQNXTDZ($A$1,$B91,AY$5,$B$1)</f>
        <v>0</v>
      </c>
      <c r="AZ91" s="55">
        <f>_xll.EQNXTDZ($A$1,$B91,AZ$5,$B$1)</f>
        <v>373.33</v>
      </c>
      <c r="BA91" s="55">
        <f>_xll.EQNXTDZ($A$1,$B91,BA$5,$B$1)</f>
        <v>0</v>
      </c>
      <c r="BB91" s="55">
        <f>_xll.EQNXTDZ($A$1,$B91,BB$5,$B$1)</f>
        <v>447.54</v>
      </c>
      <c r="BC91" s="55">
        <f>_xll.EQNXTDZ($A$1,$B91,BC$5,$B$1)</f>
        <v>0</v>
      </c>
      <c r="BD91" s="55">
        <f>_xll.EQNXTDZ($A$1,$B91,BD$5,$B$1)</f>
        <v>612.33900000000006</v>
      </c>
      <c r="BE91" s="55">
        <f>_xll.EQNXTDZ($A$1,$B91,BE$5,$B$1)</f>
        <v>0</v>
      </c>
      <c r="BF91" s="55">
        <f>_xll.EQNXTDZ($A$1,$B91,BF$5,$B$1)</f>
        <v>1017.447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3.4350000000000001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5.7000000000000002E-2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0.59599999999999997</v>
      </c>
      <c r="AA92" s="55">
        <f>_xll.EQNXTDZ($A$1,$B92,AA$5,$B$1)</f>
        <v>0</v>
      </c>
      <c r="AB92" s="55">
        <f>_xll.EQNXTDZ($A$1,$B92,AB$5,$B$1)</f>
        <v>0.35399999999999998</v>
      </c>
      <c r="AC92" s="55">
        <f>_xll.EQNXTDZ($A$1,$B92,AC$5,$B$1)</f>
        <v>0</v>
      </c>
      <c r="AD92" s="55">
        <f>_xll.EQNXTDZ($A$1,$B92,AD$5,$B$1)</f>
        <v>0.47399999999999998</v>
      </c>
      <c r="AE92" s="55">
        <f>_xll.EQNXTDZ($A$1,$B92,AE$5,$B$1)</f>
        <v>0</v>
      </c>
      <c r="AF92" s="55">
        <f>_xll.EQNXTDZ($A$1,$B92,AF$5,$B$1)</f>
        <v>0.91600000000000004</v>
      </c>
      <c r="AG92" s="55">
        <f>_xll.EQNXTDZ($A$1,$B92,AG$5,$B$1)</f>
        <v>0</v>
      </c>
      <c r="AH92" s="55">
        <f>_xll.EQNXTDZ($A$1,$B92,AH$5,$B$1)</f>
        <v>1.048</v>
      </c>
      <c r="AI92" s="55">
        <f>_xll.EQNXTDZ($A$1,$B92,AI$5,$B$1)</f>
        <v>0</v>
      </c>
      <c r="AJ92" s="55">
        <f>_xll.EQNXTDZ($A$1,$B92,AJ$5,$B$1)</f>
        <v>1.052</v>
      </c>
      <c r="AK92" s="55">
        <f>_xll.EQNXTDZ($A$1,$B92,AK$5,$B$1)</f>
        <v>0</v>
      </c>
      <c r="AL92" s="55">
        <f>_xll.EQNXTDZ($A$1,$B92,AL$5,$B$1)</f>
        <v>1.0509999999999999</v>
      </c>
      <c r="AM92" s="55">
        <f>_xll.EQNXTDZ($A$1,$B92,AM$5,$B$1)</f>
        <v>0</v>
      </c>
      <c r="AN92" s="55">
        <f>_xll.EQNXTDZ($A$1,$B92,AN$5,$B$1)</f>
        <v>1.3129999999999999</v>
      </c>
      <c r="AO92" s="55">
        <f>_xll.EQNXTDZ($A$1,$B92,AO$5,$B$1)</f>
        <v>0</v>
      </c>
      <c r="AP92" s="55">
        <f>_xll.EQNXTDZ($A$1,$B92,AP$5,$B$1)</f>
        <v>0.19600000000000001</v>
      </c>
      <c r="AQ92" s="55">
        <f>_xll.EQNXTDZ($A$1,$B92,AQ$5,$B$1)</f>
        <v>0</v>
      </c>
      <c r="AR92" s="55">
        <f>_xll.EQNXTDZ($A$1,$B92,AR$5,$B$1)</f>
        <v>0.80200000000000005</v>
      </c>
      <c r="AS92" s="55">
        <f>_xll.EQNXTDZ($A$1,$B92,AS$5,$B$1)</f>
        <v>0</v>
      </c>
      <c r="AT92" s="55">
        <f>_xll.EQNXTDZ($A$1,$B92,AT$5,$B$1)</f>
        <v>1.286</v>
      </c>
      <c r="AU92" s="55">
        <f>_xll.EQNXTDZ($A$1,$B92,AU$5,$B$1)</f>
        <v>0</v>
      </c>
      <c r="AV92" s="55">
        <f>_xll.EQNXTDZ($A$1,$B92,AV$5,$B$1)</f>
        <v>2.3679999999999999</v>
      </c>
      <c r="AW92" s="55">
        <f>_xll.EQNXTDZ($A$1,$B92,AW$5,$B$1)</f>
        <v>0</v>
      </c>
      <c r="AX92" s="55">
        <f>_xll.EQNXTDZ($A$1,$B92,AX$5,$B$1)</f>
        <v>3.1419999999999999</v>
      </c>
      <c r="AY92" s="55">
        <f>_xll.EQNXTDZ($A$1,$B92,AY$5,$B$1)</f>
        <v>0</v>
      </c>
      <c r="AZ92" s="55">
        <f>_xll.EQNXTDZ($A$1,$B92,AZ$5,$B$1)</f>
        <v>1.6619999999999999</v>
      </c>
      <c r="BA92" s="55">
        <f>_xll.EQNXTDZ($A$1,$B92,BA$5,$B$1)</f>
        <v>0</v>
      </c>
      <c r="BB92" s="55">
        <f>_xll.EQNXTDZ($A$1,$B92,BB$5,$B$1)</f>
        <v>4.2619999999999996</v>
      </c>
      <c r="BC92" s="55">
        <f>_xll.EQNXTDZ($A$1,$B92,BC$5,$B$1)</f>
        <v>0</v>
      </c>
      <c r="BD92" s="55">
        <f>_xll.EQNXTDZ($A$1,$B92,BD$5,$B$1)</f>
        <v>4.0439999999999996</v>
      </c>
      <c r="BE92" s="55">
        <f>_xll.EQNXTDZ($A$1,$B92,BE$5,$B$1)</f>
        <v>0</v>
      </c>
      <c r="BF92" s="55">
        <f>_xll.EQNXTDZ($A$1,$B92,BF$5,$B$1)</f>
        <v>11.538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186.41900000000001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218.559</v>
      </c>
      <c r="W93" s="55">
        <f>_xll.EQNXTDZ($A$1,$B93,W$5,$B$1)</f>
        <v>0</v>
      </c>
      <c r="X93" s="55">
        <f>_xll.EQNXTDZ($A$1,$B93,X$5,$B$1)</f>
        <v>220.35400000000001</v>
      </c>
      <c r="Y93" s="55">
        <f>_xll.EQNXTDZ($A$1,$B93,Y$5,$B$1)</f>
        <v>0</v>
      </c>
      <c r="Z93" s="55">
        <f>_xll.EQNXTDZ($A$1,$B93,Z$5,$B$1)</f>
        <v>295.55399999999997</v>
      </c>
      <c r="AA93" s="55">
        <f>_xll.EQNXTDZ($A$1,$B93,AA$5,$B$1)</f>
        <v>0</v>
      </c>
      <c r="AB93" s="55">
        <f>_xll.EQNXTDZ($A$1,$B93,AB$5,$B$1)</f>
        <v>325.06900000000002</v>
      </c>
      <c r="AC93" s="55">
        <f>_xll.EQNXTDZ($A$1,$B93,AC$5,$B$1)</f>
        <v>0</v>
      </c>
      <c r="AD93" s="55">
        <f>_xll.EQNXTDZ($A$1,$B93,AD$5,$B$1)</f>
        <v>364.51100000000002</v>
      </c>
      <c r="AE93" s="55">
        <f>_xll.EQNXTDZ($A$1,$B93,AE$5,$B$1)</f>
        <v>0</v>
      </c>
      <c r="AF93" s="55">
        <f>_xll.EQNXTDZ($A$1,$B93,AF$5,$B$1)</f>
        <v>453.05700000000002</v>
      </c>
      <c r="AG93" s="55">
        <f>_xll.EQNXTDZ($A$1,$B93,AG$5,$B$1)</f>
        <v>0</v>
      </c>
      <c r="AH93" s="55">
        <f>_xll.EQNXTDZ($A$1,$B93,AH$5,$B$1)</f>
        <v>503.64</v>
      </c>
      <c r="AI93" s="55">
        <f>_xll.EQNXTDZ($A$1,$B93,AI$5,$B$1)</f>
        <v>0</v>
      </c>
      <c r="AJ93" s="55">
        <f>_xll.EQNXTDZ($A$1,$B93,AJ$5,$B$1)</f>
        <v>417.738</v>
      </c>
      <c r="AK93" s="55">
        <f>_xll.EQNXTDZ($A$1,$B93,AK$5,$B$1)</f>
        <v>0</v>
      </c>
      <c r="AL93" s="55">
        <f>_xll.EQNXTDZ($A$1,$B93,AL$5,$B$1)</f>
        <v>451.851</v>
      </c>
      <c r="AM93" s="55">
        <f>_xll.EQNXTDZ($A$1,$B93,AM$5,$B$1)</f>
        <v>0</v>
      </c>
      <c r="AN93" s="55">
        <f>_xll.EQNXTDZ($A$1,$B93,AN$5,$B$1)</f>
        <v>623.96600000000001</v>
      </c>
      <c r="AO93" s="55">
        <f>_xll.EQNXTDZ($A$1,$B93,AO$5,$B$1)</f>
        <v>0</v>
      </c>
      <c r="AP93" s="55">
        <f>_xll.EQNXTDZ($A$1,$B93,AP$5,$B$1)</f>
        <v>564.70399999999995</v>
      </c>
      <c r="AQ93" s="55">
        <f>_xll.EQNXTDZ($A$1,$B93,AQ$5,$B$1)</f>
        <v>0</v>
      </c>
      <c r="AR93" s="55">
        <f>_xll.EQNXTDZ($A$1,$B93,AR$5,$B$1)</f>
        <v>681.91200000000003</v>
      </c>
      <c r="AS93" s="55">
        <f>_xll.EQNXTDZ($A$1,$B93,AS$5,$B$1)</f>
        <v>0</v>
      </c>
      <c r="AT93" s="55">
        <f>_xll.EQNXTDZ($A$1,$B93,AT$5,$B$1)</f>
        <v>924.21</v>
      </c>
      <c r="AU93" s="55">
        <f>_xll.EQNXTDZ($A$1,$B93,AU$5,$B$1)</f>
        <v>0</v>
      </c>
      <c r="AV93" s="55">
        <f>_xll.EQNXTDZ($A$1,$B93,AV$5,$B$1)</f>
        <v>1187.7370000000001</v>
      </c>
      <c r="AW93" s="55">
        <f>_xll.EQNXTDZ($A$1,$B93,AW$5,$B$1)</f>
        <v>0</v>
      </c>
      <c r="AX93" s="55">
        <f>_xll.EQNXTDZ($A$1,$B93,AX$5,$B$1)</f>
        <v>1077.5150000000001</v>
      </c>
      <c r="AY93" s="55">
        <f>_xll.EQNXTDZ($A$1,$B93,AY$5,$B$1)</f>
        <v>0</v>
      </c>
      <c r="AZ93" s="55">
        <f>_xll.EQNXTDZ($A$1,$B93,AZ$5,$B$1)</f>
        <v>1107.402</v>
      </c>
      <c r="BA93" s="55">
        <f>_xll.EQNXTDZ($A$1,$B93,BA$5,$B$1)</f>
        <v>0</v>
      </c>
      <c r="BB93" s="55">
        <f>_xll.EQNXTDZ($A$1,$B93,BB$5,$B$1)</f>
        <v>1122.82</v>
      </c>
      <c r="BC93" s="55">
        <f>_xll.EQNXTDZ($A$1,$B93,BC$5,$B$1)</f>
        <v>0</v>
      </c>
      <c r="BD93" s="55">
        <f>_xll.EQNXTDZ($A$1,$B93,BD$5,$B$1)</f>
        <v>1411.8240000000001</v>
      </c>
      <c r="BE93" s="55">
        <f>_xll.EQNXTDZ($A$1,$B93,BE$5,$B$1)</f>
        <v>0</v>
      </c>
      <c r="BF93" s="55">
        <f>_xll.EQNXTDZ($A$1,$B93,BF$5,$B$1)</f>
        <v>1788.575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-4.4360000000000097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-11.302</v>
      </c>
      <c r="W94" s="55">
        <f>_xll.EQNXTDZ($A$1,$B94,W$5,$B$1)</f>
        <v>0</v>
      </c>
      <c r="X94" s="55">
        <f>_xll.EQNXTDZ($A$1,$B94,X$5,$B$1)</f>
        <v>172.94800000000001</v>
      </c>
      <c r="Y94" s="55">
        <f>_xll.EQNXTDZ($A$1,$B94,Y$5,$B$1)</f>
        <v>0</v>
      </c>
      <c r="Z94" s="55">
        <f>_xll.EQNXTDZ($A$1,$B94,Z$5,$B$1)</f>
        <v>129.381</v>
      </c>
      <c r="AA94" s="55">
        <f>_xll.EQNXTDZ($A$1,$B94,AA$5,$B$1)</f>
        <v>0</v>
      </c>
      <c r="AB94" s="55">
        <f>_xll.EQNXTDZ($A$1,$B94,AB$5,$B$1)</f>
        <v>156.477</v>
      </c>
      <c r="AC94" s="55">
        <f>_xll.EQNXTDZ($A$1,$B94,AC$5,$B$1)</f>
        <v>0</v>
      </c>
      <c r="AD94" s="55">
        <f>_xll.EQNXTDZ($A$1,$B94,AD$5,$B$1)</f>
        <v>176.988</v>
      </c>
      <c r="AE94" s="55">
        <f>_xll.EQNXTDZ($A$1,$B94,AE$5,$B$1)</f>
        <v>0</v>
      </c>
      <c r="AF94" s="55">
        <f>_xll.EQNXTDZ($A$1,$B94,AF$5,$B$1)</f>
        <v>173.523</v>
      </c>
      <c r="AG94" s="55">
        <f>_xll.EQNXTDZ($A$1,$B94,AG$5,$B$1)</f>
        <v>0</v>
      </c>
      <c r="AH94" s="55">
        <f>_xll.EQNXTDZ($A$1,$B94,AH$5,$B$1)</f>
        <v>195.43</v>
      </c>
      <c r="AI94" s="55">
        <f>_xll.EQNXTDZ($A$1,$B94,AI$5,$B$1)</f>
        <v>0</v>
      </c>
      <c r="AJ94" s="55">
        <f>_xll.EQNXTDZ($A$1,$B94,AJ$5,$B$1)</f>
        <v>217.208</v>
      </c>
      <c r="AK94" s="55">
        <f>_xll.EQNXTDZ($A$1,$B94,AK$5,$B$1)</f>
        <v>0</v>
      </c>
      <c r="AL94" s="55">
        <f>_xll.EQNXTDZ($A$1,$B94,AL$5,$B$1)</f>
        <v>240.82</v>
      </c>
      <c r="AM94" s="55">
        <f>_xll.EQNXTDZ($A$1,$B94,AM$5,$B$1)</f>
        <v>0</v>
      </c>
      <c r="AN94" s="55">
        <f>_xll.EQNXTDZ($A$1,$B94,AN$5,$B$1)</f>
        <v>242.11199999999999</v>
      </c>
      <c r="AO94" s="55">
        <f>_xll.EQNXTDZ($A$1,$B94,AO$5,$B$1)</f>
        <v>0</v>
      </c>
      <c r="AP94" s="55">
        <f>_xll.EQNXTDZ($A$1,$B94,AP$5,$B$1)</f>
        <v>256.37799999999999</v>
      </c>
      <c r="AQ94" s="55">
        <f>_xll.EQNXTDZ($A$1,$B94,AQ$5,$B$1)</f>
        <v>0</v>
      </c>
      <c r="AR94" s="55">
        <f>_xll.EQNXTDZ($A$1,$B94,AR$5,$B$1)</f>
        <v>324.733</v>
      </c>
      <c r="AS94" s="55">
        <f>_xll.EQNXTDZ($A$1,$B94,AS$5,$B$1)</f>
        <v>0</v>
      </c>
      <c r="AT94" s="55">
        <f>_xll.EQNXTDZ($A$1,$B94,AT$5,$B$1)</f>
        <v>357.96600000000001</v>
      </c>
      <c r="AU94" s="55">
        <f>_xll.EQNXTDZ($A$1,$B94,AU$5,$B$1)</f>
        <v>0</v>
      </c>
      <c r="AV94" s="55">
        <f>_xll.EQNXTDZ($A$1,$B94,AV$5,$B$1)</f>
        <v>381.88499999999999</v>
      </c>
      <c r="AW94" s="55">
        <f>_xll.EQNXTDZ($A$1,$B94,AW$5,$B$1)</f>
        <v>0</v>
      </c>
      <c r="AX94" s="55">
        <f>_xll.EQNXTDZ($A$1,$B94,AX$5,$B$1)</f>
        <v>452.14800000000002</v>
      </c>
      <c r="AY94" s="55">
        <f>_xll.EQNXTDZ($A$1,$B94,AY$5,$B$1)</f>
        <v>0</v>
      </c>
      <c r="AZ94" s="55">
        <f>_xll.EQNXTDZ($A$1,$B94,AZ$5,$B$1)</f>
        <v>697.89400000000001</v>
      </c>
      <c r="BA94" s="55">
        <f>_xll.EQNXTDZ($A$1,$B94,BA$5,$B$1)</f>
        <v>0</v>
      </c>
      <c r="BB94" s="55">
        <f>_xll.EQNXTDZ($A$1,$B94,BB$5,$B$1)</f>
        <v>656.51800000000003</v>
      </c>
      <c r="BC94" s="55">
        <f>_xll.EQNXTDZ($A$1,$B94,BC$5,$B$1)</f>
        <v>0</v>
      </c>
      <c r="BD94" s="55">
        <f>_xll.EQNXTDZ($A$1,$B94,BD$5,$B$1)</f>
        <v>642.78399999999999</v>
      </c>
      <c r="BE94" s="55">
        <f>_xll.EQNXTDZ($A$1,$B94,BE$5,$B$1)</f>
        <v>0</v>
      </c>
      <c r="BF94" s="55">
        <f>_xll.EQNXTDZ($A$1,$B94,BF$5,$B$1)</f>
        <v>598.40499999999997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2.4609999999999999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2.8330000000000002</v>
      </c>
      <c r="W96" s="55">
        <f>_xll.EQNXTDZ($A$1,$B96,W$5,$B$1)</f>
        <v>0</v>
      </c>
      <c r="X96" s="55">
        <f>_xll.EQNXTDZ($A$1,$B96,X$5,$B$1)</f>
        <v>1.33</v>
      </c>
      <c r="Y96" s="55">
        <f>_xll.EQNXTDZ($A$1,$B96,Y$5,$B$1)</f>
        <v>0</v>
      </c>
      <c r="Z96" s="55">
        <f>_xll.EQNXTDZ($A$1,$B96,Z$5,$B$1)</f>
        <v>2.7970000000000002</v>
      </c>
      <c r="AA96" s="55">
        <f>_xll.EQNXTDZ($A$1,$B96,AA$5,$B$1)</f>
        <v>0</v>
      </c>
      <c r="AB96" s="55">
        <f>_xll.EQNXTDZ($A$1,$B96,AB$5,$B$1)</f>
        <v>3.1429999999999998</v>
      </c>
      <c r="AC96" s="55">
        <f>_xll.EQNXTDZ($A$1,$B96,AC$5,$B$1)</f>
        <v>0</v>
      </c>
      <c r="AD96" s="55">
        <f>_xll.EQNXTDZ($A$1,$B96,AD$5,$B$1)</f>
        <v>5.9210000000000003</v>
      </c>
      <c r="AE96" s="55">
        <f>_xll.EQNXTDZ($A$1,$B96,AE$5,$B$1)</f>
        <v>0</v>
      </c>
      <c r="AF96" s="55">
        <f>_xll.EQNXTDZ($A$1,$B96,AF$5,$B$1)</f>
        <v>5.8559999999999999</v>
      </c>
      <c r="AG96" s="55">
        <f>_xll.EQNXTDZ($A$1,$B96,AG$5,$B$1)</f>
        <v>0</v>
      </c>
      <c r="AH96" s="55">
        <f>_xll.EQNXTDZ($A$1,$B96,AH$5,$B$1)</f>
        <v>6.9640000000000004</v>
      </c>
      <c r="AI96" s="55">
        <f>_xll.EQNXTDZ($A$1,$B96,AI$5,$B$1)</f>
        <v>0</v>
      </c>
      <c r="AJ96" s="55">
        <f>_xll.EQNXTDZ($A$1,$B96,AJ$5,$B$1)</f>
        <v>7.7510000000000003</v>
      </c>
      <c r="AK96" s="55">
        <f>_xll.EQNXTDZ($A$1,$B96,AK$5,$B$1)</f>
        <v>0</v>
      </c>
      <c r="AL96" s="55">
        <f>_xll.EQNXTDZ($A$1,$B96,AL$5,$B$1)</f>
        <v>9.7309999999999999</v>
      </c>
      <c r="AM96" s="55">
        <f>_xll.EQNXTDZ($A$1,$B96,AM$5,$B$1)</f>
        <v>0</v>
      </c>
      <c r="AN96" s="55">
        <f>_xll.EQNXTDZ($A$1,$B96,AN$5,$B$1)</f>
        <v>10.84</v>
      </c>
      <c r="AO96" s="55">
        <f>_xll.EQNXTDZ($A$1,$B96,AO$5,$B$1)</f>
        <v>0</v>
      </c>
      <c r="AP96" s="55">
        <f>_xll.EQNXTDZ($A$1,$B96,AP$5,$B$1)</f>
        <v>11.47</v>
      </c>
      <c r="AQ96" s="55">
        <f>_xll.EQNXTDZ($A$1,$B96,AQ$5,$B$1)</f>
        <v>0</v>
      </c>
      <c r="AR96" s="55">
        <f>_xll.EQNXTDZ($A$1,$B96,AR$5,$B$1)</f>
        <v>11.798</v>
      </c>
      <c r="AS96" s="55">
        <f>_xll.EQNXTDZ($A$1,$B96,AS$5,$B$1)</f>
        <v>0</v>
      </c>
      <c r="AT96" s="55">
        <f>_xll.EQNXTDZ($A$1,$B96,AT$5,$B$1)</f>
        <v>12.923999999999999</v>
      </c>
      <c r="AU96" s="55">
        <f>_xll.EQNXTDZ($A$1,$B96,AU$5,$B$1)</f>
        <v>0</v>
      </c>
      <c r="AV96" s="55">
        <f>_xll.EQNXTDZ($A$1,$B96,AV$5,$B$1)</f>
        <v>14.333</v>
      </c>
      <c r="AW96" s="55">
        <f>_xll.EQNXTDZ($A$1,$B96,AW$5,$B$1)</f>
        <v>0</v>
      </c>
      <c r="AX96" s="55">
        <f>_xll.EQNXTDZ($A$1,$B96,AX$5,$B$1)</f>
        <v>19.385999999999999</v>
      </c>
      <c r="AY96" s="55">
        <f>_xll.EQNXTDZ($A$1,$B96,AY$5,$B$1)</f>
        <v>0</v>
      </c>
      <c r="AZ96" s="55">
        <f>_xll.EQNXTDZ($A$1,$B96,AZ$5,$B$1)</f>
        <v>22.466999999999999</v>
      </c>
      <c r="BA96" s="55">
        <f>_xll.EQNXTDZ($A$1,$B96,BA$5,$B$1)</f>
        <v>0</v>
      </c>
      <c r="BB96" s="55">
        <f>_xll.EQNXTDZ($A$1,$B96,BB$5,$B$1)</f>
        <v>27.446999999999999</v>
      </c>
      <c r="BC96" s="55">
        <f>_xll.EQNXTDZ($A$1,$B96,BC$5,$B$1)</f>
        <v>0</v>
      </c>
      <c r="BD96" s="55">
        <f>_xll.EQNXTDZ($A$1,$B96,BD$5,$B$1)</f>
        <v>30.87</v>
      </c>
      <c r="BE96" s="55">
        <f>_xll.EQNXTDZ($A$1,$B96,BE$5,$B$1)</f>
        <v>0</v>
      </c>
      <c r="BF96" s="55">
        <f>_xll.EQNXTDZ($A$1,$B96,BF$5,$B$1)</f>
        <v>45.216999999999999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66.132999999999996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109.56100000000001</v>
      </c>
      <c r="W97" s="55">
        <f>_xll.EQNXTDZ($A$1,$B97,W$5,$B$1)</f>
        <v>0</v>
      </c>
      <c r="X97" s="55">
        <f>_xll.EQNXTDZ($A$1,$B97,X$5,$B$1)</f>
        <v>266.483</v>
      </c>
      <c r="Y97" s="55">
        <f>_xll.EQNXTDZ($A$1,$B97,Y$5,$B$1)</f>
        <v>0</v>
      </c>
      <c r="Z97" s="55">
        <f>_xll.EQNXTDZ($A$1,$B97,Z$5,$B$1)</f>
        <v>304.17200000000003</v>
      </c>
      <c r="AA97" s="55">
        <f>_xll.EQNXTDZ($A$1,$B97,AA$5,$B$1)</f>
        <v>0</v>
      </c>
      <c r="AB97" s="55">
        <f>_xll.EQNXTDZ($A$1,$B97,AB$5,$B$1)</f>
        <v>320.649</v>
      </c>
      <c r="AC97" s="55">
        <f>_xll.EQNXTDZ($A$1,$B97,AC$5,$B$1)</f>
        <v>0</v>
      </c>
      <c r="AD97" s="55">
        <f>_xll.EQNXTDZ($A$1,$B97,AD$5,$B$1)</f>
        <v>370.57</v>
      </c>
      <c r="AE97" s="55">
        <f>_xll.EQNXTDZ($A$1,$B97,AE$5,$B$1)</f>
        <v>0</v>
      </c>
      <c r="AF97" s="55">
        <f>_xll.EQNXTDZ($A$1,$B97,AF$5,$B$1)</f>
        <v>406.39600000000002</v>
      </c>
      <c r="AG97" s="55">
        <f>_xll.EQNXTDZ($A$1,$B97,AG$5,$B$1)</f>
        <v>0</v>
      </c>
      <c r="AH97" s="55">
        <f>_xll.EQNXTDZ($A$1,$B97,AH$5,$B$1)</f>
        <v>459.30399999999997</v>
      </c>
      <c r="AI97" s="55">
        <f>_xll.EQNXTDZ($A$1,$B97,AI$5,$B$1)</f>
        <v>0</v>
      </c>
      <c r="AJ97" s="55">
        <f>_xll.EQNXTDZ($A$1,$B97,AJ$5,$B$1)</f>
        <v>469.32600000000002</v>
      </c>
      <c r="AK97" s="55">
        <f>_xll.EQNXTDZ($A$1,$B97,AK$5,$B$1)</f>
        <v>0</v>
      </c>
      <c r="AL97" s="55">
        <f>_xll.EQNXTDZ($A$1,$B97,AL$5,$B$1)</f>
        <v>539.47299999999996</v>
      </c>
      <c r="AM97" s="55">
        <f>_xll.EQNXTDZ($A$1,$B97,AM$5,$B$1)</f>
        <v>0</v>
      </c>
      <c r="AN97" s="55">
        <f>_xll.EQNXTDZ($A$1,$B97,AN$5,$B$1)</f>
        <v>607.29</v>
      </c>
      <c r="AO97" s="55">
        <f>_xll.EQNXTDZ($A$1,$B97,AO$5,$B$1)</f>
        <v>0</v>
      </c>
      <c r="AP97" s="55">
        <f>_xll.EQNXTDZ($A$1,$B97,AP$5,$B$1)</f>
        <v>705.65899999999999</v>
      </c>
      <c r="AQ97" s="55">
        <f>_xll.EQNXTDZ($A$1,$B97,AQ$5,$B$1)</f>
        <v>0</v>
      </c>
      <c r="AR97" s="55">
        <f>_xll.EQNXTDZ($A$1,$B97,AR$5,$B$1)</f>
        <v>742.48599999999999</v>
      </c>
      <c r="AS97" s="55">
        <f>_xll.EQNXTDZ($A$1,$B97,AS$5,$B$1)</f>
        <v>0</v>
      </c>
      <c r="AT97" s="55">
        <f>_xll.EQNXTDZ($A$1,$B97,AT$5,$B$1)</f>
        <v>841.18799999999999</v>
      </c>
      <c r="AU97" s="55">
        <f>_xll.EQNXTDZ($A$1,$B97,AU$5,$B$1)</f>
        <v>0</v>
      </c>
      <c r="AV97" s="55">
        <f>_xll.EQNXTDZ($A$1,$B97,AV$5,$B$1)</f>
        <v>892.875</v>
      </c>
      <c r="AW97" s="55">
        <f>_xll.EQNXTDZ($A$1,$B97,AW$5,$B$1)</f>
        <v>0</v>
      </c>
      <c r="AX97" s="55">
        <f>_xll.EQNXTDZ($A$1,$B97,AX$5,$B$1)</f>
        <v>959.23199999999997</v>
      </c>
      <c r="AY97" s="55">
        <f>_xll.EQNXTDZ($A$1,$B97,AY$5,$B$1)</f>
        <v>0</v>
      </c>
      <c r="AZ97" s="55">
        <f>_xll.EQNXTDZ($A$1,$B97,AZ$5,$B$1)</f>
        <v>1230.133</v>
      </c>
      <c r="BA97" s="55">
        <f>_xll.EQNXTDZ($A$1,$B97,BA$5,$B$1)</f>
        <v>0</v>
      </c>
      <c r="BB97" s="55">
        <f>_xll.EQNXTDZ($A$1,$B97,BB$5,$B$1)</f>
        <v>1230.2460000000001</v>
      </c>
      <c r="BC97" s="55">
        <f>_xll.EQNXTDZ($A$1,$B97,BC$5,$B$1)</f>
        <v>0</v>
      </c>
      <c r="BD97" s="55">
        <f>_xll.EQNXTDZ($A$1,$B97,BD$5,$B$1)</f>
        <v>1248.5309999999999</v>
      </c>
      <c r="BE97" s="55">
        <f>_xll.EQNXTDZ($A$1,$B97,BE$5,$B$1)</f>
        <v>0</v>
      </c>
      <c r="BF97" s="55">
        <f>_xll.EQNXTDZ($A$1,$B97,BF$5,$B$1)</f>
        <v>1300.3040000000001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284184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PSP Projects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178.64699999999999</v>
      </c>
      <c r="O6" s="100">
        <f>_xll.EQNXTDZ($A$1,$B6,O$1,$B$1)</f>
        <v>257.262</v>
      </c>
      <c r="P6" s="100">
        <f>_xll.EQNXTDZ($A$1,$B6,P$1,$B$1)</f>
        <v>210.43299999999999</v>
      </c>
      <c r="Q6" s="100">
        <f>_xll.EQNXTDZ($A$1,$B6,Q$1,$B$1)</f>
        <v>280.50700000000001</v>
      </c>
      <c r="R6" s="100">
        <f>_xll.EQNXTDZ($A$1,$B6,R$1,$B$1)</f>
        <v>475.97089999999997</v>
      </c>
      <c r="S6" s="100">
        <f>_xll.EQNXTDZ($A$1,$B6,S$1,$B$1)</f>
        <v>444.7783</v>
      </c>
      <c r="T6" s="100">
        <f>_xll.EQNXTDZ($A$1,$B6,T$1,$B$1)</f>
        <v>751.64689999999996</v>
      </c>
      <c r="U6" s="100">
        <f>_xll.EQNXTDZ($A$1,$B6,U$1,$B$1)</f>
        <v>1050.4066</v>
      </c>
      <c r="V6" s="100">
        <f>_xll.EQNXTDZ($A$1,$B6,V$1,$B$1)</f>
        <v>1499.2592999999999</v>
      </c>
      <c r="W6" s="100">
        <f>_xll.EQNXTDZ($A$1,$B6,W$1,$B$1)</f>
        <v>1240.8624</v>
      </c>
      <c r="X6" s="100">
        <f>_xll.EQNXTDZ($A$1,$B6,X$1,$B$1)</f>
        <v>1748.0633</v>
      </c>
      <c r="Y6" s="100">
        <f>_xll.EQNXTDZ($A$1,$B6,Y$1,$B$1)</f>
        <v>1937.806</v>
      </c>
      <c r="Z6" s="100">
        <f>_xll.EQNXTDZ($A$1,$B6,Z$1,$B$1)</f>
        <v>2505.7885000000001</v>
      </c>
      <c r="AA6" s="100">
        <f>_xll.EQNXTDZ($A$1,$B6,AA$1,$B$1)</f>
        <v>2512.1257000000001</v>
      </c>
      <c r="AB6" s="100">
        <f>_xll.EQNXTDZ($A$1,$B6,AB$1,$B$1)</f>
        <v>3148.6619000000001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5.0000000000000001E-3</v>
      </c>
      <c r="O9" s="100">
        <f>_xll.EQNXTDZ($A$1,$B9,O$1,$B$1)</f>
        <v>1.7000000000000001E-2</v>
      </c>
      <c r="P9" s="100">
        <f>_xll.EQNXTDZ($A$1,$B9,P$1,$B$1)</f>
        <v>1.0999999999999999E-2</v>
      </c>
      <c r="Q9" s="100">
        <f>_xll.EQNXTDZ($A$1,$B9,Q$1,$B$1)</f>
        <v>4.4999999999999998E-2</v>
      </c>
      <c r="R9" s="100">
        <f>_xll.EQNXTDZ($A$1,$B9,R$1,$B$1)</f>
        <v>1E-3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178.642</v>
      </c>
      <c r="O10" s="100">
        <f>_xll.EQNXTDZ($A$1,$B10,O$1,$B$1)</f>
        <v>257.245</v>
      </c>
      <c r="P10" s="100">
        <f>_xll.EQNXTDZ($A$1,$B10,P$1,$B$1)</f>
        <v>210.422</v>
      </c>
      <c r="Q10" s="100">
        <f>_xll.EQNXTDZ($A$1,$B10,Q$1,$B$1)</f>
        <v>280.46199999999999</v>
      </c>
      <c r="R10" s="100">
        <f>_xll.EQNXTDZ($A$1,$B10,R$1,$B$1)</f>
        <v>475.9699</v>
      </c>
      <c r="S10" s="100">
        <f>_xll.EQNXTDZ($A$1,$B10,S$1,$B$1)</f>
        <v>444.7783</v>
      </c>
      <c r="T10" s="100">
        <f>_xll.EQNXTDZ($A$1,$B10,T$1,$B$1)</f>
        <v>751.64689999999996</v>
      </c>
      <c r="U10" s="100">
        <f>_xll.EQNXTDZ($A$1,$B10,U$1,$B$1)</f>
        <v>1050.4066</v>
      </c>
      <c r="V10" s="100">
        <f>_xll.EQNXTDZ($A$1,$B10,V$1,$B$1)</f>
        <v>1499.2592999999999</v>
      </c>
      <c r="W10" s="100">
        <f>_xll.EQNXTDZ($A$1,$B10,W$1,$B$1)</f>
        <v>1240.8624</v>
      </c>
      <c r="X10" s="100">
        <f>_xll.EQNXTDZ($A$1,$B10,X$1,$B$1)</f>
        <v>1748.0633</v>
      </c>
      <c r="Y10" s="100">
        <f>_xll.EQNXTDZ($A$1,$B10,Y$1,$B$1)</f>
        <v>1937.806</v>
      </c>
      <c r="Z10" s="100">
        <f>_xll.EQNXTDZ($A$1,$B10,Z$1,$B$1)</f>
        <v>2505.7885000000001</v>
      </c>
      <c r="AA10" s="100">
        <f>_xll.EQNXTDZ($A$1,$B10,AA$1,$B$1)</f>
        <v>2512.1257000000001</v>
      </c>
      <c r="AB10" s="100">
        <f>_xll.EQNXTDZ($A$1,$B10,AB$1,$B$1)</f>
        <v>3148.6619000000001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1.4890000000000001</v>
      </c>
      <c r="O11" s="100">
        <f>_xll.EQNXTDZ($A$1,$B11,O$1,$B$1)</f>
        <v>-0.79100000000000004</v>
      </c>
      <c r="P11" s="100">
        <f>_xll.EQNXTDZ($A$1,$B11,P$1,$B$1)</f>
        <v>0.46100000000000002</v>
      </c>
      <c r="Q11" s="100">
        <f>_xll.EQNXTDZ($A$1,$B11,Q$1,$B$1)</f>
        <v>-1.6919999999999999</v>
      </c>
      <c r="R11" s="100">
        <f>_xll.EQNXTDZ($A$1,$B11,R$1,$B$1)</f>
        <v>-4.4714999999999998</v>
      </c>
      <c r="S11" s="100">
        <f>_xll.EQNXTDZ($A$1,$B11,S$1,$B$1)</f>
        <v>6.3970000000000002</v>
      </c>
      <c r="T11" s="100">
        <f>_xll.EQNXTDZ($A$1,$B11,T$1,$B$1)</f>
        <v>-10.254200000000001</v>
      </c>
      <c r="U11" s="100">
        <f>_xll.EQNXTDZ($A$1,$B11,U$1,$B$1)</f>
        <v>-17.9148</v>
      </c>
      <c r="V11" s="100">
        <f>_xll.EQNXTDZ($A$1,$B11,V$1,$B$1)</f>
        <v>8.3940999999999999</v>
      </c>
      <c r="W11" s="100">
        <f>_xll.EQNXTDZ($A$1,$B11,W$1,$B$1)</f>
        <v>-2.3652000000000002</v>
      </c>
      <c r="X11" s="100">
        <f>_xll.EQNXTDZ($A$1,$B11,X$1,$B$1)</f>
        <v>3.5867</v>
      </c>
      <c r="Y11" s="100">
        <f>_xll.EQNXTDZ($A$1,$B11,Y$1,$B$1)</f>
        <v>-21.261500000000002</v>
      </c>
      <c r="Z11" s="100">
        <f>_xll.EQNXTDZ($A$1,$B11,Z$1,$B$1)</f>
        <v>-169.25030000000001</v>
      </c>
      <c r="AA11" s="100">
        <f>_xll.EQNXTDZ($A$1,$B11,AA$1,$B$1)</f>
        <v>32.242199999999997</v>
      </c>
      <c r="AB11" s="100">
        <f>_xll.EQNXTDZ($A$1,$B11,AB$1,$B$1)</f>
        <v>19.7882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63.99</v>
      </c>
      <c r="O12" s="100">
        <f>_xll.EQNXTDZ($A$1,$B12,O$1,$B$1)</f>
        <v>98.759</v>
      </c>
      <c r="P12" s="100">
        <f>_xll.EQNXTDZ($A$1,$B12,P$1,$B$1)</f>
        <v>79.269000000000005</v>
      </c>
      <c r="Q12" s="100">
        <f>_xll.EQNXTDZ($A$1,$B12,Q$1,$B$1)</f>
        <v>133.327</v>
      </c>
      <c r="R12" s="100">
        <f>_xll.EQNXTDZ($A$1,$B12,R$1,$B$1)</f>
        <v>210.6876</v>
      </c>
      <c r="S12" s="100">
        <f>_xll.EQNXTDZ($A$1,$B12,S$1,$B$1)</f>
        <v>149.7063</v>
      </c>
      <c r="T12" s="100">
        <f>_xll.EQNXTDZ($A$1,$B12,T$1,$B$1)</f>
        <v>299.63279999999997</v>
      </c>
      <c r="U12" s="100">
        <f>_xll.EQNXTDZ($A$1,$B12,U$1,$B$1)</f>
        <v>433.69900000000001</v>
      </c>
      <c r="V12" s="100">
        <f>_xll.EQNXTDZ($A$1,$B12,V$1,$B$1)</f>
        <v>526.65930000000003</v>
      </c>
      <c r="W12" s="100">
        <f>_xll.EQNXTDZ($A$1,$B12,W$1,$B$1)</f>
        <v>398.13290000000001</v>
      </c>
      <c r="X12" s="100">
        <f>_xll.EQNXTDZ($A$1,$B12,X$1,$B$1)</f>
        <v>495.39080000000001</v>
      </c>
      <c r="Y12" s="100">
        <f>_xll.EQNXTDZ($A$1,$B12,Y$1,$B$1)</f>
        <v>602.77449999999999</v>
      </c>
      <c r="Z12" s="100">
        <f>_xll.EQNXTDZ($A$1,$B12,Z$1,$B$1)</f>
        <v>958.85040000000004</v>
      </c>
      <c r="AA12" s="100">
        <f>_xll.EQNXTDZ($A$1,$B12,AA$1,$B$1)</f>
        <v>785.96469999999999</v>
      </c>
      <c r="AB12" s="100">
        <f>_xll.EQNXTDZ($A$1,$B12,AB$1,$B$1)</f>
        <v>1168.2686000000001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1.292</v>
      </c>
      <c r="O13" s="100">
        <f>_xll.EQNXTDZ($A$1,$B13,O$1,$B$1)</f>
        <v>1.724</v>
      </c>
      <c r="P13" s="100">
        <f>_xll.EQNXTDZ($A$1,$B13,P$1,$B$1)</f>
        <v>1.9139999999999999</v>
      </c>
      <c r="Q13" s="100">
        <f>_xll.EQNXTDZ($A$1,$B13,Q$1,$B$1)</f>
        <v>2.8090000000000002</v>
      </c>
      <c r="R13" s="100">
        <f>_xll.EQNXTDZ($A$1,$B13,R$1,$B$1)</f>
        <v>1.1611</v>
      </c>
      <c r="S13" s="100">
        <f>_xll.EQNXTDZ($A$1,$B13,S$1,$B$1)</f>
        <v>7.3906000000000001</v>
      </c>
      <c r="T13" s="100">
        <f>_xll.EQNXTDZ($A$1,$B13,T$1,$B$1)</f>
        <v>11.1021</v>
      </c>
      <c r="U13" s="100">
        <f>_xll.EQNXTDZ($A$1,$B13,U$1,$B$1)</f>
        <v>16.584700000000002</v>
      </c>
      <c r="V13" s="100">
        <f>_xll.EQNXTDZ($A$1,$B13,V$1,$B$1)</f>
        <v>18.6615</v>
      </c>
      <c r="W13" s="100">
        <f>_xll.EQNXTDZ($A$1,$B13,W$1,$B$1)</f>
        <v>14.764200000000001</v>
      </c>
      <c r="X13" s="100">
        <f>_xll.EQNXTDZ($A$1,$B13,X$1,$B$1)</f>
        <v>24.9039</v>
      </c>
      <c r="Y13" s="100">
        <f>_xll.EQNXTDZ($A$1,$B13,Y$1,$B$1)</f>
        <v>28.300699999999999</v>
      </c>
      <c r="Z13" s="100">
        <f>_xll.EQNXTDZ($A$1,$B13,Z$1,$B$1)</f>
        <v>41.417299999999997</v>
      </c>
      <c r="AA13" s="100">
        <f>_xll.EQNXTDZ($A$1,$B13,AA$1,$B$1)</f>
        <v>35.014800000000001</v>
      </c>
      <c r="AB13" s="100">
        <f>_xll.EQNXTDZ($A$1,$B13,AB$1,$B$1)</f>
        <v>36.935299999999998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5.0720000000000001</v>
      </c>
      <c r="O14" s="100">
        <f>_xll.EQNXTDZ($A$1,$B14,O$1,$B$1)</f>
        <v>6.141</v>
      </c>
      <c r="P14" s="100">
        <f>_xll.EQNXTDZ($A$1,$B14,P$1,$B$1)</f>
        <v>6.95</v>
      </c>
      <c r="Q14" s="100">
        <f>_xll.EQNXTDZ($A$1,$B14,Q$1,$B$1)</f>
        <v>8.0779999999999994</v>
      </c>
      <c r="R14" s="100">
        <f>_xll.EQNXTDZ($A$1,$B14,R$1,$B$1)</f>
        <v>11.099</v>
      </c>
      <c r="S14" s="100">
        <f>_xll.EQNXTDZ($A$1,$B14,S$1,$B$1)</f>
        <v>15.1629</v>
      </c>
      <c r="T14" s="100">
        <f>_xll.EQNXTDZ($A$1,$B14,T$1,$B$1)</f>
        <v>22.615500000000001</v>
      </c>
      <c r="U14" s="100">
        <f>_xll.EQNXTDZ($A$1,$B14,U$1,$B$1)</f>
        <v>34.992600000000003</v>
      </c>
      <c r="V14" s="100">
        <f>_xll.EQNXTDZ($A$1,$B14,V$1,$B$1)</f>
        <v>51.166600000000003</v>
      </c>
      <c r="W14" s="100">
        <f>_xll.EQNXTDZ($A$1,$B14,W$1,$B$1)</f>
        <v>43.953299999999999</v>
      </c>
      <c r="X14" s="100">
        <f>_xll.EQNXTDZ($A$1,$B14,X$1,$B$1)</f>
        <v>55.529200000000003</v>
      </c>
      <c r="Y14" s="100">
        <f>_xll.EQNXTDZ($A$1,$B14,Y$1,$B$1)</f>
        <v>73.051500000000004</v>
      </c>
      <c r="Z14" s="100">
        <f>_xll.EQNXTDZ($A$1,$B14,Z$1,$B$1)</f>
        <v>104.1508</v>
      </c>
      <c r="AA14" s="100">
        <f>_xll.EQNXTDZ($A$1,$B14,AA$1,$B$1)</f>
        <v>109.0055</v>
      </c>
      <c r="AB14" s="100">
        <f>_xll.EQNXTDZ($A$1,$B14,AB$1,$B$1)</f>
        <v>133.1515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87.013999999999996</v>
      </c>
      <c r="O15" s="100">
        <f>_xll.EQNXTDZ($A$1,$B15,O$1,$B$1)</f>
        <v>122.788</v>
      </c>
      <c r="P15" s="100">
        <f>_xll.EQNXTDZ($A$1,$B15,P$1,$B$1)</f>
        <v>95.173000000000002</v>
      </c>
      <c r="Q15" s="100">
        <f>_xll.EQNXTDZ($A$1,$B15,Q$1,$B$1)</f>
        <v>93.757000000000005</v>
      </c>
      <c r="R15" s="100">
        <f>_xll.EQNXTDZ($A$1,$B15,R$1,$B$1)</f>
        <v>204.78100000000001</v>
      </c>
      <c r="S15" s="100">
        <f>_xll.EQNXTDZ($A$1,$B15,S$1,$B$1)</f>
        <v>181.10939999999999</v>
      </c>
      <c r="T15" s="100">
        <f>_xll.EQNXTDZ($A$1,$B15,T$1,$B$1)</f>
        <v>306.46120000000002</v>
      </c>
      <c r="U15" s="100">
        <f>_xll.EQNXTDZ($A$1,$B15,U$1,$B$1)</f>
        <v>412.65140000000002</v>
      </c>
      <c r="V15" s="100">
        <f>_xll.EQNXTDZ($A$1,$B15,V$1,$B$1)</f>
        <v>675.73109999999997</v>
      </c>
      <c r="W15" s="100">
        <f>_xll.EQNXTDZ($A$1,$B15,W$1,$B$1)</f>
        <v>623.15089999999998</v>
      </c>
      <c r="X15" s="100">
        <f>_xll.EQNXTDZ($A$1,$B15,X$1,$B$1)</f>
        <v>868.96109999999999</v>
      </c>
      <c r="Y15" s="100">
        <f>_xll.EQNXTDZ($A$1,$B15,Y$1,$B$1)</f>
        <v>973.87360000000001</v>
      </c>
      <c r="Z15" s="100">
        <f>_xll.EQNXTDZ($A$1,$B15,Z$1,$B$1)</f>
        <v>1234.1396</v>
      </c>
      <c r="AA15" s="100">
        <f>_xll.EQNXTDZ($A$1,$B15,AA$1,$B$1)</f>
        <v>1301.9754</v>
      </c>
      <c r="AB15" s="100">
        <f>_xll.EQNXTDZ($A$1,$B15,AB$1,$B$1)</f>
        <v>1486.1828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3.75</v>
      </c>
      <c r="O17" s="100">
        <f>_xll.EQNXTDZ($A$1,$B17,O$1,$B$1)</f>
        <v>6.2119999999999997</v>
      </c>
      <c r="P17" s="100">
        <f>_xll.EQNXTDZ($A$1,$B17,P$1,$B$1)</f>
        <v>8.7249999999999996</v>
      </c>
      <c r="Q17" s="100">
        <f>_xll.EQNXTDZ($A$1,$B17,Q$1,$B$1)</f>
        <v>21.440999999999999</v>
      </c>
      <c r="R17" s="100">
        <f>_xll.EQNXTDZ($A$1,$B17,R$1,$B$1)</f>
        <v>16.772300000000001</v>
      </c>
      <c r="S17" s="100">
        <f>_xll.EQNXTDZ($A$1,$B17,S$1,$B$1)</f>
        <v>15.834199999999999</v>
      </c>
      <c r="T17" s="100">
        <f>_xll.EQNXTDZ($A$1,$B17,T$1,$B$1)</f>
        <v>15.1594</v>
      </c>
      <c r="U17" s="100">
        <f>_xll.EQNXTDZ($A$1,$B17,U$1,$B$1)</f>
        <v>17.2027</v>
      </c>
      <c r="V17" s="100">
        <f>_xll.EQNXTDZ($A$1,$B17,V$1,$B$1)</f>
        <v>23.3706</v>
      </c>
      <c r="W17" s="100">
        <f>_xll.EQNXTDZ($A$1,$B17,W$1,$B$1)</f>
        <v>20.522300000000001</v>
      </c>
      <c r="X17" s="100">
        <f>_xll.EQNXTDZ($A$1,$B17,X$1,$B$1)</f>
        <v>33.427</v>
      </c>
      <c r="Y17" s="100">
        <f>_xll.EQNXTDZ($A$1,$B17,Y$1,$B$1)</f>
        <v>39.753700000000002</v>
      </c>
      <c r="Z17" s="100">
        <f>_xll.EQNXTDZ($A$1,$B17,Z$1,$B$1)</f>
        <v>51.5672</v>
      </c>
      <c r="AA17" s="100">
        <f>_xll.EQNXTDZ($A$1,$B17,AA$1,$B$1)</f>
        <v>46.395899999999997</v>
      </c>
      <c r="AB17" s="100">
        <f>_xll.EQNXTDZ($A$1,$B17,AB$1,$B$1)</f>
        <v>61.109499999999997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1.0999999999999999E-2</v>
      </c>
      <c r="O18" s="100">
        <f>_xll.EQNXTDZ($A$1,$B18,O$1,$B$1)</f>
        <v>0.01</v>
      </c>
      <c r="P18" s="100">
        <f>_xll.EQNXTDZ($A$1,$B18,P$1,$B$1)</f>
        <v>1.2E-2</v>
      </c>
      <c r="Q18" s="100">
        <f>_xll.EQNXTDZ($A$1,$B18,Q$1,$B$1)</f>
        <v>5.3999999999999999E-2</v>
      </c>
      <c r="R18" s="100">
        <f>_xll.EQNXTDZ($A$1,$B18,R$1,$B$1)</f>
        <v>3.4500000000000003E-2</v>
      </c>
      <c r="S18" s="100">
        <f>_xll.EQNXTDZ($A$1,$B18,S$1,$B$1)</f>
        <v>0.1118</v>
      </c>
      <c r="T18" s="100">
        <f>_xll.EQNXTDZ($A$1,$B18,T$1,$B$1)</f>
        <v>0.27739999999999998</v>
      </c>
      <c r="U18" s="100">
        <f>_xll.EQNXTDZ($A$1,$B18,U$1,$B$1)</f>
        <v>0.51619999999999999</v>
      </c>
      <c r="V18" s="100">
        <f>_xll.EQNXTDZ($A$1,$B18,V$1,$B$1)</f>
        <v>0.77029999999999998</v>
      </c>
      <c r="W18" s="100">
        <f>_xll.EQNXTDZ($A$1,$B18,W$1,$B$1)</f>
        <v>0.18909999999999999</v>
      </c>
      <c r="X18" s="100">
        <f>_xll.EQNXTDZ($A$1,$B18,X$1,$B$1)</f>
        <v>0.3599</v>
      </c>
      <c r="Y18" s="100">
        <f>_xll.EQNXTDZ($A$1,$B18,Y$1,$B$1)</f>
        <v>0.90910000000000002</v>
      </c>
      <c r="Z18" s="100">
        <f>_xll.EQNXTDZ($A$1,$B18,Z$1,$B$1)</f>
        <v>0.72419999999999995</v>
      </c>
      <c r="AA18" s="100">
        <f>_xll.EQNXTDZ($A$1,$B18,AA$1,$B$1)</f>
        <v>0.60470000000000002</v>
      </c>
      <c r="AB18" s="100">
        <f>_xll.EQNXTDZ($A$1,$B18,AB$1,$B$1)</f>
        <v>2.0748000000000002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0.61</v>
      </c>
      <c r="O19" s="100">
        <f>_xll.EQNXTDZ($A$1,$B19,O$1,$B$1)</f>
        <v>0.42699999999999999</v>
      </c>
      <c r="P19" s="100">
        <f>_xll.EQNXTDZ($A$1,$B19,P$1,$B$1)</f>
        <v>1.175</v>
      </c>
      <c r="Q19" s="100">
        <f>_xll.EQNXTDZ($A$1,$B19,Q$1,$B$1)</f>
        <v>0.27700000000000002</v>
      </c>
      <c r="R19" s="100">
        <f>_xll.EQNXTDZ($A$1,$B19,R$1,$B$1)</f>
        <v>1.0398000000000001</v>
      </c>
      <c r="S19" s="100">
        <f>_xll.EQNXTDZ($A$1,$B19,S$1,$B$1)</f>
        <v>1.9714</v>
      </c>
      <c r="T19" s="100">
        <f>_xll.EQNXTDZ($A$1,$B19,T$1,$B$1)</f>
        <v>2.1516000000000002</v>
      </c>
      <c r="U19" s="100">
        <f>_xll.EQNXTDZ($A$1,$B19,U$1,$B$1)</f>
        <v>4.1134000000000004</v>
      </c>
      <c r="V19" s="100">
        <f>_xll.EQNXTDZ($A$1,$B19,V$1,$B$1)</f>
        <v>3.6741000000000001</v>
      </c>
      <c r="W19" s="100">
        <f>_xll.EQNXTDZ($A$1,$B19,W$1,$B$1)</f>
        <v>7.5781999999999998</v>
      </c>
      <c r="X19" s="100">
        <f>_xll.EQNXTDZ($A$1,$B19,X$1,$B$1)</f>
        <v>7.4656000000000002</v>
      </c>
      <c r="Y19" s="100">
        <f>_xll.EQNXTDZ($A$1,$B19,Y$1,$B$1)</f>
        <v>10.3406</v>
      </c>
      <c r="Z19" s="100">
        <f>_xll.EQNXTDZ($A$1,$B19,Z$1,$B$1)</f>
        <v>23.254100000000001</v>
      </c>
      <c r="AA19" s="100">
        <f>_xll.EQNXTDZ($A$1,$B19,AA$1,$B$1)</f>
        <v>21.493300000000001</v>
      </c>
      <c r="AB19" s="100">
        <f>_xll.EQNXTDZ($A$1,$B19,AB$1,$B$1)</f>
        <v>52.101199999999999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163.22800000000001</v>
      </c>
      <c r="O21" s="100">
        <f>_xll.EQNXTDZ($A$1,$B21,O$1,$B$1)</f>
        <v>235.27</v>
      </c>
      <c r="P21" s="100">
        <f>_xll.EQNXTDZ($A$1,$B21,P$1,$B$1)</f>
        <v>193.679</v>
      </c>
      <c r="Q21" s="100">
        <f>_xll.EQNXTDZ($A$1,$B21,Q$1,$B$1)</f>
        <v>258.05099999999999</v>
      </c>
      <c r="R21" s="100">
        <f>_xll.EQNXTDZ($A$1,$B21,R$1,$B$1)</f>
        <v>441.10379999999998</v>
      </c>
      <c r="S21" s="100">
        <f>_xll.EQNXTDZ($A$1,$B21,S$1,$B$1)</f>
        <v>377.68360000000001</v>
      </c>
      <c r="T21" s="100">
        <f>_xll.EQNXTDZ($A$1,$B21,T$1,$B$1)</f>
        <v>647.14580000000001</v>
      </c>
      <c r="U21" s="100">
        <f>_xll.EQNXTDZ($A$1,$B21,U$1,$B$1)</f>
        <v>901.84519999999998</v>
      </c>
      <c r="V21" s="100">
        <f>_xll.EQNXTDZ($A$1,$B21,V$1,$B$1)</f>
        <v>1308.4276</v>
      </c>
      <c r="W21" s="100">
        <f>_xll.EQNXTDZ($A$1,$B21,W$1,$B$1)</f>
        <v>1105.9257</v>
      </c>
      <c r="X21" s="100">
        <f>_xll.EQNXTDZ($A$1,$B21,X$1,$B$1)</f>
        <v>1489.6242</v>
      </c>
      <c r="Y21" s="100">
        <f>_xll.EQNXTDZ($A$1,$B21,Y$1,$B$1)</f>
        <v>1707.7421999999999</v>
      </c>
      <c r="Z21" s="100">
        <f>_xll.EQNXTDZ($A$1,$B21,Z$1,$B$1)</f>
        <v>2244.8533000000002</v>
      </c>
      <c r="AA21" s="100">
        <f>_xll.EQNXTDZ($A$1,$B21,AA$1,$B$1)</f>
        <v>2332.6965</v>
      </c>
      <c r="AB21" s="100">
        <f>_xll.EQNXTDZ($A$1,$B21,AB$1,$B$1)</f>
        <v>2959.6118999999999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15.414</v>
      </c>
      <c r="O22" s="100">
        <f>_xll.EQNXTDZ($A$1,$B22,O$1,$B$1)</f>
        <v>21.975000000000001</v>
      </c>
      <c r="P22" s="100">
        <f>_xll.EQNXTDZ($A$1,$B22,P$1,$B$1)</f>
        <v>16.742999999999999</v>
      </c>
      <c r="Q22" s="100">
        <f>_xll.EQNXTDZ($A$1,$B22,Q$1,$B$1)</f>
        <v>22.411000000000001</v>
      </c>
      <c r="R22" s="100">
        <f>_xll.EQNXTDZ($A$1,$B22,R$1,$B$1)</f>
        <v>34.866100000000003</v>
      </c>
      <c r="S22" s="100">
        <f>_xll.EQNXTDZ($A$1,$B22,S$1,$B$1)</f>
        <v>67.094700000000003</v>
      </c>
      <c r="T22" s="100">
        <f>_xll.EQNXTDZ($A$1,$B22,T$1,$B$1)</f>
        <v>104.50109999999999</v>
      </c>
      <c r="U22" s="100">
        <f>_xll.EQNXTDZ($A$1,$B22,U$1,$B$1)</f>
        <v>148.56139999999999</v>
      </c>
      <c r="V22" s="100">
        <f>_xll.EQNXTDZ($A$1,$B22,V$1,$B$1)</f>
        <v>190.83170000000001</v>
      </c>
      <c r="W22" s="100">
        <f>_xll.EQNXTDZ($A$1,$B22,W$1,$B$1)</f>
        <v>134.9367</v>
      </c>
      <c r="X22" s="100">
        <f>_xll.EQNXTDZ($A$1,$B22,X$1,$B$1)</f>
        <v>258.4391</v>
      </c>
      <c r="Y22" s="100">
        <f>_xll.EQNXTDZ($A$1,$B22,Y$1,$B$1)</f>
        <v>230.06379999999999</v>
      </c>
      <c r="Z22" s="100">
        <f>_xll.EQNXTDZ($A$1,$B22,Z$1,$B$1)</f>
        <v>260.93520000000001</v>
      </c>
      <c r="AA22" s="100">
        <f>_xll.EQNXTDZ($A$1,$B22,AA$1,$B$1)</f>
        <v>179.42920000000001</v>
      </c>
      <c r="AB22" s="100">
        <f>_xll.EQNXTDZ($A$1,$B22,AB$1,$B$1)</f>
        <v>189.05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2.1110000000000002</v>
      </c>
      <c r="O23" s="100">
        <f>_xll.EQNXTDZ($A$1,$B23,O$1,$B$1)</f>
        <v>3.7240000000000002</v>
      </c>
      <c r="P23" s="100">
        <f>_xll.EQNXTDZ($A$1,$B23,P$1,$B$1)</f>
        <v>4.375</v>
      </c>
      <c r="Q23" s="100">
        <f>_xll.EQNXTDZ($A$1,$B23,Q$1,$B$1)</f>
        <v>6.5049999999999999</v>
      </c>
      <c r="R23" s="100">
        <f>_xll.EQNXTDZ($A$1,$B23,R$1,$B$1)</f>
        <v>10.3247</v>
      </c>
      <c r="S23" s="100">
        <f>_xll.EQNXTDZ($A$1,$B23,S$1,$B$1)</f>
        <v>13.4344</v>
      </c>
      <c r="T23" s="100">
        <f>_xll.EQNXTDZ($A$1,$B23,T$1,$B$1)</f>
        <v>18.722000000000001</v>
      </c>
      <c r="U23" s="100">
        <f>_xll.EQNXTDZ($A$1,$B23,U$1,$B$1)</f>
        <v>22.7485</v>
      </c>
      <c r="V23" s="100">
        <f>_xll.EQNXTDZ($A$1,$B23,V$1,$B$1)</f>
        <v>24.1663</v>
      </c>
      <c r="W23" s="100">
        <f>_xll.EQNXTDZ($A$1,$B23,W$1,$B$1)</f>
        <v>16.657800000000002</v>
      </c>
      <c r="X23" s="100">
        <f>_xll.EQNXTDZ($A$1,$B23,X$1,$B$1)</f>
        <v>21.7164</v>
      </c>
      <c r="Y23" s="100">
        <f>_xll.EQNXTDZ($A$1,$B23,Y$1,$B$1)</f>
        <v>25.000900000000001</v>
      </c>
      <c r="Z23" s="100">
        <f>_xll.EQNXTDZ($A$1,$B23,Z$1,$B$1)</f>
        <v>24.216699999999999</v>
      </c>
      <c r="AA23" s="100">
        <f>_xll.EQNXTDZ($A$1,$B23,AA$1,$B$1)</f>
        <v>17.319199999999999</v>
      </c>
      <c r="AB23" s="100">
        <f>_xll.EQNXTDZ($A$1,$B23,AB$1,$B$1)</f>
        <v>17.258800000000001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17.524999999999999</v>
      </c>
      <c r="O24" s="100">
        <f>_xll.EQNXTDZ($A$1,$B24,O$1,$B$1)</f>
        <v>25.699000000000002</v>
      </c>
      <c r="P24" s="100">
        <f>_xll.EQNXTDZ($A$1,$B24,P$1,$B$1)</f>
        <v>21.117999999999999</v>
      </c>
      <c r="Q24" s="100">
        <f>_xll.EQNXTDZ($A$1,$B24,Q$1,$B$1)</f>
        <v>28.916</v>
      </c>
      <c r="R24" s="100">
        <f>_xll.EQNXTDZ($A$1,$B24,R$1,$B$1)</f>
        <v>45.190800000000003</v>
      </c>
      <c r="S24" s="100">
        <f>_xll.EQNXTDZ($A$1,$B24,S$1,$B$1)</f>
        <v>80.5291</v>
      </c>
      <c r="T24" s="100">
        <f>_xll.EQNXTDZ($A$1,$B24,T$1,$B$1)</f>
        <v>123.2231</v>
      </c>
      <c r="U24" s="100">
        <f>_xll.EQNXTDZ($A$1,$B24,U$1,$B$1)</f>
        <v>171.3099</v>
      </c>
      <c r="V24" s="100">
        <f>_xll.EQNXTDZ($A$1,$B24,V$1,$B$1)</f>
        <v>214.99799999999999</v>
      </c>
      <c r="W24" s="100">
        <f>_xll.EQNXTDZ($A$1,$B24,W$1,$B$1)</f>
        <v>151.59450000000001</v>
      </c>
      <c r="X24" s="100">
        <f>_xll.EQNXTDZ($A$1,$B24,X$1,$B$1)</f>
        <v>280.15550000000002</v>
      </c>
      <c r="Y24" s="100">
        <f>_xll.EQNXTDZ($A$1,$B24,Y$1,$B$1)</f>
        <v>255.06469999999999</v>
      </c>
      <c r="Z24" s="100">
        <f>_xll.EQNXTDZ($A$1,$B24,Z$1,$B$1)</f>
        <v>285.15190000000001</v>
      </c>
      <c r="AA24" s="100">
        <f>_xll.EQNXTDZ($A$1,$B24,AA$1,$B$1)</f>
        <v>196.7484</v>
      </c>
      <c r="AB24" s="100">
        <f>_xll.EQNXTDZ($A$1,$B24,AB$1,$B$1)</f>
        <v>206.30879999999999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2.2799999999999998</v>
      </c>
      <c r="O25" s="100">
        <f>_xll.EQNXTDZ($A$1,$B25,O$1,$B$1)</f>
        <v>3.778</v>
      </c>
      <c r="P25" s="100">
        <f>_xll.EQNXTDZ($A$1,$B25,P$1,$B$1)</f>
        <v>2.0459999999999998</v>
      </c>
      <c r="Q25" s="100">
        <f>_xll.EQNXTDZ($A$1,$B25,Q$1,$B$1)</f>
        <v>2.492</v>
      </c>
      <c r="R25" s="100">
        <f>_xll.EQNXTDZ($A$1,$B25,R$1,$B$1)</f>
        <v>3.3527</v>
      </c>
      <c r="S25" s="100">
        <f>_xll.EQNXTDZ($A$1,$B25,S$1,$B$1)</f>
        <v>7.9463999999999997</v>
      </c>
      <c r="T25" s="100">
        <f>_xll.EQNXTDZ($A$1,$B25,T$1,$B$1)</f>
        <v>9.2972999999999999</v>
      </c>
      <c r="U25" s="100">
        <f>_xll.EQNXTDZ($A$1,$B25,U$1,$B$1)</f>
        <v>9.6738999999999997</v>
      </c>
      <c r="V25" s="100">
        <f>_xll.EQNXTDZ($A$1,$B25,V$1,$B$1)</f>
        <v>15.0558</v>
      </c>
      <c r="W25" s="100">
        <f>_xll.EQNXTDZ($A$1,$B25,W$1,$B$1)</f>
        <v>15.007899999999999</v>
      </c>
      <c r="X25" s="100">
        <f>_xll.EQNXTDZ($A$1,$B25,X$1,$B$1)</f>
        <v>26.488900000000001</v>
      </c>
      <c r="Y25" s="100">
        <f>_xll.EQNXTDZ($A$1,$B25,Y$1,$B$1)</f>
        <v>31.959700000000002</v>
      </c>
      <c r="Z25" s="100">
        <f>_xll.EQNXTDZ($A$1,$B25,Z$1,$B$1)</f>
        <v>50.824399999999997</v>
      </c>
      <c r="AA25" s="100">
        <f>_xll.EQNXTDZ($A$1,$B25,AA$1,$B$1)</f>
        <v>44.2239</v>
      </c>
      <c r="AB25" s="100">
        <f>_xll.EQNXTDZ($A$1,$B25,AB$1,$B$1)</f>
        <v>45.238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15.244999999999999</v>
      </c>
      <c r="O26" s="100">
        <f>_xll.EQNXTDZ($A$1,$B26,O$1,$B$1)</f>
        <v>21.920999999999999</v>
      </c>
      <c r="P26" s="100">
        <f>_xll.EQNXTDZ($A$1,$B26,P$1,$B$1)</f>
        <v>19.071999999999999</v>
      </c>
      <c r="Q26" s="100">
        <f>_xll.EQNXTDZ($A$1,$B26,Q$1,$B$1)</f>
        <v>26.423999999999999</v>
      </c>
      <c r="R26" s="100">
        <f>_xll.EQNXTDZ($A$1,$B26,R$1,$B$1)</f>
        <v>41.838099999999997</v>
      </c>
      <c r="S26" s="100">
        <f>_xll.EQNXTDZ($A$1,$B26,S$1,$B$1)</f>
        <v>72.582700000000003</v>
      </c>
      <c r="T26" s="100">
        <f>_xll.EQNXTDZ($A$1,$B26,T$1,$B$1)</f>
        <v>113.9258</v>
      </c>
      <c r="U26" s="100">
        <f>_xll.EQNXTDZ($A$1,$B26,U$1,$B$1)</f>
        <v>161.636</v>
      </c>
      <c r="V26" s="100">
        <f>_xll.EQNXTDZ($A$1,$B26,V$1,$B$1)</f>
        <v>199.94220000000001</v>
      </c>
      <c r="W26" s="100">
        <f>_xll.EQNXTDZ($A$1,$B26,W$1,$B$1)</f>
        <v>136.5866</v>
      </c>
      <c r="X26" s="100">
        <f>_xll.EQNXTDZ($A$1,$B26,X$1,$B$1)</f>
        <v>253.66659999999999</v>
      </c>
      <c r="Y26" s="100">
        <f>_xll.EQNXTDZ($A$1,$B26,Y$1,$B$1)</f>
        <v>223.10499999999999</v>
      </c>
      <c r="Z26" s="100">
        <f>_xll.EQNXTDZ($A$1,$B26,Z$1,$B$1)</f>
        <v>234.32749999999999</v>
      </c>
      <c r="AA26" s="100">
        <f>_xll.EQNXTDZ($A$1,$B26,AA$1,$B$1)</f>
        <v>152.52449999999999</v>
      </c>
      <c r="AB26" s="100">
        <f>_xll.EQNXTDZ($A$1,$B26,AB$1,$B$1)</f>
        <v>161.07079999999999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2.839</v>
      </c>
      <c r="O27" s="100">
        <f>_xll.EQNXTDZ($A$1,$B27,O$1,$B$1)</f>
        <v>3.7290000000000001</v>
      </c>
      <c r="P27" s="100">
        <f>_xll.EQNXTDZ($A$1,$B27,P$1,$B$1)</f>
        <v>3.6629999999999998</v>
      </c>
      <c r="Q27" s="100">
        <f>_xll.EQNXTDZ($A$1,$B27,Q$1,$B$1)</f>
        <v>5.1669999999999998</v>
      </c>
      <c r="R27" s="100">
        <f>_xll.EQNXTDZ($A$1,$B27,R$1,$B$1)</f>
        <v>7.1284999999999998</v>
      </c>
      <c r="S27" s="100">
        <f>_xll.EQNXTDZ($A$1,$B27,S$1,$B$1)</f>
        <v>7.9177</v>
      </c>
      <c r="T27" s="100">
        <f>_xll.EQNXTDZ($A$1,$B27,T$1,$B$1)</f>
        <v>11.4786</v>
      </c>
      <c r="U27" s="100">
        <f>_xll.EQNXTDZ($A$1,$B27,U$1,$B$1)</f>
        <v>24.3017</v>
      </c>
      <c r="V27" s="100">
        <f>_xll.EQNXTDZ($A$1,$B27,V$1,$B$1)</f>
        <v>26.695499999999999</v>
      </c>
      <c r="W27" s="100">
        <f>_xll.EQNXTDZ($A$1,$B27,W$1,$B$1)</f>
        <v>25.637599999999999</v>
      </c>
      <c r="X27" s="100">
        <f>_xll.EQNXTDZ($A$1,$B27,X$1,$B$1)</f>
        <v>32.052799999999998</v>
      </c>
      <c r="Y27" s="100">
        <f>_xll.EQNXTDZ($A$1,$B27,Y$1,$B$1)</f>
        <v>40.005200000000002</v>
      </c>
      <c r="Z27" s="100">
        <f>_xll.EQNXTDZ($A$1,$B27,Z$1,$B$1)</f>
        <v>64.867999999999995</v>
      </c>
      <c r="AA27" s="100">
        <f>_xll.EQNXTDZ($A$1,$B27,AA$1,$B$1)</f>
        <v>72.651399999999995</v>
      </c>
      <c r="AB27" s="100">
        <f>_xll.EQNXTDZ($A$1,$B27,AB$1,$B$1)</f>
        <v>86.569199999999995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4.0540000000000003</v>
      </c>
      <c r="O30" s="100">
        <f>_xll.EQNXTDZ($A$1,$B30,O$1,$B$1)</f>
        <v>5.9420000000000002</v>
      </c>
      <c r="P30" s="100">
        <f>_xll.EQNXTDZ($A$1,$B30,P$1,$B$1)</f>
        <v>5.3390000000000004</v>
      </c>
      <c r="Q30" s="100">
        <f>_xll.EQNXTDZ($A$1,$B30,Q$1,$B$1)</f>
        <v>7.2030000000000003</v>
      </c>
      <c r="R30" s="100">
        <f>_xll.EQNXTDZ($A$1,$B30,R$1,$B$1)</f>
        <v>12.6851</v>
      </c>
      <c r="S30" s="100">
        <f>_xll.EQNXTDZ($A$1,$B30,S$1,$B$1)</f>
        <v>23.051600000000001</v>
      </c>
      <c r="T30" s="100">
        <f>_xll.EQNXTDZ($A$1,$B30,T$1,$B$1)</f>
        <v>36.448300000000003</v>
      </c>
      <c r="U30" s="100">
        <f>_xll.EQNXTDZ($A$1,$B30,U$1,$B$1)</f>
        <v>48.2149</v>
      </c>
      <c r="V30" s="100">
        <f>_xll.EQNXTDZ($A$1,$B30,V$1,$B$1)</f>
        <v>45.044899999999998</v>
      </c>
      <c r="W30" s="100">
        <f>_xll.EQNXTDZ($A$1,$B30,W$1,$B$1)</f>
        <v>27.583300000000001</v>
      </c>
      <c r="X30" s="100">
        <f>_xll.EQNXTDZ($A$1,$B30,X$1,$B$1)</f>
        <v>55.339100000000002</v>
      </c>
      <c r="Y30" s="100">
        <f>_xll.EQNXTDZ($A$1,$B30,Y$1,$B$1)</f>
        <v>48.458599999999997</v>
      </c>
      <c r="Z30" s="100">
        <f>_xll.EQNXTDZ($A$1,$B30,Z$1,$B$1)</f>
        <v>46.0015</v>
      </c>
      <c r="AA30" s="100">
        <f>_xll.EQNXTDZ($A$1,$B30,AA$1,$B$1)</f>
        <v>21.912700000000001</v>
      </c>
      <c r="AB30" s="100">
        <f>_xll.EQNXTDZ($A$1,$B30,AB$1,$B$1)</f>
        <v>18.909500000000001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0.80759999999999998</v>
      </c>
      <c r="S32" s="100">
        <f>_xll.EQNXTDZ($A$1,$B32,S$1,$B$1)</f>
        <v>-0.1084</v>
      </c>
      <c r="T32" s="100">
        <f>_xll.EQNXTDZ($A$1,$B32,T$1,$B$1)</f>
        <v>-0.4748</v>
      </c>
      <c r="U32" s="100">
        <f>_xll.EQNXTDZ($A$1,$B32,U$1,$B$1)</f>
        <v>0.22189999999999999</v>
      </c>
      <c r="V32" s="100">
        <f>_xll.EQNXTDZ($A$1,$B32,V$1,$B$1)</f>
        <v>0.16689999999999999</v>
      </c>
      <c r="W32" s="100">
        <f>_xll.EQNXTDZ($A$1,$B32,W$1,$B$1)</f>
        <v>0.58020000000000005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9.0700000000000003E-2</v>
      </c>
      <c r="V33" s="100">
        <f>_xll.EQNXTDZ($A$1,$B33,V$1,$B$1)</f>
        <v>0.1074</v>
      </c>
      <c r="W33" s="100">
        <f>_xll.EQNXTDZ($A$1,$B33,W$1,$B$1)</f>
        <v>-2.4194</v>
      </c>
      <c r="X33" s="100">
        <f>_xll.EQNXTDZ($A$1,$B33,X$1,$B$1)</f>
        <v>0.37759999999999999</v>
      </c>
      <c r="Y33" s="100">
        <f>_xll.EQNXTDZ($A$1,$B33,Y$1,$B$1)</f>
        <v>-2.7</v>
      </c>
      <c r="Z33" s="100">
        <f>_xll.EQNXTDZ($A$1,$B33,Z$1,$B$1)</f>
        <v>-0.48530000000000001</v>
      </c>
      <c r="AA33" s="100">
        <f>_xll.EQNXTDZ($A$1,$B33,AA$1,$B$1)</f>
        <v>-1.5424</v>
      </c>
      <c r="AB33" s="100">
        <f>_xll.EQNXTDZ($A$1,$B33,AB$1,$B$1)</f>
        <v>-7.6300000000000007E-2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8.3520000000000003</v>
      </c>
      <c r="O35" s="100">
        <f>_xll.EQNXTDZ($A$1,$B35,O$1,$B$1)</f>
        <v>12.25</v>
      </c>
      <c r="P35" s="100">
        <f>_xll.EQNXTDZ($A$1,$B35,P$1,$B$1)</f>
        <v>10.07</v>
      </c>
      <c r="Q35" s="100">
        <f>_xll.EQNXTDZ($A$1,$B35,Q$1,$B$1)</f>
        <v>14.054</v>
      </c>
      <c r="R35" s="100">
        <f>_xll.EQNXTDZ($A$1,$B35,R$1,$B$1)</f>
        <v>22.832100000000001</v>
      </c>
      <c r="S35" s="100">
        <f>_xll.EQNXTDZ($A$1,$B35,S$1,$B$1)</f>
        <v>41.505000000000003</v>
      </c>
      <c r="T35" s="100">
        <f>_xll.EQNXTDZ($A$1,$B35,T$1,$B$1)</f>
        <v>65.524100000000004</v>
      </c>
      <c r="U35" s="100">
        <f>_xll.EQNXTDZ($A$1,$B35,U$1,$B$1)</f>
        <v>89.432000000000002</v>
      </c>
      <c r="V35" s="100">
        <f>_xll.EQNXTDZ($A$1,$B35,V$1,$B$1)</f>
        <v>128.4761</v>
      </c>
      <c r="W35" s="100">
        <f>_xll.EQNXTDZ($A$1,$B35,W$1,$B$1)</f>
        <v>81.526499999999999</v>
      </c>
      <c r="X35" s="100">
        <f>_xll.EQNXTDZ($A$1,$B35,X$1,$B$1)</f>
        <v>166.6523</v>
      </c>
      <c r="Y35" s="100">
        <f>_xll.EQNXTDZ($A$1,$B35,Y$1,$B$1)</f>
        <v>131.94120000000001</v>
      </c>
      <c r="Z35" s="100">
        <f>_xll.EQNXTDZ($A$1,$B35,Z$1,$B$1)</f>
        <v>122.9727</v>
      </c>
      <c r="AA35" s="100">
        <f>_xll.EQNXTDZ($A$1,$B35,AA$1,$B$1)</f>
        <v>56.417999999999999</v>
      </c>
      <c r="AB35" s="100">
        <f>_xll.EQNXTDZ($A$1,$B35,AB$1,$B$1)</f>
        <v>55.515799999999999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0.8</v>
      </c>
      <c r="O41" s="55">
        <f>_xll.EQNXTDZ($A$1,$B41,O$1,$B$1)</f>
        <v>0.8</v>
      </c>
      <c r="P41" s="55">
        <f>_xll.EQNXTDZ($A$1,$B41,P$1,$B$1)</f>
        <v>0.8</v>
      </c>
      <c r="Q41" s="55">
        <f>_xll.EQNXTDZ($A$1,$B41,Q$1,$B$1)</f>
        <v>0.8</v>
      </c>
      <c r="R41" s="55">
        <f>_xll.EQNXTDZ($A$1,$B41,R$1,$B$1)</f>
        <v>3.2</v>
      </c>
      <c r="S41" s="55">
        <f>_xll.EQNXTDZ($A$1,$B41,S$1,$B$1)</f>
        <v>28.8</v>
      </c>
      <c r="T41" s="55">
        <f>_xll.EQNXTDZ($A$1,$B41,T$1,$B$1)</f>
        <v>36</v>
      </c>
      <c r="U41" s="55">
        <f>_xll.EQNXTDZ($A$1,$B41,U$1,$B$1)</f>
        <v>36</v>
      </c>
      <c r="V41" s="55">
        <f>_xll.EQNXTDZ($A$1,$B41,V$1,$B$1)</f>
        <v>36</v>
      </c>
      <c r="W41" s="55">
        <f>_xll.EQNXTDZ($A$1,$B41,W$1,$B$1)</f>
        <v>36</v>
      </c>
      <c r="X41" s="55">
        <f>_xll.EQNXTDZ($A$1,$B41,X$1,$B$1)</f>
        <v>36</v>
      </c>
      <c r="Y41" s="55">
        <f>_xll.EQNXTDZ($A$1,$B41,Y$1,$B$1)</f>
        <v>36</v>
      </c>
      <c r="Z41" s="55">
        <f>_xll.EQNXTDZ($A$1,$B41,Z$1,$B$1)</f>
        <v>36</v>
      </c>
      <c r="AA41" s="55">
        <f>_xll.EQNXTDZ($A$1,$B41,AA$1,$B$1)</f>
        <v>39.641800000000003</v>
      </c>
      <c r="AB41" s="55">
        <f>_xll.EQNXTDZ($A$1,$B41,AB$1,$B$1)</f>
        <v>39.641800000000003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14.481</v>
      </c>
      <c r="O43" s="55">
        <f>_xll.EQNXTDZ($A$1,$B43,O$1,$B$1)</f>
        <v>25.795000000000002</v>
      </c>
      <c r="P43" s="55">
        <f>_xll.EQNXTDZ($A$1,$B43,P$1,$B$1)</f>
        <v>33.993000000000002</v>
      </c>
      <c r="Q43" s="55">
        <f>_xll.EQNXTDZ($A$1,$B43,Q$1,$B$1)</f>
        <v>46.122</v>
      </c>
      <c r="R43" s="55">
        <f>_xll.EQNXTDZ($A$1,$B43,R$1,$B$1)</f>
        <v>60.807600000000001</v>
      </c>
      <c r="S43" s="55">
        <f>_xll.EQNXTDZ($A$1,$B43,S$1,$B$1)</f>
        <v>75.866399999999999</v>
      </c>
      <c r="T43" s="55">
        <f>_xll.EQNXTDZ($A$1,$B43,T$1,$B$1)</f>
        <v>265.41230000000002</v>
      </c>
      <c r="U43" s="55">
        <f>_xll.EQNXTDZ($A$1,$B43,U$1,$B$1)</f>
        <v>333.30709999999999</v>
      </c>
      <c r="V43" s="55">
        <f>_xll.EQNXTDZ($A$1,$B43,V$1,$B$1)</f>
        <v>418.1816</v>
      </c>
      <c r="W43" s="55">
        <f>_xll.EQNXTDZ($A$1,$B43,W$1,$B$1)</f>
        <v>499.89949999999999</v>
      </c>
      <c r="X43" s="55">
        <f>_xll.EQNXTDZ($A$1,$B43,X$1,$B$1)</f>
        <v>650.95929999999998</v>
      </c>
      <c r="Y43" s="55">
        <f>_xll.EQNXTDZ($A$1,$B43,Y$1,$B$1)</f>
        <v>764.99249999999995</v>
      </c>
      <c r="Z43" s="55">
        <f>_xll.EQNXTDZ($A$1,$B43,Z$1,$B$1)</f>
        <v>878.86990000000003</v>
      </c>
      <c r="AA43" s="55">
        <f>_xll.EQNXTDZ($A$1,$B43,AA$1,$B$1)</f>
        <v>1169.2985000000001</v>
      </c>
      <c r="AB43" s="55">
        <f>_xll.EQNXTDZ($A$1,$B43,AB$1,$B$1)</f>
        <v>1224.3100999999999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15.281000000000001</v>
      </c>
      <c r="O44" s="55">
        <f>_xll.EQNXTDZ($A$1,$B44,O$1,$B$1)</f>
        <v>26.594999999999999</v>
      </c>
      <c r="P44" s="55">
        <f>_xll.EQNXTDZ($A$1,$B44,P$1,$B$1)</f>
        <v>34.792999999999999</v>
      </c>
      <c r="Q44" s="55">
        <f>_xll.EQNXTDZ($A$1,$B44,Q$1,$B$1)</f>
        <v>46.921999999999997</v>
      </c>
      <c r="R44" s="55">
        <f>_xll.EQNXTDZ($A$1,$B44,R$1,$B$1)</f>
        <v>64.007599999999996</v>
      </c>
      <c r="S44" s="55">
        <f>_xll.EQNXTDZ($A$1,$B44,S$1,$B$1)</f>
        <v>104.6664</v>
      </c>
      <c r="T44" s="55">
        <f>_xll.EQNXTDZ($A$1,$B44,T$1,$B$1)</f>
        <v>301.41230000000002</v>
      </c>
      <c r="U44" s="55">
        <f>_xll.EQNXTDZ($A$1,$B44,U$1,$B$1)</f>
        <v>369.30709999999999</v>
      </c>
      <c r="V44" s="55">
        <f>_xll.EQNXTDZ($A$1,$B44,V$1,$B$1)</f>
        <v>454.1816</v>
      </c>
      <c r="W44" s="55">
        <f>_xll.EQNXTDZ($A$1,$B44,W$1,$B$1)</f>
        <v>535.89949999999999</v>
      </c>
      <c r="X44" s="55">
        <f>_xll.EQNXTDZ($A$1,$B44,X$1,$B$1)</f>
        <v>686.95929999999998</v>
      </c>
      <c r="Y44" s="55">
        <f>_xll.EQNXTDZ($A$1,$B44,Y$1,$B$1)</f>
        <v>800.99249999999995</v>
      </c>
      <c r="Z44" s="55">
        <f>_xll.EQNXTDZ($A$1,$B44,Z$1,$B$1)</f>
        <v>914.86990000000003</v>
      </c>
      <c r="AA44" s="55">
        <f>_xll.EQNXTDZ($A$1,$B44,AA$1,$B$1)</f>
        <v>1208.9403</v>
      </c>
      <c r="AB44" s="55">
        <f>_xll.EQNXTDZ($A$1,$B44,AB$1,$B$1)</f>
        <v>1263.9519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0.4924</v>
      </c>
      <c r="S45" s="55">
        <f>_xll.EQNXTDZ($A$1,$B45,S$1,$B$1)</f>
        <v>0.6008</v>
      </c>
      <c r="T45" s="55">
        <f>_xll.EQNXTDZ($A$1,$B45,T$1,$B$1)</f>
        <v>1.0755999999999999</v>
      </c>
      <c r="U45" s="55">
        <f>_xll.EQNXTDZ($A$1,$B45,U$1,$B$1)</f>
        <v>0.85370000000000001</v>
      </c>
      <c r="V45" s="55">
        <f>_xll.EQNXTDZ($A$1,$B45,V$1,$B$1)</f>
        <v>0.68679999999999997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2.5270000000000001</v>
      </c>
      <c r="O47" s="55">
        <f>_xll.EQNXTDZ($A$1,$B47,O$1,$B$1)</f>
        <v>0.84599999999999997</v>
      </c>
      <c r="P47" s="55">
        <f>_xll.EQNXTDZ($A$1,$B47,P$1,$B$1)</f>
        <v>0.57299999999999995</v>
      </c>
      <c r="Q47" s="55">
        <f>_xll.EQNXTDZ($A$1,$B47,Q$1,$B$1)</f>
        <v>0.40799999999999997</v>
      </c>
      <c r="R47" s="55">
        <f>_xll.EQNXTDZ($A$1,$B47,R$1,$B$1)</f>
        <v>1.0410999999999999</v>
      </c>
      <c r="S47" s="55">
        <f>_xll.EQNXTDZ($A$1,$B47,S$1,$B$1)</f>
        <v>3.3637000000000001</v>
      </c>
      <c r="T47" s="55">
        <f>_xll.EQNXTDZ($A$1,$B47,T$1,$B$1)</f>
        <v>1.6849000000000001</v>
      </c>
      <c r="U47" s="55">
        <f>_xll.EQNXTDZ($A$1,$B47,U$1,$B$1)</f>
        <v>0.40870000000000001</v>
      </c>
      <c r="V47" s="55">
        <f>_xll.EQNXTDZ($A$1,$B47,V$1,$B$1)</f>
        <v>4.0369000000000002</v>
      </c>
      <c r="W47" s="55">
        <f>_xll.EQNXTDZ($A$1,$B47,W$1,$B$1)</f>
        <v>2.7833000000000001</v>
      </c>
      <c r="X47" s="55">
        <f>_xll.EQNXTDZ($A$1,$B47,X$1,$B$1)</f>
        <v>17.180700000000002</v>
      </c>
      <c r="Y47" s="55">
        <f>_xll.EQNXTDZ($A$1,$B47,Y$1,$B$1)</f>
        <v>38.058100000000003</v>
      </c>
      <c r="Z47" s="55">
        <f>_xll.EQNXTDZ($A$1,$B47,Z$1,$B$1)</f>
        <v>41.699199999999998</v>
      </c>
      <c r="AA47" s="55">
        <f>_xll.EQNXTDZ($A$1,$B47,AA$1,$B$1)</f>
        <v>18.4178</v>
      </c>
      <c r="AB47" s="55">
        <f>_xll.EQNXTDZ($A$1,$B47,AB$1,$B$1)</f>
        <v>22.8309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12.586</v>
      </c>
      <c r="O48" s="55">
        <f>_xll.EQNXTDZ($A$1,$B48,O$1,$B$1)</f>
        <v>10.696999999999999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-5.2999999999999999E-2</v>
      </c>
      <c r="O49" s="55">
        <f>_xll.EQNXTDZ($A$1,$B49,O$1,$B$1)</f>
        <v>-0.17899999999999999</v>
      </c>
      <c r="P49" s="55">
        <f>_xll.EQNXTDZ($A$1,$B49,P$1,$B$1)</f>
        <v>-0.313</v>
      </c>
      <c r="Q49" s="55">
        <f>_xll.EQNXTDZ($A$1,$B49,Q$1,$B$1)</f>
        <v>-0.49199999999999999</v>
      </c>
      <c r="R49" s="55">
        <f>_xll.EQNXTDZ($A$1,$B49,R$1,$B$1)</f>
        <v>-2.4609999999999999</v>
      </c>
      <c r="S49" s="55">
        <f>_xll.EQNXTDZ($A$1,$B49,S$1,$B$1)</f>
        <v>-2.8325999999999998</v>
      </c>
      <c r="T49" s="55">
        <f>_xll.EQNXTDZ($A$1,$B49,T$1,$B$1)</f>
        <v>-2.7972999999999999</v>
      </c>
      <c r="U49" s="55">
        <f>_xll.EQNXTDZ($A$1,$B49,U$1,$B$1)</f>
        <v>-5.9212999999999996</v>
      </c>
      <c r="V49" s="55">
        <f>_xll.EQNXTDZ($A$1,$B49,V$1,$B$1)</f>
        <v>-6.9640000000000004</v>
      </c>
      <c r="W49" s="55">
        <f>_xll.EQNXTDZ($A$1,$B49,W$1,$B$1)</f>
        <v>-9.7314000000000007</v>
      </c>
      <c r="X49" s="55">
        <f>_xll.EQNXTDZ($A$1,$B49,X$1,$B$1)</f>
        <v>-11.4702</v>
      </c>
      <c r="Y49" s="55">
        <f>_xll.EQNXTDZ($A$1,$B49,Y$1,$B$1)</f>
        <v>-12.924099999999999</v>
      </c>
      <c r="Z49" s="55">
        <f>_xll.EQNXTDZ($A$1,$B49,Z$1,$B$1)</f>
        <v>-19.386099999999999</v>
      </c>
      <c r="AA49" s="55">
        <f>_xll.EQNXTDZ($A$1,$B49,AA$1,$B$1)</f>
        <v>-27.4466</v>
      </c>
      <c r="AB49" s="55">
        <f>_xll.EQNXTDZ($A$1,$B49,AB$1,$B$1)</f>
        <v>-45.216799999999999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10.4899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0.48499999999999999</v>
      </c>
      <c r="O52" s="55">
        <f>_xll.EQNXTDZ($A$1,$B52,O$1,$B$1)</f>
        <v>0.51100000000000001</v>
      </c>
      <c r="P52" s="55">
        <f>_xll.EQNXTDZ($A$1,$B52,P$1,$B$1)</f>
        <v>0.47799999999999998</v>
      </c>
      <c r="Q52" s="55">
        <f>_xll.EQNXTDZ($A$1,$B52,Q$1,$B$1)</f>
        <v>0.59299999999999997</v>
      </c>
      <c r="R52" s="55">
        <f>_xll.EQNXTDZ($A$1,$B52,R$1,$B$1)</f>
        <v>0.59240000000000004</v>
      </c>
      <c r="S52" s="55">
        <f>_xll.EQNXTDZ($A$1,$B52,S$1,$B$1)</f>
        <v>0.9304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0.39810000000000001</v>
      </c>
      <c r="W52" s="55">
        <f>_xll.EQNXTDZ($A$1,$B52,W$1,$B$1)</f>
        <v>0.79049999999999998</v>
      </c>
      <c r="X52" s="55">
        <f>_xll.EQNXTDZ($A$1,$B52,X$1,$B$1)</f>
        <v>1.5186999999999999</v>
      </c>
      <c r="Y52" s="55">
        <f>_xll.EQNXTDZ($A$1,$B52,Y$1,$B$1)</f>
        <v>2.1379000000000001</v>
      </c>
      <c r="Z52" s="55">
        <f>_xll.EQNXTDZ($A$1,$B52,Z$1,$B$1)</f>
        <v>2.6642999999999999</v>
      </c>
      <c r="AA52" s="55">
        <f>_xll.EQNXTDZ($A$1,$B52,AA$1,$B$1)</f>
        <v>2.8875000000000002</v>
      </c>
      <c r="AB52" s="55">
        <f>_xll.EQNXTDZ($A$1,$B52,AB$1,$B$1)</f>
        <v>3.0310999999999999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15.545</v>
      </c>
      <c r="O53" s="55">
        <f>_xll.EQNXTDZ($A$1,$B53,O$1,$B$1)</f>
        <v>11.875</v>
      </c>
      <c r="P53" s="55">
        <f>_xll.EQNXTDZ($A$1,$B53,P$1,$B$1)</f>
        <v>0.73799999999999999</v>
      </c>
      <c r="Q53" s="55">
        <f>_xll.EQNXTDZ($A$1,$B53,Q$1,$B$1)</f>
        <v>0.50900000000000001</v>
      </c>
      <c r="R53" s="55">
        <f>_xll.EQNXTDZ($A$1,$B53,R$1,$B$1)</f>
        <v>-0.82750000000000001</v>
      </c>
      <c r="S53" s="55">
        <f>_xll.EQNXTDZ($A$1,$B53,S$1,$B$1)</f>
        <v>1.4615</v>
      </c>
      <c r="T53" s="55">
        <f>_xll.EQNXTDZ($A$1,$B53,T$1,$B$1)</f>
        <v>-1.1124000000000001</v>
      </c>
      <c r="U53" s="55">
        <f>_xll.EQNXTDZ($A$1,$B53,U$1,$B$1)</f>
        <v>-5.5125999999999999</v>
      </c>
      <c r="V53" s="55">
        <f>_xll.EQNXTDZ($A$1,$B53,V$1,$B$1)</f>
        <v>-2.5289999999999999</v>
      </c>
      <c r="W53" s="55">
        <f>_xll.EQNXTDZ($A$1,$B53,W$1,$B$1)</f>
        <v>-6.1576000000000004</v>
      </c>
      <c r="X53" s="55">
        <f>_xll.EQNXTDZ($A$1,$B53,X$1,$B$1)</f>
        <v>7.2291999999999996</v>
      </c>
      <c r="Y53" s="55">
        <f>_xll.EQNXTDZ($A$1,$B53,Y$1,$B$1)</f>
        <v>27.271899999999999</v>
      </c>
      <c r="Z53" s="55">
        <f>_xll.EQNXTDZ($A$1,$B53,Z$1,$B$1)</f>
        <v>24.977399999999999</v>
      </c>
      <c r="AA53" s="55">
        <f>_xll.EQNXTDZ($A$1,$B53,AA$1,$B$1)</f>
        <v>-6.1413000000000002</v>
      </c>
      <c r="AB53" s="55">
        <f>_xll.EQNXTDZ($A$1,$B53,AB$1,$B$1)</f>
        <v>-8.8649000000000004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20.606999999999999</v>
      </c>
      <c r="O54" s="55">
        <f>_xll.EQNXTDZ($A$1,$B54,O$1,$B$1)</f>
        <v>35.557000000000002</v>
      </c>
      <c r="P54" s="55">
        <f>_xll.EQNXTDZ($A$1,$B54,P$1,$B$1)</f>
        <v>39.976999999999997</v>
      </c>
      <c r="Q54" s="55">
        <f>_xll.EQNXTDZ($A$1,$B54,Q$1,$B$1)</f>
        <v>63.125999999999998</v>
      </c>
      <c r="R54" s="55">
        <f>_xll.EQNXTDZ($A$1,$B54,R$1,$B$1)</f>
        <v>82.164599999999993</v>
      </c>
      <c r="S54" s="55">
        <f>_xll.EQNXTDZ($A$1,$B54,S$1,$B$1)</f>
        <v>74.353899999999996</v>
      </c>
      <c r="T54" s="55">
        <f>_xll.EQNXTDZ($A$1,$B54,T$1,$B$1)</f>
        <v>127.16589999999999</v>
      </c>
      <c r="U54" s="55">
        <f>_xll.EQNXTDZ($A$1,$B54,U$1,$B$1)</f>
        <v>159.14089999999999</v>
      </c>
      <c r="V54" s="55">
        <f>_xll.EQNXTDZ($A$1,$B54,V$1,$B$1)</f>
        <v>216.8066</v>
      </c>
      <c r="W54" s="55">
        <f>_xll.EQNXTDZ($A$1,$B54,W$1,$B$1)</f>
        <v>256.6456</v>
      </c>
      <c r="X54" s="55">
        <f>_xll.EQNXTDZ($A$1,$B54,X$1,$B$1)</f>
        <v>258.2002</v>
      </c>
      <c r="Y54" s="55">
        <f>_xll.EQNXTDZ($A$1,$B54,Y$1,$B$1)</f>
        <v>368.31560000000002</v>
      </c>
      <c r="Z54" s="55">
        <f>_xll.EQNXTDZ($A$1,$B54,Z$1,$B$1)</f>
        <v>420.03179999999998</v>
      </c>
      <c r="AA54" s="55">
        <f>_xll.EQNXTDZ($A$1,$B54,AA$1,$B$1)</f>
        <v>417.90679999999998</v>
      </c>
      <c r="AB54" s="55">
        <f>_xll.EQNXTDZ($A$1,$B54,AB$1,$B$1)</f>
        <v>465.19510000000002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31.463999999999999</v>
      </c>
      <c r="O55" s="55">
        <f>_xll.EQNXTDZ($A$1,$B55,O$1,$B$1)</f>
        <v>24.004000000000001</v>
      </c>
      <c r="P55" s="55">
        <f>_xll.EQNXTDZ($A$1,$B55,P$1,$B$1)</f>
        <v>33.902999999999999</v>
      </c>
      <c r="Q55" s="55">
        <f>_xll.EQNXTDZ($A$1,$B55,Q$1,$B$1)</f>
        <v>40.393000000000001</v>
      </c>
      <c r="R55" s="55">
        <f>_xll.EQNXTDZ($A$1,$B55,R$1,$B$1)</f>
        <v>55.953499999999998</v>
      </c>
      <c r="S55" s="55">
        <f>_xll.EQNXTDZ($A$1,$B55,S$1,$B$1)</f>
        <v>62.634300000000003</v>
      </c>
      <c r="T55" s="55">
        <f>_xll.EQNXTDZ($A$1,$B55,T$1,$B$1)</f>
        <v>134.69820000000001</v>
      </c>
      <c r="U55" s="55">
        <f>_xll.EQNXTDZ($A$1,$B55,U$1,$B$1)</f>
        <v>165.11439999999999</v>
      </c>
      <c r="V55" s="55">
        <f>_xll.EQNXTDZ($A$1,$B55,V$1,$B$1)</f>
        <v>208.02160000000001</v>
      </c>
      <c r="W55" s="55">
        <f>_xll.EQNXTDZ($A$1,$B55,W$1,$B$1)</f>
        <v>116.27370000000001</v>
      </c>
      <c r="X55" s="55">
        <f>_xll.EQNXTDZ($A$1,$B55,X$1,$B$1)</f>
        <v>240.36709999999999</v>
      </c>
      <c r="Y55" s="55">
        <f>_xll.EQNXTDZ($A$1,$B55,Y$1,$B$1)</f>
        <v>479.98770000000002</v>
      </c>
      <c r="Z55" s="55">
        <f>_xll.EQNXTDZ($A$1,$B55,Z$1,$B$1)</f>
        <v>294.65629999999999</v>
      </c>
      <c r="AA55" s="55">
        <f>_xll.EQNXTDZ($A$1,$B55,AA$1,$B$1)</f>
        <v>481.29919999999998</v>
      </c>
      <c r="AB55" s="55">
        <f>_xll.EQNXTDZ($A$1,$B55,AB$1,$B$1)</f>
        <v>1037.5056999999999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8.8780000000000001</v>
      </c>
      <c r="O56" s="55">
        <f>_xll.EQNXTDZ($A$1,$B56,O$1,$B$1)</f>
        <v>1.7629999999999999</v>
      </c>
      <c r="P56" s="55">
        <f>_xll.EQNXTDZ($A$1,$B56,P$1,$B$1)</f>
        <v>24.533999999999999</v>
      </c>
      <c r="Q56" s="55">
        <f>_xll.EQNXTDZ($A$1,$B56,Q$1,$B$1)</f>
        <v>32.520000000000003</v>
      </c>
      <c r="R56" s="55">
        <f>_xll.EQNXTDZ($A$1,$B56,R$1,$B$1)</f>
        <v>44.865299999999998</v>
      </c>
      <c r="S56" s="55">
        <f>_xll.EQNXTDZ($A$1,$B56,S$1,$B$1)</f>
        <v>69.733400000000003</v>
      </c>
      <c r="T56" s="55">
        <f>_xll.EQNXTDZ($A$1,$B56,T$1,$B$1)</f>
        <v>26.409500000000001</v>
      </c>
      <c r="U56" s="55">
        <f>_xll.EQNXTDZ($A$1,$B56,U$1,$B$1)</f>
        <v>29.3827</v>
      </c>
      <c r="V56" s="55">
        <f>_xll.EQNXTDZ($A$1,$B56,V$1,$B$1)</f>
        <v>73.213200000000001</v>
      </c>
      <c r="W56" s="55">
        <f>_xll.EQNXTDZ($A$1,$B56,W$1,$B$1)</f>
        <v>70.953299999999999</v>
      </c>
      <c r="X56" s="55">
        <f>_xll.EQNXTDZ($A$1,$B56,X$1,$B$1)</f>
        <v>65.9345</v>
      </c>
      <c r="Y56" s="55">
        <f>_xll.EQNXTDZ($A$1,$B56,Y$1,$B$1)</f>
        <v>74.620099999999994</v>
      </c>
      <c r="Z56" s="55">
        <f>_xll.EQNXTDZ($A$1,$B56,Z$1,$B$1)</f>
        <v>359.68400000000003</v>
      </c>
      <c r="AA56" s="55">
        <f>_xll.EQNXTDZ($A$1,$B56,AA$1,$B$1)</f>
        <v>219.3526</v>
      </c>
      <c r="AB56" s="55">
        <f>_xll.EQNXTDZ($A$1,$B56,AB$1,$B$1)</f>
        <v>274.07580000000002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2.5000000000000001E-2</v>
      </c>
      <c r="O57" s="55">
        <f>_xll.EQNXTDZ($A$1,$B57,O$1,$B$1)</f>
        <v>0.98699999999999999</v>
      </c>
      <c r="P57" s="55">
        <f>_xll.EQNXTDZ($A$1,$B57,P$1,$B$1)</f>
        <v>2.0129999999999999</v>
      </c>
      <c r="Q57" s="55">
        <f>_xll.EQNXTDZ($A$1,$B57,Q$1,$B$1)</f>
        <v>2.4159999999999999</v>
      </c>
      <c r="R57" s="55">
        <f>_xll.EQNXTDZ($A$1,$B57,R$1,$B$1)</f>
        <v>3.4352</v>
      </c>
      <c r="S57" s="55">
        <f>_xll.EQNXTDZ($A$1,$B57,S$1,$B$1)</f>
        <v>11.8368</v>
      </c>
      <c r="T57" s="55">
        <f>_xll.EQNXTDZ($A$1,$B57,T$1,$B$1)</f>
        <v>7.2797000000000001</v>
      </c>
      <c r="U57" s="55">
        <f>_xll.EQNXTDZ($A$1,$B57,U$1,$B$1)</f>
        <v>10.8742</v>
      </c>
      <c r="V57" s="55">
        <f>_xll.EQNXTDZ($A$1,$B57,V$1,$B$1)</f>
        <v>5.6001000000000003</v>
      </c>
      <c r="W57" s="55">
        <f>_xll.EQNXTDZ($A$1,$B57,W$1,$B$1)</f>
        <v>7.9798</v>
      </c>
      <c r="X57" s="55">
        <f>_xll.EQNXTDZ($A$1,$B57,X$1,$B$1)</f>
        <v>0.20319999999999999</v>
      </c>
      <c r="Y57" s="55">
        <f>_xll.EQNXTDZ($A$1,$B57,Y$1,$B$1)</f>
        <v>1.2863</v>
      </c>
      <c r="Z57" s="55">
        <f>_xll.EQNXTDZ($A$1,$B57,Z$1,$B$1)</f>
        <v>3.1415000000000002</v>
      </c>
      <c r="AA57" s="55">
        <f>_xll.EQNXTDZ($A$1,$B57,AA$1,$B$1)</f>
        <v>4.2614999999999998</v>
      </c>
      <c r="AB57" s="55">
        <f>_xll.EQNXTDZ($A$1,$B57,AB$1,$B$1)</f>
        <v>11.797800000000001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60.973999999999997</v>
      </c>
      <c r="O59" s="55">
        <f>_xll.EQNXTDZ($A$1,$B59,O$1,$B$1)</f>
        <v>62.311</v>
      </c>
      <c r="P59" s="55">
        <f>_xll.EQNXTDZ($A$1,$B59,P$1,$B$1)</f>
        <v>100.42700000000001</v>
      </c>
      <c r="Q59" s="55">
        <f>_xll.EQNXTDZ($A$1,$B59,Q$1,$B$1)</f>
        <v>138.45500000000001</v>
      </c>
      <c r="R59" s="55">
        <f>_xll.EQNXTDZ($A$1,$B59,R$1,$B$1)</f>
        <v>186.4186</v>
      </c>
      <c r="S59" s="55">
        <f>_xll.EQNXTDZ($A$1,$B59,S$1,$B$1)</f>
        <v>218.55840000000001</v>
      </c>
      <c r="T59" s="55">
        <f>_xll.EQNXTDZ($A$1,$B59,T$1,$B$1)</f>
        <v>295.55329999999998</v>
      </c>
      <c r="U59" s="55">
        <f>_xll.EQNXTDZ($A$1,$B59,U$1,$B$1)</f>
        <v>364.51220000000001</v>
      </c>
      <c r="V59" s="55">
        <f>_xll.EQNXTDZ($A$1,$B59,V$1,$B$1)</f>
        <v>503.64150000000001</v>
      </c>
      <c r="W59" s="55">
        <f>_xll.EQNXTDZ($A$1,$B59,W$1,$B$1)</f>
        <v>451.85239999999999</v>
      </c>
      <c r="X59" s="55">
        <f>_xll.EQNXTDZ($A$1,$B59,X$1,$B$1)</f>
        <v>564.70500000000004</v>
      </c>
      <c r="Y59" s="55">
        <f>_xll.EQNXTDZ($A$1,$B59,Y$1,$B$1)</f>
        <v>924.2097</v>
      </c>
      <c r="Z59" s="55">
        <f>_xll.EQNXTDZ($A$1,$B59,Z$1,$B$1)</f>
        <v>1077.5136</v>
      </c>
      <c r="AA59" s="55">
        <f>_xll.EQNXTDZ($A$1,$B59,AA$1,$B$1)</f>
        <v>1122.8200999999999</v>
      </c>
      <c r="AB59" s="55">
        <f>_xll.EQNXTDZ($A$1,$B59,AB$1,$B$1)</f>
        <v>1788.5744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91.8</v>
      </c>
      <c r="O60" s="55">
        <f>_xll.EQNXTDZ($A$1,$B60,O$1,$B$1)</f>
        <v>100.78100000000001</v>
      </c>
      <c r="P60" s="55">
        <f>_xll.EQNXTDZ($A$1,$B60,P$1,$B$1)</f>
        <v>135.958</v>
      </c>
      <c r="Q60" s="55">
        <f>_xll.EQNXTDZ($A$1,$B60,Q$1,$B$1)</f>
        <v>185.886</v>
      </c>
      <c r="R60" s="55">
        <f>_xll.EQNXTDZ($A$1,$B60,R$1,$B$1)</f>
        <v>250.09110000000001</v>
      </c>
      <c r="S60" s="55">
        <f>_xll.EQNXTDZ($A$1,$B60,S$1,$B$1)</f>
        <v>325.28710000000001</v>
      </c>
      <c r="T60" s="55">
        <f>_xll.EQNXTDZ($A$1,$B60,T$1,$B$1)</f>
        <v>596.92880000000002</v>
      </c>
      <c r="U60" s="55">
        <f>_xll.EQNXTDZ($A$1,$B60,U$1,$B$1)</f>
        <v>729.16039999999998</v>
      </c>
      <c r="V60" s="55">
        <f>_xll.EQNXTDZ($A$1,$B60,V$1,$B$1)</f>
        <v>955.98090000000002</v>
      </c>
      <c r="W60" s="55">
        <f>_xll.EQNXTDZ($A$1,$B60,W$1,$B$1)</f>
        <v>981.59429999999998</v>
      </c>
      <c r="X60" s="55">
        <f>_xll.EQNXTDZ($A$1,$B60,X$1,$B$1)</f>
        <v>1258.8934999999999</v>
      </c>
      <c r="Y60" s="55">
        <f>_xll.EQNXTDZ($A$1,$B60,Y$1,$B$1)</f>
        <v>1752.4740999999999</v>
      </c>
      <c r="Z60" s="55">
        <f>_xll.EQNXTDZ($A$1,$B60,Z$1,$B$1)</f>
        <v>2017.3608999999999</v>
      </c>
      <c r="AA60" s="55">
        <f>_xll.EQNXTDZ($A$1,$B60,AA$1,$B$1)</f>
        <v>2325.6190999999999</v>
      </c>
      <c r="AB60" s="55">
        <f>_xll.EQNXTDZ($A$1,$B60,AB$1,$B$1)</f>
        <v>3043.6614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23.106999999999999</v>
      </c>
      <c r="O62" s="55">
        <f>_xll.EQNXTDZ($A$1,$B62,O$1,$B$1)</f>
        <v>27.195</v>
      </c>
      <c r="P62" s="55">
        <f>_xll.EQNXTDZ($A$1,$B62,P$1,$B$1)</f>
        <v>30.849</v>
      </c>
      <c r="Q62" s="55">
        <f>_xll.EQNXTDZ($A$1,$B62,Q$1,$B$1)</f>
        <v>50.725000000000001</v>
      </c>
      <c r="R62" s="55">
        <f>_xll.EQNXTDZ($A$1,$B62,R$1,$B$1)</f>
        <v>78.231200000000001</v>
      </c>
      <c r="S62" s="55">
        <f>_xll.EQNXTDZ($A$1,$B62,S$1,$B$1)</f>
        <v>84.034800000000004</v>
      </c>
      <c r="T62" s="55">
        <f>_xll.EQNXTDZ($A$1,$B62,T$1,$B$1)</f>
        <v>121.3486</v>
      </c>
      <c r="U62" s="55">
        <f>_xll.EQNXTDZ($A$1,$B62,U$1,$B$1)</f>
        <v>168.55330000000001</v>
      </c>
      <c r="V62" s="55">
        <f>_xll.EQNXTDZ($A$1,$B62,V$1,$B$1)</f>
        <v>199.79300000000001</v>
      </c>
      <c r="W62" s="55">
        <f>_xll.EQNXTDZ($A$1,$B62,W$1,$B$1)</f>
        <v>229.4819</v>
      </c>
      <c r="X62" s="55">
        <f>_xll.EQNXTDZ($A$1,$B62,X$1,$B$1)</f>
        <v>345.23820000000001</v>
      </c>
      <c r="Y62" s="55">
        <f>_xll.EQNXTDZ($A$1,$B62,Y$1,$B$1)</f>
        <v>416.25229999999999</v>
      </c>
      <c r="Z62" s="55">
        <f>_xll.EQNXTDZ($A$1,$B62,Z$1,$B$1)</f>
        <v>559.28629999999998</v>
      </c>
      <c r="AA62" s="55">
        <f>_xll.EQNXTDZ($A$1,$B62,AA$1,$B$1)</f>
        <v>599.40239999999994</v>
      </c>
      <c r="AB62" s="55">
        <f>_xll.EQNXTDZ($A$1,$B62,AB$1,$B$1)</f>
        <v>768.7287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5.0890000000000004</v>
      </c>
      <c r="O63" s="55">
        <f>_xll.EQNXTDZ($A$1,$B63,O$1,$B$1)</f>
        <v>8.7309999999999999</v>
      </c>
      <c r="P63" s="55">
        <f>_xll.EQNXTDZ($A$1,$B63,P$1,$B$1)</f>
        <v>12.343999999999999</v>
      </c>
      <c r="Q63" s="55">
        <f>_xll.EQNXTDZ($A$1,$B63,Q$1,$B$1)</f>
        <v>17.510000000000002</v>
      </c>
      <c r="R63" s="55">
        <f>_xll.EQNXTDZ($A$1,$B63,R$1,$B$1)</f>
        <v>24.605399999999999</v>
      </c>
      <c r="S63" s="55">
        <f>_xll.EQNXTDZ($A$1,$B63,S$1,$B$1)</f>
        <v>31.934200000000001</v>
      </c>
      <c r="T63" s="55">
        <f>_xll.EQNXTDZ($A$1,$B63,T$1,$B$1)</f>
        <v>43.267499999999998</v>
      </c>
      <c r="U63" s="55">
        <f>_xll.EQNXTDZ($A$1,$B63,U$1,$B$1)</f>
        <v>65.368899999999996</v>
      </c>
      <c r="V63" s="55">
        <f>_xll.EQNXTDZ($A$1,$B63,V$1,$B$1)</f>
        <v>91.903000000000006</v>
      </c>
      <c r="W63" s="55">
        <f>_xll.EQNXTDZ($A$1,$B63,W$1,$B$1)</f>
        <v>113.29510000000001</v>
      </c>
      <c r="X63" s="55">
        <f>_xll.EQNXTDZ($A$1,$B63,X$1,$B$1)</f>
        <v>137.86689999999999</v>
      </c>
      <c r="Y63" s="55">
        <f>_xll.EQNXTDZ($A$1,$B63,Y$1,$B$1)</f>
        <v>176.65790000000001</v>
      </c>
      <c r="Z63" s="55">
        <f>_xll.EQNXTDZ($A$1,$B63,Z$1,$B$1)</f>
        <v>237.45519999999999</v>
      </c>
      <c r="AA63" s="55">
        <f>_xll.EQNXTDZ($A$1,$B63,AA$1,$B$1)</f>
        <v>292.07510000000002</v>
      </c>
      <c r="AB63" s="55">
        <f>_xll.EQNXTDZ($A$1,$B63,AB$1,$B$1)</f>
        <v>355.64920000000001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18.018000000000001</v>
      </c>
      <c r="O65" s="55">
        <f>_xll.EQNXTDZ($A$1,$B65,O$1,$B$1)</f>
        <v>18.463999999999999</v>
      </c>
      <c r="P65" s="55">
        <f>_xll.EQNXTDZ($A$1,$B65,P$1,$B$1)</f>
        <v>18.504999999999999</v>
      </c>
      <c r="Q65" s="55">
        <f>_xll.EQNXTDZ($A$1,$B65,Q$1,$B$1)</f>
        <v>33.215000000000003</v>
      </c>
      <c r="R65" s="55">
        <f>_xll.EQNXTDZ($A$1,$B65,R$1,$B$1)</f>
        <v>53.625799999999998</v>
      </c>
      <c r="S65" s="55">
        <f>_xll.EQNXTDZ($A$1,$B65,S$1,$B$1)</f>
        <v>52.1006</v>
      </c>
      <c r="T65" s="55">
        <f>_xll.EQNXTDZ($A$1,$B65,T$1,$B$1)</f>
        <v>78.081100000000006</v>
      </c>
      <c r="U65" s="55">
        <f>_xll.EQNXTDZ($A$1,$B65,U$1,$B$1)</f>
        <v>103.1844</v>
      </c>
      <c r="V65" s="55">
        <f>_xll.EQNXTDZ($A$1,$B65,V$1,$B$1)</f>
        <v>107.89</v>
      </c>
      <c r="W65" s="55">
        <f>_xll.EQNXTDZ($A$1,$B65,W$1,$B$1)</f>
        <v>116.18680000000001</v>
      </c>
      <c r="X65" s="55">
        <f>_xll.EQNXTDZ($A$1,$B65,X$1,$B$1)</f>
        <v>207.37129999999999</v>
      </c>
      <c r="Y65" s="55">
        <f>_xll.EQNXTDZ($A$1,$B65,Y$1,$B$1)</f>
        <v>239.59440000000001</v>
      </c>
      <c r="Z65" s="55">
        <f>_xll.EQNXTDZ($A$1,$B65,Z$1,$B$1)</f>
        <v>321.83109999999999</v>
      </c>
      <c r="AA65" s="55">
        <f>_xll.EQNXTDZ($A$1,$B65,AA$1,$B$1)</f>
        <v>307.32729999999998</v>
      </c>
      <c r="AB65" s="55">
        <f>_xll.EQNXTDZ($A$1,$B65,AB$1,$B$1)</f>
        <v>413.0795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0.23799999999999999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1.7630999999999999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41.647199999999998</v>
      </c>
      <c r="X67" s="55">
        <f>_xll.EQNXTDZ($A$1,$B67,X$1,$B$1)</f>
        <v>0</v>
      </c>
      <c r="Y67" s="55">
        <f>_xll.EQNXTDZ($A$1,$B67,Y$1,$B$1)</f>
        <v>17.734999999999999</v>
      </c>
      <c r="Z67" s="55">
        <f>_xll.EQNXTDZ($A$1,$B67,Z$1,$B$1)</f>
        <v>2.8807999999999998</v>
      </c>
      <c r="AA67" s="55">
        <f>_xll.EQNXTDZ($A$1,$B67,AA$1,$B$1)</f>
        <v>2.7671000000000001</v>
      </c>
      <c r="AB67" s="55">
        <f>_xll.EQNXTDZ($A$1,$B67,AB$1,$B$1)</f>
        <v>0.86419999999999997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0.214</v>
      </c>
      <c r="O71" s="55">
        <f>_xll.EQNXTDZ($A$1,$B71,O$1,$B$1)</f>
        <v>3.4929999999999999</v>
      </c>
      <c r="P71" s="55">
        <f>_xll.EQNXTDZ($A$1,$B71,P$1,$B$1)</f>
        <v>0.8</v>
      </c>
      <c r="Q71" s="55">
        <f>_xll.EQNXTDZ($A$1,$B71,Q$1,$B$1)</f>
        <v>0.82699999999999996</v>
      </c>
      <c r="R71" s="55">
        <f>_xll.EQNXTDZ($A$1,$B71,R$1,$B$1)</f>
        <v>0.92069999999999996</v>
      </c>
      <c r="S71" s="55">
        <f>_xll.EQNXTDZ($A$1,$B71,S$1,$B$1)</f>
        <v>3.8243999999999998</v>
      </c>
      <c r="T71" s="55">
        <f>_xll.EQNXTDZ($A$1,$B71,T$1,$B$1)</f>
        <v>0.65680000000000005</v>
      </c>
      <c r="U71" s="55">
        <f>_xll.EQNXTDZ($A$1,$B71,U$1,$B$1)</f>
        <v>0.65680000000000005</v>
      </c>
      <c r="V71" s="55">
        <f>_xll.EQNXTDZ($A$1,$B71,V$1,$B$1)</f>
        <v>0.65680000000000005</v>
      </c>
      <c r="W71" s="55">
        <f>_xll.EQNXTDZ($A$1,$B71,W$1,$B$1)</f>
        <v>0.66679999999999995</v>
      </c>
      <c r="X71" s="55">
        <f>_xll.EQNXTDZ($A$1,$B71,X$1,$B$1)</f>
        <v>0.66679999999999995</v>
      </c>
      <c r="Y71" s="55">
        <f>_xll.EQNXTDZ($A$1,$B71,Y$1,$B$1)</f>
        <v>0.66679999999999995</v>
      </c>
      <c r="Z71" s="55">
        <f>_xll.EQNXTDZ($A$1,$B71,Z$1,$B$1)</f>
        <v>0.66679999999999995</v>
      </c>
      <c r="AA71" s="55">
        <f>_xll.EQNXTDZ($A$1,$B71,AA$1,$B$1)</f>
        <v>0.66679999999999995</v>
      </c>
      <c r="AB71" s="55">
        <f>_xll.EQNXTDZ($A$1,$B71,AB$1,$B$1)</f>
        <v>0.65680000000000005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2.931</v>
      </c>
      <c r="O72" s="55">
        <f>_xll.EQNXTDZ($A$1,$B72,O$1,$B$1)</f>
        <v>1.8360000000000001</v>
      </c>
      <c r="P72" s="55">
        <f>_xll.EQNXTDZ($A$1,$B72,P$1,$B$1)</f>
        <v>1.8580000000000001</v>
      </c>
      <c r="Q72" s="55">
        <f>_xll.EQNXTDZ($A$1,$B72,Q$1,$B$1)</f>
        <v>4.0060000000000002</v>
      </c>
      <c r="R72" s="55">
        <f>_xll.EQNXTDZ($A$1,$B72,R$1,$B$1)</f>
        <v>13.561</v>
      </c>
      <c r="S72" s="55">
        <f>_xll.EQNXTDZ($A$1,$B72,S$1,$B$1)</f>
        <v>31.6464</v>
      </c>
      <c r="T72" s="55">
        <f>_xll.EQNXTDZ($A$1,$B72,T$1,$B$1)</f>
        <v>64.621799999999993</v>
      </c>
      <c r="U72" s="55">
        <f>_xll.EQNXTDZ($A$1,$B72,U$1,$B$1)</f>
        <v>57.411099999999998</v>
      </c>
      <c r="V72" s="55">
        <f>_xll.EQNXTDZ($A$1,$B72,V$1,$B$1)</f>
        <v>94.004099999999994</v>
      </c>
      <c r="W72" s="55">
        <f>_xll.EQNXTDZ($A$1,$B72,W$1,$B$1)</f>
        <v>102.45180000000001</v>
      </c>
      <c r="X72" s="55">
        <f>_xll.EQNXTDZ($A$1,$B72,X$1,$B$1)</f>
        <v>87.347499999999997</v>
      </c>
      <c r="Y72" s="55">
        <f>_xll.EQNXTDZ($A$1,$B72,Y$1,$B$1)</f>
        <v>113.9228</v>
      </c>
      <c r="Z72" s="55">
        <f>_xll.EQNXTDZ($A$1,$B72,Z$1,$B$1)</f>
        <v>121.17149999999999</v>
      </c>
      <c r="AA72" s="55">
        <f>_xll.EQNXTDZ($A$1,$B72,AA$1,$B$1)</f>
        <v>151.9392</v>
      </c>
      <c r="AB72" s="55">
        <f>_xll.EQNXTDZ($A$1,$B72,AB$1,$B$1)</f>
        <v>194.8415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1.139</v>
      </c>
      <c r="O73" s="55">
        <f>_xll.EQNXTDZ($A$1,$B73,O$1,$B$1)</f>
        <v>2.3119999999999998</v>
      </c>
      <c r="P73" s="55">
        <f>_xll.EQNXTDZ($A$1,$B73,P$1,$B$1)</f>
        <v>3.4409999999999998</v>
      </c>
      <c r="Q73" s="55">
        <f>_xll.EQNXTDZ($A$1,$B73,Q$1,$B$1)</f>
        <v>8.9190000000000005</v>
      </c>
      <c r="R73" s="55">
        <f>_xll.EQNXTDZ($A$1,$B73,R$1,$B$1)</f>
        <v>0</v>
      </c>
      <c r="S73" s="55">
        <f>_xll.EQNXTDZ($A$1,$B73,S$1,$B$1)</f>
        <v>28.085899999999999</v>
      </c>
      <c r="T73" s="55">
        <f>_xll.EQNXTDZ($A$1,$B73,T$1,$B$1)</f>
        <v>26.871099999999998</v>
      </c>
      <c r="U73" s="55">
        <f>_xll.EQNXTDZ($A$1,$B73,U$1,$B$1)</f>
        <v>26.409199999999998</v>
      </c>
      <c r="V73" s="55">
        <f>_xll.EQNXTDZ($A$1,$B73,V$1,$B$1)</f>
        <v>54.3596</v>
      </c>
      <c r="W73" s="55">
        <f>_xll.EQNXTDZ($A$1,$B73,W$1,$B$1)</f>
        <v>27.970600000000001</v>
      </c>
      <c r="X73" s="55">
        <f>_xll.EQNXTDZ($A$1,$B73,X$1,$B$1)</f>
        <v>142.42529999999999</v>
      </c>
      <c r="Y73" s="55">
        <f>_xll.EQNXTDZ($A$1,$B73,Y$1,$B$1)</f>
        <v>98.378299999999996</v>
      </c>
      <c r="Z73" s="55">
        <f>_xll.EQNXTDZ($A$1,$B73,Z$1,$B$1)</f>
        <v>41.148000000000003</v>
      </c>
      <c r="AA73" s="55">
        <f>_xll.EQNXTDZ($A$1,$B73,AA$1,$B$1)</f>
        <v>83.580699999999993</v>
      </c>
      <c r="AB73" s="55">
        <f>_xll.EQNXTDZ($A$1,$B73,AB$1,$B$1)</f>
        <v>33.123899999999999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22.302</v>
      </c>
      <c r="O74" s="55">
        <f>_xll.EQNXTDZ($A$1,$B74,O$1,$B$1)</f>
        <v>26.105</v>
      </c>
      <c r="P74" s="55">
        <f>_xll.EQNXTDZ($A$1,$B74,P$1,$B$1)</f>
        <v>24.603999999999999</v>
      </c>
      <c r="Q74" s="55">
        <f>_xll.EQNXTDZ($A$1,$B74,Q$1,$B$1)</f>
        <v>47.204999999999998</v>
      </c>
      <c r="R74" s="55">
        <f>_xll.EQNXTDZ($A$1,$B74,R$1,$B$1)</f>
        <v>68.107500000000002</v>
      </c>
      <c r="S74" s="55">
        <f>_xll.EQNXTDZ($A$1,$B74,S$1,$B$1)</f>
        <v>115.65730000000001</v>
      </c>
      <c r="T74" s="55">
        <f>_xll.EQNXTDZ($A$1,$B74,T$1,$B$1)</f>
        <v>171.9939</v>
      </c>
      <c r="U74" s="55">
        <f>_xll.EQNXTDZ($A$1,$B74,U$1,$B$1)</f>
        <v>187.66149999999999</v>
      </c>
      <c r="V74" s="55">
        <f>_xll.EQNXTDZ($A$1,$B74,V$1,$B$1)</f>
        <v>256.91050000000001</v>
      </c>
      <c r="W74" s="55">
        <f>_xll.EQNXTDZ($A$1,$B74,W$1,$B$1)</f>
        <v>288.92320000000001</v>
      </c>
      <c r="X74" s="55">
        <f>_xll.EQNXTDZ($A$1,$B74,X$1,$B$1)</f>
        <v>437.8109</v>
      </c>
      <c r="Y74" s="55">
        <f>_xll.EQNXTDZ($A$1,$B74,Y$1,$B$1)</f>
        <v>470.29730000000001</v>
      </c>
      <c r="Z74" s="55">
        <f>_xll.EQNXTDZ($A$1,$B74,Z$1,$B$1)</f>
        <v>487.69819999999999</v>
      </c>
      <c r="AA74" s="55">
        <f>_xll.EQNXTDZ($A$1,$B74,AA$1,$B$1)</f>
        <v>546.28110000000004</v>
      </c>
      <c r="AB74" s="55">
        <f>_xll.EQNXTDZ($A$1,$B74,AB$1,$B$1)</f>
        <v>642.56590000000006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0.1</v>
      </c>
      <c r="O75" s="55">
        <f>_xll.EQNXTDZ($A$1,$B75,O$1,$B$1)</f>
        <v>0</v>
      </c>
      <c r="P75" s="55">
        <f>_xll.EQNXTDZ($A$1,$B75,P$1,$B$1)</f>
        <v>8.1159999999999997</v>
      </c>
      <c r="Q75" s="55">
        <f>_xll.EQNXTDZ($A$1,$B75,Q$1,$B$1)</f>
        <v>11.821999999999999</v>
      </c>
      <c r="R75" s="55">
        <f>_xll.EQNXTDZ($A$1,$B75,R$1,$B$1)</f>
        <v>12.9816</v>
      </c>
      <c r="S75" s="55">
        <f>_xll.EQNXTDZ($A$1,$B75,S$1,$B$1)</f>
        <v>14.0815</v>
      </c>
      <c r="T75" s="55">
        <f>_xll.EQNXTDZ($A$1,$B75,T$1,$B$1)</f>
        <v>15.117800000000001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1.421</v>
      </c>
      <c r="O76" s="55">
        <f>_xll.EQNXTDZ($A$1,$B76,O$1,$B$1)</f>
        <v>1.835</v>
      </c>
      <c r="P76" s="55">
        <f>_xll.EQNXTDZ($A$1,$B76,P$1,$B$1)</f>
        <v>1.5649999999999999</v>
      </c>
      <c r="Q76" s="55">
        <f>_xll.EQNXTDZ($A$1,$B76,Q$1,$B$1)</f>
        <v>4.2110000000000003</v>
      </c>
      <c r="R76" s="55">
        <f>_xll.EQNXTDZ($A$1,$B76,R$1,$B$1)</f>
        <v>9.7972000000000001</v>
      </c>
      <c r="S76" s="55">
        <f>_xll.EQNXTDZ($A$1,$B76,S$1,$B$1)</f>
        <v>3.6082999999999998</v>
      </c>
      <c r="T76" s="55">
        <f>_xll.EQNXTDZ($A$1,$B76,T$1,$B$1)</f>
        <v>33.812600000000003</v>
      </c>
      <c r="U76" s="55">
        <f>_xll.EQNXTDZ($A$1,$B76,U$1,$B$1)</f>
        <v>75.0017</v>
      </c>
      <c r="V76" s="55">
        <f>_xll.EQNXTDZ($A$1,$B76,V$1,$B$1)</f>
        <v>96.833500000000001</v>
      </c>
      <c r="W76" s="55">
        <f>_xll.EQNXTDZ($A$1,$B76,W$1,$B$1)</f>
        <v>89.209100000000007</v>
      </c>
      <c r="X76" s="55">
        <f>_xll.EQNXTDZ($A$1,$B76,X$1,$B$1)</f>
        <v>81.848299999999995</v>
      </c>
      <c r="Y76" s="55">
        <f>_xll.EQNXTDZ($A$1,$B76,Y$1,$B$1)</f>
        <v>153.12260000000001</v>
      </c>
      <c r="Z76" s="55">
        <f>_xll.EQNXTDZ($A$1,$B76,Z$1,$B$1)</f>
        <v>317.83109999999999</v>
      </c>
      <c r="AA76" s="55">
        <f>_xll.EQNXTDZ($A$1,$B76,AA$1,$B$1)</f>
        <v>323.94009999999997</v>
      </c>
      <c r="AB76" s="55">
        <f>_xll.EQNXTDZ($A$1,$B76,AB$1,$B$1)</f>
        <v>347.61070000000001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18.952000000000002</v>
      </c>
      <c r="O77" s="55">
        <f>_xll.EQNXTDZ($A$1,$B77,O$1,$B$1)</f>
        <v>12.166</v>
      </c>
      <c r="P77" s="55">
        <f>_xll.EQNXTDZ($A$1,$B77,P$1,$B$1)</f>
        <v>13.755000000000001</v>
      </c>
      <c r="Q77" s="55">
        <f>_xll.EQNXTDZ($A$1,$B77,Q$1,$B$1)</f>
        <v>23.873999999999999</v>
      </c>
      <c r="R77" s="55">
        <f>_xll.EQNXTDZ($A$1,$B77,R$1,$B$1)</f>
        <v>20.2303</v>
      </c>
      <c r="S77" s="55">
        <f>_xll.EQNXTDZ($A$1,$B77,S$1,$B$1)</f>
        <v>58.2776</v>
      </c>
      <c r="T77" s="55">
        <f>_xll.EQNXTDZ($A$1,$B77,T$1,$B$1)</f>
        <v>123.4631</v>
      </c>
      <c r="U77" s="55">
        <f>_xll.EQNXTDZ($A$1,$B77,U$1,$B$1)</f>
        <v>147.8852</v>
      </c>
      <c r="V77" s="55">
        <f>_xll.EQNXTDZ($A$1,$B77,V$1,$B$1)</f>
        <v>235.17509999999999</v>
      </c>
      <c r="W77" s="55">
        <f>_xll.EQNXTDZ($A$1,$B77,W$1,$B$1)</f>
        <v>226.53739999999999</v>
      </c>
      <c r="X77" s="55">
        <f>_xll.EQNXTDZ($A$1,$B77,X$1,$B$1)</f>
        <v>311.00709999999998</v>
      </c>
      <c r="Y77" s="55">
        <f>_xll.EQNXTDZ($A$1,$B77,Y$1,$B$1)</f>
        <v>433.86649999999997</v>
      </c>
      <c r="Z77" s="55">
        <f>_xll.EQNXTDZ($A$1,$B77,Z$1,$B$1)</f>
        <v>342.11860000000001</v>
      </c>
      <c r="AA77" s="55">
        <f>_xll.EQNXTDZ($A$1,$B77,AA$1,$B$1)</f>
        <v>529.8329</v>
      </c>
      <c r="AB77" s="55">
        <f>_xll.EQNXTDZ($A$1,$B77,AB$1,$B$1)</f>
        <v>928.21870000000001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35.935000000000002</v>
      </c>
      <c r="O78" s="55">
        <f>_xll.EQNXTDZ($A$1,$B78,O$1,$B$1)</f>
        <v>44.613999999999997</v>
      </c>
      <c r="P78" s="55">
        <f>_xll.EQNXTDZ($A$1,$B78,P$1,$B$1)</f>
        <v>68.436999999999998</v>
      </c>
      <c r="Q78" s="55">
        <f>_xll.EQNXTDZ($A$1,$B78,Q$1,$B$1)</f>
        <v>84.816000000000003</v>
      </c>
      <c r="R78" s="55">
        <f>_xll.EQNXTDZ($A$1,$B78,R$1,$B$1)</f>
        <v>112.054</v>
      </c>
      <c r="S78" s="55">
        <f>_xll.EQNXTDZ($A$1,$B78,S$1,$B$1)</f>
        <v>106.6613</v>
      </c>
      <c r="T78" s="55">
        <f>_xll.EQNXTDZ($A$1,$B78,T$1,$B$1)</f>
        <v>227.95079999999999</v>
      </c>
      <c r="U78" s="55">
        <f>_xll.EQNXTDZ($A$1,$B78,U$1,$B$1)</f>
        <v>222.20429999999999</v>
      </c>
      <c r="V78" s="55">
        <f>_xll.EQNXTDZ($A$1,$B78,V$1,$B$1)</f>
        <v>196.845</v>
      </c>
      <c r="W78" s="55">
        <f>_xll.EQNXTDZ($A$1,$B78,W$1,$B$1)</f>
        <v>229.02699999999999</v>
      </c>
      <c r="X78" s="55">
        <f>_xll.EQNXTDZ($A$1,$B78,X$1,$B$1)</f>
        <v>196.3459</v>
      </c>
      <c r="Y78" s="55">
        <f>_xll.EQNXTDZ($A$1,$B78,Y$1,$B$1)</f>
        <v>242.35589999999999</v>
      </c>
      <c r="Z78" s="55">
        <f>_xll.EQNXTDZ($A$1,$B78,Z$1,$B$1)</f>
        <v>227.0941</v>
      </c>
      <c r="AA78" s="55">
        <f>_xll.EQNXTDZ($A$1,$B78,AA$1,$B$1)</f>
        <v>207.84030000000001</v>
      </c>
      <c r="AB78" s="55">
        <f>_xll.EQNXTDZ($A$1,$B78,AB$1,$B$1)</f>
        <v>415.50020000000001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1.726</v>
      </c>
      <c r="O79" s="55">
        <f>_xll.EQNXTDZ($A$1,$B79,O$1,$B$1)</f>
        <v>2.8119999999999998</v>
      </c>
      <c r="P79" s="55">
        <f>_xll.EQNXTDZ($A$1,$B79,P$1,$B$1)</f>
        <v>3.66</v>
      </c>
      <c r="Q79" s="55">
        <f>_xll.EQNXTDZ($A$1,$B79,Q$1,$B$1)</f>
        <v>5.2990000000000004</v>
      </c>
      <c r="R79" s="55">
        <f>_xll.EQNXTDZ($A$1,$B79,R$1,$B$1)</f>
        <v>5.5940000000000003</v>
      </c>
      <c r="S79" s="55">
        <f>_xll.EQNXTDZ($A$1,$B79,S$1,$B$1)</f>
        <v>0.48709999999999998</v>
      </c>
      <c r="T79" s="55">
        <f>_xll.EQNXTDZ($A$1,$B79,T$1,$B$1)</f>
        <v>1.8636999999999999</v>
      </c>
      <c r="U79" s="55">
        <f>_xll.EQNXTDZ($A$1,$B79,U$1,$B$1)</f>
        <v>37.862400000000001</v>
      </c>
      <c r="V79" s="55">
        <f>_xll.EQNXTDZ($A$1,$B79,V$1,$B$1)</f>
        <v>129.5103</v>
      </c>
      <c r="W79" s="55">
        <f>_xll.EQNXTDZ($A$1,$B79,W$1,$B$1)</f>
        <v>7.6473000000000004</v>
      </c>
      <c r="X79" s="55">
        <f>_xll.EQNXTDZ($A$1,$B79,X$1,$B$1)</f>
        <v>6.2653999999999996</v>
      </c>
      <c r="Y79" s="55">
        <f>_xll.EQNXTDZ($A$1,$B79,Y$1,$B$1)</f>
        <v>21.870100000000001</v>
      </c>
      <c r="Z79" s="55">
        <f>_xll.EQNXTDZ($A$1,$B79,Z$1,$B$1)</f>
        <v>19.618400000000001</v>
      </c>
      <c r="AA79" s="55">
        <f>_xll.EQNXTDZ($A$1,$B79,AA$1,$B$1)</f>
        <v>24.773199999999999</v>
      </c>
      <c r="AB79" s="55">
        <f>_xll.EQNXTDZ($A$1,$B79,AB$1,$B$1)</f>
        <v>34.738500000000002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11.364000000000001</v>
      </c>
      <c r="O80" s="55">
        <f>_xll.EQNXTDZ($A$1,$B80,O$1,$B$1)</f>
        <v>13.249000000000001</v>
      </c>
      <c r="P80" s="55">
        <f>_xll.EQNXTDZ($A$1,$B80,P$1,$B$1)</f>
        <v>15.821</v>
      </c>
      <c r="Q80" s="55">
        <f>_xll.EQNXTDZ($A$1,$B80,Q$1,$B$1)</f>
        <v>8.6590000000000007</v>
      </c>
      <c r="R80" s="55">
        <f>_xll.EQNXTDZ($A$1,$B80,R$1,$B$1)</f>
        <v>21.326499999999999</v>
      </c>
      <c r="S80" s="55">
        <f>_xll.EQNXTDZ($A$1,$B80,S$1,$B$1)</f>
        <v>24.141100000000002</v>
      </c>
      <c r="T80" s="55">
        <f>_xll.EQNXTDZ($A$1,$B80,T$1,$B$1)</f>
        <v>22.726900000000001</v>
      </c>
      <c r="U80" s="55">
        <f>_xll.EQNXTDZ($A$1,$B80,U$1,$B$1)</f>
        <v>58.545299999999997</v>
      </c>
      <c r="V80" s="55">
        <f>_xll.EQNXTDZ($A$1,$B80,V$1,$B$1)</f>
        <v>40.706499999999998</v>
      </c>
      <c r="W80" s="55">
        <f>_xll.EQNXTDZ($A$1,$B80,W$1,$B$1)</f>
        <v>140.25030000000001</v>
      </c>
      <c r="X80" s="55">
        <f>_xll.EQNXTDZ($A$1,$B80,X$1,$B$1)</f>
        <v>225.61590000000001</v>
      </c>
      <c r="Y80" s="55">
        <f>_xll.EQNXTDZ($A$1,$B80,Y$1,$B$1)</f>
        <v>430.96170000000001</v>
      </c>
      <c r="Z80" s="55">
        <f>_xll.EQNXTDZ($A$1,$B80,Z$1,$B$1)</f>
        <v>623.00049999999999</v>
      </c>
      <c r="AA80" s="55">
        <f>_xll.EQNXTDZ($A$1,$B80,AA$1,$B$1)</f>
        <v>692.95150000000001</v>
      </c>
      <c r="AB80" s="55">
        <f>_xll.EQNXTDZ($A$1,$B80,AB$1,$B$1)</f>
        <v>660.9117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14.1157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69.498000000000005</v>
      </c>
      <c r="O82" s="55">
        <f>_xll.EQNXTDZ($A$1,$B82,O$1,$B$1)</f>
        <v>74.676000000000002</v>
      </c>
      <c r="P82" s="55">
        <f>_xll.EQNXTDZ($A$1,$B82,P$1,$B$1)</f>
        <v>111.354</v>
      </c>
      <c r="Q82" s="55">
        <f>_xll.EQNXTDZ($A$1,$B82,Q$1,$B$1)</f>
        <v>138.68100000000001</v>
      </c>
      <c r="R82" s="55">
        <f>_xll.EQNXTDZ($A$1,$B82,R$1,$B$1)</f>
        <v>181.9836</v>
      </c>
      <c r="S82" s="55">
        <f>_xll.EQNXTDZ($A$1,$B82,S$1,$B$1)</f>
        <v>207.2569</v>
      </c>
      <c r="T82" s="55">
        <f>_xll.EQNXTDZ($A$1,$B82,T$1,$B$1)</f>
        <v>424.93490000000003</v>
      </c>
      <c r="U82" s="55">
        <f>_xll.EQNXTDZ($A$1,$B82,U$1,$B$1)</f>
        <v>541.49890000000005</v>
      </c>
      <c r="V82" s="55">
        <f>_xll.EQNXTDZ($A$1,$B82,V$1,$B$1)</f>
        <v>699.07039999999995</v>
      </c>
      <c r="W82" s="55">
        <f>_xll.EQNXTDZ($A$1,$B82,W$1,$B$1)</f>
        <v>692.67110000000002</v>
      </c>
      <c r="X82" s="55">
        <f>_xll.EQNXTDZ($A$1,$B82,X$1,$B$1)</f>
        <v>821.08259999999996</v>
      </c>
      <c r="Y82" s="55">
        <f>_xll.EQNXTDZ($A$1,$B82,Y$1,$B$1)</f>
        <v>1282.1768</v>
      </c>
      <c r="Z82" s="55">
        <f>_xll.EQNXTDZ($A$1,$B82,Z$1,$B$1)</f>
        <v>1529.6627000000001</v>
      </c>
      <c r="AA82" s="55">
        <f>_xll.EQNXTDZ($A$1,$B82,AA$1,$B$1)</f>
        <v>1779.338</v>
      </c>
      <c r="AB82" s="55">
        <f>_xll.EQNXTDZ($A$1,$B82,AB$1,$B$1)</f>
        <v>2386.9798000000001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2.3729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91.8</v>
      </c>
      <c r="O84" s="55">
        <f>_xll.EQNXTDZ($A$1,$B84,O$1,$B$1)</f>
        <v>100.78100000000001</v>
      </c>
      <c r="P84" s="55">
        <f>_xll.EQNXTDZ($A$1,$B84,P$1,$B$1)</f>
        <v>135.958</v>
      </c>
      <c r="Q84" s="55">
        <f>_xll.EQNXTDZ($A$1,$B84,Q$1,$B$1)</f>
        <v>185.886</v>
      </c>
      <c r="R84" s="55">
        <f>_xll.EQNXTDZ($A$1,$B84,R$1,$B$1)</f>
        <v>250.09110000000001</v>
      </c>
      <c r="S84" s="55">
        <f>_xll.EQNXTDZ($A$1,$B84,S$1,$B$1)</f>
        <v>325.28710000000001</v>
      </c>
      <c r="T84" s="55">
        <f>_xll.EQNXTDZ($A$1,$B84,T$1,$B$1)</f>
        <v>596.92880000000002</v>
      </c>
      <c r="U84" s="55">
        <f>_xll.EQNXTDZ($A$1,$B84,U$1,$B$1)</f>
        <v>729.16039999999998</v>
      </c>
      <c r="V84" s="55">
        <f>_xll.EQNXTDZ($A$1,$B84,V$1,$B$1)</f>
        <v>955.98090000000002</v>
      </c>
      <c r="W84" s="55">
        <f>_xll.EQNXTDZ($A$1,$B84,W$1,$B$1)</f>
        <v>981.59429999999998</v>
      </c>
      <c r="X84" s="55">
        <f>_xll.EQNXTDZ($A$1,$B84,X$1,$B$1)</f>
        <v>1258.8934999999999</v>
      </c>
      <c r="Y84" s="55">
        <f>_xll.EQNXTDZ($A$1,$B84,Y$1,$B$1)</f>
        <v>1752.4740999999999</v>
      </c>
      <c r="Z84" s="55">
        <f>_xll.EQNXTDZ($A$1,$B84,Z$1,$B$1)</f>
        <v>2017.3608999999999</v>
      </c>
      <c r="AA84" s="55">
        <f>_xll.EQNXTDZ($A$1,$B84,AA$1,$B$1)</f>
        <v>2325.6190999999999</v>
      </c>
      <c r="AB84" s="55">
        <f>_xll.EQNXTDZ($A$1,$B84,AB$1,$B$1)</f>
        <v>3043.6614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20.555</v>
      </c>
      <c r="O85" s="55">
        <f>_xll.EQNXTDZ($A$1,$B85,O$1,$B$1)</f>
        <v>17.654</v>
      </c>
      <c r="P85" s="55">
        <f>_xll.EQNXTDZ($A$1,$B85,P$1,$B$1)</f>
        <v>18.268999999999998</v>
      </c>
      <c r="Q85" s="55">
        <f>_xll.EQNXTDZ($A$1,$B85,Q$1,$B$1)</f>
        <v>45.654000000000003</v>
      </c>
      <c r="R85" s="55">
        <f>_xll.EQNXTDZ($A$1,$B85,R$1,$B$1)</f>
        <v>72.688999999999993</v>
      </c>
      <c r="S85" s="55">
        <f>_xll.EQNXTDZ($A$1,$B85,S$1,$B$1)</f>
        <v>117.7658</v>
      </c>
      <c r="T85" s="55">
        <f>_xll.EQNXTDZ($A$1,$B85,T$1,$B$1)</f>
        <v>257.65280000000001</v>
      </c>
      <c r="U85" s="55">
        <f>_xll.EQNXTDZ($A$1,$B85,U$1,$B$1)</f>
        <v>340.06310000000002</v>
      </c>
      <c r="V85" s="55">
        <f>_xll.EQNXTDZ($A$1,$B85,V$1,$B$1)</f>
        <v>404.45150000000001</v>
      </c>
      <c r="W85" s="55">
        <f>_xll.EQNXTDZ($A$1,$B85,W$1,$B$1)</f>
        <v>367.40410000000003</v>
      </c>
      <c r="X85" s="55">
        <f>_xll.EQNXTDZ($A$1,$B85,X$1,$B$1)</f>
        <v>487.7319</v>
      </c>
      <c r="Y85" s="55">
        <f>_xll.EQNXTDZ($A$1,$B85,Y$1,$B$1)</f>
        <v>827.03750000000002</v>
      </c>
      <c r="Z85" s="55">
        <f>_xll.EQNXTDZ($A$1,$B85,Z$1,$B$1)</f>
        <v>807.57410000000004</v>
      </c>
      <c r="AA85" s="55">
        <f>_xll.EQNXTDZ($A$1,$B85,AA$1,$B$1)</f>
        <v>902.37879999999996</v>
      </c>
      <c r="AB85" s="55">
        <f>_xll.EQNXTDZ($A$1,$B85,AB$1,$B$1)</f>
        <v>751.53089999999997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8.9999999999999993E-3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1.879</v>
      </c>
      <c r="O88" s="55">
        <f>_xll.EQNXTDZ($A$1,$B88,O$1,$B$1)</f>
        <v>1.679</v>
      </c>
      <c r="P88" s="55">
        <f>_xll.EQNXTDZ($A$1,$B88,P$1,$B$1)</f>
        <v>0.90100000000000002</v>
      </c>
      <c r="Q88" s="55">
        <f>_xll.EQNXTDZ($A$1,$B88,Q$1,$B$1)</f>
        <v>0.48</v>
      </c>
      <c r="R88" s="55">
        <f>_xll.EQNXTDZ($A$1,$B88,R$1,$B$1)</f>
        <v>0.89019999999999999</v>
      </c>
      <c r="S88" s="55">
        <f>_xll.EQNXTDZ($A$1,$B88,S$1,$B$1)</f>
        <v>1.8866000000000001</v>
      </c>
      <c r="T88" s="55">
        <f>_xll.EQNXTDZ($A$1,$B88,T$1,$B$1)</f>
        <v>2.1467999999999998</v>
      </c>
      <c r="U88" s="55">
        <f>_xll.EQNXTDZ($A$1,$B88,U$1,$B$1)</f>
        <v>1.2762</v>
      </c>
      <c r="V88" s="55">
        <f>_xll.EQNXTDZ($A$1,$B88,V$1,$B$1)</f>
        <v>2.5853999999999999</v>
      </c>
      <c r="W88" s="55">
        <f>_xll.EQNXTDZ($A$1,$B88,W$1,$B$1)</f>
        <v>10.130800000000001</v>
      </c>
      <c r="X88" s="55">
        <f>_xll.EQNXTDZ($A$1,$B88,X$1,$B$1)</f>
        <v>16.541699999999999</v>
      </c>
      <c r="Y88" s="55">
        <f>_xll.EQNXTDZ($A$1,$B88,Y$1,$B$1)</f>
        <v>32.303100000000001</v>
      </c>
      <c r="Z88" s="55">
        <f>_xll.EQNXTDZ($A$1,$B88,Z$1,$B$1)</f>
        <v>53.706899999999997</v>
      </c>
      <c r="AA88" s="55">
        <f>_xll.EQNXTDZ($A$1,$B88,AA$1,$B$1)</f>
        <v>33.759700000000002</v>
      </c>
      <c r="AB88" s="55">
        <f>_xll.EQNXTDZ($A$1,$B88,AB$1,$B$1)</f>
        <v>20.3188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8.9999999999999993E-3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8.6999999999999994E-2</v>
      </c>
      <c r="O93" s="55">
        <f>_xll.EQNXTDZ($A$1,$B93,O$1,$B$1)</f>
        <v>1.18</v>
      </c>
      <c r="P93" s="55">
        <f>_xll.EQNXTDZ($A$1,$B93,P$1,$B$1)</f>
        <v>1.2669999999999999</v>
      </c>
      <c r="Q93" s="55">
        <f>_xll.EQNXTDZ($A$1,$B93,Q$1,$B$1)</f>
        <v>1.331</v>
      </c>
      <c r="R93" s="55">
        <f>_xll.EQNXTDZ($A$1,$B93,R$1,$B$1)</f>
        <v>1.1483000000000001</v>
      </c>
      <c r="S93" s="55">
        <f>_xll.EQNXTDZ($A$1,$B93,S$1,$B$1)</f>
        <v>1.3702000000000001</v>
      </c>
      <c r="T93" s="55">
        <f>_xll.EQNXTDZ($A$1,$B93,T$1,$B$1)</f>
        <v>1.3702000000000001</v>
      </c>
      <c r="U93" s="55">
        <f>_xll.EQNXTDZ($A$1,$B93,U$1,$B$1)</f>
        <v>1.7810999999999999</v>
      </c>
      <c r="V93" s="55">
        <f>_xll.EQNXTDZ($A$1,$B93,V$1,$B$1)</f>
        <v>0.26719999999999999</v>
      </c>
      <c r="W93" s="55">
        <f>_xll.EQNXTDZ($A$1,$B93,W$1,$B$1)</f>
        <v>4.2709999999999999</v>
      </c>
      <c r="X93" s="55">
        <f>_xll.EQNXTDZ($A$1,$B93,X$1,$B$1)</f>
        <v>4.5578000000000003</v>
      </c>
      <c r="Y93" s="55">
        <f>_xll.EQNXTDZ($A$1,$B93,Y$1,$B$1)</f>
        <v>4.5148999999999999</v>
      </c>
      <c r="Z93" s="55">
        <f>_xll.EQNXTDZ($A$1,$B93,Z$1,$B$1)</f>
        <v>5.5079000000000002</v>
      </c>
      <c r="AA93" s="55">
        <f>_xll.EQNXTDZ($A$1,$B93,AA$1,$B$1)</f>
        <v>6.0220000000000002</v>
      </c>
      <c r="AB93" s="55">
        <f>_xll.EQNXTDZ($A$1,$B93,AB$1,$B$1)</f>
        <v>16.138999999999999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20.468</v>
      </c>
      <c r="O95" s="55">
        <f>_xll.EQNXTDZ($A$1,$B95,O$1,$B$1)</f>
        <v>16.474</v>
      </c>
      <c r="P95" s="55">
        <f>_xll.EQNXTDZ($A$1,$B95,P$1,$B$1)</f>
        <v>17.001999999999999</v>
      </c>
      <c r="Q95" s="55">
        <f>_xll.EQNXTDZ($A$1,$B95,Q$1,$B$1)</f>
        <v>44.323</v>
      </c>
      <c r="R95" s="55">
        <f>_xll.EQNXTDZ($A$1,$B95,R$1,$B$1)</f>
        <v>71.540700000000001</v>
      </c>
      <c r="S95" s="55">
        <f>_xll.EQNXTDZ($A$1,$B95,S$1,$B$1)</f>
        <v>116.3956</v>
      </c>
      <c r="T95" s="55">
        <f>_xll.EQNXTDZ($A$1,$B95,T$1,$B$1)</f>
        <v>256.2826</v>
      </c>
      <c r="U95" s="55">
        <f>_xll.EQNXTDZ($A$1,$B95,U$1,$B$1)</f>
        <v>338.28199999999998</v>
      </c>
      <c r="V95" s="55">
        <f>_xll.EQNXTDZ($A$1,$B95,V$1,$B$1)</f>
        <v>404.18430000000001</v>
      </c>
      <c r="W95" s="55">
        <f>_xll.EQNXTDZ($A$1,$B95,W$1,$B$1)</f>
        <v>363.13310000000001</v>
      </c>
      <c r="X95" s="55">
        <f>_xll.EQNXTDZ($A$1,$B95,X$1,$B$1)</f>
        <v>483.17410000000001</v>
      </c>
      <c r="Y95" s="55">
        <f>_xll.EQNXTDZ($A$1,$B95,Y$1,$B$1)</f>
        <v>822.52260000000001</v>
      </c>
      <c r="Z95" s="55">
        <f>_xll.EQNXTDZ($A$1,$B95,Z$1,$B$1)</f>
        <v>802.06619999999998</v>
      </c>
      <c r="AA95" s="55">
        <f>_xll.EQNXTDZ($A$1,$B95,AA$1,$B$1)</f>
        <v>896.35680000000002</v>
      </c>
      <c r="AB95" s="55">
        <f>_xll.EQNXTDZ($A$1,$B95,AB$1,$B$1)</f>
        <v>735.39189999999996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0.8</v>
      </c>
      <c r="O104" s="55">
        <f>_xll.EQNXTDZ($A$1,$B104,O$1,$B$1)</f>
        <v>0.8</v>
      </c>
      <c r="P104" s="55">
        <f>_xll.EQNXTDZ($A$1,$B104,P$1,$B$1)</f>
        <v>0.8</v>
      </c>
      <c r="Q104" s="55">
        <f>_xll.EQNXTDZ($A$1,$B104,Q$1,$B$1)</f>
        <v>0.8</v>
      </c>
      <c r="R104" s="55">
        <f>_xll.EQNXTDZ($A$1,$B104,R$1,$B$1)</f>
        <v>3.2</v>
      </c>
      <c r="S104" s="55">
        <f>_xll.EQNXTDZ($A$1,$B104,S$1,$B$1)</f>
        <v>28.8</v>
      </c>
      <c r="T104" s="55">
        <f>_xll.EQNXTDZ($A$1,$B104,T$1,$B$1)</f>
        <v>36</v>
      </c>
      <c r="U104" s="55">
        <f>_xll.EQNXTDZ($A$1,$B104,U$1,$B$1)</f>
        <v>36</v>
      </c>
      <c r="V104" s="55">
        <f>_xll.EQNXTDZ($A$1,$B104,V$1,$B$1)</f>
        <v>36</v>
      </c>
      <c r="W104" s="55">
        <f>_xll.EQNXTDZ($A$1,$B104,W$1,$B$1)</f>
        <v>36</v>
      </c>
      <c r="X104" s="55">
        <f>_xll.EQNXTDZ($A$1,$B104,X$1,$B$1)</f>
        <v>36</v>
      </c>
      <c r="Y104" s="55">
        <f>_xll.EQNXTDZ($A$1,$B104,Y$1,$B$1)</f>
        <v>36</v>
      </c>
      <c r="Z104" s="55">
        <f>_xll.EQNXTDZ($A$1,$B104,Z$1,$B$1)</f>
        <v>36</v>
      </c>
      <c r="AA104" s="55">
        <f>_xll.EQNXTDZ($A$1,$B104,AA$1,$B$1)</f>
        <v>39.641800000000003</v>
      </c>
      <c r="AB104" s="55">
        <f>_xll.EQNXTDZ($A$1,$B104,AB$1,$B$1)</f>
        <v>39.641800000000003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449.5</v>
      </c>
      <c r="U106" s="55">
        <f>_xll.EQNXTDZ($A$1,$B106,U$1,$B$1)</f>
        <v>459.95</v>
      </c>
      <c r="V106" s="55">
        <f>_xll.EQNXTDZ($A$1,$B106,V$1,$B$1)</f>
        <v>321.7</v>
      </c>
      <c r="W106" s="55">
        <f>_xll.EQNXTDZ($A$1,$B106,W$1,$B$1)</f>
        <v>463.4</v>
      </c>
      <c r="X106" s="55">
        <f>_xll.EQNXTDZ($A$1,$B106,X$1,$B$1)</f>
        <v>539.85</v>
      </c>
      <c r="Y106" s="55">
        <f>_xll.EQNXTDZ($A$1,$B106,Y$1,$B$1)</f>
        <v>671.4</v>
      </c>
      <c r="Z106" s="55">
        <f>_xll.EQNXTDZ($A$1,$B106,Z$1,$B$1)</f>
        <v>686.1</v>
      </c>
      <c r="AA106" s="55">
        <f>_xll.EQNXTDZ($A$1,$B106,AA$1,$B$1)</f>
        <v>632.29999999999995</v>
      </c>
      <c r="AB106" s="55">
        <f>_xll.EQNXTDZ($A$1,$B106,AB$1,$B$1)</f>
        <v>580.04999999999995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594.75</v>
      </c>
      <c r="U107" s="55">
        <f>_xll.EQNXTDZ($A$1,$B107,U$1,$B$1)</f>
        <v>596</v>
      </c>
      <c r="V107" s="55">
        <f>_xll.EQNXTDZ($A$1,$B107,V$1,$B$1)</f>
        <v>617</v>
      </c>
      <c r="W107" s="55">
        <f>_xll.EQNXTDZ($A$1,$B107,W$1,$B$1)</f>
        <v>506</v>
      </c>
      <c r="X107" s="55">
        <f>_xll.EQNXTDZ($A$1,$B107,X$1,$B$1)</f>
        <v>639</v>
      </c>
      <c r="Y107" s="55">
        <f>_xll.EQNXTDZ($A$1,$B107,Y$1,$B$1)</f>
        <v>775.55</v>
      </c>
      <c r="Z107" s="55">
        <f>_xll.EQNXTDZ($A$1,$B107,Z$1,$B$1)</f>
        <v>846</v>
      </c>
      <c r="AA107" s="55">
        <f>_xll.EQNXTDZ($A$1,$B107,AA$1,$B$1)</f>
        <v>745</v>
      </c>
      <c r="AB107" s="55">
        <f>_xll.EQNXTDZ($A$1,$B107,AB$1,$B$1)</f>
        <v>1030.8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189.05</v>
      </c>
      <c r="U108" s="55">
        <f>_xll.EQNXTDZ($A$1,$B108,U$1,$B$1)</f>
        <v>358.7</v>
      </c>
      <c r="V108" s="55">
        <f>_xll.EQNXTDZ($A$1,$B108,V$1,$B$1)</f>
        <v>233.8</v>
      </c>
      <c r="W108" s="55">
        <f>_xll.EQNXTDZ($A$1,$B108,W$1,$B$1)</f>
        <v>305</v>
      </c>
      <c r="X108" s="55">
        <f>_xll.EQNXTDZ($A$1,$B108,X$1,$B$1)</f>
        <v>394</v>
      </c>
      <c r="Y108" s="55">
        <f>_xll.EQNXTDZ($A$1,$B108,Y$1,$B$1)</f>
        <v>458.9</v>
      </c>
      <c r="Z108" s="55">
        <f>_xll.EQNXTDZ($A$1,$B108,Z$1,$B$1)</f>
        <v>598</v>
      </c>
      <c r="AA108" s="55">
        <f>_xll.EQNXTDZ($A$1,$B108,AA$1,$B$1)</f>
        <v>566.5</v>
      </c>
      <c r="AB108" s="55">
        <f>_xll.EQNXTDZ($A$1,$B108,AB$1,$B$1)</f>
        <v>569.29999999999995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1618.2</v>
      </c>
      <c r="U109" s="55">
        <f>_xll.EQNXTDZ($A$1,$B109,U$1,$B$1)</f>
        <v>1655.82</v>
      </c>
      <c r="V109" s="55">
        <f>_xll.EQNXTDZ($A$1,$B109,V$1,$B$1)</f>
        <v>1158.1199999999999</v>
      </c>
      <c r="W109" s="55">
        <f>_xll.EQNXTDZ($A$1,$B109,W$1,$B$1)</f>
        <v>1668.24</v>
      </c>
      <c r="X109" s="55">
        <f>_xll.EQNXTDZ($A$1,$B109,X$1,$B$1)</f>
        <v>1943.46</v>
      </c>
      <c r="Y109" s="55">
        <f>_xll.EQNXTDZ($A$1,$B109,Y$1,$B$1)</f>
        <v>2417.04</v>
      </c>
      <c r="Z109" s="55">
        <f>_xll.EQNXTDZ($A$1,$B109,Z$1,$B$1)</f>
        <v>2469.96</v>
      </c>
      <c r="AA109" s="55">
        <f>_xll.EQNXTDZ($A$1,$B109,AA$1,$B$1)</f>
        <v>2506.5510140000001</v>
      </c>
      <c r="AB109" s="55">
        <f>_xll.EQNXTDZ($A$1,$B109,AB$1,$B$1)</f>
        <v>2299.4226090000002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0.27777777777777801</v>
      </c>
      <c r="P110" s="55">
        <f>_xll.EQNXTDZ($A$1,$B110,P$1,$B$1)</f>
        <v>0.55555555555555602</v>
      </c>
      <c r="Q110" s="55">
        <f>_xll.EQNXTDZ($A$1,$B110,Q$1,$B$1)</f>
        <v>0.243055555555556</v>
      </c>
      <c r="R110" s="55">
        <f>_xll.EQNXTDZ($A$1,$B110,R$1,$B$1)</f>
        <v>1.6666666666666701</v>
      </c>
      <c r="S110" s="55">
        <f>_xll.EQNXTDZ($A$1,$B110,S$1,$B$1)</f>
        <v>2.5</v>
      </c>
      <c r="T110" s="55">
        <f>_xll.EQNXTDZ($A$1,$B110,T$1,$B$1)</f>
        <v>5</v>
      </c>
      <c r="U110" s="55">
        <f>_xll.EQNXTDZ($A$1,$B110,U$1,$B$1)</f>
        <v>5</v>
      </c>
      <c r="V110" s="55">
        <f>_xll.EQNXTDZ($A$1,$B110,V$1,$B$1)</f>
        <v>5</v>
      </c>
      <c r="W110" s="55">
        <f>_xll.EQNXTDZ($A$1,$B110,W$1,$B$1)</f>
        <v>4</v>
      </c>
      <c r="X110" s="55">
        <f>_xll.EQNXTDZ($A$1,$B110,X$1,$B$1)</f>
        <v>5</v>
      </c>
      <c r="Y110" s="55">
        <f>_xll.EQNXTDZ($A$1,$B110,Y$1,$B$1)</f>
        <v>2.5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72.13</v>
      </c>
      <c r="U112" s="56">
        <f>_xll.EQNXTDZ($A$1,$B112,U$5)</f>
        <v>73.28</v>
      </c>
      <c r="V112" s="56">
        <f>_xll.EQNXTDZ($A$1,$B112,V$5)</f>
        <v>73.819999999999993</v>
      </c>
      <c r="W112" s="56">
        <f>_xll.EQNXTDZ($A$1,$B112,W$5)</f>
        <v>74.19</v>
      </c>
      <c r="X112" s="56">
        <f>_xll.EQNXTDZ($A$1,$B112,X$5)</f>
        <v>70.2</v>
      </c>
      <c r="Y112" s="56">
        <f>_xll.EQNXTDZ($A$1,$B112,Y$5)</f>
        <v>67.59</v>
      </c>
      <c r="Z112" s="56">
        <f>_xll.EQNXTDZ($A$1,$B112,Z$5)</f>
        <v>66.22</v>
      </c>
      <c r="AA112" s="56">
        <f>_xll.EQNXTDZ($A$1,$B112,AA$5)</f>
        <v>60.14</v>
      </c>
      <c r="AB112" s="56">
        <f>_xll.EQNXTDZ($A$1,$B112,AB$5)</f>
        <v>68.819999999999993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284184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190</v>
      </c>
      <c r="BK6" cm="1">
        <f t="array" ref="BK6">_xll.EQNXTDZ($A$1,$B6,BK$1)</f>
        <v>211</v>
      </c>
      <c r="BL6" cm="1">
        <f t="array" ref="BL6">_xll.EQNXTDZ($A$1,$B6,BL$1)</f>
        <v>270.45</v>
      </c>
      <c r="BM6" cm="1">
        <f t="array" ref="BM6">_xll.EQNXTDZ($A$1,$B6,BM$1)</f>
        <v>312.45</v>
      </c>
      <c r="BN6" cm="1">
        <f t="array" ref="BN6">_xll.EQNXTDZ($A$1,$B6,BN$1)</f>
        <v>335.45</v>
      </c>
      <c r="BO6" cm="1">
        <f t="array" ref="BO6">_xll.EQNXTDZ($A$1,$B6,BO$1)</f>
        <v>345</v>
      </c>
      <c r="BP6" cm="1">
        <f t="array" ref="BP6">_xll.EQNXTDZ($A$1,$B6,BP$1)</f>
        <v>434</v>
      </c>
      <c r="BQ6" cm="1">
        <f t="array" ref="BQ6">_xll.EQNXTDZ($A$1,$B6,BQ$1)</f>
        <v>475</v>
      </c>
      <c r="BR6" cm="1">
        <f t="array" ref="BR6">_xll.EQNXTDZ($A$1,$B6,BR$1)</f>
        <v>520.04999999999995</v>
      </c>
      <c r="BS6" cm="1">
        <f t="array" ref="BS6">_xll.EQNXTDZ($A$1,$B6,BS$1)</f>
        <v>529</v>
      </c>
      <c r="BT6" cm="1">
        <f t="array" ref="BT6">_xll.EQNXTDZ($A$1,$B6,BT$1)</f>
        <v>487.65</v>
      </c>
      <c r="BU6" cm="1">
        <f t="array" ref="BU6">_xll.EQNXTDZ($A$1,$B6,BU$1)</f>
        <v>455</v>
      </c>
      <c r="BV6" cm="1">
        <f t="array" ref="BV6">_xll.EQNXTDZ($A$1,$B6,BV$1)</f>
        <v>585.75</v>
      </c>
      <c r="BW6" cm="1">
        <f t="array" ref="BW6">_xll.EQNXTDZ($A$1,$B6,BW$1)</f>
        <v>518</v>
      </c>
      <c r="BX6" cm="1">
        <f t="array" ref="BX6">_xll.EQNXTDZ($A$1,$B6,BX$1)</f>
        <v>491</v>
      </c>
      <c r="BY6" cm="1">
        <f t="array" ref="BY6">_xll.EQNXTDZ($A$1,$B6,BY$1)</f>
        <v>494.95</v>
      </c>
      <c r="BZ6" cm="1">
        <f t="array" ref="BZ6">_xll.EQNXTDZ($A$1,$B6,BZ$1)</f>
        <v>505</v>
      </c>
      <c r="CA6" cm="1">
        <f t="array" ref="CA6">_xll.EQNXTDZ($A$1,$B6,CA$1)</f>
        <v>411.1</v>
      </c>
      <c r="CB6" cm="1">
        <f t="array" ref="CB6">_xll.EQNXTDZ($A$1,$B6,CB$1)</f>
        <v>363.05</v>
      </c>
      <c r="CC6" cm="1">
        <f t="array" ref="CC6">_xll.EQNXTDZ($A$1,$B6,CC$1)</f>
        <v>394.6</v>
      </c>
      <c r="CD6" cm="1">
        <f t="array" ref="CD6">_xll.EQNXTDZ($A$1,$B6,CD$1)</f>
        <v>390.1</v>
      </c>
      <c r="CE6" cm="1">
        <f t="array" ref="CE6">_xll.EQNXTDZ($A$1,$B6,CE$1)</f>
        <v>383.95</v>
      </c>
      <c r="CF6" cm="1">
        <f t="array" ref="CF6">_xll.EQNXTDZ($A$1,$B6,CF$1)</f>
        <v>407</v>
      </c>
      <c r="CG6" cm="1">
        <f t="array" ref="CG6">_xll.EQNXTDZ($A$1,$B6,CG$1)</f>
        <v>459.95</v>
      </c>
      <c r="CH6" cm="1">
        <f t="array" ref="CH6">_xll.EQNXTDZ($A$1,$B6,CH$1)</f>
        <v>470</v>
      </c>
      <c r="CI6" cm="1">
        <f t="array" ref="CI6">_xll.EQNXTDZ($A$1,$B6,CI$1)</f>
        <v>521.29999999999995</v>
      </c>
      <c r="CJ6" cm="1">
        <f t="array" ref="CJ6">_xll.EQNXTDZ($A$1,$B6,CJ$1)</f>
        <v>554.9</v>
      </c>
      <c r="CK6" cm="1">
        <f t="array" ref="CK6">_xll.EQNXTDZ($A$1,$B6,CK$1)</f>
        <v>480.05</v>
      </c>
      <c r="CL6" cm="1">
        <f t="array" ref="CL6">_xll.EQNXTDZ($A$1,$B6,CL$1)</f>
        <v>492</v>
      </c>
      <c r="CM6" cm="1">
        <f t="array" ref="CM6">_xll.EQNXTDZ($A$1,$B6,CM$1)</f>
        <v>571.9</v>
      </c>
      <c r="CN6" cm="1">
        <f t="array" ref="CN6">_xll.EQNXTDZ($A$1,$B6,CN$1)</f>
        <v>537.15</v>
      </c>
      <c r="CO6" cm="1">
        <f t="array" ref="CO6">_xll.EQNXTDZ($A$1,$B6,CO$1)</f>
        <v>509.9</v>
      </c>
      <c r="CP6" cm="1">
        <f t="array" ref="CP6">_xll.EQNXTDZ($A$1,$B6,CP$1)</f>
        <v>497.05</v>
      </c>
      <c r="CQ6" cm="1">
        <f t="array" ref="CQ6">_xll.EQNXTDZ($A$1,$B6,CQ$1)</f>
        <v>527</v>
      </c>
      <c r="CR6" cm="1">
        <f t="array" ref="CR6">_xll.EQNXTDZ($A$1,$B6,CR$1)</f>
        <v>492.3</v>
      </c>
      <c r="CS6" cm="1">
        <f t="array" ref="CS6">_xll.EQNXTDZ($A$1,$B6,CS$1)</f>
        <v>312.5</v>
      </c>
      <c r="CT6" cm="1">
        <f t="array" ref="CT6">_xll.EQNXTDZ($A$1,$B6,CT$1)</f>
        <v>365.9</v>
      </c>
      <c r="CU6" cm="1">
        <f t="array" ref="CU6">_xll.EQNXTDZ($A$1,$B6,CU$1)</f>
        <v>330</v>
      </c>
      <c r="CV6" cm="1">
        <f t="array" ref="CV6">_xll.EQNXTDZ($A$1,$B6,CV$1)</f>
        <v>389.95</v>
      </c>
      <c r="CW6" cm="1">
        <f t="array" ref="CW6">_xll.EQNXTDZ($A$1,$B6,CW$1)</f>
        <v>400.35</v>
      </c>
      <c r="CX6" cm="1">
        <f t="array" ref="CX6">_xll.EQNXTDZ($A$1,$B6,CX$1)</f>
        <v>418.05</v>
      </c>
      <c r="CY6" cm="1">
        <f t="array" ref="CY6">_xll.EQNXTDZ($A$1,$B6,CY$1)</f>
        <v>405.95</v>
      </c>
      <c r="CZ6" cm="1">
        <f t="array" ref="CZ6">_xll.EQNXTDZ($A$1,$B6,CZ$1)</f>
        <v>389</v>
      </c>
      <c r="DA6" cm="1">
        <f t="array" ref="DA6">_xll.EQNXTDZ($A$1,$B6,DA$1)</f>
        <v>410.05</v>
      </c>
      <c r="DB6" cm="1">
        <f t="array" ref="DB6">_xll.EQNXTDZ($A$1,$B6,DB$1)</f>
        <v>413.9</v>
      </c>
      <c r="DC6" cm="1">
        <f t="array" ref="DC6">_xll.EQNXTDZ($A$1,$B6,DC$1)</f>
        <v>416.7</v>
      </c>
      <c r="DD6" cm="1">
        <f t="array" ref="DD6">_xll.EQNXTDZ($A$1,$B6,DD$1)</f>
        <v>477.05</v>
      </c>
      <c r="DE6" cm="1">
        <f t="array" ref="DE6">_xll.EQNXTDZ($A$1,$B6,DE$1)</f>
        <v>468.8</v>
      </c>
      <c r="DF6" cm="1">
        <f t="array" ref="DF6">_xll.EQNXTDZ($A$1,$B6,DF$1)</f>
        <v>412</v>
      </c>
      <c r="DG6" cm="1">
        <f t="array" ref="DG6">_xll.EQNXTDZ($A$1,$B6,DG$1)</f>
        <v>404</v>
      </c>
      <c r="DH6" cm="1">
        <f t="array" ref="DH6">_xll.EQNXTDZ($A$1,$B6,DH$1)</f>
        <v>428</v>
      </c>
      <c r="DI6" cm="1">
        <f t="array" ref="DI6">_xll.EQNXTDZ($A$1,$B6,DI$1)</f>
        <v>468</v>
      </c>
      <c r="DJ6" cm="1">
        <f t="array" ref="DJ6">_xll.EQNXTDZ($A$1,$B6,DJ$1)</f>
        <v>420.1</v>
      </c>
      <c r="DK6" cm="1">
        <f t="array" ref="DK6">_xll.EQNXTDZ($A$1,$B6,DK$1)</f>
        <v>478</v>
      </c>
      <c r="DL6" cm="1">
        <f t="array" ref="DL6">_xll.EQNXTDZ($A$1,$B6,DL$1)</f>
        <v>519.5</v>
      </c>
      <c r="DM6" cm="1">
        <f t="array" ref="DM6">_xll.EQNXTDZ($A$1,$B6,DM$1)</f>
        <v>477.1</v>
      </c>
      <c r="DN6" cm="1">
        <f t="array" ref="DN6">_xll.EQNXTDZ($A$1,$B6,DN$1)</f>
        <v>496</v>
      </c>
      <c r="DO6" cm="1">
        <f t="array" ref="DO6">_xll.EQNXTDZ($A$1,$B6,DO$1)</f>
        <v>619.9</v>
      </c>
      <c r="DP6" cm="1">
        <f t="array" ref="DP6">_xll.EQNXTDZ($A$1,$B6,DP$1)</f>
        <v>488.5</v>
      </c>
      <c r="DQ6" cm="1">
        <f t="array" ref="DQ6">_xll.EQNXTDZ($A$1,$B6,DQ$1)</f>
        <v>539.95000000000005</v>
      </c>
      <c r="DR6" cm="1">
        <f t="array" ref="DR6">_xll.EQNXTDZ($A$1,$B6,DR$1)</f>
        <v>535</v>
      </c>
      <c r="DS6" cm="1">
        <f t="array" ref="DS6">_xll.EQNXTDZ($A$1,$B6,DS$1)</f>
        <v>512.5</v>
      </c>
      <c r="DT6" cm="1">
        <f t="array" ref="DT6">_xll.EQNXTDZ($A$1,$B6,DT$1)</f>
        <v>555</v>
      </c>
      <c r="DU6" cm="1">
        <f t="array" ref="DU6">_xll.EQNXTDZ($A$1,$B6,DU$1)</f>
        <v>621.85</v>
      </c>
      <c r="DV6" cm="1">
        <f t="array" ref="DV6">_xll.EQNXTDZ($A$1,$B6,DV$1)</f>
        <v>601</v>
      </c>
      <c r="DW6" cm="1">
        <f t="array" ref="DW6">_xll.EQNXTDZ($A$1,$B6,DW$1)</f>
        <v>638</v>
      </c>
      <c r="DX6" cm="1">
        <f t="array" ref="DX6">_xll.EQNXTDZ($A$1,$B6,DX$1)</f>
        <v>595</v>
      </c>
      <c r="DY6" cm="1">
        <f t="array" ref="DY6">_xll.EQNXTDZ($A$1,$B6,DY$1)</f>
        <v>642.29999999999995</v>
      </c>
      <c r="DZ6" cm="1">
        <f t="array" ref="DZ6">_xll.EQNXTDZ($A$1,$B6,DZ$1)</f>
        <v>702.3</v>
      </c>
      <c r="EA6" cm="1">
        <f t="array" ref="EA6">_xll.EQNXTDZ($A$1,$B6,EA$1)</f>
        <v>712</v>
      </c>
      <c r="EB6" cm="1">
        <f t="array" ref="EB6">_xll.EQNXTDZ($A$1,$B6,EB$1)</f>
        <v>669</v>
      </c>
      <c r="EC6" cm="1">
        <f t="array" ref="EC6">_xll.EQNXTDZ($A$1,$B6,EC$1)</f>
        <v>674</v>
      </c>
      <c r="ED6" cm="1">
        <f t="array" ref="ED6">_xll.EQNXTDZ($A$1,$B6,ED$1)</f>
        <v>697</v>
      </c>
      <c r="EE6" cm="1">
        <f t="array" ref="EE6">_xll.EQNXTDZ($A$1,$B6,EE$1)</f>
        <v>722.3</v>
      </c>
      <c r="EF6" cm="1">
        <f t="array" ref="EF6">_xll.EQNXTDZ($A$1,$B6,EF$1)</f>
        <v>718.9</v>
      </c>
      <c r="EG6" cm="1">
        <f t="array" ref="EG6">_xll.EQNXTDZ($A$1,$B6,EG$1)</f>
        <v>801.75</v>
      </c>
      <c r="EH6" cm="1">
        <f t="array" ref="EH6">_xll.EQNXTDZ($A$1,$B6,EH$1)</f>
        <v>822.85</v>
      </c>
      <c r="EI6" cm="1">
        <f t="array" ref="EI6">_xll.EQNXTDZ($A$1,$B6,EI$1)</f>
        <v>796.75</v>
      </c>
      <c r="EJ6" cm="1">
        <f t="array" ref="EJ6">_xll.EQNXTDZ($A$1,$B6,EJ$1)</f>
        <v>753</v>
      </c>
      <c r="EK6" cm="1">
        <f t="array" ref="EK6">_xll.EQNXTDZ($A$1,$B6,EK$1)</f>
        <v>753.5</v>
      </c>
      <c r="EL6" cm="1">
        <f t="array" ref="EL6">_xll.EQNXTDZ($A$1,$B6,EL$1)</f>
        <v>774.9</v>
      </c>
      <c r="EM6" cm="1">
        <f t="array" ref="EM6">_xll.EQNXTDZ($A$1,$B6,EM$1)</f>
        <v>750.15</v>
      </c>
      <c r="EN6" cm="1">
        <f t="array" ref="EN6">_xll.EQNXTDZ($A$1,$B6,EN$1)</f>
        <v>699</v>
      </c>
      <c r="EO6" cm="1">
        <f t="array" ref="EO6">_xll.EQNXTDZ($A$1,$B6,EO$1)</f>
        <v>686.55</v>
      </c>
      <c r="EP6" cm="1">
        <f t="array" ref="EP6">_xll.EQNXTDZ($A$1,$B6,EP$1)</f>
        <v>679</v>
      </c>
      <c r="EQ6" cm="1">
        <f t="array" ref="EQ6">_xll.EQNXTDZ($A$1,$B6,EQ$1)</f>
        <v>678</v>
      </c>
      <c r="ER6" cm="1">
        <f t="array" ref="ER6">_xll.EQNXTDZ($A$1,$B6,ER$1)</f>
        <v>685.7</v>
      </c>
      <c r="ES6" cm="1">
        <f t="array" ref="ES6">_xll.EQNXTDZ($A$1,$B6,ES$1)</f>
        <v>684.9</v>
      </c>
      <c r="ET6" cm="1">
        <f t="array" ref="ET6">_xll.EQNXTDZ($A$1,$B6,ET$1)</f>
        <v>685.45</v>
      </c>
      <c r="EU6" cm="1">
        <f t="array" ref="EU6">_xll.EQNXTDZ($A$1,$B6,EU$1)</f>
        <v>654.85</v>
      </c>
      <c r="EV6" cm="1">
        <f t="array" ref="EV6">_xll.EQNXTDZ($A$1,$B6,EV$1)</f>
        <v>606.85</v>
      </c>
      <c r="EW6" cm="1">
        <f t="array" ref="EW6">_xll.EQNXTDZ($A$1,$B6,EW$1)</f>
        <v>670.8</v>
      </c>
      <c r="EX6" cm="1">
        <f t="array" ref="EX6">_xll.EQNXTDZ($A$1,$B6,EX$1)</f>
        <v>650.20000000000005</v>
      </c>
      <c r="EY6" cm="1">
        <f t="array" ref="EY6">_xll.EQNXTDZ($A$1,$B6,EY$1)</f>
        <v>636.95000000000005</v>
      </c>
      <c r="EZ6" cm="1">
        <f t="array" ref="EZ6">_xll.EQNXTDZ($A$1,$B6,EZ$1)</f>
        <v>624.35</v>
      </c>
      <c r="FA6" cm="1">
        <f t="array" ref="FA6">_xll.EQNXTDZ($A$1,$B6,FA$1)</f>
        <v>630.04999999999995</v>
      </c>
      <c r="FB6" cm="1">
        <f t="array" ref="FB6">_xll.EQNXTDZ($A$1,$B6,FB$1)</f>
        <v>633</v>
      </c>
      <c r="FC6" cm="1">
        <f t="array" ref="FC6">_xll.EQNXTDZ($A$1,$B6,FC$1)</f>
        <v>639.04999999999995</v>
      </c>
      <c r="FD6" cm="1">
        <f t="array" ref="FD6">_xll.EQNXTDZ($A$1,$B6,FD$1)</f>
        <v>760</v>
      </c>
      <c r="FE6" cm="1">
        <f t="array" ref="FE6">_xll.EQNXTDZ($A$1,$B6,FE$1)</f>
        <v>750.1</v>
      </c>
      <c r="FF6" cm="1">
        <f t="array" ref="FF6">_xll.EQNXTDZ($A$1,$B6,FF$1)</f>
        <v>689.65</v>
      </c>
      <c r="FG6" cm="1">
        <f t="array" ref="FG6">_xll.EQNXTDZ($A$1,$B6,FG$1)</f>
        <v>751.55</v>
      </c>
      <c r="FH6" cm="1">
        <f t="array" ref="FH6">_xll.EQNXTDZ($A$1,$B6,FH$1)</f>
        <v>930</v>
      </c>
      <c r="FI6" cm="1">
        <f t="array" ref="FI6">_xll.EQNXTDZ($A$1,$B6,FI$1)</f>
        <v>914</v>
      </c>
      <c r="FJ6" cm="1">
        <f t="array" ref="FJ6">_xll.EQNXTDZ($A$1,$B6,FJ$1)</f>
        <v>871.8</v>
      </c>
      <c r="FK6" cm="1">
        <f t="array" ref="FK6">_xll.EQNXTDZ($A$1,$B6,FK$1)</f>
        <v>759.9</v>
      </c>
      <c r="FL6" cm="1">
        <f t="array" ref="FL6">_xll.EQNXTDZ($A$1,$B6,FL$1)</f>
        <v>710.15</v>
      </c>
      <c r="FM6" cm="1">
        <f t="array" ref="FM6">_xll.EQNXTDZ($A$1,$B6,FM$1)</f>
        <v>584.1</v>
      </c>
      <c r="FN6" cm="1">
        <f t="array" ref="FN6">_xll.EQNXTDZ($A$1,$B6,FN$1)</f>
        <v>799.9</v>
      </c>
      <c r="FO6" cm="1">
        <f t="array" ref="FO6">_xll.EQNXTDZ($A$1,$B6,FO$1)</f>
        <v>873.25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219.9</v>
      </c>
      <c r="BK7" s="116" cm="1">
        <f t="array" ref="BK7">_xll.EQNXTDZ($A$1,$B7,BK$1)</f>
        <v>317.5</v>
      </c>
      <c r="BL7" s="116" cm="1">
        <f t="array" ref="BL7">_xll.EQNXTDZ($A$1,$B7,BL$1)</f>
        <v>313.5</v>
      </c>
      <c r="BM7" s="116" cm="1">
        <f t="array" ref="BM7">_xll.EQNXTDZ($A$1,$B7,BM$1)</f>
        <v>349.8</v>
      </c>
      <c r="BN7" s="116" cm="1">
        <f t="array" ref="BN7">_xll.EQNXTDZ($A$1,$B7,BN$1)</f>
        <v>373.8</v>
      </c>
      <c r="BO7" s="116" cm="1">
        <f t="array" ref="BO7">_xll.EQNXTDZ($A$1,$B7,BO$1)</f>
        <v>469</v>
      </c>
      <c r="BP7" s="116" cm="1">
        <f t="array" ref="BP7">_xll.EQNXTDZ($A$1,$B7,BP$1)</f>
        <v>487.9</v>
      </c>
      <c r="BQ7" s="116" cm="1">
        <f t="array" ref="BQ7">_xll.EQNXTDZ($A$1,$B7,BQ$1)</f>
        <v>547</v>
      </c>
      <c r="BR7" s="116" cm="1">
        <f t="array" ref="BR7">_xll.EQNXTDZ($A$1,$B7,BR$1)</f>
        <v>595</v>
      </c>
      <c r="BS7" s="116" cm="1">
        <f t="array" ref="BS7">_xll.EQNXTDZ($A$1,$B7,BS$1)</f>
        <v>542</v>
      </c>
      <c r="BT7" s="116" cm="1">
        <f t="array" ref="BT7">_xll.EQNXTDZ($A$1,$B7,BT$1)</f>
        <v>508.3</v>
      </c>
      <c r="BU7" s="116" cm="1">
        <f t="array" ref="BU7">_xll.EQNXTDZ($A$1,$B7,BU$1)</f>
        <v>595</v>
      </c>
      <c r="BV7" s="116" cm="1">
        <f t="array" ref="BV7">_xll.EQNXTDZ($A$1,$B7,BV$1)</f>
        <v>590</v>
      </c>
      <c r="BW7" s="116" cm="1">
        <f t="array" ref="BW7">_xll.EQNXTDZ($A$1,$B7,BW$1)</f>
        <v>519</v>
      </c>
      <c r="BX7" s="116" cm="1">
        <f t="array" ref="BX7">_xll.EQNXTDZ($A$1,$B7,BX$1)</f>
        <v>498.9</v>
      </c>
      <c r="BY7" s="116" cm="1">
        <f t="array" ref="BY7">_xll.EQNXTDZ($A$1,$B7,BY$1)</f>
        <v>505</v>
      </c>
      <c r="BZ7" s="116" cm="1">
        <f t="array" ref="BZ7">_xll.EQNXTDZ($A$1,$B7,BZ$1)</f>
        <v>510.9</v>
      </c>
      <c r="CA7" s="116" cm="1">
        <f t="array" ref="CA7">_xll.EQNXTDZ($A$1,$B7,CA$1)</f>
        <v>445</v>
      </c>
      <c r="CB7" s="116" cm="1">
        <f t="array" ref="CB7">_xll.EQNXTDZ($A$1,$B7,CB$1)</f>
        <v>404.95</v>
      </c>
      <c r="CC7" s="116" cm="1">
        <f t="array" ref="CC7">_xll.EQNXTDZ($A$1,$B7,CC$1)</f>
        <v>394.6</v>
      </c>
      <c r="CD7" s="116" cm="1">
        <f t="array" ref="CD7">_xll.EQNXTDZ($A$1,$B7,CD$1)</f>
        <v>442.15</v>
      </c>
      <c r="CE7" s="116" cm="1">
        <f t="array" ref="CE7">_xll.EQNXTDZ($A$1,$B7,CE$1)</f>
        <v>412.9</v>
      </c>
      <c r="CF7" s="116" cm="1">
        <f t="array" ref="CF7">_xll.EQNXTDZ($A$1,$B7,CF$1)</f>
        <v>477</v>
      </c>
      <c r="CG7" s="116" cm="1">
        <f t="array" ref="CG7">_xll.EQNXTDZ($A$1,$B7,CG$1)</f>
        <v>490</v>
      </c>
      <c r="CH7" s="116" cm="1">
        <f t="array" ref="CH7">_xll.EQNXTDZ($A$1,$B7,CH$1)</f>
        <v>539.9</v>
      </c>
      <c r="CI7" s="116" cm="1">
        <f t="array" ref="CI7">_xll.EQNXTDZ($A$1,$B7,CI$1)</f>
        <v>567</v>
      </c>
      <c r="CJ7" s="116" cm="1">
        <f t="array" ref="CJ7">_xll.EQNXTDZ($A$1,$B7,CJ$1)</f>
        <v>560</v>
      </c>
      <c r="CK7" s="116" cm="1">
        <f t="array" ref="CK7">_xll.EQNXTDZ($A$1,$B7,CK$1)</f>
        <v>529.9</v>
      </c>
      <c r="CL7" s="116" cm="1">
        <f t="array" ref="CL7">_xll.EQNXTDZ($A$1,$B7,CL$1)</f>
        <v>576.85</v>
      </c>
      <c r="CM7" s="116" cm="1">
        <f t="array" ref="CM7">_xll.EQNXTDZ($A$1,$B7,CM$1)</f>
        <v>571.9</v>
      </c>
      <c r="CN7" s="116" cm="1">
        <f t="array" ref="CN7">_xll.EQNXTDZ($A$1,$B7,CN$1)</f>
        <v>554.35</v>
      </c>
      <c r="CO7" s="116" cm="1">
        <f t="array" ref="CO7">_xll.EQNXTDZ($A$1,$B7,CO$1)</f>
        <v>533.54999999999995</v>
      </c>
      <c r="CP7" s="116" cm="1">
        <f t="array" ref="CP7">_xll.EQNXTDZ($A$1,$B7,CP$1)</f>
        <v>560</v>
      </c>
      <c r="CQ7" s="116" cm="1">
        <f t="array" ref="CQ7">_xll.EQNXTDZ($A$1,$B7,CQ$1)</f>
        <v>539.95000000000005</v>
      </c>
      <c r="CR7" s="116" cm="1">
        <f t="array" ref="CR7">_xll.EQNXTDZ($A$1,$B7,CR$1)</f>
        <v>505.15</v>
      </c>
      <c r="CS7" s="116" cm="1">
        <f t="array" ref="CS7">_xll.EQNXTDZ($A$1,$B7,CS$1)</f>
        <v>375</v>
      </c>
      <c r="CT7" s="116" cm="1">
        <f t="array" ref="CT7">_xll.EQNXTDZ($A$1,$B7,CT$1)</f>
        <v>370.75</v>
      </c>
      <c r="CU7" s="116" cm="1">
        <f t="array" ref="CU7">_xll.EQNXTDZ($A$1,$B7,CU$1)</f>
        <v>406.1</v>
      </c>
      <c r="CV7" s="116" cm="1">
        <f t="array" ref="CV7">_xll.EQNXTDZ($A$1,$B7,CV$1)</f>
        <v>434.7</v>
      </c>
      <c r="CW7" s="116" cm="1">
        <f t="array" ref="CW7">_xll.EQNXTDZ($A$1,$B7,CW$1)</f>
        <v>478.8</v>
      </c>
      <c r="CX7" s="116" cm="1">
        <f t="array" ref="CX7">_xll.EQNXTDZ($A$1,$B7,CX$1)</f>
        <v>463.8</v>
      </c>
      <c r="CY7" s="116" cm="1">
        <f t="array" ref="CY7">_xll.EQNXTDZ($A$1,$B7,CY$1)</f>
        <v>424.8</v>
      </c>
      <c r="CZ7" s="116" cm="1">
        <f t="array" ref="CZ7">_xll.EQNXTDZ($A$1,$B7,CZ$1)</f>
        <v>438.3</v>
      </c>
      <c r="DA7" s="116" cm="1">
        <f t="array" ref="DA7">_xll.EQNXTDZ($A$1,$B7,DA$1)</f>
        <v>428.5</v>
      </c>
      <c r="DB7" s="116" cm="1">
        <f t="array" ref="DB7">_xll.EQNXTDZ($A$1,$B7,DB$1)</f>
        <v>442.7</v>
      </c>
      <c r="DC7" s="116" cm="1">
        <f t="array" ref="DC7">_xll.EQNXTDZ($A$1,$B7,DC$1)</f>
        <v>531.29999999999995</v>
      </c>
      <c r="DD7" s="116" cm="1">
        <f t="array" ref="DD7">_xll.EQNXTDZ($A$1,$B7,DD$1)</f>
        <v>509.3</v>
      </c>
      <c r="DE7" s="116" cm="1">
        <f t="array" ref="DE7">_xll.EQNXTDZ($A$1,$B7,DE$1)</f>
        <v>468.8</v>
      </c>
      <c r="DF7" s="116" cm="1">
        <f t="array" ref="DF7">_xll.EQNXTDZ($A$1,$B7,DF$1)</f>
        <v>446.65</v>
      </c>
      <c r="DG7" s="116" cm="1">
        <f t="array" ref="DG7">_xll.EQNXTDZ($A$1,$B7,DG$1)</f>
        <v>473.95</v>
      </c>
      <c r="DH7" s="116" cm="1">
        <f t="array" ref="DH7">_xll.EQNXTDZ($A$1,$B7,DH$1)</f>
        <v>489.95</v>
      </c>
      <c r="DI7" s="116" cm="1">
        <f t="array" ref="DI7">_xll.EQNXTDZ($A$1,$B7,DI$1)</f>
        <v>474</v>
      </c>
      <c r="DJ7" s="116" cm="1">
        <f t="array" ref="DJ7">_xll.EQNXTDZ($A$1,$B7,DJ$1)</f>
        <v>517.4</v>
      </c>
      <c r="DK7" s="116" cm="1">
        <f t="array" ref="DK7">_xll.EQNXTDZ($A$1,$B7,DK$1)</f>
        <v>552</v>
      </c>
      <c r="DL7" s="116" cm="1">
        <f t="array" ref="DL7">_xll.EQNXTDZ($A$1,$B7,DL$1)</f>
        <v>539.4</v>
      </c>
      <c r="DM7" s="116" cm="1">
        <f t="array" ref="DM7">_xll.EQNXTDZ($A$1,$B7,DM$1)</f>
        <v>537.35</v>
      </c>
      <c r="DN7" s="116" cm="1">
        <f t="array" ref="DN7">_xll.EQNXTDZ($A$1,$B7,DN$1)</f>
        <v>627.9</v>
      </c>
      <c r="DO7" s="116" cm="1">
        <f t="array" ref="DO7">_xll.EQNXTDZ($A$1,$B7,DO$1)</f>
        <v>639.29999999999995</v>
      </c>
      <c r="DP7" s="116" cm="1">
        <f t="array" ref="DP7">_xll.EQNXTDZ($A$1,$B7,DP$1)</f>
        <v>563</v>
      </c>
      <c r="DQ7" s="116" cm="1">
        <f t="array" ref="DQ7">_xll.EQNXTDZ($A$1,$B7,DQ$1)</f>
        <v>588.6</v>
      </c>
      <c r="DR7" s="116" cm="1">
        <f t="array" ref="DR7">_xll.EQNXTDZ($A$1,$B7,DR$1)</f>
        <v>545.65</v>
      </c>
      <c r="DS7" s="116" cm="1">
        <f t="array" ref="DS7">_xll.EQNXTDZ($A$1,$B7,DS$1)</f>
        <v>574.75</v>
      </c>
      <c r="DT7" s="116" cm="1">
        <f t="array" ref="DT7">_xll.EQNXTDZ($A$1,$B7,DT$1)</f>
        <v>671.5</v>
      </c>
      <c r="DU7" s="116" cm="1">
        <f t="array" ref="DU7">_xll.EQNXTDZ($A$1,$B7,DU$1)</f>
        <v>644.9</v>
      </c>
      <c r="DV7" s="116" cm="1">
        <f t="array" ref="DV7">_xll.EQNXTDZ($A$1,$B7,DV$1)</f>
        <v>684</v>
      </c>
      <c r="DW7" s="116" cm="1">
        <f t="array" ref="DW7">_xll.EQNXTDZ($A$1,$B7,DW$1)</f>
        <v>673.95</v>
      </c>
      <c r="DX7" s="116" cm="1">
        <f t="array" ref="DX7">_xll.EQNXTDZ($A$1,$B7,DX$1)</f>
        <v>648</v>
      </c>
      <c r="DY7" s="116" cm="1">
        <f t="array" ref="DY7">_xll.EQNXTDZ($A$1,$B7,DY$1)</f>
        <v>746.65</v>
      </c>
      <c r="DZ7" s="116" cm="1">
        <f t="array" ref="DZ7">_xll.EQNXTDZ($A$1,$B7,DZ$1)</f>
        <v>776</v>
      </c>
      <c r="EA7" s="116" cm="1">
        <f t="array" ref="EA7">_xll.EQNXTDZ($A$1,$B7,EA$1)</f>
        <v>719.8</v>
      </c>
      <c r="EB7" s="116" cm="1">
        <f t="array" ref="EB7">_xll.EQNXTDZ($A$1,$B7,EB$1)</f>
        <v>716</v>
      </c>
      <c r="EC7" s="116" cm="1">
        <f t="array" ref="EC7">_xll.EQNXTDZ($A$1,$B7,EC$1)</f>
        <v>704</v>
      </c>
      <c r="ED7" s="116" cm="1">
        <f t="array" ref="ED7">_xll.EQNXTDZ($A$1,$B7,ED$1)</f>
        <v>761</v>
      </c>
      <c r="EE7" s="116" cm="1">
        <f t="array" ref="EE7">_xll.EQNXTDZ($A$1,$B7,EE$1)</f>
        <v>798.6</v>
      </c>
      <c r="EF7" s="116" cm="1">
        <f t="array" ref="EF7">_xll.EQNXTDZ($A$1,$B7,EF$1)</f>
        <v>800</v>
      </c>
      <c r="EG7" s="116" cm="1">
        <f t="array" ref="EG7">_xll.EQNXTDZ($A$1,$B7,EG$1)</f>
        <v>846</v>
      </c>
      <c r="EH7" s="116" cm="1">
        <f t="array" ref="EH7">_xll.EQNXTDZ($A$1,$B7,EH$1)</f>
        <v>839</v>
      </c>
      <c r="EI7" s="116" cm="1">
        <f t="array" ref="EI7">_xll.EQNXTDZ($A$1,$B7,EI$1)</f>
        <v>803.7</v>
      </c>
      <c r="EJ7" s="116" cm="1">
        <f t="array" ref="EJ7">_xll.EQNXTDZ($A$1,$B7,EJ$1)</f>
        <v>807</v>
      </c>
      <c r="EK7" s="116" cm="1">
        <f t="array" ref="EK7">_xll.EQNXTDZ($A$1,$B7,EK$1)</f>
        <v>795</v>
      </c>
      <c r="EL7" s="116" cm="1">
        <f t="array" ref="EL7">_xll.EQNXTDZ($A$1,$B7,EL$1)</f>
        <v>789.3</v>
      </c>
      <c r="EM7" s="116" cm="1">
        <f t="array" ref="EM7">_xll.EQNXTDZ($A$1,$B7,EM$1)</f>
        <v>803.8</v>
      </c>
      <c r="EN7" s="116" cm="1">
        <f t="array" ref="EN7">_xll.EQNXTDZ($A$1,$B7,EN$1)</f>
        <v>729.85</v>
      </c>
      <c r="EO7" s="116" cm="1">
        <f t="array" ref="EO7">_xll.EQNXTDZ($A$1,$B7,EO$1)</f>
        <v>744.9</v>
      </c>
      <c r="EP7" s="116" cm="1">
        <f t="array" ref="EP7">_xll.EQNXTDZ($A$1,$B7,EP$1)</f>
        <v>698.35</v>
      </c>
      <c r="EQ7" s="116" cm="1">
        <f t="array" ref="EQ7">_xll.EQNXTDZ($A$1,$B7,EQ$1)</f>
        <v>690.3</v>
      </c>
      <c r="ER7" s="116" cm="1">
        <f t="array" ref="ER7">_xll.EQNXTDZ($A$1,$B7,ER$1)</f>
        <v>709.65</v>
      </c>
      <c r="ES7" s="116" cm="1">
        <f t="array" ref="ES7">_xll.EQNXTDZ($A$1,$B7,ES$1)</f>
        <v>745.75</v>
      </c>
      <c r="ET7" s="116" cm="1">
        <f t="array" ref="ET7">_xll.EQNXTDZ($A$1,$B7,ET$1)</f>
        <v>720</v>
      </c>
      <c r="EU7" s="116" cm="1">
        <f t="array" ref="EU7">_xll.EQNXTDZ($A$1,$B7,EU$1)</f>
        <v>672.95</v>
      </c>
      <c r="EV7" s="116" cm="1">
        <f t="array" ref="EV7">_xll.EQNXTDZ($A$1,$B7,EV$1)</f>
        <v>734.95</v>
      </c>
      <c r="EW7" s="116" cm="1">
        <f t="array" ref="EW7">_xll.EQNXTDZ($A$1,$B7,EW$1)</f>
        <v>699</v>
      </c>
      <c r="EX7" s="116" cm="1">
        <f t="array" ref="EX7">_xll.EQNXTDZ($A$1,$B7,EX$1)</f>
        <v>693</v>
      </c>
      <c r="EY7" s="116" cm="1">
        <f t="array" ref="EY7">_xll.EQNXTDZ($A$1,$B7,EY$1)</f>
        <v>647.54999999999995</v>
      </c>
      <c r="EZ7" s="116" cm="1">
        <f t="array" ref="EZ7">_xll.EQNXTDZ($A$1,$B7,EZ$1)</f>
        <v>640.54999999999995</v>
      </c>
      <c r="FA7" s="116" cm="1">
        <f t="array" ref="FA7">_xll.EQNXTDZ($A$1,$B7,FA$1)</f>
        <v>644.70000000000005</v>
      </c>
      <c r="FB7" s="116" cm="1">
        <f t="array" ref="FB7">_xll.EQNXTDZ($A$1,$B7,FB$1)</f>
        <v>676.9</v>
      </c>
      <c r="FC7" s="116" cm="1">
        <f t="array" ref="FC7">_xll.EQNXTDZ($A$1,$B7,FC$1)</f>
        <v>775</v>
      </c>
      <c r="FD7" s="116" cm="1">
        <f t="array" ref="FD7">_xll.EQNXTDZ($A$1,$B7,FD$1)</f>
        <v>843.45</v>
      </c>
      <c r="FE7" s="116" cm="1">
        <f t="array" ref="FE7">_xll.EQNXTDZ($A$1,$B7,FE$1)</f>
        <v>767</v>
      </c>
      <c r="FF7" s="116" cm="1">
        <f t="array" ref="FF7">_xll.EQNXTDZ($A$1,$B7,FF$1)</f>
        <v>810</v>
      </c>
      <c r="FG7" s="116" cm="1">
        <f t="array" ref="FG7">_xll.EQNXTDZ($A$1,$B7,FG$1)</f>
        <v>949.85</v>
      </c>
      <c r="FH7" s="116" cm="1">
        <f t="array" ref="FH7">_xll.EQNXTDZ($A$1,$B7,FH$1)</f>
        <v>1029.9000000000001</v>
      </c>
      <c r="FI7" s="116" cm="1">
        <f t="array" ref="FI7">_xll.EQNXTDZ($A$1,$B7,FI$1)</f>
        <v>918.9</v>
      </c>
      <c r="FJ7" s="116" cm="1">
        <f t="array" ref="FJ7">_xll.EQNXTDZ($A$1,$B7,FJ$1)</f>
        <v>900.9</v>
      </c>
      <c r="FK7" s="116" cm="1">
        <f t="array" ref="FK7">_xll.EQNXTDZ($A$1,$B7,FK$1)</f>
        <v>834</v>
      </c>
      <c r="FL7" s="116" cm="1">
        <f t="array" ref="FL7">_xll.EQNXTDZ($A$1,$B7,FL$1)</f>
        <v>728.2</v>
      </c>
      <c r="FM7" s="116" cm="1">
        <f t="array" ref="FM7">_xll.EQNXTDZ($A$1,$B7,FM$1)</f>
        <v>833.9</v>
      </c>
      <c r="FN7" s="116" cm="1">
        <f t="array" ref="FN7">_xll.EQNXTDZ($A$1,$B7,FN$1)</f>
        <v>879</v>
      </c>
      <c r="FO7" s="116" cm="1">
        <f t="array" ref="FO7">_xll.EQNXTDZ($A$1,$B7,FO$1)</f>
        <v>960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317.5</v>
      </c>
      <c r="IJ7" s="116">
        <f>+MAX(BL7:BN7)</f>
        <v>373.8</v>
      </c>
      <c r="IK7" s="116">
        <f>+MAX(BO7:BQ7)</f>
        <v>547</v>
      </c>
      <c r="IL7" s="116">
        <f>+MAX(BR7:BT7)</f>
        <v>595</v>
      </c>
      <c r="IM7" s="116">
        <f>+MAX(BU7:BW7)</f>
        <v>595</v>
      </c>
      <c r="IN7" s="116">
        <f>+MAX(BX7:BZ7)</f>
        <v>510.9</v>
      </c>
      <c r="IO7" s="116">
        <f>+MAX(CA7:CC7)</f>
        <v>445</v>
      </c>
      <c r="IP7" s="116">
        <f>+MAX(CD7:CF7)</f>
        <v>477</v>
      </c>
      <c r="IQ7" s="116">
        <f>+MAX(CG7:CI7)</f>
        <v>567</v>
      </c>
      <c r="IR7" s="116">
        <f>+MAX(CJ7:CL7)</f>
        <v>576.85</v>
      </c>
      <c r="IS7" s="116">
        <f>+MAX(CM7:CO7)</f>
        <v>571.9</v>
      </c>
      <c r="IT7" s="116">
        <f>+MAX(CP7:CR7)</f>
        <v>560</v>
      </c>
      <c r="IU7" s="116">
        <f>+MAX(CS7:CU7)</f>
        <v>406.1</v>
      </c>
      <c r="IV7" s="116">
        <f>+MAX(CV7:CX7)</f>
        <v>478.8</v>
      </c>
      <c r="IW7" s="116">
        <f>+MAX(CY7:DA7)</f>
        <v>438.3</v>
      </c>
      <c r="IX7" s="116">
        <f>+MAX(DB7:DD7)</f>
        <v>531.29999999999995</v>
      </c>
      <c r="IY7" s="116">
        <f>+MAX(DE7:DG7)</f>
        <v>473.95</v>
      </c>
      <c r="IZ7" s="116">
        <f>+MAX(DH7:DJ7)</f>
        <v>517.4</v>
      </c>
      <c r="JA7" s="116">
        <f>+MAX(DK7:DM7)</f>
        <v>552</v>
      </c>
      <c r="JB7" s="116">
        <f>+MAX(DN7:DP7)</f>
        <v>639.29999999999995</v>
      </c>
      <c r="JC7" s="116">
        <f>+MAX(DQ7:DS7)</f>
        <v>588.6</v>
      </c>
      <c r="JD7" s="116">
        <f>+MAX(DT7:DV7)</f>
        <v>684</v>
      </c>
      <c r="JE7" s="116">
        <f>+MAX(DW7:DY7)</f>
        <v>746.65</v>
      </c>
      <c r="JF7" s="116">
        <f>+MAX(DZ7:EB7)</f>
        <v>776</v>
      </c>
      <c r="JG7" s="116">
        <f>+MAX(EC7:EE7)</f>
        <v>798.6</v>
      </c>
      <c r="JH7" s="116">
        <f>+MAX(EF7:EH7)</f>
        <v>846</v>
      </c>
      <c r="JI7" s="116">
        <f>+MAX(EI7:EK7)</f>
        <v>807</v>
      </c>
      <c r="JJ7" s="116">
        <f>+MAX(EL7:EN7)</f>
        <v>803.8</v>
      </c>
      <c r="JK7" s="116">
        <f>MAX(EO7:EQ7)</f>
        <v>744.9</v>
      </c>
      <c r="JL7" s="116">
        <f>MAX(ER7:ET7)</f>
        <v>745.75</v>
      </c>
      <c r="JM7" s="116">
        <f>MAX(EU7:EW7)</f>
        <v>734.95</v>
      </c>
      <c r="JN7" s="116">
        <f>MAX(EX7:EZ7)</f>
        <v>693</v>
      </c>
      <c r="JO7" s="116">
        <f>MAX(FA7:FC7)</f>
        <v>775</v>
      </c>
      <c r="JP7" s="116">
        <f>MAX(FD7:FF7)</f>
        <v>843.45</v>
      </c>
      <c r="JQ7" s="116">
        <f>MAX(FG7:FI7)</f>
        <v>1029.9000000000001</v>
      </c>
      <c r="JR7" s="116">
        <f>MAX(FJ7:FL7)</f>
        <v>900.9</v>
      </c>
      <c r="JS7" s="116">
        <f>MAX(FM7:FO7)</f>
        <v>960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190</v>
      </c>
      <c r="BK8" s="116" cm="1">
        <f t="array" ref="BK8">_xll.EQNXTDZ($A$1,$B8,BK$1)</f>
        <v>211</v>
      </c>
      <c r="BL8" s="116" cm="1">
        <f t="array" ref="BL8">_xll.EQNXTDZ($A$1,$B8,BL$1)</f>
        <v>268.35000000000002</v>
      </c>
      <c r="BM8" s="116" cm="1">
        <f t="array" ref="BM8">_xll.EQNXTDZ($A$1,$B8,BM$1)</f>
        <v>303</v>
      </c>
      <c r="BN8" s="116" cm="1">
        <f t="array" ref="BN8">_xll.EQNXTDZ($A$1,$B8,BN$1)</f>
        <v>323.3</v>
      </c>
      <c r="BO8" s="116" cm="1">
        <f t="array" ref="BO8">_xll.EQNXTDZ($A$1,$B8,BO$1)</f>
        <v>337.15</v>
      </c>
      <c r="BP8" s="116" cm="1">
        <f t="array" ref="BP8">_xll.EQNXTDZ($A$1,$B8,BP$1)</f>
        <v>392.5</v>
      </c>
      <c r="BQ8" s="116" cm="1">
        <f t="array" ref="BQ8">_xll.EQNXTDZ($A$1,$B8,BQ$1)</f>
        <v>451</v>
      </c>
      <c r="BR8" s="116" cm="1">
        <f t="array" ref="BR8">_xll.EQNXTDZ($A$1,$B8,BR$1)</f>
        <v>508.05</v>
      </c>
      <c r="BS8" s="116" cm="1">
        <f t="array" ref="BS8">_xll.EQNXTDZ($A$1,$B8,BS$1)</f>
        <v>432.65</v>
      </c>
      <c r="BT8" s="116" cm="1">
        <f t="array" ref="BT8">_xll.EQNXTDZ($A$1,$B8,BT$1)</f>
        <v>433.55</v>
      </c>
      <c r="BU8" s="116" cm="1">
        <f t="array" ref="BU8">_xll.EQNXTDZ($A$1,$B8,BU$1)</f>
        <v>442.35</v>
      </c>
      <c r="BV8" s="116" cm="1">
        <f t="array" ref="BV8">_xll.EQNXTDZ($A$1,$B8,BV$1)</f>
        <v>501.35</v>
      </c>
      <c r="BW8" s="116" cm="1">
        <f t="array" ref="BW8">_xll.EQNXTDZ($A$1,$B8,BW$1)</f>
        <v>455</v>
      </c>
      <c r="BX8" s="116" cm="1">
        <f t="array" ref="BX8">_xll.EQNXTDZ($A$1,$B8,BX$1)</f>
        <v>453</v>
      </c>
      <c r="BY8" s="116" cm="1">
        <f t="array" ref="BY8">_xll.EQNXTDZ($A$1,$B8,BY$1)</f>
        <v>447</v>
      </c>
      <c r="BZ8" s="116" cm="1">
        <f t="array" ref="BZ8">_xll.EQNXTDZ($A$1,$B8,BZ$1)</f>
        <v>402</v>
      </c>
      <c r="CA8" s="116" cm="1">
        <f t="array" ref="CA8">_xll.EQNXTDZ($A$1,$B8,CA$1)</f>
        <v>358.65</v>
      </c>
      <c r="CB8" s="116" cm="1">
        <f t="array" ref="CB8">_xll.EQNXTDZ($A$1,$B8,CB$1)</f>
        <v>358.3</v>
      </c>
      <c r="CC8" s="116" cm="1">
        <f t="array" ref="CC8">_xll.EQNXTDZ($A$1,$B8,CC$1)</f>
        <v>371.1</v>
      </c>
      <c r="CD8" s="116" cm="1">
        <f t="array" ref="CD8">_xll.EQNXTDZ($A$1,$B8,CD$1)</f>
        <v>378</v>
      </c>
      <c r="CE8" s="116" cm="1">
        <f t="array" ref="CE8">_xll.EQNXTDZ($A$1,$B8,CE$1)</f>
        <v>377.4</v>
      </c>
      <c r="CF8" s="116" cm="1">
        <f t="array" ref="CF8">_xll.EQNXTDZ($A$1,$B8,CF$1)</f>
        <v>398.7</v>
      </c>
      <c r="CG8" s="116" cm="1">
        <f t="array" ref="CG8">_xll.EQNXTDZ($A$1,$B8,CG$1)</f>
        <v>459.9</v>
      </c>
      <c r="CH8" s="116" cm="1">
        <f t="array" ref="CH8">_xll.EQNXTDZ($A$1,$B8,CH$1)</f>
        <v>430.15</v>
      </c>
      <c r="CI8" s="116" cm="1">
        <f t="array" ref="CI8">_xll.EQNXTDZ($A$1,$B8,CI$1)</f>
        <v>500.4</v>
      </c>
      <c r="CJ8" s="116" cm="1">
        <f t="array" ref="CJ8">_xll.EQNXTDZ($A$1,$B8,CJ$1)</f>
        <v>466.15</v>
      </c>
      <c r="CK8" s="116" cm="1">
        <f t="array" ref="CK8">_xll.EQNXTDZ($A$1,$B8,CK$1)</f>
        <v>464</v>
      </c>
      <c r="CL8" s="116" cm="1">
        <f t="array" ref="CL8">_xll.EQNXTDZ($A$1,$B8,CL$1)</f>
        <v>484.95</v>
      </c>
      <c r="CM8" s="116" cm="1">
        <f t="array" ref="CM8">_xll.EQNXTDZ($A$1,$B8,CM$1)</f>
        <v>524.25</v>
      </c>
      <c r="CN8" s="116" cm="1">
        <f t="array" ref="CN8">_xll.EQNXTDZ($A$1,$B8,CN$1)</f>
        <v>490</v>
      </c>
      <c r="CO8" s="116" cm="1">
        <f t="array" ref="CO8">_xll.EQNXTDZ($A$1,$B8,CO$1)</f>
        <v>468</v>
      </c>
      <c r="CP8" s="116" cm="1">
        <f t="array" ref="CP8">_xll.EQNXTDZ($A$1,$B8,CP$1)</f>
        <v>492.1</v>
      </c>
      <c r="CQ8" s="116" cm="1">
        <f t="array" ref="CQ8">_xll.EQNXTDZ($A$1,$B8,CQ$1)</f>
        <v>467.5</v>
      </c>
      <c r="CR8" s="116" cm="1">
        <f t="array" ref="CR8">_xll.EQNXTDZ($A$1,$B8,CR$1)</f>
        <v>232</v>
      </c>
      <c r="CS8" s="116" cm="1">
        <f t="array" ref="CS8">_xll.EQNXTDZ($A$1,$B8,CS$1)</f>
        <v>303</v>
      </c>
      <c r="CT8" s="116" cm="1">
        <f t="array" ref="CT8">_xll.EQNXTDZ($A$1,$B8,CT$1)</f>
        <v>304.25</v>
      </c>
      <c r="CU8" s="116" cm="1">
        <f t="array" ref="CU8">_xll.EQNXTDZ($A$1,$B8,CU$1)</f>
        <v>330</v>
      </c>
      <c r="CV8" s="116" cm="1">
        <f t="array" ref="CV8">_xll.EQNXTDZ($A$1,$B8,CV$1)</f>
        <v>380.5</v>
      </c>
      <c r="CW8" s="116" cm="1">
        <f t="array" ref="CW8">_xll.EQNXTDZ($A$1,$B8,CW$1)</f>
        <v>390.1</v>
      </c>
      <c r="CX8" s="116" cm="1">
        <f t="array" ref="CX8">_xll.EQNXTDZ($A$1,$B8,CX$1)</f>
        <v>387.25</v>
      </c>
      <c r="CY8" s="116" cm="1">
        <f t="array" ref="CY8">_xll.EQNXTDZ($A$1,$B8,CY$1)</f>
        <v>380.05</v>
      </c>
      <c r="CZ8" s="116" cm="1">
        <f t="array" ref="CZ8">_xll.EQNXTDZ($A$1,$B8,CZ$1)</f>
        <v>378.05</v>
      </c>
      <c r="DA8" s="116" cm="1">
        <f t="array" ref="DA8">_xll.EQNXTDZ($A$1,$B8,DA$1)</f>
        <v>391</v>
      </c>
      <c r="DB8" s="116" cm="1">
        <f t="array" ref="DB8">_xll.EQNXTDZ($A$1,$B8,DB$1)</f>
        <v>398</v>
      </c>
      <c r="DC8" s="116" cm="1">
        <f t="array" ref="DC8">_xll.EQNXTDZ($A$1,$B8,DC$1)</f>
        <v>412.55</v>
      </c>
      <c r="DD8" s="116" cm="1">
        <f t="array" ref="DD8">_xll.EQNXTDZ($A$1,$B8,DD$1)</f>
        <v>451.75</v>
      </c>
      <c r="DE8" s="116" cm="1">
        <f t="array" ref="DE8">_xll.EQNXTDZ($A$1,$B8,DE$1)</f>
        <v>401</v>
      </c>
      <c r="DF8" s="116" cm="1">
        <f t="array" ref="DF8">_xll.EQNXTDZ($A$1,$B8,DF$1)</f>
        <v>397.15</v>
      </c>
      <c r="DG8" s="116" cm="1">
        <f t="array" ref="DG8">_xll.EQNXTDZ($A$1,$B8,DG$1)</f>
        <v>397</v>
      </c>
      <c r="DH8" s="116" cm="1">
        <f t="array" ref="DH8">_xll.EQNXTDZ($A$1,$B8,DH$1)</f>
        <v>424.5</v>
      </c>
      <c r="DI8" s="116" cm="1">
        <f t="array" ref="DI8">_xll.EQNXTDZ($A$1,$B8,DI$1)</f>
        <v>405.1</v>
      </c>
      <c r="DJ8" s="116" cm="1">
        <f t="array" ref="DJ8">_xll.EQNXTDZ($A$1,$B8,DJ$1)</f>
        <v>416.1</v>
      </c>
      <c r="DK8" s="116" cm="1">
        <f t="array" ref="DK8">_xll.EQNXTDZ($A$1,$B8,DK$1)</f>
        <v>474.35</v>
      </c>
      <c r="DL8" s="116" cm="1">
        <f t="array" ref="DL8">_xll.EQNXTDZ($A$1,$B8,DL$1)</f>
        <v>461.25</v>
      </c>
      <c r="DM8" s="116" cm="1">
        <f t="array" ref="DM8">_xll.EQNXTDZ($A$1,$B8,DM$1)</f>
        <v>448</v>
      </c>
      <c r="DN8" s="116" cm="1">
        <f t="array" ref="DN8">_xll.EQNXTDZ($A$1,$B8,DN$1)</f>
        <v>481.6</v>
      </c>
      <c r="DO8" s="116" cm="1">
        <f t="array" ref="DO8">_xll.EQNXTDZ($A$1,$B8,DO$1)</f>
        <v>461.35</v>
      </c>
      <c r="DP8" s="116" cm="1">
        <f t="array" ref="DP8">_xll.EQNXTDZ($A$1,$B8,DP$1)</f>
        <v>477.1</v>
      </c>
      <c r="DQ8" s="116" cm="1">
        <f t="array" ref="DQ8">_xll.EQNXTDZ($A$1,$B8,DQ$1)</f>
        <v>511.3</v>
      </c>
      <c r="DR8" s="116" cm="1">
        <f t="array" ref="DR8">_xll.EQNXTDZ($A$1,$B8,DR$1)</f>
        <v>464</v>
      </c>
      <c r="DS8" s="116" cm="1">
        <f t="array" ref="DS8">_xll.EQNXTDZ($A$1,$B8,DS$1)</f>
        <v>459.2</v>
      </c>
      <c r="DT8" s="116" cm="1">
        <f t="array" ref="DT8">_xll.EQNXTDZ($A$1,$B8,DT$1)</f>
        <v>541.04999999999995</v>
      </c>
      <c r="DU8" s="116" cm="1">
        <f t="array" ref="DU8">_xll.EQNXTDZ($A$1,$B8,DU$1)</f>
        <v>566</v>
      </c>
      <c r="DV8" s="116" cm="1">
        <f t="array" ref="DV8">_xll.EQNXTDZ($A$1,$B8,DV$1)</f>
        <v>581.65</v>
      </c>
      <c r="DW8" s="116" cm="1">
        <f t="array" ref="DW8">_xll.EQNXTDZ($A$1,$B8,DW$1)</f>
        <v>560</v>
      </c>
      <c r="DX8" s="116" cm="1">
        <f t="array" ref="DX8">_xll.EQNXTDZ($A$1,$B8,DX$1)</f>
        <v>582.70000000000005</v>
      </c>
      <c r="DY8" s="116" cm="1">
        <f t="array" ref="DY8">_xll.EQNXTDZ($A$1,$B8,DY$1)</f>
        <v>629.25</v>
      </c>
      <c r="DZ8" s="116" cm="1">
        <f t="array" ref="DZ8">_xll.EQNXTDZ($A$1,$B8,DZ$1)</f>
        <v>676</v>
      </c>
      <c r="EA8" s="116" cm="1">
        <f t="array" ref="EA8">_xll.EQNXTDZ($A$1,$B8,EA$1)</f>
        <v>655.1</v>
      </c>
      <c r="EB8" s="116" cm="1">
        <f t="array" ref="EB8">_xll.EQNXTDZ($A$1,$B8,EB$1)</f>
        <v>652</v>
      </c>
      <c r="EC8" s="116" cm="1">
        <f t="array" ref="EC8">_xll.EQNXTDZ($A$1,$B8,EC$1)</f>
        <v>664.4</v>
      </c>
      <c r="ED8" s="116" cm="1">
        <f t="array" ref="ED8">_xll.EQNXTDZ($A$1,$B8,ED$1)</f>
        <v>673</v>
      </c>
      <c r="EE8" s="116" cm="1">
        <f t="array" ref="EE8">_xll.EQNXTDZ($A$1,$B8,EE$1)</f>
        <v>708.05</v>
      </c>
      <c r="EF8" s="116" cm="1">
        <f t="array" ref="EF8">_xll.EQNXTDZ($A$1,$B8,EF$1)</f>
        <v>710.95</v>
      </c>
      <c r="EG8" s="116" cm="1">
        <f t="array" ref="EG8">_xll.EQNXTDZ($A$1,$B8,EG$1)</f>
        <v>756</v>
      </c>
      <c r="EH8" s="116" cm="1">
        <f t="array" ref="EH8">_xll.EQNXTDZ($A$1,$B8,EH$1)</f>
        <v>781.5</v>
      </c>
      <c r="EI8" s="116" cm="1">
        <f t="array" ref="EI8">_xll.EQNXTDZ($A$1,$B8,EI$1)</f>
        <v>681.25</v>
      </c>
      <c r="EJ8" s="116" cm="1">
        <f t="array" ref="EJ8">_xll.EQNXTDZ($A$1,$B8,EJ$1)</f>
        <v>725.4</v>
      </c>
      <c r="EK8" s="116" cm="1">
        <f t="array" ref="EK8">_xll.EQNXTDZ($A$1,$B8,EK$1)</f>
        <v>730</v>
      </c>
      <c r="EL8" s="116" cm="1">
        <f t="array" ref="EL8">_xll.EQNXTDZ($A$1,$B8,EL$1)</f>
        <v>726</v>
      </c>
      <c r="EM8" s="116" cm="1">
        <f t="array" ref="EM8">_xll.EQNXTDZ($A$1,$B8,EM$1)</f>
        <v>677.7</v>
      </c>
      <c r="EN8" s="116" cm="1">
        <f t="array" ref="EN8">_xll.EQNXTDZ($A$1,$B8,EN$1)</f>
        <v>599.9</v>
      </c>
      <c r="EO8" s="116" cm="1">
        <f t="array" ref="EO8">_xll.EQNXTDZ($A$1,$B8,EO$1)</f>
        <v>640</v>
      </c>
      <c r="EP8" s="116" cm="1">
        <f t="array" ref="EP8">_xll.EQNXTDZ($A$1,$B8,EP$1)</f>
        <v>625</v>
      </c>
      <c r="EQ8" s="116" cm="1">
        <f t="array" ref="EQ8">_xll.EQNXTDZ($A$1,$B8,EQ$1)</f>
        <v>600</v>
      </c>
      <c r="ER8" s="116" cm="1">
        <f t="array" ref="ER8">_xll.EQNXTDZ($A$1,$B8,ER$1)</f>
        <v>652.54999999999995</v>
      </c>
      <c r="ES8" s="116" cm="1">
        <f t="array" ref="ES8">_xll.EQNXTDZ($A$1,$B8,ES$1)</f>
        <v>655.1</v>
      </c>
      <c r="ET8" s="116" cm="1">
        <f t="array" ref="ET8">_xll.EQNXTDZ($A$1,$B8,ET$1)</f>
        <v>646.95000000000005</v>
      </c>
      <c r="EU8" s="116" cm="1">
        <f t="array" ref="EU8">_xll.EQNXTDZ($A$1,$B8,EU$1)</f>
        <v>565.4</v>
      </c>
      <c r="EV8" s="116" cm="1">
        <f t="array" ref="EV8">_xll.EQNXTDZ($A$1,$B8,EV$1)</f>
        <v>595.95000000000005</v>
      </c>
      <c r="EW8" s="116" cm="1">
        <f t="array" ref="EW8">_xll.EQNXTDZ($A$1,$B8,EW$1)</f>
        <v>634.29999999999995</v>
      </c>
      <c r="EX8" s="116" cm="1">
        <f t="array" ref="EX8">_xll.EQNXTDZ($A$1,$B8,EX$1)</f>
        <v>615.04999999999995</v>
      </c>
      <c r="EY8" s="116" cm="1">
        <f t="array" ref="EY8">_xll.EQNXTDZ($A$1,$B8,EY$1)</f>
        <v>609</v>
      </c>
      <c r="EZ8" s="116" cm="1">
        <f t="array" ref="EZ8">_xll.EQNXTDZ($A$1,$B8,EZ$1)</f>
        <v>610</v>
      </c>
      <c r="FA8" s="116" cm="1">
        <f t="array" ref="FA8">_xll.EQNXTDZ($A$1,$B8,FA$1)</f>
        <v>624</v>
      </c>
      <c r="FB8" s="116" cm="1">
        <f t="array" ref="FB8">_xll.EQNXTDZ($A$1,$B8,FB$1)</f>
        <v>630.75</v>
      </c>
      <c r="FC8" s="116" cm="1">
        <f t="array" ref="FC8">_xll.EQNXTDZ($A$1,$B8,FC$1)</f>
        <v>635.1</v>
      </c>
      <c r="FD8" s="116" cm="1">
        <f t="array" ref="FD8">_xll.EQNXTDZ($A$1,$B8,FD$1)</f>
        <v>727.4</v>
      </c>
      <c r="FE8" s="116" cm="1">
        <f t="array" ref="FE8">_xll.EQNXTDZ($A$1,$B8,FE$1)</f>
        <v>620.75</v>
      </c>
      <c r="FF8" s="116" cm="1">
        <f t="array" ref="FF8">_xll.EQNXTDZ($A$1,$B8,FF$1)</f>
        <v>677.05</v>
      </c>
      <c r="FG8" s="116" cm="1">
        <f t="array" ref="FG8">_xll.EQNXTDZ($A$1,$B8,FG$1)</f>
        <v>732.2</v>
      </c>
      <c r="FH8" s="116" cm="1">
        <f t="array" ref="FH8">_xll.EQNXTDZ($A$1,$B8,FH$1)</f>
        <v>870.8</v>
      </c>
      <c r="FI8" s="116" cm="1">
        <f t="array" ref="FI8">_xll.EQNXTDZ($A$1,$B8,FI$1)</f>
        <v>824.6</v>
      </c>
      <c r="FJ8" s="116" cm="1">
        <f t="array" ref="FJ8">_xll.EQNXTDZ($A$1,$B8,FJ$1)</f>
        <v>668.3</v>
      </c>
      <c r="FK8" s="116" cm="1">
        <f t="array" ref="FK8">_xll.EQNXTDZ($A$1,$B8,FK$1)</f>
        <v>691.1</v>
      </c>
      <c r="FL8" s="116" cm="1">
        <f t="array" ref="FL8">_xll.EQNXTDZ($A$1,$B8,FL$1)</f>
        <v>569.20000000000005</v>
      </c>
      <c r="FM8" s="116" cm="1">
        <f t="array" ref="FM8">_xll.EQNXTDZ($A$1,$B8,FM$1)</f>
        <v>584.1</v>
      </c>
      <c r="FN8" s="116" cm="1">
        <f t="array" ref="FN8">_xll.EQNXTDZ($A$1,$B8,FN$1)</f>
        <v>746.55</v>
      </c>
      <c r="FO8" s="116" cm="1">
        <f t="array" ref="FO8">_xll.EQNXTDZ($A$1,$B8,FO$1)</f>
        <v>808.05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268.35000000000002</v>
      </c>
      <c r="IK8" s="116">
        <f>+MIN(BO8:BQ8)</f>
        <v>337.15</v>
      </c>
      <c r="IL8" s="116">
        <f>+MIN(BR8:BT8)</f>
        <v>432.65</v>
      </c>
      <c r="IM8" s="116">
        <f>+MIN(BU8:BW8)</f>
        <v>442.35</v>
      </c>
      <c r="IN8" s="116">
        <f>+MIN(BX8:BZ8)</f>
        <v>402</v>
      </c>
      <c r="IO8" s="116">
        <f>+MIN(CA8:CC8)</f>
        <v>358.3</v>
      </c>
      <c r="IP8" s="116">
        <f>+MIN(CD8:CF8)</f>
        <v>377.4</v>
      </c>
      <c r="IQ8" s="116">
        <f>+MIN(CG8:CI8)</f>
        <v>430.15</v>
      </c>
      <c r="IR8" s="116">
        <f>+MIN(CJ8:CL8)</f>
        <v>464</v>
      </c>
      <c r="IS8" s="116">
        <f>+MIN(CM8:CO8)</f>
        <v>468</v>
      </c>
      <c r="IT8" s="116">
        <f>+MIN(CP8:CR8)</f>
        <v>232</v>
      </c>
      <c r="IU8" s="116">
        <f>+MIN(CS8:CU8)</f>
        <v>303</v>
      </c>
      <c r="IV8" s="116">
        <f>+MIN(CV8:CX8)</f>
        <v>380.5</v>
      </c>
      <c r="IW8" s="116">
        <f>+MIN(CY8:DA8)</f>
        <v>378.05</v>
      </c>
      <c r="IX8" s="116">
        <f>+MIN(DB8:DD8)</f>
        <v>398</v>
      </c>
      <c r="IY8" s="116">
        <f>+MIN(DE8:DG8)</f>
        <v>397</v>
      </c>
      <c r="IZ8" s="116">
        <f>+MIN(DH8:DJ8)</f>
        <v>405.1</v>
      </c>
      <c r="JA8" s="116">
        <f>+MIN(DK8:DM8)</f>
        <v>448</v>
      </c>
      <c r="JB8" s="116">
        <f>+MIN(DN8:DP8)</f>
        <v>461.35</v>
      </c>
      <c r="JC8" s="116">
        <f>+MIN(DQ8:DS8)</f>
        <v>459.2</v>
      </c>
      <c r="JD8" s="116">
        <f>+MIN(DT8:DV8)</f>
        <v>541.04999999999995</v>
      </c>
      <c r="JE8" s="116">
        <f>+MIN(DW8:DY8)</f>
        <v>560</v>
      </c>
      <c r="JF8" s="116">
        <f>+MIN(DZ8:EB8)</f>
        <v>652</v>
      </c>
      <c r="JG8" s="116">
        <f>+MIN(EC8:EE8)</f>
        <v>664.4</v>
      </c>
      <c r="JH8" s="116">
        <f>+MIN(EF8:EH8)</f>
        <v>710.95</v>
      </c>
      <c r="JI8" s="116">
        <f>+MIN(EI8:EK8)</f>
        <v>681.25</v>
      </c>
      <c r="JJ8" s="116">
        <f>+MIN(EL8:EN8)</f>
        <v>599.9</v>
      </c>
      <c r="JK8" s="116">
        <f>MIN(EO8:EQ8)</f>
        <v>600</v>
      </c>
      <c r="JL8" s="116">
        <f>MIN(ER8:ET8)</f>
        <v>646.95000000000005</v>
      </c>
      <c r="JM8" s="116">
        <f>MIN(EU8:EW8)</f>
        <v>565.4</v>
      </c>
      <c r="JN8" s="116">
        <f>MIN(EX8:EZ8)</f>
        <v>609</v>
      </c>
      <c r="JO8" s="116">
        <f>MIN(FA8:FC8)</f>
        <v>624</v>
      </c>
      <c r="JP8" s="116">
        <f>MIN(FD8:FF8)</f>
        <v>620.75</v>
      </c>
      <c r="JQ8" s="116">
        <f>MIN(FG8:FI8)</f>
        <v>732.2</v>
      </c>
      <c r="JR8" s="116">
        <f>MIN(FJ8:FL8)</f>
        <v>569.20000000000005</v>
      </c>
      <c r="JS8" s="116">
        <f>MIN(FM8:FO8)</f>
        <v>584.1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218.35</v>
      </c>
      <c r="BK9" s="116" cm="1">
        <f t="array" ref="BK9">_xll.EQNXTDZ($A$1,$B9,BK$1)</f>
        <v>269.64999999999998</v>
      </c>
      <c r="BL9" s="116" cm="1">
        <f t="array" ref="BL9">_xll.EQNXTDZ($A$1,$B9,BL$1)</f>
        <v>309.7</v>
      </c>
      <c r="BM9" s="116" cm="1">
        <f t="array" ref="BM9">_xll.EQNXTDZ($A$1,$B9,BM$1)</f>
        <v>333.35</v>
      </c>
      <c r="BN9" s="116" cm="1">
        <f t="array" ref="BN9">_xll.EQNXTDZ($A$1,$B9,BN$1)</f>
        <v>338.9</v>
      </c>
      <c r="BO9" s="116" cm="1">
        <f t="array" ref="BO9">_xll.EQNXTDZ($A$1,$B9,BO$1)</f>
        <v>428.95</v>
      </c>
      <c r="BP9" s="116" cm="1">
        <f t="array" ref="BP9">_xll.EQNXTDZ($A$1,$B9,BP$1)</f>
        <v>462</v>
      </c>
      <c r="BQ9" s="116" cm="1">
        <f t="array" ref="BQ9">_xll.EQNXTDZ($A$1,$B9,BQ$1)</f>
        <v>520</v>
      </c>
      <c r="BR9" s="116" cm="1">
        <f t="array" ref="BR9">_xll.EQNXTDZ($A$1,$B9,BR$1)</f>
        <v>520.35</v>
      </c>
      <c r="BS9" s="116" cm="1">
        <f t="array" ref="BS9">_xll.EQNXTDZ($A$1,$B9,BS$1)</f>
        <v>497.55</v>
      </c>
      <c r="BT9" s="116" cm="1">
        <f t="array" ref="BT9">_xll.EQNXTDZ($A$1,$B9,BT$1)</f>
        <v>450</v>
      </c>
      <c r="BU9" s="116" cm="1">
        <f t="array" ref="BU9">_xll.EQNXTDZ($A$1,$B9,BU$1)</f>
        <v>573.9</v>
      </c>
      <c r="BV9" s="116" cm="1">
        <f t="array" ref="BV9">_xll.EQNXTDZ($A$1,$B9,BV$1)</f>
        <v>516.70000000000005</v>
      </c>
      <c r="BW9" s="116" cm="1">
        <f t="array" ref="BW9">_xll.EQNXTDZ($A$1,$B9,BW$1)</f>
        <v>491.05</v>
      </c>
      <c r="BX9" s="116" cm="1">
        <f t="array" ref="BX9">_xll.EQNXTDZ($A$1,$B9,BX$1)</f>
        <v>486.55</v>
      </c>
      <c r="BY9" s="116" cm="1">
        <f t="array" ref="BY9">_xll.EQNXTDZ($A$1,$B9,BY$1)</f>
        <v>500.6</v>
      </c>
      <c r="BZ9" s="116" cm="1">
        <f t="array" ref="BZ9">_xll.EQNXTDZ($A$1,$B9,BZ$1)</f>
        <v>411.3</v>
      </c>
      <c r="CA9" s="116" cm="1">
        <f t="array" ref="CA9">_xll.EQNXTDZ($A$1,$B9,CA$1)</f>
        <v>359.95</v>
      </c>
      <c r="CB9" s="116" cm="1">
        <f t="array" ref="CB9">_xll.EQNXTDZ($A$1,$B9,CB$1)</f>
        <v>388.45</v>
      </c>
      <c r="CC9" s="116" cm="1">
        <f t="array" ref="CC9">_xll.EQNXTDZ($A$1,$B9,CC$1)</f>
        <v>392.55</v>
      </c>
      <c r="CD9" s="116" cm="1">
        <f t="array" ref="CD9">_xll.EQNXTDZ($A$1,$B9,CD$1)</f>
        <v>381.75</v>
      </c>
      <c r="CE9" s="116" cm="1">
        <f t="array" ref="CE9">_xll.EQNXTDZ($A$1,$B9,CE$1)</f>
        <v>402</v>
      </c>
      <c r="CF9" s="116" cm="1">
        <f t="array" ref="CF9">_xll.EQNXTDZ($A$1,$B9,CF$1)</f>
        <v>456.65</v>
      </c>
      <c r="CG9" s="116" cm="1">
        <f t="array" ref="CG9">_xll.EQNXTDZ($A$1,$B9,CG$1)</f>
        <v>469.65</v>
      </c>
      <c r="CH9" s="116" cm="1">
        <f t="array" ref="CH9">_xll.EQNXTDZ($A$1,$B9,CH$1)</f>
        <v>521.29999999999995</v>
      </c>
      <c r="CI9" s="116" cm="1">
        <f t="array" ref="CI9">_xll.EQNXTDZ($A$1,$B9,CI$1)</f>
        <v>549.25</v>
      </c>
      <c r="CJ9" s="116" cm="1">
        <f t="array" ref="CJ9">_xll.EQNXTDZ($A$1,$B9,CJ$1)</f>
        <v>489.95</v>
      </c>
      <c r="CK9" s="116" cm="1">
        <f t="array" ref="CK9">_xll.EQNXTDZ($A$1,$B9,CK$1)</f>
        <v>495.55</v>
      </c>
      <c r="CL9" s="116" cm="1">
        <f t="array" ref="CL9">_xll.EQNXTDZ($A$1,$B9,CL$1)</f>
        <v>564.75</v>
      </c>
      <c r="CM9" s="116" cm="1">
        <f t="array" ref="CM9">_xll.EQNXTDZ($A$1,$B9,CM$1)</f>
        <v>547.04999999999995</v>
      </c>
      <c r="CN9" s="116" cm="1">
        <f t="array" ref="CN9">_xll.EQNXTDZ($A$1,$B9,CN$1)</f>
        <v>498.4</v>
      </c>
      <c r="CO9" s="116" cm="1">
        <f t="array" ref="CO9">_xll.EQNXTDZ($A$1,$B9,CO$1)</f>
        <v>493.15</v>
      </c>
      <c r="CP9" s="116" cm="1">
        <f t="array" ref="CP9">_xll.EQNXTDZ($A$1,$B9,CP$1)</f>
        <v>515.5</v>
      </c>
      <c r="CQ9" s="116" cm="1">
        <f t="array" ref="CQ9">_xll.EQNXTDZ($A$1,$B9,CQ$1)</f>
        <v>492.15</v>
      </c>
      <c r="CR9" s="116" cm="1">
        <f t="array" ref="CR9">_xll.EQNXTDZ($A$1,$B9,CR$1)</f>
        <v>325.05</v>
      </c>
      <c r="CS9" s="116" cm="1">
        <f t="array" ref="CS9">_xll.EQNXTDZ($A$1,$B9,CS$1)</f>
        <v>363.55</v>
      </c>
      <c r="CT9" s="116" cm="1">
        <f t="array" ref="CT9">_xll.EQNXTDZ($A$1,$B9,CT$1)</f>
        <v>325.14999999999998</v>
      </c>
      <c r="CU9" s="116" cm="1">
        <f t="array" ref="CU9">_xll.EQNXTDZ($A$1,$B9,CU$1)</f>
        <v>389.95</v>
      </c>
      <c r="CV9" s="116" cm="1">
        <f t="array" ref="CV9">_xll.EQNXTDZ($A$1,$B9,CV$1)</f>
        <v>400.35</v>
      </c>
      <c r="CW9" s="116" cm="1">
        <f t="array" ref="CW9">_xll.EQNXTDZ($A$1,$B9,CW$1)</f>
        <v>426.7</v>
      </c>
      <c r="CX9" s="116" cm="1">
        <f t="array" ref="CX9">_xll.EQNXTDZ($A$1,$B9,CX$1)</f>
        <v>404.05</v>
      </c>
      <c r="CY9" s="116" cm="1">
        <f t="array" ref="CY9">_xll.EQNXTDZ($A$1,$B9,CY$1)</f>
        <v>387.05</v>
      </c>
      <c r="CZ9" s="116" cm="1">
        <f t="array" ref="CZ9">_xll.EQNXTDZ($A$1,$B9,CZ$1)</f>
        <v>408.85</v>
      </c>
      <c r="DA9" s="116" cm="1">
        <f t="array" ref="DA9">_xll.EQNXTDZ($A$1,$B9,DA$1)</f>
        <v>413.95</v>
      </c>
      <c r="DB9" s="116" cm="1">
        <f t="array" ref="DB9">_xll.EQNXTDZ($A$1,$B9,DB$1)</f>
        <v>414.7</v>
      </c>
      <c r="DC9" s="116" cm="1">
        <f t="array" ref="DC9">_xll.EQNXTDZ($A$1,$B9,DC$1)</f>
        <v>470.85</v>
      </c>
      <c r="DD9" s="116" cm="1">
        <f t="array" ref="DD9">_xll.EQNXTDZ($A$1,$B9,DD$1)</f>
        <v>463.3</v>
      </c>
      <c r="DE9" s="116" cm="1">
        <f t="array" ref="DE9">_xll.EQNXTDZ($A$1,$B9,DE$1)</f>
        <v>412.65</v>
      </c>
      <c r="DF9" s="116" cm="1">
        <f t="array" ref="DF9">_xll.EQNXTDZ($A$1,$B9,DF$1)</f>
        <v>400.05</v>
      </c>
      <c r="DG9" s="116" cm="1">
        <f t="array" ref="DG9">_xll.EQNXTDZ($A$1,$B9,DG$1)</f>
        <v>418.05</v>
      </c>
      <c r="DH9" s="116" cm="1">
        <f t="array" ref="DH9">_xll.EQNXTDZ($A$1,$B9,DH$1)</f>
        <v>462.35</v>
      </c>
      <c r="DI9" s="116" cm="1">
        <f t="array" ref="DI9">_xll.EQNXTDZ($A$1,$B9,DI$1)</f>
        <v>422.7</v>
      </c>
      <c r="DJ9" s="116" cm="1">
        <f t="array" ref="DJ9">_xll.EQNXTDZ($A$1,$B9,DJ$1)</f>
        <v>482.4</v>
      </c>
      <c r="DK9" s="116" cm="1">
        <f t="array" ref="DK9">_xll.EQNXTDZ($A$1,$B9,DK$1)</f>
        <v>514.15</v>
      </c>
      <c r="DL9" s="116" cm="1">
        <f t="array" ref="DL9">_xll.EQNXTDZ($A$1,$B9,DL$1)</f>
        <v>472.65</v>
      </c>
      <c r="DM9" s="116" cm="1">
        <f t="array" ref="DM9">_xll.EQNXTDZ($A$1,$B9,DM$1)</f>
        <v>485.35</v>
      </c>
      <c r="DN9" s="116" cm="1">
        <f t="array" ref="DN9">_xll.EQNXTDZ($A$1,$B9,DN$1)</f>
        <v>610.25</v>
      </c>
      <c r="DO9" s="116" cm="1">
        <f t="array" ref="DO9">_xll.EQNXTDZ($A$1,$B9,DO$1)</f>
        <v>486.25</v>
      </c>
      <c r="DP9" s="116" cm="1">
        <f t="array" ref="DP9">_xll.EQNXTDZ($A$1,$B9,DP$1)</f>
        <v>539.15</v>
      </c>
      <c r="DQ9" s="116" cm="1">
        <f t="array" ref="DQ9">_xll.EQNXTDZ($A$1,$B9,DQ$1)</f>
        <v>538.1</v>
      </c>
      <c r="DR9" s="116" cm="1">
        <f t="array" ref="DR9">_xll.EQNXTDZ($A$1,$B9,DR$1)</f>
        <v>510.7</v>
      </c>
      <c r="DS9" s="116" cm="1">
        <f t="array" ref="DS9">_xll.EQNXTDZ($A$1,$B9,DS$1)</f>
        <v>553.20000000000005</v>
      </c>
      <c r="DT9" s="116" cm="1">
        <f t="array" ref="DT9">_xll.EQNXTDZ($A$1,$B9,DT$1)</f>
        <v>618.75</v>
      </c>
      <c r="DU9" s="116" cm="1">
        <f t="array" ref="DU9">_xll.EQNXTDZ($A$1,$B9,DU$1)</f>
        <v>606.4</v>
      </c>
      <c r="DV9" s="116" cm="1">
        <f t="array" ref="DV9">_xll.EQNXTDZ($A$1,$B9,DV$1)</f>
        <v>642.15</v>
      </c>
      <c r="DW9" s="116" cm="1">
        <f t="array" ref="DW9">_xll.EQNXTDZ($A$1,$B9,DW$1)</f>
        <v>589.5</v>
      </c>
      <c r="DX9" s="116" cm="1">
        <f t="array" ref="DX9">_xll.EQNXTDZ($A$1,$B9,DX$1)</f>
        <v>639.45000000000005</v>
      </c>
      <c r="DY9" s="116" cm="1">
        <f t="array" ref="DY9">_xll.EQNXTDZ($A$1,$B9,DY$1)</f>
        <v>700.3</v>
      </c>
      <c r="DZ9" s="116" cm="1">
        <f t="array" ref="DZ9">_xll.EQNXTDZ($A$1,$B9,DZ$1)</f>
        <v>707.05</v>
      </c>
      <c r="EA9" s="116" cm="1">
        <f t="array" ref="EA9">_xll.EQNXTDZ($A$1,$B9,EA$1)</f>
        <v>668.75</v>
      </c>
      <c r="EB9" s="116" cm="1">
        <f t="array" ref="EB9">_xll.EQNXTDZ($A$1,$B9,EB$1)</f>
        <v>670.9</v>
      </c>
      <c r="EC9" s="116" cm="1">
        <f t="array" ref="EC9">_xll.EQNXTDZ($A$1,$B9,EC$1)</f>
        <v>691.05</v>
      </c>
      <c r="ED9" s="116" cm="1">
        <f t="array" ref="ED9">_xll.EQNXTDZ($A$1,$B9,ED$1)</f>
        <v>717.15</v>
      </c>
      <c r="EE9" s="116" cm="1">
        <f t="array" ref="EE9">_xll.EQNXTDZ($A$1,$B9,EE$1)</f>
        <v>713.35</v>
      </c>
      <c r="EF9" s="116" cm="1">
        <f t="array" ref="EF9">_xll.EQNXTDZ($A$1,$B9,EF$1)</f>
        <v>796.25</v>
      </c>
      <c r="EG9" s="116" cm="1">
        <f t="array" ref="EG9">_xll.EQNXTDZ($A$1,$B9,EG$1)</f>
        <v>818.75</v>
      </c>
      <c r="EH9" s="116" cm="1">
        <f t="array" ref="EH9">_xll.EQNXTDZ($A$1,$B9,EH$1)</f>
        <v>797.95</v>
      </c>
      <c r="EI9" s="116" cm="1">
        <f t="array" ref="EI9">_xll.EQNXTDZ($A$1,$B9,EI$1)</f>
        <v>753.7</v>
      </c>
      <c r="EJ9" s="116" cm="1">
        <f t="array" ref="EJ9">_xll.EQNXTDZ($A$1,$B9,EJ$1)</f>
        <v>749.65</v>
      </c>
      <c r="EK9" s="116" cm="1">
        <f t="array" ref="EK9">_xll.EQNXTDZ($A$1,$B9,EK$1)</f>
        <v>766.5</v>
      </c>
      <c r="EL9" s="116" cm="1">
        <f t="array" ref="EL9">_xll.EQNXTDZ($A$1,$B9,EL$1)</f>
        <v>749.45</v>
      </c>
      <c r="EM9" s="116" cm="1">
        <f t="array" ref="EM9">_xll.EQNXTDZ($A$1,$B9,EM$1)</f>
        <v>692.25</v>
      </c>
      <c r="EN9" s="116" cm="1">
        <f t="array" ref="EN9">_xll.EQNXTDZ($A$1,$B9,EN$1)</f>
        <v>687.9</v>
      </c>
      <c r="EO9" s="116" cm="1">
        <f t="array" ref="EO9">_xll.EQNXTDZ($A$1,$B9,EO$1)</f>
        <v>675.1</v>
      </c>
      <c r="EP9" s="116" cm="1">
        <f t="array" ref="EP9">_xll.EQNXTDZ($A$1,$B9,EP$1)</f>
        <v>646.04999999999995</v>
      </c>
      <c r="EQ9" s="116" cm="1">
        <f t="array" ref="EQ9">_xll.EQNXTDZ($A$1,$B9,EQ$1)</f>
        <v>685.7</v>
      </c>
      <c r="ER9" s="116" cm="1">
        <f t="array" ref="ER9">_xll.EQNXTDZ($A$1,$B9,ER$1)</f>
        <v>682.15</v>
      </c>
      <c r="ES9" s="116" cm="1">
        <f t="array" ref="ES9">_xll.EQNXTDZ($A$1,$B9,ES$1)</f>
        <v>683.05</v>
      </c>
      <c r="ET9" s="116" cm="1">
        <f t="array" ref="ET9">_xll.EQNXTDZ($A$1,$B9,ET$1)</f>
        <v>652.6</v>
      </c>
      <c r="EU9" s="116" cm="1">
        <f t="array" ref="EU9">_xll.EQNXTDZ($A$1,$B9,EU$1)</f>
        <v>601.75</v>
      </c>
      <c r="EV9" s="116" cm="1">
        <f t="array" ref="EV9">_xll.EQNXTDZ($A$1,$B9,EV$1)</f>
        <v>670.8</v>
      </c>
      <c r="EW9" s="116" cm="1">
        <f t="array" ref="EW9">_xll.EQNXTDZ($A$1,$B9,EW$1)</f>
        <v>649.20000000000005</v>
      </c>
      <c r="EX9" s="116" cm="1">
        <f t="array" ref="EX9">_xll.EQNXTDZ($A$1,$B9,EX$1)</f>
        <v>633.5</v>
      </c>
      <c r="EY9" s="116" cm="1">
        <f t="array" ref="EY9">_xll.EQNXTDZ($A$1,$B9,EY$1)</f>
        <v>620.6</v>
      </c>
      <c r="EZ9" s="116" cm="1">
        <f t="array" ref="EZ9">_xll.EQNXTDZ($A$1,$B9,EZ$1)</f>
        <v>633.1</v>
      </c>
      <c r="FA9" s="116" cm="1">
        <f t="array" ref="FA9">_xll.EQNXTDZ($A$1,$B9,FA$1)</f>
        <v>637.04999999999995</v>
      </c>
      <c r="FB9" s="116" cm="1">
        <f t="array" ref="FB9">_xll.EQNXTDZ($A$1,$B9,FB$1)</f>
        <v>639.04999999999995</v>
      </c>
      <c r="FC9" s="116" cm="1">
        <f t="array" ref="FC9">_xll.EQNXTDZ($A$1,$B9,FC$1)</f>
        <v>759.9</v>
      </c>
      <c r="FD9" s="116" cm="1">
        <f t="array" ref="FD9">_xll.EQNXTDZ($A$1,$B9,FD$1)</f>
        <v>754.3</v>
      </c>
      <c r="FE9" s="116" cm="1">
        <f t="array" ref="FE9">_xll.EQNXTDZ($A$1,$B9,FE$1)</f>
        <v>686.2</v>
      </c>
      <c r="FF9" s="116" cm="1">
        <f t="array" ref="FF9">_xll.EQNXTDZ($A$1,$B9,FF$1)</f>
        <v>752.1</v>
      </c>
      <c r="FG9" s="116" cm="1">
        <f t="array" ref="FG9">_xll.EQNXTDZ($A$1,$B9,FG$1)</f>
        <v>928.8</v>
      </c>
      <c r="FH9" s="116" cm="1">
        <f t="array" ref="FH9">_xll.EQNXTDZ($A$1,$B9,FH$1)</f>
        <v>909.3</v>
      </c>
      <c r="FI9" s="116" cm="1">
        <f t="array" ref="FI9">_xll.EQNXTDZ($A$1,$B9,FI$1)</f>
        <v>867.55</v>
      </c>
      <c r="FJ9" s="116" cm="1">
        <f t="array" ref="FJ9">_xll.EQNXTDZ($A$1,$B9,FJ$1)</f>
        <v>750.1</v>
      </c>
      <c r="FK9" s="116" cm="1">
        <f t="array" ref="FK9">_xll.EQNXTDZ($A$1,$B9,FK$1)</f>
        <v>725.55</v>
      </c>
      <c r="FL9" s="116" cm="1">
        <f t="array" ref="FL9">_xll.EQNXTDZ($A$1,$B9,FL$1)</f>
        <v>575.5</v>
      </c>
      <c r="FM9" s="116" cm="1">
        <f t="array" ref="FM9">_xll.EQNXTDZ($A$1,$B9,FM$1)</f>
        <v>787.15</v>
      </c>
      <c r="FN9" s="116" cm="1">
        <f t="array" ref="FN9">_xll.EQNXTDZ($A$1,$B9,FN$1)</f>
        <v>854.7</v>
      </c>
      <c r="FO9" s="116" cm="1">
        <f t="array" ref="FO9">_xll.EQNXTDZ($A$1,$B9,FO$1)</f>
        <v>907.8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269.64999999999998</v>
      </c>
      <c r="IJ9" s="116">
        <f>+BN9</f>
        <v>338.9</v>
      </c>
      <c r="IK9" s="116">
        <f>+BQ9</f>
        <v>520</v>
      </c>
      <c r="IL9" s="116">
        <f>+BT9</f>
        <v>450</v>
      </c>
      <c r="IM9" s="116">
        <f>+BW9</f>
        <v>491.05</v>
      </c>
      <c r="IN9" s="116">
        <f>+BZ9</f>
        <v>411.3</v>
      </c>
      <c r="IO9" s="116">
        <f>+CC9</f>
        <v>392.55</v>
      </c>
      <c r="IP9" s="116">
        <f>+CF9</f>
        <v>456.65</v>
      </c>
      <c r="IQ9" s="116">
        <f>+CI9</f>
        <v>549.25</v>
      </c>
      <c r="IR9" s="116">
        <f>+CL9</f>
        <v>564.75</v>
      </c>
      <c r="IS9" s="116">
        <f>+CO9</f>
        <v>493.15</v>
      </c>
      <c r="IT9" s="116">
        <f>+CR9</f>
        <v>325.05</v>
      </c>
      <c r="IU9" s="116">
        <f>+CU9</f>
        <v>389.95</v>
      </c>
      <c r="IV9" s="116">
        <f>+CX9</f>
        <v>404.05</v>
      </c>
      <c r="IW9" s="116">
        <f>+DA9</f>
        <v>413.95</v>
      </c>
      <c r="IX9" s="116">
        <f>+DD9</f>
        <v>463.3</v>
      </c>
      <c r="IY9" s="116">
        <f>+DG9</f>
        <v>418.05</v>
      </c>
      <c r="IZ9" s="116">
        <f>+DJ9</f>
        <v>482.4</v>
      </c>
      <c r="JA9" s="116">
        <f>+DM9</f>
        <v>485.35</v>
      </c>
      <c r="JB9" s="116">
        <f>+DP9</f>
        <v>539.15</v>
      </c>
      <c r="JC9" s="116">
        <f>+DS9</f>
        <v>553.20000000000005</v>
      </c>
      <c r="JD9" s="116">
        <f>+DV9</f>
        <v>642.15</v>
      </c>
      <c r="JE9" s="116">
        <f>+DY9</f>
        <v>700.3</v>
      </c>
      <c r="JF9" s="116">
        <f>+EB9</f>
        <v>670.9</v>
      </c>
      <c r="JG9" s="116">
        <f>+EE9</f>
        <v>713.35</v>
      </c>
      <c r="JH9" s="116">
        <f>+EH9</f>
        <v>797.95</v>
      </c>
      <c r="JI9" s="116">
        <f>+EK9</f>
        <v>766.5</v>
      </c>
      <c r="JJ9" s="116">
        <f>+EN9</f>
        <v>687.9</v>
      </c>
      <c r="JK9" s="116">
        <f>EQ9</f>
        <v>685.7</v>
      </c>
      <c r="JL9" s="116">
        <f>ET9</f>
        <v>652.6</v>
      </c>
      <c r="JM9" s="116">
        <f>EW9</f>
        <v>649.20000000000005</v>
      </c>
      <c r="JN9" s="116">
        <f>EZ9</f>
        <v>633.1</v>
      </c>
      <c r="JO9" s="116">
        <f>FC9</f>
        <v>759.9</v>
      </c>
      <c r="JP9" s="116">
        <f>FF9</f>
        <v>752.1</v>
      </c>
      <c r="JQ9" s="116">
        <f>FI9</f>
        <v>867.55</v>
      </c>
      <c r="JR9" s="116">
        <f>FL9</f>
        <v>575.5</v>
      </c>
      <c r="JS9" s="116">
        <f>FO9</f>
        <v>907.8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199</v>
      </c>
      <c r="BK13" cm="1">
        <f t="array" ref="BK13">_xll.EQNXTDZ($A$1,$B13,BK$1)</f>
        <v>215</v>
      </c>
      <c r="BL13" cm="1">
        <f t="array" ref="BL13">_xll.EQNXTDZ($A$1,$B13,BL$1)</f>
        <v>271.3</v>
      </c>
      <c r="BM13" cm="1">
        <f t="array" ref="BM13">_xll.EQNXTDZ($A$1,$B13,BM$1)</f>
        <v>310</v>
      </c>
      <c r="BN13" cm="1">
        <f t="array" ref="BN13">_xll.EQNXTDZ($A$1,$B13,BN$1)</f>
        <v>336</v>
      </c>
      <c r="BO13" cm="1">
        <f t="array" ref="BO13">_xll.EQNXTDZ($A$1,$B13,BO$1)</f>
        <v>339</v>
      </c>
      <c r="BP13" cm="1">
        <f t="array" ref="BP13">_xll.EQNXTDZ($A$1,$B13,BP$1)</f>
        <v>433.4</v>
      </c>
      <c r="BQ13" cm="1">
        <f t="array" ref="BQ13">_xll.EQNXTDZ($A$1,$B13,BQ$1)</f>
        <v>469</v>
      </c>
      <c r="BR13" cm="1">
        <f t="array" ref="BR13">_xll.EQNXTDZ($A$1,$B13,BR$1)</f>
        <v>518</v>
      </c>
      <c r="BS13" cm="1">
        <f t="array" ref="BS13">_xll.EQNXTDZ($A$1,$B13,BS$1)</f>
        <v>526.70000000000005</v>
      </c>
      <c r="BT13" cm="1">
        <f t="array" ref="BT13">_xll.EQNXTDZ($A$1,$B13,BT$1)</f>
        <v>498</v>
      </c>
      <c r="BU13" cm="1">
        <f t="array" ref="BU13">_xll.EQNXTDZ($A$1,$B13,BU$1)</f>
        <v>450</v>
      </c>
      <c r="BV13" cm="1">
        <f t="array" ref="BV13">_xll.EQNXTDZ($A$1,$B13,BV$1)</f>
        <v>580.1</v>
      </c>
      <c r="BW13" cm="1">
        <f t="array" ref="BW13">_xll.EQNXTDZ($A$1,$B13,BW$1)</f>
        <v>518.95000000000005</v>
      </c>
      <c r="BX13" cm="1">
        <f t="array" ref="BX13">_xll.EQNXTDZ($A$1,$B13,BX$1)</f>
        <v>498.9</v>
      </c>
      <c r="BY13" cm="1">
        <f t="array" ref="BY13">_xll.EQNXTDZ($A$1,$B13,BY$1)</f>
        <v>489.95</v>
      </c>
      <c r="BZ13" cm="1">
        <f t="array" ref="BZ13">_xll.EQNXTDZ($A$1,$B13,BZ$1)</f>
        <v>500</v>
      </c>
      <c r="CA13" cm="1">
        <f t="array" ref="CA13">_xll.EQNXTDZ($A$1,$B13,CA$1)</f>
        <v>410</v>
      </c>
      <c r="CB13" cm="1">
        <f t="array" ref="CB13">_xll.EQNXTDZ($A$1,$B13,CB$1)</f>
        <v>367</v>
      </c>
      <c r="CC13" cm="1">
        <f t="array" ref="CC13">_xll.EQNXTDZ($A$1,$B13,CC$1)</f>
        <v>390</v>
      </c>
      <c r="CD13" cm="1">
        <f t="array" ref="CD13">_xll.EQNXTDZ($A$1,$B13,CD$1)</f>
        <v>394</v>
      </c>
      <c r="CE13" cm="1">
        <f t="array" ref="CE13">_xll.EQNXTDZ($A$1,$B13,CE$1)</f>
        <v>385</v>
      </c>
      <c r="CF13" cm="1">
        <f t="array" ref="CF13">_xll.EQNXTDZ($A$1,$B13,CF$1)</f>
        <v>405.45</v>
      </c>
      <c r="CG13" cm="1">
        <f t="array" ref="CG13">_xll.EQNXTDZ($A$1,$B13,CG$1)</f>
        <v>466.2</v>
      </c>
      <c r="CH13" cm="1">
        <f t="array" ref="CH13">_xll.EQNXTDZ($A$1,$B13,CH$1)</f>
        <v>465</v>
      </c>
      <c r="CI13" cm="1">
        <f t="array" ref="CI13">_xll.EQNXTDZ($A$1,$B13,CI$1)</f>
        <v>527.4</v>
      </c>
      <c r="CJ13" cm="1">
        <f t="array" ref="CJ13">_xll.EQNXTDZ($A$1,$B13,CJ$1)</f>
        <v>552.29999999999995</v>
      </c>
      <c r="CK13" cm="1">
        <f t="array" ref="CK13">_xll.EQNXTDZ($A$1,$B13,CK$1)</f>
        <v>484.6</v>
      </c>
      <c r="CL13" cm="1">
        <f t="array" ref="CL13">_xll.EQNXTDZ($A$1,$B13,CL$1)</f>
        <v>495.6</v>
      </c>
      <c r="CM13" cm="1">
        <f t="array" ref="CM13">_xll.EQNXTDZ($A$1,$B13,CM$1)</f>
        <v>561.15</v>
      </c>
      <c r="CN13" cm="1">
        <f t="array" ref="CN13">_xll.EQNXTDZ($A$1,$B13,CN$1)</f>
        <v>548.5</v>
      </c>
      <c r="CO13" cm="1">
        <f t="array" ref="CO13">_xll.EQNXTDZ($A$1,$B13,CO$1)</f>
        <v>499.2</v>
      </c>
      <c r="CP13" cm="1">
        <f t="array" ref="CP13">_xll.EQNXTDZ($A$1,$B13,CP$1)</f>
        <v>495</v>
      </c>
      <c r="CQ13" cm="1">
        <f t="array" ref="CQ13">_xll.EQNXTDZ($A$1,$B13,CQ$1)</f>
        <v>524</v>
      </c>
      <c r="CR13" cm="1">
        <f t="array" ref="CR13">_xll.EQNXTDZ($A$1,$B13,CR$1)</f>
        <v>489</v>
      </c>
      <c r="CS13" cm="1">
        <f t="array" ref="CS13">_xll.EQNXTDZ($A$1,$B13,CS$1)</f>
        <v>322</v>
      </c>
      <c r="CT13" cm="1">
        <f t="array" ref="CT13">_xll.EQNXTDZ($A$1,$B13,CT$1)</f>
        <v>359.55</v>
      </c>
      <c r="CU13" cm="1">
        <f t="array" ref="CU13">_xll.EQNXTDZ($A$1,$B13,CU$1)</f>
        <v>338.2</v>
      </c>
      <c r="CV13" cm="1">
        <f t="array" ref="CV13">_xll.EQNXTDZ($A$1,$B13,CV$1)</f>
        <v>388</v>
      </c>
      <c r="CW13" cm="1">
        <f t="array" ref="CW13">_xll.EQNXTDZ($A$1,$B13,CW$1)</f>
        <v>409.95</v>
      </c>
      <c r="CX13" cm="1">
        <f t="array" ref="CX13">_xll.EQNXTDZ($A$1,$B13,CX$1)</f>
        <v>420.05</v>
      </c>
      <c r="CY13" cm="1">
        <f t="array" ref="CY13">_xll.EQNXTDZ($A$1,$B13,CY$1)</f>
        <v>409.75</v>
      </c>
      <c r="CZ13" cm="1">
        <f t="array" ref="CZ13">_xll.EQNXTDZ($A$1,$B13,CZ$1)</f>
        <v>391.1</v>
      </c>
      <c r="DA13" cm="1">
        <f t="array" ref="DA13">_xll.EQNXTDZ($A$1,$B13,DA$1)</f>
        <v>414.25</v>
      </c>
      <c r="DB13" cm="1">
        <f t="array" ref="DB13">_xll.EQNXTDZ($A$1,$B13,DB$1)</f>
        <v>414.65</v>
      </c>
      <c r="DC13" cm="1">
        <f t="array" ref="DC13">_xll.EQNXTDZ($A$1,$B13,DC$1)</f>
        <v>418.75</v>
      </c>
      <c r="DD13" cm="1">
        <f t="array" ref="DD13">_xll.EQNXTDZ($A$1,$B13,DD$1)</f>
        <v>480</v>
      </c>
      <c r="DE13" cm="1">
        <f t="array" ref="DE13">_xll.EQNXTDZ($A$1,$B13,DE$1)</f>
        <v>468</v>
      </c>
      <c r="DF13" cm="1">
        <f t="array" ref="DF13">_xll.EQNXTDZ($A$1,$B13,DF$1)</f>
        <v>415.95</v>
      </c>
      <c r="DG13" cm="1">
        <f t="array" ref="DG13">_xll.EQNXTDZ($A$1,$B13,DG$1)</f>
        <v>404</v>
      </c>
      <c r="DH13" cm="1">
        <f t="array" ref="DH13">_xll.EQNXTDZ($A$1,$B13,DH$1)</f>
        <v>426.2</v>
      </c>
      <c r="DI13" cm="1">
        <f t="array" ref="DI13">_xll.EQNXTDZ($A$1,$B13,DI$1)</f>
        <v>464.75</v>
      </c>
      <c r="DJ13" cm="1">
        <f t="array" ref="DJ13">_xll.EQNXTDZ($A$1,$B13,DJ$1)</f>
        <v>421.5</v>
      </c>
      <c r="DK13" cm="1">
        <f t="array" ref="DK13">_xll.EQNXTDZ($A$1,$B13,DK$1)</f>
        <v>481.6</v>
      </c>
      <c r="DL13" cm="1">
        <f t="array" ref="DL13">_xll.EQNXTDZ($A$1,$B13,DL$1)</f>
        <v>521</v>
      </c>
      <c r="DM13" cm="1">
        <f t="array" ref="DM13">_xll.EQNXTDZ($A$1,$B13,DM$1)</f>
        <v>480.95</v>
      </c>
      <c r="DN13" cm="1">
        <f t="array" ref="DN13">_xll.EQNXTDZ($A$1,$B13,DN$1)</f>
        <v>492</v>
      </c>
      <c r="DO13" cm="1">
        <f t="array" ref="DO13">_xll.EQNXTDZ($A$1,$B13,DO$1)</f>
        <v>619</v>
      </c>
      <c r="DP13" cm="1">
        <f t="array" ref="DP13">_xll.EQNXTDZ($A$1,$B13,DP$1)</f>
        <v>488</v>
      </c>
      <c r="DQ13" cm="1">
        <f t="array" ref="DQ13">_xll.EQNXTDZ($A$1,$B13,DQ$1)</f>
        <v>541.04999999999995</v>
      </c>
      <c r="DR13" cm="1">
        <f t="array" ref="DR13">_xll.EQNXTDZ($A$1,$B13,DR$1)</f>
        <v>518.29999999999995</v>
      </c>
      <c r="DS13" cm="1">
        <f t="array" ref="DS13">_xll.EQNXTDZ($A$1,$B13,DS$1)</f>
        <v>513.25</v>
      </c>
      <c r="DT13" cm="1">
        <f t="array" ref="DT13">_xll.EQNXTDZ($A$1,$B13,DT$1)</f>
        <v>554</v>
      </c>
      <c r="DU13" cm="1">
        <f t="array" ref="DU13">_xll.EQNXTDZ($A$1,$B13,DU$1)</f>
        <v>616.4</v>
      </c>
      <c r="DV13" cm="1">
        <f t="array" ref="DV13">_xll.EQNXTDZ($A$1,$B13,DV$1)</f>
        <v>603.9</v>
      </c>
      <c r="DW13" cm="1">
        <f t="array" ref="DW13">_xll.EQNXTDZ($A$1,$B13,DW$1)</f>
        <v>629.4</v>
      </c>
      <c r="DX13" cm="1">
        <f t="array" ref="DX13">_xll.EQNXTDZ($A$1,$B13,DX$1)</f>
        <v>599.15</v>
      </c>
      <c r="DY13" cm="1">
        <f t="array" ref="DY13">_xll.EQNXTDZ($A$1,$B13,DY$1)</f>
        <v>649.9</v>
      </c>
      <c r="DZ13" cm="1">
        <f t="array" ref="DZ13">_xll.EQNXTDZ($A$1,$B13,DZ$1)</f>
        <v>714.35</v>
      </c>
      <c r="EA13" cm="1">
        <f t="array" ref="EA13">_xll.EQNXTDZ($A$1,$B13,EA$1)</f>
        <v>711.7</v>
      </c>
      <c r="EB13" cm="1">
        <f t="array" ref="EB13">_xll.EQNXTDZ($A$1,$B13,EB$1)</f>
        <v>670.55</v>
      </c>
      <c r="EC13" cm="1">
        <f t="array" ref="EC13">_xll.EQNXTDZ($A$1,$B13,EC$1)</f>
        <v>687.95</v>
      </c>
      <c r="ED13" cm="1">
        <f t="array" ref="ED13">_xll.EQNXTDZ($A$1,$B13,ED$1)</f>
        <v>692.25</v>
      </c>
      <c r="EE13" cm="1">
        <f t="array" ref="EE13">_xll.EQNXTDZ($A$1,$B13,EE$1)</f>
        <v>722.9</v>
      </c>
      <c r="EF13" cm="1">
        <f t="array" ref="EF13">_xll.EQNXTDZ($A$1,$B13,EF$1)</f>
        <v>711.9</v>
      </c>
      <c r="EG13" cm="1">
        <f t="array" ref="EG13">_xll.EQNXTDZ($A$1,$B13,EG$1)</f>
        <v>802.2</v>
      </c>
      <c r="EH13" cm="1">
        <f t="array" ref="EH13">_xll.EQNXTDZ($A$1,$B13,EH$1)</f>
        <v>829.45</v>
      </c>
      <c r="EI13" cm="1">
        <f t="array" ref="EI13">_xll.EQNXTDZ($A$1,$B13,EI$1)</f>
        <v>804.35</v>
      </c>
      <c r="EJ13" cm="1">
        <f t="array" ref="EJ13">_xll.EQNXTDZ($A$1,$B13,EJ$1)</f>
        <v>745.55</v>
      </c>
      <c r="EK13" cm="1">
        <f t="array" ref="EK13">_xll.EQNXTDZ($A$1,$B13,EK$1)</f>
        <v>776.9</v>
      </c>
      <c r="EL13" cm="1">
        <f t="array" ref="EL13">_xll.EQNXTDZ($A$1,$B13,EL$1)</f>
        <v>766.6</v>
      </c>
      <c r="EM13" cm="1">
        <f t="array" ref="EM13">_xll.EQNXTDZ($A$1,$B13,EM$1)</f>
        <v>750</v>
      </c>
      <c r="EN13" cm="1">
        <f t="array" ref="EN13">_xll.EQNXTDZ($A$1,$B13,EN$1)</f>
        <v>709.95</v>
      </c>
      <c r="EO13" cm="1">
        <f t="array" ref="EO13">_xll.EQNXTDZ($A$1,$B13,EO$1)</f>
        <v>687.35</v>
      </c>
      <c r="EP13" cm="1">
        <f t="array" ref="EP13">_xll.EQNXTDZ($A$1,$B13,EP$1)</f>
        <v>684.55</v>
      </c>
      <c r="EQ13" cm="1">
        <f t="array" ref="EQ13">_xll.EQNXTDZ($A$1,$B13,EQ$1)</f>
        <v>714.95</v>
      </c>
      <c r="ER13" cm="1">
        <f t="array" ref="ER13">_xll.EQNXTDZ($A$1,$B13,ER$1)</f>
        <v>689.55</v>
      </c>
      <c r="ES13" cm="1">
        <f t="array" ref="ES13">_xll.EQNXTDZ($A$1,$B13,ES$1)</f>
        <v>682.7</v>
      </c>
      <c r="ET13" cm="1">
        <f t="array" ref="ET13">_xll.EQNXTDZ($A$1,$B13,ET$1)</f>
        <v>689.95</v>
      </c>
      <c r="EU13" cm="1">
        <f t="array" ref="EU13">_xll.EQNXTDZ($A$1,$B13,EU$1)</f>
        <v>653.9</v>
      </c>
      <c r="EV13" cm="1">
        <f t="array" ref="EV13">_xll.EQNXTDZ($A$1,$B13,EV$1)</f>
        <v>615</v>
      </c>
      <c r="EW13" cm="1">
        <f t="array" ref="EW13">_xll.EQNXTDZ($A$1,$B13,EW$1)</f>
        <v>676.95</v>
      </c>
      <c r="EX13" cm="1">
        <f t="array" ref="EX13">_xll.EQNXTDZ($A$1,$B13,EX$1)</f>
        <v>664.95</v>
      </c>
      <c r="EY13" cm="1">
        <f t="array" ref="EY13">_xll.EQNXTDZ($A$1,$B13,EY$1)</f>
        <v>639</v>
      </c>
      <c r="EZ13" cm="1">
        <f t="array" ref="EZ13">_xll.EQNXTDZ($A$1,$B13,EZ$1)</f>
        <v>622</v>
      </c>
      <c r="FA13" cm="1">
        <f t="array" ref="FA13">_xll.EQNXTDZ($A$1,$B13,FA$1)</f>
        <v>634.9</v>
      </c>
      <c r="FB13" cm="1">
        <f t="array" ref="FB13">_xll.EQNXTDZ($A$1,$B13,FB$1)</f>
        <v>639.54999999999995</v>
      </c>
      <c r="FC13" cm="1">
        <f t="array" ref="FC13">_xll.EQNXTDZ($A$1,$B13,FC$1)</f>
        <v>636.35</v>
      </c>
      <c r="FD13" cm="1">
        <f t="array" ref="FD13">_xll.EQNXTDZ($A$1,$B13,FD$1)</f>
        <v>752.35</v>
      </c>
      <c r="FE13" cm="1">
        <f t="array" ref="FE13">_xll.EQNXTDZ($A$1,$B13,FE$1)</f>
        <v>747</v>
      </c>
      <c r="FF13" cm="1">
        <f t="array" ref="FF13">_xll.EQNXTDZ($A$1,$B13,FF$1)</f>
        <v>677.3</v>
      </c>
      <c r="FG13" cm="1">
        <f t="array" ref="FG13">_xll.EQNXTDZ($A$1,$B13,FG$1)</f>
        <v>750.15</v>
      </c>
      <c r="FH13" cm="1">
        <f t="array" ref="FH13">_xll.EQNXTDZ($A$1,$B13,FH$1)</f>
        <v>915.05</v>
      </c>
      <c r="FI13" cm="1">
        <f t="array" ref="FI13">_xll.EQNXTDZ($A$1,$B13,FI$1)</f>
        <v>908</v>
      </c>
      <c r="FJ13" cm="1">
        <f t="array" ref="FJ13">_xll.EQNXTDZ($A$1,$B13,FJ$1)</f>
        <v>880.85</v>
      </c>
      <c r="FK13" cm="1">
        <f t="array" ref="FK13">_xll.EQNXTDZ($A$1,$B13,FK$1)</f>
        <v>765.05</v>
      </c>
      <c r="FL13" cm="1">
        <f t="array" ref="FL13">_xll.EQNXTDZ($A$1,$B13,FL$1)</f>
        <v>711</v>
      </c>
      <c r="FM13" cm="1">
        <f t="array" ref="FM13">_xll.EQNXTDZ($A$1,$B13,FM$1)</f>
        <v>570.4</v>
      </c>
      <c r="FN13" cm="1">
        <f t="array" ref="FN13">_xll.EQNXTDZ($A$1,$B13,FN$1)</f>
        <v>795</v>
      </c>
      <c r="FO13" cm="1">
        <f t="array" ref="FO13">_xll.EQNXTDZ($A$1,$B13,FO$1)</f>
        <v>851.45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226</v>
      </c>
      <c r="BK14" s="116" cm="1">
        <f t="array" ref="BK14">_xll.EQNXTDZ($A$1,$B14,BK$1)</f>
        <v>316.75</v>
      </c>
      <c r="BL14" s="116" cm="1">
        <f t="array" ref="BL14">_xll.EQNXTDZ($A$1,$B14,BL$1)</f>
        <v>314</v>
      </c>
      <c r="BM14" s="116" cm="1">
        <f t="array" ref="BM14">_xll.EQNXTDZ($A$1,$B14,BM$1)</f>
        <v>349.4</v>
      </c>
      <c r="BN14" s="116" cm="1">
        <f t="array" ref="BN14">_xll.EQNXTDZ($A$1,$B14,BN$1)</f>
        <v>372.5</v>
      </c>
      <c r="BO14" s="116" cm="1">
        <f t="array" ref="BO14">_xll.EQNXTDZ($A$1,$B14,BO$1)</f>
        <v>465.75</v>
      </c>
      <c r="BP14" s="116" cm="1">
        <f t="array" ref="BP14">_xll.EQNXTDZ($A$1,$B14,BP$1)</f>
        <v>485.2</v>
      </c>
      <c r="BQ14" s="116" cm="1">
        <f t="array" ref="BQ14">_xll.EQNXTDZ($A$1,$B14,BQ$1)</f>
        <v>545.4</v>
      </c>
      <c r="BR14" s="116" cm="1">
        <f t="array" ref="BR14">_xll.EQNXTDZ($A$1,$B14,BR$1)</f>
        <v>594.75</v>
      </c>
      <c r="BS14" s="116" cm="1">
        <f t="array" ref="BS14">_xll.EQNXTDZ($A$1,$B14,BS$1)</f>
        <v>540</v>
      </c>
      <c r="BT14" s="116" cm="1">
        <f t="array" ref="BT14">_xll.EQNXTDZ($A$1,$B14,BT$1)</f>
        <v>507</v>
      </c>
      <c r="BU14" s="116" cm="1">
        <f t="array" ref="BU14">_xll.EQNXTDZ($A$1,$B14,BU$1)</f>
        <v>596</v>
      </c>
      <c r="BV14" s="116" cm="1">
        <f t="array" ref="BV14">_xll.EQNXTDZ($A$1,$B14,BV$1)</f>
        <v>585</v>
      </c>
      <c r="BW14" s="116" cm="1">
        <f t="array" ref="BW14">_xll.EQNXTDZ($A$1,$B14,BW$1)</f>
        <v>519</v>
      </c>
      <c r="BX14" s="116" cm="1">
        <f t="array" ref="BX14">_xll.EQNXTDZ($A$1,$B14,BX$1)</f>
        <v>499</v>
      </c>
      <c r="BY14" s="116" cm="1">
        <f t="array" ref="BY14">_xll.EQNXTDZ($A$1,$B14,BY$1)</f>
        <v>501</v>
      </c>
      <c r="BZ14" s="116" cm="1">
        <f t="array" ref="BZ14">_xll.EQNXTDZ($A$1,$B14,BZ$1)</f>
        <v>509.7</v>
      </c>
      <c r="CA14" s="116" cm="1">
        <f t="array" ref="CA14">_xll.EQNXTDZ($A$1,$B14,CA$1)</f>
        <v>449.8</v>
      </c>
      <c r="CB14" s="116" cm="1">
        <f t="array" ref="CB14">_xll.EQNXTDZ($A$1,$B14,CB$1)</f>
        <v>403.35</v>
      </c>
      <c r="CC14" s="116" cm="1">
        <f t="array" ref="CC14">_xll.EQNXTDZ($A$1,$B14,CC$1)</f>
        <v>395</v>
      </c>
      <c r="CD14" s="116" cm="1">
        <f t="array" ref="CD14">_xll.EQNXTDZ($A$1,$B14,CD$1)</f>
        <v>446.8</v>
      </c>
      <c r="CE14" s="116" cm="1">
        <f t="array" ref="CE14">_xll.EQNXTDZ($A$1,$B14,CE$1)</f>
        <v>408.8</v>
      </c>
      <c r="CF14" s="116" cm="1">
        <f t="array" ref="CF14">_xll.EQNXTDZ($A$1,$B14,CF$1)</f>
        <v>489.9</v>
      </c>
      <c r="CG14" s="116" cm="1">
        <f t="array" ref="CG14">_xll.EQNXTDZ($A$1,$B14,CG$1)</f>
        <v>498.25</v>
      </c>
      <c r="CH14" s="116" cm="1">
        <f t="array" ref="CH14">_xll.EQNXTDZ($A$1,$B14,CH$1)</f>
        <v>525.5</v>
      </c>
      <c r="CI14" s="116" cm="1">
        <f t="array" ref="CI14">_xll.EQNXTDZ($A$1,$B14,CI$1)</f>
        <v>617</v>
      </c>
      <c r="CJ14" s="116" cm="1">
        <f t="array" ref="CJ14">_xll.EQNXTDZ($A$1,$B14,CJ$1)</f>
        <v>558.1</v>
      </c>
      <c r="CK14" s="116" cm="1">
        <f t="array" ref="CK14">_xll.EQNXTDZ($A$1,$B14,CK$1)</f>
        <v>527.70000000000005</v>
      </c>
      <c r="CL14" s="116" cm="1">
        <f t="array" ref="CL14">_xll.EQNXTDZ($A$1,$B14,CL$1)</f>
        <v>576.9</v>
      </c>
      <c r="CM14" s="116" cm="1">
        <f t="array" ref="CM14">_xll.EQNXTDZ($A$1,$B14,CM$1)</f>
        <v>576</v>
      </c>
      <c r="CN14" s="116" cm="1">
        <f t="array" ref="CN14">_xll.EQNXTDZ($A$1,$B14,CN$1)</f>
        <v>560</v>
      </c>
      <c r="CO14" s="116" cm="1">
        <f t="array" ref="CO14">_xll.EQNXTDZ($A$1,$B14,CO$1)</f>
        <v>533.95000000000005</v>
      </c>
      <c r="CP14" s="116" cm="1">
        <f t="array" ref="CP14">_xll.EQNXTDZ($A$1,$B14,CP$1)</f>
        <v>557.9</v>
      </c>
      <c r="CQ14" s="116" cm="1">
        <f t="array" ref="CQ14">_xll.EQNXTDZ($A$1,$B14,CQ$1)</f>
        <v>535</v>
      </c>
      <c r="CR14" s="116" cm="1">
        <f t="array" ref="CR14">_xll.EQNXTDZ($A$1,$B14,CR$1)</f>
        <v>502.1</v>
      </c>
      <c r="CS14" s="116" cm="1">
        <f t="array" ref="CS14">_xll.EQNXTDZ($A$1,$B14,CS$1)</f>
        <v>375</v>
      </c>
      <c r="CT14" s="116" cm="1">
        <f t="array" ref="CT14">_xll.EQNXTDZ($A$1,$B14,CT$1)</f>
        <v>362</v>
      </c>
      <c r="CU14" s="116" cm="1">
        <f t="array" ref="CU14">_xll.EQNXTDZ($A$1,$B14,CU$1)</f>
        <v>405</v>
      </c>
      <c r="CV14" s="116" cm="1">
        <f t="array" ref="CV14">_xll.EQNXTDZ($A$1,$B14,CV$1)</f>
        <v>444.8</v>
      </c>
      <c r="CW14" s="116" cm="1">
        <f t="array" ref="CW14">_xll.EQNXTDZ($A$1,$B14,CW$1)</f>
        <v>479.05</v>
      </c>
      <c r="CX14" s="116" cm="1">
        <f t="array" ref="CX14">_xll.EQNXTDZ($A$1,$B14,CX$1)</f>
        <v>452</v>
      </c>
      <c r="CY14" s="116" cm="1">
        <f t="array" ref="CY14">_xll.EQNXTDZ($A$1,$B14,CY$1)</f>
        <v>420</v>
      </c>
      <c r="CZ14" s="116" cm="1">
        <f t="array" ref="CZ14">_xll.EQNXTDZ($A$1,$B14,CZ$1)</f>
        <v>419.45</v>
      </c>
      <c r="DA14" s="116" cm="1">
        <f t="array" ref="DA14">_xll.EQNXTDZ($A$1,$B14,DA$1)</f>
        <v>429.45</v>
      </c>
      <c r="DB14" s="116" cm="1">
        <f t="array" ref="DB14">_xll.EQNXTDZ($A$1,$B14,DB$1)</f>
        <v>442.05</v>
      </c>
      <c r="DC14" s="116" cm="1">
        <f t="array" ref="DC14">_xll.EQNXTDZ($A$1,$B14,DC$1)</f>
        <v>506</v>
      </c>
      <c r="DD14" s="116" cm="1">
        <f t="array" ref="DD14">_xll.EQNXTDZ($A$1,$B14,DD$1)</f>
        <v>505</v>
      </c>
      <c r="DE14" s="116" cm="1">
        <f t="array" ref="DE14">_xll.EQNXTDZ($A$1,$B14,DE$1)</f>
        <v>468.1</v>
      </c>
      <c r="DF14" s="116" cm="1">
        <f t="array" ref="DF14">_xll.EQNXTDZ($A$1,$B14,DF$1)</f>
        <v>445.2</v>
      </c>
      <c r="DG14" s="116" cm="1">
        <f t="array" ref="DG14">_xll.EQNXTDZ($A$1,$B14,DG$1)</f>
        <v>475</v>
      </c>
      <c r="DH14" s="116" cm="1">
        <f t="array" ref="DH14">_xll.EQNXTDZ($A$1,$B14,DH$1)</f>
        <v>489.85</v>
      </c>
      <c r="DI14" s="116" cm="1">
        <f t="array" ref="DI14">_xll.EQNXTDZ($A$1,$B14,DI$1)</f>
        <v>474.35</v>
      </c>
      <c r="DJ14" s="116" cm="1">
        <f t="array" ref="DJ14">_xll.EQNXTDZ($A$1,$B14,DJ$1)</f>
        <v>517.25</v>
      </c>
      <c r="DK14" s="116" cm="1">
        <f t="array" ref="DK14">_xll.EQNXTDZ($A$1,$B14,DK$1)</f>
        <v>552.20000000000005</v>
      </c>
      <c r="DL14" s="116" cm="1">
        <f t="array" ref="DL14">_xll.EQNXTDZ($A$1,$B14,DL$1)</f>
        <v>544</v>
      </c>
      <c r="DM14" s="116" cm="1">
        <f t="array" ref="DM14">_xll.EQNXTDZ($A$1,$B14,DM$1)</f>
        <v>537.5</v>
      </c>
      <c r="DN14" s="116" cm="1">
        <f t="array" ref="DN14">_xll.EQNXTDZ($A$1,$B14,DN$1)</f>
        <v>627.95000000000005</v>
      </c>
      <c r="DO14" s="116" cm="1">
        <f t="array" ref="DO14">_xll.EQNXTDZ($A$1,$B14,DO$1)</f>
        <v>639</v>
      </c>
      <c r="DP14" s="116" cm="1">
        <f t="array" ref="DP14">_xll.EQNXTDZ($A$1,$B14,DP$1)</f>
        <v>576.79999999999995</v>
      </c>
      <c r="DQ14" s="116" cm="1">
        <f t="array" ref="DQ14">_xll.EQNXTDZ($A$1,$B14,DQ$1)</f>
        <v>588.20000000000005</v>
      </c>
      <c r="DR14" s="116" cm="1">
        <f t="array" ref="DR14">_xll.EQNXTDZ($A$1,$B14,DR$1)</f>
        <v>564</v>
      </c>
      <c r="DS14" s="116" cm="1">
        <f t="array" ref="DS14">_xll.EQNXTDZ($A$1,$B14,DS$1)</f>
        <v>574.95000000000005</v>
      </c>
      <c r="DT14" s="116" cm="1">
        <f t="array" ref="DT14">_xll.EQNXTDZ($A$1,$B14,DT$1)</f>
        <v>672</v>
      </c>
      <c r="DU14" s="116" cm="1">
        <f t="array" ref="DU14">_xll.EQNXTDZ($A$1,$B14,DU$1)</f>
        <v>644.4</v>
      </c>
      <c r="DV14" s="116" cm="1">
        <f t="array" ref="DV14">_xll.EQNXTDZ($A$1,$B14,DV$1)</f>
        <v>683.9</v>
      </c>
      <c r="DW14" s="116" cm="1">
        <f t="array" ref="DW14">_xll.EQNXTDZ($A$1,$B14,DW$1)</f>
        <v>673.35</v>
      </c>
      <c r="DX14" s="116" cm="1">
        <f t="array" ref="DX14">_xll.EQNXTDZ($A$1,$B14,DX$1)</f>
        <v>647.54999999999995</v>
      </c>
      <c r="DY14" s="116" cm="1">
        <f t="array" ref="DY14">_xll.EQNXTDZ($A$1,$B14,DY$1)</f>
        <v>746.5</v>
      </c>
      <c r="DZ14" s="116" cm="1">
        <f t="array" ref="DZ14">_xll.EQNXTDZ($A$1,$B14,DZ$1)</f>
        <v>775.55</v>
      </c>
      <c r="EA14" s="116" cm="1">
        <f t="array" ref="EA14">_xll.EQNXTDZ($A$1,$B14,EA$1)</f>
        <v>718.5</v>
      </c>
      <c r="EB14" s="116" cm="1">
        <f t="array" ref="EB14">_xll.EQNXTDZ($A$1,$B14,EB$1)</f>
        <v>715.45</v>
      </c>
      <c r="EC14" s="116" cm="1">
        <f t="array" ref="EC14">_xll.EQNXTDZ($A$1,$B14,EC$1)</f>
        <v>702.55</v>
      </c>
      <c r="ED14" s="116" cm="1">
        <f t="array" ref="ED14">_xll.EQNXTDZ($A$1,$B14,ED$1)</f>
        <v>759.15</v>
      </c>
      <c r="EE14" s="116" cm="1">
        <f t="array" ref="EE14">_xll.EQNXTDZ($A$1,$B14,EE$1)</f>
        <v>798</v>
      </c>
      <c r="EF14" s="116" cm="1">
        <f t="array" ref="EF14">_xll.EQNXTDZ($A$1,$B14,EF$1)</f>
        <v>801</v>
      </c>
      <c r="EG14" s="116" cm="1">
        <f t="array" ref="EG14">_xll.EQNXTDZ($A$1,$B14,EG$1)</f>
        <v>846</v>
      </c>
      <c r="EH14" s="116" cm="1">
        <f t="array" ref="EH14">_xll.EQNXTDZ($A$1,$B14,EH$1)</f>
        <v>839.65</v>
      </c>
      <c r="EI14" s="116" cm="1">
        <f t="array" ref="EI14">_xll.EQNXTDZ($A$1,$B14,EI$1)</f>
        <v>804.35</v>
      </c>
      <c r="EJ14" s="116" cm="1">
        <f t="array" ref="EJ14">_xll.EQNXTDZ($A$1,$B14,EJ$1)</f>
        <v>815</v>
      </c>
      <c r="EK14" s="116" cm="1">
        <f t="array" ref="EK14">_xll.EQNXTDZ($A$1,$B14,EK$1)</f>
        <v>794.95</v>
      </c>
      <c r="EL14" s="116" cm="1">
        <f t="array" ref="EL14">_xll.EQNXTDZ($A$1,$B14,EL$1)</f>
        <v>788.65</v>
      </c>
      <c r="EM14" s="116" cm="1">
        <f t="array" ref="EM14">_xll.EQNXTDZ($A$1,$B14,EM$1)</f>
        <v>809.95</v>
      </c>
      <c r="EN14" s="116" cm="1">
        <f t="array" ref="EN14">_xll.EQNXTDZ($A$1,$B14,EN$1)</f>
        <v>729.5</v>
      </c>
      <c r="EO14" s="116" cm="1">
        <f t="array" ref="EO14">_xll.EQNXTDZ($A$1,$B14,EO$1)</f>
        <v>744</v>
      </c>
      <c r="EP14" s="116" cm="1">
        <f t="array" ref="EP14">_xll.EQNXTDZ($A$1,$B14,EP$1)</f>
        <v>700.65</v>
      </c>
      <c r="EQ14" s="116" cm="1">
        <f t="array" ref="EQ14">_xll.EQNXTDZ($A$1,$B14,EQ$1)</f>
        <v>714.95</v>
      </c>
      <c r="ER14" s="116" cm="1">
        <f t="array" ref="ER14">_xll.EQNXTDZ($A$1,$B14,ER$1)</f>
        <v>715</v>
      </c>
      <c r="ES14" s="116" cm="1">
        <f t="array" ref="ES14">_xll.EQNXTDZ($A$1,$B14,ES$1)</f>
        <v>745</v>
      </c>
      <c r="ET14" s="116" cm="1">
        <f t="array" ref="ET14">_xll.EQNXTDZ($A$1,$B14,ET$1)</f>
        <v>720.65</v>
      </c>
      <c r="EU14" s="116" cm="1">
        <f t="array" ref="EU14">_xll.EQNXTDZ($A$1,$B14,EU$1)</f>
        <v>673</v>
      </c>
      <c r="EV14" s="116" cm="1">
        <f t="array" ref="EV14">_xll.EQNXTDZ($A$1,$B14,EV$1)</f>
        <v>734.75</v>
      </c>
      <c r="EW14" s="116" cm="1">
        <f t="array" ref="EW14">_xll.EQNXTDZ($A$1,$B14,EW$1)</f>
        <v>699.8</v>
      </c>
      <c r="EX14" s="116" cm="1">
        <f t="array" ref="EX14">_xll.EQNXTDZ($A$1,$B14,EX$1)</f>
        <v>693.25</v>
      </c>
      <c r="EY14" s="116" cm="1">
        <f t="array" ref="EY14">_xll.EQNXTDZ($A$1,$B14,EY$1)</f>
        <v>648.79999999999995</v>
      </c>
      <c r="EZ14" s="116" cm="1">
        <f t="array" ref="EZ14">_xll.EQNXTDZ($A$1,$B14,EZ$1)</f>
        <v>641.85</v>
      </c>
      <c r="FA14" s="116" cm="1">
        <f t="array" ref="FA14">_xll.EQNXTDZ($A$1,$B14,FA$1)</f>
        <v>657</v>
      </c>
      <c r="FB14" s="116" cm="1">
        <f t="array" ref="FB14">_xll.EQNXTDZ($A$1,$B14,FB$1)</f>
        <v>677.05</v>
      </c>
      <c r="FC14" s="116" cm="1">
        <f t="array" ref="FC14">_xll.EQNXTDZ($A$1,$B14,FC$1)</f>
        <v>774.9</v>
      </c>
      <c r="FD14" s="116" cm="1">
        <f t="array" ref="FD14">_xll.EQNXTDZ($A$1,$B14,FD$1)</f>
        <v>842.5</v>
      </c>
      <c r="FE14" s="116" cm="1">
        <f t="array" ref="FE14">_xll.EQNXTDZ($A$1,$B14,FE$1)</f>
        <v>765</v>
      </c>
      <c r="FF14" s="116" cm="1">
        <f t="array" ref="FF14">_xll.EQNXTDZ($A$1,$B14,FF$1)</f>
        <v>809.05</v>
      </c>
      <c r="FG14" s="116" cm="1">
        <f t="array" ref="FG14">_xll.EQNXTDZ($A$1,$B14,FG$1)</f>
        <v>950</v>
      </c>
      <c r="FH14" s="116" cm="1">
        <f t="array" ref="FH14">_xll.EQNXTDZ($A$1,$B14,FH$1)</f>
        <v>1030.8</v>
      </c>
      <c r="FI14" s="116" cm="1">
        <f t="array" ref="FI14">_xll.EQNXTDZ($A$1,$B14,FI$1)</f>
        <v>918.2</v>
      </c>
      <c r="FJ14" s="116" cm="1">
        <f t="array" ref="FJ14">_xll.EQNXTDZ($A$1,$B14,FJ$1)</f>
        <v>900</v>
      </c>
      <c r="FK14" s="116" cm="1">
        <f t="array" ref="FK14">_xll.EQNXTDZ($A$1,$B14,FK$1)</f>
        <v>825.05</v>
      </c>
      <c r="FL14" s="116" cm="1">
        <f t="array" ref="FL14">_xll.EQNXTDZ($A$1,$B14,FL$1)</f>
        <v>730</v>
      </c>
      <c r="FM14" s="116" cm="1">
        <f t="array" ref="FM14">_xll.EQNXTDZ($A$1,$B14,FM$1)</f>
        <v>831.15</v>
      </c>
      <c r="FN14" s="116" cm="1">
        <f t="array" ref="FN14">_xll.EQNXTDZ($A$1,$B14,FN$1)</f>
        <v>883.8</v>
      </c>
      <c r="FO14" s="116" cm="1">
        <f t="array" ref="FO14">_xll.EQNXTDZ($A$1,$B14,FO$1)</f>
        <v>957.75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316.75</v>
      </c>
      <c r="IJ14" s="116">
        <f>+MAX(BL14:BN14)</f>
        <v>372.5</v>
      </c>
      <c r="IK14" s="116">
        <f>+MAX(BO14:BQ14)</f>
        <v>545.4</v>
      </c>
      <c r="IL14" s="116">
        <f>+MAX(BR14:BT14)</f>
        <v>594.75</v>
      </c>
      <c r="IM14" s="116">
        <f>+MAX(BU14:BW14)</f>
        <v>596</v>
      </c>
      <c r="IN14" s="116">
        <f>+MAX(BX14:BZ14)</f>
        <v>509.7</v>
      </c>
      <c r="IO14" s="116">
        <f>+MAX(CA14:CC14)</f>
        <v>449.8</v>
      </c>
      <c r="IP14" s="116">
        <f>+MAX(CD14:CF14)</f>
        <v>489.9</v>
      </c>
      <c r="IQ14" s="116">
        <f>+MAX(CG14:CI14)</f>
        <v>617</v>
      </c>
      <c r="IR14" s="116">
        <f>+MAX(CJ14:CL14)</f>
        <v>576.9</v>
      </c>
      <c r="IS14" s="116">
        <f>+MAX(CM14:CO14)</f>
        <v>576</v>
      </c>
      <c r="IT14" s="116">
        <f>+MAX(CP14:CR14)</f>
        <v>557.9</v>
      </c>
      <c r="IU14" s="116">
        <f>+MAX(CS14:CU14)</f>
        <v>405</v>
      </c>
      <c r="IV14" s="116">
        <f>+MAX(CV14:CX14)</f>
        <v>479.05</v>
      </c>
      <c r="IW14" s="116">
        <f>+MAX(CY14:DA14)</f>
        <v>429.45</v>
      </c>
      <c r="IX14" s="116">
        <f>+MAX(DB14:DD14)</f>
        <v>506</v>
      </c>
      <c r="IY14" s="116">
        <f>+MAX(DE14:DG14)</f>
        <v>475</v>
      </c>
      <c r="IZ14" s="116">
        <f>+MAX(DH14:DJ14)</f>
        <v>517.25</v>
      </c>
      <c r="JA14" s="116">
        <f>+MAX(DK14:DM14)</f>
        <v>552.20000000000005</v>
      </c>
      <c r="JB14" s="116">
        <f>+MAX(DN14:DP14)</f>
        <v>639</v>
      </c>
      <c r="JC14" s="116">
        <f>+MAX(DQ14:DS14)</f>
        <v>588.20000000000005</v>
      </c>
      <c r="JD14" s="116">
        <f>+MAX(DT14:DV14)</f>
        <v>683.9</v>
      </c>
      <c r="JE14" s="116">
        <f>+MAX(DW14:DY14)</f>
        <v>746.5</v>
      </c>
      <c r="JF14" s="116">
        <f>+MAX(DZ14:EB14)</f>
        <v>775.55</v>
      </c>
      <c r="JG14" s="116">
        <f>+MAX(EC14:EE14)</f>
        <v>798</v>
      </c>
      <c r="JH14" s="116">
        <f>+MAX(EF14:EH14)</f>
        <v>846</v>
      </c>
      <c r="JI14" s="116">
        <f>+MAX(EI14:EK14)</f>
        <v>815</v>
      </c>
      <c r="JJ14" s="116">
        <f>+MAX(EL14:EN14)</f>
        <v>809.95</v>
      </c>
      <c r="JK14" s="116">
        <f>MAX(EO14:EQ14)</f>
        <v>744</v>
      </c>
      <c r="JL14" s="116">
        <f>MAX(ER14:ET14)</f>
        <v>745</v>
      </c>
      <c r="JM14" s="116">
        <f>MAX(EU14:EW14)</f>
        <v>734.75</v>
      </c>
      <c r="JN14" s="116">
        <f>MAX(EX14:EZ14)</f>
        <v>693.25</v>
      </c>
      <c r="JO14" s="116">
        <f>MAX(FA14:FC14)</f>
        <v>774.9</v>
      </c>
      <c r="JP14" s="116">
        <f>MAX(FD14:FF14)</f>
        <v>842.5</v>
      </c>
      <c r="JQ14" s="116">
        <f>MAX(FG14:FI14)</f>
        <v>1030.8</v>
      </c>
      <c r="JR14" s="116">
        <f>MAX(FJ14:FL14)</f>
        <v>900</v>
      </c>
      <c r="JS14" s="116">
        <f>MAX(FM14:FO14)</f>
        <v>957.75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189.05</v>
      </c>
      <c r="BK15" s="116" cm="1">
        <f t="array" ref="BK15">_xll.EQNXTDZ($A$1,$B15,BK$1)</f>
        <v>212</v>
      </c>
      <c r="BL15" s="116" cm="1">
        <f t="array" ref="BL15">_xll.EQNXTDZ($A$1,$B15,BL$1)</f>
        <v>271.3</v>
      </c>
      <c r="BM15" s="116" cm="1">
        <f t="array" ref="BM15">_xll.EQNXTDZ($A$1,$B15,BM$1)</f>
        <v>303</v>
      </c>
      <c r="BN15" s="116" cm="1">
        <f t="array" ref="BN15">_xll.EQNXTDZ($A$1,$B15,BN$1)</f>
        <v>325</v>
      </c>
      <c r="BO15" s="116" cm="1">
        <f t="array" ref="BO15">_xll.EQNXTDZ($A$1,$B15,BO$1)</f>
        <v>339</v>
      </c>
      <c r="BP15" s="116" cm="1">
        <f t="array" ref="BP15">_xll.EQNXTDZ($A$1,$B15,BP$1)</f>
        <v>393</v>
      </c>
      <c r="BQ15" s="116" cm="1">
        <f t="array" ref="BQ15">_xll.EQNXTDZ($A$1,$B15,BQ$1)</f>
        <v>461</v>
      </c>
      <c r="BR15" s="116" cm="1">
        <f t="array" ref="BR15">_xll.EQNXTDZ($A$1,$B15,BR$1)</f>
        <v>508</v>
      </c>
      <c r="BS15" s="116" cm="1">
        <f t="array" ref="BS15">_xll.EQNXTDZ($A$1,$B15,BS$1)</f>
        <v>455</v>
      </c>
      <c r="BT15" s="116" cm="1">
        <f t="array" ref="BT15">_xll.EQNXTDZ($A$1,$B15,BT$1)</f>
        <v>435</v>
      </c>
      <c r="BU15" s="116" cm="1">
        <f t="array" ref="BU15">_xll.EQNXTDZ($A$1,$B15,BU$1)</f>
        <v>450</v>
      </c>
      <c r="BV15" s="116" cm="1">
        <f t="array" ref="BV15">_xll.EQNXTDZ($A$1,$B15,BV$1)</f>
        <v>502.2</v>
      </c>
      <c r="BW15" s="116" cm="1">
        <f t="array" ref="BW15">_xll.EQNXTDZ($A$1,$B15,BW$1)</f>
        <v>456.2</v>
      </c>
      <c r="BX15" s="116" cm="1">
        <f t="array" ref="BX15">_xll.EQNXTDZ($A$1,$B15,BX$1)</f>
        <v>456</v>
      </c>
      <c r="BY15" s="116" cm="1">
        <f t="array" ref="BY15">_xll.EQNXTDZ($A$1,$B15,BY$1)</f>
        <v>450</v>
      </c>
      <c r="BZ15" s="116" cm="1">
        <f t="array" ref="BZ15">_xll.EQNXTDZ($A$1,$B15,BZ$1)</f>
        <v>405.1</v>
      </c>
      <c r="CA15" s="116" cm="1">
        <f t="array" ref="CA15">_xll.EQNXTDZ($A$1,$B15,CA$1)</f>
        <v>358.7</v>
      </c>
      <c r="CB15" s="116" cm="1">
        <f t="array" ref="CB15">_xll.EQNXTDZ($A$1,$B15,CB$1)</f>
        <v>359</v>
      </c>
      <c r="CC15" s="116" cm="1">
        <f t="array" ref="CC15">_xll.EQNXTDZ($A$1,$B15,CC$1)</f>
        <v>371</v>
      </c>
      <c r="CD15" s="116" cm="1">
        <f t="array" ref="CD15">_xll.EQNXTDZ($A$1,$B15,CD$1)</f>
        <v>379.65</v>
      </c>
      <c r="CE15" s="116" cm="1">
        <f t="array" ref="CE15">_xll.EQNXTDZ($A$1,$B15,CE$1)</f>
        <v>379.45</v>
      </c>
      <c r="CF15" s="116" cm="1">
        <f t="array" ref="CF15">_xll.EQNXTDZ($A$1,$B15,CF$1)</f>
        <v>402.55</v>
      </c>
      <c r="CG15" s="116" cm="1">
        <f t="array" ref="CG15">_xll.EQNXTDZ($A$1,$B15,CG$1)</f>
        <v>458</v>
      </c>
      <c r="CH15" s="116" cm="1">
        <f t="array" ref="CH15">_xll.EQNXTDZ($A$1,$B15,CH$1)</f>
        <v>433</v>
      </c>
      <c r="CI15" s="116" cm="1">
        <f t="array" ref="CI15">_xll.EQNXTDZ($A$1,$B15,CI$1)</f>
        <v>511.05</v>
      </c>
      <c r="CJ15" s="116" cm="1">
        <f t="array" ref="CJ15">_xll.EQNXTDZ($A$1,$B15,CJ$1)</f>
        <v>463</v>
      </c>
      <c r="CK15" s="116" cm="1">
        <f t="array" ref="CK15">_xll.EQNXTDZ($A$1,$B15,CK$1)</f>
        <v>463.4</v>
      </c>
      <c r="CL15" s="116" cm="1">
        <f t="array" ref="CL15">_xll.EQNXTDZ($A$1,$B15,CL$1)</f>
        <v>485</v>
      </c>
      <c r="CM15" s="116" cm="1">
        <f t="array" ref="CM15">_xll.EQNXTDZ($A$1,$B15,CM$1)</f>
        <v>513</v>
      </c>
      <c r="CN15" s="116" cm="1">
        <f t="array" ref="CN15">_xll.EQNXTDZ($A$1,$B15,CN$1)</f>
        <v>490.9</v>
      </c>
      <c r="CO15" s="116" cm="1">
        <f t="array" ref="CO15">_xll.EQNXTDZ($A$1,$B15,CO$1)</f>
        <v>469.65</v>
      </c>
      <c r="CP15" s="116" cm="1">
        <f t="array" ref="CP15">_xll.EQNXTDZ($A$1,$B15,CP$1)</f>
        <v>490.5</v>
      </c>
      <c r="CQ15" s="116" cm="1">
        <f t="array" ref="CQ15">_xll.EQNXTDZ($A$1,$B15,CQ$1)</f>
        <v>468</v>
      </c>
      <c r="CR15" s="116" cm="1">
        <f t="array" ref="CR15">_xll.EQNXTDZ($A$1,$B15,CR$1)</f>
        <v>233.8</v>
      </c>
      <c r="CS15" s="116" cm="1">
        <f t="array" ref="CS15">_xll.EQNXTDZ($A$1,$B15,CS$1)</f>
        <v>305</v>
      </c>
      <c r="CT15" s="116" cm="1">
        <f t="array" ref="CT15">_xll.EQNXTDZ($A$1,$B15,CT$1)</f>
        <v>305</v>
      </c>
      <c r="CU15" s="116" cm="1">
        <f t="array" ref="CU15">_xll.EQNXTDZ($A$1,$B15,CU$1)</f>
        <v>336.75</v>
      </c>
      <c r="CV15" s="116" cm="1">
        <f t="array" ref="CV15">_xll.EQNXTDZ($A$1,$B15,CV$1)</f>
        <v>381.45</v>
      </c>
      <c r="CW15" s="116" cm="1">
        <f t="array" ref="CW15">_xll.EQNXTDZ($A$1,$B15,CW$1)</f>
        <v>336.75</v>
      </c>
      <c r="CX15" s="116" cm="1">
        <f t="array" ref="CX15">_xll.EQNXTDZ($A$1,$B15,CX$1)</f>
        <v>383.25</v>
      </c>
      <c r="CY15" s="116" cm="1">
        <f t="array" ref="CY15">_xll.EQNXTDZ($A$1,$B15,CY$1)</f>
        <v>380</v>
      </c>
      <c r="CZ15" s="116" cm="1">
        <f t="array" ref="CZ15">_xll.EQNXTDZ($A$1,$B15,CZ$1)</f>
        <v>375</v>
      </c>
      <c r="DA15" s="116" cm="1">
        <f t="array" ref="DA15">_xll.EQNXTDZ($A$1,$B15,DA$1)</f>
        <v>393.75</v>
      </c>
      <c r="DB15" s="116" cm="1">
        <f t="array" ref="DB15">_xll.EQNXTDZ($A$1,$B15,DB$1)</f>
        <v>398</v>
      </c>
      <c r="DC15" s="116" cm="1">
        <f t="array" ref="DC15">_xll.EQNXTDZ($A$1,$B15,DC$1)</f>
        <v>412.3</v>
      </c>
      <c r="DD15" s="116" cm="1">
        <f t="array" ref="DD15">_xll.EQNXTDZ($A$1,$B15,DD$1)</f>
        <v>452.5</v>
      </c>
      <c r="DE15" s="116" cm="1">
        <f t="array" ref="DE15">_xll.EQNXTDZ($A$1,$B15,DE$1)</f>
        <v>401.3</v>
      </c>
      <c r="DF15" s="116" cm="1">
        <f t="array" ref="DF15">_xll.EQNXTDZ($A$1,$B15,DF$1)</f>
        <v>394</v>
      </c>
      <c r="DG15" s="116" cm="1">
        <f t="array" ref="DG15">_xll.EQNXTDZ($A$1,$B15,DG$1)</f>
        <v>397.55</v>
      </c>
      <c r="DH15" s="116" cm="1">
        <f t="array" ref="DH15">_xll.EQNXTDZ($A$1,$B15,DH$1)</f>
        <v>421</v>
      </c>
      <c r="DI15" s="116" cm="1">
        <f t="array" ref="DI15">_xll.EQNXTDZ($A$1,$B15,DI$1)</f>
        <v>406.4</v>
      </c>
      <c r="DJ15" s="116" cm="1">
        <f t="array" ref="DJ15">_xll.EQNXTDZ($A$1,$B15,DJ$1)</f>
        <v>416.2</v>
      </c>
      <c r="DK15" s="116" cm="1">
        <f t="array" ref="DK15">_xll.EQNXTDZ($A$1,$B15,DK$1)</f>
        <v>468.85</v>
      </c>
      <c r="DL15" s="116" cm="1">
        <f t="array" ref="DL15">_xll.EQNXTDZ($A$1,$B15,DL$1)</f>
        <v>464.2</v>
      </c>
      <c r="DM15" s="116" cm="1">
        <f t="array" ref="DM15">_xll.EQNXTDZ($A$1,$B15,DM$1)</f>
        <v>446.65</v>
      </c>
      <c r="DN15" s="116" cm="1">
        <f t="array" ref="DN15">_xll.EQNXTDZ($A$1,$B15,DN$1)</f>
        <v>480.85</v>
      </c>
      <c r="DO15" s="116" cm="1">
        <f t="array" ref="DO15">_xll.EQNXTDZ($A$1,$B15,DO$1)</f>
        <v>462</v>
      </c>
      <c r="DP15" s="116" cm="1">
        <f t="array" ref="DP15">_xll.EQNXTDZ($A$1,$B15,DP$1)</f>
        <v>472.2</v>
      </c>
      <c r="DQ15" s="116" cm="1">
        <f t="array" ref="DQ15">_xll.EQNXTDZ($A$1,$B15,DQ$1)</f>
        <v>515</v>
      </c>
      <c r="DR15" s="116" cm="1">
        <f t="array" ref="DR15">_xll.EQNXTDZ($A$1,$B15,DR$1)</f>
        <v>460</v>
      </c>
      <c r="DS15" s="116" cm="1">
        <f t="array" ref="DS15">_xll.EQNXTDZ($A$1,$B15,DS$1)</f>
        <v>458.9</v>
      </c>
      <c r="DT15" s="116" cm="1">
        <f t="array" ref="DT15">_xll.EQNXTDZ($A$1,$B15,DT$1)</f>
        <v>541.95000000000005</v>
      </c>
      <c r="DU15" s="116" cm="1">
        <f t="array" ref="DU15">_xll.EQNXTDZ($A$1,$B15,DU$1)</f>
        <v>563</v>
      </c>
      <c r="DV15" s="116" cm="1">
        <f t="array" ref="DV15">_xll.EQNXTDZ($A$1,$B15,DV$1)</f>
        <v>582.35</v>
      </c>
      <c r="DW15" s="116" cm="1">
        <f t="array" ref="DW15">_xll.EQNXTDZ($A$1,$B15,DW$1)</f>
        <v>560.20000000000005</v>
      </c>
      <c r="DX15" s="116" cm="1">
        <f t="array" ref="DX15">_xll.EQNXTDZ($A$1,$B15,DX$1)</f>
        <v>582.54999999999995</v>
      </c>
      <c r="DY15" s="116" cm="1">
        <f t="array" ref="DY15">_xll.EQNXTDZ($A$1,$B15,DY$1)</f>
        <v>629.70000000000005</v>
      </c>
      <c r="DZ15" s="116" cm="1">
        <f t="array" ref="DZ15">_xll.EQNXTDZ($A$1,$B15,DZ$1)</f>
        <v>670.05</v>
      </c>
      <c r="EA15" s="116" cm="1">
        <f t="array" ref="EA15">_xll.EQNXTDZ($A$1,$B15,EA$1)</f>
        <v>654.04999999999995</v>
      </c>
      <c r="EB15" s="116" cm="1">
        <f t="array" ref="EB15">_xll.EQNXTDZ($A$1,$B15,EB$1)</f>
        <v>652.15</v>
      </c>
      <c r="EC15" s="116" cm="1">
        <f t="array" ref="EC15">_xll.EQNXTDZ($A$1,$B15,EC$1)</f>
        <v>664</v>
      </c>
      <c r="ED15" s="116" cm="1">
        <f t="array" ref="ED15">_xll.EQNXTDZ($A$1,$B15,ED$1)</f>
        <v>673</v>
      </c>
      <c r="EE15" s="116" cm="1">
        <f t="array" ref="EE15">_xll.EQNXTDZ($A$1,$B15,EE$1)</f>
        <v>705.85</v>
      </c>
      <c r="EF15" s="116" cm="1">
        <f t="array" ref="EF15">_xll.EQNXTDZ($A$1,$B15,EF$1)</f>
        <v>706.15</v>
      </c>
      <c r="EG15" s="116" cm="1">
        <f t="array" ref="EG15">_xll.EQNXTDZ($A$1,$B15,EG$1)</f>
        <v>753.05</v>
      </c>
      <c r="EH15" s="116" cm="1">
        <f t="array" ref="EH15">_xll.EQNXTDZ($A$1,$B15,EH$1)</f>
        <v>781.4</v>
      </c>
      <c r="EI15" s="116" cm="1">
        <f t="array" ref="EI15">_xll.EQNXTDZ($A$1,$B15,EI$1)</f>
        <v>686.55</v>
      </c>
      <c r="EJ15" s="116" cm="1">
        <f t="array" ref="EJ15">_xll.EQNXTDZ($A$1,$B15,EJ$1)</f>
        <v>728</v>
      </c>
      <c r="EK15" s="116" cm="1">
        <f t="array" ref="EK15">_xll.EQNXTDZ($A$1,$B15,EK$1)</f>
        <v>730</v>
      </c>
      <c r="EL15" s="116" cm="1">
        <f t="array" ref="EL15">_xll.EQNXTDZ($A$1,$B15,EL$1)</f>
        <v>721.05</v>
      </c>
      <c r="EM15" s="116" cm="1">
        <f t="array" ref="EM15">_xll.EQNXTDZ($A$1,$B15,EM$1)</f>
        <v>678.95</v>
      </c>
      <c r="EN15" s="116" cm="1">
        <f t="array" ref="EN15">_xll.EQNXTDZ($A$1,$B15,EN$1)</f>
        <v>598</v>
      </c>
      <c r="EO15" s="116" cm="1">
        <f t="array" ref="EO15">_xll.EQNXTDZ($A$1,$B15,EO$1)</f>
        <v>639.45000000000005</v>
      </c>
      <c r="EP15" s="116" cm="1">
        <f t="array" ref="EP15">_xll.EQNXTDZ($A$1,$B15,EP$1)</f>
        <v>624.85</v>
      </c>
      <c r="EQ15" s="116" cm="1">
        <f t="array" ref="EQ15">_xll.EQNXTDZ($A$1,$B15,EQ$1)</f>
        <v>599.25</v>
      </c>
      <c r="ER15" s="116" cm="1">
        <f t="array" ref="ER15">_xll.EQNXTDZ($A$1,$B15,ER$1)</f>
        <v>653.85</v>
      </c>
      <c r="ES15" s="116" cm="1">
        <f t="array" ref="ES15">_xll.EQNXTDZ($A$1,$B15,ES$1)</f>
        <v>656</v>
      </c>
      <c r="ET15" s="116" cm="1">
        <f t="array" ref="ET15">_xll.EQNXTDZ($A$1,$B15,ET$1)</f>
        <v>647.5</v>
      </c>
      <c r="EU15" s="116" cm="1">
        <f t="array" ref="EU15">_xll.EQNXTDZ($A$1,$B15,EU$1)</f>
        <v>566.5</v>
      </c>
      <c r="EV15" s="116" cm="1">
        <f t="array" ref="EV15">_xll.EQNXTDZ($A$1,$B15,EV$1)</f>
        <v>592</v>
      </c>
      <c r="EW15" s="116" cm="1">
        <f t="array" ref="EW15">_xll.EQNXTDZ($A$1,$B15,EW$1)</f>
        <v>635</v>
      </c>
      <c r="EX15" s="116" cm="1">
        <f t="array" ref="EX15">_xll.EQNXTDZ($A$1,$B15,EX$1)</f>
        <v>613.65</v>
      </c>
      <c r="EY15" s="116" cm="1">
        <f t="array" ref="EY15">_xll.EQNXTDZ($A$1,$B15,EY$1)</f>
        <v>607.04999999999995</v>
      </c>
      <c r="EZ15" s="116" cm="1">
        <f t="array" ref="EZ15">_xll.EQNXTDZ($A$1,$B15,EZ$1)</f>
        <v>614.04999999999995</v>
      </c>
      <c r="FA15" s="116" cm="1">
        <f t="array" ref="FA15">_xll.EQNXTDZ($A$1,$B15,FA$1)</f>
        <v>625.6</v>
      </c>
      <c r="FB15" s="116" cm="1">
        <f t="array" ref="FB15">_xll.EQNXTDZ($A$1,$B15,FB$1)</f>
        <v>626.15</v>
      </c>
      <c r="FC15" s="116" cm="1">
        <f t="array" ref="FC15">_xll.EQNXTDZ($A$1,$B15,FC$1)</f>
        <v>634.35</v>
      </c>
      <c r="FD15" s="116" cm="1">
        <f t="array" ref="FD15">_xll.EQNXTDZ($A$1,$B15,FD$1)</f>
        <v>730</v>
      </c>
      <c r="FE15" s="116" cm="1">
        <f t="array" ref="FE15">_xll.EQNXTDZ($A$1,$B15,FE$1)</f>
        <v>626.6</v>
      </c>
      <c r="FF15" s="116" cm="1">
        <f t="array" ref="FF15">_xll.EQNXTDZ($A$1,$B15,FF$1)</f>
        <v>677.3</v>
      </c>
      <c r="FG15" s="116" cm="1">
        <f t="array" ref="FG15">_xll.EQNXTDZ($A$1,$B15,FG$1)</f>
        <v>734.25</v>
      </c>
      <c r="FH15" s="116" cm="1">
        <f t="array" ref="FH15">_xll.EQNXTDZ($A$1,$B15,FH$1)</f>
        <v>871.8</v>
      </c>
      <c r="FI15" s="116" cm="1">
        <f t="array" ref="FI15">_xll.EQNXTDZ($A$1,$B15,FI$1)</f>
        <v>825.05</v>
      </c>
      <c r="FJ15" s="116" cm="1">
        <f t="array" ref="FJ15">_xll.EQNXTDZ($A$1,$B15,FJ$1)</f>
        <v>668.95</v>
      </c>
      <c r="FK15" s="116" cm="1">
        <f t="array" ref="FK15">_xll.EQNXTDZ($A$1,$B15,FK$1)</f>
        <v>691.05</v>
      </c>
      <c r="FL15" s="116" cm="1">
        <f t="array" ref="FL15">_xll.EQNXTDZ($A$1,$B15,FL$1)</f>
        <v>569.29999999999995</v>
      </c>
      <c r="FM15" s="116" cm="1">
        <f t="array" ref="FM15">_xll.EQNXTDZ($A$1,$B15,FM$1)</f>
        <v>570.4</v>
      </c>
      <c r="FN15" s="116" cm="1">
        <f t="array" ref="FN15">_xll.EQNXTDZ($A$1,$B15,FN$1)</f>
        <v>745.65</v>
      </c>
      <c r="FO15" s="116" cm="1">
        <f t="array" ref="FO15">_xll.EQNXTDZ($A$1,$B15,FO$1)</f>
        <v>806.8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271.3</v>
      </c>
      <c r="IK15" s="116">
        <f>+MIN(BO15:BQ15)</f>
        <v>339</v>
      </c>
      <c r="IL15" s="116">
        <f>+MIN(BR15:BT15)</f>
        <v>435</v>
      </c>
      <c r="IM15" s="116">
        <f>+MIN(BU15:BW15)</f>
        <v>450</v>
      </c>
      <c r="IN15" s="116">
        <f>+MIN(BX15:BZ15)</f>
        <v>405.1</v>
      </c>
      <c r="IO15" s="116">
        <f>+MIN(CA15:CC15)</f>
        <v>358.7</v>
      </c>
      <c r="IP15" s="116">
        <f>+MIN(CD15:CF15)</f>
        <v>379.45</v>
      </c>
      <c r="IQ15" s="116">
        <f>+MIN(CG15:CI15)</f>
        <v>433</v>
      </c>
      <c r="IR15" s="116">
        <f>+MIN(CJ15:CL15)</f>
        <v>463</v>
      </c>
      <c r="IS15" s="116">
        <f>+MIN(CM15:CO15)</f>
        <v>469.65</v>
      </c>
      <c r="IT15" s="116">
        <f>+MIN(CP15:CR15)</f>
        <v>233.8</v>
      </c>
      <c r="IU15" s="116">
        <f>+MIN(CS15:CU15)</f>
        <v>305</v>
      </c>
      <c r="IV15" s="116">
        <f>+MIN(CV15:CX15)</f>
        <v>336.75</v>
      </c>
      <c r="IW15" s="116">
        <f>+MIN(CY15:DA15)</f>
        <v>375</v>
      </c>
      <c r="IX15" s="116">
        <f>+MIN(DB15:DD15)</f>
        <v>398</v>
      </c>
      <c r="IY15" s="116">
        <f>+MIN(DE15:DG15)</f>
        <v>394</v>
      </c>
      <c r="IZ15" s="116">
        <f>+MIN(DH15:DJ15)</f>
        <v>406.4</v>
      </c>
      <c r="JA15" s="116">
        <f>+MIN(DK15:DM15)</f>
        <v>446.65</v>
      </c>
      <c r="JB15" s="116">
        <f>+MIN(DN15:DP15)</f>
        <v>462</v>
      </c>
      <c r="JC15" s="116">
        <f>+MIN(DQ15:DS15)</f>
        <v>458.9</v>
      </c>
      <c r="JD15" s="116">
        <f>+MIN(DT15:DV15)</f>
        <v>541.95000000000005</v>
      </c>
      <c r="JE15" s="116">
        <f>+MIN(DW15:DY15)</f>
        <v>560.20000000000005</v>
      </c>
      <c r="JF15" s="116">
        <f>+MIN(DZ15:EB15)</f>
        <v>652.15</v>
      </c>
      <c r="JG15" s="116">
        <f>+MIN(EC15:EE15)</f>
        <v>664</v>
      </c>
      <c r="JH15" s="116">
        <f>+MIN(EF15:EH15)</f>
        <v>706.15</v>
      </c>
      <c r="JI15" s="116">
        <f>+MIN(EI15:EK15)</f>
        <v>686.55</v>
      </c>
      <c r="JJ15" s="116">
        <f>+MIN(EL15:EN15)</f>
        <v>598</v>
      </c>
      <c r="JK15" s="116">
        <f>MIN(EO15:EQ15)</f>
        <v>599.25</v>
      </c>
      <c r="JL15" s="116">
        <f>MIN(ER15:ET15)</f>
        <v>647.5</v>
      </c>
      <c r="JM15" s="116">
        <f>MIN(EU15:EW15)</f>
        <v>566.5</v>
      </c>
      <c r="JN15" s="116">
        <f>MIN(EX15:EZ15)</f>
        <v>607.04999999999995</v>
      </c>
      <c r="JO15" s="116">
        <f>MIN(FA15:FC15)</f>
        <v>625.6</v>
      </c>
      <c r="JP15" s="116">
        <f>MIN(FD15:FF15)</f>
        <v>626.6</v>
      </c>
      <c r="JQ15" s="116">
        <f>MIN(FG15:FI15)</f>
        <v>734.25</v>
      </c>
      <c r="JR15" s="116">
        <f>MIN(FJ15:FL15)</f>
        <v>569.29999999999995</v>
      </c>
      <c r="JS15" s="116">
        <f>MIN(FM15:FO15)</f>
        <v>570.4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218.2</v>
      </c>
      <c r="BK16" s="116" cm="1">
        <f t="array" ref="BK16">_xll.EQNXTDZ($A$1,$B16,BK$1)</f>
        <v>269.75</v>
      </c>
      <c r="BL16" s="116" cm="1">
        <f t="array" ref="BL16">_xll.EQNXTDZ($A$1,$B16,BL$1)</f>
        <v>311.14999999999998</v>
      </c>
      <c r="BM16" s="116" cm="1">
        <f t="array" ref="BM16">_xll.EQNXTDZ($A$1,$B16,BM$1)</f>
        <v>332.4</v>
      </c>
      <c r="BN16" s="116" cm="1">
        <f t="array" ref="BN16">_xll.EQNXTDZ($A$1,$B16,BN$1)</f>
        <v>338.3</v>
      </c>
      <c r="BO16" s="116" cm="1">
        <f t="array" ref="BO16">_xll.EQNXTDZ($A$1,$B16,BO$1)</f>
        <v>427.4</v>
      </c>
      <c r="BP16" s="116" cm="1">
        <f t="array" ref="BP16">_xll.EQNXTDZ($A$1,$B16,BP$1)</f>
        <v>463.2</v>
      </c>
      <c r="BQ16" s="116" cm="1">
        <f t="array" ref="BQ16">_xll.EQNXTDZ($A$1,$B16,BQ$1)</f>
        <v>514.20000000000005</v>
      </c>
      <c r="BR16" s="116" cm="1">
        <f t="array" ref="BR16">_xll.EQNXTDZ($A$1,$B16,BR$1)</f>
        <v>520.25</v>
      </c>
      <c r="BS16" s="116" cm="1">
        <f t="array" ref="BS16">_xll.EQNXTDZ($A$1,$B16,BS$1)</f>
        <v>497.4</v>
      </c>
      <c r="BT16" s="116" cm="1">
        <f t="array" ref="BT16">_xll.EQNXTDZ($A$1,$B16,BT$1)</f>
        <v>449.5</v>
      </c>
      <c r="BU16" s="116" cm="1">
        <f t="array" ref="BU16">_xll.EQNXTDZ($A$1,$B16,BU$1)</f>
        <v>575.35</v>
      </c>
      <c r="BV16" s="116" cm="1">
        <f t="array" ref="BV16">_xll.EQNXTDZ($A$1,$B16,BV$1)</f>
        <v>513.54999999999995</v>
      </c>
      <c r="BW16" s="116" cm="1">
        <f t="array" ref="BW16">_xll.EQNXTDZ($A$1,$B16,BW$1)</f>
        <v>493.15</v>
      </c>
      <c r="BX16" s="116" cm="1">
        <f t="array" ref="BX16">_xll.EQNXTDZ($A$1,$B16,BX$1)</f>
        <v>488.6</v>
      </c>
      <c r="BY16" s="116" cm="1">
        <f t="array" ref="BY16">_xll.EQNXTDZ($A$1,$B16,BY$1)</f>
        <v>497.95</v>
      </c>
      <c r="BZ16" s="116" cm="1">
        <f t="array" ref="BZ16">_xll.EQNXTDZ($A$1,$B16,BZ$1)</f>
        <v>411.05</v>
      </c>
      <c r="CA16" s="116" cm="1">
        <f t="array" ref="CA16">_xll.EQNXTDZ($A$1,$B16,CA$1)</f>
        <v>359.95</v>
      </c>
      <c r="CB16" s="116" cm="1">
        <f t="array" ref="CB16">_xll.EQNXTDZ($A$1,$B16,CB$1)</f>
        <v>387.95</v>
      </c>
      <c r="CC16" s="116" cm="1">
        <f t="array" ref="CC16">_xll.EQNXTDZ($A$1,$B16,CC$1)</f>
        <v>392.05</v>
      </c>
      <c r="CD16" s="116" cm="1">
        <f t="array" ref="CD16">_xll.EQNXTDZ($A$1,$B16,CD$1)</f>
        <v>380.85</v>
      </c>
      <c r="CE16" s="116" cm="1">
        <f t="array" ref="CE16">_xll.EQNXTDZ($A$1,$B16,CE$1)</f>
        <v>401.55</v>
      </c>
      <c r="CF16" s="116" cm="1">
        <f t="array" ref="CF16">_xll.EQNXTDZ($A$1,$B16,CF$1)</f>
        <v>459.95</v>
      </c>
      <c r="CG16" s="116" cm="1">
        <f t="array" ref="CG16">_xll.EQNXTDZ($A$1,$B16,CG$1)</f>
        <v>469.15</v>
      </c>
      <c r="CH16" s="116" cm="1">
        <f t="array" ref="CH16">_xll.EQNXTDZ($A$1,$B16,CH$1)</f>
        <v>520.79999999999995</v>
      </c>
      <c r="CI16" s="116" cm="1">
        <f t="array" ref="CI16">_xll.EQNXTDZ($A$1,$B16,CI$1)</f>
        <v>550.20000000000005</v>
      </c>
      <c r="CJ16" s="116" cm="1">
        <f t="array" ref="CJ16">_xll.EQNXTDZ($A$1,$B16,CJ$1)</f>
        <v>489.2</v>
      </c>
      <c r="CK16" s="116" cm="1">
        <f t="array" ref="CK16">_xll.EQNXTDZ($A$1,$B16,CK$1)</f>
        <v>494.95</v>
      </c>
      <c r="CL16" s="116" cm="1">
        <f t="array" ref="CL16">_xll.EQNXTDZ($A$1,$B16,CL$1)</f>
        <v>564.5</v>
      </c>
      <c r="CM16" s="116" cm="1">
        <f t="array" ref="CM16">_xll.EQNXTDZ($A$1,$B16,CM$1)</f>
        <v>546.1</v>
      </c>
      <c r="CN16" s="116" cm="1">
        <f t="array" ref="CN16">_xll.EQNXTDZ($A$1,$B16,CN$1)</f>
        <v>501.75</v>
      </c>
      <c r="CO16" s="116" cm="1">
        <f t="array" ref="CO16">_xll.EQNXTDZ($A$1,$B16,CO$1)</f>
        <v>495.75</v>
      </c>
      <c r="CP16" s="116" cm="1">
        <f t="array" ref="CP16">_xll.EQNXTDZ($A$1,$B16,CP$1)</f>
        <v>514.85</v>
      </c>
      <c r="CQ16" s="116" cm="1">
        <f t="array" ref="CQ16">_xll.EQNXTDZ($A$1,$B16,CQ$1)</f>
        <v>490.4</v>
      </c>
      <c r="CR16" s="116" cm="1">
        <f t="array" ref="CR16">_xll.EQNXTDZ($A$1,$B16,CR$1)</f>
        <v>321.7</v>
      </c>
      <c r="CS16" s="116" cm="1">
        <f t="array" ref="CS16">_xll.EQNXTDZ($A$1,$B16,CS$1)</f>
        <v>364.7</v>
      </c>
      <c r="CT16" s="116" cm="1">
        <f t="array" ref="CT16">_xll.EQNXTDZ($A$1,$B16,CT$1)</f>
        <v>320</v>
      </c>
      <c r="CU16" s="116" cm="1">
        <f t="array" ref="CU16">_xll.EQNXTDZ($A$1,$B16,CU$1)</f>
        <v>390</v>
      </c>
      <c r="CV16" s="116" cm="1">
        <f t="array" ref="CV16">_xll.EQNXTDZ($A$1,$B16,CV$1)</f>
        <v>401.1</v>
      </c>
      <c r="CW16" s="116" cm="1">
        <f t="array" ref="CW16">_xll.EQNXTDZ($A$1,$B16,CW$1)</f>
        <v>428.3</v>
      </c>
      <c r="CX16" s="116" cm="1">
        <f t="array" ref="CX16">_xll.EQNXTDZ($A$1,$B16,CX$1)</f>
        <v>403.15</v>
      </c>
      <c r="CY16" s="116" cm="1">
        <f t="array" ref="CY16">_xll.EQNXTDZ($A$1,$B16,CY$1)</f>
        <v>387</v>
      </c>
      <c r="CZ16" s="116" cm="1">
        <f t="array" ref="CZ16">_xll.EQNXTDZ($A$1,$B16,CZ$1)</f>
        <v>409</v>
      </c>
      <c r="DA16" s="116" cm="1">
        <f t="array" ref="DA16">_xll.EQNXTDZ($A$1,$B16,DA$1)</f>
        <v>414.95</v>
      </c>
      <c r="DB16" s="116" cm="1">
        <f t="array" ref="DB16">_xll.EQNXTDZ($A$1,$B16,DB$1)</f>
        <v>415.1</v>
      </c>
      <c r="DC16" s="116" cm="1">
        <f t="array" ref="DC16">_xll.EQNXTDZ($A$1,$B16,DC$1)</f>
        <v>470.25</v>
      </c>
      <c r="DD16" s="116" cm="1">
        <f t="array" ref="DD16">_xll.EQNXTDZ($A$1,$B16,DD$1)</f>
        <v>463.4</v>
      </c>
      <c r="DE16" s="116" cm="1">
        <f t="array" ref="DE16">_xll.EQNXTDZ($A$1,$B16,DE$1)</f>
        <v>411.15</v>
      </c>
      <c r="DF16" s="116" cm="1">
        <f t="array" ref="DF16">_xll.EQNXTDZ($A$1,$B16,DF$1)</f>
        <v>400.35</v>
      </c>
      <c r="DG16" s="116" cm="1">
        <f t="array" ref="DG16">_xll.EQNXTDZ($A$1,$B16,DG$1)</f>
        <v>418.4</v>
      </c>
      <c r="DH16" s="116" cm="1">
        <f t="array" ref="DH16">_xll.EQNXTDZ($A$1,$B16,DH$1)</f>
        <v>462.35</v>
      </c>
      <c r="DI16" s="116" cm="1">
        <f t="array" ref="DI16">_xll.EQNXTDZ($A$1,$B16,DI$1)</f>
        <v>422.75</v>
      </c>
      <c r="DJ16" s="116" cm="1">
        <f t="array" ref="DJ16">_xll.EQNXTDZ($A$1,$B16,DJ$1)</f>
        <v>482.75</v>
      </c>
      <c r="DK16" s="116" cm="1">
        <f t="array" ref="DK16">_xll.EQNXTDZ($A$1,$B16,DK$1)</f>
        <v>513.70000000000005</v>
      </c>
      <c r="DL16" s="116" cm="1">
        <f t="array" ref="DL16">_xll.EQNXTDZ($A$1,$B16,DL$1)</f>
        <v>474.85</v>
      </c>
      <c r="DM16" s="116" cm="1">
        <f t="array" ref="DM16">_xll.EQNXTDZ($A$1,$B16,DM$1)</f>
        <v>485.45</v>
      </c>
      <c r="DN16" s="116" cm="1">
        <f t="array" ref="DN16">_xll.EQNXTDZ($A$1,$B16,DN$1)</f>
        <v>611.29999999999995</v>
      </c>
      <c r="DO16" s="116" cm="1">
        <f t="array" ref="DO16">_xll.EQNXTDZ($A$1,$B16,DO$1)</f>
        <v>486.5</v>
      </c>
      <c r="DP16" s="116" cm="1">
        <f t="array" ref="DP16">_xll.EQNXTDZ($A$1,$B16,DP$1)</f>
        <v>539.85</v>
      </c>
      <c r="DQ16" s="116" cm="1">
        <f t="array" ref="DQ16">_xll.EQNXTDZ($A$1,$B16,DQ$1)</f>
        <v>538.70000000000005</v>
      </c>
      <c r="DR16" s="116" cm="1">
        <f t="array" ref="DR16">_xll.EQNXTDZ($A$1,$B16,DR$1)</f>
        <v>511.05</v>
      </c>
      <c r="DS16" s="116" cm="1">
        <f t="array" ref="DS16">_xll.EQNXTDZ($A$1,$B16,DS$1)</f>
        <v>552.9</v>
      </c>
      <c r="DT16" s="116" cm="1">
        <f t="array" ref="DT16">_xll.EQNXTDZ($A$1,$B16,DT$1)</f>
        <v>618.79999999999995</v>
      </c>
      <c r="DU16" s="116" cm="1">
        <f t="array" ref="DU16">_xll.EQNXTDZ($A$1,$B16,DU$1)</f>
        <v>606.9</v>
      </c>
      <c r="DV16" s="116" cm="1">
        <f t="array" ref="DV16">_xll.EQNXTDZ($A$1,$B16,DV$1)</f>
        <v>641.54999999999995</v>
      </c>
      <c r="DW16" s="116" cm="1">
        <f t="array" ref="DW16">_xll.EQNXTDZ($A$1,$B16,DW$1)</f>
        <v>589.6</v>
      </c>
      <c r="DX16" s="116" cm="1">
        <f t="array" ref="DX16">_xll.EQNXTDZ($A$1,$B16,DX$1)</f>
        <v>639.35</v>
      </c>
      <c r="DY16" s="116" cm="1">
        <f t="array" ref="DY16">_xll.EQNXTDZ($A$1,$B16,DY$1)</f>
        <v>699.35</v>
      </c>
      <c r="DZ16" s="116" cm="1">
        <f t="array" ref="DZ16">_xll.EQNXTDZ($A$1,$B16,DZ$1)</f>
        <v>707.6</v>
      </c>
      <c r="EA16" s="116" cm="1">
        <f t="array" ref="EA16">_xll.EQNXTDZ($A$1,$B16,EA$1)</f>
        <v>670.05</v>
      </c>
      <c r="EB16" s="116" cm="1">
        <f t="array" ref="EB16">_xll.EQNXTDZ($A$1,$B16,EB$1)</f>
        <v>671.4</v>
      </c>
      <c r="EC16" s="116" cm="1">
        <f t="array" ref="EC16">_xll.EQNXTDZ($A$1,$B16,EC$1)</f>
        <v>689.1</v>
      </c>
      <c r="ED16" s="116" cm="1">
        <f t="array" ref="ED16">_xll.EQNXTDZ($A$1,$B16,ED$1)</f>
        <v>717.2</v>
      </c>
      <c r="EE16" s="116" cm="1">
        <f t="array" ref="EE16">_xll.EQNXTDZ($A$1,$B16,EE$1)</f>
        <v>713.25</v>
      </c>
      <c r="EF16" s="116" cm="1">
        <f t="array" ref="EF16">_xll.EQNXTDZ($A$1,$B16,EF$1)</f>
        <v>795.1</v>
      </c>
      <c r="EG16" s="116" cm="1">
        <f t="array" ref="EG16">_xll.EQNXTDZ($A$1,$B16,EG$1)</f>
        <v>817.8</v>
      </c>
      <c r="EH16" s="116" cm="1">
        <f t="array" ref="EH16">_xll.EQNXTDZ($A$1,$B16,EH$1)</f>
        <v>797.45</v>
      </c>
      <c r="EI16" s="116" cm="1">
        <f t="array" ref="EI16">_xll.EQNXTDZ($A$1,$B16,EI$1)</f>
        <v>752.75</v>
      </c>
      <c r="EJ16" s="116" cm="1">
        <f t="array" ref="EJ16">_xll.EQNXTDZ($A$1,$B16,EJ$1)</f>
        <v>750.5</v>
      </c>
      <c r="EK16" s="116" cm="1">
        <f t="array" ref="EK16">_xll.EQNXTDZ($A$1,$B16,EK$1)</f>
        <v>768.05</v>
      </c>
      <c r="EL16" s="116" cm="1">
        <f t="array" ref="EL16">_xll.EQNXTDZ($A$1,$B16,EL$1)</f>
        <v>748.6</v>
      </c>
      <c r="EM16" s="116" cm="1">
        <f t="array" ref="EM16">_xll.EQNXTDZ($A$1,$B16,EM$1)</f>
        <v>691.3</v>
      </c>
      <c r="EN16" s="116" cm="1">
        <f t="array" ref="EN16">_xll.EQNXTDZ($A$1,$B16,EN$1)</f>
        <v>686.1</v>
      </c>
      <c r="EO16" s="116" cm="1">
        <f t="array" ref="EO16">_xll.EQNXTDZ($A$1,$B16,EO$1)</f>
        <v>675.05</v>
      </c>
      <c r="EP16" s="116" cm="1">
        <f t="array" ref="EP16">_xll.EQNXTDZ($A$1,$B16,EP$1)</f>
        <v>645</v>
      </c>
      <c r="EQ16" s="116" cm="1">
        <f t="array" ref="EQ16">_xll.EQNXTDZ($A$1,$B16,EQ$1)</f>
        <v>684.15</v>
      </c>
      <c r="ER16" s="116" cm="1">
        <f t="array" ref="ER16">_xll.EQNXTDZ($A$1,$B16,ER$1)</f>
        <v>682.75</v>
      </c>
      <c r="ES16" s="116" cm="1">
        <f t="array" ref="ES16">_xll.EQNXTDZ($A$1,$B16,ES$1)</f>
        <v>683.75</v>
      </c>
      <c r="ET16" s="116" cm="1">
        <f t="array" ref="ET16">_xll.EQNXTDZ($A$1,$B16,ET$1)</f>
        <v>652.54999999999995</v>
      </c>
      <c r="EU16" s="116" cm="1">
        <f t="array" ref="EU16">_xll.EQNXTDZ($A$1,$B16,EU$1)</f>
        <v>603.4</v>
      </c>
      <c r="EV16" s="116" cm="1">
        <f t="array" ref="EV16">_xll.EQNXTDZ($A$1,$B16,EV$1)</f>
        <v>671</v>
      </c>
      <c r="EW16" s="116" cm="1">
        <f t="array" ref="EW16">_xll.EQNXTDZ($A$1,$B16,EW$1)</f>
        <v>649.79999999999995</v>
      </c>
      <c r="EX16" s="116" cm="1">
        <f t="array" ref="EX16">_xll.EQNXTDZ($A$1,$B16,EX$1)</f>
        <v>632.95000000000005</v>
      </c>
      <c r="EY16" s="116" cm="1">
        <f t="array" ref="EY16">_xll.EQNXTDZ($A$1,$B16,EY$1)</f>
        <v>621.25</v>
      </c>
      <c r="EZ16" s="116" cm="1">
        <f t="array" ref="EZ16">_xll.EQNXTDZ($A$1,$B16,EZ$1)</f>
        <v>632.29999999999995</v>
      </c>
      <c r="FA16" s="116" cm="1">
        <f t="array" ref="FA16">_xll.EQNXTDZ($A$1,$B16,FA$1)</f>
        <v>635.1</v>
      </c>
      <c r="FB16" s="116" cm="1">
        <f t="array" ref="FB16">_xll.EQNXTDZ($A$1,$B16,FB$1)</f>
        <v>638.35</v>
      </c>
      <c r="FC16" s="116" cm="1">
        <f t="array" ref="FC16">_xll.EQNXTDZ($A$1,$B16,FC$1)</f>
        <v>760</v>
      </c>
      <c r="FD16" s="116" cm="1">
        <f t="array" ref="FD16">_xll.EQNXTDZ($A$1,$B16,FD$1)</f>
        <v>753.25</v>
      </c>
      <c r="FE16" s="116" cm="1">
        <f t="array" ref="FE16">_xll.EQNXTDZ($A$1,$B16,FE$1)</f>
        <v>685</v>
      </c>
      <c r="FF16" s="116" cm="1">
        <f t="array" ref="FF16">_xll.EQNXTDZ($A$1,$B16,FF$1)</f>
        <v>753.1</v>
      </c>
      <c r="FG16" s="116" cm="1">
        <f t="array" ref="FG16">_xll.EQNXTDZ($A$1,$B16,FG$1)</f>
        <v>929.85</v>
      </c>
      <c r="FH16" s="116" cm="1">
        <f t="array" ref="FH16">_xll.EQNXTDZ($A$1,$B16,FH$1)</f>
        <v>911.8</v>
      </c>
      <c r="FI16" s="116" cm="1">
        <f t="array" ref="FI16">_xll.EQNXTDZ($A$1,$B16,FI$1)</f>
        <v>867.9</v>
      </c>
      <c r="FJ16" s="116" cm="1">
        <f t="array" ref="FJ16">_xll.EQNXTDZ($A$1,$B16,FJ$1)</f>
        <v>747.15</v>
      </c>
      <c r="FK16" s="116" cm="1">
        <f t="array" ref="FK16">_xll.EQNXTDZ($A$1,$B16,FK$1)</f>
        <v>726.95</v>
      </c>
      <c r="FL16" s="116" cm="1">
        <f t="array" ref="FL16">_xll.EQNXTDZ($A$1,$B16,FL$1)</f>
        <v>580.04999999999995</v>
      </c>
      <c r="FM16" s="116" cm="1">
        <f t="array" ref="FM16">_xll.EQNXTDZ($A$1,$B16,FM$1)</f>
        <v>788.4</v>
      </c>
      <c r="FN16" s="116" cm="1">
        <f t="array" ref="FN16">_xll.EQNXTDZ($A$1,$B16,FN$1)</f>
        <v>854.6</v>
      </c>
      <c r="FO16" s="116" cm="1">
        <f t="array" ref="FO16">_xll.EQNXTDZ($A$1,$B16,FO$1)</f>
        <v>908.35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269.75</v>
      </c>
      <c r="IJ16" s="116">
        <f>+BN16</f>
        <v>338.3</v>
      </c>
      <c r="IK16" s="116">
        <f>+BQ16</f>
        <v>514.20000000000005</v>
      </c>
      <c r="IL16" s="116">
        <f>+BT16</f>
        <v>449.5</v>
      </c>
      <c r="IM16" s="116">
        <f>+BW16</f>
        <v>493.15</v>
      </c>
      <c r="IN16" s="116">
        <f>+BZ16</f>
        <v>411.05</v>
      </c>
      <c r="IO16" s="116">
        <f>+CC16</f>
        <v>392.05</v>
      </c>
      <c r="IP16" s="116">
        <f>+CF16</f>
        <v>459.95</v>
      </c>
      <c r="IQ16" s="116">
        <f>+CI16</f>
        <v>550.20000000000005</v>
      </c>
      <c r="IR16" s="116">
        <f>+CL16</f>
        <v>564.5</v>
      </c>
      <c r="IS16" s="116">
        <f>+CO16</f>
        <v>495.75</v>
      </c>
      <c r="IT16" s="116">
        <f>+CR16</f>
        <v>321.7</v>
      </c>
      <c r="IU16" s="116">
        <f>+CU16</f>
        <v>390</v>
      </c>
      <c r="IV16" s="116">
        <f>+CX16</f>
        <v>403.15</v>
      </c>
      <c r="IW16" s="116">
        <f>+DA16</f>
        <v>414.95</v>
      </c>
      <c r="IX16" s="116">
        <f>+DD16</f>
        <v>463.4</v>
      </c>
      <c r="IY16" s="116">
        <f>+DG16</f>
        <v>418.4</v>
      </c>
      <c r="IZ16" s="116">
        <f>+DJ16</f>
        <v>482.75</v>
      </c>
      <c r="JA16" s="116">
        <f>+DM16</f>
        <v>485.45</v>
      </c>
      <c r="JB16" s="116">
        <f>+DP16</f>
        <v>539.85</v>
      </c>
      <c r="JC16" s="116">
        <f>+DS16</f>
        <v>552.9</v>
      </c>
      <c r="JD16" s="116">
        <f>+DV16</f>
        <v>641.54999999999995</v>
      </c>
      <c r="JE16" s="116">
        <f>+DY16</f>
        <v>699.35</v>
      </c>
      <c r="JF16" s="116">
        <f>+EB16</f>
        <v>671.4</v>
      </c>
      <c r="JG16" s="116">
        <f>+EE16</f>
        <v>713.25</v>
      </c>
      <c r="JH16" s="116">
        <f>+EH16</f>
        <v>797.45</v>
      </c>
      <c r="JI16" s="116">
        <f>+EK16</f>
        <v>768.05</v>
      </c>
      <c r="JJ16" s="116">
        <f>+EN16</f>
        <v>686.1</v>
      </c>
      <c r="JK16" s="116">
        <f>EQ16</f>
        <v>684.15</v>
      </c>
      <c r="JL16" s="116">
        <f>ET16</f>
        <v>652.54999999999995</v>
      </c>
      <c r="JM16" s="116">
        <f>EW16</f>
        <v>649.79999999999995</v>
      </c>
      <c r="JN16" s="116">
        <f>EZ16</f>
        <v>632.29999999999995</v>
      </c>
      <c r="JO16" s="116">
        <f>FC16</f>
        <v>760</v>
      </c>
      <c r="JP16" s="116">
        <f>FF16</f>
        <v>753.1</v>
      </c>
      <c r="JQ16" s="116">
        <f>FI16</f>
        <v>867.9</v>
      </c>
      <c r="JR16" s="116">
        <f>FL16</f>
        <v>580.04999999999995</v>
      </c>
      <c r="JS16" s="116">
        <f>FO16</f>
        <v>908.35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316.75</v>
      </c>
      <c r="IJ19" s="116">
        <f t="shared" si="1"/>
        <v>372.5</v>
      </c>
      <c r="IK19" s="116">
        <f t="shared" si="1"/>
        <v>545.4</v>
      </c>
      <c r="IL19" s="116">
        <f t="shared" si="1"/>
        <v>594.75</v>
      </c>
      <c r="IM19" s="116">
        <f t="shared" si="1"/>
        <v>596</v>
      </c>
      <c r="IN19" s="116">
        <f t="shared" si="1"/>
        <v>509.7</v>
      </c>
      <c r="IO19" s="116">
        <f t="shared" si="1"/>
        <v>449.8</v>
      </c>
      <c r="IP19" s="116">
        <f t="shared" si="1"/>
        <v>489.9</v>
      </c>
      <c r="IQ19" s="116">
        <f t="shared" si="1"/>
        <v>617</v>
      </c>
      <c r="IR19" s="116">
        <f t="shared" si="1"/>
        <v>576.9</v>
      </c>
      <c r="IS19" s="116">
        <f t="shared" si="1"/>
        <v>576</v>
      </c>
      <c r="IT19" s="116">
        <f t="shared" si="1"/>
        <v>557.9</v>
      </c>
      <c r="IU19" s="116">
        <f t="shared" si="1"/>
        <v>405</v>
      </c>
      <c r="IV19" s="116">
        <f t="shared" si="1"/>
        <v>479.05</v>
      </c>
      <c r="IW19" s="116">
        <f t="shared" si="1"/>
        <v>429.45</v>
      </c>
      <c r="IX19" s="116">
        <f t="shared" si="1"/>
        <v>506</v>
      </c>
      <c r="IY19" s="116">
        <f t="shared" si="1"/>
        <v>475</v>
      </c>
      <c r="IZ19" s="116">
        <f t="shared" si="1"/>
        <v>517.25</v>
      </c>
      <c r="JA19" s="116">
        <f t="shared" si="1"/>
        <v>552.20000000000005</v>
      </c>
      <c r="JB19" s="116">
        <f t="shared" si="1"/>
        <v>639</v>
      </c>
      <c r="JC19" s="116">
        <f t="shared" si="1"/>
        <v>588.20000000000005</v>
      </c>
      <c r="JD19" s="116">
        <f t="shared" si="1"/>
        <v>683.9</v>
      </c>
      <c r="JE19" s="116">
        <f t="shared" si="1"/>
        <v>746.5</v>
      </c>
      <c r="JF19" s="116">
        <f t="shared" si="1"/>
        <v>775.55</v>
      </c>
      <c r="JG19" s="116">
        <f t="shared" si="1"/>
        <v>798</v>
      </c>
      <c r="JH19" s="116">
        <f t="shared" si="1"/>
        <v>846</v>
      </c>
      <c r="JI19" s="116">
        <f t="shared" si="1"/>
        <v>815</v>
      </c>
      <c r="JJ19" s="116">
        <f t="shared" ref="JJ19:JJ21" si="2">+IF(JJ14=0,JJ7,JJ14)</f>
        <v>809.95</v>
      </c>
      <c r="JK19" s="116">
        <f t="shared" ref="JK19" si="3">+IF(JK14=0,JK7,JK14)</f>
        <v>744</v>
      </c>
      <c r="JL19" s="116">
        <f t="shared" ref="JL19:JM19" si="4">+IF(JL14=0,JL7,JL14)</f>
        <v>745</v>
      </c>
      <c r="JM19" s="116">
        <f t="shared" si="4"/>
        <v>734.75</v>
      </c>
      <c r="JN19" s="116">
        <f t="shared" ref="JN19:JO19" si="5">+IF(JN14=0,JN7,JN14)</f>
        <v>693.25</v>
      </c>
      <c r="JO19" s="116">
        <f t="shared" si="5"/>
        <v>774.9</v>
      </c>
      <c r="JP19" s="116">
        <f t="shared" ref="JP19" si="6">+IF(JP14=0,JP7,JP14)</f>
        <v>842.5</v>
      </c>
      <c r="JQ19" s="116">
        <f t="shared" ref="JQ19:KH19" si="7">+IF(JQ14=0,JQ7,JQ14)</f>
        <v>1030.8</v>
      </c>
      <c r="JR19" s="116">
        <f t="shared" si="7"/>
        <v>900</v>
      </c>
      <c r="JS19" s="116">
        <f t="shared" si="7"/>
        <v>957.75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271.3</v>
      </c>
      <c r="IK20" s="116">
        <f t="shared" si="1"/>
        <v>339</v>
      </c>
      <c r="IL20" s="116">
        <f t="shared" si="1"/>
        <v>435</v>
      </c>
      <c r="IM20" s="116">
        <f t="shared" si="1"/>
        <v>450</v>
      </c>
      <c r="IN20" s="116">
        <f t="shared" si="1"/>
        <v>405.1</v>
      </c>
      <c r="IO20" s="116">
        <f t="shared" si="1"/>
        <v>358.7</v>
      </c>
      <c r="IP20" s="116">
        <f t="shared" si="1"/>
        <v>379.45</v>
      </c>
      <c r="IQ20" s="116">
        <f t="shared" si="1"/>
        <v>433</v>
      </c>
      <c r="IR20" s="116">
        <f t="shared" si="1"/>
        <v>463</v>
      </c>
      <c r="IS20" s="116">
        <f t="shared" si="1"/>
        <v>469.65</v>
      </c>
      <c r="IT20" s="116">
        <f t="shared" si="1"/>
        <v>233.8</v>
      </c>
      <c r="IU20" s="116">
        <f t="shared" si="1"/>
        <v>305</v>
      </c>
      <c r="IV20" s="116">
        <f t="shared" si="1"/>
        <v>336.75</v>
      </c>
      <c r="IW20" s="116">
        <f t="shared" si="1"/>
        <v>375</v>
      </c>
      <c r="IX20" s="116">
        <f t="shared" si="1"/>
        <v>398</v>
      </c>
      <c r="IY20" s="116">
        <f t="shared" si="1"/>
        <v>394</v>
      </c>
      <c r="IZ20" s="116">
        <f t="shared" si="1"/>
        <v>406.4</v>
      </c>
      <c r="JA20" s="116">
        <f t="shared" si="1"/>
        <v>446.65</v>
      </c>
      <c r="JB20" s="116">
        <f t="shared" si="1"/>
        <v>462</v>
      </c>
      <c r="JC20" s="116">
        <f t="shared" si="1"/>
        <v>458.9</v>
      </c>
      <c r="JD20" s="116">
        <f t="shared" si="1"/>
        <v>541.95000000000005</v>
      </c>
      <c r="JE20" s="116">
        <f t="shared" si="1"/>
        <v>560.20000000000005</v>
      </c>
      <c r="JF20" s="116">
        <f t="shared" si="1"/>
        <v>652.15</v>
      </c>
      <c r="JG20" s="116">
        <f t="shared" si="1"/>
        <v>664</v>
      </c>
      <c r="JH20" s="116">
        <f t="shared" si="1"/>
        <v>706.15</v>
      </c>
      <c r="JI20" s="116">
        <f t="shared" si="1"/>
        <v>686.55</v>
      </c>
      <c r="JJ20" s="116">
        <f t="shared" si="2"/>
        <v>598</v>
      </c>
      <c r="JK20" s="116">
        <f t="shared" ref="JK20" si="9">+IF(JK15=0,JK8,JK15)</f>
        <v>599.25</v>
      </c>
      <c r="JL20" s="116">
        <f t="shared" ref="JL20:JM20" si="10">+IF(JL15=0,JL8,JL15)</f>
        <v>647.5</v>
      </c>
      <c r="JM20" s="116">
        <f t="shared" si="10"/>
        <v>566.5</v>
      </c>
      <c r="JN20" s="116">
        <f t="shared" ref="JN20:JO20" si="11">+IF(JN15=0,JN8,JN15)</f>
        <v>607.04999999999995</v>
      </c>
      <c r="JO20" s="116">
        <f t="shared" si="11"/>
        <v>625.6</v>
      </c>
      <c r="JP20" s="116">
        <f t="shared" ref="JP20" si="12">+IF(JP15=0,JP8,JP15)</f>
        <v>626.6</v>
      </c>
      <c r="JQ20" s="116">
        <f t="shared" ref="JQ20:KH20" si="13">+IF(JQ15=0,JQ8,JQ15)</f>
        <v>734.25</v>
      </c>
      <c r="JR20" s="116">
        <f t="shared" si="13"/>
        <v>569.29999999999995</v>
      </c>
      <c r="JS20" s="116">
        <f t="shared" si="13"/>
        <v>570.4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269.75</v>
      </c>
      <c r="IJ21" s="116">
        <f t="shared" si="1"/>
        <v>338.3</v>
      </c>
      <c r="IK21" s="116">
        <f t="shared" si="1"/>
        <v>514.20000000000005</v>
      </c>
      <c r="IL21" s="116">
        <f t="shared" si="1"/>
        <v>449.5</v>
      </c>
      <c r="IM21" s="116">
        <f t="shared" si="1"/>
        <v>493.15</v>
      </c>
      <c r="IN21" s="116">
        <f t="shared" si="1"/>
        <v>411.05</v>
      </c>
      <c r="IO21" s="116">
        <f t="shared" si="1"/>
        <v>392.05</v>
      </c>
      <c r="IP21" s="116">
        <f t="shared" si="1"/>
        <v>459.95</v>
      </c>
      <c r="IQ21" s="116">
        <f t="shared" si="1"/>
        <v>550.20000000000005</v>
      </c>
      <c r="IR21" s="116">
        <f t="shared" si="1"/>
        <v>564.5</v>
      </c>
      <c r="IS21" s="116">
        <f t="shared" si="1"/>
        <v>495.75</v>
      </c>
      <c r="IT21" s="116">
        <f t="shared" si="1"/>
        <v>321.7</v>
      </c>
      <c r="IU21" s="116">
        <f t="shared" si="1"/>
        <v>390</v>
      </c>
      <c r="IV21" s="116">
        <f t="shared" si="1"/>
        <v>403.15</v>
      </c>
      <c r="IW21" s="116">
        <f t="shared" si="1"/>
        <v>414.95</v>
      </c>
      <c r="IX21" s="116">
        <f t="shared" si="1"/>
        <v>463.4</v>
      </c>
      <c r="IY21" s="116">
        <f t="shared" si="1"/>
        <v>418.4</v>
      </c>
      <c r="IZ21" s="116">
        <f t="shared" si="1"/>
        <v>482.75</v>
      </c>
      <c r="JA21" s="116">
        <f t="shared" si="1"/>
        <v>485.45</v>
      </c>
      <c r="JB21" s="116">
        <f t="shared" si="1"/>
        <v>539.85</v>
      </c>
      <c r="JC21" s="116">
        <f t="shared" si="1"/>
        <v>552.9</v>
      </c>
      <c r="JD21" s="116">
        <f t="shared" si="1"/>
        <v>641.54999999999995</v>
      </c>
      <c r="JE21" s="116">
        <f t="shared" si="1"/>
        <v>699.35</v>
      </c>
      <c r="JF21" s="116">
        <f t="shared" si="1"/>
        <v>671.4</v>
      </c>
      <c r="JG21" s="116">
        <f t="shared" si="1"/>
        <v>713.25</v>
      </c>
      <c r="JH21" s="116">
        <f t="shared" si="1"/>
        <v>797.45</v>
      </c>
      <c r="JI21" s="116">
        <f t="shared" si="1"/>
        <v>768.05</v>
      </c>
      <c r="JJ21" s="116">
        <f t="shared" si="2"/>
        <v>686.1</v>
      </c>
      <c r="JK21" s="116">
        <f t="shared" ref="JK21" si="14">+IF(JK16=0,JK9,JK16)</f>
        <v>684.15</v>
      </c>
      <c r="JL21" s="116">
        <f t="shared" ref="JL21:JM21" si="15">+IF(JL16=0,JL9,JL16)</f>
        <v>652.54999999999995</v>
      </c>
      <c r="JM21" s="116">
        <f t="shared" si="15"/>
        <v>649.79999999999995</v>
      </c>
      <c r="JN21" s="116">
        <f t="shared" ref="JN21:JO21" si="16">+IF(JN16=0,JN9,JN16)</f>
        <v>632.29999999999995</v>
      </c>
      <c r="JO21" s="116">
        <f t="shared" si="16"/>
        <v>760</v>
      </c>
      <c r="JP21" s="116">
        <f t="shared" ref="JP21" si="17">+IF(JP16=0,JP9,JP16)</f>
        <v>753.1</v>
      </c>
      <c r="JQ21" s="116">
        <f t="shared" ref="JQ21:KH21" si="18">+IF(JQ16=0,JQ9,JQ16)</f>
        <v>867.9</v>
      </c>
      <c r="JR21" s="116">
        <f t="shared" si="18"/>
        <v>580.04999999999995</v>
      </c>
      <c r="JS21" s="116">
        <f t="shared" si="18"/>
        <v>908.35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284184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28800000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36000000</v>
      </c>
      <c r="X6" cm="1">
        <f t="array" ref="X6">_xll.EQNXTDZ($A$1,$B6,X$1)</f>
        <v>36000000</v>
      </c>
      <c r="Y6" cm="1">
        <f t="array" ref="Y6">_xll.EQNXTDZ($A$1,$B6,Y$1)</f>
        <v>36000000</v>
      </c>
      <c r="Z6" cm="1">
        <f t="array" ref="Z6">_xll.EQNXTDZ($A$1,$B6,Z$1)</f>
        <v>36000000</v>
      </c>
      <c r="AA6" cm="1">
        <f t="array" ref="AA6">_xll.EQNXTDZ($A$1,$B6,AA$1)</f>
        <v>36000000</v>
      </c>
      <c r="AB6" cm="1">
        <f t="array" ref="AB6">_xll.EQNXTDZ($A$1,$B6,AB$1)</f>
        <v>36000000</v>
      </c>
      <c r="AC6" cm="1">
        <f t="array" ref="AC6">_xll.EQNXTDZ($A$1,$B6,AC$1)</f>
        <v>36000000</v>
      </c>
      <c r="AD6" cm="1">
        <f t="array" ref="AD6">_xll.EQNXTDZ($A$1,$B6,AD$1)</f>
        <v>36000000</v>
      </c>
      <c r="AE6" cm="1">
        <f t="array" ref="AE6">_xll.EQNXTDZ($A$1,$B6,AE$1)</f>
        <v>36000000</v>
      </c>
      <c r="AF6" cm="1">
        <f t="array" ref="AF6">_xll.EQNXTDZ($A$1,$B6,AF$1)</f>
        <v>36000000</v>
      </c>
      <c r="AG6" cm="1">
        <f t="array" ref="AG6">_xll.EQNXTDZ($A$1,$B6,AG$1)</f>
        <v>36000000</v>
      </c>
      <c r="AH6" cm="1">
        <f t="array" ref="AH6">_xll.EQNXTDZ($A$1,$B6,AH$1)</f>
        <v>36000000</v>
      </c>
      <c r="AI6" cm="1">
        <f t="array" ref="AI6">_xll.EQNXTDZ($A$1,$B6,AI$1)</f>
        <v>36000000</v>
      </c>
      <c r="AJ6" cm="1">
        <f t="array" ref="AJ6">_xll.EQNXTDZ($A$1,$B6,AJ$1)</f>
        <v>36000000</v>
      </c>
      <c r="AK6" cm="1">
        <f t="array" ref="AK6">_xll.EQNXTDZ($A$1,$B6,AK$1)</f>
        <v>36000000</v>
      </c>
      <c r="AL6" cm="1">
        <f t="array" ref="AL6">_xll.EQNXTDZ($A$1,$B6,AL$1)</f>
        <v>36000000</v>
      </c>
      <c r="AM6" cm="1">
        <f t="array" ref="AM6">_xll.EQNXTDZ($A$1,$B6,AM$1)</f>
        <v>36000000</v>
      </c>
      <c r="AN6" cm="1">
        <f t="array" ref="AN6">_xll.EQNXTDZ($A$1,$B6,AN$1)</f>
        <v>36000000</v>
      </c>
      <c r="AO6" cm="1">
        <f t="array" ref="AO6">_xll.EQNXTDZ($A$1,$B6,AO$1)</f>
        <v>36000000</v>
      </c>
      <c r="AP6" cm="1">
        <f t="array" ref="AP6">_xll.EQNXTDZ($A$1,$B6,AP$1)</f>
        <v>36000000</v>
      </c>
      <c r="AQ6" cm="1">
        <f t="array" ref="AQ6">_xll.EQNXTDZ($A$1,$B6,AQ$1)</f>
        <v>36000000</v>
      </c>
      <c r="AR6" cm="1">
        <f t="array" ref="AR6">_xll.EQNXTDZ($A$1,$B6,AR$1)</f>
        <v>36000000</v>
      </c>
      <c r="AS6" cm="1">
        <f t="array" ref="AS6">_xll.EQNXTDZ($A$1,$B6,AS$1)</f>
        <v>36000000</v>
      </c>
      <c r="AT6" cm="1">
        <f t="array" ref="AT6">_xll.EQNXTDZ($A$1,$B6,AT$1)</f>
        <v>36000000</v>
      </c>
      <c r="AU6" cm="1">
        <f t="array" ref="AU6">_xll.EQNXTDZ($A$1,$B6,AU$1)</f>
        <v>36000000</v>
      </c>
      <c r="AV6" cm="1">
        <f t="array" ref="AV6">_xll.EQNXTDZ($A$1,$B6,AV$1)</f>
        <v>36000000</v>
      </c>
      <c r="AW6" cm="1">
        <f t="array" ref="AW6">_xll.EQNXTDZ($A$1,$B6,AW$1)</f>
        <v>36000000</v>
      </c>
      <c r="AX6" cm="1">
        <f t="array" ref="AX6">_xll.EQNXTDZ($A$1,$B6,AX$1)</f>
        <v>36000000</v>
      </c>
      <c r="AY6" cm="1">
        <f t="array" ref="AY6">_xll.EQNXTDZ($A$1,$B6,AY$1)</f>
        <v>39641791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2.88</v>
      </c>
      <c r="U7" s="100">
        <f t="shared" si="0"/>
        <v>0</v>
      </c>
      <c r="V7" s="100">
        <f t="shared" si="0"/>
        <v>0</v>
      </c>
      <c r="W7" s="100">
        <f t="shared" si="0"/>
        <v>3.6</v>
      </c>
      <c r="X7" s="100">
        <f t="shared" si="0"/>
        <v>3.6</v>
      </c>
      <c r="Y7" s="100">
        <f t="shared" ref="Y7:AS7" si="1">+Y6/10^7</f>
        <v>3.6</v>
      </c>
      <c r="Z7" s="100">
        <f t="shared" si="1"/>
        <v>3.6</v>
      </c>
      <c r="AA7" s="100">
        <f t="shared" si="1"/>
        <v>3.6</v>
      </c>
      <c r="AB7" s="100">
        <f t="shared" si="1"/>
        <v>3.6</v>
      </c>
      <c r="AC7" s="100">
        <f t="shared" si="1"/>
        <v>3.6</v>
      </c>
      <c r="AD7" s="100">
        <f t="shared" si="1"/>
        <v>3.6</v>
      </c>
      <c r="AE7" s="100">
        <f t="shared" si="1"/>
        <v>3.6</v>
      </c>
      <c r="AF7" s="100">
        <f t="shared" si="1"/>
        <v>3.6</v>
      </c>
      <c r="AG7" s="100">
        <f t="shared" si="1"/>
        <v>3.6</v>
      </c>
      <c r="AH7" s="100">
        <f t="shared" si="1"/>
        <v>3.6</v>
      </c>
      <c r="AI7" s="100">
        <f t="shared" si="1"/>
        <v>3.6</v>
      </c>
      <c r="AJ7" s="100">
        <f t="shared" si="1"/>
        <v>3.6</v>
      </c>
      <c r="AK7" s="100">
        <f t="shared" si="1"/>
        <v>3.6</v>
      </c>
      <c r="AL7" s="100">
        <f t="shared" si="1"/>
        <v>3.6</v>
      </c>
      <c r="AM7" s="100">
        <f t="shared" si="1"/>
        <v>3.6</v>
      </c>
      <c r="AN7" s="100">
        <f t="shared" si="1"/>
        <v>3.6</v>
      </c>
      <c r="AO7" s="100">
        <f t="shared" si="1"/>
        <v>3.6</v>
      </c>
      <c r="AP7" s="100">
        <f t="shared" si="1"/>
        <v>3.6</v>
      </c>
      <c r="AQ7" s="100">
        <f t="shared" si="1"/>
        <v>3.6</v>
      </c>
      <c r="AR7" s="100">
        <f t="shared" si="1"/>
        <v>3.6</v>
      </c>
      <c r="AS7" s="100">
        <f t="shared" si="1"/>
        <v>3.6</v>
      </c>
      <c r="AT7" s="100">
        <f t="shared" ref="AT7:AX7" si="2">+AT6/10^7</f>
        <v>3.6</v>
      </c>
      <c r="AU7" s="100">
        <f t="shared" si="2"/>
        <v>3.6</v>
      </c>
      <c r="AV7" s="100">
        <f t="shared" si="2"/>
        <v>3.6</v>
      </c>
      <c r="AW7" s="100">
        <f t="shared" si="2"/>
        <v>3.6</v>
      </c>
      <c r="AX7" s="100">
        <f t="shared" si="2"/>
        <v>3.6</v>
      </c>
      <c r="AY7" s="100">
        <f t="shared" ref="AY7" si="3">+AY6/10^7</f>
        <v>3.9641791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284184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42884</v>
      </c>
      <c r="B4" s="116">
        <v>208.95</v>
      </c>
      <c r="C4" s="116">
        <v>208.95</v>
      </c>
      <c r="D4" s="116">
        <v>189.05</v>
      </c>
      <c r="E4" s="116">
        <v>199</v>
      </c>
      <c r="F4" s="116">
        <v>208.95</v>
      </c>
      <c r="G4">
        <v>181252</v>
      </c>
      <c r="H4" s="116"/>
      <c r="I4" s="116"/>
      <c r="L4" s="170">
        <v>42884</v>
      </c>
      <c r="M4" s="116">
        <v>199.5</v>
      </c>
      <c r="N4" s="116">
        <v>199.5</v>
      </c>
      <c r="O4" s="116">
        <v>190</v>
      </c>
      <c r="P4" s="116">
        <v>190</v>
      </c>
      <c r="Q4" s="116">
        <v>199.5</v>
      </c>
      <c r="R4">
        <v>425256</v>
      </c>
    </row>
    <row r="5" spans="1:18" x14ac:dyDescent="0.25">
      <c r="A5" s="170">
        <v>42885</v>
      </c>
      <c r="B5" s="116">
        <v>219.35</v>
      </c>
      <c r="C5" s="116">
        <v>219.35</v>
      </c>
      <c r="D5" s="116">
        <v>211.2</v>
      </c>
      <c r="E5" s="116">
        <v>218</v>
      </c>
      <c r="F5" s="116">
        <v>219.35</v>
      </c>
      <c r="G5">
        <v>354277</v>
      </c>
      <c r="H5" s="116"/>
      <c r="I5" s="116"/>
      <c r="L5" s="170">
        <v>42885</v>
      </c>
      <c r="M5" s="116">
        <v>209.45</v>
      </c>
      <c r="N5" s="116">
        <v>209.45</v>
      </c>
      <c r="O5" s="116">
        <v>209.45</v>
      </c>
      <c r="P5" s="116">
        <v>209.45</v>
      </c>
      <c r="Q5" s="116">
        <v>209.45</v>
      </c>
      <c r="R5">
        <v>6926</v>
      </c>
    </row>
    <row r="6" spans="1:18" x14ac:dyDescent="0.25">
      <c r="A6" s="170">
        <v>42886</v>
      </c>
      <c r="B6" s="116">
        <v>226</v>
      </c>
      <c r="C6" s="116">
        <v>218.2</v>
      </c>
      <c r="D6" s="116">
        <v>208.4</v>
      </c>
      <c r="E6" s="116">
        <v>223.3</v>
      </c>
      <c r="F6" s="116">
        <v>218.2</v>
      </c>
      <c r="G6">
        <v>274072</v>
      </c>
      <c r="H6" s="116"/>
      <c r="I6" s="116"/>
      <c r="L6" s="170">
        <v>42886</v>
      </c>
      <c r="M6" s="116">
        <v>218.35</v>
      </c>
      <c r="N6" s="116">
        <v>219.9</v>
      </c>
      <c r="O6" s="116">
        <v>203.2</v>
      </c>
      <c r="P6" s="116">
        <v>219.9</v>
      </c>
      <c r="Q6" s="116">
        <v>218.35</v>
      </c>
      <c r="R6">
        <v>279052</v>
      </c>
    </row>
    <row r="7" spans="1:18" x14ac:dyDescent="0.25">
      <c r="A7" s="170">
        <v>42887</v>
      </c>
      <c r="B7" s="116">
        <v>218.75</v>
      </c>
      <c r="C7" s="116">
        <v>217.95</v>
      </c>
      <c r="D7" s="116">
        <v>212</v>
      </c>
      <c r="E7" s="116">
        <v>215</v>
      </c>
      <c r="F7" s="116">
        <v>217.95</v>
      </c>
      <c r="G7">
        <v>179474</v>
      </c>
      <c r="H7" s="116"/>
      <c r="I7" s="116"/>
      <c r="L7" s="170">
        <v>42887</v>
      </c>
      <c r="M7" s="116">
        <v>218.05</v>
      </c>
      <c r="N7" s="116">
        <v>219</v>
      </c>
      <c r="O7" s="116">
        <v>211</v>
      </c>
      <c r="P7" s="116">
        <v>211</v>
      </c>
      <c r="Q7" s="116">
        <v>218.05</v>
      </c>
      <c r="R7">
        <v>110148</v>
      </c>
    </row>
    <row r="8" spans="1:18" x14ac:dyDescent="0.25">
      <c r="A8" s="170">
        <v>42888</v>
      </c>
      <c r="B8" s="116">
        <v>219.5</v>
      </c>
      <c r="C8" s="116">
        <v>217.5</v>
      </c>
      <c r="D8" s="116">
        <v>215.05</v>
      </c>
      <c r="E8" s="116">
        <v>215.05</v>
      </c>
      <c r="F8" s="116">
        <v>217.5</v>
      </c>
      <c r="G8">
        <v>23485</v>
      </c>
      <c r="H8" s="116"/>
      <c r="I8" s="116"/>
      <c r="L8" s="170">
        <v>42888</v>
      </c>
      <c r="M8" s="116">
        <v>217.5</v>
      </c>
      <c r="N8" s="116">
        <v>220</v>
      </c>
      <c r="O8" s="116">
        <v>215.05</v>
      </c>
      <c r="P8" s="116">
        <v>218.1</v>
      </c>
      <c r="Q8" s="116">
        <v>217.5</v>
      </c>
      <c r="R8">
        <v>95689</v>
      </c>
    </row>
    <row r="9" spans="1:18" x14ac:dyDescent="0.25">
      <c r="A9" s="170">
        <v>42891</v>
      </c>
      <c r="B9" s="116">
        <v>221</v>
      </c>
      <c r="C9" s="116">
        <v>220.35</v>
      </c>
      <c r="D9" s="116">
        <v>216</v>
      </c>
      <c r="E9" s="116">
        <v>216</v>
      </c>
      <c r="F9" s="116">
        <v>220.35</v>
      </c>
      <c r="G9">
        <v>26923</v>
      </c>
      <c r="H9" s="116"/>
      <c r="I9" s="116"/>
      <c r="L9" s="170">
        <v>42891</v>
      </c>
      <c r="M9" s="116">
        <v>219.95</v>
      </c>
      <c r="N9" s="116">
        <v>221</v>
      </c>
      <c r="O9" s="116">
        <v>216</v>
      </c>
      <c r="P9" s="116">
        <v>220</v>
      </c>
      <c r="Q9" s="116">
        <v>219.95</v>
      </c>
      <c r="R9">
        <v>110002</v>
      </c>
    </row>
    <row r="10" spans="1:18" x14ac:dyDescent="0.25">
      <c r="A10" s="170">
        <v>42892</v>
      </c>
      <c r="B10" s="116">
        <v>231.35</v>
      </c>
      <c r="C10" s="116">
        <v>230.6</v>
      </c>
      <c r="D10" s="116">
        <v>220.5</v>
      </c>
      <c r="E10" s="116">
        <v>221</v>
      </c>
      <c r="F10" s="116">
        <v>230.6</v>
      </c>
      <c r="G10">
        <v>40994</v>
      </c>
      <c r="H10" s="116"/>
      <c r="I10" s="116"/>
      <c r="L10" s="170">
        <v>42892</v>
      </c>
      <c r="M10" s="116">
        <v>230.15</v>
      </c>
      <c r="N10" s="116">
        <v>230.9</v>
      </c>
      <c r="O10" s="116">
        <v>215.1</v>
      </c>
      <c r="P10" s="116">
        <v>221</v>
      </c>
      <c r="Q10" s="116">
        <v>230.15</v>
      </c>
      <c r="R10">
        <v>80946</v>
      </c>
    </row>
    <row r="11" spans="1:18" x14ac:dyDescent="0.25">
      <c r="A11" s="170">
        <v>42893</v>
      </c>
      <c r="B11" s="116">
        <v>242.1</v>
      </c>
      <c r="C11" s="116">
        <v>242.1</v>
      </c>
      <c r="D11" s="116">
        <v>234.45</v>
      </c>
      <c r="E11" s="116">
        <v>234.45</v>
      </c>
      <c r="F11" s="116">
        <v>242.1</v>
      </c>
      <c r="G11">
        <v>27046</v>
      </c>
      <c r="H11" s="116"/>
      <c r="I11" s="116"/>
      <c r="L11" s="170">
        <v>42893</v>
      </c>
      <c r="M11" s="116">
        <v>241.65</v>
      </c>
      <c r="N11" s="116">
        <v>241.65</v>
      </c>
      <c r="O11" s="116">
        <v>234.45</v>
      </c>
      <c r="P11" s="116">
        <v>234.45</v>
      </c>
      <c r="Q11" s="116">
        <v>241.65</v>
      </c>
      <c r="R11">
        <v>29388</v>
      </c>
    </row>
    <row r="12" spans="1:18" x14ac:dyDescent="0.25">
      <c r="A12" s="170">
        <v>42894</v>
      </c>
      <c r="B12" s="116">
        <v>254.2</v>
      </c>
      <c r="C12" s="116">
        <v>254.2</v>
      </c>
      <c r="D12" s="116">
        <v>251</v>
      </c>
      <c r="E12" s="116">
        <v>254</v>
      </c>
      <c r="F12" s="116">
        <v>254.2</v>
      </c>
      <c r="G12">
        <v>41946</v>
      </c>
      <c r="H12" s="116"/>
      <c r="I12" s="116"/>
      <c r="L12" s="170">
        <v>42894</v>
      </c>
      <c r="M12" s="116">
        <v>253.7</v>
      </c>
      <c r="N12" s="116">
        <v>253.7</v>
      </c>
      <c r="O12" s="116">
        <v>249</v>
      </c>
      <c r="P12" s="116">
        <v>253.7</v>
      </c>
      <c r="Q12" s="116">
        <v>253.7</v>
      </c>
      <c r="R12">
        <v>16959</v>
      </c>
    </row>
    <row r="13" spans="1:18" x14ac:dyDescent="0.25">
      <c r="A13" s="170">
        <v>42895</v>
      </c>
      <c r="B13" s="116">
        <v>266.89999999999998</v>
      </c>
      <c r="C13" s="116">
        <v>266.89999999999998</v>
      </c>
      <c r="D13" s="116">
        <v>261.10000000000002</v>
      </c>
      <c r="E13" s="116">
        <v>265</v>
      </c>
      <c r="F13" s="116">
        <v>266.89999999999998</v>
      </c>
      <c r="G13">
        <v>60928</v>
      </c>
      <c r="H13" s="116"/>
      <c r="I13" s="116"/>
      <c r="L13" s="170">
        <v>42895</v>
      </c>
      <c r="M13" s="116">
        <v>266.35000000000002</v>
      </c>
      <c r="N13" s="116">
        <v>266.35000000000002</v>
      </c>
      <c r="O13" s="116">
        <v>260.39999999999998</v>
      </c>
      <c r="P13" s="116">
        <v>266.35000000000002</v>
      </c>
      <c r="Q13" s="116">
        <v>266.35000000000002</v>
      </c>
      <c r="R13">
        <v>25907</v>
      </c>
    </row>
    <row r="14" spans="1:18" x14ac:dyDescent="0.25">
      <c r="A14" s="170">
        <v>42898</v>
      </c>
      <c r="B14" s="116">
        <v>276.5</v>
      </c>
      <c r="C14" s="116">
        <v>266.05</v>
      </c>
      <c r="D14" s="116">
        <v>244.4</v>
      </c>
      <c r="E14" s="116">
        <v>268</v>
      </c>
      <c r="F14" s="116">
        <v>266.05</v>
      </c>
      <c r="G14">
        <v>85904</v>
      </c>
      <c r="H14" s="116"/>
      <c r="I14" s="116"/>
      <c r="L14" s="170">
        <v>42898</v>
      </c>
      <c r="M14" s="116">
        <v>265.3</v>
      </c>
      <c r="N14" s="116">
        <v>276.5</v>
      </c>
      <c r="O14" s="116">
        <v>242</v>
      </c>
      <c r="P14" s="116">
        <v>272</v>
      </c>
      <c r="Q14" s="116">
        <v>265.3</v>
      </c>
      <c r="R14">
        <v>205096</v>
      </c>
    </row>
    <row r="15" spans="1:18" x14ac:dyDescent="0.25">
      <c r="A15" s="170">
        <v>42899</v>
      </c>
      <c r="B15" s="116">
        <v>307</v>
      </c>
      <c r="C15" s="116">
        <v>288.55</v>
      </c>
      <c r="D15" s="116">
        <v>261.95</v>
      </c>
      <c r="E15" s="116">
        <v>262</v>
      </c>
      <c r="F15" s="116">
        <v>288.55</v>
      </c>
      <c r="G15">
        <v>170980</v>
      </c>
      <c r="H15" s="116"/>
      <c r="I15" s="116"/>
      <c r="L15" s="170">
        <v>42899</v>
      </c>
      <c r="M15" s="116">
        <v>290</v>
      </c>
      <c r="N15" s="116">
        <v>307.7</v>
      </c>
      <c r="O15" s="116">
        <v>259</v>
      </c>
      <c r="P15" s="116">
        <v>265.89999999999998</v>
      </c>
      <c r="Q15" s="116">
        <v>290</v>
      </c>
      <c r="R15">
        <v>629555</v>
      </c>
    </row>
    <row r="16" spans="1:18" x14ac:dyDescent="0.25">
      <c r="A16" s="170">
        <v>42900</v>
      </c>
      <c r="B16" s="116">
        <v>300.35000000000002</v>
      </c>
      <c r="C16" s="116">
        <v>291.60000000000002</v>
      </c>
      <c r="D16" s="116">
        <v>282.45</v>
      </c>
      <c r="E16" s="116">
        <v>289.89999999999998</v>
      </c>
      <c r="F16" s="116">
        <v>291.60000000000002</v>
      </c>
      <c r="G16">
        <v>97260</v>
      </c>
      <c r="H16" s="116"/>
      <c r="I16" s="116"/>
      <c r="L16" s="170">
        <v>42900</v>
      </c>
      <c r="M16" s="116">
        <v>290.64999999999998</v>
      </c>
      <c r="N16" s="116">
        <v>300</v>
      </c>
      <c r="O16" s="116">
        <v>282</v>
      </c>
      <c r="P16" s="116">
        <v>290</v>
      </c>
      <c r="Q16" s="116">
        <v>290.64999999999998</v>
      </c>
      <c r="R16">
        <v>299032</v>
      </c>
    </row>
    <row r="17" spans="1:18" x14ac:dyDescent="0.25">
      <c r="A17" s="170">
        <v>42901</v>
      </c>
      <c r="B17" s="116">
        <v>299</v>
      </c>
      <c r="C17" s="116">
        <v>294.2</v>
      </c>
      <c r="D17" s="116">
        <v>288</v>
      </c>
      <c r="E17" s="116">
        <v>291.10000000000002</v>
      </c>
      <c r="F17" s="116">
        <v>294.2</v>
      </c>
      <c r="G17">
        <v>47562</v>
      </c>
      <c r="H17" s="116"/>
      <c r="I17" s="116"/>
      <c r="L17" s="170">
        <v>42901</v>
      </c>
      <c r="M17" s="116">
        <v>294.3</v>
      </c>
      <c r="N17" s="116">
        <v>299.95</v>
      </c>
      <c r="O17" s="116">
        <v>287.55</v>
      </c>
      <c r="P17" s="116">
        <v>290.95</v>
      </c>
      <c r="Q17" s="116">
        <v>294.3</v>
      </c>
      <c r="R17">
        <v>183258</v>
      </c>
    </row>
    <row r="18" spans="1:18" x14ac:dyDescent="0.25">
      <c r="A18" s="170">
        <v>42902</v>
      </c>
      <c r="B18" s="116">
        <v>309.5</v>
      </c>
      <c r="C18" s="116">
        <v>299.8</v>
      </c>
      <c r="D18" s="116">
        <v>295.35000000000002</v>
      </c>
      <c r="E18" s="116">
        <v>295.55</v>
      </c>
      <c r="F18" s="116">
        <v>299.8</v>
      </c>
      <c r="G18">
        <v>56997</v>
      </c>
      <c r="H18" s="116"/>
      <c r="I18" s="116"/>
      <c r="L18" s="170">
        <v>42902</v>
      </c>
      <c r="M18" s="116">
        <v>299.14999999999998</v>
      </c>
      <c r="N18" s="116">
        <v>309.8</v>
      </c>
      <c r="O18" s="116">
        <v>296</v>
      </c>
      <c r="P18" s="116">
        <v>296.75</v>
      </c>
      <c r="Q18" s="116">
        <v>299.14999999999998</v>
      </c>
      <c r="R18">
        <v>269675</v>
      </c>
    </row>
    <row r="19" spans="1:18" x14ac:dyDescent="0.25">
      <c r="A19" s="170">
        <v>42905</v>
      </c>
      <c r="B19" s="116">
        <v>316.75</v>
      </c>
      <c r="C19" s="116">
        <v>305.25</v>
      </c>
      <c r="D19" s="116">
        <v>292.64999999999998</v>
      </c>
      <c r="E19" s="116">
        <v>300</v>
      </c>
      <c r="F19" s="116">
        <v>305.25</v>
      </c>
      <c r="G19">
        <v>160184</v>
      </c>
      <c r="H19" s="116"/>
      <c r="I19" s="116"/>
      <c r="L19" s="170">
        <v>42905</v>
      </c>
      <c r="M19" s="116">
        <v>304.85000000000002</v>
      </c>
      <c r="N19" s="116">
        <v>317.5</v>
      </c>
      <c r="O19" s="116">
        <v>292.5</v>
      </c>
      <c r="P19" s="116">
        <v>301.7</v>
      </c>
      <c r="Q19" s="116">
        <v>304.85000000000002</v>
      </c>
      <c r="R19">
        <v>603204</v>
      </c>
    </row>
    <row r="20" spans="1:18" x14ac:dyDescent="0.25">
      <c r="A20" s="170">
        <v>42906</v>
      </c>
      <c r="B20" s="116">
        <v>309.39999999999998</v>
      </c>
      <c r="C20" s="116">
        <v>290.8</v>
      </c>
      <c r="D20" s="116">
        <v>287.05</v>
      </c>
      <c r="E20" s="116">
        <v>308</v>
      </c>
      <c r="F20" s="116">
        <v>290.8</v>
      </c>
      <c r="G20">
        <v>54557</v>
      </c>
      <c r="H20" s="116"/>
      <c r="I20" s="116"/>
      <c r="L20" s="170">
        <v>42906</v>
      </c>
      <c r="M20" s="116">
        <v>290.05</v>
      </c>
      <c r="N20" s="116">
        <v>309.45</v>
      </c>
      <c r="O20" s="116">
        <v>285.75</v>
      </c>
      <c r="P20" s="116">
        <v>305.39999999999998</v>
      </c>
      <c r="Q20" s="116">
        <v>290.05</v>
      </c>
      <c r="R20">
        <v>212643</v>
      </c>
    </row>
    <row r="21" spans="1:18" x14ac:dyDescent="0.25">
      <c r="A21" s="170">
        <v>42907</v>
      </c>
      <c r="B21" s="116">
        <v>298.05</v>
      </c>
      <c r="C21" s="116">
        <v>295.8</v>
      </c>
      <c r="D21" s="116">
        <v>290</v>
      </c>
      <c r="E21" s="116">
        <v>291.5</v>
      </c>
      <c r="F21" s="116">
        <v>295.8</v>
      </c>
      <c r="G21">
        <v>25253</v>
      </c>
      <c r="H21" s="116"/>
      <c r="I21" s="116"/>
      <c r="L21" s="170">
        <v>42907</v>
      </c>
      <c r="M21" s="116">
        <v>296.60000000000002</v>
      </c>
      <c r="N21" s="116">
        <v>298.8</v>
      </c>
      <c r="O21" s="116">
        <v>289</v>
      </c>
      <c r="P21" s="116">
        <v>292.35000000000002</v>
      </c>
      <c r="Q21" s="116">
        <v>296.60000000000002</v>
      </c>
      <c r="R21">
        <v>133659</v>
      </c>
    </row>
    <row r="22" spans="1:18" x14ac:dyDescent="0.25">
      <c r="A22" s="170">
        <v>42908</v>
      </c>
      <c r="B22" s="116">
        <v>298.5</v>
      </c>
      <c r="C22" s="116">
        <v>277.5</v>
      </c>
      <c r="D22" s="116">
        <v>274.5</v>
      </c>
      <c r="E22" s="116">
        <v>297.3</v>
      </c>
      <c r="F22" s="116">
        <v>277.5</v>
      </c>
      <c r="G22">
        <v>53647</v>
      </c>
      <c r="H22" s="116"/>
      <c r="I22" s="116"/>
      <c r="L22" s="170">
        <v>42908</v>
      </c>
      <c r="M22" s="116">
        <v>278.60000000000002</v>
      </c>
      <c r="N22" s="116">
        <v>299</v>
      </c>
      <c r="O22" s="116">
        <v>275</v>
      </c>
      <c r="P22" s="116">
        <v>296.95</v>
      </c>
      <c r="Q22" s="116">
        <v>278.60000000000002</v>
      </c>
      <c r="R22">
        <v>208583</v>
      </c>
    </row>
    <row r="23" spans="1:18" x14ac:dyDescent="0.25">
      <c r="A23" s="170">
        <v>42909</v>
      </c>
      <c r="B23" s="116">
        <v>279</v>
      </c>
      <c r="C23" s="116">
        <v>266.35000000000002</v>
      </c>
      <c r="D23" s="116">
        <v>263.25</v>
      </c>
      <c r="E23" s="116">
        <v>278.3</v>
      </c>
      <c r="F23" s="116">
        <v>266.35000000000002</v>
      </c>
      <c r="G23">
        <v>28720</v>
      </c>
      <c r="H23" s="116"/>
      <c r="I23" s="116"/>
      <c r="L23" s="170">
        <v>42909</v>
      </c>
      <c r="M23" s="116">
        <v>267.35000000000002</v>
      </c>
      <c r="N23" s="116">
        <v>280.75</v>
      </c>
      <c r="O23" s="116">
        <v>264</v>
      </c>
      <c r="P23" s="116">
        <v>278</v>
      </c>
      <c r="Q23" s="116">
        <v>267.35000000000002</v>
      </c>
      <c r="R23">
        <v>143371</v>
      </c>
    </row>
    <row r="24" spans="1:18" x14ac:dyDescent="0.25">
      <c r="A24" s="170">
        <v>42913</v>
      </c>
      <c r="B24" s="116">
        <v>268.3</v>
      </c>
      <c r="C24" s="116">
        <v>260.3</v>
      </c>
      <c r="D24" s="116">
        <v>258</v>
      </c>
      <c r="E24" s="116">
        <v>265.5</v>
      </c>
      <c r="F24" s="116">
        <v>260.3</v>
      </c>
      <c r="G24">
        <v>46468</v>
      </c>
      <c r="H24" s="116"/>
      <c r="I24" s="116"/>
      <c r="L24" s="170">
        <v>42913</v>
      </c>
      <c r="M24" s="116">
        <v>260.5</v>
      </c>
      <c r="N24" s="116">
        <v>267.8</v>
      </c>
      <c r="O24" s="116">
        <v>258</v>
      </c>
      <c r="P24" s="116">
        <v>262.3</v>
      </c>
      <c r="Q24" s="116">
        <v>260.5</v>
      </c>
      <c r="R24">
        <v>130790</v>
      </c>
    </row>
    <row r="25" spans="1:18" x14ac:dyDescent="0.25">
      <c r="A25" s="170">
        <v>42914</v>
      </c>
      <c r="B25" s="116">
        <v>260</v>
      </c>
      <c r="C25" s="116">
        <v>255.5</v>
      </c>
      <c r="D25" s="116">
        <v>251</v>
      </c>
      <c r="E25" s="116">
        <v>260</v>
      </c>
      <c r="F25" s="116">
        <v>255.5</v>
      </c>
      <c r="G25">
        <v>25135</v>
      </c>
      <c r="H25" s="116"/>
      <c r="I25" s="116"/>
      <c r="L25" s="170">
        <v>42914</v>
      </c>
      <c r="M25" s="116">
        <v>255.5</v>
      </c>
      <c r="N25" s="116">
        <v>260.85000000000002</v>
      </c>
      <c r="O25" s="116">
        <v>251.2</v>
      </c>
      <c r="P25" s="116">
        <v>256.05</v>
      </c>
      <c r="Q25" s="116">
        <v>255.5</v>
      </c>
      <c r="R25">
        <v>152133</v>
      </c>
    </row>
    <row r="26" spans="1:18" x14ac:dyDescent="0.25">
      <c r="A26" s="170">
        <v>42915</v>
      </c>
      <c r="B26" s="116">
        <v>272.75</v>
      </c>
      <c r="C26" s="116">
        <v>271</v>
      </c>
      <c r="D26" s="116">
        <v>258.2</v>
      </c>
      <c r="E26" s="116">
        <v>259.85000000000002</v>
      </c>
      <c r="F26" s="116">
        <v>271</v>
      </c>
      <c r="G26">
        <v>98767</v>
      </c>
      <c r="H26" s="116"/>
      <c r="I26" s="116"/>
      <c r="L26" s="170">
        <v>42915</v>
      </c>
      <c r="M26" s="116">
        <v>272.3</v>
      </c>
      <c r="N26" s="116">
        <v>275.2</v>
      </c>
      <c r="O26" s="116">
        <v>256.85000000000002</v>
      </c>
      <c r="P26" s="116">
        <v>258.8</v>
      </c>
      <c r="Q26" s="116">
        <v>272.3</v>
      </c>
      <c r="R26">
        <v>260666</v>
      </c>
    </row>
    <row r="27" spans="1:18" x14ac:dyDescent="0.25">
      <c r="A27" s="170">
        <v>42916</v>
      </c>
      <c r="B27" s="116">
        <v>275</v>
      </c>
      <c r="C27" s="116">
        <v>269.75</v>
      </c>
      <c r="D27" s="116">
        <v>266.10000000000002</v>
      </c>
      <c r="E27" s="116">
        <v>272.8</v>
      </c>
      <c r="F27" s="116">
        <v>269.75</v>
      </c>
      <c r="G27">
        <v>10884</v>
      </c>
      <c r="H27" s="116"/>
      <c r="I27" s="116"/>
      <c r="L27" s="170">
        <v>42916</v>
      </c>
      <c r="M27" s="116">
        <v>269.64999999999998</v>
      </c>
      <c r="N27" s="116">
        <v>275</v>
      </c>
      <c r="O27" s="116">
        <v>267.39999999999998</v>
      </c>
      <c r="P27" s="116">
        <v>272</v>
      </c>
      <c r="Q27" s="116">
        <v>269.64999999999998</v>
      </c>
      <c r="R27">
        <v>54834</v>
      </c>
    </row>
    <row r="28" spans="1:18" x14ac:dyDescent="0.25">
      <c r="A28" s="170">
        <v>42919</v>
      </c>
      <c r="B28" s="116">
        <v>285.5</v>
      </c>
      <c r="C28" s="116">
        <v>280</v>
      </c>
      <c r="D28" s="116">
        <v>271.3</v>
      </c>
      <c r="E28" s="116">
        <v>271.3</v>
      </c>
      <c r="F28" s="116">
        <v>280</v>
      </c>
      <c r="G28">
        <v>28466</v>
      </c>
      <c r="H28" s="116"/>
      <c r="I28" s="116"/>
      <c r="L28" s="170">
        <v>42919</v>
      </c>
      <c r="M28" s="116">
        <v>281.64999999999998</v>
      </c>
      <c r="N28" s="116">
        <v>287.89999999999998</v>
      </c>
      <c r="O28" s="116">
        <v>268.35000000000002</v>
      </c>
      <c r="P28" s="116">
        <v>270.45</v>
      </c>
      <c r="Q28" s="116">
        <v>281.64999999999998</v>
      </c>
      <c r="R28">
        <v>129737</v>
      </c>
    </row>
    <row r="29" spans="1:18" x14ac:dyDescent="0.25">
      <c r="A29" s="170">
        <v>42920</v>
      </c>
      <c r="B29" s="116">
        <v>280.2</v>
      </c>
      <c r="C29" s="116">
        <v>276.95</v>
      </c>
      <c r="D29" s="116">
        <v>275.85000000000002</v>
      </c>
      <c r="E29" s="116">
        <v>279.60000000000002</v>
      </c>
      <c r="F29" s="116">
        <v>276.95</v>
      </c>
      <c r="G29">
        <v>8246</v>
      </c>
      <c r="H29" s="116"/>
      <c r="I29" s="116"/>
      <c r="L29" s="170">
        <v>42920</v>
      </c>
      <c r="M29" s="116">
        <v>276.95</v>
      </c>
      <c r="N29" s="116">
        <v>283.3</v>
      </c>
      <c r="O29" s="116">
        <v>276</v>
      </c>
      <c r="P29" s="116">
        <v>283.25</v>
      </c>
      <c r="Q29" s="116">
        <v>276.95</v>
      </c>
      <c r="R29">
        <v>54759</v>
      </c>
    </row>
    <row r="30" spans="1:18" x14ac:dyDescent="0.25">
      <c r="A30" s="170">
        <v>42921</v>
      </c>
      <c r="B30" s="116">
        <v>287</v>
      </c>
      <c r="C30" s="116">
        <v>277.5</v>
      </c>
      <c r="D30" s="116">
        <v>273.55</v>
      </c>
      <c r="E30" s="116">
        <v>281</v>
      </c>
      <c r="F30" s="116">
        <v>277.5</v>
      </c>
      <c r="G30">
        <v>28753</v>
      </c>
      <c r="H30" s="116"/>
      <c r="I30" s="116"/>
      <c r="L30" s="170">
        <v>42921</v>
      </c>
      <c r="M30" s="116">
        <v>276.89999999999998</v>
      </c>
      <c r="N30" s="116">
        <v>287.95</v>
      </c>
      <c r="O30" s="116">
        <v>274.7</v>
      </c>
      <c r="P30" s="116">
        <v>278.75</v>
      </c>
      <c r="Q30" s="116">
        <v>276.89999999999998</v>
      </c>
      <c r="R30">
        <v>149496</v>
      </c>
    </row>
    <row r="31" spans="1:18" x14ac:dyDescent="0.25">
      <c r="A31" s="170">
        <v>42922</v>
      </c>
      <c r="B31" s="116">
        <v>281.7</v>
      </c>
      <c r="C31" s="116">
        <v>277.25</v>
      </c>
      <c r="D31" s="116">
        <v>275</v>
      </c>
      <c r="E31" s="116">
        <v>278</v>
      </c>
      <c r="F31" s="116">
        <v>277.25</v>
      </c>
      <c r="G31">
        <v>12507</v>
      </c>
      <c r="H31" s="116"/>
      <c r="I31" s="116"/>
      <c r="L31" s="170">
        <v>42922</v>
      </c>
      <c r="M31" s="116">
        <v>278.05</v>
      </c>
      <c r="N31" s="116">
        <v>281.5</v>
      </c>
      <c r="O31" s="116">
        <v>274.3</v>
      </c>
      <c r="P31" s="116">
        <v>279.8</v>
      </c>
      <c r="Q31" s="116">
        <v>278.05</v>
      </c>
      <c r="R31">
        <v>174476</v>
      </c>
    </row>
    <row r="32" spans="1:18" x14ac:dyDescent="0.25">
      <c r="A32" s="170">
        <v>42923</v>
      </c>
      <c r="B32" s="116">
        <v>299</v>
      </c>
      <c r="C32" s="116">
        <v>288.7</v>
      </c>
      <c r="D32" s="116">
        <v>278</v>
      </c>
      <c r="E32" s="116">
        <v>279.2</v>
      </c>
      <c r="F32" s="116">
        <v>288.7</v>
      </c>
      <c r="G32">
        <v>53574</v>
      </c>
      <c r="H32" s="116"/>
      <c r="I32" s="116"/>
      <c r="L32" s="170">
        <v>42923</v>
      </c>
      <c r="M32" s="116">
        <v>289.3</v>
      </c>
      <c r="N32" s="116">
        <v>299.89999999999998</v>
      </c>
      <c r="O32" s="116">
        <v>275</v>
      </c>
      <c r="P32" s="116">
        <v>275.05</v>
      </c>
      <c r="Q32" s="116">
        <v>289.3</v>
      </c>
      <c r="R32">
        <v>210667</v>
      </c>
    </row>
    <row r="33" spans="1:18" x14ac:dyDescent="0.25">
      <c r="A33" s="170">
        <v>42926</v>
      </c>
      <c r="B33" s="116">
        <v>298</v>
      </c>
      <c r="C33" s="116">
        <v>292.10000000000002</v>
      </c>
      <c r="D33" s="116">
        <v>291.3</v>
      </c>
      <c r="E33" s="116">
        <v>292</v>
      </c>
      <c r="F33" s="116">
        <v>292.10000000000002</v>
      </c>
      <c r="G33">
        <v>16049</v>
      </c>
      <c r="H33" s="116"/>
      <c r="I33" s="116"/>
      <c r="L33" s="170">
        <v>42926</v>
      </c>
      <c r="M33" s="116">
        <v>291.10000000000002</v>
      </c>
      <c r="N33" s="116">
        <v>295</v>
      </c>
      <c r="O33" s="116">
        <v>280.60000000000002</v>
      </c>
      <c r="P33" s="116">
        <v>293</v>
      </c>
      <c r="Q33" s="116">
        <v>291.10000000000002</v>
      </c>
      <c r="R33">
        <v>12807</v>
      </c>
    </row>
    <row r="34" spans="1:18" x14ac:dyDescent="0.25">
      <c r="A34" s="170">
        <v>42927</v>
      </c>
      <c r="B34" s="116">
        <v>297</v>
      </c>
      <c r="C34" s="116">
        <v>284.35000000000002</v>
      </c>
      <c r="D34" s="116">
        <v>283.2</v>
      </c>
      <c r="E34" s="116">
        <v>292.14999999999998</v>
      </c>
      <c r="F34" s="116">
        <v>284.35000000000002</v>
      </c>
      <c r="G34">
        <v>11147</v>
      </c>
      <c r="H34" s="116"/>
      <c r="I34" s="116"/>
      <c r="L34" s="170">
        <v>42927</v>
      </c>
      <c r="M34" s="116">
        <v>284.45</v>
      </c>
      <c r="N34" s="116">
        <v>297</v>
      </c>
      <c r="O34" s="116">
        <v>282.39999999999998</v>
      </c>
      <c r="P34" s="116">
        <v>293.05</v>
      </c>
      <c r="Q34" s="116">
        <v>284.45</v>
      </c>
      <c r="R34">
        <v>102116</v>
      </c>
    </row>
    <row r="35" spans="1:18" x14ac:dyDescent="0.25">
      <c r="A35" s="170">
        <v>42928</v>
      </c>
      <c r="B35" s="116">
        <v>299.7</v>
      </c>
      <c r="C35" s="116">
        <v>289.60000000000002</v>
      </c>
      <c r="D35" s="116">
        <v>287.39999999999998</v>
      </c>
      <c r="E35" s="116">
        <v>289</v>
      </c>
      <c r="F35" s="116">
        <v>289.60000000000002</v>
      </c>
      <c r="G35">
        <v>17757</v>
      </c>
      <c r="H35" s="116"/>
      <c r="I35" s="116"/>
      <c r="L35" s="170">
        <v>42928</v>
      </c>
      <c r="M35" s="116">
        <v>289.7</v>
      </c>
      <c r="N35" s="116">
        <v>299.89999999999998</v>
      </c>
      <c r="O35" s="116">
        <v>287.10000000000002</v>
      </c>
      <c r="P35" s="116">
        <v>288.75</v>
      </c>
      <c r="Q35" s="116">
        <v>289.7</v>
      </c>
      <c r="R35">
        <v>80005</v>
      </c>
    </row>
    <row r="36" spans="1:18" x14ac:dyDescent="0.25">
      <c r="A36" s="170">
        <v>42929</v>
      </c>
      <c r="B36" s="116">
        <v>293</v>
      </c>
      <c r="C36" s="116">
        <v>288.85000000000002</v>
      </c>
      <c r="D36" s="116">
        <v>285</v>
      </c>
      <c r="E36" s="116">
        <v>293</v>
      </c>
      <c r="F36" s="116">
        <v>288.85000000000002</v>
      </c>
      <c r="G36">
        <v>10591</v>
      </c>
      <c r="H36" s="116"/>
      <c r="I36" s="116"/>
      <c r="L36" s="170">
        <v>42929</v>
      </c>
      <c r="M36" s="116">
        <v>289.14999999999998</v>
      </c>
      <c r="N36" s="116">
        <v>294</v>
      </c>
      <c r="O36" s="116">
        <v>287.3</v>
      </c>
      <c r="P36" s="116">
        <v>293.85000000000002</v>
      </c>
      <c r="Q36" s="116">
        <v>289.14999999999998</v>
      </c>
      <c r="R36">
        <v>67156</v>
      </c>
    </row>
    <row r="37" spans="1:18" x14ac:dyDescent="0.25">
      <c r="A37" s="170">
        <v>42930</v>
      </c>
      <c r="B37" s="116">
        <v>297</v>
      </c>
      <c r="C37" s="116">
        <v>289.95</v>
      </c>
      <c r="D37" s="116">
        <v>288.10000000000002</v>
      </c>
      <c r="E37" s="116">
        <v>290.14999999999998</v>
      </c>
      <c r="F37" s="116">
        <v>289.95</v>
      </c>
      <c r="G37">
        <v>41057</v>
      </c>
      <c r="H37" s="116"/>
      <c r="I37" s="116"/>
      <c r="L37" s="170">
        <v>42930</v>
      </c>
      <c r="M37" s="116">
        <v>290.75</v>
      </c>
      <c r="N37" s="116">
        <v>297.05</v>
      </c>
      <c r="O37" s="116">
        <v>288.10000000000002</v>
      </c>
      <c r="P37" s="116">
        <v>290</v>
      </c>
      <c r="Q37" s="116">
        <v>290.75</v>
      </c>
      <c r="R37">
        <v>203267</v>
      </c>
    </row>
    <row r="38" spans="1:18" x14ac:dyDescent="0.25">
      <c r="A38" s="170">
        <v>42933</v>
      </c>
      <c r="B38" s="116">
        <v>294.5</v>
      </c>
      <c r="C38" s="116">
        <v>288.10000000000002</v>
      </c>
      <c r="D38" s="116">
        <v>287</v>
      </c>
      <c r="E38" s="116">
        <v>292.8</v>
      </c>
      <c r="F38" s="116">
        <v>288.10000000000002</v>
      </c>
      <c r="G38">
        <v>10579</v>
      </c>
      <c r="H38" s="116"/>
      <c r="I38" s="116"/>
      <c r="L38" s="170">
        <v>42933</v>
      </c>
      <c r="M38" s="116">
        <v>288.35000000000002</v>
      </c>
      <c r="N38" s="116">
        <v>294.75</v>
      </c>
      <c r="O38" s="116">
        <v>286.95</v>
      </c>
      <c r="P38" s="116">
        <v>292.85000000000002</v>
      </c>
      <c r="Q38" s="116">
        <v>288.35000000000002</v>
      </c>
      <c r="R38">
        <v>121601</v>
      </c>
    </row>
    <row r="39" spans="1:18" x14ac:dyDescent="0.25">
      <c r="A39" s="170">
        <v>42934</v>
      </c>
      <c r="B39" s="116">
        <v>290.39999999999998</v>
      </c>
      <c r="C39" s="116">
        <v>284.7</v>
      </c>
      <c r="D39" s="116">
        <v>280.8</v>
      </c>
      <c r="E39" s="116">
        <v>288.55</v>
      </c>
      <c r="F39" s="116">
        <v>284.7</v>
      </c>
      <c r="G39">
        <v>17360</v>
      </c>
      <c r="H39" s="116"/>
      <c r="I39" s="116"/>
      <c r="L39" s="170">
        <v>42934</v>
      </c>
      <c r="M39" s="116">
        <v>284.95</v>
      </c>
      <c r="N39" s="116">
        <v>290.10000000000002</v>
      </c>
      <c r="O39" s="116">
        <v>281</v>
      </c>
      <c r="P39" s="116">
        <v>289.25</v>
      </c>
      <c r="Q39" s="116">
        <v>284.95</v>
      </c>
      <c r="R39">
        <v>73148</v>
      </c>
    </row>
    <row r="40" spans="1:18" x14ac:dyDescent="0.25">
      <c r="A40" s="170">
        <v>42935</v>
      </c>
      <c r="B40" s="116">
        <v>288.89999999999998</v>
      </c>
      <c r="C40" s="116">
        <v>285.85000000000002</v>
      </c>
      <c r="D40" s="116">
        <v>282.64999999999998</v>
      </c>
      <c r="E40" s="116">
        <v>288.75</v>
      </c>
      <c r="F40" s="116">
        <v>285.85000000000002</v>
      </c>
      <c r="G40">
        <v>4460</v>
      </c>
      <c r="H40" s="116"/>
      <c r="I40" s="116"/>
      <c r="L40" s="170">
        <v>42935</v>
      </c>
      <c r="M40" s="116">
        <v>285.39999999999998</v>
      </c>
      <c r="N40" s="116">
        <v>287.64999999999998</v>
      </c>
      <c r="O40" s="116">
        <v>281.35000000000002</v>
      </c>
      <c r="P40" s="116">
        <v>287.64999999999998</v>
      </c>
      <c r="Q40" s="116">
        <v>285.39999999999998</v>
      </c>
      <c r="R40">
        <v>29885</v>
      </c>
    </row>
    <row r="41" spans="1:18" x14ac:dyDescent="0.25">
      <c r="A41" s="170">
        <v>42936</v>
      </c>
      <c r="B41" s="116">
        <v>289</v>
      </c>
      <c r="C41" s="116">
        <v>284.3</v>
      </c>
      <c r="D41" s="116">
        <v>279.95</v>
      </c>
      <c r="E41" s="116">
        <v>289</v>
      </c>
      <c r="F41" s="116">
        <v>284.3</v>
      </c>
      <c r="G41">
        <v>22652</v>
      </c>
      <c r="H41" s="116"/>
      <c r="I41" s="116"/>
      <c r="L41" s="170">
        <v>42936</v>
      </c>
      <c r="M41" s="116">
        <v>283.7</v>
      </c>
      <c r="N41" s="116">
        <v>287.3</v>
      </c>
      <c r="O41" s="116">
        <v>279.39999999999998</v>
      </c>
      <c r="P41" s="116">
        <v>287.3</v>
      </c>
      <c r="Q41" s="116">
        <v>283.7</v>
      </c>
      <c r="R41">
        <v>32477</v>
      </c>
    </row>
    <row r="42" spans="1:18" x14ac:dyDescent="0.25">
      <c r="A42" s="170">
        <v>42937</v>
      </c>
      <c r="B42" s="116">
        <v>295</v>
      </c>
      <c r="C42" s="116">
        <v>292.35000000000002</v>
      </c>
      <c r="D42" s="116">
        <v>285.5</v>
      </c>
      <c r="E42" s="116">
        <v>286.39999999999998</v>
      </c>
      <c r="F42" s="116">
        <v>292.35000000000002</v>
      </c>
      <c r="G42">
        <v>30530</v>
      </c>
      <c r="H42" s="116"/>
      <c r="I42" s="116"/>
      <c r="L42" s="170">
        <v>42937</v>
      </c>
      <c r="M42" s="116">
        <v>292.35000000000002</v>
      </c>
      <c r="N42" s="116">
        <v>294.7</v>
      </c>
      <c r="O42" s="116">
        <v>284.05</v>
      </c>
      <c r="P42" s="116">
        <v>284.05</v>
      </c>
      <c r="Q42" s="116">
        <v>292.35000000000002</v>
      </c>
      <c r="R42">
        <v>138771</v>
      </c>
    </row>
    <row r="43" spans="1:18" x14ac:dyDescent="0.25">
      <c r="A43" s="170">
        <v>42940</v>
      </c>
      <c r="B43" s="116">
        <v>291.45</v>
      </c>
      <c r="C43" s="116">
        <v>282.8</v>
      </c>
      <c r="D43" s="116">
        <v>282.05</v>
      </c>
      <c r="E43" s="116">
        <v>291</v>
      </c>
      <c r="F43" s="116">
        <v>282.8</v>
      </c>
      <c r="G43">
        <v>14496</v>
      </c>
      <c r="H43" s="116"/>
      <c r="I43" s="116"/>
      <c r="L43" s="170">
        <v>42940</v>
      </c>
      <c r="M43" s="116">
        <v>283.7</v>
      </c>
      <c r="N43" s="116">
        <v>293.25</v>
      </c>
      <c r="O43" s="116">
        <v>283</v>
      </c>
      <c r="P43" s="116">
        <v>292.64999999999998</v>
      </c>
      <c r="Q43" s="116">
        <v>283.7</v>
      </c>
      <c r="R43">
        <v>59006</v>
      </c>
    </row>
    <row r="44" spans="1:18" x14ac:dyDescent="0.25">
      <c r="A44" s="170">
        <v>42941</v>
      </c>
      <c r="B44" s="116">
        <v>292.10000000000002</v>
      </c>
      <c r="C44" s="116">
        <v>288.7</v>
      </c>
      <c r="D44" s="116">
        <v>282.8</v>
      </c>
      <c r="E44" s="116">
        <v>282.8</v>
      </c>
      <c r="F44" s="116">
        <v>288.7</v>
      </c>
      <c r="G44">
        <v>25611</v>
      </c>
      <c r="H44" s="116"/>
      <c r="I44" s="116"/>
      <c r="L44" s="170">
        <v>42941</v>
      </c>
      <c r="M44" s="116">
        <v>290</v>
      </c>
      <c r="N44" s="116">
        <v>292.39999999999998</v>
      </c>
      <c r="O44" s="116">
        <v>283.55</v>
      </c>
      <c r="P44" s="116">
        <v>283.60000000000002</v>
      </c>
      <c r="Q44" s="116">
        <v>290</v>
      </c>
      <c r="R44">
        <v>73265</v>
      </c>
    </row>
    <row r="45" spans="1:18" x14ac:dyDescent="0.25">
      <c r="A45" s="170">
        <v>42942</v>
      </c>
      <c r="B45" s="116">
        <v>293</v>
      </c>
      <c r="C45" s="116">
        <v>291.45</v>
      </c>
      <c r="D45" s="116">
        <v>286.5</v>
      </c>
      <c r="E45" s="116">
        <v>289.55</v>
      </c>
      <c r="F45" s="116">
        <v>291.45</v>
      </c>
      <c r="G45">
        <v>23403</v>
      </c>
      <c r="H45" s="116"/>
      <c r="I45" s="116"/>
      <c r="L45" s="170">
        <v>42942</v>
      </c>
      <c r="M45" s="116">
        <v>291.2</v>
      </c>
      <c r="N45" s="116">
        <v>294.25</v>
      </c>
      <c r="O45" s="116">
        <v>286.25</v>
      </c>
      <c r="P45" s="116">
        <v>294.25</v>
      </c>
      <c r="Q45" s="116">
        <v>291.2</v>
      </c>
      <c r="R45">
        <v>45973</v>
      </c>
    </row>
    <row r="46" spans="1:18" x14ac:dyDescent="0.25">
      <c r="A46" s="170">
        <v>42943</v>
      </c>
      <c r="B46" s="116">
        <v>294.10000000000002</v>
      </c>
      <c r="C46" s="116">
        <v>290.55</v>
      </c>
      <c r="D46" s="116">
        <v>288.10000000000002</v>
      </c>
      <c r="E46" s="116">
        <v>293</v>
      </c>
      <c r="F46" s="116">
        <v>290.55</v>
      </c>
      <c r="G46">
        <v>9977</v>
      </c>
      <c r="H46" s="116"/>
      <c r="I46" s="116"/>
      <c r="L46" s="170">
        <v>42943</v>
      </c>
      <c r="M46" s="116">
        <v>289.05</v>
      </c>
      <c r="N46" s="116">
        <v>294.8</v>
      </c>
      <c r="O46" s="116">
        <v>286.5</v>
      </c>
      <c r="P46" s="116">
        <v>294.8</v>
      </c>
      <c r="Q46" s="116">
        <v>289.05</v>
      </c>
      <c r="R46">
        <v>47870</v>
      </c>
    </row>
    <row r="47" spans="1:18" x14ac:dyDescent="0.25">
      <c r="A47" s="170">
        <v>42944</v>
      </c>
      <c r="B47" s="116">
        <v>308</v>
      </c>
      <c r="C47" s="116">
        <v>302.55</v>
      </c>
      <c r="D47" s="116">
        <v>280.10000000000002</v>
      </c>
      <c r="E47" s="116">
        <v>286.55</v>
      </c>
      <c r="F47" s="116">
        <v>302.55</v>
      </c>
      <c r="G47">
        <v>151367</v>
      </c>
      <c r="H47" s="116"/>
      <c r="I47" s="116"/>
      <c r="L47" s="170">
        <v>42944</v>
      </c>
      <c r="M47" s="116">
        <v>302.2</v>
      </c>
      <c r="N47" s="116">
        <v>308.2</v>
      </c>
      <c r="O47" s="116">
        <v>280</v>
      </c>
      <c r="P47" s="116">
        <v>286.5</v>
      </c>
      <c r="Q47" s="116">
        <v>302.2</v>
      </c>
      <c r="R47">
        <v>412459</v>
      </c>
    </row>
    <row r="48" spans="1:18" x14ac:dyDescent="0.25">
      <c r="A48" s="170">
        <v>42947</v>
      </c>
      <c r="B48" s="116">
        <v>314</v>
      </c>
      <c r="C48" s="116">
        <v>311.14999999999998</v>
      </c>
      <c r="D48" s="116">
        <v>303</v>
      </c>
      <c r="E48" s="116">
        <v>303</v>
      </c>
      <c r="F48" s="116">
        <v>311.14999999999998</v>
      </c>
      <c r="G48">
        <v>71772</v>
      </c>
      <c r="H48" s="116"/>
      <c r="I48" s="116"/>
      <c r="L48" s="170">
        <v>42947</v>
      </c>
      <c r="M48" s="116">
        <v>309.7</v>
      </c>
      <c r="N48" s="116">
        <v>313.5</v>
      </c>
      <c r="O48" s="116">
        <v>302.89999999999998</v>
      </c>
      <c r="P48" s="116">
        <v>303</v>
      </c>
      <c r="Q48" s="116">
        <v>309.7</v>
      </c>
      <c r="R48">
        <v>202176</v>
      </c>
    </row>
    <row r="49" spans="1:18" x14ac:dyDescent="0.25">
      <c r="A49" s="170">
        <v>42948</v>
      </c>
      <c r="B49" s="116">
        <v>315</v>
      </c>
      <c r="C49" s="116">
        <v>308.45</v>
      </c>
      <c r="D49" s="116">
        <v>307</v>
      </c>
      <c r="E49" s="116">
        <v>310</v>
      </c>
      <c r="F49" s="116">
        <v>308.45</v>
      </c>
      <c r="G49">
        <v>184330</v>
      </c>
      <c r="H49" s="116"/>
      <c r="I49" s="116"/>
      <c r="L49" s="170">
        <v>42948</v>
      </c>
      <c r="M49" s="116">
        <v>307.85000000000002</v>
      </c>
      <c r="N49" s="116">
        <v>314</v>
      </c>
      <c r="O49" s="116">
        <v>306.05</v>
      </c>
      <c r="P49" s="116">
        <v>312.45</v>
      </c>
      <c r="Q49" s="116">
        <v>307.85000000000002</v>
      </c>
      <c r="R49">
        <v>341992</v>
      </c>
    </row>
    <row r="50" spans="1:18" x14ac:dyDescent="0.25">
      <c r="A50" s="170">
        <v>42949</v>
      </c>
      <c r="B50" s="116">
        <v>313</v>
      </c>
      <c r="C50" s="116">
        <v>310.5</v>
      </c>
      <c r="D50" s="116">
        <v>306.25</v>
      </c>
      <c r="E50" s="116">
        <v>308</v>
      </c>
      <c r="F50" s="116">
        <v>310.5</v>
      </c>
      <c r="G50">
        <v>324511</v>
      </c>
      <c r="H50" s="116"/>
      <c r="I50" s="116"/>
      <c r="L50" s="170">
        <v>42949</v>
      </c>
      <c r="M50" s="116">
        <v>310.10000000000002</v>
      </c>
      <c r="N50" s="116">
        <v>314</v>
      </c>
      <c r="O50" s="116">
        <v>306.5</v>
      </c>
      <c r="P50" s="116">
        <v>311.95</v>
      </c>
      <c r="Q50" s="116">
        <v>310.10000000000002</v>
      </c>
      <c r="R50">
        <v>393255</v>
      </c>
    </row>
    <row r="51" spans="1:18" x14ac:dyDescent="0.25">
      <c r="A51" s="170">
        <v>42950</v>
      </c>
      <c r="B51" s="116">
        <v>320</v>
      </c>
      <c r="C51" s="116">
        <v>315.39999999999998</v>
      </c>
      <c r="D51" s="116">
        <v>305.89999999999998</v>
      </c>
      <c r="E51" s="116">
        <v>311</v>
      </c>
      <c r="F51" s="116">
        <v>315.39999999999998</v>
      </c>
      <c r="G51">
        <v>174249</v>
      </c>
      <c r="H51" s="116"/>
      <c r="I51" s="116"/>
      <c r="L51" s="170">
        <v>42950</v>
      </c>
      <c r="M51" s="116">
        <v>316.10000000000002</v>
      </c>
      <c r="N51" s="116">
        <v>319</v>
      </c>
      <c r="O51" s="116">
        <v>306.5</v>
      </c>
      <c r="P51" s="116">
        <v>311.05</v>
      </c>
      <c r="Q51" s="116">
        <v>316.10000000000002</v>
      </c>
      <c r="R51">
        <v>453360</v>
      </c>
    </row>
    <row r="52" spans="1:18" x14ac:dyDescent="0.25">
      <c r="A52" s="170">
        <v>42951</v>
      </c>
      <c r="B52" s="116">
        <v>341.2</v>
      </c>
      <c r="C52" s="116">
        <v>329.6</v>
      </c>
      <c r="D52" s="116">
        <v>315.75</v>
      </c>
      <c r="E52" s="116">
        <v>316</v>
      </c>
      <c r="F52" s="116">
        <v>329.6</v>
      </c>
      <c r="G52">
        <v>101324</v>
      </c>
      <c r="H52" s="116"/>
      <c r="I52" s="116"/>
      <c r="L52" s="170">
        <v>42951</v>
      </c>
      <c r="M52" s="116">
        <v>330.15</v>
      </c>
      <c r="N52" s="116">
        <v>341.2</v>
      </c>
      <c r="O52" s="116">
        <v>315.05</v>
      </c>
      <c r="P52" s="116">
        <v>315.45</v>
      </c>
      <c r="Q52" s="116">
        <v>330.15</v>
      </c>
      <c r="R52">
        <v>405183</v>
      </c>
    </row>
    <row r="53" spans="1:18" x14ac:dyDescent="0.25">
      <c r="A53" s="170">
        <v>42954</v>
      </c>
      <c r="B53" s="116">
        <v>349.4</v>
      </c>
      <c r="C53" s="116">
        <v>336.45</v>
      </c>
      <c r="D53" s="116">
        <v>327</v>
      </c>
      <c r="E53" s="116">
        <v>330.05</v>
      </c>
      <c r="F53" s="116">
        <v>336.45</v>
      </c>
      <c r="G53">
        <v>38432</v>
      </c>
      <c r="H53" s="116"/>
      <c r="I53" s="116"/>
      <c r="L53" s="170">
        <v>42954</v>
      </c>
      <c r="M53" s="116">
        <v>336.15</v>
      </c>
      <c r="N53" s="116">
        <v>349.8</v>
      </c>
      <c r="O53" s="116">
        <v>326.64999999999998</v>
      </c>
      <c r="P53" s="116">
        <v>331.7</v>
      </c>
      <c r="Q53" s="116">
        <v>336.15</v>
      </c>
      <c r="R53">
        <v>315403</v>
      </c>
    </row>
    <row r="54" spans="1:18" x14ac:dyDescent="0.25">
      <c r="A54" s="170">
        <v>42955</v>
      </c>
      <c r="B54" s="116">
        <v>348.75</v>
      </c>
      <c r="C54" s="116">
        <v>335.05</v>
      </c>
      <c r="D54" s="116">
        <v>326</v>
      </c>
      <c r="E54" s="116">
        <v>332</v>
      </c>
      <c r="F54" s="116">
        <v>335.05</v>
      </c>
      <c r="G54">
        <v>27865</v>
      </c>
      <c r="H54" s="116"/>
      <c r="I54" s="116"/>
      <c r="L54" s="170">
        <v>42955</v>
      </c>
      <c r="M54" s="116">
        <v>333.75</v>
      </c>
      <c r="N54" s="116">
        <v>348.9</v>
      </c>
      <c r="O54" s="116">
        <v>325</v>
      </c>
      <c r="P54" s="116">
        <v>336</v>
      </c>
      <c r="Q54" s="116">
        <v>333.75</v>
      </c>
      <c r="R54">
        <v>148604</v>
      </c>
    </row>
    <row r="55" spans="1:18" x14ac:dyDescent="0.25">
      <c r="A55" s="170">
        <v>42956</v>
      </c>
      <c r="B55" s="116">
        <v>344.95</v>
      </c>
      <c r="C55" s="116">
        <v>316.14999999999998</v>
      </c>
      <c r="D55" s="116">
        <v>303</v>
      </c>
      <c r="E55" s="116">
        <v>332.35</v>
      </c>
      <c r="F55" s="116">
        <v>316.14999999999998</v>
      </c>
      <c r="G55">
        <v>105657</v>
      </c>
      <c r="H55" s="116"/>
      <c r="I55" s="116"/>
      <c r="L55" s="170">
        <v>42956</v>
      </c>
      <c r="M55" s="116">
        <v>317.64999999999998</v>
      </c>
      <c r="N55" s="116">
        <v>345.85</v>
      </c>
      <c r="O55" s="116">
        <v>303.2</v>
      </c>
      <c r="P55" s="116">
        <v>333.75</v>
      </c>
      <c r="Q55" s="116">
        <v>317.64999999999998</v>
      </c>
      <c r="R55">
        <v>510080</v>
      </c>
    </row>
    <row r="56" spans="1:18" x14ac:dyDescent="0.25">
      <c r="A56" s="170">
        <v>42957</v>
      </c>
      <c r="B56" s="116">
        <v>324</v>
      </c>
      <c r="C56" s="116">
        <v>312.8</v>
      </c>
      <c r="D56" s="116">
        <v>304</v>
      </c>
      <c r="E56" s="116">
        <v>321</v>
      </c>
      <c r="F56" s="116">
        <v>312.8</v>
      </c>
      <c r="G56">
        <v>20568</v>
      </c>
      <c r="H56" s="116"/>
      <c r="I56" s="116"/>
      <c r="L56" s="170">
        <v>42957</v>
      </c>
      <c r="M56" s="116">
        <v>314.2</v>
      </c>
      <c r="N56" s="116">
        <v>325</v>
      </c>
      <c r="O56" s="116">
        <v>308</v>
      </c>
      <c r="P56" s="116">
        <v>319</v>
      </c>
      <c r="Q56" s="116">
        <v>314.2</v>
      </c>
      <c r="R56">
        <v>128128</v>
      </c>
    </row>
    <row r="57" spans="1:18" x14ac:dyDescent="0.25">
      <c r="A57" s="170">
        <v>42958</v>
      </c>
      <c r="B57" s="116">
        <v>319.60000000000002</v>
      </c>
      <c r="C57" s="116">
        <v>308.5</v>
      </c>
      <c r="D57" s="116">
        <v>303.95</v>
      </c>
      <c r="E57" s="116">
        <v>304</v>
      </c>
      <c r="F57" s="116">
        <v>308.5</v>
      </c>
      <c r="G57">
        <v>12912</v>
      </c>
      <c r="H57" s="116"/>
      <c r="I57" s="116"/>
      <c r="L57" s="170">
        <v>42958</v>
      </c>
      <c r="M57" s="116">
        <v>307.7</v>
      </c>
      <c r="N57" s="116">
        <v>319.89999999999998</v>
      </c>
      <c r="O57" s="116">
        <v>303</v>
      </c>
      <c r="P57" s="116">
        <v>305.25</v>
      </c>
      <c r="Q57" s="116">
        <v>307.7</v>
      </c>
      <c r="R57">
        <v>192151</v>
      </c>
    </row>
    <row r="58" spans="1:18" x14ac:dyDescent="0.25">
      <c r="A58" s="170">
        <v>42961</v>
      </c>
      <c r="B58" s="116">
        <v>317.7</v>
      </c>
      <c r="C58" s="116">
        <v>309.25</v>
      </c>
      <c r="D58" s="116">
        <v>308.5</v>
      </c>
      <c r="E58" s="116">
        <v>315.14999999999998</v>
      </c>
      <c r="F58" s="116">
        <v>309.25</v>
      </c>
      <c r="G58">
        <v>10227</v>
      </c>
      <c r="H58" s="116"/>
      <c r="I58" s="116"/>
      <c r="L58" s="170">
        <v>42961</v>
      </c>
      <c r="M58" s="116">
        <v>309.60000000000002</v>
      </c>
      <c r="N58" s="116">
        <v>317.95</v>
      </c>
      <c r="O58" s="116">
        <v>306.05</v>
      </c>
      <c r="P58" s="116">
        <v>311</v>
      </c>
      <c r="Q58" s="116">
        <v>309.60000000000002</v>
      </c>
      <c r="R58">
        <v>53340</v>
      </c>
    </row>
    <row r="59" spans="1:18" x14ac:dyDescent="0.25">
      <c r="A59" s="170">
        <v>42963</v>
      </c>
      <c r="B59" s="116">
        <v>311.05</v>
      </c>
      <c r="C59" s="116">
        <v>309.8</v>
      </c>
      <c r="D59" s="116">
        <v>307.5</v>
      </c>
      <c r="E59" s="116">
        <v>310</v>
      </c>
      <c r="F59" s="116">
        <v>309.8</v>
      </c>
      <c r="G59">
        <v>7980</v>
      </c>
      <c r="H59" s="116"/>
      <c r="I59" s="116"/>
      <c r="L59" s="170">
        <v>42963</v>
      </c>
      <c r="M59" s="116">
        <v>308.39999999999998</v>
      </c>
      <c r="N59" s="116">
        <v>312.25</v>
      </c>
      <c r="O59" s="116">
        <v>307</v>
      </c>
      <c r="P59" s="116">
        <v>312.25</v>
      </c>
      <c r="Q59" s="116">
        <v>308.39999999999998</v>
      </c>
      <c r="R59">
        <v>62852</v>
      </c>
    </row>
    <row r="60" spans="1:18" x14ac:dyDescent="0.25">
      <c r="A60" s="170">
        <v>42964</v>
      </c>
      <c r="B60" s="116">
        <v>314.5</v>
      </c>
      <c r="C60" s="116">
        <v>311.10000000000002</v>
      </c>
      <c r="D60" s="116">
        <v>309.55</v>
      </c>
      <c r="E60" s="116">
        <v>311.10000000000002</v>
      </c>
      <c r="F60" s="116">
        <v>311.10000000000002</v>
      </c>
      <c r="G60">
        <v>4610</v>
      </c>
      <c r="H60" s="116"/>
      <c r="I60" s="116"/>
      <c r="L60" s="170">
        <v>42964</v>
      </c>
      <c r="M60" s="116">
        <v>310.5</v>
      </c>
      <c r="N60" s="116">
        <v>315.05</v>
      </c>
      <c r="O60" s="116">
        <v>308</v>
      </c>
      <c r="P60" s="116">
        <v>308.45</v>
      </c>
      <c r="Q60" s="116">
        <v>310.5</v>
      </c>
      <c r="R60">
        <v>17714</v>
      </c>
    </row>
    <row r="61" spans="1:18" x14ac:dyDescent="0.25">
      <c r="A61" s="170">
        <v>42965</v>
      </c>
      <c r="B61" s="116">
        <v>319.35000000000002</v>
      </c>
      <c r="C61" s="116">
        <v>314.3</v>
      </c>
      <c r="D61" s="116">
        <v>305</v>
      </c>
      <c r="E61" s="116">
        <v>310.5</v>
      </c>
      <c r="F61" s="116">
        <v>314.3</v>
      </c>
      <c r="G61">
        <v>11864</v>
      </c>
      <c r="H61" s="116"/>
      <c r="I61" s="116"/>
      <c r="L61" s="170">
        <v>42965</v>
      </c>
      <c r="M61" s="116">
        <v>315.5</v>
      </c>
      <c r="N61" s="116">
        <v>319.89999999999998</v>
      </c>
      <c r="O61" s="116">
        <v>306.05</v>
      </c>
      <c r="P61" s="116">
        <v>306.05</v>
      </c>
      <c r="Q61" s="116">
        <v>315.5</v>
      </c>
      <c r="R61">
        <v>58318</v>
      </c>
    </row>
    <row r="62" spans="1:18" x14ac:dyDescent="0.25">
      <c r="A62" s="170">
        <v>42968</v>
      </c>
      <c r="B62" s="116">
        <v>316</v>
      </c>
      <c r="C62" s="116">
        <v>309.25</v>
      </c>
      <c r="D62" s="116">
        <v>308</v>
      </c>
      <c r="E62" s="116">
        <v>316</v>
      </c>
      <c r="F62" s="116">
        <v>309.25</v>
      </c>
      <c r="G62">
        <v>2527</v>
      </c>
      <c r="H62" s="116"/>
      <c r="I62" s="116"/>
      <c r="L62" s="170">
        <v>42968</v>
      </c>
      <c r="M62" s="116">
        <v>309.25</v>
      </c>
      <c r="N62" s="116">
        <v>323.85000000000002</v>
      </c>
      <c r="O62" s="116">
        <v>308.39999999999998</v>
      </c>
      <c r="P62" s="116">
        <v>317.35000000000002</v>
      </c>
      <c r="Q62" s="116">
        <v>309.25</v>
      </c>
      <c r="R62">
        <v>59118</v>
      </c>
    </row>
    <row r="63" spans="1:18" x14ac:dyDescent="0.25">
      <c r="A63" s="170">
        <v>42969</v>
      </c>
      <c r="B63" s="116">
        <v>316</v>
      </c>
      <c r="C63" s="116">
        <v>313.64999999999998</v>
      </c>
      <c r="D63" s="116">
        <v>309.64999999999998</v>
      </c>
      <c r="E63" s="116">
        <v>310.10000000000002</v>
      </c>
      <c r="F63" s="116">
        <v>313.64999999999998</v>
      </c>
      <c r="G63">
        <v>6639</v>
      </c>
      <c r="H63" s="116"/>
      <c r="I63" s="116"/>
      <c r="L63" s="170">
        <v>42969</v>
      </c>
      <c r="M63" s="116">
        <v>310.8</v>
      </c>
      <c r="N63" s="116">
        <v>316</v>
      </c>
      <c r="O63" s="116">
        <v>309.10000000000002</v>
      </c>
      <c r="P63" s="116">
        <v>311.95</v>
      </c>
      <c r="Q63" s="116">
        <v>310.8</v>
      </c>
      <c r="R63">
        <v>84147</v>
      </c>
    </row>
    <row r="64" spans="1:18" x14ac:dyDescent="0.25">
      <c r="A64" s="170">
        <v>42970</v>
      </c>
      <c r="B64" s="116">
        <v>318</v>
      </c>
      <c r="C64" s="116">
        <v>316.2</v>
      </c>
      <c r="D64" s="116">
        <v>312.60000000000002</v>
      </c>
      <c r="E64" s="116">
        <v>315.3</v>
      </c>
      <c r="F64" s="116">
        <v>316.2</v>
      </c>
      <c r="G64">
        <v>17826</v>
      </c>
      <c r="H64" s="116"/>
      <c r="I64" s="116"/>
      <c r="L64" s="170">
        <v>42970</v>
      </c>
      <c r="M64" s="116">
        <v>316.5</v>
      </c>
      <c r="N64" s="116">
        <v>319</v>
      </c>
      <c r="O64" s="116">
        <v>313</v>
      </c>
      <c r="P64" s="116">
        <v>313.60000000000002</v>
      </c>
      <c r="Q64" s="116">
        <v>316.5</v>
      </c>
      <c r="R64">
        <v>59785</v>
      </c>
    </row>
    <row r="65" spans="1:18" x14ac:dyDescent="0.25">
      <c r="A65" s="170">
        <v>42971</v>
      </c>
      <c r="B65" s="116">
        <v>323</v>
      </c>
      <c r="C65" s="116">
        <v>321.64999999999998</v>
      </c>
      <c r="D65" s="116">
        <v>316.05</v>
      </c>
      <c r="E65" s="116">
        <v>317.25</v>
      </c>
      <c r="F65" s="116">
        <v>321.64999999999998</v>
      </c>
      <c r="G65">
        <v>9516</v>
      </c>
      <c r="H65" s="116"/>
      <c r="I65" s="116"/>
      <c r="L65" s="170">
        <v>42971</v>
      </c>
      <c r="M65" s="116">
        <v>319.89999999999998</v>
      </c>
      <c r="N65" s="116">
        <v>321.89999999999998</v>
      </c>
      <c r="O65" s="116">
        <v>315.64999999999998</v>
      </c>
      <c r="P65" s="116">
        <v>316.5</v>
      </c>
      <c r="Q65" s="116">
        <v>319.89999999999998</v>
      </c>
      <c r="R65">
        <v>25312</v>
      </c>
    </row>
    <row r="66" spans="1:18" x14ac:dyDescent="0.25">
      <c r="A66" s="170">
        <v>42975</v>
      </c>
      <c r="B66" s="116">
        <v>329</v>
      </c>
      <c r="C66" s="116">
        <v>326.10000000000002</v>
      </c>
      <c r="D66" s="116">
        <v>320</v>
      </c>
      <c r="E66" s="116">
        <v>320.55</v>
      </c>
      <c r="F66" s="116">
        <v>326.10000000000002</v>
      </c>
      <c r="G66">
        <v>10655</v>
      </c>
      <c r="H66" s="116"/>
      <c r="I66" s="116"/>
      <c r="L66" s="170">
        <v>42975</v>
      </c>
      <c r="M66" s="116">
        <v>325.3</v>
      </c>
      <c r="N66" s="116">
        <v>329</v>
      </c>
      <c r="O66" s="116">
        <v>319.55</v>
      </c>
      <c r="P66" s="116">
        <v>327</v>
      </c>
      <c r="Q66" s="116">
        <v>325.3</v>
      </c>
      <c r="R66">
        <v>45897</v>
      </c>
    </row>
    <row r="67" spans="1:18" x14ac:dyDescent="0.25">
      <c r="A67" s="170">
        <v>42976</v>
      </c>
      <c r="B67" s="116">
        <v>338.8</v>
      </c>
      <c r="C67" s="116">
        <v>329.65</v>
      </c>
      <c r="D67" s="116">
        <v>322.05</v>
      </c>
      <c r="E67" s="116">
        <v>326</v>
      </c>
      <c r="F67" s="116">
        <v>329.65</v>
      </c>
      <c r="G67">
        <v>12016</v>
      </c>
      <c r="H67" s="116"/>
      <c r="I67" s="116"/>
      <c r="L67" s="170">
        <v>42976</v>
      </c>
      <c r="M67" s="116">
        <v>330.45</v>
      </c>
      <c r="N67" s="116">
        <v>339</v>
      </c>
      <c r="O67" s="116">
        <v>322.85000000000002</v>
      </c>
      <c r="P67" s="116">
        <v>325.2</v>
      </c>
      <c r="Q67" s="116">
        <v>330.45</v>
      </c>
      <c r="R67">
        <v>83059</v>
      </c>
    </row>
    <row r="68" spans="1:18" x14ac:dyDescent="0.25">
      <c r="A68" s="170">
        <v>42977</v>
      </c>
      <c r="B68" s="116">
        <v>337.5</v>
      </c>
      <c r="C68" s="116">
        <v>333.7</v>
      </c>
      <c r="D68" s="116">
        <v>330</v>
      </c>
      <c r="E68" s="116">
        <v>330</v>
      </c>
      <c r="F68" s="116">
        <v>333.7</v>
      </c>
      <c r="G68">
        <v>16641</v>
      </c>
      <c r="H68" s="116"/>
      <c r="I68" s="116"/>
      <c r="L68" s="170">
        <v>42977</v>
      </c>
      <c r="M68" s="116">
        <v>333.7</v>
      </c>
      <c r="N68" s="116">
        <v>338</v>
      </c>
      <c r="O68" s="116">
        <v>327</v>
      </c>
      <c r="P68" s="116">
        <v>329.55</v>
      </c>
      <c r="Q68" s="116">
        <v>333.7</v>
      </c>
      <c r="R68">
        <v>141261</v>
      </c>
    </row>
    <row r="69" spans="1:18" x14ac:dyDescent="0.25">
      <c r="A69" s="170">
        <v>42978</v>
      </c>
      <c r="B69" s="116">
        <v>337.45</v>
      </c>
      <c r="C69" s="116">
        <v>332.4</v>
      </c>
      <c r="D69" s="116">
        <v>331.3</v>
      </c>
      <c r="E69" s="116">
        <v>334.25</v>
      </c>
      <c r="F69" s="116">
        <v>332.4</v>
      </c>
      <c r="G69">
        <v>4394</v>
      </c>
      <c r="H69" s="116"/>
      <c r="I69" s="116"/>
      <c r="L69" s="170">
        <v>42978</v>
      </c>
      <c r="M69" s="116">
        <v>333.35</v>
      </c>
      <c r="N69" s="116">
        <v>337.4</v>
      </c>
      <c r="O69" s="116">
        <v>331.2</v>
      </c>
      <c r="P69" s="116">
        <v>332.9</v>
      </c>
      <c r="Q69" s="116">
        <v>333.35</v>
      </c>
      <c r="R69">
        <v>20920</v>
      </c>
    </row>
    <row r="70" spans="1:18" x14ac:dyDescent="0.25">
      <c r="A70" s="170">
        <v>42979</v>
      </c>
      <c r="B70" s="116">
        <v>337.7</v>
      </c>
      <c r="C70" s="116">
        <v>331</v>
      </c>
      <c r="D70" s="116">
        <v>325.25</v>
      </c>
      <c r="E70" s="116">
        <v>336</v>
      </c>
      <c r="F70" s="116">
        <v>331</v>
      </c>
      <c r="G70">
        <v>4415</v>
      </c>
      <c r="H70" s="116"/>
      <c r="I70" s="116"/>
      <c r="L70" s="170">
        <v>42979</v>
      </c>
      <c r="M70" s="116">
        <v>329.9</v>
      </c>
      <c r="N70" s="116">
        <v>337.4</v>
      </c>
      <c r="O70" s="116">
        <v>325</v>
      </c>
      <c r="P70" s="116">
        <v>335.45</v>
      </c>
      <c r="Q70" s="116">
        <v>329.9</v>
      </c>
      <c r="R70">
        <v>100281</v>
      </c>
    </row>
    <row r="71" spans="1:18" x14ac:dyDescent="0.25">
      <c r="A71" s="170">
        <v>42982</v>
      </c>
      <c r="B71" s="116">
        <v>332.8</v>
      </c>
      <c r="C71" s="116">
        <v>327.7</v>
      </c>
      <c r="D71" s="116">
        <v>325</v>
      </c>
      <c r="E71" s="116">
        <v>331.65</v>
      </c>
      <c r="F71" s="116">
        <v>327.7</v>
      </c>
      <c r="G71">
        <v>9832</v>
      </c>
      <c r="H71" s="116"/>
      <c r="I71" s="116"/>
      <c r="L71" s="170">
        <v>42982</v>
      </c>
      <c r="M71" s="116">
        <v>327.7</v>
      </c>
      <c r="N71" s="116">
        <v>332.95</v>
      </c>
      <c r="O71" s="116">
        <v>324</v>
      </c>
      <c r="P71" s="116">
        <v>332.95</v>
      </c>
      <c r="Q71" s="116">
        <v>327.7</v>
      </c>
      <c r="R71">
        <v>45850</v>
      </c>
    </row>
    <row r="72" spans="1:18" x14ac:dyDescent="0.25">
      <c r="A72" s="170">
        <v>42983</v>
      </c>
      <c r="B72" s="116">
        <v>340</v>
      </c>
      <c r="C72" s="116">
        <v>336.85</v>
      </c>
      <c r="D72" s="116">
        <v>326.85000000000002</v>
      </c>
      <c r="E72" s="116">
        <v>327.7</v>
      </c>
      <c r="F72" s="116">
        <v>336.85</v>
      </c>
      <c r="G72">
        <v>11166</v>
      </c>
      <c r="H72" s="116"/>
      <c r="I72" s="116"/>
      <c r="L72" s="170">
        <v>42983</v>
      </c>
      <c r="M72" s="116">
        <v>336.3</v>
      </c>
      <c r="N72" s="116">
        <v>339</v>
      </c>
      <c r="O72" s="116">
        <v>326.35000000000002</v>
      </c>
      <c r="P72" s="116">
        <v>336</v>
      </c>
      <c r="Q72" s="116">
        <v>336.3</v>
      </c>
      <c r="R72">
        <v>264563</v>
      </c>
    </row>
    <row r="73" spans="1:18" x14ac:dyDescent="0.25">
      <c r="A73" s="170">
        <v>42984</v>
      </c>
      <c r="B73" s="116">
        <v>353</v>
      </c>
      <c r="C73" s="116">
        <v>345.3</v>
      </c>
      <c r="D73" s="116">
        <v>336</v>
      </c>
      <c r="E73" s="116">
        <v>339</v>
      </c>
      <c r="F73" s="116">
        <v>345.3</v>
      </c>
      <c r="G73">
        <v>62680</v>
      </c>
      <c r="H73" s="116"/>
      <c r="I73" s="116"/>
      <c r="L73" s="170">
        <v>42984</v>
      </c>
      <c r="M73" s="116">
        <v>346.85</v>
      </c>
      <c r="N73" s="116">
        <v>353.4</v>
      </c>
      <c r="O73" s="116">
        <v>335.05</v>
      </c>
      <c r="P73" s="116">
        <v>344.8</v>
      </c>
      <c r="Q73" s="116">
        <v>346.85</v>
      </c>
      <c r="R73">
        <v>239201</v>
      </c>
    </row>
    <row r="74" spans="1:18" x14ac:dyDescent="0.25">
      <c r="A74" s="170">
        <v>42985</v>
      </c>
      <c r="B74" s="116">
        <v>360.2</v>
      </c>
      <c r="C74" s="116">
        <v>354.55</v>
      </c>
      <c r="D74" s="116">
        <v>347.45</v>
      </c>
      <c r="E74" s="116">
        <v>347.45</v>
      </c>
      <c r="F74" s="116">
        <v>354.55</v>
      </c>
      <c r="G74">
        <v>9324</v>
      </c>
      <c r="H74" s="116"/>
      <c r="I74" s="116"/>
      <c r="L74" s="170">
        <v>42985</v>
      </c>
      <c r="M74" s="116">
        <v>356.1</v>
      </c>
      <c r="N74" s="116">
        <v>359.7</v>
      </c>
      <c r="O74" s="116">
        <v>345.2</v>
      </c>
      <c r="P74" s="116">
        <v>349.55</v>
      </c>
      <c r="Q74" s="116">
        <v>356.1</v>
      </c>
      <c r="R74">
        <v>161053</v>
      </c>
    </row>
    <row r="75" spans="1:18" x14ac:dyDescent="0.25">
      <c r="A75" s="170">
        <v>42986</v>
      </c>
      <c r="B75" s="116">
        <v>368</v>
      </c>
      <c r="C75" s="116">
        <v>358.15</v>
      </c>
      <c r="D75" s="116">
        <v>356.3</v>
      </c>
      <c r="E75" s="116">
        <v>356.35</v>
      </c>
      <c r="F75" s="116">
        <v>358.15</v>
      </c>
      <c r="G75">
        <v>15035</v>
      </c>
      <c r="H75" s="116"/>
      <c r="I75" s="116"/>
      <c r="L75" s="170">
        <v>42986</v>
      </c>
      <c r="M75" s="116">
        <v>360.15</v>
      </c>
      <c r="N75" s="116">
        <v>368.8</v>
      </c>
      <c r="O75" s="116">
        <v>355.2</v>
      </c>
      <c r="P75" s="116">
        <v>359</v>
      </c>
      <c r="Q75" s="116">
        <v>360.15</v>
      </c>
      <c r="R75">
        <v>332407</v>
      </c>
    </row>
    <row r="76" spans="1:18" x14ac:dyDescent="0.25">
      <c r="A76" s="170">
        <v>42989</v>
      </c>
      <c r="B76" s="116">
        <v>364.75</v>
      </c>
      <c r="C76" s="116">
        <v>355.55</v>
      </c>
      <c r="D76" s="116">
        <v>352.1</v>
      </c>
      <c r="E76" s="116">
        <v>361.4</v>
      </c>
      <c r="F76" s="116">
        <v>355.55</v>
      </c>
      <c r="G76">
        <v>8375</v>
      </c>
      <c r="H76" s="116"/>
      <c r="I76" s="116"/>
      <c r="L76" s="170">
        <v>42989</v>
      </c>
      <c r="M76" s="116">
        <v>355.65</v>
      </c>
      <c r="N76" s="116">
        <v>364.9</v>
      </c>
      <c r="O76" s="116">
        <v>351.5</v>
      </c>
      <c r="P76" s="116">
        <v>364.9</v>
      </c>
      <c r="Q76" s="116">
        <v>355.65</v>
      </c>
      <c r="R76">
        <v>76944</v>
      </c>
    </row>
    <row r="77" spans="1:18" x14ac:dyDescent="0.25">
      <c r="A77" s="170">
        <v>42990</v>
      </c>
      <c r="B77" s="116">
        <v>372.5</v>
      </c>
      <c r="C77" s="116">
        <v>358.65</v>
      </c>
      <c r="D77" s="116">
        <v>354</v>
      </c>
      <c r="E77" s="116">
        <v>358.7</v>
      </c>
      <c r="F77" s="116">
        <v>358.65</v>
      </c>
      <c r="G77">
        <v>9498</v>
      </c>
      <c r="H77" s="116"/>
      <c r="I77" s="116"/>
      <c r="L77" s="170">
        <v>42990</v>
      </c>
      <c r="M77" s="116">
        <v>358.85</v>
      </c>
      <c r="N77" s="116">
        <v>373.8</v>
      </c>
      <c r="O77" s="116">
        <v>353</v>
      </c>
      <c r="P77" s="116">
        <v>353</v>
      </c>
      <c r="Q77" s="116">
        <v>358.85</v>
      </c>
      <c r="R77">
        <v>67882</v>
      </c>
    </row>
    <row r="78" spans="1:18" x14ac:dyDescent="0.25">
      <c r="A78" s="170">
        <v>42991</v>
      </c>
      <c r="B78" s="116">
        <v>359.25</v>
      </c>
      <c r="C78" s="116">
        <v>356.1</v>
      </c>
      <c r="D78" s="116">
        <v>353.1</v>
      </c>
      <c r="E78" s="116">
        <v>359</v>
      </c>
      <c r="F78" s="116">
        <v>356.1</v>
      </c>
      <c r="G78">
        <v>5116</v>
      </c>
      <c r="H78" s="116"/>
      <c r="I78" s="116"/>
      <c r="L78" s="170">
        <v>42991</v>
      </c>
      <c r="M78" s="116">
        <v>357.8</v>
      </c>
      <c r="N78" s="116">
        <v>362.05</v>
      </c>
      <c r="O78" s="116">
        <v>350.6</v>
      </c>
      <c r="P78" s="116">
        <v>360.4</v>
      </c>
      <c r="Q78" s="116">
        <v>357.8</v>
      </c>
      <c r="R78">
        <v>62052</v>
      </c>
    </row>
    <row r="79" spans="1:18" x14ac:dyDescent="0.25">
      <c r="A79" s="170">
        <v>42992</v>
      </c>
      <c r="B79" s="116">
        <v>359</v>
      </c>
      <c r="C79" s="116">
        <v>353.5</v>
      </c>
      <c r="D79" s="116">
        <v>351</v>
      </c>
      <c r="E79" s="116">
        <v>358.5</v>
      </c>
      <c r="F79" s="116">
        <v>353.5</v>
      </c>
      <c r="G79">
        <v>1464</v>
      </c>
      <c r="H79" s="116"/>
      <c r="I79" s="116"/>
      <c r="L79" s="170">
        <v>42992</v>
      </c>
      <c r="M79" s="116">
        <v>355.6</v>
      </c>
      <c r="N79" s="116">
        <v>360.65</v>
      </c>
      <c r="O79" s="116">
        <v>352.45</v>
      </c>
      <c r="P79" s="116">
        <v>359.95</v>
      </c>
      <c r="Q79" s="116">
        <v>355.6</v>
      </c>
      <c r="R79">
        <v>23849</v>
      </c>
    </row>
    <row r="80" spans="1:18" x14ac:dyDescent="0.25">
      <c r="A80" s="170">
        <v>42993</v>
      </c>
      <c r="B80" s="116">
        <v>355.95</v>
      </c>
      <c r="C80" s="116">
        <v>349</v>
      </c>
      <c r="D80" s="116">
        <v>349</v>
      </c>
      <c r="E80" s="116">
        <v>355.3</v>
      </c>
      <c r="F80" s="116">
        <v>349</v>
      </c>
      <c r="G80">
        <v>6002</v>
      </c>
      <c r="H80" s="116"/>
      <c r="I80" s="116"/>
      <c r="L80" s="170">
        <v>42993</v>
      </c>
      <c r="M80" s="116">
        <v>350.15</v>
      </c>
      <c r="N80" s="116">
        <v>356.9</v>
      </c>
      <c r="O80" s="116">
        <v>349</v>
      </c>
      <c r="P80" s="116">
        <v>355</v>
      </c>
      <c r="Q80" s="116">
        <v>350.15</v>
      </c>
      <c r="R80">
        <v>13784</v>
      </c>
    </row>
    <row r="81" spans="1:18" x14ac:dyDescent="0.25">
      <c r="A81" s="170">
        <v>42996</v>
      </c>
      <c r="B81" s="116">
        <v>366</v>
      </c>
      <c r="C81" s="116">
        <v>354.7</v>
      </c>
      <c r="D81" s="116">
        <v>352.5</v>
      </c>
      <c r="E81" s="116">
        <v>357.05</v>
      </c>
      <c r="F81" s="116">
        <v>354.7</v>
      </c>
      <c r="G81">
        <v>6541</v>
      </c>
      <c r="H81" s="116"/>
      <c r="I81" s="116"/>
      <c r="L81" s="170">
        <v>42996</v>
      </c>
      <c r="M81" s="116">
        <v>355.5</v>
      </c>
      <c r="N81" s="116">
        <v>368.65</v>
      </c>
      <c r="O81" s="116">
        <v>351.25</v>
      </c>
      <c r="P81" s="116">
        <v>352.05</v>
      </c>
      <c r="Q81" s="116">
        <v>355.5</v>
      </c>
      <c r="R81">
        <v>21224</v>
      </c>
    </row>
    <row r="82" spans="1:18" x14ac:dyDescent="0.25">
      <c r="A82" s="170">
        <v>42997</v>
      </c>
      <c r="B82" s="116">
        <v>359.2</v>
      </c>
      <c r="C82" s="116">
        <v>357.3</v>
      </c>
      <c r="D82" s="116">
        <v>354</v>
      </c>
      <c r="E82" s="116">
        <v>358.25</v>
      </c>
      <c r="F82" s="116">
        <v>357.3</v>
      </c>
      <c r="G82">
        <v>580</v>
      </c>
      <c r="H82" s="116"/>
      <c r="I82" s="116"/>
      <c r="L82" s="170">
        <v>42997</v>
      </c>
      <c r="M82" s="116">
        <v>359.4</v>
      </c>
      <c r="N82" s="116">
        <v>361</v>
      </c>
      <c r="O82" s="116">
        <v>350</v>
      </c>
      <c r="P82" s="116">
        <v>360</v>
      </c>
      <c r="Q82" s="116">
        <v>359.4</v>
      </c>
      <c r="R82">
        <v>14507</v>
      </c>
    </row>
    <row r="83" spans="1:18" x14ac:dyDescent="0.25">
      <c r="A83" s="170">
        <v>42998</v>
      </c>
      <c r="B83" s="116">
        <v>362</v>
      </c>
      <c r="C83" s="116">
        <v>358.3</v>
      </c>
      <c r="D83" s="116">
        <v>354</v>
      </c>
      <c r="E83" s="116">
        <v>360.35</v>
      </c>
      <c r="F83" s="116">
        <v>358.3</v>
      </c>
      <c r="G83">
        <v>6201</v>
      </c>
      <c r="H83" s="116"/>
      <c r="I83" s="116"/>
      <c r="L83" s="170">
        <v>42998</v>
      </c>
      <c r="M83" s="116">
        <v>361.5</v>
      </c>
      <c r="N83" s="116">
        <v>365</v>
      </c>
      <c r="O83" s="116">
        <v>355.5</v>
      </c>
      <c r="P83" s="116">
        <v>359.3</v>
      </c>
      <c r="Q83" s="116">
        <v>361.5</v>
      </c>
      <c r="R83">
        <v>68108</v>
      </c>
    </row>
    <row r="84" spans="1:18" x14ac:dyDescent="0.25">
      <c r="A84" s="170">
        <v>42999</v>
      </c>
      <c r="B84" s="116">
        <v>359.95</v>
      </c>
      <c r="C84" s="116">
        <v>357.5</v>
      </c>
      <c r="D84" s="116">
        <v>349.7</v>
      </c>
      <c r="E84" s="116">
        <v>358.1</v>
      </c>
      <c r="F84" s="116">
        <v>357.5</v>
      </c>
      <c r="G84">
        <v>4548</v>
      </c>
      <c r="H84" s="116"/>
      <c r="I84" s="116"/>
      <c r="L84" s="170">
        <v>42999</v>
      </c>
      <c r="M84" s="116">
        <v>358.75</v>
      </c>
      <c r="N84" s="116">
        <v>360.35</v>
      </c>
      <c r="O84" s="116">
        <v>350</v>
      </c>
      <c r="P84" s="116">
        <v>360.35</v>
      </c>
      <c r="Q84" s="116">
        <v>358.75</v>
      </c>
      <c r="R84">
        <v>28800</v>
      </c>
    </row>
    <row r="85" spans="1:18" x14ac:dyDescent="0.25">
      <c r="A85" s="170">
        <v>43000</v>
      </c>
      <c r="B85" s="116">
        <v>355</v>
      </c>
      <c r="C85" s="116">
        <v>349.95</v>
      </c>
      <c r="D85" s="116">
        <v>347.1</v>
      </c>
      <c r="E85" s="116">
        <v>352.05</v>
      </c>
      <c r="F85" s="116">
        <v>349.95</v>
      </c>
      <c r="G85">
        <v>48227</v>
      </c>
      <c r="H85" s="116"/>
      <c r="I85" s="116"/>
      <c r="L85" s="170">
        <v>43000</v>
      </c>
      <c r="M85" s="116">
        <v>349.75</v>
      </c>
      <c r="N85" s="116">
        <v>358.8</v>
      </c>
      <c r="O85" s="116">
        <v>345.05</v>
      </c>
      <c r="P85" s="116">
        <v>353.45</v>
      </c>
      <c r="Q85" s="116">
        <v>349.75</v>
      </c>
      <c r="R85">
        <v>90733</v>
      </c>
    </row>
    <row r="86" spans="1:18" x14ac:dyDescent="0.25">
      <c r="A86" s="170">
        <v>43003</v>
      </c>
      <c r="B86" s="116">
        <v>347.7</v>
      </c>
      <c r="C86" s="116">
        <v>334.85</v>
      </c>
      <c r="D86" s="116">
        <v>326.64999999999998</v>
      </c>
      <c r="E86" s="116">
        <v>345</v>
      </c>
      <c r="F86" s="116">
        <v>334.85</v>
      </c>
      <c r="G86">
        <v>320575</v>
      </c>
      <c r="H86" s="116"/>
      <c r="I86" s="116"/>
      <c r="L86" s="170">
        <v>43003</v>
      </c>
      <c r="M86" s="116">
        <v>330.15</v>
      </c>
      <c r="N86" s="116">
        <v>350</v>
      </c>
      <c r="O86" s="116">
        <v>323.3</v>
      </c>
      <c r="P86" s="116">
        <v>345.9</v>
      </c>
      <c r="Q86" s="116">
        <v>330.15</v>
      </c>
      <c r="R86">
        <v>249634</v>
      </c>
    </row>
    <row r="87" spans="1:18" x14ac:dyDescent="0.25">
      <c r="A87" s="170">
        <v>43004</v>
      </c>
      <c r="B87" s="116">
        <v>340</v>
      </c>
      <c r="C87" s="116">
        <v>336.3</v>
      </c>
      <c r="D87" s="116">
        <v>327.55</v>
      </c>
      <c r="E87" s="116">
        <v>333.7</v>
      </c>
      <c r="F87" s="116">
        <v>336.3</v>
      </c>
      <c r="G87">
        <v>10106</v>
      </c>
      <c r="H87" s="116"/>
      <c r="I87" s="116"/>
      <c r="L87" s="170">
        <v>43004</v>
      </c>
      <c r="M87" s="116">
        <v>335.2</v>
      </c>
      <c r="N87" s="116">
        <v>342.2</v>
      </c>
      <c r="O87" s="116">
        <v>325.10000000000002</v>
      </c>
      <c r="P87" s="116">
        <v>329.65</v>
      </c>
      <c r="Q87" s="116">
        <v>335.2</v>
      </c>
      <c r="R87">
        <v>300345</v>
      </c>
    </row>
    <row r="88" spans="1:18" x14ac:dyDescent="0.25">
      <c r="A88" s="170">
        <v>43005</v>
      </c>
      <c r="B88" s="116">
        <v>341.85</v>
      </c>
      <c r="C88" s="116">
        <v>332.25</v>
      </c>
      <c r="D88" s="116">
        <v>325</v>
      </c>
      <c r="E88" s="116">
        <v>335.05</v>
      </c>
      <c r="F88" s="116">
        <v>332.25</v>
      </c>
      <c r="G88">
        <v>7157</v>
      </c>
      <c r="H88" s="116"/>
      <c r="I88" s="116"/>
      <c r="L88" s="170">
        <v>43005</v>
      </c>
      <c r="M88" s="116">
        <v>333.05</v>
      </c>
      <c r="N88" s="116">
        <v>341.8</v>
      </c>
      <c r="O88" s="116">
        <v>324</v>
      </c>
      <c r="P88" s="116">
        <v>336.45</v>
      </c>
      <c r="Q88" s="116">
        <v>333.05</v>
      </c>
      <c r="R88">
        <v>86564</v>
      </c>
    </row>
    <row r="89" spans="1:18" x14ac:dyDescent="0.25">
      <c r="A89" s="170">
        <v>43006</v>
      </c>
      <c r="B89" s="116">
        <v>339.95</v>
      </c>
      <c r="C89" s="116">
        <v>332.6</v>
      </c>
      <c r="D89" s="116">
        <v>330</v>
      </c>
      <c r="E89" s="116">
        <v>334.85</v>
      </c>
      <c r="F89" s="116">
        <v>332.6</v>
      </c>
      <c r="G89">
        <v>2962</v>
      </c>
      <c r="H89" s="116"/>
      <c r="I89" s="116"/>
      <c r="L89" s="170">
        <v>43006</v>
      </c>
      <c r="M89" s="116">
        <v>330.35</v>
      </c>
      <c r="N89" s="116">
        <v>339.2</v>
      </c>
      <c r="O89" s="116">
        <v>329</v>
      </c>
      <c r="P89" s="116">
        <v>335.95</v>
      </c>
      <c r="Q89" s="116">
        <v>330.35</v>
      </c>
      <c r="R89">
        <v>33927</v>
      </c>
    </row>
    <row r="90" spans="1:18" x14ac:dyDescent="0.25">
      <c r="A90" s="170">
        <v>43007</v>
      </c>
      <c r="B90" s="116">
        <v>342.5</v>
      </c>
      <c r="C90" s="116">
        <v>338.3</v>
      </c>
      <c r="D90" s="116">
        <v>334</v>
      </c>
      <c r="E90" s="116">
        <v>339.2</v>
      </c>
      <c r="F90" s="116">
        <v>338.3</v>
      </c>
      <c r="G90">
        <v>3518</v>
      </c>
      <c r="H90" s="116"/>
      <c r="I90" s="116"/>
      <c r="L90" s="170">
        <v>43007</v>
      </c>
      <c r="M90" s="116">
        <v>338.9</v>
      </c>
      <c r="N90" s="116">
        <v>342.45</v>
      </c>
      <c r="O90" s="116">
        <v>333.15</v>
      </c>
      <c r="P90" s="116">
        <v>337.7</v>
      </c>
      <c r="Q90" s="116">
        <v>338.9</v>
      </c>
      <c r="R90">
        <v>40990</v>
      </c>
    </row>
    <row r="91" spans="1:18" x14ac:dyDescent="0.25">
      <c r="A91" s="170">
        <v>43011</v>
      </c>
      <c r="B91" s="116">
        <v>352.4</v>
      </c>
      <c r="C91" s="116">
        <v>345.15</v>
      </c>
      <c r="D91" s="116">
        <v>339</v>
      </c>
      <c r="E91" s="116">
        <v>339</v>
      </c>
      <c r="F91" s="116">
        <v>345.15</v>
      </c>
      <c r="G91">
        <v>12999</v>
      </c>
      <c r="H91" s="116"/>
      <c r="I91" s="116"/>
      <c r="L91" s="170">
        <v>43011</v>
      </c>
      <c r="M91" s="116">
        <v>345.95</v>
      </c>
      <c r="N91" s="116">
        <v>350</v>
      </c>
      <c r="O91" s="116">
        <v>337.15</v>
      </c>
      <c r="P91" s="116">
        <v>345</v>
      </c>
      <c r="Q91" s="116">
        <v>345.95</v>
      </c>
      <c r="R91">
        <v>75027</v>
      </c>
    </row>
    <row r="92" spans="1:18" x14ac:dyDescent="0.25">
      <c r="A92" s="170">
        <v>43012</v>
      </c>
      <c r="B92" s="116">
        <v>370.95</v>
      </c>
      <c r="C92" s="116">
        <v>360.45</v>
      </c>
      <c r="D92" s="116">
        <v>346.9</v>
      </c>
      <c r="E92" s="116">
        <v>346.9</v>
      </c>
      <c r="F92" s="116">
        <v>360.45</v>
      </c>
      <c r="G92">
        <v>14329</v>
      </c>
      <c r="H92" s="116"/>
      <c r="I92" s="116"/>
      <c r="L92" s="170">
        <v>43012</v>
      </c>
      <c r="M92" s="116">
        <v>359.05</v>
      </c>
      <c r="N92" s="116">
        <v>371.5</v>
      </c>
      <c r="O92" s="116">
        <v>345.6</v>
      </c>
      <c r="P92" s="116">
        <v>347</v>
      </c>
      <c r="Q92" s="116">
        <v>359.05</v>
      </c>
      <c r="R92">
        <v>125511</v>
      </c>
    </row>
    <row r="93" spans="1:18" x14ac:dyDescent="0.25">
      <c r="A93" s="170">
        <v>43013</v>
      </c>
      <c r="B93" s="116">
        <v>366.45</v>
      </c>
      <c r="C93" s="116">
        <v>359.2</v>
      </c>
      <c r="D93" s="116">
        <v>354.5</v>
      </c>
      <c r="E93" s="116">
        <v>364</v>
      </c>
      <c r="F93" s="116">
        <v>359.2</v>
      </c>
      <c r="G93">
        <v>6094</v>
      </c>
      <c r="H93" s="116"/>
      <c r="I93" s="116"/>
      <c r="L93" s="170">
        <v>43013</v>
      </c>
      <c r="M93" s="116">
        <v>358.9</v>
      </c>
      <c r="N93" s="116">
        <v>366.6</v>
      </c>
      <c r="O93" s="116">
        <v>354.5</v>
      </c>
      <c r="P93" s="116">
        <v>366.6</v>
      </c>
      <c r="Q93" s="116">
        <v>358.9</v>
      </c>
      <c r="R93">
        <v>32911</v>
      </c>
    </row>
    <row r="94" spans="1:18" x14ac:dyDescent="0.25">
      <c r="A94" s="170">
        <v>43014</v>
      </c>
      <c r="B94" s="116">
        <v>365</v>
      </c>
      <c r="C94" s="116">
        <v>361.7</v>
      </c>
      <c r="D94" s="116">
        <v>360</v>
      </c>
      <c r="E94" s="116">
        <v>360.25</v>
      </c>
      <c r="F94" s="116">
        <v>361.7</v>
      </c>
      <c r="G94">
        <v>18330</v>
      </c>
      <c r="H94" s="116"/>
      <c r="I94" s="116"/>
      <c r="L94" s="170">
        <v>43014</v>
      </c>
      <c r="M94" s="116">
        <v>361.1</v>
      </c>
      <c r="N94" s="116">
        <v>366.3</v>
      </c>
      <c r="O94" s="116">
        <v>357</v>
      </c>
      <c r="P94" s="116">
        <v>357.35</v>
      </c>
      <c r="Q94" s="116">
        <v>361.1</v>
      </c>
      <c r="R94">
        <v>49936</v>
      </c>
    </row>
    <row r="95" spans="1:18" x14ac:dyDescent="0.25">
      <c r="A95" s="170">
        <v>43017</v>
      </c>
      <c r="B95" s="116">
        <v>384.7</v>
      </c>
      <c r="C95" s="116">
        <v>367.05</v>
      </c>
      <c r="D95" s="116">
        <v>349.55</v>
      </c>
      <c r="E95" s="116">
        <v>349.55</v>
      </c>
      <c r="F95" s="116">
        <v>367.05</v>
      </c>
      <c r="G95">
        <v>70099</v>
      </c>
      <c r="H95" s="116"/>
      <c r="I95" s="116"/>
      <c r="L95" s="170">
        <v>43017</v>
      </c>
      <c r="M95" s="116">
        <v>367</v>
      </c>
      <c r="N95" s="116">
        <v>385</v>
      </c>
      <c r="O95" s="116">
        <v>351</v>
      </c>
      <c r="P95" s="116">
        <v>351</v>
      </c>
      <c r="Q95" s="116">
        <v>367</v>
      </c>
      <c r="R95">
        <v>366599</v>
      </c>
    </row>
    <row r="96" spans="1:18" x14ac:dyDescent="0.25">
      <c r="A96" s="170">
        <v>43018</v>
      </c>
      <c r="B96" s="116">
        <v>423.9</v>
      </c>
      <c r="C96" s="116">
        <v>412.3</v>
      </c>
      <c r="D96" s="116">
        <v>375</v>
      </c>
      <c r="E96" s="116">
        <v>375</v>
      </c>
      <c r="F96" s="116">
        <v>412.3</v>
      </c>
      <c r="G96">
        <v>76159</v>
      </c>
      <c r="H96" s="116"/>
      <c r="I96" s="116"/>
      <c r="L96" s="170">
        <v>43018</v>
      </c>
      <c r="M96" s="116">
        <v>410.8</v>
      </c>
      <c r="N96" s="116">
        <v>426</v>
      </c>
      <c r="O96" s="116">
        <v>373</v>
      </c>
      <c r="P96" s="116">
        <v>373.05</v>
      </c>
      <c r="Q96" s="116">
        <v>410.8</v>
      </c>
      <c r="R96">
        <v>443641</v>
      </c>
    </row>
    <row r="97" spans="1:18" x14ac:dyDescent="0.25">
      <c r="A97" s="170">
        <v>43019</v>
      </c>
      <c r="B97" s="116">
        <v>465.75</v>
      </c>
      <c r="C97" s="116">
        <v>413.1</v>
      </c>
      <c r="D97" s="116">
        <v>404.5</v>
      </c>
      <c r="E97" s="116">
        <v>447</v>
      </c>
      <c r="F97" s="116">
        <v>413.1</v>
      </c>
      <c r="G97">
        <v>114393</v>
      </c>
      <c r="H97" s="116"/>
      <c r="I97" s="116"/>
      <c r="L97" s="170">
        <v>43019</v>
      </c>
      <c r="M97" s="116">
        <v>411.2</v>
      </c>
      <c r="N97" s="116">
        <v>469</v>
      </c>
      <c r="O97" s="116">
        <v>402.65</v>
      </c>
      <c r="P97" s="116">
        <v>446.5</v>
      </c>
      <c r="Q97" s="116">
        <v>411.2</v>
      </c>
      <c r="R97">
        <v>689970</v>
      </c>
    </row>
    <row r="98" spans="1:18" x14ac:dyDescent="0.25">
      <c r="A98" s="170">
        <v>43020</v>
      </c>
      <c r="B98" s="116">
        <v>427.85</v>
      </c>
      <c r="C98" s="116">
        <v>416.35</v>
      </c>
      <c r="D98" s="116">
        <v>405.15</v>
      </c>
      <c r="E98" s="116">
        <v>418</v>
      </c>
      <c r="F98" s="116">
        <v>416.35</v>
      </c>
      <c r="G98">
        <v>14171</v>
      </c>
      <c r="H98" s="116"/>
      <c r="I98" s="116"/>
      <c r="L98" s="170">
        <v>43020</v>
      </c>
      <c r="M98" s="116">
        <v>413.4</v>
      </c>
      <c r="N98" s="116">
        <v>426.8</v>
      </c>
      <c r="O98" s="116">
        <v>399.65</v>
      </c>
      <c r="P98" s="116">
        <v>415.1</v>
      </c>
      <c r="Q98" s="116">
        <v>413.4</v>
      </c>
      <c r="R98">
        <v>97711</v>
      </c>
    </row>
    <row r="99" spans="1:18" x14ac:dyDescent="0.25">
      <c r="A99" s="170">
        <v>43021</v>
      </c>
      <c r="B99" s="116">
        <v>443.9</v>
      </c>
      <c r="C99" s="116">
        <v>422.9</v>
      </c>
      <c r="D99" s="116">
        <v>408</v>
      </c>
      <c r="E99" s="116">
        <v>415.4</v>
      </c>
      <c r="F99" s="116">
        <v>422.9</v>
      </c>
      <c r="G99">
        <v>49319</v>
      </c>
      <c r="H99" s="116"/>
      <c r="I99" s="116"/>
      <c r="L99" s="170">
        <v>43021</v>
      </c>
      <c r="M99" s="116">
        <v>424.85</v>
      </c>
      <c r="N99" s="116">
        <v>443.2</v>
      </c>
      <c r="O99" s="116">
        <v>407.65</v>
      </c>
      <c r="P99" s="116">
        <v>417.5</v>
      </c>
      <c r="Q99" s="116">
        <v>424.85</v>
      </c>
      <c r="R99">
        <v>307335</v>
      </c>
    </row>
    <row r="100" spans="1:18" x14ac:dyDescent="0.25">
      <c r="A100" s="170">
        <v>43024</v>
      </c>
      <c r="B100" s="116">
        <v>441.95</v>
      </c>
      <c r="C100" s="116">
        <v>422.95</v>
      </c>
      <c r="D100" s="116">
        <v>412.2</v>
      </c>
      <c r="E100" s="116">
        <v>432</v>
      </c>
      <c r="F100" s="116">
        <v>422.95</v>
      </c>
      <c r="G100">
        <v>9419</v>
      </c>
      <c r="H100" s="116"/>
      <c r="I100" s="116"/>
      <c r="L100" s="170">
        <v>43024</v>
      </c>
      <c r="M100" s="116">
        <v>422.95</v>
      </c>
      <c r="N100" s="116">
        <v>441.55</v>
      </c>
      <c r="O100" s="116">
        <v>411.05</v>
      </c>
      <c r="P100" s="116">
        <v>430.05</v>
      </c>
      <c r="Q100" s="116">
        <v>422.95</v>
      </c>
      <c r="R100">
        <v>114950</v>
      </c>
    </row>
    <row r="101" spans="1:18" x14ac:dyDescent="0.25">
      <c r="A101" s="170">
        <v>43025</v>
      </c>
      <c r="B101" s="116">
        <v>434.75</v>
      </c>
      <c r="C101" s="116">
        <v>422.3</v>
      </c>
      <c r="D101" s="116">
        <v>419.7</v>
      </c>
      <c r="E101" s="116">
        <v>423.25</v>
      </c>
      <c r="F101" s="116">
        <v>422.3</v>
      </c>
      <c r="G101">
        <v>4969</v>
      </c>
      <c r="H101" s="116"/>
      <c r="I101" s="116"/>
      <c r="L101" s="170">
        <v>43025</v>
      </c>
      <c r="M101" s="116">
        <v>422.85</v>
      </c>
      <c r="N101" s="116">
        <v>434</v>
      </c>
      <c r="O101" s="116">
        <v>420.1</v>
      </c>
      <c r="P101" s="116">
        <v>424.05</v>
      </c>
      <c r="Q101" s="116">
        <v>422.85</v>
      </c>
      <c r="R101">
        <v>67579</v>
      </c>
    </row>
    <row r="102" spans="1:18" x14ac:dyDescent="0.25">
      <c r="A102" s="170">
        <v>43026</v>
      </c>
      <c r="B102" s="116">
        <v>428.7</v>
      </c>
      <c r="C102" s="116">
        <v>423.85</v>
      </c>
      <c r="D102" s="116">
        <v>420</v>
      </c>
      <c r="E102" s="116">
        <v>424</v>
      </c>
      <c r="F102" s="116">
        <v>423.85</v>
      </c>
      <c r="G102">
        <v>5772</v>
      </c>
      <c r="H102" s="116"/>
      <c r="I102" s="116"/>
      <c r="L102" s="170">
        <v>43026</v>
      </c>
      <c r="M102" s="116">
        <v>423.45</v>
      </c>
      <c r="N102" s="116">
        <v>428.75</v>
      </c>
      <c r="O102" s="116">
        <v>420.45</v>
      </c>
      <c r="P102" s="116">
        <v>422.9</v>
      </c>
      <c r="Q102" s="116">
        <v>423.45</v>
      </c>
      <c r="R102">
        <v>18503</v>
      </c>
    </row>
    <row r="103" spans="1:18" x14ac:dyDescent="0.25">
      <c r="A103" s="170">
        <v>43027</v>
      </c>
      <c r="B103" s="116">
        <v>441.55</v>
      </c>
      <c r="C103" s="116">
        <v>431.95</v>
      </c>
      <c r="D103" s="116">
        <v>427.05</v>
      </c>
      <c r="E103" s="116">
        <v>428</v>
      </c>
      <c r="F103" s="116">
        <v>431.95</v>
      </c>
      <c r="G103">
        <v>15920</v>
      </c>
      <c r="H103" s="116"/>
      <c r="I103" s="116"/>
      <c r="L103" s="170">
        <v>43027</v>
      </c>
      <c r="M103" s="116">
        <v>431.8</v>
      </c>
      <c r="N103" s="116">
        <v>445</v>
      </c>
      <c r="O103" s="116">
        <v>425</v>
      </c>
      <c r="P103" s="116">
        <v>425</v>
      </c>
      <c r="Q103" s="116">
        <v>431.8</v>
      </c>
      <c r="R103">
        <v>40680</v>
      </c>
    </row>
    <row r="104" spans="1:18" x14ac:dyDescent="0.25">
      <c r="A104" s="170">
        <v>43031</v>
      </c>
      <c r="B104" s="116">
        <v>432.4</v>
      </c>
      <c r="C104" s="116">
        <v>425.3</v>
      </c>
      <c r="D104" s="116">
        <v>422</v>
      </c>
      <c r="E104" s="116">
        <v>429.05</v>
      </c>
      <c r="F104" s="116">
        <v>425.3</v>
      </c>
      <c r="G104">
        <v>7573</v>
      </c>
      <c r="H104" s="116"/>
      <c r="I104" s="116"/>
      <c r="L104" s="170">
        <v>43031</v>
      </c>
      <c r="M104" s="116">
        <v>423.05</v>
      </c>
      <c r="N104" s="116">
        <v>435</v>
      </c>
      <c r="O104" s="116">
        <v>421.05</v>
      </c>
      <c r="P104" s="116">
        <v>435</v>
      </c>
      <c r="Q104" s="116">
        <v>423.05</v>
      </c>
      <c r="R104">
        <v>23655</v>
      </c>
    </row>
    <row r="105" spans="1:18" x14ac:dyDescent="0.25">
      <c r="A105" s="170">
        <v>43032</v>
      </c>
      <c r="B105" s="116">
        <v>428</v>
      </c>
      <c r="C105" s="116">
        <v>423.5</v>
      </c>
      <c r="D105" s="116">
        <v>416.8</v>
      </c>
      <c r="E105" s="116">
        <v>423.2</v>
      </c>
      <c r="F105" s="116">
        <v>423.5</v>
      </c>
      <c r="G105">
        <v>7583</v>
      </c>
      <c r="H105" s="116"/>
      <c r="I105" s="116"/>
      <c r="L105" s="170">
        <v>43032</v>
      </c>
      <c r="M105" s="116">
        <v>421.95</v>
      </c>
      <c r="N105" s="116">
        <v>427.9</v>
      </c>
      <c r="O105" s="116">
        <v>420.1</v>
      </c>
      <c r="P105" s="116">
        <v>424</v>
      </c>
      <c r="Q105" s="116">
        <v>421.95</v>
      </c>
      <c r="R105">
        <v>22421</v>
      </c>
    </row>
    <row r="106" spans="1:18" x14ac:dyDescent="0.25">
      <c r="A106" s="170">
        <v>43033</v>
      </c>
      <c r="B106" s="116">
        <v>427.35</v>
      </c>
      <c r="C106" s="116">
        <v>418.75</v>
      </c>
      <c r="D106" s="116">
        <v>410</v>
      </c>
      <c r="E106" s="116">
        <v>427.3</v>
      </c>
      <c r="F106" s="116">
        <v>418.75</v>
      </c>
      <c r="G106">
        <v>11801</v>
      </c>
      <c r="H106" s="116"/>
      <c r="I106" s="116"/>
      <c r="L106" s="170">
        <v>43033</v>
      </c>
      <c r="M106" s="116">
        <v>420.85</v>
      </c>
      <c r="N106" s="116">
        <v>426.95</v>
      </c>
      <c r="O106" s="116">
        <v>415</v>
      </c>
      <c r="P106" s="116">
        <v>422</v>
      </c>
      <c r="Q106" s="116">
        <v>420.85</v>
      </c>
      <c r="R106">
        <v>54520</v>
      </c>
    </row>
    <row r="107" spans="1:18" x14ac:dyDescent="0.25">
      <c r="A107" s="170">
        <v>43034</v>
      </c>
      <c r="B107" s="116">
        <v>427.95</v>
      </c>
      <c r="C107" s="116">
        <v>420.4</v>
      </c>
      <c r="D107" s="116">
        <v>413.2</v>
      </c>
      <c r="E107" s="116">
        <v>420.85</v>
      </c>
      <c r="F107" s="116">
        <v>420.4</v>
      </c>
      <c r="G107">
        <v>8003</v>
      </c>
      <c r="H107" s="116"/>
      <c r="I107" s="116"/>
      <c r="L107" s="170">
        <v>43034</v>
      </c>
      <c r="M107" s="116">
        <v>422.25</v>
      </c>
      <c r="N107" s="116">
        <v>428.5</v>
      </c>
      <c r="O107" s="116">
        <v>415.05</v>
      </c>
      <c r="P107" s="116">
        <v>420.95</v>
      </c>
      <c r="Q107" s="116">
        <v>422.25</v>
      </c>
      <c r="R107">
        <v>26338</v>
      </c>
    </row>
    <row r="108" spans="1:18" x14ac:dyDescent="0.25">
      <c r="A108" s="170">
        <v>43035</v>
      </c>
      <c r="B108" s="116">
        <v>426.8</v>
      </c>
      <c r="C108" s="116">
        <v>417.55</v>
      </c>
      <c r="D108" s="116">
        <v>413.75</v>
      </c>
      <c r="E108" s="116">
        <v>413.75</v>
      </c>
      <c r="F108" s="116">
        <v>417.55</v>
      </c>
      <c r="G108">
        <v>6795</v>
      </c>
      <c r="H108" s="116"/>
      <c r="I108" s="116"/>
      <c r="L108" s="170">
        <v>43035</v>
      </c>
      <c r="M108" s="116">
        <v>419.55</v>
      </c>
      <c r="N108" s="116">
        <v>427</v>
      </c>
      <c r="O108" s="116">
        <v>418.05</v>
      </c>
      <c r="P108" s="116">
        <v>424.45</v>
      </c>
      <c r="Q108" s="116">
        <v>419.55</v>
      </c>
      <c r="R108">
        <v>29247</v>
      </c>
    </row>
    <row r="109" spans="1:18" x14ac:dyDescent="0.25">
      <c r="A109" s="170">
        <v>43038</v>
      </c>
      <c r="B109" s="116">
        <v>425</v>
      </c>
      <c r="C109" s="116">
        <v>418.8</v>
      </c>
      <c r="D109" s="116">
        <v>409</v>
      </c>
      <c r="E109" s="116">
        <v>419.05</v>
      </c>
      <c r="F109" s="116">
        <v>418.8</v>
      </c>
      <c r="G109">
        <v>11228</v>
      </c>
      <c r="H109" s="116"/>
      <c r="I109" s="116"/>
      <c r="L109" s="170">
        <v>43038</v>
      </c>
      <c r="M109" s="116">
        <v>421.7</v>
      </c>
      <c r="N109" s="116">
        <v>427</v>
      </c>
      <c r="O109" s="116">
        <v>419.55</v>
      </c>
      <c r="P109" s="116">
        <v>419.55</v>
      </c>
      <c r="Q109" s="116">
        <v>421.7</v>
      </c>
      <c r="R109">
        <v>20808</v>
      </c>
    </row>
    <row r="110" spans="1:18" x14ac:dyDescent="0.25">
      <c r="A110" s="170">
        <v>43039</v>
      </c>
      <c r="B110" s="116">
        <v>437.5</v>
      </c>
      <c r="C110" s="116">
        <v>427.4</v>
      </c>
      <c r="D110" s="116">
        <v>420</v>
      </c>
      <c r="E110" s="116">
        <v>420.95</v>
      </c>
      <c r="F110" s="116">
        <v>427.4</v>
      </c>
      <c r="G110">
        <v>11402</v>
      </c>
      <c r="H110" s="116"/>
      <c r="I110" s="116"/>
      <c r="L110" s="170">
        <v>43039</v>
      </c>
      <c r="M110" s="116">
        <v>428.95</v>
      </c>
      <c r="N110" s="116">
        <v>440</v>
      </c>
      <c r="O110" s="116">
        <v>420.1</v>
      </c>
      <c r="P110" s="116">
        <v>421.75</v>
      </c>
      <c r="Q110" s="116">
        <v>428.95</v>
      </c>
      <c r="R110">
        <v>58521</v>
      </c>
    </row>
    <row r="111" spans="1:18" x14ac:dyDescent="0.25">
      <c r="A111" s="170">
        <v>43040</v>
      </c>
      <c r="B111" s="116">
        <v>441.5</v>
      </c>
      <c r="C111" s="116">
        <v>432.55</v>
      </c>
      <c r="D111" s="116">
        <v>428.05</v>
      </c>
      <c r="E111" s="116">
        <v>433.4</v>
      </c>
      <c r="F111" s="116">
        <v>432.55</v>
      </c>
      <c r="G111">
        <v>10574</v>
      </c>
      <c r="H111" s="116"/>
      <c r="I111" s="116"/>
      <c r="L111" s="170">
        <v>43040</v>
      </c>
      <c r="M111" s="116">
        <v>433.3</v>
      </c>
      <c r="N111" s="116">
        <v>441</v>
      </c>
      <c r="O111" s="116">
        <v>425.5</v>
      </c>
      <c r="P111" s="116">
        <v>434</v>
      </c>
      <c r="Q111" s="116">
        <v>433.3</v>
      </c>
      <c r="R111">
        <v>53150</v>
      </c>
    </row>
    <row r="112" spans="1:18" x14ac:dyDescent="0.25">
      <c r="A112" s="170">
        <v>43041</v>
      </c>
      <c r="B112" s="116">
        <v>437</v>
      </c>
      <c r="C112" s="116">
        <v>428.5</v>
      </c>
      <c r="D112" s="116">
        <v>426</v>
      </c>
      <c r="E112" s="116">
        <v>429</v>
      </c>
      <c r="F112" s="116">
        <v>428.5</v>
      </c>
      <c r="G112">
        <v>12427</v>
      </c>
      <c r="H112" s="116"/>
      <c r="I112" s="116"/>
      <c r="L112" s="170">
        <v>43041</v>
      </c>
      <c r="M112" s="116">
        <v>428.5</v>
      </c>
      <c r="N112" s="116">
        <v>437.55</v>
      </c>
      <c r="O112" s="116">
        <v>426.65</v>
      </c>
      <c r="P112" s="116">
        <v>432.9</v>
      </c>
      <c r="Q112" s="116">
        <v>428.5</v>
      </c>
      <c r="R112">
        <v>45634</v>
      </c>
    </row>
    <row r="113" spans="1:18" x14ac:dyDescent="0.25">
      <c r="A113" s="170">
        <v>43042</v>
      </c>
      <c r="B113" s="116">
        <v>441.45</v>
      </c>
      <c r="C113" s="116">
        <v>429.05</v>
      </c>
      <c r="D113" s="116">
        <v>415</v>
      </c>
      <c r="E113" s="116">
        <v>437.8</v>
      </c>
      <c r="F113" s="116">
        <v>429.05</v>
      </c>
      <c r="G113">
        <v>23536</v>
      </c>
      <c r="H113" s="116"/>
      <c r="I113" s="116"/>
      <c r="L113" s="170">
        <v>43042</v>
      </c>
      <c r="M113" s="116">
        <v>423.4</v>
      </c>
      <c r="N113" s="116">
        <v>442.5</v>
      </c>
      <c r="O113" s="116">
        <v>392.5</v>
      </c>
      <c r="P113" s="116">
        <v>437</v>
      </c>
      <c r="Q113" s="116">
        <v>423.4</v>
      </c>
      <c r="R113">
        <v>129761</v>
      </c>
    </row>
    <row r="114" spans="1:18" x14ac:dyDescent="0.25">
      <c r="A114" s="170">
        <v>43045</v>
      </c>
      <c r="B114" s="116">
        <v>429</v>
      </c>
      <c r="C114" s="116">
        <v>417.5</v>
      </c>
      <c r="D114" s="116">
        <v>414.5</v>
      </c>
      <c r="E114" s="116">
        <v>424.4</v>
      </c>
      <c r="F114" s="116">
        <v>417.5</v>
      </c>
      <c r="G114">
        <v>35386</v>
      </c>
      <c r="H114" s="116"/>
      <c r="I114" s="116"/>
      <c r="L114" s="170">
        <v>43045</v>
      </c>
      <c r="M114" s="116">
        <v>415.85</v>
      </c>
      <c r="N114" s="116">
        <v>429.55</v>
      </c>
      <c r="O114" s="116">
        <v>414</v>
      </c>
      <c r="P114" s="116">
        <v>425.8</v>
      </c>
      <c r="Q114" s="116">
        <v>415.85</v>
      </c>
      <c r="R114">
        <v>65153</v>
      </c>
    </row>
    <row r="115" spans="1:18" x14ac:dyDescent="0.25">
      <c r="A115" s="170">
        <v>43046</v>
      </c>
      <c r="B115" s="116">
        <v>421.75</v>
      </c>
      <c r="C115" s="116">
        <v>416.35</v>
      </c>
      <c r="D115" s="116">
        <v>415</v>
      </c>
      <c r="E115" s="116">
        <v>416.9</v>
      </c>
      <c r="F115" s="116">
        <v>416.35</v>
      </c>
      <c r="G115">
        <v>3248</v>
      </c>
      <c r="H115" s="116"/>
      <c r="I115" s="116"/>
      <c r="L115" s="170">
        <v>43046</v>
      </c>
      <c r="M115" s="116">
        <v>417.15</v>
      </c>
      <c r="N115" s="116">
        <v>422</v>
      </c>
      <c r="O115" s="116">
        <v>415</v>
      </c>
      <c r="P115" s="116">
        <v>416.05</v>
      </c>
      <c r="Q115" s="116">
        <v>417.15</v>
      </c>
      <c r="R115">
        <v>26766</v>
      </c>
    </row>
    <row r="116" spans="1:18" x14ac:dyDescent="0.25">
      <c r="A116" s="170">
        <v>43047</v>
      </c>
      <c r="B116" s="116">
        <v>418</v>
      </c>
      <c r="C116" s="116">
        <v>412.25</v>
      </c>
      <c r="D116" s="116">
        <v>407.5</v>
      </c>
      <c r="E116" s="116">
        <v>415.7</v>
      </c>
      <c r="F116" s="116">
        <v>412.25</v>
      </c>
      <c r="G116">
        <v>9367</v>
      </c>
      <c r="H116" s="116"/>
      <c r="I116" s="116"/>
      <c r="L116" s="170">
        <v>43047</v>
      </c>
      <c r="M116" s="116">
        <v>414.3</v>
      </c>
      <c r="N116" s="116">
        <v>420</v>
      </c>
      <c r="O116" s="116">
        <v>409.05</v>
      </c>
      <c r="P116" s="116">
        <v>420</v>
      </c>
      <c r="Q116" s="116">
        <v>414.3</v>
      </c>
      <c r="R116">
        <v>45192</v>
      </c>
    </row>
    <row r="117" spans="1:18" x14ac:dyDescent="0.25">
      <c r="A117" s="170">
        <v>43048</v>
      </c>
      <c r="B117" s="116">
        <v>418.9</v>
      </c>
      <c r="C117" s="116">
        <v>410.8</v>
      </c>
      <c r="D117" s="116">
        <v>410.05</v>
      </c>
      <c r="E117" s="116">
        <v>418.9</v>
      </c>
      <c r="F117" s="116">
        <v>410.8</v>
      </c>
      <c r="G117">
        <v>4381</v>
      </c>
      <c r="H117" s="116"/>
      <c r="I117" s="116"/>
      <c r="L117" s="170">
        <v>43048</v>
      </c>
      <c r="M117" s="116">
        <v>410.9</v>
      </c>
      <c r="N117" s="116">
        <v>419.5</v>
      </c>
      <c r="O117" s="116">
        <v>409.05</v>
      </c>
      <c r="P117" s="116">
        <v>410.95</v>
      </c>
      <c r="Q117" s="116">
        <v>410.9</v>
      </c>
      <c r="R117">
        <v>26904</v>
      </c>
    </row>
    <row r="118" spans="1:18" x14ac:dyDescent="0.25">
      <c r="A118" s="170">
        <v>43049</v>
      </c>
      <c r="B118" s="116">
        <v>420.95</v>
      </c>
      <c r="C118" s="116">
        <v>414.45</v>
      </c>
      <c r="D118" s="116">
        <v>405</v>
      </c>
      <c r="E118" s="116">
        <v>414.45</v>
      </c>
      <c r="F118" s="116">
        <v>414.45</v>
      </c>
      <c r="G118">
        <v>5475</v>
      </c>
      <c r="H118" s="116"/>
      <c r="I118" s="116"/>
      <c r="L118" s="170">
        <v>43049</v>
      </c>
      <c r="M118" s="116">
        <v>413.45</v>
      </c>
      <c r="N118" s="116">
        <v>417.15</v>
      </c>
      <c r="O118" s="116">
        <v>405</v>
      </c>
      <c r="P118" s="116">
        <v>413</v>
      </c>
      <c r="Q118" s="116">
        <v>413.45</v>
      </c>
      <c r="R118">
        <v>12569</v>
      </c>
    </row>
    <row r="119" spans="1:18" x14ac:dyDescent="0.25">
      <c r="A119" s="170">
        <v>43052</v>
      </c>
      <c r="B119" s="116">
        <v>416.8</v>
      </c>
      <c r="C119" s="116">
        <v>406</v>
      </c>
      <c r="D119" s="116">
        <v>405</v>
      </c>
      <c r="E119" s="116">
        <v>415</v>
      </c>
      <c r="F119" s="116">
        <v>406</v>
      </c>
      <c r="G119">
        <v>2709</v>
      </c>
      <c r="H119" s="116"/>
      <c r="I119" s="116"/>
      <c r="L119" s="170">
        <v>43052</v>
      </c>
      <c r="M119" s="116">
        <v>408.65</v>
      </c>
      <c r="N119" s="116">
        <v>425</v>
      </c>
      <c r="O119" s="116">
        <v>403</v>
      </c>
      <c r="P119" s="116">
        <v>425</v>
      </c>
      <c r="Q119" s="116">
        <v>408.65</v>
      </c>
      <c r="R119">
        <v>17820</v>
      </c>
    </row>
    <row r="120" spans="1:18" x14ac:dyDescent="0.25">
      <c r="A120" s="170">
        <v>43053</v>
      </c>
      <c r="B120" s="116">
        <v>412.85</v>
      </c>
      <c r="C120" s="116">
        <v>405.15</v>
      </c>
      <c r="D120" s="116">
        <v>404.95</v>
      </c>
      <c r="E120" s="116">
        <v>412.8</v>
      </c>
      <c r="F120" s="116">
        <v>405.15</v>
      </c>
      <c r="G120">
        <v>7315</v>
      </c>
      <c r="H120" s="116"/>
      <c r="I120" s="116"/>
      <c r="L120" s="170">
        <v>43053</v>
      </c>
      <c r="M120" s="116">
        <v>406</v>
      </c>
      <c r="N120" s="116">
        <v>415.8</v>
      </c>
      <c r="O120" s="116">
        <v>405.05</v>
      </c>
      <c r="P120" s="116">
        <v>405.95</v>
      </c>
      <c r="Q120" s="116">
        <v>406</v>
      </c>
      <c r="R120">
        <v>18880</v>
      </c>
    </row>
    <row r="121" spans="1:18" x14ac:dyDescent="0.25">
      <c r="A121" s="170">
        <v>43054</v>
      </c>
      <c r="B121" s="116">
        <v>409.95</v>
      </c>
      <c r="C121" s="116">
        <v>402.45</v>
      </c>
      <c r="D121" s="116">
        <v>398.95</v>
      </c>
      <c r="E121" s="116">
        <v>406.6</v>
      </c>
      <c r="F121" s="116">
        <v>402.45</v>
      </c>
      <c r="G121">
        <v>4177</v>
      </c>
      <c r="H121" s="116"/>
      <c r="I121" s="116"/>
      <c r="L121" s="170">
        <v>43054</v>
      </c>
      <c r="M121" s="116">
        <v>401.9</v>
      </c>
      <c r="N121" s="116">
        <v>411.65</v>
      </c>
      <c r="O121" s="116">
        <v>399.25</v>
      </c>
      <c r="P121" s="116">
        <v>403.95</v>
      </c>
      <c r="Q121" s="116">
        <v>401.9</v>
      </c>
      <c r="R121">
        <v>26754</v>
      </c>
    </row>
    <row r="122" spans="1:18" x14ac:dyDescent="0.25">
      <c r="A122" s="170">
        <v>43055</v>
      </c>
      <c r="B122" s="116">
        <v>408</v>
      </c>
      <c r="C122" s="116">
        <v>397.85</v>
      </c>
      <c r="D122" s="116">
        <v>393</v>
      </c>
      <c r="E122" s="116">
        <v>401.7</v>
      </c>
      <c r="F122" s="116">
        <v>397.85</v>
      </c>
      <c r="G122">
        <v>8558</v>
      </c>
      <c r="H122" s="116"/>
      <c r="I122" s="116"/>
      <c r="L122" s="170">
        <v>43055</v>
      </c>
      <c r="M122" s="116">
        <v>398.6</v>
      </c>
      <c r="N122" s="116">
        <v>408.3</v>
      </c>
      <c r="O122" s="116">
        <v>394.85</v>
      </c>
      <c r="P122" s="116">
        <v>398.95</v>
      </c>
      <c r="Q122" s="116">
        <v>398.6</v>
      </c>
      <c r="R122">
        <v>35830</v>
      </c>
    </row>
    <row r="123" spans="1:18" x14ac:dyDescent="0.25">
      <c r="A123" s="170">
        <v>43056</v>
      </c>
      <c r="B123" s="116">
        <v>430</v>
      </c>
      <c r="C123" s="116">
        <v>417.6</v>
      </c>
      <c r="D123" s="116">
        <v>401.2</v>
      </c>
      <c r="E123" s="116">
        <v>401.75</v>
      </c>
      <c r="F123" s="116">
        <v>417.6</v>
      </c>
      <c r="G123">
        <v>15055</v>
      </c>
      <c r="H123" s="116"/>
      <c r="I123" s="116"/>
      <c r="L123" s="170">
        <v>43056</v>
      </c>
      <c r="M123" s="116">
        <v>418.65</v>
      </c>
      <c r="N123" s="116">
        <v>432.7</v>
      </c>
      <c r="O123" s="116">
        <v>399.05</v>
      </c>
      <c r="P123" s="116">
        <v>400</v>
      </c>
      <c r="Q123" s="116">
        <v>418.65</v>
      </c>
      <c r="R123">
        <v>136691</v>
      </c>
    </row>
    <row r="124" spans="1:18" x14ac:dyDescent="0.25">
      <c r="A124" s="170">
        <v>43059</v>
      </c>
      <c r="B124" s="116">
        <v>422.1</v>
      </c>
      <c r="C124" s="116">
        <v>414.45</v>
      </c>
      <c r="D124" s="116">
        <v>410</v>
      </c>
      <c r="E124" s="116">
        <v>416.6</v>
      </c>
      <c r="F124" s="116">
        <v>414.45</v>
      </c>
      <c r="G124">
        <v>9930</v>
      </c>
      <c r="H124" s="116"/>
      <c r="I124" s="116"/>
      <c r="L124" s="170">
        <v>43059</v>
      </c>
      <c r="M124" s="116">
        <v>412.6</v>
      </c>
      <c r="N124" s="116">
        <v>423.3</v>
      </c>
      <c r="O124" s="116">
        <v>410.1</v>
      </c>
      <c r="P124" s="116">
        <v>423.3</v>
      </c>
      <c r="Q124" s="116">
        <v>412.6</v>
      </c>
      <c r="R124">
        <v>19415</v>
      </c>
    </row>
    <row r="125" spans="1:18" x14ac:dyDescent="0.25">
      <c r="A125" s="170">
        <v>43060</v>
      </c>
      <c r="B125" s="116">
        <v>422</v>
      </c>
      <c r="C125" s="116">
        <v>418.25</v>
      </c>
      <c r="D125" s="116">
        <v>415.05</v>
      </c>
      <c r="E125" s="116">
        <v>421.7</v>
      </c>
      <c r="F125" s="116">
        <v>418.25</v>
      </c>
      <c r="G125">
        <v>3868</v>
      </c>
      <c r="H125" s="116"/>
      <c r="I125" s="116"/>
      <c r="L125" s="170">
        <v>43060</v>
      </c>
      <c r="M125" s="116">
        <v>417</v>
      </c>
      <c r="N125" s="116">
        <v>422</v>
      </c>
      <c r="O125" s="116">
        <v>415.1</v>
      </c>
      <c r="P125" s="116">
        <v>417.95</v>
      </c>
      <c r="Q125" s="116">
        <v>417</v>
      </c>
      <c r="R125">
        <v>33340</v>
      </c>
    </row>
    <row r="126" spans="1:18" x14ac:dyDescent="0.25">
      <c r="A126" s="170">
        <v>43061</v>
      </c>
      <c r="B126" s="116">
        <v>423.55</v>
      </c>
      <c r="C126" s="116">
        <v>422.35</v>
      </c>
      <c r="D126" s="116">
        <v>417.5</v>
      </c>
      <c r="E126" s="116">
        <v>423</v>
      </c>
      <c r="F126" s="116">
        <v>422.35</v>
      </c>
      <c r="G126">
        <v>5838</v>
      </c>
      <c r="H126" s="116"/>
      <c r="I126" s="116"/>
      <c r="L126" s="170">
        <v>43061</v>
      </c>
      <c r="M126" s="116">
        <v>419.85</v>
      </c>
      <c r="N126" s="116">
        <v>424.45</v>
      </c>
      <c r="O126" s="116">
        <v>415.5</v>
      </c>
      <c r="P126" s="116">
        <v>419.05</v>
      </c>
      <c r="Q126" s="116">
        <v>419.85</v>
      </c>
      <c r="R126">
        <v>17123</v>
      </c>
    </row>
    <row r="127" spans="1:18" x14ac:dyDescent="0.25">
      <c r="A127" s="170">
        <v>43062</v>
      </c>
      <c r="B127" s="116">
        <v>432</v>
      </c>
      <c r="C127" s="116">
        <v>427.5</v>
      </c>
      <c r="D127" s="116">
        <v>418.05</v>
      </c>
      <c r="E127" s="116">
        <v>419.05</v>
      </c>
      <c r="F127" s="116">
        <v>427.5</v>
      </c>
      <c r="G127">
        <v>4087</v>
      </c>
      <c r="H127" s="116"/>
      <c r="I127" s="116"/>
      <c r="L127" s="170">
        <v>43062</v>
      </c>
      <c r="M127" s="116">
        <v>424.9</v>
      </c>
      <c r="N127" s="116">
        <v>430</v>
      </c>
      <c r="O127" s="116">
        <v>418.45</v>
      </c>
      <c r="P127" s="116">
        <v>422.9</v>
      </c>
      <c r="Q127" s="116">
        <v>424.9</v>
      </c>
      <c r="R127">
        <v>20150</v>
      </c>
    </row>
    <row r="128" spans="1:18" x14ac:dyDescent="0.25">
      <c r="A128" s="170">
        <v>43063</v>
      </c>
      <c r="B128" s="116">
        <v>432</v>
      </c>
      <c r="C128" s="116">
        <v>428.25</v>
      </c>
      <c r="D128" s="116">
        <v>422.75</v>
      </c>
      <c r="E128" s="116">
        <v>425</v>
      </c>
      <c r="F128" s="116">
        <v>428.25</v>
      </c>
      <c r="G128">
        <v>2221</v>
      </c>
      <c r="H128" s="116"/>
      <c r="I128" s="116"/>
      <c r="L128" s="170">
        <v>43063</v>
      </c>
      <c r="M128" s="116">
        <v>426.75</v>
      </c>
      <c r="N128" s="116">
        <v>432.6</v>
      </c>
      <c r="O128" s="116">
        <v>422.9</v>
      </c>
      <c r="P128" s="116">
        <v>424</v>
      </c>
      <c r="Q128" s="116">
        <v>426.75</v>
      </c>
      <c r="R128">
        <v>20454</v>
      </c>
    </row>
    <row r="129" spans="1:18" x14ac:dyDescent="0.25">
      <c r="A129" s="170">
        <v>43066</v>
      </c>
      <c r="B129" s="116">
        <v>459</v>
      </c>
      <c r="C129" s="116">
        <v>433.9</v>
      </c>
      <c r="D129" s="116">
        <v>421</v>
      </c>
      <c r="E129" s="116">
        <v>424</v>
      </c>
      <c r="F129" s="116">
        <v>433.9</v>
      </c>
      <c r="G129">
        <v>35052</v>
      </c>
      <c r="H129" s="116"/>
      <c r="I129" s="116"/>
      <c r="L129" s="170">
        <v>43066</v>
      </c>
      <c r="M129" s="116">
        <v>438.75</v>
      </c>
      <c r="N129" s="116">
        <v>459.7</v>
      </c>
      <c r="O129" s="116">
        <v>415.1</v>
      </c>
      <c r="P129" s="116">
        <v>428.95</v>
      </c>
      <c r="Q129" s="116">
        <v>438.75</v>
      </c>
      <c r="R129">
        <v>246886</v>
      </c>
    </row>
    <row r="130" spans="1:18" x14ac:dyDescent="0.25">
      <c r="A130" s="170">
        <v>43067</v>
      </c>
      <c r="B130" s="116">
        <v>457.95</v>
      </c>
      <c r="C130" s="116">
        <v>449.3</v>
      </c>
      <c r="D130" s="116">
        <v>442</v>
      </c>
      <c r="E130" s="116">
        <v>442</v>
      </c>
      <c r="F130" s="116">
        <v>449.3</v>
      </c>
      <c r="G130">
        <v>17018</v>
      </c>
      <c r="H130" s="116"/>
      <c r="I130" s="116"/>
      <c r="L130" s="170">
        <v>43067</v>
      </c>
      <c r="M130" s="116">
        <v>449.85</v>
      </c>
      <c r="N130" s="116">
        <v>458.5</v>
      </c>
      <c r="O130" s="116">
        <v>440</v>
      </c>
      <c r="P130" s="116">
        <v>442</v>
      </c>
      <c r="Q130" s="116">
        <v>449.85</v>
      </c>
      <c r="R130">
        <v>117223</v>
      </c>
    </row>
    <row r="131" spans="1:18" x14ac:dyDescent="0.25">
      <c r="A131" s="170">
        <v>43068</v>
      </c>
      <c r="B131" s="116">
        <v>458.05</v>
      </c>
      <c r="C131" s="116">
        <v>450.85</v>
      </c>
      <c r="D131" s="116">
        <v>447.15</v>
      </c>
      <c r="E131" s="116">
        <v>450.6</v>
      </c>
      <c r="F131" s="116">
        <v>450.85</v>
      </c>
      <c r="G131">
        <v>8814</v>
      </c>
      <c r="H131" s="116"/>
      <c r="I131" s="116"/>
      <c r="L131" s="170">
        <v>43068</v>
      </c>
      <c r="M131" s="116">
        <v>451</v>
      </c>
      <c r="N131" s="116">
        <v>458</v>
      </c>
      <c r="O131" s="116">
        <v>447.1</v>
      </c>
      <c r="P131" s="116">
        <v>454.15</v>
      </c>
      <c r="Q131" s="116">
        <v>451</v>
      </c>
      <c r="R131">
        <v>41013</v>
      </c>
    </row>
    <row r="132" spans="1:18" x14ac:dyDescent="0.25">
      <c r="A132" s="170">
        <v>43069</v>
      </c>
      <c r="B132" s="116">
        <v>485.2</v>
      </c>
      <c r="C132" s="116">
        <v>463.2</v>
      </c>
      <c r="D132" s="116">
        <v>442</v>
      </c>
      <c r="E132" s="116">
        <v>447</v>
      </c>
      <c r="F132" s="116">
        <v>463.2</v>
      </c>
      <c r="G132">
        <v>19925</v>
      </c>
      <c r="H132" s="116"/>
      <c r="I132" s="116"/>
      <c r="L132" s="170">
        <v>43069</v>
      </c>
      <c r="M132" s="116">
        <v>462</v>
      </c>
      <c r="N132" s="116">
        <v>487.9</v>
      </c>
      <c r="O132" s="116">
        <v>441</v>
      </c>
      <c r="P132" s="116">
        <v>449.95</v>
      </c>
      <c r="Q132" s="116">
        <v>462</v>
      </c>
      <c r="R132">
        <v>175889</v>
      </c>
    </row>
    <row r="133" spans="1:18" x14ac:dyDescent="0.25">
      <c r="A133" s="170">
        <v>43070</v>
      </c>
      <c r="B133" s="116">
        <v>489.95</v>
      </c>
      <c r="C133" s="116">
        <v>466.4</v>
      </c>
      <c r="D133" s="116">
        <v>462.75</v>
      </c>
      <c r="E133" s="116">
        <v>469</v>
      </c>
      <c r="F133" s="116">
        <v>466.4</v>
      </c>
      <c r="G133">
        <v>28892</v>
      </c>
      <c r="H133" s="116"/>
      <c r="I133" s="116"/>
      <c r="L133" s="170">
        <v>43070</v>
      </c>
      <c r="M133" s="116">
        <v>467.3</v>
      </c>
      <c r="N133" s="116">
        <v>489.9</v>
      </c>
      <c r="O133" s="116">
        <v>463</v>
      </c>
      <c r="P133" s="116">
        <v>475</v>
      </c>
      <c r="Q133" s="116">
        <v>467.3</v>
      </c>
      <c r="R133">
        <v>137986</v>
      </c>
    </row>
    <row r="134" spans="1:18" x14ac:dyDescent="0.25">
      <c r="A134" s="170">
        <v>43073</v>
      </c>
      <c r="B134" s="116">
        <v>490</v>
      </c>
      <c r="C134" s="116">
        <v>484.9</v>
      </c>
      <c r="D134" s="116">
        <v>461</v>
      </c>
      <c r="E134" s="116">
        <v>470.4</v>
      </c>
      <c r="F134" s="116">
        <v>484.9</v>
      </c>
      <c r="G134">
        <v>45425</v>
      </c>
      <c r="H134" s="116"/>
      <c r="I134" s="116"/>
      <c r="L134" s="170">
        <v>43073</v>
      </c>
      <c r="M134" s="116">
        <v>481.15</v>
      </c>
      <c r="N134" s="116">
        <v>489</v>
      </c>
      <c r="O134" s="116">
        <v>451</v>
      </c>
      <c r="P134" s="116">
        <v>473.4</v>
      </c>
      <c r="Q134" s="116">
        <v>481.15</v>
      </c>
      <c r="R134">
        <v>213303</v>
      </c>
    </row>
    <row r="135" spans="1:18" x14ac:dyDescent="0.25">
      <c r="A135" s="170">
        <v>43074</v>
      </c>
      <c r="B135" s="116">
        <v>501</v>
      </c>
      <c r="C135" s="116">
        <v>482.25</v>
      </c>
      <c r="D135" s="116">
        <v>480.15</v>
      </c>
      <c r="E135" s="116">
        <v>482.5</v>
      </c>
      <c r="F135" s="116">
        <v>482.25</v>
      </c>
      <c r="G135">
        <v>13347</v>
      </c>
      <c r="H135" s="116"/>
      <c r="I135" s="116"/>
      <c r="L135" s="170">
        <v>43074</v>
      </c>
      <c r="M135" s="116">
        <v>479.45</v>
      </c>
      <c r="N135" s="116">
        <v>500.35</v>
      </c>
      <c r="O135" s="116">
        <v>477.9</v>
      </c>
      <c r="P135" s="116">
        <v>480.8</v>
      </c>
      <c r="Q135" s="116">
        <v>479.45</v>
      </c>
      <c r="R135">
        <v>98769</v>
      </c>
    </row>
    <row r="136" spans="1:18" x14ac:dyDescent="0.25">
      <c r="A136" s="170">
        <v>43075</v>
      </c>
      <c r="B136" s="116">
        <v>487.95</v>
      </c>
      <c r="C136" s="116">
        <v>479.85</v>
      </c>
      <c r="D136" s="116">
        <v>472</v>
      </c>
      <c r="E136" s="116">
        <v>481</v>
      </c>
      <c r="F136" s="116">
        <v>479.85</v>
      </c>
      <c r="G136">
        <v>6743</v>
      </c>
      <c r="H136" s="116"/>
      <c r="I136" s="116"/>
      <c r="L136" s="170">
        <v>43075</v>
      </c>
      <c r="M136" s="116">
        <v>478.25</v>
      </c>
      <c r="N136" s="116">
        <v>490</v>
      </c>
      <c r="O136" s="116">
        <v>470.05</v>
      </c>
      <c r="P136" s="116">
        <v>479</v>
      </c>
      <c r="Q136" s="116">
        <v>478.25</v>
      </c>
      <c r="R136">
        <v>54209</v>
      </c>
    </row>
    <row r="137" spans="1:18" x14ac:dyDescent="0.25">
      <c r="A137" s="170">
        <v>43076</v>
      </c>
      <c r="B137" s="116">
        <v>495</v>
      </c>
      <c r="C137" s="116">
        <v>491.75</v>
      </c>
      <c r="D137" s="116">
        <v>481.6</v>
      </c>
      <c r="E137" s="116">
        <v>482.2</v>
      </c>
      <c r="F137" s="116">
        <v>491.75</v>
      </c>
      <c r="G137">
        <v>9945</v>
      </c>
      <c r="H137" s="116"/>
      <c r="I137" s="116"/>
      <c r="L137" s="170">
        <v>43076</v>
      </c>
      <c r="M137" s="116">
        <v>491.15</v>
      </c>
      <c r="N137" s="116">
        <v>493</v>
      </c>
      <c r="O137" s="116">
        <v>480.1</v>
      </c>
      <c r="P137" s="116">
        <v>480.45</v>
      </c>
      <c r="Q137" s="116">
        <v>491.15</v>
      </c>
      <c r="R137">
        <v>53181</v>
      </c>
    </row>
    <row r="138" spans="1:18" x14ac:dyDescent="0.25">
      <c r="A138" s="170">
        <v>43077</v>
      </c>
      <c r="B138" s="116">
        <v>518</v>
      </c>
      <c r="C138" s="116">
        <v>503</v>
      </c>
      <c r="D138" s="116">
        <v>467.95</v>
      </c>
      <c r="E138" s="116">
        <v>491.25</v>
      </c>
      <c r="F138" s="116">
        <v>503</v>
      </c>
      <c r="G138">
        <v>37622</v>
      </c>
      <c r="H138" s="116"/>
      <c r="I138" s="116"/>
      <c r="L138" s="170">
        <v>43077</v>
      </c>
      <c r="M138" s="116">
        <v>500.95</v>
      </c>
      <c r="N138" s="116">
        <v>519</v>
      </c>
      <c r="O138" s="116">
        <v>495</v>
      </c>
      <c r="P138" s="116">
        <v>496.95</v>
      </c>
      <c r="Q138" s="116">
        <v>500.95</v>
      </c>
      <c r="R138">
        <v>193286</v>
      </c>
    </row>
    <row r="139" spans="1:18" x14ac:dyDescent="0.25">
      <c r="A139" s="170">
        <v>43080</v>
      </c>
      <c r="B139" s="116">
        <v>522</v>
      </c>
      <c r="C139" s="116">
        <v>518.45000000000005</v>
      </c>
      <c r="D139" s="116">
        <v>503</v>
      </c>
      <c r="E139" s="116">
        <v>503</v>
      </c>
      <c r="F139" s="116">
        <v>518.45000000000005</v>
      </c>
      <c r="G139">
        <v>25649</v>
      </c>
      <c r="H139" s="116"/>
      <c r="I139" s="116"/>
      <c r="L139" s="170">
        <v>43080</v>
      </c>
      <c r="M139" s="116">
        <v>516.65</v>
      </c>
      <c r="N139" s="116">
        <v>521.79999999999995</v>
      </c>
      <c r="O139" s="116">
        <v>503.1</v>
      </c>
      <c r="P139" s="116">
        <v>506</v>
      </c>
      <c r="Q139" s="116">
        <v>516.65</v>
      </c>
      <c r="R139">
        <v>94674</v>
      </c>
    </row>
    <row r="140" spans="1:18" x14ac:dyDescent="0.25">
      <c r="A140" s="170">
        <v>43081</v>
      </c>
      <c r="B140" s="116">
        <v>522</v>
      </c>
      <c r="C140" s="116">
        <v>508.5</v>
      </c>
      <c r="D140" s="116">
        <v>502.95</v>
      </c>
      <c r="E140" s="116">
        <v>518.25</v>
      </c>
      <c r="F140" s="116">
        <v>508.5</v>
      </c>
      <c r="G140">
        <v>14708</v>
      </c>
      <c r="H140" s="116"/>
      <c r="I140" s="116"/>
      <c r="L140" s="170">
        <v>43081</v>
      </c>
      <c r="M140" s="116">
        <v>508.5</v>
      </c>
      <c r="N140" s="116">
        <v>521.70000000000005</v>
      </c>
      <c r="O140" s="116">
        <v>505</v>
      </c>
      <c r="P140" s="116">
        <v>517</v>
      </c>
      <c r="Q140" s="116">
        <v>508.5</v>
      </c>
      <c r="R140">
        <v>55475</v>
      </c>
    </row>
    <row r="141" spans="1:18" x14ac:dyDescent="0.25">
      <c r="A141" s="170">
        <v>43082</v>
      </c>
      <c r="B141" s="116">
        <v>539.95000000000005</v>
      </c>
      <c r="C141" s="116">
        <v>525.45000000000005</v>
      </c>
      <c r="D141" s="116">
        <v>509.9</v>
      </c>
      <c r="E141" s="116">
        <v>510.2</v>
      </c>
      <c r="F141" s="116">
        <v>525.45000000000005</v>
      </c>
      <c r="G141">
        <v>45475</v>
      </c>
      <c r="H141" s="116"/>
      <c r="I141" s="116"/>
      <c r="L141" s="170">
        <v>43082</v>
      </c>
      <c r="M141" s="116">
        <v>517.85</v>
      </c>
      <c r="N141" s="116">
        <v>541</v>
      </c>
      <c r="O141" s="116">
        <v>507</v>
      </c>
      <c r="P141" s="116">
        <v>507</v>
      </c>
      <c r="Q141" s="116">
        <v>517.85</v>
      </c>
      <c r="R141">
        <v>191541</v>
      </c>
    </row>
    <row r="142" spans="1:18" x14ac:dyDescent="0.25">
      <c r="A142" s="170">
        <v>43083</v>
      </c>
      <c r="B142" s="116">
        <v>537.79999999999995</v>
      </c>
      <c r="C142" s="116">
        <v>527.35</v>
      </c>
      <c r="D142" s="116">
        <v>523</v>
      </c>
      <c r="E142" s="116">
        <v>525</v>
      </c>
      <c r="F142" s="116">
        <v>527.35</v>
      </c>
      <c r="G142">
        <v>11131</v>
      </c>
      <c r="H142" s="116"/>
      <c r="I142" s="116"/>
      <c r="L142" s="170">
        <v>43083</v>
      </c>
      <c r="M142" s="116">
        <v>524.54999999999995</v>
      </c>
      <c r="N142" s="116">
        <v>538</v>
      </c>
      <c r="O142" s="116">
        <v>521</v>
      </c>
      <c r="P142" s="116">
        <v>528</v>
      </c>
      <c r="Q142" s="116">
        <v>524.54999999999995</v>
      </c>
      <c r="R142">
        <v>85164</v>
      </c>
    </row>
    <row r="143" spans="1:18" x14ac:dyDescent="0.25">
      <c r="A143" s="170">
        <v>43084</v>
      </c>
      <c r="B143" s="116">
        <v>539.9</v>
      </c>
      <c r="C143" s="116">
        <v>520.5</v>
      </c>
      <c r="D143" s="116">
        <v>518</v>
      </c>
      <c r="E143" s="116">
        <v>539</v>
      </c>
      <c r="F143" s="116">
        <v>520.5</v>
      </c>
      <c r="G143">
        <v>17441</v>
      </c>
      <c r="H143" s="116"/>
      <c r="I143" s="116"/>
      <c r="L143" s="170">
        <v>43084</v>
      </c>
      <c r="M143" s="116">
        <v>518.35</v>
      </c>
      <c r="N143" s="116">
        <v>541</v>
      </c>
      <c r="O143" s="116">
        <v>513.35</v>
      </c>
      <c r="P143" s="116">
        <v>540</v>
      </c>
      <c r="Q143" s="116">
        <v>518.35</v>
      </c>
      <c r="R143">
        <v>195881</v>
      </c>
    </row>
    <row r="144" spans="1:18" x14ac:dyDescent="0.25">
      <c r="A144" s="170">
        <v>43087</v>
      </c>
      <c r="B144" s="116">
        <v>527</v>
      </c>
      <c r="C144" s="116">
        <v>516.4</v>
      </c>
      <c r="D144" s="116">
        <v>489</v>
      </c>
      <c r="E144" s="116">
        <v>509</v>
      </c>
      <c r="F144" s="116">
        <v>516.4</v>
      </c>
      <c r="G144">
        <v>18762</v>
      </c>
      <c r="H144" s="116"/>
      <c r="I144" s="116"/>
      <c r="L144" s="170">
        <v>43087</v>
      </c>
      <c r="M144" s="116">
        <v>515.25</v>
      </c>
      <c r="N144" s="116">
        <v>529</v>
      </c>
      <c r="O144" s="116">
        <v>484.95</v>
      </c>
      <c r="P144" s="116">
        <v>500</v>
      </c>
      <c r="Q144" s="116">
        <v>515.25</v>
      </c>
      <c r="R144">
        <v>139613</v>
      </c>
    </row>
    <row r="145" spans="1:18" x14ac:dyDescent="0.25">
      <c r="A145" s="170">
        <v>43088</v>
      </c>
      <c r="B145" s="116">
        <v>532</v>
      </c>
      <c r="C145" s="116">
        <v>522.95000000000005</v>
      </c>
      <c r="D145" s="116">
        <v>519.20000000000005</v>
      </c>
      <c r="E145" s="116">
        <v>532</v>
      </c>
      <c r="F145" s="116">
        <v>522.95000000000005</v>
      </c>
      <c r="G145">
        <v>10204</v>
      </c>
      <c r="H145" s="116"/>
      <c r="I145" s="116"/>
      <c r="L145" s="170">
        <v>43088</v>
      </c>
      <c r="M145" s="116">
        <v>524.15</v>
      </c>
      <c r="N145" s="116">
        <v>529</v>
      </c>
      <c r="O145" s="116">
        <v>518.54999999999995</v>
      </c>
      <c r="P145" s="116">
        <v>528</v>
      </c>
      <c r="Q145" s="116">
        <v>524.15</v>
      </c>
      <c r="R145">
        <v>167949</v>
      </c>
    </row>
    <row r="146" spans="1:18" x14ac:dyDescent="0.25">
      <c r="A146" s="170">
        <v>43089</v>
      </c>
      <c r="B146" s="116">
        <v>545.4</v>
      </c>
      <c r="C146" s="116">
        <v>536.70000000000005</v>
      </c>
      <c r="D146" s="116">
        <v>525.25</v>
      </c>
      <c r="E146" s="116">
        <v>527</v>
      </c>
      <c r="F146" s="116">
        <v>536.70000000000005</v>
      </c>
      <c r="G146">
        <v>18885</v>
      </c>
      <c r="H146" s="116"/>
      <c r="I146" s="116"/>
      <c r="L146" s="170">
        <v>43089</v>
      </c>
      <c r="M146" s="116">
        <v>535.70000000000005</v>
      </c>
      <c r="N146" s="116">
        <v>547</v>
      </c>
      <c r="O146" s="116">
        <v>525.04999999999995</v>
      </c>
      <c r="P146" s="116">
        <v>527</v>
      </c>
      <c r="Q146" s="116">
        <v>535.70000000000005</v>
      </c>
      <c r="R146">
        <v>147599</v>
      </c>
    </row>
    <row r="147" spans="1:18" x14ac:dyDescent="0.25">
      <c r="A147" s="170">
        <v>43090</v>
      </c>
      <c r="B147" s="116">
        <v>539.79999999999995</v>
      </c>
      <c r="C147" s="116">
        <v>522.95000000000005</v>
      </c>
      <c r="D147" s="116">
        <v>520</v>
      </c>
      <c r="E147" s="116">
        <v>539.79999999999995</v>
      </c>
      <c r="F147" s="116">
        <v>522.95000000000005</v>
      </c>
      <c r="G147">
        <v>12374</v>
      </c>
      <c r="H147" s="116"/>
      <c r="I147" s="116"/>
      <c r="L147" s="170">
        <v>43090</v>
      </c>
      <c r="M147" s="116">
        <v>522.85</v>
      </c>
      <c r="N147" s="116">
        <v>539.9</v>
      </c>
      <c r="O147" s="116">
        <v>518.29999999999995</v>
      </c>
      <c r="P147" s="116">
        <v>539.9</v>
      </c>
      <c r="Q147" s="116">
        <v>522.85</v>
      </c>
      <c r="R147">
        <v>83419</v>
      </c>
    </row>
    <row r="148" spans="1:18" x14ac:dyDescent="0.25">
      <c r="A148" s="170">
        <v>43091</v>
      </c>
      <c r="B148" s="116">
        <v>533</v>
      </c>
      <c r="C148" s="116">
        <v>525.4</v>
      </c>
      <c r="D148" s="116">
        <v>518</v>
      </c>
      <c r="E148" s="116">
        <v>527</v>
      </c>
      <c r="F148" s="116">
        <v>525.4</v>
      </c>
      <c r="G148">
        <v>12212</v>
      </c>
      <c r="H148" s="116"/>
      <c r="I148" s="116"/>
      <c r="L148" s="170">
        <v>43091</v>
      </c>
      <c r="M148" s="116">
        <v>524.20000000000005</v>
      </c>
      <c r="N148" s="116">
        <v>532</v>
      </c>
      <c r="O148" s="116">
        <v>515.1</v>
      </c>
      <c r="P148" s="116">
        <v>526</v>
      </c>
      <c r="Q148" s="116">
        <v>524.20000000000005</v>
      </c>
      <c r="R148">
        <v>73423</v>
      </c>
    </row>
    <row r="149" spans="1:18" x14ac:dyDescent="0.25">
      <c r="A149" s="170">
        <v>43095</v>
      </c>
      <c r="B149" s="116">
        <v>535</v>
      </c>
      <c r="C149" s="116">
        <v>519.9</v>
      </c>
      <c r="D149" s="116">
        <v>518</v>
      </c>
      <c r="E149" s="116">
        <v>532.70000000000005</v>
      </c>
      <c r="F149" s="116">
        <v>519.9</v>
      </c>
      <c r="G149">
        <v>16468</v>
      </c>
      <c r="H149" s="116"/>
      <c r="I149" s="116"/>
      <c r="L149" s="170">
        <v>43095</v>
      </c>
      <c r="M149" s="116">
        <v>520.5</v>
      </c>
      <c r="N149" s="116">
        <v>539</v>
      </c>
      <c r="O149" s="116">
        <v>518.25</v>
      </c>
      <c r="P149" s="116">
        <v>533.9</v>
      </c>
      <c r="Q149" s="116">
        <v>520.5</v>
      </c>
      <c r="R149">
        <v>73873</v>
      </c>
    </row>
    <row r="150" spans="1:18" x14ac:dyDescent="0.25">
      <c r="A150" s="170">
        <v>43096</v>
      </c>
      <c r="B150" s="116">
        <v>525.45000000000005</v>
      </c>
      <c r="C150" s="116">
        <v>515.45000000000005</v>
      </c>
      <c r="D150" s="116">
        <v>511.05</v>
      </c>
      <c r="E150" s="116">
        <v>523</v>
      </c>
      <c r="F150" s="116">
        <v>515.45000000000005</v>
      </c>
      <c r="G150">
        <v>4077</v>
      </c>
      <c r="H150" s="116"/>
      <c r="I150" s="116"/>
      <c r="L150" s="170">
        <v>43096</v>
      </c>
      <c r="M150" s="116">
        <v>514.29999999999995</v>
      </c>
      <c r="N150" s="116">
        <v>527</v>
      </c>
      <c r="O150" s="116">
        <v>508.5</v>
      </c>
      <c r="P150" s="116">
        <v>526</v>
      </c>
      <c r="Q150" s="116">
        <v>514.29999999999995</v>
      </c>
      <c r="R150">
        <v>76574</v>
      </c>
    </row>
    <row r="151" spans="1:18" x14ac:dyDescent="0.25">
      <c r="A151" s="170">
        <v>43097</v>
      </c>
      <c r="B151" s="116">
        <v>516.9</v>
      </c>
      <c r="C151" s="116">
        <v>510.6</v>
      </c>
      <c r="D151" s="116">
        <v>503</v>
      </c>
      <c r="E151" s="116">
        <v>516.9</v>
      </c>
      <c r="F151" s="116">
        <v>510.6</v>
      </c>
      <c r="G151">
        <v>13677</v>
      </c>
      <c r="H151" s="116"/>
      <c r="I151" s="116"/>
      <c r="L151" s="170">
        <v>43097</v>
      </c>
      <c r="M151" s="116">
        <v>511.4</v>
      </c>
      <c r="N151" s="116">
        <v>517.1</v>
      </c>
      <c r="O151" s="116">
        <v>502.95</v>
      </c>
      <c r="P151" s="116">
        <v>516.5</v>
      </c>
      <c r="Q151" s="116">
        <v>511.4</v>
      </c>
      <c r="R151">
        <v>49439</v>
      </c>
    </row>
    <row r="152" spans="1:18" x14ac:dyDescent="0.25">
      <c r="A152" s="170">
        <v>43098</v>
      </c>
      <c r="B152" s="116">
        <v>521.85</v>
      </c>
      <c r="C152" s="116">
        <v>514.20000000000005</v>
      </c>
      <c r="D152" s="116">
        <v>509.6</v>
      </c>
      <c r="E152" s="116">
        <v>510.1</v>
      </c>
      <c r="F152" s="116">
        <v>514.20000000000005</v>
      </c>
      <c r="G152">
        <v>7960</v>
      </c>
      <c r="H152" s="116"/>
      <c r="I152" s="116"/>
      <c r="L152" s="170">
        <v>43098</v>
      </c>
      <c r="M152" s="116">
        <v>520</v>
      </c>
      <c r="N152" s="116">
        <v>525</v>
      </c>
      <c r="O152" s="116">
        <v>506.1</v>
      </c>
      <c r="P152" s="116">
        <v>515</v>
      </c>
      <c r="Q152" s="116">
        <v>520</v>
      </c>
      <c r="R152">
        <v>60573</v>
      </c>
    </row>
    <row r="153" spans="1:18" x14ac:dyDescent="0.25">
      <c r="A153" s="170">
        <v>43101</v>
      </c>
      <c r="B153" s="116">
        <v>536.79999999999995</v>
      </c>
      <c r="C153" s="116">
        <v>519.20000000000005</v>
      </c>
      <c r="D153" s="116">
        <v>518</v>
      </c>
      <c r="E153" s="116">
        <v>518</v>
      </c>
      <c r="F153" s="116">
        <v>519.20000000000005</v>
      </c>
      <c r="G153">
        <v>5475</v>
      </c>
      <c r="H153" s="116"/>
      <c r="I153" s="116"/>
      <c r="L153" s="170">
        <v>43101</v>
      </c>
      <c r="M153" s="116">
        <v>520.20000000000005</v>
      </c>
      <c r="N153" s="116">
        <v>537.70000000000005</v>
      </c>
      <c r="O153" s="116">
        <v>515.54999999999995</v>
      </c>
      <c r="P153" s="116">
        <v>520.04999999999995</v>
      </c>
      <c r="Q153" s="116">
        <v>520.20000000000005</v>
      </c>
      <c r="R153">
        <v>39720</v>
      </c>
    </row>
    <row r="154" spans="1:18" x14ac:dyDescent="0.25">
      <c r="A154" s="170">
        <v>43102</v>
      </c>
      <c r="B154" s="116">
        <v>520</v>
      </c>
      <c r="C154" s="116">
        <v>512.95000000000005</v>
      </c>
      <c r="D154" s="116">
        <v>510</v>
      </c>
      <c r="E154" s="116">
        <v>518.04999999999995</v>
      </c>
      <c r="F154" s="116">
        <v>512.95000000000005</v>
      </c>
      <c r="G154">
        <v>8798</v>
      </c>
      <c r="H154" s="116"/>
      <c r="I154" s="116"/>
      <c r="L154" s="170">
        <v>43102</v>
      </c>
      <c r="M154" s="116">
        <v>513.45000000000005</v>
      </c>
      <c r="N154" s="116">
        <v>527.4</v>
      </c>
      <c r="O154" s="116">
        <v>509.25</v>
      </c>
      <c r="P154" s="116">
        <v>527.4</v>
      </c>
      <c r="Q154" s="116">
        <v>513.45000000000005</v>
      </c>
      <c r="R154">
        <v>38835</v>
      </c>
    </row>
    <row r="155" spans="1:18" x14ac:dyDescent="0.25">
      <c r="A155" s="170">
        <v>43103</v>
      </c>
      <c r="B155" s="116">
        <v>520</v>
      </c>
      <c r="C155" s="116">
        <v>510.4</v>
      </c>
      <c r="D155" s="116">
        <v>508</v>
      </c>
      <c r="E155" s="116">
        <v>516</v>
      </c>
      <c r="F155" s="116">
        <v>510.4</v>
      </c>
      <c r="G155">
        <v>7220</v>
      </c>
      <c r="H155" s="116"/>
      <c r="I155" s="116"/>
      <c r="L155" s="170">
        <v>43103</v>
      </c>
      <c r="M155" s="116">
        <v>510.1</v>
      </c>
      <c r="N155" s="116">
        <v>522</v>
      </c>
      <c r="O155" s="116">
        <v>508.05</v>
      </c>
      <c r="P155" s="116">
        <v>515</v>
      </c>
      <c r="Q155" s="116">
        <v>510.1</v>
      </c>
      <c r="R155">
        <v>55422</v>
      </c>
    </row>
    <row r="156" spans="1:18" x14ac:dyDescent="0.25">
      <c r="A156" s="170">
        <v>43104</v>
      </c>
      <c r="B156" s="116">
        <v>526</v>
      </c>
      <c r="C156" s="116">
        <v>521.9</v>
      </c>
      <c r="D156" s="116">
        <v>513</v>
      </c>
      <c r="E156" s="116">
        <v>514.29999999999995</v>
      </c>
      <c r="F156" s="116">
        <v>521.9</v>
      </c>
      <c r="G156">
        <v>5239</v>
      </c>
      <c r="H156" s="116"/>
      <c r="I156" s="116"/>
      <c r="L156" s="170">
        <v>43104</v>
      </c>
      <c r="M156" s="116">
        <v>525.70000000000005</v>
      </c>
      <c r="N156" s="116">
        <v>528</v>
      </c>
      <c r="O156" s="116">
        <v>510</v>
      </c>
      <c r="P156" s="116">
        <v>510</v>
      </c>
      <c r="Q156" s="116">
        <v>525.70000000000005</v>
      </c>
      <c r="R156">
        <v>48060</v>
      </c>
    </row>
    <row r="157" spans="1:18" x14ac:dyDescent="0.25">
      <c r="A157" s="170">
        <v>43105</v>
      </c>
      <c r="B157" s="116">
        <v>552</v>
      </c>
      <c r="C157" s="116">
        <v>544</v>
      </c>
      <c r="D157" s="116">
        <v>524</v>
      </c>
      <c r="E157" s="116">
        <v>526</v>
      </c>
      <c r="F157" s="116">
        <v>544</v>
      </c>
      <c r="G157">
        <v>28222</v>
      </c>
      <c r="H157" s="116"/>
      <c r="I157" s="116"/>
      <c r="L157" s="170">
        <v>43105</v>
      </c>
      <c r="M157" s="116">
        <v>544.25</v>
      </c>
      <c r="N157" s="116">
        <v>547</v>
      </c>
      <c r="O157" s="116">
        <v>524</v>
      </c>
      <c r="P157" s="116">
        <v>526.9</v>
      </c>
      <c r="Q157" s="116">
        <v>544.25</v>
      </c>
      <c r="R157">
        <v>117498</v>
      </c>
    </row>
    <row r="158" spans="1:18" x14ac:dyDescent="0.25">
      <c r="A158" s="170">
        <v>43108</v>
      </c>
      <c r="B158" s="116">
        <v>594.75</v>
      </c>
      <c r="C158" s="116">
        <v>573.6</v>
      </c>
      <c r="D158" s="116">
        <v>542</v>
      </c>
      <c r="E158" s="116">
        <v>550</v>
      </c>
      <c r="F158" s="116">
        <v>573.6</v>
      </c>
      <c r="G158">
        <v>49387</v>
      </c>
      <c r="H158" s="116"/>
      <c r="I158" s="116"/>
      <c r="L158" s="170">
        <v>43108</v>
      </c>
      <c r="M158" s="116">
        <v>576.45000000000005</v>
      </c>
      <c r="N158" s="116">
        <v>595</v>
      </c>
      <c r="O158" s="116">
        <v>541.65</v>
      </c>
      <c r="P158" s="116">
        <v>547.5</v>
      </c>
      <c r="Q158" s="116">
        <v>576.45000000000005</v>
      </c>
      <c r="R158">
        <v>370987</v>
      </c>
    </row>
    <row r="159" spans="1:18" x14ac:dyDescent="0.25">
      <c r="A159" s="170">
        <v>43109</v>
      </c>
      <c r="B159" s="116">
        <v>593</v>
      </c>
      <c r="C159" s="116">
        <v>557.9</v>
      </c>
      <c r="D159" s="116">
        <v>555</v>
      </c>
      <c r="E159" s="116">
        <v>584.4</v>
      </c>
      <c r="F159" s="116">
        <v>557.9</v>
      </c>
      <c r="G159">
        <v>31286</v>
      </c>
      <c r="H159" s="116"/>
      <c r="I159" s="116"/>
      <c r="L159" s="170">
        <v>43109</v>
      </c>
      <c r="M159" s="116">
        <v>559.65</v>
      </c>
      <c r="N159" s="116">
        <v>595</v>
      </c>
      <c r="O159" s="116">
        <v>554</v>
      </c>
      <c r="P159" s="116">
        <v>582</v>
      </c>
      <c r="Q159" s="116">
        <v>559.65</v>
      </c>
      <c r="R159">
        <v>159231</v>
      </c>
    </row>
    <row r="160" spans="1:18" x14ac:dyDescent="0.25">
      <c r="A160" s="170">
        <v>43110</v>
      </c>
      <c r="B160" s="116">
        <v>571.6</v>
      </c>
      <c r="C160" s="116">
        <v>561.70000000000005</v>
      </c>
      <c r="D160" s="116">
        <v>545.79999999999995</v>
      </c>
      <c r="E160" s="116">
        <v>561.54999999999995</v>
      </c>
      <c r="F160" s="116">
        <v>561.70000000000005</v>
      </c>
      <c r="G160">
        <v>12111</v>
      </c>
      <c r="H160" s="116"/>
      <c r="I160" s="116"/>
      <c r="L160" s="170">
        <v>43110</v>
      </c>
      <c r="M160" s="116">
        <v>562.79999999999995</v>
      </c>
      <c r="N160" s="116">
        <v>571.95000000000005</v>
      </c>
      <c r="O160" s="116">
        <v>547.25</v>
      </c>
      <c r="P160" s="116">
        <v>565</v>
      </c>
      <c r="Q160" s="116">
        <v>562.79999999999995</v>
      </c>
      <c r="R160">
        <v>53127</v>
      </c>
    </row>
    <row r="161" spans="1:18" x14ac:dyDescent="0.25">
      <c r="A161" s="170">
        <v>43111</v>
      </c>
      <c r="B161" s="116">
        <v>571.1</v>
      </c>
      <c r="C161" s="116">
        <v>557.9</v>
      </c>
      <c r="D161" s="116">
        <v>550</v>
      </c>
      <c r="E161" s="116">
        <v>559.1</v>
      </c>
      <c r="F161" s="116">
        <v>557.9</v>
      </c>
      <c r="G161">
        <v>9816</v>
      </c>
      <c r="H161" s="116"/>
      <c r="I161" s="116"/>
      <c r="L161" s="170">
        <v>43111</v>
      </c>
      <c r="M161" s="116">
        <v>557.54999999999995</v>
      </c>
      <c r="N161" s="116">
        <v>571.5</v>
      </c>
      <c r="O161" s="116">
        <v>545</v>
      </c>
      <c r="P161" s="116">
        <v>560.15</v>
      </c>
      <c r="Q161" s="116">
        <v>557.54999999999995</v>
      </c>
      <c r="R161">
        <v>60583</v>
      </c>
    </row>
    <row r="162" spans="1:18" x14ac:dyDescent="0.25">
      <c r="A162" s="170">
        <v>43112</v>
      </c>
      <c r="B162" s="116">
        <v>568</v>
      </c>
      <c r="C162" s="116">
        <v>561.25</v>
      </c>
      <c r="D162" s="116">
        <v>549.20000000000005</v>
      </c>
      <c r="E162" s="116">
        <v>558.9</v>
      </c>
      <c r="F162" s="116">
        <v>561.25</v>
      </c>
      <c r="G162">
        <v>18777</v>
      </c>
      <c r="H162" s="116"/>
      <c r="I162" s="116"/>
      <c r="L162" s="170">
        <v>43112</v>
      </c>
      <c r="M162" s="116">
        <v>562.25</v>
      </c>
      <c r="N162" s="116">
        <v>569</v>
      </c>
      <c r="O162" s="116">
        <v>551.75</v>
      </c>
      <c r="P162" s="116">
        <v>556.54999999999995</v>
      </c>
      <c r="Q162" s="116">
        <v>562.25</v>
      </c>
      <c r="R162">
        <v>74339</v>
      </c>
    </row>
    <row r="163" spans="1:18" x14ac:dyDescent="0.25">
      <c r="A163" s="170">
        <v>43115</v>
      </c>
      <c r="B163" s="116">
        <v>580</v>
      </c>
      <c r="C163" s="116">
        <v>573.04999999999995</v>
      </c>
      <c r="D163" s="116">
        <v>564.4</v>
      </c>
      <c r="E163" s="116">
        <v>564.4</v>
      </c>
      <c r="F163" s="116">
        <v>573.04999999999995</v>
      </c>
      <c r="G163">
        <v>10244</v>
      </c>
      <c r="H163" s="116"/>
      <c r="I163" s="116"/>
      <c r="L163" s="170">
        <v>43115</v>
      </c>
      <c r="M163" s="116">
        <v>574.5</v>
      </c>
      <c r="N163" s="116">
        <v>580</v>
      </c>
      <c r="O163" s="116">
        <v>565.5</v>
      </c>
      <c r="P163" s="116">
        <v>565.54999999999995</v>
      </c>
      <c r="Q163" s="116">
        <v>574.5</v>
      </c>
      <c r="R163">
        <v>83139</v>
      </c>
    </row>
    <row r="164" spans="1:18" x14ac:dyDescent="0.25">
      <c r="A164" s="170">
        <v>43116</v>
      </c>
      <c r="B164" s="116">
        <v>578.75</v>
      </c>
      <c r="C164" s="116">
        <v>565.25</v>
      </c>
      <c r="D164" s="116">
        <v>562.04999999999995</v>
      </c>
      <c r="E164" s="116">
        <v>575.20000000000005</v>
      </c>
      <c r="F164" s="116">
        <v>565.25</v>
      </c>
      <c r="G164">
        <v>6772</v>
      </c>
      <c r="H164" s="116"/>
      <c r="I164" s="116"/>
      <c r="L164" s="170">
        <v>43116</v>
      </c>
      <c r="M164" s="116">
        <v>564.4</v>
      </c>
      <c r="N164" s="116">
        <v>578.95000000000005</v>
      </c>
      <c r="O164" s="116">
        <v>561.95000000000005</v>
      </c>
      <c r="P164" s="116">
        <v>578.95000000000005</v>
      </c>
      <c r="Q164" s="116">
        <v>564.4</v>
      </c>
      <c r="R164">
        <v>117328</v>
      </c>
    </row>
    <row r="165" spans="1:18" x14ac:dyDescent="0.25">
      <c r="A165" s="170">
        <v>43117</v>
      </c>
      <c r="B165" s="116">
        <v>582.9</v>
      </c>
      <c r="C165" s="116">
        <v>579.4</v>
      </c>
      <c r="D165" s="116">
        <v>557.1</v>
      </c>
      <c r="E165" s="116">
        <v>558.5</v>
      </c>
      <c r="F165" s="116">
        <v>579.4</v>
      </c>
      <c r="G165">
        <v>13278</v>
      </c>
      <c r="H165" s="116"/>
      <c r="I165" s="116"/>
      <c r="L165" s="170">
        <v>43117</v>
      </c>
      <c r="M165" s="116">
        <v>574.75</v>
      </c>
      <c r="N165" s="116">
        <v>576.70000000000005</v>
      </c>
      <c r="O165" s="116">
        <v>556</v>
      </c>
      <c r="P165" s="116">
        <v>556</v>
      </c>
      <c r="Q165" s="116">
        <v>574.75</v>
      </c>
      <c r="R165">
        <v>75155</v>
      </c>
    </row>
    <row r="166" spans="1:18" x14ac:dyDescent="0.25">
      <c r="A166" s="170">
        <v>43118</v>
      </c>
      <c r="B166" s="116">
        <v>585</v>
      </c>
      <c r="C166" s="116">
        <v>559.65</v>
      </c>
      <c r="D166" s="116">
        <v>555.95000000000005</v>
      </c>
      <c r="E166" s="116">
        <v>580.5</v>
      </c>
      <c r="F166" s="116">
        <v>559.65</v>
      </c>
      <c r="G166">
        <v>13396</v>
      </c>
      <c r="H166" s="116"/>
      <c r="I166" s="116"/>
      <c r="L166" s="170">
        <v>43118</v>
      </c>
      <c r="M166" s="116">
        <v>559.70000000000005</v>
      </c>
      <c r="N166" s="116">
        <v>585</v>
      </c>
      <c r="O166" s="116">
        <v>557.5</v>
      </c>
      <c r="P166" s="116">
        <v>585</v>
      </c>
      <c r="Q166" s="116">
        <v>559.70000000000005</v>
      </c>
      <c r="R166">
        <v>85950</v>
      </c>
    </row>
    <row r="167" spans="1:18" x14ac:dyDescent="0.25">
      <c r="A167" s="170">
        <v>43119</v>
      </c>
      <c r="B167" s="116">
        <v>572.85</v>
      </c>
      <c r="C167" s="116">
        <v>569.79999999999995</v>
      </c>
      <c r="D167" s="116">
        <v>559.29999999999995</v>
      </c>
      <c r="E167" s="116">
        <v>563.95000000000005</v>
      </c>
      <c r="F167" s="116">
        <v>569.79999999999995</v>
      </c>
      <c r="G167">
        <v>16394</v>
      </c>
      <c r="H167" s="116"/>
      <c r="I167" s="116"/>
      <c r="L167" s="170">
        <v>43119</v>
      </c>
      <c r="M167" s="116">
        <v>569.20000000000005</v>
      </c>
      <c r="N167" s="116">
        <v>573</v>
      </c>
      <c r="O167" s="116">
        <v>560</v>
      </c>
      <c r="P167" s="116">
        <v>568.9</v>
      </c>
      <c r="Q167" s="116">
        <v>569.20000000000005</v>
      </c>
      <c r="R167">
        <v>49789</v>
      </c>
    </row>
    <row r="168" spans="1:18" x14ac:dyDescent="0.25">
      <c r="A168" s="170">
        <v>43122</v>
      </c>
      <c r="B168" s="116">
        <v>574</v>
      </c>
      <c r="C168" s="116">
        <v>567.79999999999995</v>
      </c>
      <c r="D168" s="116">
        <v>563.95000000000005</v>
      </c>
      <c r="E168" s="116">
        <v>570.04999999999995</v>
      </c>
      <c r="F168" s="116">
        <v>567.79999999999995</v>
      </c>
      <c r="G168">
        <v>12702</v>
      </c>
      <c r="H168" s="116"/>
      <c r="I168" s="116"/>
      <c r="L168" s="170">
        <v>43122</v>
      </c>
      <c r="M168" s="116">
        <v>564.79999999999995</v>
      </c>
      <c r="N168" s="116">
        <v>575.45000000000005</v>
      </c>
      <c r="O168" s="116">
        <v>561.6</v>
      </c>
      <c r="P168" s="116">
        <v>570</v>
      </c>
      <c r="Q168" s="116">
        <v>564.79999999999995</v>
      </c>
      <c r="R168">
        <v>44940</v>
      </c>
    </row>
    <row r="169" spans="1:18" x14ac:dyDescent="0.25">
      <c r="A169" s="170">
        <v>43123</v>
      </c>
      <c r="B169" s="116">
        <v>574.35</v>
      </c>
      <c r="C169" s="116">
        <v>566.70000000000005</v>
      </c>
      <c r="D169" s="116">
        <v>565</v>
      </c>
      <c r="E169" s="116">
        <v>566</v>
      </c>
      <c r="F169" s="116">
        <v>566.70000000000005</v>
      </c>
      <c r="G169">
        <v>4156</v>
      </c>
      <c r="H169" s="116"/>
      <c r="I169" s="116"/>
      <c r="L169" s="170">
        <v>43123</v>
      </c>
      <c r="M169" s="116">
        <v>565.04999999999995</v>
      </c>
      <c r="N169" s="116">
        <v>575.1</v>
      </c>
      <c r="O169" s="116">
        <v>563.70000000000005</v>
      </c>
      <c r="P169" s="116">
        <v>574</v>
      </c>
      <c r="Q169" s="116">
        <v>565.04999999999995</v>
      </c>
      <c r="R169">
        <v>58005</v>
      </c>
    </row>
    <row r="170" spans="1:18" x14ac:dyDescent="0.25">
      <c r="A170" s="170">
        <v>43124</v>
      </c>
      <c r="B170" s="116">
        <v>566.4</v>
      </c>
      <c r="C170" s="116">
        <v>560.20000000000005</v>
      </c>
      <c r="D170" s="116">
        <v>557.35</v>
      </c>
      <c r="E170" s="116">
        <v>565.04999999999995</v>
      </c>
      <c r="F170" s="116">
        <v>560.20000000000005</v>
      </c>
      <c r="G170">
        <v>10485</v>
      </c>
      <c r="H170" s="116"/>
      <c r="I170" s="116"/>
      <c r="L170" s="170">
        <v>43124</v>
      </c>
      <c r="M170" s="116">
        <v>559.95000000000005</v>
      </c>
      <c r="N170" s="116">
        <v>570</v>
      </c>
      <c r="O170" s="116">
        <v>556.04999999999995</v>
      </c>
      <c r="P170" s="116">
        <v>570</v>
      </c>
      <c r="Q170" s="116">
        <v>559.95000000000005</v>
      </c>
      <c r="R170">
        <v>28669</v>
      </c>
    </row>
    <row r="171" spans="1:18" x14ac:dyDescent="0.25">
      <c r="A171" s="170">
        <v>43125</v>
      </c>
      <c r="B171" s="116">
        <v>564</v>
      </c>
      <c r="C171" s="116">
        <v>554.95000000000005</v>
      </c>
      <c r="D171" s="116">
        <v>552</v>
      </c>
      <c r="E171" s="116">
        <v>559.4</v>
      </c>
      <c r="F171" s="116">
        <v>554.95000000000005</v>
      </c>
      <c r="G171">
        <v>4543</v>
      </c>
      <c r="H171" s="116"/>
      <c r="I171" s="116"/>
      <c r="L171" s="170">
        <v>43125</v>
      </c>
      <c r="M171" s="116">
        <v>555.20000000000005</v>
      </c>
      <c r="N171" s="116">
        <v>567</v>
      </c>
      <c r="O171" s="116">
        <v>548</v>
      </c>
      <c r="P171" s="116">
        <v>556</v>
      </c>
      <c r="Q171" s="116">
        <v>555.20000000000005</v>
      </c>
      <c r="R171">
        <v>19469</v>
      </c>
    </row>
    <row r="172" spans="1:18" x14ac:dyDescent="0.25">
      <c r="A172" s="170">
        <v>43129</v>
      </c>
      <c r="B172" s="116">
        <v>562.6</v>
      </c>
      <c r="C172" s="116">
        <v>543.1</v>
      </c>
      <c r="D172" s="116">
        <v>534.65</v>
      </c>
      <c r="E172" s="116">
        <v>550.95000000000005</v>
      </c>
      <c r="F172" s="116">
        <v>543.1</v>
      </c>
      <c r="G172">
        <v>6675</v>
      </c>
      <c r="H172" s="116"/>
      <c r="I172" s="116"/>
      <c r="L172" s="170">
        <v>43129</v>
      </c>
      <c r="M172" s="116">
        <v>542.29999999999995</v>
      </c>
      <c r="N172" s="116">
        <v>564.70000000000005</v>
      </c>
      <c r="O172" s="116">
        <v>537</v>
      </c>
      <c r="P172" s="116">
        <v>556</v>
      </c>
      <c r="Q172" s="116">
        <v>542.29999999999995</v>
      </c>
      <c r="R172">
        <v>29336</v>
      </c>
    </row>
    <row r="173" spans="1:18" x14ac:dyDescent="0.25">
      <c r="A173" s="170">
        <v>43130</v>
      </c>
      <c r="B173" s="116">
        <v>535.85</v>
      </c>
      <c r="C173" s="116">
        <v>522.35</v>
      </c>
      <c r="D173" s="116">
        <v>520</v>
      </c>
      <c r="E173" s="116">
        <v>535.85</v>
      </c>
      <c r="F173" s="116">
        <v>522.35</v>
      </c>
      <c r="G173">
        <v>14798</v>
      </c>
      <c r="H173" s="116"/>
      <c r="I173" s="116"/>
      <c r="L173" s="170">
        <v>43130</v>
      </c>
      <c r="M173" s="116">
        <v>522.1</v>
      </c>
      <c r="N173" s="116">
        <v>538.1</v>
      </c>
      <c r="O173" s="116">
        <v>517.04999999999995</v>
      </c>
      <c r="P173" s="116">
        <v>535</v>
      </c>
      <c r="Q173" s="116">
        <v>522.1</v>
      </c>
      <c r="R173">
        <v>48417</v>
      </c>
    </row>
    <row r="174" spans="1:18" x14ac:dyDescent="0.25">
      <c r="A174" s="170">
        <v>43131</v>
      </c>
      <c r="B174" s="116">
        <v>533.29999999999995</v>
      </c>
      <c r="C174" s="116">
        <v>520.25</v>
      </c>
      <c r="D174" s="116">
        <v>510.5</v>
      </c>
      <c r="E174" s="116">
        <v>520</v>
      </c>
      <c r="F174" s="116">
        <v>520.25</v>
      </c>
      <c r="G174">
        <v>5083</v>
      </c>
      <c r="H174" s="116"/>
      <c r="I174" s="116"/>
      <c r="L174" s="170">
        <v>43131</v>
      </c>
      <c r="M174" s="116">
        <v>520.35</v>
      </c>
      <c r="N174" s="116">
        <v>535</v>
      </c>
      <c r="O174" s="116">
        <v>511</v>
      </c>
      <c r="P174" s="116">
        <v>526.20000000000005</v>
      </c>
      <c r="Q174" s="116">
        <v>520.35</v>
      </c>
      <c r="R174">
        <v>29257</v>
      </c>
    </row>
    <row r="175" spans="1:18" x14ac:dyDescent="0.25">
      <c r="A175" s="170">
        <v>43132</v>
      </c>
      <c r="B175" s="116">
        <v>540</v>
      </c>
      <c r="C175" s="116">
        <v>530.35</v>
      </c>
      <c r="D175" s="116">
        <v>519</v>
      </c>
      <c r="E175" s="116">
        <v>526.70000000000005</v>
      </c>
      <c r="F175" s="116">
        <v>530.35</v>
      </c>
      <c r="G175">
        <v>8046</v>
      </c>
      <c r="H175" s="116"/>
      <c r="I175" s="116"/>
      <c r="L175" s="170">
        <v>43132</v>
      </c>
      <c r="M175" s="116">
        <v>534.6</v>
      </c>
      <c r="N175" s="116">
        <v>542</v>
      </c>
      <c r="O175" s="116">
        <v>520.20000000000005</v>
      </c>
      <c r="P175" s="116">
        <v>529</v>
      </c>
      <c r="Q175" s="116">
        <v>534.6</v>
      </c>
      <c r="R175">
        <v>45190</v>
      </c>
    </row>
    <row r="176" spans="1:18" x14ac:dyDescent="0.25">
      <c r="A176" s="170">
        <v>43133</v>
      </c>
      <c r="B176" s="116">
        <v>529.9</v>
      </c>
      <c r="C176" s="116">
        <v>513.35</v>
      </c>
      <c r="D176" s="116">
        <v>508</v>
      </c>
      <c r="E176" s="116">
        <v>524.95000000000005</v>
      </c>
      <c r="F176" s="116">
        <v>513.35</v>
      </c>
      <c r="G176">
        <v>4019</v>
      </c>
      <c r="H176" s="116"/>
      <c r="I176" s="116"/>
      <c r="L176" s="170">
        <v>43133</v>
      </c>
      <c r="M176" s="116">
        <v>509.15</v>
      </c>
      <c r="N176" s="116">
        <v>535.04999999999995</v>
      </c>
      <c r="O176" s="116">
        <v>505.3</v>
      </c>
      <c r="P176" s="116">
        <v>535.04999999999995</v>
      </c>
      <c r="Q176" s="116">
        <v>509.15</v>
      </c>
      <c r="R176">
        <v>83696</v>
      </c>
    </row>
    <row r="177" spans="1:18" x14ac:dyDescent="0.25">
      <c r="A177" s="170">
        <v>43136</v>
      </c>
      <c r="B177" s="116">
        <v>515</v>
      </c>
      <c r="C177" s="116">
        <v>503.6</v>
      </c>
      <c r="D177" s="116">
        <v>485</v>
      </c>
      <c r="E177" s="116">
        <v>507</v>
      </c>
      <c r="F177" s="116">
        <v>503.6</v>
      </c>
      <c r="G177">
        <v>6098</v>
      </c>
      <c r="H177" s="116"/>
      <c r="I177" s="116"/>
      <c r="L177" s="170">
        <v>43136</v>
      </c>
      <c r="M177" s="116">
        <v>496.55</v>
      </c>
      <c r="N177" s="116">
        <v>507.9</v>
      </c>
      <c r="O177" s="116">
        <v>483</v>
      </c>
      <c r="P177" s="116">
        <v>507.9</v>
      </c>
      <c r="Q177" s="116">
        <v>496.55</v>
      </c>
      <c r="R177">
        <v>42196</v>
      </c>
    </row>
    <row r="178" spans="1:18" x14ac:dyDescent="0.25">
      <c r="A178" s="170">
        <v>43137</v>
      </c>
      <c r="B178" s="116">
        <v>490</v>
      </c>
      <c r="C178" s="116">
        <v>470.45</v>
      </c>
      <c r="D178" s="116">
        <v>455</v>
      </c>
      <c r="E178" s="116">
        <v>489.9</v>
      </c>
      <c r="F178" s="116">
        <v>470.45</v>
      </c>
      <c r="G178">
        <v>19802</v>
      </c>
      <c r="H178" s="116"/>
      <c r="I178" s="116"/>
      <c r="L178" s="170">
        <v>43137</v>
      </c>
      <c r="M178" s="116">
        <v>469.9</v>
      </c>
      <c r="N178" s="116">
        <v>495</v>
      </c>
      <c r="O178" s="116">
        <v>432.65</v>
      </c>
      <c r="P178" s="116">
        <v>470</v>
      </c>
      <c r="Q178" s="116">
        <v>469.9</v>
      </c>
      <c r="R178">
        <v>119061</v>
      </c>
    </row>
    <row r="179" spans="1:18" x14ac:dyDescent="0.25">
      <c r="A179" s="170">
        <v>43138</v>
      </c>
      <c r="B179" s="116">
        <v>510.7</v>
      </c>
      <c r="C179" s="116">
        <v>496.3</v>
      </c>
      <c r="D179" s="116">
        <v>483</v>
      </c>
      <c r="E179" s="116">
        <v>485.9</v>
      </c>
      <c r="F179" s="116">
        <v>496.3</v>
      </c>
      <c r="G179">
        <v>43378</v>
      </c>
      <c r="H179" s="116"/>
      <c r="I179" s="116"/>
      <c r="L179" s="170">
        <v>43138</v>
      </c>
      <c r="M179" s="116">
        <v>494.65</v>
      </c>
      <c r="N179" s="116">
        <v>510.6</v>
      </c>
      <c r="O179" s="116">
        <v>480</v>
      </c>
      <c r="P179" s="116">
        <v>488.9</v>
      </c>
      <c r="Q179" s="116">
        <v>494.65</v>
      </c>
      <c r="R179">
        <v>90877</v>
      </c>
    </row>
    <row r="180" spans="1:18" x14ac:dyDescent="0.25">
      <c r="A180" s="170">
        <v>43139</v>
      </c>
      <c r="B180" s="116">
        <v>533.1</v>
      </c>
      <c r="C180" s="116">
        <v>513.45000000000005</v>
      </c>
      <c r="D180" s="116">
        <v>500</v>
      </c>
      <c r="E180" s="116">
        <v>500</v>
      </c>
      <c r="F180" s="116">
        <v>513.45000000000005</v>
      </c>
      <c r="G180">
        <v>13538</v>
      </c>
      <c r="H180" s="116"/>
      <c r="I180" s="116"/>
      <c r="L180" s="170">
        <v>43139</v>
      </c>
      <c r="M180" s="116">
        <v>514.75</v>
      </c>
      <c r="N180" s="116">
        <v>533</v>
      </c>
      <c r="O180" s="116">
        <v>500</v>
      </c>
      <c r="P180" s="116">
        <v>500</v>
      </c>
      <c r="Q180" s="116">
        <v>514.75</v>
      </c>
      <c r="R180">
        <v>145124</v>
      </c>
    </row>
    <row r="181" spans="1:18" x14ac:dyDescent="0.25">
      <c r="A181" s="170">
        <v>43140</v>
      </c>
      <c r="B181" s="116">
        <v>524.9</v>
      </c>
      <c r="C181" s="116">
        <v>512.70000000000005</v>
      </c>
      <c r="D181" s="116">
        <v>504.75</v>
      </c>
      <c r="E181" s="116">
        <v>512.15</v>
      </c>
      <c r="F181" s="116">
        <v>512.70000000000005</v>
      </c>
      <c r="G181">
        <v>8194</v>
      </c>
      <c r="H181" s="116"/>
      <c r="I181" s="116"/>
      <c r="L181" s="170">
        <v>43140</v>
      </c>
      <c r="M181" s="116">
        <v>516.20000000000005</v>
      </c>
      <c r="N181" s="116">
        <v>523</v>
      </c>
      <c r="O181" s="116">
        <v>505</v>
      </c>
      <c r="P181" s="116">
        <v>509.7</v>
      </c>
      <c r="Q181" s="116">
        <v>516.20000000000005</v>
      </c>
      <c r="R181">
        <v>58711</v>
      </c>
    </row>
    <row r="182" spans="1:18" x14ac:dyDescent="0.25">
      <c r="A182" s="170">
        <v>43143</v>
      </c>
      <c r="B182" s="116">
        <v>527.65</v>
      </c>
      <c r="C182" s="116">
        <v>519</v>
      </c>
      <c r="D182" s="116">
        <v>515.15</v>
      </c>
      <c r="E182" s="116">
        <v>525.75</v>
      </c>
      <c r="F182" s="116">
        <v>519</v>
      </c>
      <c r="G182">
        <v>8614</v>
      </c>
      <c r="H182" s="116"/>
      <c r="I182" s="116"/>
      <c r="L182" s="170">
        <v>43143</v>
      </c>
      <c r="M182" s="116">
        <v>515.15</v>
      </c>
      <c r="N182" s="116">
        <v>529</v>
      </c>
      <c r="O182" s="116">
        <v>512.20000000000005</v>
      </c>
      <c r="P182" s="116">
        <v>520.20000000000005</v>
      </c>
      <c r="Q182" s="116">
        <v>515.15</v>
      </c>
      <c r="R182">
        <v>57153</v>
      </c>
    </row>
    <row r="183" spans="1:18" x14ac:dyDescent="0.25">
      <c r="A183" s="170">
        <v>43145</v>
      </c>
      <c r="B183" s="116">
        <v>525</v>
      </c>
      <c r="C183" s="116">
        <v>516.35</v>
      </c>
      <c r="D183" s="116">
        <v>514</v>
      </c>
      <c r="E183" s="116">
        <v>525</v>
      </c>
      <c r="F183" s="116">
        <v>516.35</v>
      </c>
      <c r="G183">
        <v>4896</v>
      </c>
      <c r="H183" s="116"/>
      <c r="I183" s="116"/>
      <c r="L183" s="170">
        <v>43145</v>
      </c>
      <c r="M183" s="116">
        <v>514.25</v>
      </c>
      <c r="N183" s="116">
        <v>525</v>
      </c>
      <c r="O183" s="116">
        <v>511.05</v>
      </c>
      <c r="P183" s="116">
        <v>525</v>
      </c>
      <c r="Q183" s="116">
        <v>514.25</v>
      </c>
      <c r="R183">
        <v>51178</v>
      </c>
    </row>
    <row r="184" spans="1:18" x14ac:dyDescent="0.25">
      <c r="A184" s="170">
        <v>43146</v>
      </c>
      <c r="B184" s="116">
        <v>520</v>
      </c>
      <c r="C184" s="116">
        <v>495.15</v>
      </c>
      <c r="D184" s="116">
        <v>489.95</v>
      </c>
      <c r="E184" s="116">
        <v>519</v>
      </c>
      <c r="F184" s="116">
        <v>495.15</v>
      </c>
      <c r="G184">
        <v>5626</v>
      </c>
      <c r="H184" s="116"/>
      <c r="I184" s="116"/>
      <c r="L184" s="170">
        <v>43146</v>
      </c>
      <c r="M184" s="116">
        <v>496.1</v>
      </c>
      <c r="N184" s="116">
        <v>521.45000000000005</v>
      </c>
      <c r="O184" s="116">
        <v>489.1</v>
      </c>
      <c r="P184" s="116">
        <v>512.54999999999995</v>
      </c>
      <c r="Q184" s="116">
        <v>496.1</v>
      </c>
      <c r="R184">
        <v>42794</v>
      </c>
    </row>
    <row r="185" spans="1:18" x14ac:dyDescent="0.25">
      <c r="A185" s="170">
        <v>43147</v>
      </c>
      <c r="B185" s="116">
        <v>507.7</v>
      </c>
      <c r="C185" s="116">
        <v>496.5</v>
      </c>
      <c r="D185" s="116">
        <v>490.1</v>
      </c>
      <c r="E185" s="116">
        <v>506.8</v>
      </c>
      <c r="F185" s="116">
        <v>496.5</v>
      </c>
      <c r="G185">
        <v>3236</v>
      </c>
      <c r="H185" s="116"/>
      <c r="I185" s="116"/>
      <c r="L185" s="170">
        <v>43147</v>
      </c>
      <c r="M185" s="116">
        <v>494.15</v>
      </c>
      <c r="N185" s="116">
        <v>506.95</v>
      </c>
      <c r="O185" s="116">
        <v>492</v>
      </c>
      <c r="P185" s="116">
        <v>506</v>
      </c>
      <c r="Q185" s="116">
        <v>494.15</v>
      </c>
      <c r="R185">
        <v>20769</v>
      </c>
    </row>
    <row r="186" spans="1:18" x14ac:dyDescent="0.25">
      <c r="A186" s="170">
        <v>43150</v>
      </c>
      <c r="B186" s="116">
        <v>504.95</v>
      </c>
      <c r="C186" s="116">
        <v>487.7</v>
      </c>
      <c r="D186" s="116">
        <v>476.5</v>
      </c>
      <c r="E186" s="116">
        <v>495</v>
      </c>
      <c r="F186" s="116">
        <v>487.7</v>
      </c>
      <c r="G186">
        <v>6884</v>
      </c>
      <c r="H186" s="116"/>
      <c r="I186" s="116"/>
      <c r="L186" s="170">
        <v>43150</v>
      </c>
      <c r="M186" s="116">
        <v>490.1</v>
      </c>
      <c r="N186" s="116">
        <v>501.1</v>
      </c>
      <c r="O186" s="116">
        <v>477</v>
      </c>
      <c r="P186" s="116">
        <v>497.5</v>
      </c>
      <c r="Q186" s="116">
        <v>490.1</v>
      </c>
      <c r="R186">
        <v>31322</v>
      </c>
    </row>
    <row r="187" spans="1:18" x14ac:dyDescent="0.25">
      <c r="A187" s="170">
        <v>43151</v>
      </c>
      <c r="B187" s="116">
        <v>495</v>
      </c>
      <c r="C187" s="116">
        <v>487.7</v>
      </c>
      <c r="D187" s="116">
        <v>482.9</v>
      </c>
      <c r="E187" s="116">
        <v>492.5</v>
      </c>
      <c r="F187" s="116">
        <v>487.7</v>
      </c>
      <c r="G187">
        <v>5752</v>
      </c>
      <c r="H187" s="116"/>
      <c r="I187" s="116"/>
      <c r="L187" s="170">
        <v>43151</v>
      </c>
      <c r="M187" s="116">
        <v>489.3</v>
      </c>
      <c r="N187" s="116">
        <v>495.05</v>
      </c>
      <c r="O187" s="116">
        <v>485</v>
      </c>
      <c r="P187" s="116">
        <v>485</v>
      </c>
      <c r="Q187" s="116">
        <v>489.3</v>
      </c>
      <c r="R187">
        <v>13337</v>
      </c>
    </row>
    <row r="188" spans="1:18" x14ac:dyDescent="0.25">
      <c r="A188" s="170">
        <v>43152</v>
      </c>
      <c r="B188" s="116">
        <v>491.65</v>
      </c>
      <c r="C188" s="116">
        <v>488.5</v>
      </c>
      <c r="D188" s="116">
        <v>486</v>
      </c>
      <c r="E188" s="116">
        <v>491.65</v>
      </c>
      <c r="F188" s="116">
        <v>488.5</v>
      </c>
      <c r="G188">
        <v>1486</v>
      </c>
      <c r="H188" s="116"/>
      <c r="I188" s="116"/>
      <c r="L188" s="170">
        <v>43152</v>
      </c>
      <c r="M188" s="116">
        <v>486.7</v>
      </c>
      <c r="N188" s="116">
        <v>493.2</v>
      </c>
      <c r="O188" s="116">
        <v>482.8</v>
      </c>
      <c r="P188" s="116">
        <v>487</v>
      </c>
      <c r="Q188" s="116">
        <v>486.7</v>
      </c>
      <c r="R188">
        <v>10977</v>
      </c>
    </row>
    <row r="189" spans="1:18" x14ac:dyDescent="0.25">
      <c r="A189" s="170">
        <v>43153</v>
      </c>
      <c r="B189" s="116">
        <v>481.75</v>
      </c>
      <c r="C189" s="116">
        <v>476.25</v>
      </c>
      <c r="D189" s="116">
        <v>470</v>
      </c>
      <c r="E189" s="116">
        <v>478.35</v>
      </c>
      <c r="F189" s="116">
        <v>476.25</v>
      </c>
      <c r="G189">
        <v>8208</v>
      </c>
      <c r="H189" s="116"/>
      <c r="I189" s="116"/>
      <c r="L189" s="170">
        <v>43153</v>
      </c>
      <c r="M189" s="116">
        <v>475.75</v>
      </c>
      <c r="N189" s="116">
        <v>485.05</v>
      </c>
      <c r="O189" s="116">
        <v>472.05</v>
      </c>
      <c r="P189" s="116">
        <v>480.05</v>
      </c>
      <c r="Q189" s="116">
        <v>475.75</v>
      </c>
      <c r="R189">
        <v>94500</v>
      </c>
    </row>
    <row r="190" spans="1:18" x14ac:dyDescent="0.25">
      <c r="A190" s="170">
        <v>43154</v>
      </c>
      <c r="B190" s="116">
        <v>494.95</v>
      </c>
      <c r="C190" s="116">
        <v>491.4</v>
      </c>
      <c r="D190" s="116">
        <v>482</v>
      </c>
      <c r="E190" s="116">
        <v>485</v>
      </c>
      <c r="F190" s="116">
        <v>491.4</v>
      </c>
      <c r="G190">
        <v>4100</v>
      </c>
      <c r="H190" s="116"/>
      <c r="I190" s="116"/>
      <c r="L190" s="170">
        <v>43154</v>
      </c>
      <c r="M190" s="116">
        <v>487.9</v>
      </c>
      <c r="N190" s="116">
        <v>489</v>
      </c>
      <c r="O190" s="116">
        <v>477.55</v>
      </c>
      <c r="P190" s="116">
        <v>477.55</v>
      </c>
      <c r="Q190" s="116">
        <v>487.9</v>
      </c>
      <c r="R190">
        <v>26442</v>
      </c>
    </row>
    <row r="191" spans="1:18" x14ac:dyDescent="0.25">
      <c r="A191" s="170">
        <v>43157</v>
      </c>
      <c r="B191" s="116">
        <v>501</v>
      </c>
      <c r="C191" s="116">
        <v>489.9</v>
      </c>
      <c r="D191" s="116">
        <v>488</v>
      </c>
      <c r="E191" s="116">
        <v>492</v>
      </c>
      <c r="F191" s="116">
        <v>489.9</v>
      </c>
      <c r="G191">
        <v>3851</v>
      </c>
      <c r="H191" s="116"/>
      <c r="I191" s="116"/>
      <c r="L191" s="170">
        <v>43157</v>
      </c>
      <c r="M191" s="116">
        <v>489.9</v>
      </c>
      <c r="N191" s="116">
        <v>499.9</v>
      </c>
      <c r="O191" s="116">
        <v>486</v>
      </c>
      <c r="P191" s="116">
        <v>493.8</v>
      </c>
      <c r="Q191" s="116">
        <v>489.9</v>
      </c>
      <c r="R191">
        <v>44981</v>
      </c>
    </row>
    <row r="192" spans="1:18" x14ac:dyDescent="0.25">
      <c r="A192" s="170">
        <v>43158</v>
      </c>
      <c r="B192" s="116">
        <v>494</v>
      </c>
      <c r="C192" s="116">
        <v>490.2</v>
      </c>
      <c r="D192" s="116">
        <v>485.5</v>
      </c>
      <c r="E192" s="116">
        <v>490.15</v>
      </c>
      <c r="F192" s="116">
        <v>490.2</v>
      </c>
      <c r="G192">
        <v>14711</v>
      </c>
      <c r="H192" s="116"/>
      <c r="I192" s="116"/>
      <c r="L192" s="170">
        <v>43158</v>
      </c>
      <c r="M192" s="116">
        <v>491.4</v>
      </c>
      <c r="N192" s="116">
        <v>496.55</v>
      </c>
      <c r="O192" s="116">
        <v>488.25</v>
      </c>
      <c r="P192" s="116">
        <v>496.55</v>
      </c>
      <c r="Q192" s="116">
        <v>491.4</v>
      </c>
      <c r="R192">
        <v>44027</v>
      </c>
    </row>
    <row r="193" spans="1:18" x14ac:dyDescent="0.25">
      <c r="A193" s="170">
        <v>43159</v>
      </c>
      <c r="B193" s="116">
        <v>498</v>
      </c>
      <c r="C193" s="116">
        <v>497.4</v>
      </c>
      <c r="D193" s="116">
        <v>485.65</v>
      </c>
      <c r="E193" s="116">
        <v>485.7</v>
      </c>
      <c r="F193" s="116">
        <v>497.4</v>
      </c>
      <c r="G193">
        <v>4919</v>
      </c>
      <c r="H193" s="116"/>
      <c r="I193" s="116"/>
      <c r="L193" s="170">
        <v>43159</v>
      </c>
      <c r="M193" s="116">
        <v>497.55</v>
      </c>
      <c r="N193" s="116">
        <v>500</v>
      </c>
      <c r="O193" s="116">
        <v>480.8</v>
      </c>
      <c r="P193" s="116">
        <v>480.8</v>
      </c>
      <c r="Q193" s="116">
        <v>497.55</v>
      </c>
      <c r="R193">
        <v>68697</v>
      </c>
    </row>
    <row r="194" spans="1:18" x14ac:dyDescent="0.25">
      <c r="A194" s="170">
        <v>43160</v>
      </c>
      <c r="B194" s="116">
        <v>507</v>
      </c>
      <c r="C194" s="116">
        <v>501</v>
      </c>
      <c r="D194" s="116">
        <v>495</v>
      </c>
      <c r="E194" s="116">
        <v>498</v>
      </c>
      <c r="F194" s="116">
        <v>501</v>
      </c>
      <c r="G194">
        <v>47562</v>
      </c>
      <c r="H194" s="116"/>
      <c r="I194" s="116"/>
      <c r="L194" s="170">
        <v>43160</v>
      </c>
      <c r="M194" s="116">
        <v>500.8</v>
      </c>
      <c r="N194" s="116">
        <v>504.95</v>
      </c>
      <c r="O194" s="116">
        <v>487.65</v>
      </c>
      <c r="P194" s="116">
        <v>487.65</v>
      </c>
      <c r="Q194" s="116">
        <v>500.8</v>
      </c>
      <c r="R194">
        <v>262822</v>
      </c>
    </row>
    <row r="195" spans="1:18" x14ac:dyDescent="0.25">
      <c r="A195" s="170">
        <v>43164</v>
      </c>
      <c r="B195" s="116">
        <v>503.5</v>
      </c>
      <c r="C195" s="116">
        <v>501.6</v>
      </c>
      <c r="D195" s="116">
        <v>492.75</v>
      </c>
      <c r="E195" s="116">
        <v>500</v>
      </c>
      <c r="F195" s="116">
        <v>501.6</v>
      </c>
      <c r="G195">
        <v>8634</v>
      </c>
      <c r="H195" s="116"/>
      <c r="I195" s="116"/>
      <c r="L195" s="170">
        <v>43164</v>
      </c>
      <c r="M195" s="116">
        <v>502.1</v>
      </c>
      <c r="N195" s="116">
        <v>504</v>
      </c>
      <c r="O195" s="116">
        <v>490</v>
      </c>
      <c r="P195" s="116">
        <v>491.2</v>
      </c>
      <c r="Q195" s="116">
        <v>502.1</v>
      </c>
      <c r="R195">
        <v>31669</v>
      </c>
    </row>
    <row r="196" spans="1:18" x14ac:dyDescent="0.25">
      <c r="A196" s="170">
        <v>43165</v>
      </c>
      <c r="B196" s="116">
        <v>505.6</v>
      </c>
      <c r="C196" s="116">
        <v>496.15</v>
      </c>
      <c r="D196" s="116">
        <v>491.05</v>
      </c>
      <c r="E196" s="116">
        <v>497.2</v>
      </c>
      <c r="F196" s="116">
        <v>496.15</v>
      </c>
      <c r="G196">
        <v>2213</v>
      </c>
      <c r="H196" s="116"/>
      <c r="I196" s="116"/>
      <c r="L196" s="170">
        <v>43165</v>
      </c>
      <c r="M196" s="116">
        <v>495.9</v>
      </c>
      <c r="N196" s="116">
        <v>508.3</v>
      </c>
      <c r="O196" s="116">
        <v>491</v>
      </c>
      <c r="P196" s="116">
        <v>508.3</v>
      </c>
      <c r="Q196" s="116">
        <v>495.9</v>
      </c>
      <c r="R196">
        <v>18866</v>
      </c>
    </row>
    <row r="197" spans="1:18" x14ac:dyDescent="0.25">
      <c r="A197" s="170">
        <v>43166</v>
      </c>
      <c r="B197" s="116">
        <v>492</v>
      </c>
      <c r="C197" s="116">
        <v>473.65</v>
      </c>
      <c r="D197" s="116">
        <v>469</v>
      </c>
      <c r="E197" s="116">
        <v>492</v>
      </c>
      <c r="F197" s="116">
        <v>473.65</v>
      </c>
      <c r="G197">
        <v>6310</v>
      </c>
      <c r="H197" s="116"/>
      <c r="I197" s="116"/>
      <c r="L197" s="170">
        <v>43166</v>
      </c>
      <c r="M197" s="116">
        <v>473.55</v>
      </c>
      <c r="N197" s="116">
        <v>497</v>
      </c>
      <c r="O197" s="116">
        <v>470</v>
      </c>
      <c r="P197" s="116">
        <v>497</v>
      </c>
      <c r="Q197" s="116">
        <v>473.55</v>
      </c>
      <c r="R197">
        <v>44290</v>
      </c>
    </row>
    <row r="198" spans="1:18" x14ac:dyDescent="0.25">
      <c r="A198" s="170">
        <v>43167</v>
      </c>
      <c r="B198" s="116">
        <v>479.9</v>
      </c>
      <c r="C198" s="116">
        <v>468.8</v>
      </c>
      <c r="D198" s="116">
        <v>453</v>
      </c>
      <c r="E198" s="116">
        <v>478.9</v>
      </c>
      <c r="F198" s="116">
        <v>468.8</v>
      </c>
      <c r="G198">
        <v>36815</v>
      </c>
      <c r="H198" s="116"/>
      <c r="I198" s="116"/>
      <c r="L198" s="170">
        <v>43167</v>
      </c>
      <c r="M198" s="116">
        <v>468.65</v>
      </c>
      <c r="N198" s="116">
        <v>482.9</v>
      </c>
      <c r="O198" s="116">
        <v>452.7</v>
      </c>
      <c r="P198" s="116">
        <v>475</v>
      </c>
      <c r="Q198" s="116">
        <v>468.65</v>
      </c>
      <c r="R198">
        <v>24874</v>
      </c>
    </row>
    <row r="199" spans="1:18" x14ac:dyDescent="0.25">
      <c r="A199" s="170">
        <v>43168</v>
      </c>
      <c r="B199" s="116">
        <v>470</v>
      </c>
      <c r="C199" s="116">
        <v>465.05</v>
      </c>
      <c r="D199" s="116">
        <v>462.35</v>
      </c>
      <c r="E199" s="116">
        <v>470</v>
      </c>
      <c r="F199" s="116">
        <v>465.05</v>
      </c>
      <c r="G199">
        <v>4211</v>
      </c>
      <c r="H199" s="116"/>
      <c r="I199" s="116"/>
      <c r="L199" s="170">
        <v>43168</v>
      </c>
      <c r="M199" s="116">
        <v>466.75</v>
      </c>
      <c r="N199" s="116">
        <v>472</v>
      </c>
      <c r="O199" s="116">
        <v>464.15</v>
      </c>
      <c r="P199" s="116">
        <v>471.5</v>
      </c>
      <c r="Q199" s="116">
        <v>466.75</v>
      </c>
      <c r="R199">
        <v>37070</v>
      </c>
    </row>
    <row r="200" spans="1:18" x14ac:dyDescent="0.25">
      <c r="A200" s="170">
        <v>43171</v>
      </c>
      <c r="B200" s="116">
        <v>472</v>
      </c>
      <c r="C200" s="116">
        <v>463.85</v>
      </c>
      <c r="D200" s="116">
        <v>459</v>
      </c>
      <c r="E200" s="116">
        <v>466</v>
      </c>
      <c r="F200" s="116">
        <v>463.85</v>
      </c>
      <c r="G200">
        <v>1597</v>
      </c>
      <c r="H200" s="116"/>
      <c r="I200" s="116"/>
      <c r="L200" s="170">
        <v>43171</v>
      </c>
      <c r="M200" s="116">
        <v>464.9</v>
      </c>
      <c r="N200" s="116">
        <v>474.4</v>
      </c>
      <c r="O200" s="116">
        <v>460</v>
      </c>
      <c r="P200" s="116">
        <v>463.05</v>
      </c>
      <c r="Q200" s="116">
        <v>464.9</v>
      </c>
      <c r="R200">
        <v>19626</v>
      </c>
    </row>
    <row r="201" spans="1:18" x14ac:dyDescent="0.25">
      <c r="A201" s="170">
        <v>43172</v>
      </c>
      <c r="B201" s="116">
        <v>472.15</v>
      </c>
      <c r="C201" s="116">
        <v>464.15</v>
      </c>
      <c r="D201" s="116">
        <v>464</v>
      </c>
      <c r="E201" s="116">
        <v>465</v>
      </c>
      <c r="F201" s="116">
        <v>464.15</v>
      </c>
      <c r="G201">
        <v>1693</v>
      </c>
      <c r="H201" s="116"/>
      <c r="I201" s="116"/>
      <c r="L201" s="170">
        <v>43172</v>
      </c>
      <c r="M201" s="116">
        <v>466.7</v>
      </c>
      <c r="N201" s="116">
        <v>470</v>
      </c>
      <c r="O201" s="116">
        <v>460</v>
      </c>
      <c r="P201" s="116">
        <v>469.8</v>
      </c>
      <c r="Q201" s="116">
        <v>466.7</v>
      </c>
      <c r="R201">
        <v>18938</v>
      </c>
    </row>
    <row r="202" spans="1:18" x14ac:dyDescent="0.25">
      <c r="A202" s="170">
        <v>43173</v>
      </c>
      <c r="B202" s="116">
        <v>476</v>
      </c>
      <c r="C202" s="116">
        <v>467.15</v>
      </c>
      <c r="D202" s="116">
        <v>455.25</v>
      </c>
      <c r="E202" s="116">
        <v>462.1</v>
      </c>
      <c r="F202" s="116">
        <v>467.15</v>
      </c>
      <c r="G202">
        <v>10720</v>
      </c>
      <c r="H202" s="116"/>
      <c r="I202" s="116"/>
      <c r="L202" s="170">
        <v>43173</v>
      </c>
      <c r="M202" s="116">
        <v>469.85</v>
      </c>
      <c r="N202" s="116">
        <v>480</v>
      </c>
      <c r="O202" s="116">
        <v>460.55</v>
      </c>
      <c r="P202" s="116">
        <v>461.1</v>
      </c>
      <c r="Q202" s="116">
        <v>469.85</v>
      </c>
      <c r="R202">
        <v>28651</v>
      </c>
    </row>
    <row r="203" spans="1:18" x14ac:dyDescent="0.25">
      <c r="A203" s="170">
        <v>43174</v>
      </c>
      <c r="B203" s="116">
        <v>472.85</v>
      </c>
      <c r="C203" s="116">
        <v>467.8</v>
      </c>
      <c r="D203" s="116">
        <v>466</v>
      </c>
      <c r="E203" s="116">
        <v>467</v>
      </c>
      <c r="F203" s="116">
        <v>467.8</v>
      </c>
      <c r="G203">
        <v>10845</v>
      </c>
      <c r="H203" s="116"/>
      <c r="I203" s="116"/>
      <c r="L203" s="170">
        <v>43174</v>
      </c>
      <c r="M203" s="116">
        <v>468</v>
      </c>
      <c r="N203" s="116">
        <v>477.15</v>
      </c>
      <c r="O203" s="116">
        <v>465.05</v>
      </c>
      <c r="P203" s="116">
        <v>477</v>
      </c>
      <c r="Q203" s="116">
        <v>468</v>
      </c>
      <c r="R203">
        <v>17322</v>
      </c>
    </row>
    <row r="204" spans="1:18" x14ac:dyDescent="0.25">
      <c r="A204" s="170">
        <v>43175</v>
      </c>
      <c r="B204" s="116">
        <v>494.75</v>
      </c>
      <c r="C204" s="116">
        <v>483.9</v>
      </c>
      <c r="D204" s="116">
        <v>470.35</v>
      </c>
      <c r="E204" s="116">
        <v>471.05</v>
      </c>
      <c r="F204" s="116">
        <v>483.9</v>
      </c>
      <c r="G204">
        <v>3665</v>
      </c>
      <c r="H204" s="116"/>
      <c r="I204" s="116"/>
      <c r="L204" s="170">
        <v>43175</v>
      </c>
      <c r="M204" s="116">
        <v>485.1</v>
      </c>
      <c r="N204" s="116">
        <v>494.95</v>
      </c>
      <c r="O204" s="116">
        <v>466.95</v>
      </c>
      <c r="P204" s="116">
        <v>475</v>
      </c>
      <c r="Q204" s="116">
        <v>485.1</v>
      </c>
      <c r="R204">
        <v>35793</v>
      </c>
    </row>
    <row r="205" spans="1:18" x14ac:dyDescent="0.25">
      <c r="A205" s="170">
        <v>43178</v>
      </c>
      <c r="B205" s="116">
        <v>481.05</v>
      </c>
      <c r="C205" s="116">
        <v>468.8</v>
      </c>
      <c r="D205" s="116">
        <v>463.55</v>
      </c>
      <c r="E205" s="116">
        <v>481.05</v>
      </c>
      <c r="F205" s="116">
        <v>468.8</v>
      </c>
      <c r="G205">
        <v>2837</v>
      </c>
      <c r="H205" s="116"/>
      <c r="I205" s="116"/>
      <c r="L205" s="170">
        <v>43178</v>
      </c>
      <c r="M205" s="116">
        <v>472.8</v>
      </c>
      <c r="N205" s="116">
        <v>489.85</v>
      </c>
      <c r="O205" s="116">
        <v>468</v>
      </c>
      <c r="P205" s="116">
        <v>489.85</v>
      </c>
      <c r="Q205" s="116">
        <v>472.8</v>
      </c>
      <c r="R205">
        <v>26407</v>
      </c>
    </row>
    <row r="206" spans="1:18" x14ac:dyDescent="0.25">
      <c r="A206" s="170">
        <v>43179</v>
      </c>
      <c r="B206" s="116">
        <v>490</v>
      </c>
      <c r="C206" s="116">
        <v>473.7</v>
      </c>
      <c r="D206" s="116">
        <v>470</v>
      </c>
      <c r="E206" s="116">
        <v>472.3</v>
      </c>
      <c r="F206" s="116">
        <v>473.7</v>
      </c>
      <c r="G206">
        <v>1567</v>
      </c>
      <c r="H206" s="116"/>
      <c r="I206" s="116"/>
      <c r="L206" s="170">
        <v>43179</v>
      </c>
      <c r="M206" s="116">
        <v>475.4</v>
      </c>
      <c r="N206" s="116">
        <v>480.1</v>
      </c>
      <c r="O206" s="116">
        <v>465.75</v>
      </c>
      <c r="P206" s="116">
        <v>480.1</v>
      </c>
      <c r="Q206" s="116">
        <v>475.4</v>
      </c>
      <c r="R206">
        <v>18680</v>
      </c>
    </row>
    <row r="207" spans="1:18" x14ac:dyDescent="0.25">
      <c r="A207" s="170">
        <v>43180</v>
      </c>
      <c r="B207" s="116">
        <v>480.9</v>
      </c>
      <c r="C207" s="116">
        <v>463.45</v>
      </c>
      <c r="D207" s="116">
        <v>460</v>
      </c>
      <c r="E207" s="116">
        <v>480</v>
      </c>
      <c r="F207" s="116">
        <v>463.45</v>
      </c>
      <c r="G207">
        <v>5183</v>
      </c>
      <c r="H207" s="116"/>
      <c r="I207" s="116"/>
      <c r="L207" s="170">
        <v>43180</v>
      </c>
      <c r="M207" s="116">
        <v>468.25</v>
      </c>
      <c r="N207" s="116">
        <v>481.7</v>
      </c>
      <c r="O207" s="116">
        <v>462.6</v>
      </c>
      <c r="P207" s="116">
        <v>473.15</v>
      </c>
      <c r="Q207" s="116">
        <v>468.25</v>
      </c>
      <c r="R207">
        <v>57397</v>
      </c>
    </row>
    <row r="208" spans="1:18" x14ac:dyDescent="0.25">
      <c r="A208" s="170">
        <v>43181</v>
      </c>
      <c r="B208" s="116">
        <v>472</v>
      </c>
      <c r="C208" s="116">
        <v>461.05</v>
      </c>
      <c r="D208" s="116">
        <v>455</v>
      </c>
      <c r="E208" s="116">
        <v>461.4</v>
      </c>
      <c r="F208" s="116">
        <v>461.05</v>
      </c>
      <c r="G208">
        <v>2595</v>
      </c>
      <c r="H208" s="116"/>
      <c r="I208" s="116"/>
      <c r="L208" s="170">
        <v>43181</v>
      </c>
      <c r="M208" s="116">
        <v>460.5</v>
      </c>
      <c r="N208" s="116">
        <v>477</v>
      </c>
      <c r="O208" s="116">
        <v>458.05</v>
      </c>
      <c r="P208" s="116">
        <v>477</v>
      </c>
      <c r="Q208" s="116">
        <v>460.5</v>
      </c>
      <c r="R208">
        <v>18718</v>
      </c>
    </row>
    <row r="209" spans="1:18" x14ac:dyDescent="0.25">
      <c r="A209" s="170">
        <v>43182</v>
      </c>
      <c r="B209" s="116">
        <v>457</v>
      </c>
      <c r="C209" s="116">
        <v>449.2</v>
      </c>
      <c r="D209" s="116">
        <v>445</v>
      </c>
      <c r="E209" s="116">
        <v>454.95</v>
      </c>
      <c r="F209" s="116">
        <v>449.2</v>
      </c>
      <c r="G209">
        <v>3427</v>
      </c>
      <c r="H209" s="116"/>
      <c r="I209" s="116"/>
      <c r="L209" s="170">
        <v>43182</v>
      </c>
      <c r="M209" s="116">
        <v>451.2</v>
      </c>
      <c r="N209" s="116">
        <v>459.95</v>
      </c>
      <c r="O209" s="116">
        <v>440.55</v>
      </c>
      <c r="P209" s="116">
        <v>454.05</v>
      </c>
      <c r="Q209" s="116">
        <v>451.2</v>
      </c>
      <c r="R209">
        <v>43240</v>
      </c>
    </row>
    <row r="210" spans="1:18" x14ac:dyDescent="0.25">
      <c r="A210" s="170">
        <v>43185</v>
      </c>
      <c r="B210" s="116">
        <v>454.85</v>
      </c>
      <c r="C210" s="116">
        <v>451.55</v>
      </c>
      <c r="D210" s="116">
        <v>435</v>
      </c>
      <c r="E210" s="116">
        <v>445</v>
      </c>
      <c r="F210" s="116">
        <v>451.55</v>
      </c>
      <c r="G210">
        <v>22260</v>
      </c>
      <c r="H210" s="116"/>
      <c r="I210" s="116"/>
      <c r="L210" s="170">
        <v>43185</v>
      </c>
      <c r="M210" s="116">
        <v>450.15</v>
      </c>
      <c r="N210" s="116">
        <v>454.35</v>
      </c>
      <c r="O210" s="116">
        <v>437.3</v>
      </c>
      <c r="P210" s="116">
        <v>447.1</v>
      </c>
      <c r="Q210" s="116">
        <v>450.15</v>
      </c>
      <c r="R210">
        <v>34740</v>
      </c>
    </row>
    <row r="211" spans="1:18" x14ac:dyDescent="0.25">
      <c r="A211" s="170">
        <v>43186</v>
      </c>
      <c r="B211" s="116">
        <v>462.5</v>
      </c>
      <c r="C211" s="116">
        <v>449</v>
      </c>
      <c r="D211" s="116">
        <v>441</v>
      </c>
      <c r="E211" s="116">
        <v>456.8</v>
      </c>
      <c r="F211" s="116">
        <v>449</v>
      </c>
      <c r="G211">
        <v>3727</v>
      </c>
      <c r="H211" s="116"/>
      <c r="I211" s="116"/>
      <c r="L211" s="170">
        <v>43186</v>
      </c>
      <c r="M211" s="116">
        <v>444.3</v>
      </c>
      <c r="N211" s="116">
        <v>459.95</v>
      </c>
      <c r="O211" s="116">
        <v>441.05</v>
      </c>
      <c r="P211" s="116">
        <v>451.5</v>
      </c>
      <c r="Q211" s="116">
        <v>444.3</v>
      </c>
      <c r="R211">
        <v>22274</v>
      </c>
    </row>
    <row r="212" spans="1:18" x14ac:dyDescent="0.25">
      <c r="A212" s="170">
        <v>43187</v>
      </c>
      <c r="B212" s="116">
        <v>455.65</v>
      </c>
      <c r="C212" s="116">
        <v>449.5</v>
      </c>
      <c r="D212" s="116">
        <v>437</v>
      </c>
      <c r="E212" s="116">
        <v>437</v>
      </c>
      <c r="F212" s="116">
        <v>449.5</v>
      </c>
      <c r="G212">
        <v>5855</v>
      </c>
      <c r="H212" s="116"/>
      <c r="I212" s="116"/>
      <c r="L212" s="170">
        <v>43187</v>
      </c>
      <c r="M212" s="116">
        <v>450</v>
      </c>
      <c r="N212" s="116">
        <v>458</v>
      </c>
      <c r="O212" s="116">
        <v>433.55</v>
      </c>
      <c r="P212" s="116">
        <v>441.3</v>
      </c>
      <c r="Q212" s="116">
        <v>450</v>
      </c>
      <c r="R212">
        <v>37562</v>
      </c>
    </row>
    <row r="213" spans="1:18" x14ac:dyDescent="0.25">
      <c r="A213" s="170">
        <v>43192</v>
      </c>
      <c r="B213" s="116">
        <v>508.6</v>
      </c>
      <c r="C213" s="116">
        <v>487.65</v>
      </c>
      <c r="D213" s="116">
        <v>450</v>
      </c>
      <c r="E213" s="116">
        <v>450</v>
      </c>
      <c r="F213" s="116">
        <v>487.65</v>
      </c>
      <c r="G213">
        <v>15145</v>
      </c>
      <c r="H213" s="116"/>
      <c r="I213" s="116"/>
      <c r="L213" s="170">
        <v>43192</v>
      </c>
      <c r="M213" s="116">
        <v>484.55</v>
      </c>
      <c r="N213" s="116">
        <v>507.9</v>
      </c>
      <c r="O213" s="116">
        <v>442.35</v>
      </c>
      <c r="P213" s="116">
        <v>455</v>
      </c>
      <c r="Q213" s="116">
        <v>484.55</v>
      </c>
      <c r="R213">
        <v>142183</v>
      </c>
    </row>
    <row r="214" spans="1:18" x14ac:dyDescent="0.25">
      <c r="A214" s="170">
        <v>43193</v>
      </c>
      <c r="B214" s="116">
        <v>506</v>
      </c>
      <c r="C214" s="116">
        <v>502.25</v>
      </c>
      <c r="D214" s="116">
        <v>481</v>
      </c>
      <c r="E214" s="116">
        <v>481</v>
      </c>
      <c r="F214" s="116">
        <v>502.25</v>
      </c>
      <c r="G214">
        <v>5227</v>
      </c>
      <c r="H214" s="116"/>
      <c r="I214" s="116"/>
      <c r="L214" s="170">
        <v>43193</v>
      </c>
      <c r="M214" s="116">
        <v>502.05</v>
      </c>
      <c r="N214" s="116">
        <v>507</v>
      </c>
      <c r="O214" s="116">
        <v>474.95</v>
      </c>
      <c r="P214" s="116">
        <v>483.95</v>
      </c>
      <c r="Q214" s="116">
        <v>502.05</v>
      </c>
      <c r="R214">
        <v>24403</v>
      </c>
    </row>
    <row r="215" spans="1:18" x14ac:dyDescent="0.25">
      <c r="A215" s="170">
        <v>43194</v>
      </c>
      <c r="B215" s="116">
        <v>511</v>
      </c>
      <c r="C215" s="116">
        <v>494.9</v>
      </c>
      <c r="D215" s="116">
        <v>486.25</v>
      </c>
      <c r="E215" s="116">
        <v>508</v>
      </c>
      <c r="F215" s="116">
        <v>494.9</v>
      </c>
      <c r="G215">
        <v>5326</v>
      </c>
      <c r="H215" s="116"/>
      <c r="I215" s="116"/>
      <c r="L215" s="170">
        <v>43194</v>
      </c>
      <c r="M215" s="116">
        <v>500.25</v>
      </c>
      <c r="N215" s="116">
        <v>512</v>
      </c>
      <c r="O215" s="116">
        <v>495</v>
      </c>
      <c r="P215" s="116">
        <v>508.8</v>
      </c>
      <c r="Q215" s="116">
        <v>500.25</v>
      </c>
      <c r="R215">
        <v>30980</v>
      </c>
    </row>
    <row r="216" spans="1:18" x14ac:dyDescent="0.25">
      <c r="A216" s="170">
        <v>43195</v>
      </c>
      <c r="B216" s="116">
        <v>512</v>
      </c>
      <c r="C216" s="116">
        <v>506.25</v>
      </c>
      <c r="D216" s="116">
        <v>502</v>
      </c>
      <c r="E216" s="116">
        <v>508.1</v>
      </c>
      <c r="F216" s="116">
        <v>506.25</v>
      </c>
      <c r="G216">
        <v>5121</v>
      </c>
      <c r="H216" s="116"/>
      <c r="I216" s="116"/>
      <c r="L216" s="170">
        <v>43195</v>
      </c>
      <c r="M216" s="116">
        <v>509.1</v>
      </c>
      <c r="N216" s="116">
        <v>513</v>
      </c>
      <c r="O216" s="116">
        <v>501.15</v>
      </c>
      <c r="P216" s="116">
        <v>508</v>
      </c>
      <c r="Q216" s="116">
        <v>509.1</v>
      </c>
      <c r="R216">
        <v>236127</v>
      </c>
    </row>
    <row r="217" spans="1:18" x14ac:dyDescent="0.25">
      <c r="A217" s="170">
        <v>43196</v>
      </c>
      <c r="B217" s="116">
        <v>520</v>
      </c>
      <c r="C217" s="116">
        <v>516.45000000000005</v>
      </c>
      <c r="D217" s="116">
        <v>508.6</v>
      </c>
      <c r="E217" s="116">
        <v>517</v>
      </c>
      <c r="F217" s="116">
        <v>516.45000000000005</v>
      </c>
      <c r="G217">
        <v>15741</v>
      </c>
      <c r="H217" s="116"/>
      <c r="I217" s="116"/>
      <c r="L217" s="170">
        <v>43196</v>
      </c>
      <c r="M217" s="116">
        <v>519.20000000000005</v>
      </c>
      <c r="N217" s="116">
        <v>521.6</v>
      </c>
      <c r="O217" s="116">
        <v>509.55</v>
      </c>
      <c r="P217" s="116">
        <v>514.95000000000005</v>
      </c>
      <c r="Q217" s="116">
        <v>519.20000000000005</v>
      </c>
      <c r="R217">
        <v>61578</v>
      </c>
    </row>
    <row r="218" spans="1:18" x14ac:dyDescent="0.25">
      <c r="A218" s="170">
        <v>43199</v>
      </c>
      <c r="B218" s="116">
        <v>530</v>
      </c>
      <c r="C218" s="116">
        <v>528.45000000000005</v>
      </c>
      <c r="D218" s="116">
        <v>515.5</v>
      </c>
      <c r="E218" s="116">
        <v>515.79999999999995</v>
      </c>
      <c r="F218" s="116">
        <v>528.45000000000005</v>
      </c>
      <c r="G218">
        <v>2362</v>
      </c>
      <c r="H218" s="116"/>
      <c r="I218" s="116"/>
      <c r="L218" s="170">
        <v>43199</v>
      </c>
      <c r="M218" s="116">
        <v>527.65</v>
      </c>
      <c r="N218" s="116">
        <v>529.79999999999995</v>
      </c>
      <c r="O218" s="116">
        <v>514.20000000000005</v>
      </c>
      <c r="P218" s="116">
        <v>519.95000000000005</v>
      </c>
      <c r="Q218" s="116">
        <v>527.65</v>
      </c>
      <c r="R218">
        <v>29727</v>
      </c>
    </row>
    <row r="219" spans="1:18" x14ac:dyDescent="0.25">
      <c r="A219" s="170">
        <v>43200</v>
      </c>
      <c r="B219" s="116">
        <v>527</v>
      </c>
      <c r="C219" s="116">
        <v>522.70000000000005</v>
      </c>
      <c r="D219" s="116">
        <v>521.04999999999995</v>
      </c>
      <c r="E219" s="116">
        <v>527</v>
      </c>
      <c r="F219" s="116">
        <v>522.70000000000005</v>
      </c>
      <c r="G219">
        <v>2041</v>
      </c>
      <c r="H219" s="116"/>
      <c r="I219" s="116"/>
      <c r="L219" s="170">
        <v>43200</v>
      </c>
      <c r="M219" s="116">
        <v>521</v>
      </c>
      <c r="N219" s="116">
        <v>529.95000000000005</v>
      </c>
      <c r="O219" s="116">
        <v>518.95000000000005</v>
      </c>
      <c r="P219" s="116">
        <v>524.04999999999995</v>
      </c>
      <c r="Q219" s="116">
        <v>521</v>
      </c>
      <c r="R219">
        <v>15890</v>
      </c>
    </row>
    <row r="220" spans="1:18" x14ac:dyDescent="0.25">
      <c r="A220" s="170">
        <v>43201</v>
      </c>
      <c r="B220" s="116">
        <v>532</v>
      </c>
      <c r="C220" s="116">
        <v>530.29999999999995</v>
      </c>
      <c r="D220" s="116">
        <v>517.70000000000005</v>
      </c>
      <c r="E220" s="116">
        <v>526</v>
      </c>
      <c r="F220" s="116">
        <v>530.29999999999995</v>
      </c>
      <c r="G220">
        <v>1662</v>
      </c>
      <c r="H220" s="116"/>
      <c r="I220" s="116"/>
      <c r="L220" s="170">
        <v>43201</v>
      </c>
      <c r="M220" s="116">
        <v>530.65</v>
      </c>
      <c r="N220" s="116">
        <v>534</v>
      </c>
      <c r="O220" s="116">
        <v>516</v>
      </c>
      <c r="P220" s="116">
        <v>524.35</v>
      </c>
      <c r="Q220" s="116">
        <v>530.65</v>
      </c>
      <c r="R220">
        <v>35836</v>
      </c>
    </row>
    <row r="221" spans="1:18" x14ac:dyDescent="0.25">
      <c r="A221" s="170">
        <v>43202</v>
      </c>
      <c r="B221" s="116">
        <v>530</v>
      </c>
      <c r="C221" s="116">
        <v>523.29999999999995</v>
      </c>
      <c r="D221" s="116">
        <v>520</v>
      </c>
      <c r="E221" s="116">
        <v>530</v>
      </c>
      <c r="F221" s="116">
        <v>523.29999999999995</v>
      </c>
      <c r="G221">
        <v>1471</v>
      </c>
      <c r="H221" s="116"/>
      <c r="I221" s="116"/>
      <c r="L221" s="170">
        <v>43202</v>
      </c>
      <c r="M221" s="116">
        <v>523.95000000000005</v>
      </c>
      <c r="N221" s="116">
        <v>530.95000000000005</v>
      </c>
      <c r="O221" s="116">
        <v>520.20000000000005</v>
      </c>
      <c r="P221" s="116">
        <v>529.95000000000005</v>
      </c>
      <c r="Q221" s="116">
        <v>523.95000000000005</v>
      </c>
      <c r="R221">
        <v>10479</v>
      </c>
    </row>
    <row r="222" spans="1:18" x14ac:dyDescent="0.25">
      <c r="A222" s="170">
        <v>43203</v>
      </c>
      <c r="B222" s="116">
        <v>540</v>
      </c>
      <c r="C222" s="116">
        <v>536.6</v>
      </c>
      <c r="D222" s="116">
        <v>518</v>
      </c>
      <c r="E222" s="116">
        <v>528</v>
      </c>
      <c r="F222" s="116">
        <v>536.6</v>
      </c>
      <c r="G222">
        <v>5677</v>
      </c>
      <c r="H222" s="116"/>
      <c r="I222" s="116"/>
      <c r="L222" s="170">
        <v>43203</v>
      </c>
      <c r="M222" s="116">
        <v>535.70000000000005</v>
      </c>
      <c r="N222" s="116">
        <v>542.5</v>
      </c>
      <c r="O222" s="116">
        <v>517</v>
      </c>
      <c r="P222" s="116">
        <v>517</v>
      </c>
      <c r="Q222" s="116">
        <v>535.70000000000005</v>
      </c>
      <c r="R222">
        <v>38832</v>
      </c>
    </row>
    <row r="223" spans="1:18" x14ac:dyDescent="0.25">
      <c r="A223" s="170">
        <v>43206</v>
      </c>
      <c r="B223" s="116">
        <v>577</v>
      </c>
      <c r="C223" s="116">
        <v>571.45000000000005</v>
      </c>
      <c r="D223" s="116">
        <v>535</v>
      </c>
      <c r="E223" s="116">
        <v>535</v>
      </c>
      <c r="F223" s="116">
        <v>571.45000000000005</v>
      </c>
      <c r="G223">
        <v>10501</v>
      </c>
      <c r="H223" s="116"/>
      <c r="I223" s="116"/>
      <c r="L223" s="170">
        <v>43206</v>
      </c>
      <c r="M223" s="116">
        <v>571.5</v>
      </c>
      <c r="N223" s="116">
        <v>577</v>
      </c>
      <c r="O223" s="116">
        <v>536</v>
      </c>
      <c r="P223" s="116">
        <v>539</v>
      </c>
      <c r="Q223" s="116">
        <v>571.5</v>
      </c>
      <c r="R223">
        <v>112317</v>
      </c>
    </row>
    <row r="224" spans="1:18" x14ac:dyDescent="0.25">
      <c r="A224" s="170">
        <v>43207</v>
      </c>
      <c r="B224" s="116">
        <v>588.5</v>
      </c>
      <c r="C224" s="116">
        <v>572.79999999999995</v>
      </c>
      <c r="D224" s="116">
        <v>565.04999999999995</v>
      </c>
      <c r="E224" s="116">
        <v>577.1</v>
      </c>
      <c r="F224" s="116">
        <v>572.79999999999995</v>
      </c>
      <c r="G224">
        <v>15929</v>
      </c>
      <c r="H224" s="116"/>
      <c r="I224" s="116"/>
      <c r="L224" s="170">
        <v>43207</v>
      </c>
      <c r="M224" s="116">
        <v>572.15</v>
      </c>
      <c r="N224" s="116">
        <v>588.95000000000005</v>
      </c>
      <c r="O224" s="116">
        <v>563.29999999999995</v>
      </c>
      <c r="P224" s="116">
        <v>580</v>
      </c>
      <c r="Q224" s="116">
        <v>572.15</v>
      </c>
      <c r="R224">
        <v>69807</v>
      </c>
    </row>
    <row r="225" spans="1:18" x14ac:dyDescent="0.25">
      <c r="A225" s="170">
        <v>43208</v>
      </c>
      <c r="B225" s="116">
        <v>577.20000000000005</v>
      </c>
      <c r="C225" s="116">
        <v>562.85</v>
      </c>
      <c r="D225" s="116">
        <v>555</v>
      </c>
      <c r="E225" s="116">
        <v>577.20000000000005</v>
      </c>
      <c r="F225" s="116">
        <v>562.85</v>
      </c>
      <c r="G225">
        <v>6619</v>
      </c>
      <c r="H225" s="116"/>
      <c r="I225" s="116"/>
      <c r="L225" s="170">
        <v>43208</v>
      </c>
      <c r="M225" s="116">
        <v>561.25</v>
      </c>
      <c r="N225" s="116">
        <v>578.9</v>
      </c>
      <c r="O225" s="116">
        <v>556.6</v>
      </c>
      <c r="P225" s="116">
        <v>575</v>
      </c>
      <c r="Q225" s="116">
        <v>561.25</v>
      </c>
      <c r="R225">
        <v>34348</v>
      </c>
    </row>
    <row r="226" spans="1:18" x14ac:dyDescent="0.25">
      <c r="A226" s="170">
        <v>43209</v>
      </c>
      <c r="B226" s="116">
        <v>570</v>
      </c>
      <c r="C226" s="116">
        <v>560.15</v>
      </c>
      <c r="D226" s="116">
        <v>555</v>
      </c>
      <c r="E226" s="116">
        <v>561</v>
      </c>
      <c r="F226" s="116">
        <v>560.15</v>
      </c>
      <c r="G226">
        <v>3440</v>
      </c>
      <c r="H226" s="116"/>
      <c r="I226" s="116"/>
      <c r="L226" s="170">
        <v>43209</v>
      </c>
      <c r="M226" s="116">
        <v>554.5</v>
      </c>
      <c r="N226" s="116">
        <v>570.04999999999995</v>
      </c>
      <c r="O226" s="116">
        <v>551.25</v>
      </c>
      <c r="P226" s="116">
        <v>557.35</v>
      </c>
      <c r="Q226" s="116">
        <v>554.5</v>
      </c>
      <c r="R226">
        <v>22851</v>
      </c>
    </row>
    <row r="227" spans="1:18" x14ac:dyDescent="0.25">
      <c r="A227" s="170">
        <v>43210</v>
      </c>
      <c r="B227" s="116">
        <v>570</v>
      </c>
      <c r="C227" s="116">
        <v>568.6</v>
      </c>
      <c r="D227" s="116">
        <v>554.54999999999995</v>
      </c>
      <c r="E227" s="116">
        <v>555.29999999999995</v>
      </c>
      <c r="F227" s="116">
        <v>568.6</v>
      </c>
      <c r="G227">
        <v>3347</v>
      </c>
      <c r="H227" s="116"/>
      <c r="I227" s="116"/>
      <c r="L227" s="170">
        <v>43210</v>
      </c>
      <c r="M227" s="116">
        <v>565.75</v>
      </c>
      <c r="N227" s="116">
        <v>570</v>
      </c>
      <c r="O227" s="116">
        <v>551.95000000000005</v>
      </c>
      <c r="P227" s="116">
        <v>552</v>
      </c>
      <c r="Q227" s="116">
        <v>565.75</v>
      </c>
      <c r="R227">
        <v>28065</v>
      </c>
    </row>
    <row r="228" spans="1:18" x14ac:dyDescent="0.25">
      <c r="A228" s="170">
        <v>43213</v>
      </c>
      <c r="B228" s="116">
        <v>588</v>
      </c>
      <c r="C228" s="116">
        <v>580.1</v>
      </c>
      <c r="D228" s="116">
        <v>568.20000000000005</v>
      </c>
      <c r="E228" s="116">
        <v>568.20000000000005</v>
      </c>
      <c r="F228" s="116">
        <v>580.1</v>
      </c>
      <c r="G228">
        <v>8725</v>
      </c>
      <c r="H228" s="116"/>
      <c r="I228" s="116"/>
      <c r="L228" s="170">
        <v>43213</v>
      </c>
      <c r="M228" s="116">
        <v>577.85</v>
      </c>
      <c r="N228" s="116">
        <v>584.29999999999995</v>
      </c>
      <c r="O228" s="116">
        <v>569.20000000000005</v>
      </c>
      <c r="P228" s="116">
        <v>575</v>
      </c>
      <c r="Q228" s="116">
        <v>577.85</v>
      </c>
      <c r="R228">
        <v>85640</v>
      </c>
    </row>
    <row r="229" spans="1:18" x14ac:dyDescent="0.25">
      <c r="A229" s="170">
        <v>43214</v>
      </c>
      <c r="B229" s="116">
        <v>596</v>
      </c>
      <c r="C229" s="116">
        <v>585.65</v>
      </c>
      <c r="D229" s="116">
        <v>582</v>
      </c>
      <c r="E229" s="116">
        <v>588.9</v>
      </c>
      <c r="F229" s="116">
        <v>585.65</v>
      </c>
      <c r="G229">
        <v>12720</v>
      </c>
      <c r="H229" s="116"/>
      <c r="I229" s="116"/>
      <c r="L229" s="170">
        <v>43214</v>
      </c>
      <c r="M229" s="116">
        <v>585</v>
      </c>
      <c r="N229" s="116">
        <v>595</v>
      </c>
      <c r="O229" s="116">
        <v>579.04999999999995</v>
      </c>
      <c r="P229" s="116">
        <v>585</v>
      </c>
      <c r="Q229" s="116">
        <v>585</v>
      </c>
      <c r="R229">
        <v>42006</v>
      </c>
    </row>
    <row r="230" spans="1:18" x14ac:dyDescent="0.25">
      <c r="A230" s="170">
        <v>43215</v>
      </c>
      <c r="B230" s="116">
        <v>589</v>
      </c>
      <c r="C230" s="116">
        <v>582.95000000000005</v>
      </c>
      <c r="D230" s="116">
        <v>575</v>
      </c>
      <c r="E230" s="116">
        <v>588.70000000000005</v>
      </c>
      <c r="F230" s="116">
        <v>582.95000000000005</v>
      </c>
      <c r="G230">
        <v>3948</v>
      </c>
      <c r="H230" s="116"/>
      <c r="I230" s="116"/>
      <c r="L230" s="170">
        <v>43215</v>
      </c>
      <c r="M230" s="116">
        <v>583.95000000000005</v>
      </c>
      <c r="N230" s="116">
        <v>590</v>
      </c>
      <c r="O230" s="116">
        <v>579.04999999999995</v>
      </c>
      <c r="P230" s="116">
        <v>585</v>
      </c>
      <c r="Q230" s="116">
        <v>583.95000000000005</v>
      </c>
      <c r="R230">
        <v>23017</v>
      </c>
    </row>
    <row r="231" spans="1:18" x14ac:dyDescent="0.25">
      <c r="A231" s="170">
        <v>43216</v>
      </c>
      <c r="B231" s="116">
        <v>589.5</v>
      </c>
      <c r="C231" s="116">
        <v>578.85</v>
      </c>
      <c r="D231" s="116">
        <v>575</v>
      </c>
      <c r="E231" s="116">
        <v>589</v>
      </c>
      <c r="F231" s="116">
        <v>578.85</v>
      </c>
      <c r="G231">
        <v>2370</v>
      </c>
      <c r="H231" s="116"/>
      <c r="I231" s="116"/>
      <c r="L231" s="170">
        <v>43216</v>
      </c>
      <c r="M231" s="116">
        <v>579.70000000000005</v>
      </c>
      <c r="N231" s="116">
        <v>592.95000000000005</v>
      </c>
      <c r="O231" s="116">
        <v>575</v>
      </c>
      <c r="P231" s="116">
        <v>580</v>
      </c>
      <c r="Q231" s="116">
        <v>579.70000000000005</v>
      </c>
      <c r="R231">
        <v>30110</v>
      </c>
    </row>
    <row r="232" spans="1:18" x14ac:dyDescent="0.25">
      <c r="A232" s="170">
        <v>43217</v>
      </c>
      <c r="B232" s="116">
        <v>580</v>
      </c>
      <c r="C232" s="116">
        <v>572.5</v>
      </c>
      <c r="D232" s="116">
        <v>570.4</v>
      </c>
      <c r="E232" s="116">
        <v>579</v>
      </c>
      <c r="F232" s="116">
        <v>572.5</v>
      </c>
      <c r="G232">
        <v>1682</v>
      </c>
      <c r="H232" s="116"/>
      <c r="I232" s="116"/>
      <c r="L232" s="170">
        <v>43217</v>
      </c>
      <c r="M232" s="116">
        <v>574.75</v>
      </c>
      <c r="N232" s="116">
        <v>583.85</v>
      </c>
      <c r="O232" s="116">
        <v>573.5</v>
      </c>
      <c r="P232" s="116">
        <v>575</v>
      </c>
      <c r="Q232" s="116">
        <v>574.75</v>
      </c>
      <c r="R232">
        <v>22946</v>
      </c>
    </row>
    <row r="233" spans="1:18" x14ac:dyDescent="0.25">
      <c r="A233" s="170">
        <v>43220</v>
      </c>
      <c r="B233" s="116">
        <v>579.45000000000005</v>
      </c>
      <c r="C233" s="116">
        <v>575.35</v>
      </c>
      <c r="D233" s="116">
        <v>568</v>
      </c>
      <c r="E233" s="116">
        <v>568</v>
      </c>
      <c r="F233" s="116">
        <v>575.35</v>
      </c>
      <c r="G233">
        <v>2421</v>
      </c>
      <c r="H233" s="116"/>
      <c r="I233" s="116"/>
      <c r="L233" s="170">
        <v>43220</v>
      </c>
      <c r="M233" s="116">
        <v>573.9</v>
      </c>
      <c r="N233" s="116">
        <v>580</v>
      </c>
      <c r="O233" s="116">
        <v>568.1</v>
      </c>
      <c r="P233" s="116">
        <v>575</v>
      </c>
      <c r="Q233" s="116">
        <v>573.9</v>
      </c>
      <c r="R233">
        <v>69101</v>
      </c>
    </row>
    <row r="234" spans="1:18" x14ac:dyDescent="0.25">
      <c r="A234" s="170">
        <v>43222</v>
      </c>
      <c r="B234" s="116">
        <v>585</v>
      </c>
      <c r="C234" s="116">
        <v>559.25</v>
      </c>
      <c r="D234" s="116">
        <v>543.04999999999995</v>
      </c>
      <c r="E234" s="116">
        <v>580.1</v>
      </c>
      <c r="F234" s="116">
        <v>559.25</v>
      </c>
      <c r="G234">
        <v>22979</v>
      </c>
      <c r="H234" s="116"/>
      <c r="I234" s="116"/>
      <c r="L234" s="170">
        <v>43222</v>
      </c>
      <c r="M234" s="116">
        <v>547.6</v>
      </c>
      <c r="N234" s="116">
        <v>585.75</v>
      </c>
      <c r="O234" s="116">
        <v>532</v>
      </c>
      <c r="P234" s="116">
        <v>585.75</v>
      </c>
      <c r="Q234" s="116">
        <v>547.6</v>
      </c>
      <c r="R234">
        <v>57965</v>
      </c>
    </row>
    <row r="235" spans="1:18" x14ac:dyDescent="0.25">
      <c r="A235" s="170">
        <v>43223</v>
      </c>
      <c r="B235" s="116">
        <v>561</v>
      </c>
      <c r="C235" s="116">
        <v>558.54999999999995</v>
      </c>
      <c r="D235" s="116">
        <v>530</v>
      </c>
      <c r="E235" s="116">
        <v>541</v>
      </c>
      <c r="F235" s="116">
        <v>558.54999999999995</v>
      </c>
      <c r="G235">
        <v>11062</v>
      </c>
      <c r="H235" s="116"/>
      <c r="I235" s="116"/>
      <c r="L235" s="170">
        <v>43223</v>
      </c>
      <c r="M235" s="116">
        <v>558.54999999999995</v>
      </c>
      <c r="N235" s="116">
        <v>565</v>
      </c>
      <c r="O235" s="116">
        <v>529.1</v>
      </c>
      <c r="P235" s="116">
        <v>545</v>
      </c>
      <c r="Q235" s="116">
        <v>558.54999999999995</v>
      </c>
      <c r="R235">
        <v>67181</v>
      </c>
    </row>
    <row r="236" spans="1:18" x14ac:dyDescent="0.25">
      <c r="A236" s="170">
        <v>43224</v>
      </c>
      <c r="B236" s="116">
        <v>569.1</v>
      </c>
      <c r="C236" s="116">
        <v>553.75</v>
      </c>
      <c r="D236" s="116">
        <v>550</v>
      </c>
      <c r="E236" s="116">
        <v>559.04999999999995</v>
      </c>
      <c r="F236" s="116">
        <v>553.75</v>
      </c>
      <c r="G236">
        <v>4549</v>
      </c>
      <c r="H236" s="116"/>
      <c r="I236" s="116"/>
      <c r="L236" s="170">
        <v>43224</v>
      </c>
      <c r="M236" s="116">
        <v>553.9</v>
      </c>
      <c r="N236" s="116">
        <v>568.9</v>
      </c>
      <c r="O236" s="116">
        <v>550.04999999999995</v>
      </c>
      <c r="P236" s="116">
        <v>557.65</v>
      </c>
      <c r="Q236" s="116">
        <v>553.9</v>
      </c>
      <c r="R236">
        <v>84550</v>
      </c>
    </row>
    <row r="237" spans="1:18" x14ac:dyDescent="0.25">
      <c r="A237" s="170">
        <v>43227</v>
      </c>
      <c r="B237" s="116">
        <v>582</v>
      </c>
      <c r="C237" s="116">
        <v>574.5</v>
      </c>
      <c r="D237" s="116">
        <v>554</v>
      </c>
      <c r="E237" s="116">
        <v>562.70000000000005</v>
      </c>
      <c r="F237" s="116">
        <v>574.5</v>
      </c>
      <c r="G237">
        <v>5474</v>
      </c>
      <c r="H237" s="116"/>
      <c r="I237" s="116"/>
      <c r="L237" s="170">
        <v>43227</v>
      </c>
      <c r="M237" s="116">
        <v>575.54999999999995</v>
      </c>
      <c r="N237" s="116">
        <v>582.04999999999995</v>
      </c>
      <c r="O237" s="116">
        <v>553.95000000000005</v>
      </c>
      <c r="P237" s="116">
        <v>554</v>
      </c>
      <c r="Q237" s="116">
        <v>575.54999999999995</v>
      </c>
      <c r="R237">
        <v>63218</v>
      </c>
    </row>
    <row r="238" spans="1:18" x14ac:dyDescent="0.25">
      <c r="A238" s="170">
        <v>43228</v>
      </c>
      <c r="B238" s="116">
        <v>585</v>
      </c>
      <c r="C238" s="116">
        <v>570</v>
      </c>
      <c r="D238" s="116">
        <v>568</v>
      </c>
      <c r="E238" s="116">
        <v>585</v>
      </c>
      <c r="F238" s="116">
        <v>570</v>
      </c>
      <c r="G238">
        <v>7175</v>
      </c>
      <c r="H238" s="116"/>
      <c r="I238" s="116"/>
      <c r="L238" s="170">
        <v>43228</v>
      </c>
      <c r="M238" s="116">
        <v>570.15</v>
      </c>
      <c r="N238" s="116">
        <v>590</v>
      </c>
      <c r="O238" s="116">
        <v>566.4</v>
      </c>
      <c r="P238" s="116">
        <v>578.9</v>
      </c>
      <c r="Q238" s="116">
        <v>570.15</v>
      </c>
      <c r="R238">
        <v>38562</v>
      </c>
    </row>
    <row r="239" spans="1:18" x14ac:dyDescent="0.25">
      <c r="A239" s="170">
        <v>43229</v>
      </c>
      <c r="B239" s="116">
        <v>579.20000000000005</v>
      </c>
      <c r="C239" s="116">
        <v>559.70000000000005</v>
      </c>
      <c r="D239" s="116">
        <v>556.79999999999995</v>
      </c>
      <c r="E239" s="116">
        <v>564</v>
      </c>
      <c r="F239" s="116">
        <v>559.70000000000005</v>
      </c>
      <c r="G239">
        <v>5526</v>
      </c>
      <c r="H239" s="116"/>
      <c r="I239" s="116"/>
      <c r="L239" s="170">
        <v>43229</v>
      </c>
      <c r="M239" s="116">
        <v>558.35</v>
      </c>
      <c r="N239" s="116">
        <v>573.15</v>
      </c>
      <c r="O239" s="116">
        <v>555</v>
      </c>
      <c r="P239" s="116">
        <v>570.15</v>
      </c>
      <c r="Q239" s="116">
        <v>558.35</v>
      </c>
      <c r="R239">
        <v>29253</v>
      </c>
    </row>
    <row r="240" spans="1:18" x14ac:dyDescent="0.25">
      <c r="A240" s="170">
        <v>43230</v>
      </c>
      <c r="B240" s="116">
        <v>572.85</v>
      </c>
      <c r="C240" s="116">
        <v>556</v>
      </c>
      <c r="D240" s="116">
        <v>540</v>
      </c>
      <c r="E240" s="116">
        <v>562</v>
      </c>
      <c r="F240" s="116">
        <v>556</v>
      </c>
      <c r="G240">
        <v>9393</v>
      </c>
      <c r="H240" s="116"/>
      <c r="I240" s="116"/>
      <c r="L240" s="170">
        <v>43230</v>
      </c>
      <c r="M240" s="116">
        <v>555.04999999999995</v>
      </c>
      <c r="N240" s="116">
        <v>575</v>
      </c>
      <c r="O240" s="116">
        <v>536.1</v>
      </c>
      <c r="P240" s="116">
        <v>562.95000000000005</v>
      </c>
      <c r="Q240" s="116">
        <v>555.04999999999995</v>
      </c>
      <c r="R240">
        <v>134731</v>
      </c>
    </row>
    <row r="241" spans="1:18" x14ac:dyDescent="0.25">
      <c r="A241" s="170">
        <v>43231</v>
      </c>
      <c r="B241" s="116">
        <v>567.79999999999995</v>
      </c>
      <c r="C241" s="116">
        <v>541.54999999999995</v>
      </c>
      <c r="D241" s="116">
        <v>537.95000000000005</v>
      </c>
      <c r="E241" s="116">
        <v>566</v>
      </c>
      <c r="F241" s="116">
        <v>541.54999999999995</v>
      </c>
      <c r="G241">
        <v>5974</v>
      </c>
      <c r="H241" s="116"/>
      <c r="I241" s="116"/>
      <c r="L241" s="170">
        <v>43231</v>
      </c>
      <c r="M241" s="116">
        <v>540.29999999999995</v>
      </c>
      <c r="N241" s="116">
        <v>575</v>
      </c>
      <c r="O241" s="116">
        <v>537</v>
      </c>
      <c r="P241" s="116">
        <v>556.6</v>
      </c>
      <c r="Q241" s="116">
        <v>540.29999999999995</v>
      </c>
      <c r="R241">
        <v>41139</v>
      </c>
    </row>
    <row r="242" spans="1:18" x14ac:dyDescent="0.25">
      <c r="A242" s="170">
        <v>43234</v>
      </c>
      <c r="B242" s="116">
        <v>549.65</v>
      </c>
      <c r="C242" s="116">
        <v>531.20000000000005</v>
      </c>
      <c r="D242" s="116">
        <v>528</v>
      </c>
      <c r="E242" s="116">
        <v>536.79999999999995</v>
      </c>
      <c r="F242" s="116">
        <v>531.20000000000005</v>
      </c>
      <c r="G242">
        <v>3283</v>
      </c>
      <c r="H242" s="116"/>
      <c r="I242" s="116"/>
      <c r="L242" s="170">
        <v>43234</v>
      </c>
      <c r="M242" s="116">
        <v>529.15</v>
      </c>
      <c r="N242" s="116">
        <v>549</v>
      </c>
      <c r="O242" s="116">
        <v>527</v>
      </c>
      <c r="P242" s="116">
        <v>539.95000000000005</v>
      </c>
      <c r="Q242" s="116">
        <v>529.15</v>
      </c>
      <c r="R242">
        <v>24809</v>
      </c>
    </row>
    <row r="243" spans="1:18" x14ac:dyDescent="0.25">
      <c r="A243" s="170">
        <v>43235</v>
      </c>
      <c r="B243" s="116">
        <v>539.95000000000005</v>
      </c>
      <c r="C243" s="116">
        <v>525.9</v>
      </c>
      <c r="D243" s="116">
        <v>518.04999999999995</v>
      </c>
      <c r="E243" s="116">
        <v>525</v>
      </c>
      <c r="F243" s="116">
        <v>525.9</v>
      </c>
      <c r="G243">
        <v>3291</v>
      </c>
      <c r="H243" s="116"/>
      <c r="I243" s="116"/>
      <c r="L243" s="170">
        <v>43235</v>
      </c>
      <c r="M243" s="116">
        <v>524.70000000000005</v>
      </c>
      <c r="N243" s="116">
        <v>539.95000000000005</v>
      </c>
      <c r="O243" s="116">
        <v>515</v>
      </c>
      <c r="P243" s="116">
        <v>530.04999999999995</v>
      </c>
      <c r="Q243" s="116">
        <v>524.70000000000005</v>
      </c>
      <c r="R243">
        <v>27699</v>
      </c>
    </row>
    <row r="244" spans="1:18" x14ac:dyDescent="0.25">
      <c r="A244" s="170">
        <v>43236</v>
      </c>
      <c r="B244" s="116">
        <v>535</v>
      </c>
      <c r="C244" s="116">
        <v>530.54999999999995</v>
      </c>
      <c r="D244" s="116">
        <v>506.2</v>
      </c>
      <c r="E244" s="116">
        <v>525</v>
      </c>
      <c r="F244" s="116">
        <v>530.54999999999995</v>
      </c>
      <c r="G244">
        <v>1533</v>
      </c>
      <c r="H244" s="116"/>
      <c r="I244" s="116"/>
      <c r="L244" s="170">
        <v>43236</v>
      </c>
      <c r="M244" s="116">
        <v>529.65</v>
      </c>
      <c r="N244" s="116">
        <v>539.29999999999995</v>
      </c>
      <c r="O244" s="116">
        <v>501.35</v>
      </c>
      <c r="P244" s="116">
        <v>525.54999999999995</v>
      </c>
      <c r="Q244" s="116">
        <v>529.65</v>
      </c>
      <c r="R244">
        <v>33597</v>
      </c>
    </row>
    <row r="245" spans="1:18" x14ac:dyDescent="0.25">
      <c r="A245" s="170">
        <v>43237</v>
      </c>
      <c r="B245" s="116">
        <v>534.65</v>
      </c>
      <c r="C245" s="116">
        <v>523.6</v>
      </c>
      <c r="D245" s="116">
        <v>523</v>
      </c>
      <c r="E245" s="116">
        <v>533</v>
      </c>
      <c r="F245" s="116">
        <v>523.6</v>
      </c>
      <c r="G245">
        <v>590</v>
      </c>
      <c r="H245" s="116"/>
      <c r="I245" s="116"/>
      <c r="L245" s="170">
        <v>43237</v>
      </c>
      <c r="M245" s="116">
        <v>527</v>
      </c>
      <c r="N245" s="116">
        <v>536.70000000000005</v>
      </c>
      <c r="O245" s="116">
        <v>522</v>
      </c>
      <c r="P245" s="116">
        <v>529.45000000000005</v>
      </c>
      <c r="Q245" s="116">
        <v>527</v>
      </c>
      <c r="R245">
        <v>55033</v>
      </c>
    </row>
    <row r="246" spans="1:18" x14ac:dyDescent="0.25">
      <c r="A246" s="170">
        <v>43238</v>
      </c>
      <c r="B246" s="116">
        <v>555</v>
      </c>
      <c r="C246" s="116">
        <v>527.04999999999995</v>
      </c>
      <c r="D246" s="116">
        <v>524</v>
      </c>
      <c r="E246" s="116">
        <v>525.85</v>
      </c>
      <c r="F246" s="116">
        <v>527.04999999999995</v>
      </c>
      <c r="G246">
        <v>5603</v>
      </c>
      <c r="H246" s="116"/>
      <c r="I246" s="116"/>
      <c r="L246" s="170">
        <v>43238</v>
      </c>
      <c r="M246" s="116">
        <v>530.65</v>
      </c>
      <c r="N246" s="116">
        <v>556.95000000000005</v>
      </c>
      <c r="O246" s="116">
        <v>528</v>
      </c>
      <c r="P246" s="116">
        <v>528</v>
      </c>
      <c r="Q246" s="116">
        <v>530.65</v>
      </c>
      <c r="R246">
        <v>102040</v>
      </c>
    </row>
    <row r="247" spans="1:18" x14ac:dyDescent="0.25">
      <c r="A247" s="170">
        <v>43241</v>
      </c>
      <c r="B247" s="116">
        <v>535.35</v>
      </c>
      <c r="C247" s="116">
        <v>517.9</v>
      </c>
      <c r="D247" s="116">
        <v>510</v>
      </c>
      <c r="E247" s="116">
        <v>527.04999999999995</v>
      </c>
      <c r="F247" s="116">
        <v>517.9</v>
      </c>
      <c r="G247">
        <v>7333</v>
      </c>
      <c r="H247" s="116"/>
      <c r="I247" s="116"/>
      <c r="L247" s="170">
        <v>43241</v>
      </c>
      <c r="M247" s="116">
        <v>521.1</v>
      </c>
      <c r="N247" s="116">
        <v>534.25</v>
      </c>
      <c r="O247" s="116">
        <v>518</v>
      </c>
      <c r="P247" s="116">
        <v>531.70000000000005</v>
      </c>
      <c r="Q247" s="116">
        <v>521.1</v>
      </c>
      <c r="R247">
        <v>20695</v>
      </c>
    </row>
    <row r="248" spans="1:18" x14ac:dyDescent="0.25">
      <c r="A248" s="170">
        <v>43242</v>
      </c>
      <c r="B248" s="116">
        <v>531</v>
      </c>
      <c r="C248" s="116">
        <v>528.1</v>
      </c>
      <c r="D248" s="116">
        <v>520.6</v>
      </c>
      <c r="E248" s="116">
        <v>525.85</v>
      </c>
      <c r="F248" s="116">
        <v>528.1</v>
      </c>
      <c r="G248">
        <v>2776</v>
      </c>
      <c r="H248" s="116"/>
      <c r="I248" s="116"/>
      <c r="L248" s="170">
        <v>43242</v>
      </c>
      <c r="M248" s="116">
        <v>528.35</v>
      </c>
      <c r="N248" s="116">
        <v>534.9</v>
      </c>
      <c r="O248" s="116">
        <v>520.70000000000005</v>
      </c>
      <c r="P248" s="116">
        <v>523.15</v>
      </c>
      <c r="Q248" s="116">
        <v>528.35</v>
      </c>
      <c r="R248">
        <v>22724</v>
      </c>
    </row>
    <row r="249" spans="1:18" x14ac:dyDescent="0.25">
      <c r="A249" s="170">
        <v>43243</v>
      </c>
      <c r="B249" s="116">
        <v>527</v>
      </c>
      <c r="C249" s="116">
        <v>516.6</v>
      </c>
      <c r="D249" s="116">
        <v>515</v>
      </c>
      <c r="E249" s="116">
        <v>523</v>
      </c>
      <c r="F249" s="116">
        <v>516.6</v>
      </c>
      <c r="G249">
        <v>1790</v>
      </c>
      <c r="H249" s="116"/>
      <c r="I249" s="116"/>
      <c r="L249" s="170">
        <v>43243</v>
      </c>
      <c r="M249" s="116">
        <v>517.6</v>
      </c>
      <c r="N249" s="116">
        <v>530.79999999999995</v>
      </c>
      <c r="O249" s="116">
        <v>515.29999999999995</v>
      </c>
      <c r="P249" s="116">
        <v>528.29999999999995</v>
      </c>
      <c r="Q249" s="116">
        <v>517.6</v>
      </c>
      <c r="R249">
        <v>23959</v>
      </c>
    </row>
    <row r="250" spans="1:18" x14ac:dyDescent="0.25">
      <c r="A250" s="170">
        <v>43244</v>
      </c>
      <c r="B250" s="116">
        <v>530.04999999999995</v>
      </c>
      <c r="C250" s="116">
        <v>523.04999999999995</v>
      </c>
      <c r="D250" s="116">
        <v>511</v>
      </c>
      <c r="E250" s="116">
        <v>511</v>
      </c>
      <c r="F250" s="116">
        <v>523.04999999999995</v>
      </c>
      <c r="G250">
        <v>3870</v>
      </c>
      <c r="H250" s="116"/>
      <c r="I250" s="116"/>
      <c r="L250" s="170">
        <v>43244</v>
      </c>
      <c r="M250" s="116">
        <v>525.6</v>
      </c>
      <c r="N250" s="116">
        <v>530</v>
      </c>
      <c r="O250" s="116">
        <v>517.04999999999995</v>
      </c>
      <c r="P250" s="116">
        <v>521.70000000000005</v>
      </c>
      <c r="Q250" s="116">
        <v>525.6</v>
      </c>
      <c r="R250">
        <v>24323</v>
      </c>
    </row>
    <row r="251" spans="1:18" x14ac:dyDescent="0.25">
      <c r="A251" s="170">
        <v>43245</v>
      </c>
      <c r="B251" s="116">
        <v>527</v>
      </c>
      <c r="C251" s="116">
        <v>519.5</v>
      </c>
      <c r="D251" s="116">
        <v>518.20000000000005</v>
      </c>
      <c r="E251" s="116">
        <v>523.20000000000005</v>
      </c>
      <c r="F251" s="116">
        <v>519.5</v>
      </c>
      <c r="G251">
        <v>1092</v>
      </c>
      <c r="H251" s="116"/>
      <c r="I251" s="116"/>
      <c r="L251" s="170">
        <v>43245</v>
      </c>
      <c r="M251" s="116">
        <v>525.4</v>
      </c>
      <c r="N251" s="116">
        <v>528</v>
      </c>
      <c r="O251" s="116">
        <v>518</v>
      </c>
      <c r="P251" s="116">
        <v>527.1</v>
      </c>
      <c r="Q251" s="116">
        <v>525.4</v>
      </c>
      <c r="R251">
        <v>43411</v>
      </c>
    </row>
    <row r="252" spans="1:18" x14ac:dyDescent="0.25">
      <c r="A252" s="170">
        <v>43248</v>
      </c>
      <c r="B252" s="116">
        <v>529.70000000000005</v>
      </c>
      <c r="C252" s="116">
        <v>515</v>
      </c>
      <c r="D252" s="116">
        <v>512</v>
      </c>
      <c r="E252" s="116">
        <v>525.04999999999995</v>
      </c>
      <c r="F252" s="116">
        <v>515</v>
      </c>
      <c r="G252">
        <v>2344</v>
      </c>
      <c r="H252" s="116"/>
      <c r="I252" s="116"/>
      <c r="L252" s="170">
        <v>43248</v>
      </c>
      <c r="M252" s="116">
        <v>515.20000000000005</v>
      </c>
      <c r="N252" s="116">
        <v>529.95000000000005</v>
      </c>
      <c r="O252" s="116">
        <v>513</v>
      </c>
      <c r="P252" s="116">
        <v>527.25</v>
      </c>
      <c r="Q252" s="116">
        <v>515.20000000000005</v>
      </c>
      <c r="R252">
        <v>62451</v>
      </c>
    </row>
    <row r="253" spans="1:18" x14ac:dyDescent="0.25">
      <c r="A253" s="170">
        <v>43249</v>
      </c>
      <c r="B253" s="116">
        <v>523.95000000000005</v>
      </c>
      <c r="C253" s="116">
        <v>507.65</v>
      </c>
      <c r="D253" s="116">
        <v>502.2</v>
      </c>
      <c r="E253" s="116">
        <v>523.95000000000005</v>
      </c>
      <c r="F253" s="116">
        <v>507.65</v>
      </c>
      <c r="G253">
        <v>3292</v>
      </c>
      <c r="H253" s="116"/>
      <c r="I253" s="116"/>
      <c r="L253" s="170">
        <v>43249</v>
      </c>
      <c r="M253" s="116">
        <v>505.1</v>
      </c>
      <c r="N253" s="116">
        <v>520</v>
      </c>
      <c r="O253" s="116">
        <v>502.65</v>
      </c>
      <c r="P253" s="116">
        <v>519.79999999999995</v>
      </c>
      <c r="Q253" s="116">
        <v>505.1</v>
      </c>
      <c r="R253">
        <v>44678</v>
      </c>
    </row>
    <row r="254" spans="1:18" x14ac:dyDescent="0.25">
      <c r="A254" s="170">
        <v>43250</v>
      </c>
      <c r="B254" s="116">
        <v>522.79999999999995</v>
      </c>
      <c r="C254" s="116">
        <v>511.85</v>
      </c>
      <c r="D254" s="116">
        <v>505</v>
      </c>
      <c r="E254" s="116">
        <v>512</v>
      </c>
      <c r="F254" s="116">
        <v>511.85</v>
      </c>
      <c r="G254">
        <v>5794</v>
      </c>
      <c r="H254" s="116"/>
      <c r="I254" s="116"/>
      <c r="L254" s="170">
        <v>43250</v>
      </c>
      <c r="M254" s="116">
        <v>510.4</v>
      </c>
      <c r="N254" s="116">
        <v>524.70000000000005</v>
      </c>
      <c r="O254" s="116">
        <v>505</v>
      </c>
      <c r="P254" s="116">
        <v>524.70000000000005</v>
      </c>
      <c r="Q254" s="116">
        <v>510.4</v>
      </c>
      <c r="R254">
        <v>52471</v>
      </c>
    </row>
    <row r="255" spans="1:18" x14ac:dyDescent="0.25">
      <c r="A255" s="170">
        <v>43251</v>
      </c>
      <c r="B255" s="116">
        <v>518.95000000000005</v>
      </c>
      <c r="C255" s="116">
        <v>513.54999999999995</v>
      </c>
      <c r="D255" s="116">
        <v>507</v>
      </c>
      <c r="E255" s="116">
        <v>507</v>
      </c>
      <c r="F255" s="116">
        <v>513.54999999999995</v>
      </c>
      <c r="G255">
        <v>1738</v>
      </c>
      <c r="H255" s="116"/>
      <c r="I255" s="116"/>
      <c r="L255" s="170">
        <v>43251</v>
      </c>
      <c r="M255" s="116">
        <v>516.70000000000005</v>
      </c>
      <c r="N255" s="116">
        <v>521.29999999999995</v>
      </c>
      <c r="O255" s="116">
        <v>509.9</v>
      </c>
      <c r="P255" s="116">
        <v>515.75</v>
      </c>
      <c r="Q255" s="116">
        <v>516.70000000000005</v>
      </c>
      <c r="R255">
        <v>39047</v>
      </c>
    </row>
    <row r="256" spans="1:18" x14ac:dyDescent="0.25">
      <c r="A256" s="170">
        <v>43252</v>
      </c>
      <c r="B256" s="116">
        <v>519</v>
      </c>
      <c r="C256" s="116">
        <v>497.55</v>
      </c>
      <c r="D256" s="116">
        <v>492.25</v>
      </c>
      <c r="E256" s="116">
        <v>518.95000000000005</v>
      </c>
      <c r="F256" s="116">
        <v>497.55</v>
      </c>
      <c r="G256">
        <v>4809</v>
      </c>
      <c r="H256" s="116"/>
      <c r="I256" s="116"/>
      <c r="L256" s="170">
        <v>43252</v>
      </c>
      <c r="M256" s="116">
        <v>496.55</v>
      </c>
      <c r="N256" s="116">
        <v>519</v>
      </c>
      <c r="O256" s="116">
        <v>490.05</v>
      </c>
      <c r="P256" s="116">
        <v>518</v>
      </c>
      <c r="Q256" s="116">
        <v>496.55</v>
      </c>
      <c r="R256">
        <v>41097</v>
      </c>
    </row>
    <row r="257" spans="1:18" x14ac:dyDescent="0.25">
      <c r="A257" s="170">
        <v>43255</v>
      </c>
      <c r="B257" s="116">
        <v>504.2</v>
      </c>
      <c r="C257" s="116">
        <v>487.25</v>
      </c>
      <c r="D257" s="116">
        <v>479</v>
      </c>
      <c r="E257" s="116">
        <v>501.65</v>
      </c>
      <c r="F257" s="116">
        <v>487.25</v>
      </c>
      <c r="G257">
        <v>7760</v>
      </c>
      <c r="H257" s="116"/>
      <c r="I257" s="116"/>
      <c r="L257" s="170">
        <v>43255</v>
      </c>
      <c r="M257" s="116">
        <v>490.15</v>
      </c>
      <c r="N257" s="116">
        <v>504.75</v>
      </c>
      <c r="O257" s="116">
        <v>485.3</v>
      </c>
      <c r="P257" s="116">
        <v>494.2</v>
      </c>
      <c r="Q257" s="116">
        <v>490.15</v>
      </c>
      <c r="R257">
        <v>35211</v>
      </c>
    </row>
    <row r="258" spans="1:18" x14ac:dyDescent="0.25">
      <c r="A258" s="170">
        <v>43256</v>
      </c>
      <c r="B258" s="116">
        <v>491.8</v>
      </c>
      <c r="C258" s="116">
        <v>483.1</v>
      </c>
      <c r="D258" s="116">
        <v>460</v>
      </c>
      <c r="E258" s="116">
        <v>488.05</v>
      </c>
      <c r="F258" s="116">
        <v>483.1</v>
      </c>
      <c r="G258">
        <v>8331</v>
      </c>
      <c r="H258" s="116"/>
      <c r="I258" s="116"/>
      <c r="L258" s="170">
        <v>43256</v>
      </c>
      <c r="M258" s="116">
        <v>476.7</v>
      </c>
      <c r="N258" s="116">
        <v>490.5</v>
      </c>
      <c r="O258" s="116">
        <v>455</v>
      </c>
      <c r="P258" s="116">
        <v>490.45</v>
      </c>
      <c r="Q258" s="116">
        <v>476.7</v>
      </c>
      <c r="R258">
        <v>50277</v>
      </c>
    </row>
    <row r="259" spans="1:18" x14ac:dyDescent="0.25">
      <c r="A259" s="170">
        <v>43257</v>
      </c>
      <c r="B259" s="116">
        <v>497</v>
      </c>
      <c r="C259" s="116">
        <v>485.75</v>
      </c>
      <c r="D259" s="116">
        <v>473.25</v>
      </c>
      <c r="E259" s="116">
        <v>473.25</v>
      </c>
      <c r="F259" s="116">
        <v>485.75</v>
      </c>
      <c r="G259">
        <v>5809</v>
      </c>
      <c r="H259" s="116"/>
      <c r="I259" s="116"/>
      <c r="L259" s="170">
        <v>43257</v>
      </c>
      <c r="M259" s="116">
        <v>486.35</v>
      </c>
      <c r="N259" s="116">
        <v>498</v>
      </c>
      <c r="O259" s="116">
        <v>471.7</v>
      </c>
      <c r="P259" s="116">
        <v>477</v>
      </c>
      <c r="Q259" s="116">
        <v>486.35</v>
      </c>
      <c r="R259">
        <v>55429</v>
      </c>
    </row>
    <row r="260" spans="1:18" x14ac:dyDescent="0.25">
      <c r="A260" s="170">
        <v>43258</v>
      </c>
      <c r="B260" s="116">
        <v>507</v>
      </c>
      <c r="C260" s="116">
        <v>501.95</v>
      </c>
      <c r="D260" s="116">
        <v>493</v>
      </c>
      <c r="E260" s="116">
        <v>494.95</v>
      </c>
      <c r="F260" s="116">
        <v>501.95</v>
      </c>
      <c r="G260">
        <v>4257</v>
      </c>
      <c r="H260" s="116"/>
      <c r="I260" s="116"/>
      <c r="L260" s="170">
        <v>43258</v>
      </c>
      <c r="M260" s="116">
        <v>504.65</v>
      </c>
      <c r="N260" s="116">
        <v>512</v>
      </c>
      <c r="O260" s="116">
        <v>487.7</v>
      </c>
      <c r="P260" s="116">
        <v>497</v>
      </c>
      <c r="Q260" s="116">
        <v>504.65</v>
      </c>
      <c r="R260">
        <v>33221</v>
      </c>
    </row>
    <row r="261" spans="1:18" x14ac:dyDescent="0.25">
      <c r="A261" s="170">
        <v>43259</v>
      </c>
      <c r="B261" s="116">
        <v>505.55</v>
      </c>
      <c r="C261" s="116">
        <v>503.25</v>
      </c>
      <c r="D261" s="116">
        <v>496.7</v>
      </c>
      <c r="E261" s="116">
        <v>496.7</v>
      </c>
      <c r="F261" s="116">
        <v>503.25</v>
      </c>
      <c r="G261">
        <v>447</v>
      </c>
      <c r="H261" s="116"/>
      <c r="I261" s="116"/>
      <c r="L261" s="170">
        <v>43259</v>
      </c>
      <c r="M261" s="116">
        <v>503.1</v>
      </c>
      <c r="N261" s="116">
        <v>505</v>
      </c>
      <c r="O261" s="116">
        <v>494.05</v>
      </c>
      <c r="P261" s="116">
        <v>504.85</v>
      </c>
      <c r="Q261" s="116">
        <v>503.1</v>
      </c>
      <c r="R261">
        <v>28400</v>
      </c>
    </row>
    <row r="262" spans="1:18" x14ac:dyDescent="0.25">
      <c r="A262" s="170">
        <v>43262</v>
      </c>
      <c r="B262" s="116">
        <v>515</v>
      </c>
      <c r="C262" s="116">
        <v>500.85</v>
      </c>
      <c r="D262" s="116">
        <v>497.5</v>
      </c>
      <c r="E262" s="116">
        <v>513</v>
      </c>
      <c r="F262" s="116">
        <v>500.85</v>
      </c>
      <c r="G262">
        <v>1319</v>
      </c>
      <c r="H262" s="116"/>
      <c r="I262" s="116"/>
      <c r="L262" s="170">
        <v>43262</v>
      </c>
      <c r="M262" s="116">
        <v>501.7</v>
      </c>
      <c r="N262" s="116">
        <v>512.70000000000005</v>
      </c>
      <c r="O262" s="116">
        <v>497</v>
      </c>
      <c r="P262" s="116">
        <v>505</v>
      </c>
      <c r="Q262" s="116">
        <v>501.7</v>
      </c>
      <c r="R262">
        <v>61143</v>
      </c>
    </row>
    <row r="263" spans="1:18" x14ac:dyDescent="0.25">
      <c r="A263" s="170">
        <v>43263</v>
      </c>
      <c r="B263" s="116">
        <v>510</v>
      </c>
      <c r="C263" s="116">
        <v>504.95</v>
      </c>
      <c r="D263" s="116">
        <v>500.15</v>
      </c>
      <c r="E263" s="116">
        <v>508</v>
      </c>
      <c r="F263" s="116">
        <v>504.95</v>
      </c>
      <c r="G263">
        <v>1383</v>
      </c>
      <c r="H263" s="116"/>
      <c r="I263" s="116"/>
      <c r="L263" s="170">
        <v>43263</v>
      </c>
      <c r="M263" s="116">
        <v>507.4</v>
      </c>
      <c r="N263" s="116">
        <v>511.5</v>
      </c>
      <c r="O263" s="116">
        <v>500.55</v>
      </c>
      <c r="P263" s="116">
        <v>507</v>
      </c>
      <c r="Q263" s="116">
        <v>507.4</v>
      </c>
      <c r="R263">
        <v>22376</v>
      </c>
    </row>
    <row r="264" spans="1:18" x14ac:dyDescent="0.25">
      <c r="A264" s="170">
        <v>43264</v>
      </c>
      <c r="B264" s="116">
        <v>503.95</v>
      </c>
      <c r="C264" s="116">
        <v>498.95</v>
      </c>
      <c r="D264" s="116">
        <v>495.55</v>
      </c>
      <c r="E264" s="116">
        <v>501.05</v>
      </c>
      <c r="F264" s="116">
        <v>498.95</v>
      </c>
      <c r="G264">
        <v>1374</v>
      </c>
      <c r="H264" s="116"/>
      <c r="I264" s="116"/>
      <c r="L264" s="170">
        <v>43264</v>
      </c>
      <c r="M264" s="116">
        <v>500.75</v>
      </c>
      <c r="N264" s="116">
        <v>512</v>
      </c>
      <c r="O264" s="116">
        <v>497.1</v>
      </c>
      <c r="P264" s="116">
        <v>510.45</v>
      </c>
      <c r="Q264" s="116">
        <v>500.75</v>
      </c>
      <c r="R264">
        <v>15603</v>
      </c>
    </row>
    <row r="265" spans="1:18" x14ac:dyDescent="0.25">
      <c r="A265" s="170">
        <v>43265</v>
      </c>
      <c r="B265" s="116">
        <v>501</v>
      </c>
      <c r="C265" s="116">
        <v>498.45</v>
      </c>
      <c r="D265" s="116">
        <v>495</v>
      </c>
      <c r="E265" s="116">
        <v>497.05</v>
      </c>
      <c r="F265" s="116">
        <v>498.45</v>
      </c>
      <c r="G265">
        <v>1191</v>
      </c>
      <c r="H265" s="116"/>
      <c r="I265" s="116"/>
      <c r="L265" s="170">
        <v>43265</v>
      </c>
      <c r="M265" s="116">
        <v>499.8</v>
      </c>
      <c r="N265" s="116">
        <v>501</v>
      </c>
      <c r="O265" s="116">
        <v>496</v>
      </c>
      <c r="P265" s="116">
        <v>500.75</v>
      </c>
      <c r="Q265" s="116">
        <v>499.8</v>
      </c>
      <c r="R265">
        <v>35259</v>
      </c>
    </row>
    <row r="266" spans="1:18" x14ac:dyDescent="0.25">
      <c r="A266" s="170">
        <v>43266</v>
      </c>
      <c r="B266" s="116">
        <v>512</v>
      </c>
      <c r="C266" s="116">
        <v>501</v>
      </c>
      <c r="D266" s="116">
        <v>496.4</v>
      </c>
      <c r="E266" s="116">
        <v>496.4</v>
      </c>
      <c r="F266" s="116">
        <v>501</v>
      </c>
      <c r="G266">
        <v>2485</v>
      </c>
      <c r="H266" s="116"/>
      <c r="I266" s="116"/>
      <c r="L266" s="170">
        <v>43266</v>
      </c>
      <c r="M266" s="116">
        <v>496.15</v>
      </c>
      <c r="N266" s="116">
        <v>505.75</v>
      </c>
      <c r="O266" s="116">
        <v>493.7</v>
      </c>
      <c r="P266" s="116">
        <v>499.8</v>
      </c>
      <c r="Q266" s="116">
        <v>496.15</v>
      </c>
      <c r="R266">
        <v>14286</v>
      </c>
    </row>
    <row r="267" spans="1:18" x14ac:dyDescent="0.25">
      <c r="A267" s="170">
        <v>43269</v>
      </c>
      <c r="B267" s="116">
        <v>501</v>
      </c>
      <c r="C267" s="116">
        <v>494.15</v>
      </c>
      <c r="D267" s="116">
        <v>485</v>
      </c>
      <c r="E267" s="116">
        <v>501</v>
      </c>
      <c r="F267" s="116">
        <v>494.15</v>
      </c>
      <c r="G267">
        <v>1526</v>
      </c>
      <c r="H267" s="116"/>
      <c r="I267" s="116"/>
      <c r="L267" s="170">
        <v>43269</v>
      </c>
      <c r="M267" s="116">
        <v>494.2</v>
      </c>
      <c r="N267" s="116">
        <v>499.5</v>
      </c>
      <c r="O267" s="116">
        <v>487.55</v>
      </c>
      <c r="P267" s="116">
        <v>495.5</v>
      </c>
      <c r="Q267" s="116">
        <v>494.2</v>
      </c>
      <c r="R267">
        <v>13879</v>
      </c>
    </row>
    <row r="268" spans="1:18" x14ac:dyDescent="0.25">
      <c r="A268" s="170">
        <v>43270</v>
      </c>
      <c r="B268" s="116">
        <v>496.6</v>
      </c>
      <c r="C268" s="116">
        <v>487.05</v>
      </c>
      <c r="D268" s="116">
        <v>485.1</v>
      </c>
      <c r="E268" s="116">
        <v>491.05</v>
      </c>
      <c r="F268" s="116">
        <v>487.05</v>
      </c>
      <c r="G268">
        <v>923</v>
      </c>
      <c r="H268" s="116"/>
      <c r="I268" s="116"/>
      <c r="L268" s="170">
        <v>43270</v>
      </c>
      <c r="M268" s="116">
        <v>490.25</v>
      </c>
      <c r="N268" s="116">
        <v>495.1</v>
      </c>
      <c r="O268" s="116">
        <v>484.25</v>
      </c>
      <c r="P268" s="116">
        <v>494.15</v>
      </c>
      <c r="Q268" s="116">
        <v>490.25</v>
      </c>
      <c r="R268">
        <v>14261</v>
      </c>
    </row>
    <row r="269" spans="1:18" x14ac:dyDescent="0.25">
      <c r="A269" s="170">
        <v>43271</v>
      </c>
      <c r="B269" s="116">
        <v>488</v>
      </c>
      <c r="C269" s="116">
        <v>479.5</v>
      </c>
      <c r="D269" s="116">
        <v>475</v>
      </c>
      <c r="E269" s="116">
        <v>488</v>
      </c>
      <c r="F269" s="116">
        <v>479.5</v>
      </c>
      <c r="G269">
        <v>1054</v>
      </c>
      <c r="H269" s="116"/>
      <c r="I269" s="116"/>
      <c r="L269" s="170">
        <v>43271</v>
      </c>
      <c r="M269" s="116">
        <v>480.9</v>
      </c>
      <c r="N269" s="116">
        <v>491.95</v>
      </c>
      <c r="O269" s="116">
        <v>478.05</v>
      </c>
      <c r="P269" s="116">
        <v>488</v>
      </c>
      <c r="Q269" s="116">
        <v>480.9</v>
      </c>
      <c r="R269">
        <v>49968</v>
      </c>
    </row>
    <row r="270" spans="1:18" x14ac:dyDescent="0.25">
      <c r="A270" s="170">
        <v>43272</v>
      </c>
      <c r="B270" s="116">
        <v>490</v>
      </c>
      <c r="C270" s="116">
        <v>478.2</v>
      </c>
      <c r="D270" s="116">
        <v>478</v>
      </c>
      <c r="E270" s="116">
        <v>484.8</v>
      </c>
      <c r="F270" s="116">
        <v>478.2</v>
      </c>
      <c r="G270">
        <v>1078</v>
      </c>
      <c r="H270" s="116"/>
      <c r="I270" s="116"/>
      <c r="L270" s="170">
        <v>43272</v>
      </c>
      <c r="M270" s="116">
        <v>479.35</v>
      </c>
      <c r="N270" s="116">
        <v>485.4</v>
      </c>
      <c r="O270" s="116">
        <v>474.4</v>
      </c>
      <c r="P270" s="116">
        <v>481.45</v>
      </c>
      <c r="Q270" s="116">
        <v>479.35</v>
      </c>
      <c r="R270">
        <v>10573</v>
      </c>
    </row>
    <row r="271" spans="1:18" x14ac:dyDescent="0.25">
      <c r="A271" s="170">
        <v>43273</v>
      </c>
      <c r="B271" s="116">
        <v>495</v>
      </c>
      <c r="C271" s="116">
        <v>488.2</v>
      </c>
      <c r="D271" s="116">
        <v>470.25</v>
      </c>
      <c r="E271" s="116">
        <v>482</v>
      </c>
      <c r="F271" s="116">
        <v>488.2</v>
      </c>
      <c r="G271">
        <v>1817</v>
      </c>
      <c r="H271" s="116"/>
      <c r="I271" s="116"/>
      <c r="L271" s="170">
        <v>43273</v>
      </c>
      <c r="M271" s="116">
        <v>493.25</v>
      </c>
      <c r="N271" s="116">
        <v>498</v>
      </c>
      <c r="O271" s="116">
        <v>472</v>
      </c>
      <c r="P271" s="116">
        <v>475.4</v>
      </c>
      <c r="Q271" s="116">
        <v>493.25</v>
      </c>
      <c r="R271">
        <v>15260</v>
      </c>
    </row>
    <row r="272" spans="1:18" x14ac:dyDescent="0.25">
      <c r="A272" s="170">
        <v>43276</v>
      </c>
      <c r="B272" s="116">
        <v>492.4</v>
      </c>
      <c r="C272" s="116">
        <v>490.75</v>
      </c>
      <c r="D272" s="116">
        <v>482</v>
      </c>
      <c r="E272" s="116">
        <v>486.9</v>
      </c>
      <c r="F272" s="116">
        <v>490.75</v>
      </c>
      <c r="G272">
        <v>1122</v>
      </c>
      <c r="H272" s="116"/>
      <c r="I272" s="116"/>
      <c r="L272" s="170">
        <v>43276</v>
      </c>
      <c r="M272" s="116">
        <v>490.5</v>
      </c>
      <c r="N272" s="116">
        <v>492.95</v>
      </c>
      <c r="O272" s="116">
        <v>482.6</v>
      </c>
      <c r="P272" s="116">
        <v>482.6</v>
      </c>
      <c r="Q272" s="116">
        <v>490.5</v>
      </c>
      <c r="R272">
        <v>8110</v>
      </c>
    </row>
    <row r="273" spans="1:18" x14ac:dyDescent="0.25">
      <c r="A273" s="170">
        <v>43277</v>
      </c>
      <c r="B273" s="116">
        <v>499.65</v>
      </c>
      <c r="C273" s="116">
        <v>485.6</v>
      </c>
      <c r="D273" s="116">
        <v>482</v>
      </c>
      <c r="E273" s="116">
        <v>485</v>
      </c>
      <c r="F273" s="116">
        <v>485.6</v>
      </c>
      <c r="G273">
        <v>2232</v>
      </c>
      <c r="H273" s="116"/>
      <c r="I273" s="116"/>
      <c r="L273" s="170">
        <v>43277</v>
      </c>
      <c r="M273" s="116">
        <v>482.4</v>
      </c>
      <c r="N273" s="116">
        <v>494.2</v>
      </c>
      <c r="O273" s="116">
        <v>480</v>
      </c>
      <c r="P273" s="116">
        <v>490.9</v>
      </c>
      <c r="Q273" s="116">
        <v>482.4</v>
      </c>
      <c r="R273">
        <v>19443</v>
      </c>
    </row>
    <row r="274" spans="1:18" x14ac:dyDescent="0.25">
      <c r="A274" s="170">
        <v>43278</v>
      </c>
      <c r="B274" s="116">
        <v>480.15</v>
      </c>
      <c r="C274" s="116">
        <v>469.35</v>
      </c>
      <c r="D274" s="116">
        <v>465.5</v>
      </c>
      <c r="E274" s="116">
        <v>480.15</v>
      </c>
      <c r="F274" s="116">
        <v>469.35</v>
      </c>
      <c r="G274">
        <v>2580</v>
      </c>
      <c r="H274" s="116"/>
      <c r="I274" s="116"/>
      <c r="L274" s="170">
        <v>43278</v>
      </c>
      <c r="M274" s="116">
        <v>471.3</v>
      </c>
      <c r="N274" s="116">
        <v>486</v>
      </c>
      <c r="O274" s="116">
        <v>466</v>
      </c>
      <c r="P274" s="116">
        <v>482.15</v>
      </c>
      <c r="Q274" s="116">
        <v>471.3</v>
      </c>
      <c r="R274">
        <v>15044</v>
      </c>
    </row>
    <row r="275" spans="1:18" x14ac:dyDescent="0.25">
      <c r="A275" s="170">
        <v>43279</v>
      </c>
      <c r="B275" s="116">
        <v>490</v>
      </c>
      <c r="C275" s="116">
        <v>477.1</v>
      </c>
      <c r="D275" s="116">
        <v>456.2</v>
      </c>
      <c r="E275" s="116">
        <v>464.95</v>
      </c>
      <c r="F275" s="116">
        <v>477.1</v>
      </c>
      <c r="G275">
        <v>2936</v>
      </c>
      <c r="H275" s="116"/>
      <c r="I275" s="116"/>
      <c r="L275" s="170">
        <v>43279</v>
      </c>
      <c r="M275" s="116">
        <v>475.6</v>
      </c>
      <c r="N275" s="116">
        <v>484.7</v>
      </c>
      <c r="O275" s="116">
        <v>460</v>
      </c>
      <c r="P275" s="116">
        <v>470</v>
      </c>
      <c r="Q275" s="116">
        <v>475.6</v>
      </c>
      <c r="R275">
        <v>19822</v>
      </c>
    </row>
    <row r="276" spans="1:18" x14ac:dyDescent="0.25">
      <c r="A276" s="170">
        <v>43280</v>
      </c>
      <c r="B276" s="116">
        <v>494</v>
      </c>
      <c r="C276" s="116">
        <v>493.15</v>
      </c>
      <c r="D276" s="116">
        <v>483</v>
      </c>
      <c r="E276" s="116">
        <v>486.3</v>
      </c>
      <c r="F276" s="116">
        <v>493.15</v>
      </c>
      <c r="G276">
        <v>1224</v>
      </c>
      <c r="H276" s="116"/>
      <c r="I276" s="116"/>
      <c r="L276" s="170">
        <v>43280</v>
      </c>
      <c r="M276" s="116">
        <v>491.05</v>
      </c>
      <c r="N276" s="116">
        <v>494.9</v>
      </c>
      <c r="O276" s="116">
        <v>482.7</v>
      </c>
      <c r="P276" s="116">
        <v>482.75</v>
      </c>
      <c r="Q276" s="116">
        <v>491.05</v>
      </c>
      <c r="R276">
        <v>14539</v>
      </c>
    </row>
    <row r="277" spans="1:18" x14ac:dyDescent="0.25">
      <c r="A277" s="170">
        <v>43283</v>
      </c>
      <c r="B277" s="116">
        <v>499</v>
      </c>
      <c r="C277" s="116">
        <v>490.15</v>
      </c>
      <c r="D277" s="116">
        <v>486.6</v>
      </c>
      <c r="E277" s="116">
        <v>498.9</v>
      </c>
      <c r="F277" s="116">
        <v>490.15</v>
      </c>
      <c r="G277">
        <v>1733</v>
      </c>
      <c r="H277" s="116"/>
      <c r="I277" s="116"/>
      <c r="L277" s="170">
        <v>43283</v>
      </c>
      <c r="M277" s="116">
        <v>485.3</v>
      </c>
      <c r="N277" s="116">
        <v>494.95</v>
      </c>
      <c r="O277" s="116">
        <v>482</v>
      </c>
      <c r="P277" s="116">
        <v>491</v>
      </c>
      <c r="Q277" s="116">
        <v>485.3</v>
      </c>
      <c r="R277">
        <v>10192</v>
      </c>
    </row>
    <row r="278" spans="1:18" x14ac:dyDescent="0.25">
      <c r="A278" s="170">
        <v>43284</v>
      </c>
      <c r="B278" s="116">
        <v>490.15</v>
      </c>
      <c r="C278" s="116">
        <v>490.1</v>
      </c>
      <c r="D278" s="116">
        <v>485.75</v>
      </c>
      <c r="E278" s="116">
        <v>485.75</v>
      </c>
      <c r="F278" s="116">
        <v>490.1</v>
      </c>
      <c r="G278">
        <v>15</v>
      </c>
      <c r="H278" s="116"/>
      <c r="I278" s="116"/>
      <c r="L278" s="170">
        <v>43284</v>
      </c>
      <c r="M278" s="116">
        <v>483.85</v>
      </c>
      <c r="N278" s="116">
        <v>494.1</v>
      </c>
      <c r="O278" s="116">
        <v>480.05</v>
      </c>
      <c r="P278" s="116">
        <v>486</v>
      </c>
      <c r="Q278" s="116">
        <v>483.85</v>
      </c>
      <c r="R278">
        <v>10985</v>
      </c>
    </row>
    <row r="279" spans="1:18" x14ac:dyDescent="0.25">
      <c r="A279" s="170">
        <v>43285</v>
      </c>
      <c r="B279" s="116">
        <v>482</v>
      </c>
      <c r="C279" s="116">
        <v>478.2</v>
      </c>
      <c r="D279" s="116">
        <v>472.55</v>
      </c>
      <c r="E279" s="116">
        <v>480.9</v>
      </c>
      <c r="F279" s="116">
        <v>478.2</v>
      </c>
      <c r="G279">
        <v>1502</v>
      </c>
      <c r="H279" s="116"/>
      <c r="I279" s="116"/>
      <c r="L279" s="170">
        <v>43285</v>
      </c>
      <c r="M279" s="116">
        <v>478.3</v>
      </c>
      <c r="N279" s="116">
        <v>485</v>
      </c>
      <c r="O279" s="116">
        <v>471.05</v>
      </c>
      <c r="P279" s="116">
        <v>484</v>
      </c>
      <c r="Q279" s="116">
        <v>478.3</v>
      </c>
      <c r="R279">
        <v>12894</v>
      </c>
    </row>
    <row r="280" spans="1:18" x14ac:dyDescent="0.25">
      <c r="A280" s="170">
        <v>43286</v>
      </c>
      <c r="B280" s="116">
        <v>478.05</v>
      </c>
      <c r="C280" s="116">
        <v>478</v>
      </c>
      <c r="D280" s="116">
        <v>462.5</v>
      </c>
      <c r="E280" s="116">
        <v>475.5</v>
      </c>
      <c r="F280" s="116">
        <v>478</v>
      </c>
      <c r="G280">
        <v>1706</v>
      </c>
      <c r="H280" s="116"/>
      <c r="I280" s="116"/>
      <c r="L280" s="170">
        <v>43286</v>
      </c>
      <c r="M280" s="116">
        <v>478.8</v>
      </c>
      <c r="N280" s="116">
        <v>487</v>
      </c>
      <c r="O280" s="116">
        <v>470</v>
      </c>
      <c r="P280" s="116">
        <v>487</v>
      </c>
      <c r="Q280" s="116">
        <v>478.8</v>
      </c>
      <c r="R280">
        <v>12577</v>
      </c>
    </row>
    <row r="281" spans="1:18" x14ac:dyDescent="0.25">
      <c r="A281" s="170">
        <v>43287</v>
      </c>
      <c r="B281" s="116">
        <v>490.15</v>
      </c>
      <c r="C281" s="116">
        <v>479.15</v>
      </c>
      <c r="D281" s="116">
        <v>473</v>
      </c>
      <c r="E281" s="116">
        <v>473</v>
      </c>
      <c r="F281" s="116">
        <v>479.15</v>
      </c>
      <c r="G281">
        <v>665</v>
      </c>
      <c r="H281" s="116"/>
      <c r="I281" s="116"/>
      <c r="L281" s="170">
        <v>43287</v>
      </c>
      <c r="M281" s="116">
        <v>479.3</v>
      </c>
      <c r="N281" s="116">
        <v>491.85</v>
      </c>
      <c r="O281" s="116">
        <v>473</v>
      </c>
      <c r="P281" s="116">
        <v>479.1</v>
      </c>
      <c r="Q281" s="116">
        <v>479.3</v>
      </c>
      <c r="R281">
        <v>16694</v>
      </c>
    </row>
    <row r="282" spans="1:18" x14ac:dyDescent="0.25">
      <c r="A282" s="170">
        <v>43290</v>
      </c>
      <c r="B282" s="116">
        <v>494.95</v>
      </c>
      <c r="C282" s="116">
        <v>491.2</v>
      </c>
      <c r="D282" s="116">
        <v>484</v>
      </c>
      <c r="E282" s="116">
        <v>484.8</v>
      </c>
      <c r="F282" s="116">
        <v>491.2</v>
      </c>
      <c r="G282">
        <v>945</v>
      </c>
      <c r="H282" s="116"/>
      <c r="I282" s="116"/>
      <c r="L282" s="170">
        <v>43290</v>
      </c>
      <c r="M282" s="116">
        <v>494.8</v>
      </c>
      <c r="N282" s="116">
        <v>498.9</v>
      </c>
      <c r="O282" s="116">
        <v>479.95</v>
      </c>
      <c r="P282" s="116">
        <v>482</v>
      </c>
      <c r="Q282" s="116">
        <v>494.8</v>
      </c>
      <c r="R282">
        <v>15447</v>
      </c>
    </row>
    <row r="283" spans="1:18" x14ac:dyDescent="0.25">
      <c r="A283" s="170">
        <v>43291</v>
      </c>
      <c r="B283" s="116">
        <v>495.55</v>
      </c>
      <c r="C283" s="116">
        <v>485</v>
      </c>
      <c r="D283" s="116">
        <v>479</v>
      </c>
      <c r="E283" s="116">
        <v>495.55</v>
      </c>
      <c r="F283" s="116">
        <v>485</v>
      </c>
      <c r="G283">
        <v>2371</v>
      </c>
      <c r="H283" s="116"/>
      <c r="I283" s="116"/>
      <c r="L283" s="170">
        <v>43291</v>
      </c>
      <c r="M283" s="116">
        <v>481.85</v>
      </c>
      <c r="N283" s="116">
        <v>495.05</v>
      </c>
      <c r="O283" s="116">
        <v>475.35</v>
      </c>
      <c r="P283" s="116">
        <v>490</v>
      </c>
      <c r="Q283" s="116">
        <v>481.85</v>
      </c>
      <c r="R283">
        <v>20299</v>
      </c>
    </row>
    <row r="284" spans="1:18" x14ac:dyDescent="0.25">
      <c r="A284" s="170">
        <v>43292</v>
      </c>
      <c r="B284" s="116">
        <v>494</v>
      </c>
      <c r="C284" s="116">
        <v>491.6</v>
      </c>
      <c r="D284" s="116">
        <v>477</v>
      </c>
      <c r="E284" s="116">
        <v>487.95</v>
      </c>
      <c r="F284" s="116">
        <v>491.6</v>
      </c>
      <c r="G284">
        <v>5278</v>
      </c>
      <c r="H284" s="116"/>
      <c r="I284" s="116"/>
      <c r="L284" s="170">
        <v>43292</v>
      </c>
      <c r="M284" s="116">
        <v>491.1</v>
      </c>
      <c r="N284" s="116">
        <v>494</v>
      </c>
      <c r="O284" s="116">
        <v>477.55</v>
      </c>
      <c r="P284" s="116">
        <v>477.55</v>
      </c>
      <c r="Q284" s="116">
        <v>491.1</v>
      </c>
      <c r="R284">
        <v>28964</v>
      </c>
    </row>
    <row r="285" spans="1:18" x14ac:dyDescent="0.25">
      <c r="A285" s="170">
        <v>43293</v>
      </c>
      <c r="B285" s="116">
        <v>493</v>
      </c>
      <c r="C285" s="116">
        <v>485.7</v>
      </c>
      <c r="D285" s="116">
        <v>481.15</v>
      </c>
      <c r="E285" s="116">
        <v>488</v>
      </c>
      <c r="F285" s="116">
        <v>485.7</v>
      </c>
      <c r="G285">
        <v>485</v>
      </c>
      <c r="H285" s="116"/>
      <c r="I285" s="116"/>
      <c r="L285" s="170">
        <v>43293</v>
      </c>
      <c r="M285" s="116">
        <v>480.9</v>
      </c>
      <c r="N285" s="116">
        <v>493.7</v>
      </c>
      <c r="O285" s="116">
        <v>478</v>
      </c>
      <c r="P285" s="116">
        <v>485.1</v>
      </c>
      <c r="Q285" s="116">
        <v>480.9</v>
      </c>
      <c r="R285">
        <v>30008</v>
      </c>
    </row>
    <row r="286" spans="1:18" x14ac:dyDescent="0.25">
      <c r="A286" s="170">
        <v>43294</v>
      </c>
      <c r="B286" s="116">
        <v>483.95</v>
      </c>
      <c r="C286" s="116">
        <v>472.6</v>
      </c>
      <c r="D286" s="116">
        <v>469</v>
      </c>
      <c r="E286" s="116">
        <v>477.5</v>
      </c>
      <c r="F286" s="116">
        <v>472.6</v>
      </c>
      <c r="G286">
        <v>2318</v>
      </c>
      <c r="H286" s="116"/>
      <c r="I286" s="116"/>
      <c r="L286" s="170">
        <v>43294</v>
      </c>
      <c r="M286" s="116">
        <v>473.55</v>
      </c>
      <c r="N286" s="116">
        <v>483.95</v>
      </c>
      <c r="O286" s="116">
        <v>472</v>
      </c>
      <c r="P286" s="116">
        <v>483.95</v>
      </c>
      <c r="Q286" s="116">
        <v>473.55</v>
      </c>
      <c r="R286">
        <v>10420</v>
      </c>
    </row>
    <row r="287" spans="1:18" x14ac:dyDescent="0.25">
      <c r="A287" s="170">
        <v>43297</v>
      </c>
      <c r="B287" s="116">
        <v>481</v>
      </c>
      <c r="C287" s="116">
        <v>467</v>
      </c>
      <c r="D287" s="116">
        <v>465.45</v>
      </c>
      <c r="E287" s="116">
        <v>481</v>
      </c>
      <c r="F287" s="116">
        <v>467</v>
      </c>
      <c r="G287">
        <v>1322</v>
      </c>
      <c r="H287" s="116"/>
      <c r="I287" s="116"/>
      <c r="L287" s="170">
        <v>43297</v>
      </c>
      <c r="M287" s="116">
        <v>467.7</v>
      </c>
      <c r="N287" s="116">
        <v>476.45</v>
      </c>
      <c r="O287" s="116">
        <v>465</v>
      </c>
      <c r="P287" s="116">
        <v>473.55</v>
      </c>
      <c r="Q287" s="116">
        <v>467.7</v>
      </c>
      <c r="R287">
        <v>7891</v>
      </c>
    </row>
    <row r="288" spans="1:18" x14ac:dyDescent="0.25">
      <c r="A288" s="170">
        <v>43298</v>
      </c>
      <c r="B288" s="116">
        <v>476.45</v>
      </c>
      <c r="C288" s="116">
        <v>469.35</v>
      </c>
      <c r="D288" s="116">
        <v>458.35</v>
      </c>
      <c r="E288" s="116">
        <v>458.35</v>
      </c>
      <c r="F288" s="116">
        <v>469.35</v>
      </c>
      <c r="G288">
        <v>997</v>
      </c>
      <c r="H288" s="116"/>
      <c r="I288" s="116"/>
      <c r="L288" s="170">
        <v>43298</v>
      </c>
      <c r="M288" s="116">
        <v>468.55</v>
      </c>
      <c r="N288" s="116">
        <v>474.95</v>
      </c>
      <c r="O288" s="116">
        <v>462</v>
      </c>
      <c r="P288" s="116">
        <v>465</v>
      </c>
      <c r="Q288" s="116">
        <v>468.55</v>
      </c>
      <c r="R288">
        <v>8240</v>
      </c>
    </row>
    <row r="289" spans="1:18" x14ac:dyDescent="0.25">
      <c r="A289" s="170">
        <v>43299</v>
      </c>
      <c r="B289" s="116">
        <v>472.1</v>
      </c>
      <c r="C289" s="116">
        <v>470</v>
      </c>
      <c r="D289" s="116">
        <v>465.4</v>
      </c>
      <c r="E289" s="116">
        <v>466.5</v>
      </c>
      <c r="F289" s="116">
        <v>470</v>
      </c>
      <c r="G289">
        <v>705</v>
      </c>
      <c r="H289" s="116"/>
      <c r="I289" s="116"/>
      <c r="L289" s="170">
        <v>43299</v>
      </c>
      <c r="M289" s="116">
        <v>469.35</v>
      </c>
      <c r="N289" s="116">
        <v>475</v>
      </c>
      <c r="O289" s="116">
        <v>464</v>
      </c>
      <c r="P289" s="116">
        <v>469.4</v>
      </c>
      <c r="Q289" s="116">
        <v>469.35</v>
      </c>
      <c r="R289">
        <v>6573</v>
      </c>
    </row>
    <row r="290" spans="1:18" x14ac:dyDescent="0.25">
      <c r="A290" s="170">
        <v>43300</v>
      </c>
      <c r="B290" s="116">
        <v>470</v>
      </c>
      <c r="C290" s="116">
        <v>463.25</v>
      </c>
      <c r="D290" s="116">
        <v>462.9</v>
      </c>
      <c r="E290" s="116">
        <v>465.05</v>
      </c>
      <c r="F290" s="116">
        <v>463.25</v>
      </c>
      <c r="G290">
        <v>193</v>
      </c>
      <c r="H290" s="116"/>
      <c r="I290" s="116"/>
      <c r="L290" s="170">
        <v>43300</v>
      </c>
      <c r="M290" s="116">
        <v>465.25</v>
      </c>
      <c r="N290" s="116">
        <v>473.15</v>
      </c>
      <c r="O290" s="116">
        <v>462</v>
      </c>
      <c r="P290" s="116">
        <v>465.8</v>
      </c>
      <c r="Q290" s="116">
        <v>465.25</v>
      </c>
      <c r="R290">
        <v>3847</v>
      </c>
    </row>
    <row r="291" spans="1:18" x14ac:dyDescent="0.25">
      <c r="A291" s="170">
        <v>43301</v>
      </c>
      <c r="B291" s="116">
        <v>468.6</v>
      </c>
      <c r="C291" s="116">
        <v>465.35</v>
      </c>
      <c r="D291" s="116">
        <v>459.85</v>
      </c>
      <c r="E291" s="116">
        <v>459.85</v>
      </c>
      <c r="F291" s="116">
        <v>465.35</v>
      </c>
      <c r="G291">
        <v>2045</v>
      </c>
      <c r="H291" s="116"/>
      <c r="I291" s="116"/>
      <c r="L291" s="170">
        <v>43301</v>
      </c>
      <c r="M291" s="116">
        <v>468.55</v>
      </c>
      <c r="N291" s="116">
        <v>473</v>
      </c>
      <c r="O291" s="116">
        <v>462</v>
      </c>
      <c r="P291" s="116">
        <v>463</v>
      </c>
      <c r="Q291" s="116">
        <v>468.55</v>
      </c>
      <c r="R291">
        <v>5689</v>
      </c>
    </row>
    <row r="292" spans="1:18" x14ac:dyDescent="0.25">
      <c r="A292" s="170">
        <v>43304</v>
      </c>
      <c r="B292" s="116">
        <v>470</v>
      </c>
      <c r="C292" s="116">
        <v>469.9</v>
      </c>
      <c r="D292" s="116">
        <v>456</v>
      </c>
      <c r="E292" s="116">
        <v>468</v>
      </c>
      <c r="F292" s="116">
        <v>469.9</v>
      </c>
      <c r="G292">
        <v>1237</v>
      </c>
      <c r="H292" s="116"/>
      <c r="I292" s="116"/>
      <c r="L292" s="170">
        <v>43304</v>
      </c>
      <c r="M292" s="116">
        <v>464.2</v>
      </c>
      <c r="N292" s="116">
        <v>470</v>
      </c>
      <c r="O292" s="116">
        <v>453</v>
      </c>
      <c r="P292" s="116">
        <v>462.1</v>
      </c>
      <c r="Q292" s="116">
        <v>464.2</v>
      </c>
      <c r="R292">
        <v>16446</v>
      </c>
    </row>
    <row r="293" spans="1:18" x14ac:dyDescent="0.25">
      <c r="A293" s="170">
        <v>43305</v>
      </c>
      <c r="B293" s="116">
        <v>480</v>
      </c>
      <c r="C293" s="116">
        <v>473</v>
      </c>
      <c r="D293" s="116">
        <v>462</v>
      </c>
      <c r="E293" s="116">
        <v>462</v>
      </c>
      <c r="F293" s="116">
        <v>473</v>
      </c>
      <c r="G293">
        <v>1870</v>
      </c>
      <c r="H293" s="116"/>
      <c r="I293" s="116"/>
      <c r="L293" s="170">
        <v>43305</v>
      </c>
      <c r="M293" s="116">
        <v>479.45</v>
      </c>
      <c r="N293" s="116">
        <v>481</v>
      </c>
      <c r="O293" s="116">
        <v>461</v>
      </c>
      <c r="P293" s="116">
        <v>462</v>
      </c>
      <c r="Q293" s="116">
        <v>479.45</v>
      </c>
      <c r="R293">
        <v>22395</v>
      </c>
    </row>
    <row r="294" spans="1:18" x14ac:dyDescent="0.25">
      <c r="A294" s="170">
        <v>43306</v>
      </c>
      <c r="B294" s="116">
        <v>479.75</v>
      </c>
      <c r="C294" s="116">
        <v>474.95</v>
      </c>
      <c r="D294" s="116">
        <v>474.05</v>
      </c>
      <c r="E294" s="116">
        <v>479.75</v>
      </c>
      <c r="F294" s="116">
        <v>474.95</v>
      </c>
      <c r="G294">
        <v>1019</v>
      </c>
      <c r="H294" s="116"/>
      <c r="I294" s="116"/>
      <c r="L294" s="170">
        <v>43306</v>
      </c>
      <c r="M294" s="116">
        <v>475</v>
      </c>
      <c r="N294" s="116">
        <v>482.85</v>
      </c>
      <c r="O294" s="116">
        <v>471.5</v>
      </c>
      <c r="P294" s="116">
        <v>478.1</v>
      </c>
      <c r="Q294" s="116">
        <v>475</v>
      </c>
      <c r="R294">
        <v>10960</v>
      </c>
    </row>
    <row r="295" spans="1:18" x14ac:dyDescent="0.25">
      <c r="A295" s="170">
        <v>43307</v>
      </c>
      <c r="B295" s="116">
        <v>493</v>
      </c>
      <c r="C295" s="116">
        <v>482.15</v>
      </c>
      <c r="D295" s="116">
        <v>474</v>
      </c>
      <c r="E295" s="116">
        <v>474</v>
      </c>
      <c r="F295" s="116">
        <v>482.15</v>
      </c>
      <c r="G295">
        <v>2321</v>
      </c>
      <c r="H295" s="116"/>
      <c r="I295" s="116"/>
      <c r="L295" s="170">
        <v>43307</v>
      </c>
      <c r="M295" s="116">
        <v>479.8</v>
      </c>
      <c r="N295" s="116">
        <v>492</v>
      </c>
      <c r="O295" s="116">
        <v>474.15</v>
      </c>
      <c r="P295" s="116">
        <v>479.9</v>
      </c>
      <c r="Q295" s="116">
        <v>479.8</v>
      </c>
      <c r="R295">
        <v>28321</v>
      </c>
    </row>
    <row r="296" spans="1:18" x14ac:dyDescent="0.25">
      <c r="A296" s="170">
        <v>43308</v>
      </c>
      <c r="B296" s="116">
        <v>483.85</v>
      </c>
      <c r="C296" s="116">
        <v>474.25</v>
      </c>
      <c r="D296" s="116">
        <v>474</v>
      </c>
      <c r="E296" s="116">
        <v>483.85</v>
      </c>
      <c r="F296" s="116">
        <v>474.25</v>
      </c>
      <c r="G296">
        <v>1001</v>
      </c>
      <c r="H296" s="116"/>
      <c r="I296" s="116"/>
      <c r="L296" s="170">
        <v>43308</v>
      </c>
      <c r="M296" s="116">
        <v>476.1</v>
      </c>
      <c r="N296" s="116">
        <v>484.65</v>
      </c>
      <c r="O296" s="116">
        <v>473.65</v>
      </c>
      <c r="P296" s="116">
        <v>483</v>
      </c>
      <c r="Q296" s="116">
        <v>476.1</v>
      </c>
      <c r="R296">
        <v>15893</v>
      </c>
    </row>
    <row r="297" spans="1:18" x14ac:dyDescent="0.25">
      <c r="A297" s="170">
        <v>43311</v>
      </c>
      <c r="B297" s="116">
        <v>495</v>
      </c>
      <c r="C297" s="116">
        <v>491.35</v>
      </c>
      <c r="D297" s="116">
        <v>481</v>
      </c>
      <c r="E297" s="116">
        <v>486.9</v>
      </c>
      <c r="F297" s="116">
        <v>491.35</v>
      </c>
      <c r="G297">
        <v>3165</v>
      </c>
      <c r="H297" s="116"/>
      <c r="I297" s="116"/>
      <c r="L297" s="170">
        <v>43311</v>
      </c>
      <c r="M297" s="116">
        <v>489.35</v>
      </c>
      <c r="N297" s="116">
        <v>494</v>
      </c>
      <c r="O297" s="116">
        <v>480.5</v>
      </c>
      <c r="P297" s="116">
        <v>484.9</v>
      </c>
      <c r="Q297" s="116">
        <v>489.35</v>
      </c>
      <c r="R297">
        <v>36684</v>
      </c>
    </row>
    <row r="298" spans="1:18" x14ac:dyDescent="0.25">
      <c r="A298" s="170">
        <v>43312</v>
      </c>
      <c r="B298" s="116">
        <v>493</v>
      </c>
      <c r="C298" s="116">
        <v>488.6</v>
      </c>
      <c r="D298" s="116">
        <v>483</v>
      </c>
      <c r="E298" s="116">
        <v>487.75</v>
      </c>
      <c r="F298" s="116">
        <v>488.6</v>
      </c>
      <c r="G298">
        <v>827</v>
      </c>
      <c r="H298" s="116"/>
      <c r="I298" s="116"/>
      <c r="L298" s="170">
        <v>43312</v>
      </c>
      <c r="M298" s="116">
        <v>486.55</v>
      </c>
      <c r="N298" s="116">
        <v>493.95</v>
      </c>
      <c r="O298" s="116">
        <v>480.15</v>
      </c>
      <c r="P298" s="116">
        <v>493.95</v>
      </c>
      <c r="Q298" s="116">
        <v>486.55</v>
      </c>
      <c r="R298">
        <v>10347</v>
      </c>
    </row>
    <row r="299" spans="1:18" x14ac:dyDescent="0.25">
      <c r="A299" s="170">
        <v>43313</v>
      </c>
      <c r="B299" s="116">
        <v>489.95</v>
      </c>
      <c r="C299" s="116">
        <v>476.8</v>
      </c>
      <c r="D299" s="116">
        <v>474</v>
      </c>
      <c r="E299" s="116">
        <v>489.95</v>
      </c>
      <c r="F299" s="116">
        <v>476.8</v>
      </c>
      <c r="G299">
        <v>979</v>
      </c>
      <c r="H299" s="116"/>
      <c r="I299" s="116"/>
      <c r="L299" s="170">
        <v>43313</v>
      </c>
      <c r="M299" s="116">
        <v>476.8</v>
      </c>
      <c r="N299" s="116">
        <v>494.95</v>
      </c>
      <c r="O299" s="116">
        <v>473.35</v>
      </c>
      <c r="P299" s="116">
        <v>494.95</v>
      </c>
      <c r="Q299" s="116">
        <v>476.8</v>
      </c>
      <c r="R299">
        <v>10794</v>
      </c>
    </row>
    <row r="300" spans="1:18" x14ac:dyDescent="0.25">
      <c r="A300" s="170">
        <v>43314</v>
      </c>
      <c r="B300" s="116">
        <v>478</v>
      </c>
      <c r="C300" s="116">
        <v>463.7</v>
      </c>
      <c r="D300" s="116">
        <v>460</v>
      </c>
      <c r="E300" s="116">
        <v>478</v>
      </c>
      <c r="F300" s="116">
        <v>463.7</v>
      </c>
      <c r="G300">
        <v>2720</v>
      </c>
      <c r="H300" s="116"/>
      <c r="I300" s="116"/>
      <c r="L300" s="170">
        <v>43314</v>
      </c>
      <c r="M300" s="116">
        <v>461.4</v>
      </c>
      <c r="N300" s="116">
        <v>478.05</v>
      </c>
      <c r="O300" s="116">
        <v>457.1</v>
      </c>
      <c r="P300" s="116">
        <v>477.9</v>
      </c>
      <c r="Q300" s="116">
        <v>461.4</v>
      </c>
      <c r="R300">
        <v>49702</v>
      </c>
    </row>
    <row r="301" spans="1:18" x14ac:dyDescent="0.25">
      <c r="A301" s="170">
        <v>43315</v>
      </c>
      <c r="B301" s="116">
        <v>478</v>
      </c>
      <c r="C301" s="116">
        <v>477.4</v>
      </c>
      <c r="D301" s="116">
        <v>462</v>
      </c>
      <c r="E301" s="116">
        <v>462</v>
      </c>
      <c r="F301" s="116">
        <v>477.4</v>
      </c>
      <c r="G301">
        <v>1496</v>
      </c>
      <c r="H301" s="116"/>
      <c r="I301" s="116"/>
      <c r="L301" s="170">
        <v>43315</v>
      </c>
      <c r="M301" s="116">
        <v>474.25</v>
      </c>
      <c r="N301" s="116">
        <v>477.5</v>
      </c>
      <c r="O301" s="116">
        <v>465</v>
      </c>
      <c r="P301" s="116">
        <v>465</v>
      </c>
      <c r="Q301" s="116">
        <v>474.25</v>
      </c>
      <c r="R301">
        <v>26995</v>
      </c>
    </row>
    <row r="302" spans="1:18" x14ac:dyDescent="0.25">
      <c r="A302" s="170">
        <v>43318</v>
      </c>
      <c r="B302" s="116">
        <v>483.9</v>
      </c>
      <c r="C302" s="116">
        <v>479.2</v>
      </c>
      <c r="D302" s="116">
        <v>472</v>
      </c>
      <c r="E302" s="116">
        <v>479</v>
      </c>
      <c r="F302" s="116">
        <v>479.2</v>
      </c>
      <c r="G302">
        <v>1199</v>
      </c>
      <c r="H302" s="116"/>
      <c r="I302" s="116"/>
      <c r="L302" s="170">
        <v>43318</v>
      </c>
      <c r="M302" s="116">
        <v>481.2</v>
      </c>
      <c r="N302" s="116">
        <v>490</v>
      </c>
      <c r="O302" s="116">
        <v>472.25</v>
      </c>
      <c r="P302" s="116">
        <v>490</v>
      </c>
      <c r="Q302" s="116">
        <v>481.2</v>
      </c>
      <c r="R302">
        <v>10647</v>
      </c>
    </row>
    <row r="303" spans="1:18" x14ac:dyDescent="0.25">
      <c r="A303" s="170">
        <v>43319</v>
      </c>
      <c r="B303" s="116">
        <v>482.95</v>
      </c>
      <c r="C303" s="116">
        <v>475.15</v>
      </c>
      <c r="D303" s="116">
        <v>472.85</v>
      </c>
      <c r="E303" s="116">
        <v>480.05</v>
      </c>
      <c r="F303" s="116">
        <v>475.15</v>
      </c>
      <c r="G303">
        <v>1190</v>
      </c>
      <c r="H303" s="116"/>
      <c r="I303" s="116"/>
      <c r="L303" s="170">
        <v>43319</v>
      </c>
      <c r="M303" s="116">
        <v>477.35</v>
      </c>
      <c r="N303" s="116">
        <v>485</v>
      </c>
      <c r="O303" s="116">
        <v>473</v>
      </c>
      <c r="P303" s="116">
        <v>481.25</v>
      </c>
      <c r="Q303" s="116">
        <v>477.35</v>
      </c>
      <c r="R303">
        <v>9747</v>
      </c>
    </row>
    <row r="304" spans="1:18" x14ac:dyDescent="0.25">
      <c r="A304" s="170">
        <v>43320</v>
      </c>
      <c r="B304" s="116">
        <v>490</v>
      </c>
      <c r="C304" s="116">
        <v>485.4</v>
      </c>
      <c r="D304" s="116">
        <v>480.15</v>
      </c>
      <c r="E304" s="116">
        <v>482</v>
      </c>
      <c r="F304" s="116">
        <v>485.4</v>
      </c>
      <c r="G304">
        <v>1495</v>
      </c>
      <c r="H304" s="116"/>
      <c r="I304" s="116"/>
      <c r="L304" s="170">
        <v>43320</v>
      </c>
      <c r="M304" s="116">
        <v>483.05</v>
      </c>
      <c r="N304" s="116">
        <v>490</v>
      </c>
      <c r="O304" s="116">
        <v>475</v>
      </c>
      <c r="P304" s="116">
        <v>475.05</v>
      </c>
      <c r="Q304" s="116">
        <v>483.05</v>
      </c>
      <c r="R304">
        <v>22050</v>
      </c>
    </row>
    <row r="305" spans="1:18" x14ac:dyDescent="0.25">
      <c r="A305" s="170">
        <v>43321</v>
      </c>
      <c r="B305" s="116">
        <v>493.5</v>
      </c>
      <c r="C305" s="116">
        <v>483.9</v>
      </c>
      <c r="D305" s="116">
        <v>479.85</v>
      </c>
      <c r="E305" s="116">
        <v>490</v>
      </c>
      <c r="F305" s="116">
        <v>483.9</v>
      </c>
      <c r="G305">
        <v>53968</v>
      </c>
      <c r="H305" s="116"/>
      <c r="I305" s="116"/>
      <c r="L305" s="170">
        <v>43321</v>
      </c>
      <c r="M305" s="116">
        <v>481.75</v>
      </c>
      <c r="N305" s="116">
        <v>493.4</v>
      </c>
      <c r="O305" s="116">
        <v>475</v>
      </c>
      <c r="P305" s="116">
        <v>490</v>
      </c>
      <c r="Q305" s="116">
        <v>481.75</v>
      </c>
      <c r="R305">
        <v>105049</v>
      </c>
    </row>
    <row r="306" spans="1:18" x14ac:dyDescent="0.25">
      <c r="A306" s="170">
        <v>43322</v>
      </c>
      <c r="B306" s="116">
        <v>487.05</v>
      </c>
      <c r="C306" s="116">
        <v>477</v>
      </c>
      <c r="D306" s="116">
        <v>475</v>
      </c>
      <c r="E306" s="116">
        <v>480</v>
      </c>
      <c r="F306" s="116">
        <v>477</v>
      </c>
      <c r="G306">
        <v>1298</v>
      </c>
      <c r="H306" s="116"/>
      <c r="I306" s="116"/>
      <c r="L306" s="170">
        <v>43322</v>
      </c>
      <c r="M306" s="116">
        <v>483.25</v>
      </c>
      <c r="N306" s="116">
        <v>487.9</v>
      </c>
      <c r="O306" s="116">
        <v>475</v>
      </c>
      <c r="P306" s="116">
        <v>487</v>
      </c>
      <c r="Q306" s="116">
        <v>483.25</v>
      </c>
      <c r="R306">
        <v>11820</v>
      </c>
    </row>
    <row r="307" spans="1:18" x14ac:dyDescent="0.25">
      <c r="A307" s="170">
        <v>43325</v>
      </c>
      <c r="B307" s="116">
        <v>484.95</v>
      </c>
      <c r="C307" s="116">
        <v>474.15</v>
      </c>
      <c r="D307" s="116">
        <v>472.5</v>
      </c>
      <c r="E307" s="116">
        <v>480</v>
      </c>
      <c r="F307" s="116">
        <v>474.15</v>
      </c>
      <c r="G307">
        <v>1782</v>
      </c>
      <c r="H307" s="116"/>
      <c r="I307" s="116"/>
      <c r="L307" s="170">
        <v>43325</v>
      </c>
      <c r="M307" s="116">
        <v>477</v>
      </c>
      <c r="N307" s="116">
        <v>485.8</v>
      </c>
      <c r="O307" s="116">
        <v>471</v>
      </c>
      <c r="P307" s="116">
        <v>485.8</v>
      </c>
      <c r="Q307" s="116">
        <v>477</v>
      </c>
      <c r="R307">
        <v>19245</v>
      </c>
    </row>
    <row r="308" spans="1:18" x14ac:dyDescent="0.25">
      <c r="A308" s="170">
        <v>43326</v>
      </c>
      <c r="B308" s="116">
        <v>478.2</v>
      </c>
      <c r="C308" s="116">
        <v>473.25</v>
      </c>
      <c r="D308" s="116">
        <v>470.15</v>
      </c>
      <c r="E308" s="116">
        <v>474.5</v>
      </c>
      <c r="F308" s="116">
        <v>473.25</v>
      </c>
      <c r="G308">
        <v>781</v>
      </c>
      <c r="H308" s="116"/>
      <c r="I308" s="116"/>
      <c r="L308" s="170">
        <v>43326</v>
      </c>
      <c r="M308" s="116">
        <v>471.65</v>
      </c>
      <c r="N308" s="116">
        <v>481</v>
      </c>
      <c r="O308" s="116">
        <v>468.75</v>
      </c>
      <c r="P308" s="116">
        <v>477</v>
      </c>
      <c r="Q308" s="116">
        <v>471.65</v>
      </c>
      <c r="R308">
        <v>6780</v>
      </c>
    </row>
    <row r="309" spans="1:18" x14ac:dyDescent="0.25">
      <c r="A309" s="170">
        <v>43328</v>
      </c>
      <c r="B309" s="116">
        <v>475.85</v>
      </c>
      <c r="C309" s="116">
        <v>469.85</v>
      </c>
      <c r="D309" s="116">
        <v>464</v>
      </c>
      <c r="E309" s="116">
        <v>471.05</v>
      </c>
      <c r="F309" s="116">
        <v>469.85</v>
      </c>
      <c r="G309">
        <v>1250</v>
      </c>
      <c r="H309" s="116"/>
      <c r="I309" s="116"/>
      <c r="L309" s="170">
        <v>43328</v>
      </c>
      <c r="M309" s="116">
        <v>466.1</v>
      </c>
      <c r="N309" s="116">
        <v>479</v>
      </c>
      <c r="O309" s="116">
        <v>460</v>
      </c>
      <c r="P309" s="116">
        <v>479</v>
      </c>
      <c r="Q309" s="116">
        <v>466.1</v>
      </c>
      <c r="R309">
        <v>13538</v>
      </c>
    </row>
    <row r="310" spans="1:18" x14ac:dyDescent="0.25">
      <c r="A310" s="170">
        <v>43329</v>
      </c>
      <c r="B310" s="116">
        <v>477</v>
      </c>
      <c r="C310" s="116">
        <v>471.55</v>
      </c>
      <c r="D310" s="116">
        <v>461.05</v>
      </c>
      <c r="E310" s="116">
        <v>461.05</v>
      </c>
      <c r="F310" s="116">
        <v>471.55</v>
      </c>
      <c r="G310">
        <v>724</v>
      </c>
      <c r="H310" s="116"/>
      <c r="I310" s="116"/>
      <c r="L310" s="170">
        <v>43329</v>
      </c>
      <c r="M310" s="116">
        <v>474.65</v>
      </c>
      <c r="N310" s="116">
        <v>476</v>
      </c>
      <c r="O310" s="116">
        <v>466.2</v>
      </c>
      <c r="P310" s="116">
        <v>466.25</v>
      </c>
      <c r="Q310" s="116">
        <v>474.65</v>
      </c>
      <c r="R310">
        <v>7471</v>
      </c>
    </row>
    <row r="311" spans="1:18" x14ac:dyDescent="0.25">
      <c r="A311" s="170">
        <v>43332</v>
      </c>
      <c r="B311" s="116">
        <v>477</v>
      </c>
      <c r="C311" s="116">
        <v>474.9</v>
      </c>
      <c r="D311" s="116">
        <v>469.95</v>
      </c>
      <c r="E311" s="116">
        <v>470.05</v>
      </c>
      <c r="F311" s="116">
        <v>474.9</v>
      </c>
      <c r="G311">
        <v>2737</v>
      </c>
      <c r="H311" s="116"/>
      <c r="I311" s="116"/>
      <c r="L311" s="170">
        <v>43332</v>
      </c>
      <c r="M311" s="116">
        <v>469.3</v>
      </c>
      <c r="N311" s="116">
        <v>484</v>
      </c>
      <c r="O311" s="116">
        <v>467.5</v>
      </c>
      <c r="P311" s="116">
        <v>475</v>
      </c>
      <c r="Q311" s="116">
        <v>469.3</v>
      </c>
      <c r="R311">
        <v>10540</v>
      </c>
    </row>
    <row r="312" spans="1:18" x14ac:dyDescent="0.25">
      <c r="A312" s="170">
        <v>43333</v>
      </c>
      <c r="B312" s="116">
        <v>475</v>
      </c>
      <c r="C312" s="116">
        <v>467.9</v>
      </c>
      <c r="D312" s="116">
        <v>465</v>
      </c>
      <c r="E312" s="116">
        <v>475</v>
      </c>
      <c r="F312" s="116">
        <v>467.9</v>
      </c>
      <c r="G312">
        <v>2159</v>
      </c>
      <c r="H312" s="116"/>
      <c r="I312" s="116"/>
      <c r="L312" s="170">
        <v>43333</v>
      </c>
      <c r="M312" s="116">
        <v>469.45</v>
      </c>
      <c r="N312" s="116">
        <v>475</v>
      </c>
      <c r="O312" s="116">
        <v>463.2</v>
      </c>
      <c r="P312" s="116">
        <v>466.1</v>
      </c>
      <c r="Q312" s="116">
        <v>469.45</v>
      </c>
      <c r="R312">
        <v>13215</v>
      </c>
    </row>
    <row r="313" spans="1:18" x14ac:dyDescent="0.25">
      <c r="A313" s="170">
        <v>43335</v>
      </c>
      <c r="B313" s="116">
        <v>469</v>
      </c>
      <c r="C313" s="116">
        <v>457.35</v>
      </c>
      <c r="D313" s="116">
        <v>456.15</v>
      </c>
      <c r="E313" s="116">
        <v>465.2</v>
      </c>
      <c r="F313" s="116">
        <v>457.35</v>
      </c>
      <c r="G313">
        <v>10730</v>
      </c>
      <c r="H313" s="116"/>
      <c r="I313" s="116"/>
      <c r="L313" s="170">
        <v>43335</v>
      </c>
      <c r="M313" s="116">
        <v>462.85</v>
      </c>
      <c r="N313" s="116">
        <v>471.45</v>
      </c>
      <c r="O313" s="116">
        <v>460.25</v>
      </c>
      <c r="P313" s="116">
        <v>471.4</v>
      </c>
      <c r="Q313" s="116">
        <v>462.85</v>
      </c>
      <c r="R313">
        <v>15524</v>
      </c>
    </row>
    <row r="314" spans="1:18" x14ac:dyDescent="0.25">
      <c r="A314" s="170">
        <v>43336</v>
      </c>
      <c r="B314" s="116">
        <v>465</v>
      </c>
      <c r="C314" s="116">
        <v>460.85</v>
      </c>
      <c r="D314" s="116">
        <v>457</v>
      </c>
      <c r="E314" s="116">
        <v>465</v>
      </c>
      <c r="F314" s="116">
        <v>460.85</v>
      </c>
      <c r="G314">
        <v>2224</v>
      </c>
      <c r="H314" s="116"/>
      <c r="I314" s="116"/>
      <c r="L314" s="170">
        <v>43336</v>
      </c>
      <c r="M314" s="116">
        <v>462.4</v>
      </c>
      <c r="N314" s="116">
        <v>465</v>
      </c>
      <c r="O314" s="116">
        <v>455.8</v>
      </c>
      <c r="P314" s="116">
        <v>461</v>
      </c>
      <c r="Q314" s="116">
        <v>462.4</v>
      </c>
      <c r="R314">
        <v>22043</v>
      </c>
    </row>
    <row r="315" spans="1:18" x14ac:dyDescent="0.25">
      <c r="A315" s="170">
        <v>43339</v>
      </c>
      <c r="B315" s="116">
        <v>465</v>
      </c>
      <c r="C315" s="116">
        <v>451.75</v>
      </c>
      <c r="D315" s="116">
        <v>450</v>
      </c>
      <c r="E315" s="116">
        <v>461</v>
      </c>
      <c r="F315" s="116">
        <v>451.75</v>
      </c>
      <c r="G315">
        <v>3391</v>
      </c>
      <c r="H315" s="116"/>
      <c r="I315" s="116"/>
      <c r="L315" s="170">
        <v>43339</v>
      </c>
      <c r="M315" s="116">
        <v>451.45</v>
      </c>
      <c r="N315" s="116">
        <v>465.25</v>
      </c>
      <c r="O315" s="116">
        <v>447</v>
      </c>
      <c r="P315" s="116">
        <v>464.7</v>
      </c>
      <c r="Q315" s="116">
        <v>451.45</v>
      </c>
      <c r="R315">
        <v>22113</v>
      </c>
    </row>
    <row r="316" spans="1:18" x14ac:dyDescent="0.25">
      <c r="A316" s="170">
        <v>43340</v>
      </c>
      <c r="B316" s="116">
        <v>470</v>
      </c>
      <c r="C316" s="116">
        <v>465.6</v>
      </c>
      <c r="D316" s="116">
        <v>450.05</v>
      </c>
      <c r="E316" s="116">
        <v>456</v>
      </c>
      <c r="F316" s="116">
        <v>465.6</v>
      </c>
      <c r="G316">
        <v>2432</v>
      </c>
      <c r="H316" s="116"/>
      <c r="I316" s="116"/>
      <c r="L316" s="170">
        <v>43340</v>
      </c>
      <c r="M316" s="116">
        <v>467.1</v>
      </c>
      <c r="N316" s="116">
        <v>475.05</v>
      </c>
      <c r="O316" s="116">
        <v>450</v>
      </c>
      <c r="P316" s="116">
        <v>450.1</v>
      </c>
      <c r="Q316" s="116">
        <v>467.1</v>
      </c>
      <c r="R316">
        <v>67426</v>
      </c>
    </row>
    <row r="317" spans="1:18" x14ac:dyDescent="0.25">
      <c r="A317" s="170">
        <v>43341</v>
      </c>
      <c r="B317" s="116">
        <v>486</v>
      </c>
      <c r="C317" s="116">
        <v>474.55</v>
      </c>
      <c r="D317" s="116">
        <v>465</v>
      </c>
      <c r="E317" s="116">
        <v>466</v>
      </c>
      <c r="F317" s="116">
        <v>474.55</v>
      </c>
      <c r="G317">
        <v>7682</v>
      </c>
      <c r="H317" s="116"/>
      <c r="I317" s="116"/>
      <c r="L317" s="170">
        <v>43341</v>
      </c>
      <c r="M317" s="116">
        <v>482.35</v>
      </c>
      <c r="N317" s="116">
        <v>488.7</v>
      </c>
      <c r="O317" s="116">
        <v>462</v>
      </c>
      <c r="P317" s="116">
        <v>468</v>
      </c>
      <c r="Q317" s="116">
        <v>482.35</v>
      </c>
      <c r="R317">
        <v>64554</v>
      </c>
    </row>
    <row r="318" spans="1:18" x14ac:dyDescent="0.25">
      <c r="A318" s="170">
        <v>43342</v>
      </c>
      <c r="B318" s="116">
        <v>499.45</v>
      </c>
      <c r="C318" s="116">
        <v>491</v>
      </c>
      <c r="D318" s="116">
        <v>476.3</v>
      </c>
      <c r="E318" s="116">
        <v>476.3</v>
      </c>
      <c r="F318" s="116">
        <v>491</v>
      </c>
      <c r="G318">
        <v>3561</v>
      </c>
      <c r="H318" s="116"/>
      <c r="I318" s="116"/>
      <c r="L318" s="170">
        <v>43342</v>
      </c>
      <c r="M318" s="116">
        <v>490.85</v>
      </c>
      <c r="N318" s="116">
        <v>500</v>
      </c>
      <c r="O318" s="116">
        <v>476</v>
      </c>
      <c r="P318" s="116">
        <v>482</v>
      </c>
      <c r="Q318" s="116">
        <v>490.85</v>
      </c>
      <c r="R318">
        <v>44068</v>
      </c>
    </row>
    <row r="319" spans="1:18" x14ac:dyDescent="0.25">
      <c r="A319" s="170">
        <v>43343</v>
      </c>
      <c r="B319" s="116">
        <v>501</v>
      </c>
      <c r="C319" s="116">
        <v>497.95</v>
      </c>
      <c r="D319" s="116">
        <v>480.1</v>
      </c>
      <c r="E319" s="116">
        <v>491</v>
      </c>
      <c r="F319" s="116">
        <v>497.95</v>
      </c>
      <c r="G319">
        <v>4096</v>
      </c>
      <c r="H319" s="116"/>
      <c r="I319" s="116"/>
      <c r="L319" s="170">
        <v>43343</v>
      </c>
      <c r="M319" s="116">
        <v>500.6</v>
      </c>
      <c r="N319" s="116">
        <v>505</v>
      </c>
      <c r="O319" s="116">
        <v>480</v>
      </c>
      <c r="P319" s="116">
        <v>490.9</v>
      </c>
      <c r="Q319" s="116">
        <v>500.6</v>
      </c>
      <c r="R319">
        <v>25317</v>
      </c>
    </row>
    <row r="320" spans="1:18" x14ac:dyDescent="0.25">
      <c r="A320" s="170">
        <v>43346</v>
      </c>
      <c r="B320" s="116">
        <v>502.8</v>
      </c>
      <c r="C320" s="116">
        <v>492.8</v>
      </c>
      <c r="D320" s="116">
        <v>489.6</v>
      </c>
      <c r="E320" s="116">
        <v>500</v>
      </c>
      <c r="F320" s="116">
        <v>492.8</v>
      </c>
      <c r="G320">
        <v>2641</v>
      </c>
      <c r="H320" s="116"/>
      <c r="I320" s="116"/>
      <c r="L320" s="170">
        <v>43346</v>
      </c>
      <c r="M320" s="116">
        <v>494.55</v>
      </c>
      <c r="N320" s="116">
        <v>505</v>
      </c>
      <c r="O320" s="116">
        <v>490.5</v>
      </c>
      <c r="P320" s="116">
        <v>505</v>
      </c>
      <c r="Q320" s="116">
        <v>494.55</v>
      </c>
      <c r="R320">
        <v>28069</v>
      </c>
    </row>
    <row r="321" spans="1:18" x14ac:dyDescent="0.25">
      <c r="A321" s="170">
        <v>43347</v>
      </c>
      <c r="B321" s="116">
        <v>499.45</v>
      </c>
      <c r="C321" s="116">
        <v>489.8</v>
      </c>
      <c r="D321" s="116">
        <v>484</v>
      </c>
      <c r="E321" s="116">
        <v>495</v>
      </c>
      <c r="F321" s="116">
        <v>489.8</v>
      </c>
      <c r="G321">
        <v>1180</v>
      </c>
      <c r="H321" s="116"/>
      <c r="I321" s="116"/>
      <c r="L321" s="170">
        <v>43347</v>
      </c>
      <c r="M321" s="116">
        <v>485.3</v>
      </c>
      <c r="N321" s="116">
        <v>501.95</v>
      </c>
      <c r="O321" s="116">
        <v>482</v>
      </c>
      <c r="P321" s="116">
        <v>498</v>
      </c>
      <c r="Q321" s="116">
        <v>485.3</v>
      </c>
      <c r="R321">
        <v>25314</v>
      </c>
    </row>
    <row r="322" spans="1:18" x14ac:dyDescent="0.25">
      <c r="A322" s="170">
        <v>43348</v>
      </c>
      <c r="B322" s="116">
        <v>500</v>
      </c>
      <c r="C322" s="116">
        <v>481.2</v>
      </c>
      <c r="D322" s="116">
        <v>472.25</v>
      </c>
      <c r="E322" s="116">
        <v>500</v>
      </c>
      <c r="F322" s="116">
        <v>481.2</v>
      </c>
      <c r="G322">
        <v>1767</v>
      </c>
      <c r="H322" s="116"/>
      <c r="I322" s="116"/>
      <c r="L322" s="170">
        <v>43348</v>
      </c>
      <c r="M322" s="116">
        <v>481.25</v>
      </c>
      <c r="N322" s="116">
        <v>492.15</v>
      </c>
      <c r="O322" s="116">
        <v>470</v>
      </c>
      <c r="P322" s="116">
        <v>486.6</v>
      </c>
      <c r="Q322" s="116">
        <v>481.25</v>
      </c>
      <c r="R322">
        <v>14932</v>
      </c>
    </row>
    <row r="323" spans="1:18" x14ac:dyDescent="0.25">
      <c r="A323" s="170">
        <v>43349</v>
      </c>
      <c r="B323" s="116">
        <v>509.7</v>
      </c>
      <c r="C323" s="116">
        <v>493.9</v>
      </c>
      <c r="D323" s="116">
        <v>487.6</v>
      </c>
      <c r="E323" s="116">
        <v>499.9</v>
      </c>
      <c r="F323" s="116">
        <v>493.9</v>
      </c>
      <c r="G323">
        <v>8105</v>
      </c>
      <c r="H323" s="116"/>
      <c r="I323" s="116"/>
      <c r="L323" s="170">
        <v>43349</v>
      </c>
      <c r="M323" s="116">
        <v>492.35</v>
      </c>
      <c r="N323" s="116">
        <v>510.9</v>
      </c>
      <c r="O323" s="116">
        <v>487</v>
      </c>
      <c r="P323" s="116">
        <v>500</v>
      </c>
      <c r="Q323" s="116">
        <v>492.35</v>
      </c>
      <c r="R323">
        <v>66297</v>
      </c>
    </row>
    <row r="324" spans="1:18" x14ac:dyDescent="0.25">
      <c r="A324" s="170">
        <v>43350</v>
      </c>
      <c r="B324" s="116">
        <v>491.7</v>
      </c>
      <c r="C324" s="116">
        <v>487.45</v>
      </c>
      <c r="D324" s="116">
        <v>485.95</v>
      </c>
      <c r="E324" s="116">
        <v>491.7</v>
      </c>
      <c r="F324" s="116">
        <v>487.45</v>
      </c>
      <c r="G324">
        <v>680</v>
      </c>
      <c r="H324" s="116"/>
      <c r="I324" s="116"/>
      <c r="L324" s="170">
        <v>43350</v>
      </c>
      <c r="M324" s="116">
        <v>486.2</v>
      </c>
      <c r="N324" s="116">
        <v>492.9</v>
      </c>
      <c r="O324" s="116">
        <v>482.45</v>
      </c>
      <c r="P324" s="116">
        <v>490.9</v>
      </c>
      <c r="Q324" s="116">
        <v>486.2</v>
      </c>
      <c r="R324">
        <v>8409</v>
      </c>
    </row>
    <row r="325" spans="1:18" x14ac:dyDescent="0.25">
      <c r="A325" s="170">
        <v>43353</v>
      </c>
      <c r="B325" s="116">
        <v>492.65</v>
      </c>
      <c r="C325" s="116">
        <v>488.6</v>
      </c>
      <c r="D325" s="116">
        <v>481.15</v>
      </c>
      <c r="E325" s="116">
        <v>484.35</v>
      </c>
      <c r="F325" s="116">
        <v>488.6</v>
      </c>
      <c r="G325">
        <v>987</v>
      </c>
      <c r="H325" s="116"/>
      <c r="I325" s="116"/>
      <c r="L325" s="170">
        <v>43353</v>
      </c>
      <c r="M325" s="116">
        <v>486.15</v>
      </c>
      <c r="N325" s="116">
        <v>491.95</v>
      </c>
      <c r="O325" s="116">
        <v>475</v>
      </c>
      <c r="P325" s="116">
        <v>484.95</v>
      </c>
      <c r="Q325" s="116">
        <v>486.15</v>
      </c>
      <c r="R325">
        <v>33459</v>
      </c>
    </row>
    <row r="326" spans="1:18" x14ac:dyDescent="0.25">
      <c r="A326" s="170">
        <v>43354</v>
      </c>
      <c r="B326" s="116">
        <v>490.95</v>
      </c>
      <c r="C326" s="116">
        <v>480.2</v>
      </c>
      <c r="D326" s="116">
        <v>479</v>
      </c>
      <c r="E326" s="116">
        <v>485.6</v>
      </c>
      <c r="F326" s="116">
        <v>480.2</v>
      </c>
      <c r="G326">
        <v>1124</v>
      </c>
      <c r="H326" s="116"/>
      <c r="I326" s="116"/>
      <c r="L326" s="170">
        <v>43354</v>
      </c>
      <c r="M326" s="116">
        <v>480.7</v>
      </c>
      <c r="N326" s="116">
        <v>490.7</v>
      </c>
      <c r="O326" s="116">
        <v>480</v>
      </c>
      <c r="P326" s="116">
        <v>484.1</v>
      </c>
      <c r="Q326" s="116">
        <v>480.7</v>
      </c>
      <c r="R326">
        <v>12691</v>
      </c>
    </row>
    <row r="327" spans="1:18" x14ac:dyDescent="0.25">
      <c r="A327" s="170">
        <v>43355</v>
      </c>
      <c r="B327" s="116">
        <v>484.2</v>
      </c>
      <c r="C327" s="116">
        <v>478.55</v>
      </c>
      <c r="D327" s="116">
        <v>475</v>
      </c>
      <c r="E327" s="116">
        <v>475.25</v>
      </c>
      <c r="F327" s="116">
        <v>478.55</v>
      </c>
      <c r="G327">
        <v>789</v>
      </c>
      <c r="H327" s="116"/>
      <c r="I327" s="116"/>
      <c r="L327" s="170">
        <v>43355</v>
      </c>
      <c r="M327" s="116">
        <v>479.05</v>
      </c>
      <c r="N327" s="116">
        <v>483.4</v>
      </c>
      <c r="O327" s="116">
        <v>474</v>
      </c>
      <c r="P327" s="116">
        <v>480.1</v>
      </c>
      <c r="Q327" s="116">
        <v>479.05</v>
      </c>
      <c r="R327">
        <v>15681</v>
      </c>
    </row>
    <row r="328" spans="1:18" x14ac:dyDescent="0.25">
      <c r="A328" s="170">
        <v>43357</v>
      </c>
      <c r="B328" s="116">
        <v>484.9</v>
      </c>
      <c r="C328" s="116">
        <v>482.15</v>
      </c>
      <c r="D328" s="116">
        <v>478</v>
      </c>
      <c r="E328" s="116">
        <v>478.25</v>
      </c>
      <c r="F328" s="116">
        <v>482.15</v>
      </c>
      <c r="G328">
        <v>492</v>
      </c>
      <c r="H328" s="116"/>
      <c r="I328" s="116"/>
      <c r="L328" s="170">
        <v>43357</v>
      </c>
      <c r="M328" s="116">
        <v>484.2</v>
      </c>
      <c r="N328" s="116">
        <v>486</v>
      </c>
      <c r="O328" s="116">
        <v>475.5</v>
      </c>
      <c r="P328" s="116">
        <v>482.95</v>
      </c>
      <c r="Q328" s="116">
        <v>484.2</v>
      </c>
      <c r="R328">
        <v>15102</v>
      </c>
    </row>
    <row r="329" spans="1:18" x14ac:dyDescent="0.25">
      <c r="A329" s="170">
        <v>43360</v>
      </c>
      <c r="B329" s="116">
        <v>484.25</v>
      </c>
      <c r="C329" s="116">
        <v>472.15</v>
      </c>
      <c r="D329" s="116">
        <v>470</v>
      </c>
      <c r="E329" s="116">
        <v>478</v>
      </c>
      <c r="F329" s="116">
        <v>472.15</v>
      </c>
      <c r="G329">
        <v>1039</v>
      </c>
      <c r="H329" s="116"/>
      <c r="I329" s="116"/>
      <c r="L329" s="170">
        <v>43360</v>
      </c>
      <c r="M329" s="116">
        <v>470.35</v>
      </c>
      <c r="N329" s="116">
        <v>486.5</v>
      </c>
      <c r="O329" s="116">
        <v>466</v>
      </c>
      <c r="P329" s="116">
        <v>486.45</v>
      </c>
      <c r="Q329" s="116">
        <v>470.35</v>
      </c>
      <c r="R329">
        <v>17272</v>
      </c>
    </row>
    <row r="330" spans="1:18" x14ac:dyDescent="0.25">
      <c r="A330" s="170">
        <v>43361</v>
      </c>
      <c r="B330" s="116">
        <v>484</v>
      </c>
      <c r="C330" s="116">
        <v>468.15</v>
      </c>
      <c r="D330" s="116">
        <v>464</v>
      </c>
      <c r="E330" s="116">
        <v>484</v>
      </c>
      <c r="F330" s="116">
        <v>468.15</v>
      </c>
      <c r="G330">
        <v>2725</v>
      </c>
      <c r="H330" s="116"/>
      <c r="I330" s="116"/>
      <c r="L330" s="170">
        <v>43361</v>
      </c>
      <c r="M330" s="116">
        <v>467.6</v>
      </c>
      <c r="N330" s="116">
        <v>478</v>
      </c>
      <c r="O330" s="116">
        <v>463</v>
      </c>
      <c r="P330" s="116">
        <v>473.9</v>
      </c>
      <c r="Q330" s="116">
        <v>467.6</v>
      </c>
      <c r="R330">
        <v>8242</v>
      </c>
    </row>
    <row r="331" spans="1:18" x14ac:dyDescent="0.25">
      <c r="A331" s="170">
        <v>43362</v>
      </c>
      <c r="B331" s="116">
        <v>471.1</v>
      </c>
      <c r="C331" s="116">
        <v>467.05</v>
      </c>
      <c r="D331" s="116">
        <v>457.15</v>
      </c>
      <c r="E331" s="116">
        <v>469</v>
      </c>
      <c r="F331" s="116">
        <v>467.05</v>
      </c>
      <c r="G331">
        <v>1929</v>
      </c>
      <c r="H331" s="116"/>
      <c r="I331" s="116"/>
      <c r="L331" s="170">
        <v>43362</v>
      </c>
      <c r="M331" s="116">
        <v>472.2</v>
      </c>
      <c r="N331" s="116">
        <v>478</v>
      </c>
      <c r="O331" s="116">
        <v>455.7</v>
      </c>
      <c r="P331" s="116">
        <v>462.55</v>
      </c>
      <c r="Q331" s="116">
        <v>472.2</v>
      </c>
      <c r="R331">
        <v>21331</v>
      </c>
    </row>
    <row r="332" spans="1:18" x14ac:dyDescent="0.25">
      <c r="A332" s="170">
        <v>43364</v>
      </c>
      <c r="B332" s="116">
        <v>471.15</v>
      </c>
      <c r="C332" s="116">
        <v>455.5</v>
      </c>
      <c r="D332" s="116">
        <v>435.85</v>
      </c>
      <c r="E332" s="116">
        <v>471</v>
      </c>
      <c r="F332" s="116">
        <v>455.5</v>
      </c>
      <c r="G332">
        <v>1928</v>
      </c>
      <c r="H332" s="116"/>
      <c r="I332" s="116"/>
      <c r="L332" s="170">
        <v>43364</v>
      </c>
      <c r="M332" s="116">
        <v>456.85</v>
      </c>
      <c r="N332" s="116">
        <v>483.5</v>
      </c>
      <c r="O332" s="116">
        <v>440</v>
      </c>
      <c r="P332" s="116">
        <v>476.95</v>
      </c>
      <c r="Q332" s="116">
        <v>456.85</v>
      </c>
      <c r="R332">
        <v>40966</v>
      </c>
    </row>
    <row r="333" spans="1:18" x14ac:dyDescent="0.25">
      <c r="A333" s="170">
        <v>43367</v>
      </c>
      <c r="B333" s="116">
        <v>459</v>
      </c>
      <c r="C333" s="116">
        <v>440.3</v>
      </c>
      <c r="D333" s="116">
        <v>433</v>
      </c>
      <c r="E333" s="116">
        <v>455</v>
      </c>
      <c r="F333" s="116">
        <v>440.3</v>
      </c>
      <c r="G333">
        <v>2427</v>
      </c>
      <c r="H333" s="116"/>
      <c r="I333" s="116"/>
      <c r="L333" s="170">
        <v>43367</v>
      </c>
      <c r="M333" s="116">
        <v>437.55</v>
      </c>
      <c r="N333" s="116">
        <v>468.9</v>
      </c>
      <c r="O333" s="116">
        <v>431</v>
      </c>
      <c r="P333" s="116">
        <v>468.9</v>
      </c>
      <c r="Q333" s="116">
        <v>437.55</v>
      </c>
      <c r="R333">
        <v>37823</v>
      </c>
    </row>
    <row r="334" spans="1:18" x14ac:dyDescent="0.25">
      <c r="A334" s="170">
        <v>43368</v>
      </c>
      <c r="B334" s="116">
        <v>442</v>
      </c>
      <c r="C334" s="116">
        <v>426.85</v>
      </c>
      <c r="D334" s="116">
        <v>418.2</v>
      </c>
      <c r="E334" s="116">
        <v>435</v>
      </c>
      <c r="F334" s="116">
        <v>426.85</v>
      </c>
      <c r="G334">
        <v>4737</v>
      </c>
      <c r="H334" s="116"/>
      <c r="I334" s="116"/>
      <c r="L334" s="170">
        <v>43368</v>
      </c>
      <c r="M334" s="116">
        <v>427.95</v>
      </c>
      <c r="N334" s="116">
        <v>448.2</v>
      </c>
      <c r="O334" s="116">
        <v>418.85</v>
      </c>
      <c r="P334" s="116">
        <v>434</v>
      </c>
      <c r="Q334" s="116">
        <v>427.95</v>
      </c>
      <c r="R334">
        <v>42560</v>
      </c>
    </row>
    <row r="335" spans="1:18" x14ac:dyDescent="0.25">
      <c r="A335" s="170">
        <v>43369</v>
      </c>
      <c r="B335" s="116">
        <v>454</v>
      </c>
      <c r="C335" s="116">
        <v>430.55</v>
      </c>
      <c r="D335" s="116">
        <v>428</v>
      </c>
      <c r="E335" s="116">
        <v>436.85</v>
      </c>
      <c r="F335" s="116">
        <v>430.55</v>
      </c>
      <c r="G335">
        <v>6777</v>
      </c>
      <c r="H335" s="116"/>
      <c r="I335" s="116"/>
      <c r="L335" s="170">
        <v>43369</v>
      </c>
      <c r="M335" s="116">
        <v>432.95</v>
      </c>
      <c r="N335" s="116">
        <v>456.45</v>
      </c>
      <c r="O335" s="116">
        <v>425.2</v>
      </c>
      <c r="P335" s="116">
        <v>440</v>
      </c>
      <c r="Q335" s="116">
        <v>432.95</v>
      </c>
      <c r="R335">
        <v>34235</v>
      </c>
    </row>
    <row r="336" spans="1:18" x14ac:dyDescent="0.25">
      <c r="A336" s="170">
        <v>43370</v>
      </c>
      <c r="B336" s="116">
        <v>437.2</v>
      </c>
      <c r="C336" s="116">
        <v>416.05</v>
      </c>
      <c r="D336" s="116">
        <v>412.9</v>
      </c>
      <c r="E336" s="116">
        <v>437.15</v>
      </c>
      <c r="F336" s="116">
        <v>416.05</v>
      </c>
      <c r="G336">
        <v>4748</v>
      </c>
      <c r="H336" s="116"/>
      <c r="I336" s="116"/>
      <c r="L336" s="170">
        <v>43370</v>
      </c>
      <c r="M336" s="116">
        <v>415.85</v>
      </c>
      <c r="N336" s="116">
        <v>436.45</v>
      </c>
      <c r="O336" s="116">
        <v>412</v>
      </c>
      <c r="P336" s="116">
        <v>434.05</v>
      </c>
      <c r="Q336" s="116">
        <v>415.85</v>
      </c>
      <c r="R336">
        <v>54258</v>
      </c>
    </row>
    <row r="337" spans="1:18" x14ac:dyDescent="0.25">
      <c r="A337" s="170">
        <v>43371</v>
      </c>
      <c r="B337" s="116">
        <v>430.75</v>
      </c>
      <c r="C337" s="116">
        <v>411.05</v>
      </c>
      <c r="D337" s="116">
        <v>405.1</v>
      </c>
      <c r="E337" s="116">
        <v>418</v>
      </c>
      <c r="F337" s="116">
        <v>411.05</v>
      </c>
      <c r="G337">
        <v>2451</v>
      </c>
      <c r="H337" s="116"/>
      <c r="I337" s="116"/>
      <c r="L337" s="170">
        <v>43371</v>
      </c>
      <c r="M337" s="116">
        <v>411.3</v>
      </c>
      <c r="N337" s="116">
        <v>429.95</v>
      </c>
      <c r="O337" s="116">
        <v>402</v>
      </c>
      <c r="P337" s="116">
        <v>417.25</v>
      </c>
      <c r="Q337" s="116">
        <v>411.3</v>
      </c>
      <c r="R337">
        <v>48040</v>
      </c>
    </row>
    <row r="338" spans="1:18" x14ac:dyDescent="0.25">
      <c r="A338" s="170">
        <v>43374</v>
      </c>
      <c r="B338" s="116">
        <v>443.85</v>
      </c>
      <c r="C338" s="116">
        <v>426.75</v>
      </c>
      <c r="D338" s="116">
        <v>379</v>
      </c>
      <c r="E338" s="116">
        <v>410</v>
      </c>
      <c r="F338" s="116">
        <v>426.75</v>
      </c>
      <c r="G338">
        <v>5803</v>
      </c>
      <c r="H338" s="116"/>
      <c r="I338" s="116"/>
      <c r="L338" s="170">
        <v>43374</v>
      </c>
      <c r="M338" s="116">
        <v>431.85</v>
      </c>
      <c r="N338" s="116">
        <v>445</v>
      </c>
      <c r="O338" s="116">
        <v>375</v>
      </c>
      <c r="P338" s="116">
        <v>411.1</v>
      </c>
      <c r="Q338" s="116">
        <v>431.85</v>
      </c>
      <c r="R338">
        <v>51636</v>
      </c>
    </row>
    <row r="339" spans="1:18" x14ac:dyDescent="0.25">
      <c r="A339" s="170">
        <v>43376</v>
      </c>
      <c r="B339" s="116">
        <v>449.8</v>
      </c>
      <c r="C339" s="116">
        <v>436.75</v>
      </c>
      <c r="D339" s="116">
        <v>429.2</v>
      </c>
      <c r="E339" s="116">
        <v>449.8</v>
      </c>
      <c r="F339" s="116">
        <v>436.75</v>
      </c>
      <c r="G339">
        <v>3206</v>
      </c>
      <c r="H339" s="116"/>
      <c r="I339" s="116"/>
      <c r="L339" s="170">
        <v>43376</v>
      </c>
      <c r="M339" s="116">
        <v>439.05</v>
      </c>
      <c r="N339" s="116">
        <v>444.95</v>
      </c>
      <c r="O339" s="116">
        <v>426</v>
      </c>
      <c r="P339" s="116">
        <v>439.65</v>
      </c>
      <c r="Q339" s="116">
        <v>439.05</v>
      </c>
      <c r="R339">
        <v>18525</v>
      </c>
    </row>
    <row r="340" spans="1:18" x14ac:dyDescent="0.25">
      <c r="A340" s="170">
        <v>43377</v>
      </c>
      <c r="B340" s="116">
        <v>440</v>
      </c>
      <c r="C340" s="116">
        <v>426.25</v>
      </c>
      <c r="D340" s="116">
        <v>408.5</v>
      </c>
      <c r="E340" s="116">
        <v>426</v>
      </c>
      <c r="F340" s="116">
        <v>426.25</v>
      </c>
      <c r="G340">
        <v>40897</v>
      </c>
      <c r="H340" s="116"/>
      <c r="I340" s="116"/>
      <c r="L340" s="170">
        <v>43377</v>
      </c>
      <c r="M340" s="116">
        <v>420.05</v>
      </c>
      <c r="N340" s="116">
        <v>432.05</v>
      </c>
      <c r="O340" s="116">
        <v>405</v>
      </c>
      <c r="P340" s="116">
        <v>426.5</v>
      </c>
      <c r="Q340" s="116">
        <v>420.05</v>
      </c>
      <c r="R340">
        <v>61617</v>
      </c>
    </row>
    <row r="341" spans="1:18" x14ac:dyDescent="0.25">
      <c r="A341" s="170">
        <v>43378</v>
      </c>
      <c r="B341" s="116">
        <v>429.4</v>
      </c>
      <c r="C341" s="116">
        <v>409.9</v>
      </c>
      <c r="D341" s="116">
        <v>405</v>
      </c>
      <c r="E341" s="116">
        <v>427.9</v>
      </c>
      <c r="F341" s="116">
        <v>409.9</v>
      </c>
      <c r="G341">
        <v>3161</v>
      </c>
      <c r="H341" s="116"/>
      <c r="I341" s="116"/>
      <c r="L341" s="170">
        <v>43378</v>
      </c>
      <c r="M341" s="116">
        <v>411.55</v>
      </c>
      <c r="N341" s="116">
        <v>430.7</v>
      </c>
      <c r="O341" s="116">
        <v>404.3</v>
      </c>
      <c r="P341" s="116">
        <v>420.1</v>
      </c>
      <c r="Q341" s="116">
        <v>411.55</v>
      </c>
      <c r="R341">
        <v>20146</v>
      </c>
    </row>
    <row r="342" spans="1:18" x14ac:dyDescent="0.25">
      <c r="A342" s="170">
        <v>43381</v>
      </c>
      <c r="B342" s="116">
        <v>417.4</v>
      </c>
      <c r="C342" s="116">
        <v>399.1</v>
      </c>
      <c r="D342" s="116">
        <v>387.95</v>
      </c>
      <c r="E342" s="116">
        <v>415</v>
      </c>
      <c r="F342" s="116">
        <v>399.1</v>
      </c>
      <c r="G342">
        <v>3618</v>
      </c>
      <c r="H342" s="116"/>
      <c r="I342" s="116"/>
      <c r="L342" s="170">
        <v>43381</v>
      </c>
      <c r="M342" s="116">
        <v>399.7</v>
      </c>
      <c r="N342" s="116">
        <v>419.05</v>
      </c>
      <c r="O342" s="116">
        <v>384.4</v>
      </c>
      <c r="P342" s="116">
        <v>412.55</v>
      </c>
      <c r="Q342" s="116">
        <v>399.7</v>
      </c>
      <c r="R342">
        <v>20930</v>
      </c>
    </row>
    <row r="343" spans="1:18" x14ac:dyDescent="0.25">
      <c r="A343" s="170">
        <v>43382</v>
      </c>
      <c r="B343" s="116">
        <v>414.7</v>
      </c>
      <c r="C343" s="116">
        <v>401.35</v>
      </c>
      <c r="D343" s="116">
        <v>394.5</v>
      </c>
      <c r="E343" s="116">
        <v>401</v>
      </c>
      <c r="F343" s="116">
        <v>401.35</v>
      </c>
      <c r="G343">
        <v>11965</v>
      </c>
      <c r="H343" s="116"/>
      <c r="I343" s="116"/>
      <c r="L343" s="170">
        <v>43382</v>
      </c>
      <c r="M343" s="116">
        <v>395.5</v>
      </c>
      <c r="N343" s="116">
        <v>406.5</v>
      </c>
      <c r="O343" s="116">
        <v>390.55</v>
      </c>
      <c r="P343" s="116">
        <v>394.85</v>
      </c>
      <c r="Q343" s="116">
        <v>395.5</v>
      </c>
      <c r="R343">
        <v>30752</v>
      </c>
    </row>
    <row r="344" spans="1:18" x14ac:dyDescent="0.25">
      <c r="A344" s="170">
        <v>43383</v>
      </c>
      <c r="B344" s="116">
        <v>416.5</v>
      </c>
      <c r="C344" s="116">
        <v>410.2</v>
      </c>
      <c r="D344" s="116">
        <v>399.5</v>
      </c>
      <c r="E344" s="116">
        <v>400.55</v>
      </c>
      <c r="F344" s="116">
        <v>410.2</v>
      </c>
      <c r="G344">
        <v>25776</v>
      </c>
      <c r="H344" s="116"/>
      <c r="I344" s="116"/>
      <c r="L344" s="170">
        <v>43383</v>
      </c>
      <c r="M344" s="116">
        <v>408.4</v>
      </c>
      <c r="N344" s="116">
        <v>413</v>
      </c>
      <c r="O344" s="116">
        <v>395</v>
      </c>
      <c r="P344" s="116">
        <v>395.5</v>
      </c>
      <c r="Q344" s="116">
        <v>408.4</v>
      </c>
      <c r="R344">
        <v>46683</v>
      </c>
    </row>
    <row r="345" spans="1:18" x14ac:dyDescent="0.25">
      <c r="A345" s="170">
        <v>43384</v>
      </c>
      <c r="B345" s="116">
        <v>403.45</v>
      </c>
      <c r="C345" s="116">
        <v>399.85</v>
      </c>
      <c r="D345" s="116">
        <v>392.75</v>
      </c>
      <c r="E345" s="116">
        <v>395</v>
      </c>
      <c r="F345" s="116">
        <v>399.85</v>
      </c>
      <c r="G345">
        <v>1371</v>
      </c>
      <c r="H345" s="116"/>
      <c r="I345" s="116"/>
      <c r="L345" s="170">
        <v>43384</v>
      </c>
      <c r="M345" s="116">
        <v>400.55</v>
      </c>
      <c r="N345" s="116">
        <v>406</v>
      </c>
      <c r="O345" s="116">
        <v>390</v>
      </c>
      <c r="P345" s="116">
        <v>401</v>
      </c>
      <c r="Q345" s="116">
        <v>400.55</v>
      </c>
      <c r="R345">
        <v>17630</v>
      </c>
    </row>
    <row r="346" spans="1:18" x14ac:dyDescent="0.25">
      <c r="A346" s="170">
        <v>43385</v>
      </c>
      <c r="B346" s="116">
        <v>404</v>
      </c>
      <c r="C346" s="116">
        <v>400.15</v>
      </c>
      <c r="D346" s="116">
        <v>398.1</v>
      </c>
      <c r="E346" s="116">
        <v>400</v>
      </c>
      <c r="F346" s="116">
        <v>400.15</v>
      </c>
      <c r="G346">
        <v>4362</v>
      </c>
      <c r="H346" s="116"/>
      <c r="I346" s="116"/>
      <c r="L346" s="170">
        <v>43385</v>
      </c>
      <c r="M346" s="116">
        <v>400.1</v>
      </c>
      <c r="N346" s="116">
        <v>405.95</v>
      </c>
      <c r="O346" s="116">
        <v>396.15</v>
      </c>
      <c r="P346" s="116">
        <v>399.95</v>
      </c>
      <c r="Q346" s="116">
        <v>400.1</v>
      </c>
      <c r="R346">
        <v>33970</v>
      </c>
    </row>
    <row r="347" spans="1:18" x14ac:dyDescent="0.25">
      <c r="A347" s="170">
        <v>43388</v>
      </c>
      <c r="B347" s="116">
        <v>401</v>
      </c>
      <c r="C347" s="116">
        <v>398.55</v>
      </c>
      <c r="D347" s="116">
        <v>395.05</v>
      </c>
      <c r="E347" s="116">
        <v>397.2</v>
      </c>
      <c r="F347" s="116">
        <v>398.55</v>
      </c>
      <c r="G347">
        <v>1429</v>
      </c>
      <c r="H347" s="116"/>
      <c r="I347" s="116"/>
      <c r="L347" s="170">
        <v>43388</v>
      </c>
      <c r="M347" s="116">
        <v>398.65</v>
      </c>
      <c r="N347" s="116">
        <v>406</v>
      </c>
      <c r="O347" s="116">
        <v>391</v>
      </c>
      <c r="P347" s="116">
        <v>406</v>
      </c>
      <c r="Q347" s="116">
        <v>398.65</v>
      </c>
      <c r="R347">
        <v>12015</v>
      </c>
    </row>
    <row r="348" spans="1:18" x14ac:dyDescent="0.25">
      <c r="A348" s="170">
        <v>43389</v>
      </c>
      <c r="B348" s="116">
        <v>401.9</v>
      </c>
      <c r="C348" s="116">
        <v>398.85</v>
      </c>
      <c r="D348" s="116">
        <v>397.1</v>
      </c>
      <c r="E348" s="116">
        <v>400.1</v>
      </c>
      <c r="F348" s="116">
        <v>398.85</v>
      </c>
      <c r="G348">
        <v>744</v>
      </c>
      <c r="H348" s="116"/>
      <c r="I348" s="116"/>
      <c r="L348" s="170">
        <v>43389</v>
      </c>
      <c r="M348" s="116">
        <v>400</v>
      </c>
      <c r="N348" s="116">
        <v>400.8</v>
      </c>
      <c r="O348" s="116">
        <v>395.05</v>
      </c>
      <c r="P348" s="116">
        <v>397.3</v>
      </c>
      <c r="Q348" s="116">
        <v>400</v>
      </c>
      <c r="R348">
        <v>28363</v>
      </c>
    </row>
    <row r="349" spans="1:18" x14ac:dyDescent="0.25">
      <c r="A349" s="170">
        <v>43390</v>
      </c>
      <c r="B349" s="116">
        <v>402.5</v>
      </c>
      <c r="C349" s="116">
        <v>395.2</v>
      </c>
      <c r="D349" s="116">
        <v>395</v>
      </c>
      <c r="E349" s="116">
        <v>402.5</v>
      </c>
      <c r="F349" s="116">
        <v>395.2</v>
      </c>
      <c r="G349">
        <v>665</v>
      </c>
      <c r="H349" s="116"/>
      <c r="I349" s="116"/>
      <c r="L349" s="170">
        <v>43390</v>
      </c>
      <c r="M349" s="116">
        <v>395.45</v>
      </c>
      <c r="N349" s="116">
        <v>411.95</v>
      </c>
      <c r="O349" s="116">
        <v>391.25</v>
      </c>
      <c r="P349" s="116">
        <v>401.05</v>
      </c>
      <c r="Q349" s="116">
        <v>395.45</v>
      </c>
      <c r="R349">
        <v>7943</v>
      </c>
    </row>
    <row r="350" spans="1:18" x14ac:dyDescent="0.25">
      <c r="A350" s="170">
        <v>43392</v>
      </c>
      <c r="B350" s="116">
        <v>399.85</v>
      </c>
      <c r="C350" s="116">
        <v>396.6</v>
      </c>
      <c r="D350" s="116">
        <v>382.85</v>
      </c>
      <c r="E350" s="116">
        <v>387.7</v>
      </c>
      <c r="F350" s="116">
        <v>396.6</v>
      </c>
      <c r="G350">
        <v>1278</v>
      </c>
      <c r="H350" s="116"/>
      <c r="I350" s="116"/>
      <c r="L350" s="170">
        <v>43392</v>
      </c>
      <c r="M350" s="116">
        <v>395.9</v>
      </c>
      <c r="N350" s="116">
        <v>396.65</v>
      </c>
      <c r="O350" s="116">
        <v>383.05</v>
      </c>
      <c r="P350" s="116">
        <v>391.6</v>
      </c>
      <c r="Q350" s="116">
        <v>395.9</v>
      </c>
      <c r="R350">
        <v>13484</v>
      </c>
    </row>
    <row r="351" spans="1:18" x14ac:dyDescent="0.25">
      <c r="A351" s="170">
        <v>43395</v>
      </c>
      <c r="B351" s="116">
        <v>395.2</v>
      </c>
      <c r="C351" s="116">
        <v>389.85</v>
      </c>
      <c r="D351" s="116">
        <v>382.55</v>
      </c>
      <c r="E351" s="116">
        <v>395.1</v>
      </c>
      <c r="F351" s="116">
        <v>389.85</v>
      </c>
      <c r="G351">
        <v>952</v>
      </c>
      <c r="H351" s="116"/>
      <c r="I351" s="116"/>
      <c r="L351" s="170">
        <v>43395</v>
      </c>
      <c r="M351" s="116">
        <v>392.95</v>
      </c>
      <c r="N351" s="116">
        <v>400.1</v>
      </c>
      <c r="O351" s="116">
        <v>384</v>
      </c>
      <c r="P351" s="116">
        <v>395</v>
      </c>
      <c r="Q351" s="116">
        <v>392.95</v>
      </c>
      <c r="R351">
        <v>8847</v>
      </c>
    </row>
    <row r="352" spans="1:18" x14ac:dyDescent="0.25">
      <c r="A352" s="170">
        <v>43396</v>
      </c>
      <c r="B352" s="116">
        <v>392.8</v>
      </c>
      <c r="C352" s="116">
        <v>384.5</v>
      </c>
      <c r="D352" s="116">
        <v>383.7</v>
      </c>
      <c r="E352" s="116">
        <v>388.25</v>
      </c>
      <c r="F352" s="116">
        <v>384.5</v>
      </c>
      <c r="G352">
        <v>1574</v>
      </c>
      <c r="H352" s="116"/>
      <c r="I352" s="116"/>
      <c r="L352" s="170">
        <v>43396</v>
      </c>
      <c r="M352" s="116">
        <v>388.25</v>
      </c>
      <c r="N352" s="116">
        <v>392.95</v>
      </c>
      <c r="O352" s="116">
        <v>385</v>
      </c>
      <c r="P352" s="116">
        <v>389.15</v>
      </c>
      <c r="Q352" s="116">
        <v>388.25</v>
      </c>
      <c r="R352">
        <v>7382</v>
      </c>
    </row>
    <row r="353" spans="1:18" x14ac:dyDescent="0.25">
      <c r="A353" s="170">
        <v>43397</v>
      </c>
      <c r="B353" s="116">
        <v>399</v>
      </c>
      <c r="C353" s="116">
        <v>387.8</v>
      </c>
      <c r="D353" s="116">
        <v>385.05</v>
      </c>
      <c r="E353" s="116">
        <v>394.5</v>
      </c>
      <c r="F353" s="116">
        <v>387.8</v>
      </c>
      <c r="G353">
        <v>3381</v>
      </c>
      <c r="H353" s="116"/>
      <c r="I353" s="116"/>
      <c r="L353" s="170">
        <v>43397</v>
      </c>
      <c r="M353" s="116">
        <v>387.3</v>
      </c>
      <c r="N353" s="116">
        <v>408.4</v>
      </c>
      <c r="O353" s="116">
        <v>383</v>
      </c>
      <c r="P353" s="116">
        <v>389.4</v>
      </c>
      <c r="Q353" s="116">
        <v>387.3</v>
      </c>
      <c r="R353">
        <v>10187</v>
      </c>
    </row>
    <row r="354" spans="1:18" x14ac:dyDescent="0.25">
      <c r="A354" s="170">
        <v>43398</v>
      </c>
      <c r="B354" s="116">
        <v>388.8</v>
      </c>
      <c r="C354" s="116">
        <v>379.5</v>
      </c>
      <c r="D354" s="116">
        <v>361.75</v>
      </c>
      <c r="E354" s="116">
        <v>388.55</v>
      </c>
      <c r="F354" s="116">
        <v>379.5</v>
      </c>
      <c r="G354">
        <v>1203</v>
      </c>
      <c r="H354" s="116"/>
      <c r="I354" s="116"/>
      <c r="L354" s="170">
        <v>43398</v>
      </c>
      <c r="M354" s="116">
        <v>381.1</v>
      </c>
      <c r="N354" s="116">
        <v>395</v>
      </c>
      <c r="O354" s="116">
        <v>358.65</v>
      </c>
      <c r="P354" s="116">
        <v>389.5</v>
      </c>
      <c r="Q354" s="116">
        <v>381.1</v>
      </c>
      <c r="R354">
        <v>25131</v>
      </c>
    </row>
    <row r="355" spans="1:18" x14ac:dyDescent="0.25">
      <c r="A355" s="170">
        <v>43399</v>
      </c>
      <c r="B355" s="116">
        <v>390.1</v>
      </c>
      <c r="C355" s="116">
        <v>371.55</v>
      </c>
      <c r="D355" s="116">
        <v>368.75</v>
      </c>
      <c r="E355" s="116">
        <v>390.1</v>
      </c>
      <c r="F355" s="116">
        <v>371.55</v>
      </c>
      <c r="G355">
        <v>1156</v>
      </c>
      <c r="H355" s="116"/>
      <c r="I355" s="116"/>
      <c r="L355" s="170">
        <v>43399</v>
      </c>
      <c r="M355" s="116">
        <v>370.75</v>
      </c>
      <c r="N355" s="116">
        <v>391.9</v>
      </c>
      <c r="O355" s="116">
        <v>365.3</v>
      </c>
      <c r="P355" s="116">
        <v>391.9</v>
      </c>
      <c r="Q355" s="116">
        <v>370.75</v>
      </c>
      <c r="R355">
        <v>39017</v>
      </c>
    </row>
    <row r="356" spans="1:18" x14ac:dyDescent="0.25">
      <c r="A356" s="170">
        <v>43402</v>
      </c>
      <c r="B356" s="116">
        <v>383.15</v>
      </c>
      <c r="C356" s="116">
        <v>365.2</v>
      </c>
      <c r="D356" s="116">
        <v>360.15</v>
      </c>
      <c r="E356" s="116">
        <v>370</v>
      </c>
      <c r="F356" s="116">
        <v>365.2</v>
      </c>
      <c r="G356">
        <v>3018</v>
      </c>
      <c r="H356" s="116"/>
      <c r="I356" s="116"/>
      <c r="L356" s="170">
        <v>43402</v>
      </c>
      <c r="M356" s="116">
        <v>364.95</v>
      </c>
      <c r="N356" s="116">
        <v>394.95</v>
      </c>
      <c r="O356" s="116">
        <v>360.1</v>
      </c>
      <c r="P356" s="116">
        <v>374</v>
      </c>
      <c r="Q356" s="116">
        <v>364.95</v>
      </c>
      <c r="R356">
        <v>318657</v>
      </c>
    </row>
    <row r="357" spans="1:18" x14ac:dyDescent="0.25">
      <c r="A357" s="170">
        <v>43403</v>
      </c>
      <c r="B357" s="116">
        <v>372.6</v>
      </c>
      <c r="C357" s="116">
        <v>366</v>
      </c>
      <c r="D357" s="116">
        <v>364.55</v>
      </c>
      <c r="E357" s="116">
        <v>370.4</v>
      </c>
      <c r="F357" s="116">
        <v>366</v>
      </c>
      <c r="G357">
        <v>1906</v>
      </c>
      <c r="H357" s="116"/>
      <c r="I357" s="116"/>
      <c r="L357" s="170">
        <v>43403</v>
      </c>
      <c r="M357" s="116">
        <v>366.7</v>
      </c>
      <c r="N357" s="116">
        <v>374.4</v>
      </c>
      <c r="O357" s="116">
        <v>362.2</v>
      </c>
      <c r="P357" s="116">
        <v>364</v>
      </c>
      <c r="Q357" s="116">
        <v>366.7</v>
      </c>
      <c r="R357">
        <v>95015</v>
      </c>
    </row>
    <row r="358" spans="1:18" x14ac:dyDescent="0.25">
      <c r="A358" s="170">
        <v>43404</v>
      </c>
      <c r="B358" s="116">
        <v>367.9</v>
      </c>
      <c r="C358" s="116">
        <v>359.95</v>
      </c>
      <c r="D358" s="116">
        <v>358.7</v>
      </c>
      <c r="E358" s="116">
        <v>366.4</v>
      </c>
      <c r="F358" s="116">
        <v>359.95</v>
      </c>
      <c r="G358">
        <v>1834</v>
      </c>
      <c r="H358" s="116"/>
      <c r="I358" s="116"/>
      <c r="L358" s="170">
        <v>43404</v>
      </c>
      <c r="M358" s="116">
        <v>359.95</v>
      </c>
      <c r="N358" s="116">
        <v>371.95</v>
      </c>
      <c r="O358" s="116">
        <v>359.1</v>
      </c>
      <c r="P358" s="116">
        <v>367.05</v>
      </c>
      <c r="Q358" s="116">
        <v>359.95</v>
      </c>
      <c r="R358">
        <v>25154</v>
      </c>
    </row>
    <row r="359" spans="1:18" x14ac:dyDescent="0.25">
      <c r="A359" s="170">
        <v>43405</v>
      </c>
      <c r="B359" s="116">
        <v>370.7</v>
      </c>
      <c r="C359" s="116">
        <v>363.4</v>
      </c>
      <c r="D359" s="116">
        <v>359</v>
      </c>
      <c r="E359" s="116">
        <v>367</v>
      </c>
      <c r="F359" s="116">
        <v>363.4</v>
      </c>
      <c r="G359">
        <v>2849</v>
      </c>
      <c r="H359" s="116"/>
      <c r="I359" s="116"/>
      <c r="L359" s="170">
        <v>43405</v>
      </c>
      <c r="M359" s="116">
        <v>365.15</v>
      </c>
      <c r="N359" s="116">
        <v>375.05</v>
      </c>
      <c r="O359" s="116">
        <v>358.3</v>
      </c>
      <c r="P359" s="116">
        <v>363.05</v>
      </c>
      <c r="Q359" s="116">
        <v>365.15</v>
      </c>
      <c r="R359">
        <v>46171</v>
      </c>
    </row>
    <row r="360" spans="1:18" x14ac:dyDescent="0.25">
      <c r="A360" s="170">
        <v>43406</v>
      </c>
      <c r="B360" s="116">
        <v>386.95</v>
      </c>
      <c r="C360" s="116">
        <v>381.85</v>
      </c>
      <c r="D360" s="116">
        <v>369.95</v>
      </c>
      <c r="E360" s="116">
        <v>369.95</v>
      </c>
      <c r="F360" s="116">
        <v>381.85</v>
      </c>
      <c r="G360">
        <v>2346</v>
      </c>
      <c r="H360" s="116"/>
      <c r="I360" s="116"/>
      <c r="L360" s="170">
        <v>43406</v>
      </c>
      <c r="M360" s="116">
        <v>383.65</v>
      </c>
      <c r="N360" s="116">
        <v>385.6</v>
      </c>
      <c r="O360" s="116">
        <v>365.9</v>
      </c>
      <c r="P360" s="116">
        <v>371.35</v>
      </c>
      <c r="Q360" s="116">
        <v>383.65</v>
      </c>
      <c r="R360">
        <v>31577</v>
      </c>
    </row>
    <row r="361" spans="1:18" x14ac:dyDescent="0.25">
      <c r="A361" s="170">
        <v>43409</v>
      </c>
      <c r="B361" s="116">
        <v>399.05</v>
      </c>
      <c r="C361" s="116">
        <v>381.55</v>
      </c>
      <c r="D361" s="116">
        <v>377.8</v>
      </c>
      <c r="E361" s="116">
        <v>389</v>
      </c>
      <c r="F361" s="116">
        <v>381.55</v>
      </c>
      <c r="G361">
        <v>4427</v>
      </c>
      <c r="H361" s="116"/>
      <c r="I361" s="116"/>
      <c r="L361" s="170">
        <v>43409</v>
      </c>
      <c r="M361" s="116">
        <v>381.85</v>
      </c>
      <c r="N361" s="116">
        <v>400</v>
      </c>
      <c r="O361" s="116">
        <v>375</v>
      </c>
      <c r="P361" s="116">
        <v>390.05</v>
      </c>
      <c r="Q361" s="116">
        <v>381.85</v>
      </c>
      <c r="R361">
        <v>102308</v>
      </c>
    </row>
    <row r="362" spans="1:18" x14ac:dyDescent="0.25">
      <c r="A362" s="170">
        <v>43410</v>
      </c>
      <c r="B362" s="116">
        <v>384.25</v>
      </c>
      <c r="C362" s="116">
        <v>383.15</v>
      </c>
      <c r="D362" s="116">
        <v>376.25</v>
      </c>
      <c r="E362" s="116">
        <v>384.25</v>
      </c>
      <c r="F362" s="116">
        <v>383.15</v>
      </c>
      <c r="G362">
        <v>1139</v>
      </c>
      <c r="H362" s="116"/>
      <c r="I362" s="116"/>
      <c r="L362" s="170">
        <v>43410</v>
      </c>
      <c r="M362" s="116">
        <v>380.15</v>
      </c>
      <c r="N362" s="116">
        <v>384.7</v>
      </c>
      <c r="O362" s="116">
        <v>375.6</v>
      </c>
      <c r="P362" s="116">
        <v>384.7</v>
      </c>
      <c r="Q362" s="116">
        <v>380.15</v>
      </c>
      <c r="R362">
        <v>23735</v>
      </c>
    </row>
    <row r="363" spans="1:18" x14ac:dyDescent="0.25">
      <c r="A363" s="170">
        <v>43411</v>
      </c>
      <c r="B363" s="116">
        <v>394.5</v>
      </c>
      <c r="C363" s="116">
        <v>389.05</v>
      </c>
      <c r="D363" s="116">
        <v>381.05</v>
      </c>
      <c r="E363" s="116">
        <v>381.05</v>
      </c>
      <c r="F363" s="116">
        <v>389.05</v>
      </c>
      <c r="G363">
        <v>620</v>
      </c>
      <c r="H363" s="116"/>
      <c r="I363" s="116"/>
      <c r="L363" s="170">
        <v>43411</v>
      </c>
      <c r="M363" s="116">
        <v>390.95</v>
      </c>
      <c r="N363" s="116">
        <v>394.9</v>
      </c>
      <c r="O363" s="116">
        <v>383.7</v>
      </c>
      <c r="P363" s="116">
        <v>383.75</v>
      </c>
      <c r="Q363" s="116">
        <v>390.95</v>
      </c>
      <c r="R363">
        <v>22794</v>
      </c>
    </row>
    <row r="364" spans="1:18" x14ac:dyDescent="0.25">
      <c r="A364" s="170">
        <v>43413</v>
      </c>
      <c r="B364" s="116">
        <v>398</v>
      </c>
      <c r="C364" s="116">
        <v>390.8</v>
      </c>
      <c r="D364" s="116">
        <v>379.4</v>
      </c>
      <c r="E364" s="116">
        <v>386.1</v>
      </c>
      <c r="F364" s="116">
        <v>390.8</v>
      </c>
      <c r="G364">
        <v>2028</v>
      </c>
      <c r="H364" s="116"/>
      <c r="I364" s="116"/>
      <c r="L364" s="170">
        <v>43413</v>
      </c>
      <c r="M364" s="116">
        <v>385.05</v>
      </c>
      <c r="N364" s="116">
        <v>399</v>
      </c>
      <c r="O364" s="116">
        <v>375.05</v>
      </c>
      <c r="P364" s="116">
        <v>390.75</v>
      </c>
      <c r="Q364" s="116">
        <v>385.05</v>
      </c>
      <c r="R364">
        <v>22175</v>
      </c>
    </row>
    <row r="365" spans="1:18" x14ac:dyDescent="0.25">
      <c r="A365" s="170">
        <v>43416</v>
      </c>
      <c r="B365" s="116">
        <v>398.7</v>
      </c>
      <c r="C365" s="116">
        <v>395.15</v>
      </c>
      <c r="D365" s="116">
        <v>388</v>
      </c>
      <c r="E365" s="116">
        <v>389</v>
      </c>
      <c r="F365" s="116">
        <v>395.15</v>
      </c>
      <c r="G365">
        <v>1144</v>
      </c>
      <c r="H365" s="116"/>
      <c r="I365" s="116"/>
      <c r="L365" s="170">
        <v>43416</v>
      </c>
      <c r="M365" s="116">
        <v>391.1</v>
      </c>
      <c r="N365" s="116">
        <v>396</v>
      </c>
      <c r="O365" s="116">
        <v>385</v>
      </c>
      <c r="P365" s="116">
        <v>396</v>
      </c>
      <c r="Q365" s="116">
        <v>391.1</v>
      </c>
      <c r="R365">
        <v>8299</v>
      </c>
    </row>
    <row r="366" spans="1:18" x14ac:dyDescent="0.25">
      <c r="A366" s="170">
        <v>43417</v>
      </c>
      <c r="B366" s="116">
        <v>395</v>
      </c>
      <c r="C366" s="116">
        <v>394.7</v>
      </c>
      <c r="D366" s="116">
        <v>381</v>
      </c>
      <c r="E366" s="116">
        <v>385</v>
      </c>
      <c r="F366" s="116">
        <v>394.7</v>
      </c>
      <c r="G366">
        <v>1439</v>
      </c>
      <c r="H366" s="116"/>
      <c r="I366" s="116"/>
      <c r="L366" s="170">
        <v>43417</v>
      </c>
      <c r="M366" s="116">
        <v>396.7</v>
      </c>
      <c r="N366" s="116">
        <v>399</v>
      </c>
      <c r="O366" s="116">
        <v>381.9</v>
      </c>
      <c r="P366" s="116">
        <v>390</v>
      </c>
      <c r="Q366" s="116">
        <v>396.7</v>
      </c>
      <c r="R366">
        <v>16584</v>
      </c>
    </row>
    <row r="367" spans="1:18" x14ac:dyDescent="0.25">
      <c r="A367" s="170">
        <v>43418</v>
      </c>
      <c r="B367" s="116">
        <v>401</v>
      </c>
      <c r="C367" s="116">
        <v>399.15</v>
      </c>
      <c r="D367" s="116">
        <v>391</v>
      </c>
      <c r="E367" s="116">
        <v>391.5</v>
      </c>
      <c r="F367" s="116">
        <v>399.15</v>
      </c>
      <c r="G367">
        <v>149</v>
      </c>
      <c r="H367" s="116"/>
      <c r="I367" s="116"/>
      <c r="L367" s="170">
        <v>43418</v>
      </c>
      <c r="M367" s="116">
        <v>397.9</v>
      </c>
      <c r="N367" s="116">
        <v>400</v>
      </c>
      <c r="O367" s="116">
        <v>391</v>
      </c>
      <c r="P367" s="116">
        <v>396.7</v>
      </c>
      <c r="Q367" s="116">
        <v>397.9</v>
      </c>
      <c r="R367">
        <v>31436</v>
      </c>
    </row>
    <row r="368" spans="1:18" x14ac:dyDescent="0.25">
      <c r="A368" s="170">
        <v>43419</v>
      </c>
      <c r="B368" s="116">
        <v>400</v>
      </c>
      <c r="C368" s="116">
        <v>399.05</v>
      </c>
      <c r="D368" s="116">
        <v>393.3</v>
      </c>
      <c r="E368" s="116">
        <v>394.75</v>
      </c>
      <c r="F368" s="116">
        <v>399.05</v>
      </c>
      <c r="G368">
        <v>236</v>
      </c>
      <c r="H368" s="116"/>
      <c r="I368" s="116"/>
      <c r="L368" s="170">
        <v>43419</v>
      </c>
      <c r="M368" s="116">
        <v>399.05</v>
      </c>
      <c r="N368" s="116">
        <v>402.4</v>
      </c>
      <c r="O368" s="116">
        <v>393.05</v>
      </c>
      <c r="P368" s="116">
        <v>395.95</v>
      </c>
      <c r="Q368" s="116">
        <v>399.05</v>
      </c>
      <c r="R368">
        <v>14899</v>
      </c>
    </row>
    <row r="369" spans="1:18" x14ac:dyDescent="0.25">
      <c r="A369" s="170">
        <v>43420</v>
      </c>
      <c r="B369" s="116">
        <v>395.55</v>
      </c>
      <c r="C369" s="116">
        <v>392.4</v>
      </c>
      <c r="D369" s="116">
        <v>391.15</v>
      </c>
      <c r="E369" s="116">
        <v>394.15</v>
      </c>
      <c r="F369" s="116">
        <v>392.4</v>
      </c>
      <c r="G369">
        <v>865</v>
      </c>
      <c r="H369" s="116"/>
      <c r="I369" s="116"/>
      <c r="L369" s="170">
        <v>43420</v>
      </c>
      <c r="M369" s="116">
        <v>394.65</v>
      </c>
      <c r="N369" s="116">
        <v>400</v>
      </c>
      <c r="O369" s="116">
        <v>389.1</v>
      </c>
      <c r="P369" s="116">
        <v>399.65</v>
      </c>
      <c r="Q369" s="116">
        <v>394.65</v>
      </c>
      <c r="R369">
        <v>5433</v>
      </c>
    </row>
    <row r="370" spans="1:18" x14ac:dyDescent="0.25">
      <c r="A370" s="170">
        <v>43423</v>
      </c>
      <c r="B370" s="116">
        <v>403.35</v>
      </c>
      <c r="C370" s="116">
        <v>395.2</v>
      </c>
      <c r="D370" s="116">
        <v>389</v>
      </c>
      <c r="E370" s="116">
        <v>400</v>
      </c>
      <c r="F370" s="116">
        <v>395.2</v>
      </c>
      <c r="G370">
        <v>714</v>
      </c>
      <c r="H370" s="116"/>
      <c r="I370" s="116"/>
      <c r="L370" s="170">
        <v>43423</v>
      </c>
      <c r="M370" s="116">
        <v>396.3</v>
      </c>
      <c r="N370" s="116">
        <v>404.95</v>
      </c>
      <c r="O370" s="116">
        <v>387</v>
      </c>
      <c r="P370" s="116">
        <v>390</v>
      </c>
      <c r="Q370" s="116">
        <v>396.3</v>
      </c>
      <c r="R370">
        <v>56133</v>
      </c>
    </row>
    <row r="371" spans="1:18" x14ac:dyDescent="0.25">
      <c r="A371" s="170">
        <v>43424</v>
      </c>
      <c r="B371" s="116">
        <v>401.9</v>
      </c>
      <c r="C371" s="116">
        <v>390.15</v>
      </c>
      <c r="D371" s="116">
        <v>389</v>
      </c>
      <c r="E371" s="116">
        <v>400</v>
      </c>
      <c r="F371" s="116">
        <v>390.15</v>
      </c>
      <c r="G371">
        <v>10335</v>
      </c>
      <c r="H371" s="116"/>
      <c r="I371" s="116"/>
      <c r="L371" s="170">
        <v>43424</v>
      </c>
      <c r="M371" s="116">
        <v>393.6</v>
      </c>
      <c r="N371" s="116">
        <v>404.9</v>
      </c>
      <c r="O371" s="116">
        <v>390.1</v>
      </c>
      <c r="P371" s="116">
        <v>400</v>
      </c>
      <c r="Q371" s="116">
        <v>393.6</v>
      </c>
      <c r="R371">
        <v>108083</v>
      </c>
    </row>
    <row r="372" spans="1:18" x14ac:dyDescent="0.25">
      <c r="A372" s="170">
        <v>43425</v>
      </c>
      <c r="B372" s="116">
        <v>399.5</v>
      </c>
      <c r="C372" s="116">
        <v>394.95</v>
      </c>
      <c r="D372" s="116">
        <v>390</v>
      </c>
      <c r="E372" s="116">
        <v>390</v>
      </c>
      <c r="F372" s="116">
        <v>394.95</v>
      </c>
      <c r="G372">
        <v>589</v>
      </c>
      <c r="H372" s="116"/>
      <c r="I372" s="116"/>
      <c r="L372" s="170">
        <v>43425</v>
      </c>
      <c r="M372" s="116">
        <v>394.1</v>
      </c>
      <c r="N372" s="116">
        <v>396.7</v>
      </c>
      <c r="O372" s="116">
        <v>388.1</v>
      </c>
      <c r="P372" s="116">
        <v>393.6</v>
      </c>
      <c r="Q372" s="116">
        <v>394.1</v>
      </c>
      <c r="R372">
        <v>11865</v>
      </c>
    </row>
    <row r="373" spans="1:18" x14ac:dyDescent="0.25">
      <c r="A373" s="170">
        <v>43426</v>
      </c>
      <c r="B373" s="116">
        <v>394.6</v>
      </c>
      <c r="C373" s="116">
        <v>385.7</v>
      </c>
      <c r="D373" s="116">
        <v>382</v>
      </c>
      <c r="E373" s="116">
        <v>394.6</v>
      </c>
      <c r="F373" s="116">
        <v>385.7</v>
      </c>
      <c r="G373">
        <v>3067</v>
      </c>
      <c r="H373" s="116"/>
      <c r="I373" s="116"/>
      <c r="L373" s="170">
        <v>43426</v>
      </c>
      <c r="M373" s="116">
        <v>384.05</v>
      </c>
      <c r="N373" s="116">
        <v>393.4</v>
      </c>
      <c r="O373" s="116">
        <v>380.05</v>
      </c>
      <c r="P373" s="116">
        <v>390.45</v>
      </c>
      <c r="Q373" s="116">
        <v>384.05</v>
      </c>
      <c r="R373">
        <v>21227</v>
      </c>
    </row>
    <row r="374" spans="1:18" x14ac:dyDescent="0.25">
      <c r="A374" s="170">
        <v>43430</v>
      </c>
      <c r="B374" s="116">
        <v>383.75</v>
      </c>
      <c r="C374" s="116">
        <v>380.6</v>
      </c>
      <c r="D374" s="116">
        <v>378.6</v>
      </c>
      <c r="E374" s="116">
        <v>381.65</v>
      </c>
      <c r="F374" s="116">
        <v>380.6</v>
      </c>
      <c r="G374">
        <v>1396</v>
      </c>
      <c r="H374" s="116"/>
      <c r="I374" s="116"/>
      <c r="L374" s="170">
        <v>43430</v>
      </c>
      <c r="M374" s="116">
        <v>379.7</v>
      </c>
      <c r="N374" s="116">
        <v>385</v>
      </c>
      <c r="O374" s="116">
        <v>378.95</v>
      </c>
      <c r="P374" s="116">
        <v>385</v>
      </c>
      <c r="Q374" s="116">
        <v>379.7</v>
      </c>
      <c r="R374">
        <v>8450</v>
      </c>
    </row>
    <row r="375" spans="1:18" x14ac:dyDescent="0.25">
      <c r="A375" s="170">
        <v>43431</v>
      </c>
      <c r="B375" s="116">
        <v>388.5</v>
      </c>
      <c r="C375" s="116">
        <v>384.3</v>
      </c>
      <c r="D375" s="116">
        <v>373.95</v>
      </c>
      <c r="E375" s="116">
        <v>375</v>
      </c>
      <c r="F375" s="116">
        <v>384.3</v>
      </c>
      <c r="G375">
        <v>396</v>
      </c>
      <c r="H375" s="116"/>
      <c r="I375" s="116"/>
      <c r="L375" s="170">
        <v>43431</v>
      </c>
      <c r="M375" s="116">
        <v>385.9</v>
      </c>
      <c r="N375" s="116">
        <v>389.45</v>
      </c>
      <c r="O375" s="116">
        <v>372.25</v>
      </c>
      <c r="P375" s="116">
        <v>377</v>
      </c>
      <c r="Q375" s="116">
        <v>385.9</v>
      </c>
      <c r="R375">
        <v>12724</v>
      </c>
    </row>
    <row r="376" spans="1:18" x14ac:dyDescent="0.25">
      <c r="A376" s="170">
        <v>43432</v>
      </c>
      <c r="B376" s="116">
        <v>387</v>
      </c>
      <c r="C376" s="116">
        <v>385.8</v>
      </c>
      <c r="D376" s="116">
        <v>375</v>
      </c>
      <c r="E376" s="116">
        <v>383.85</v>
      </c>
      <c r="F376" s="116">
        <v>385.8</v>
      </c>
      <c r="G376">
        <v>715</v>
      </c>
      <c r="H376" s="116"/>
      <c r="I376" s="116"/>
      <c r="L376" s="170">
        <v>43432</v>
      </c>
      <c r="M376" s="116">
        <v>386.85</v>
      </c>
      <c r="N376" s="116">
        <v>395.8</v>
      </c>
      <c r="O376" s="116">
        <v>370</v>
      </c>
      <c r="P376" s="116">
        <v>395.8</v>
      </c>
      <c r="Q376" s="116">
        <v>386.85</v>
      </c>
      <c r="R376">
        <v>15134</v>
      </c>
    </row>
    <row r="377" spans="1:18" x14ac:dyDescent="0.25">
      <c r="A377" s="170">
        <v>43433</v>
      </c>
      <c r="B377" s="116">
        <v>399.85</v>
      </c>
      <c r="C377" s="116">
        <v>390.75</v>
      </c>
      <c r="D377" s="116">
        <v>385</v>
      </c>
      <c r="E377" s="116">
        <v>386</v>
      </c>
      <c r="F377" s="116">
        <v>390.75</v>
      </c>
      <c r="G377">
        <v>662</v>
      </c>
      <c r="H377" s="116"/>
      <c r="I377" s="116"/>
      <c r="L377" s="170">
        <v>43433</v>
      </c>
      <c r="M377" s="116">
        <v>389.95</v>
      </c>
      <c r="N377" s="116">
        <v>399.7</v>
      </c>
      <c r="O377" s="116">
        <v>378</v>
      </c>
      <c r="P377" s="116">
        <v>382.45</v>
      </c>
      <c r="Q377" s="116">
        <v>389.95</v>
      </c>
      <c r="R377">
        <v>25302</v>
      </c>
    </row>
    <row r="378" spans="1:18" x14ac:dyDescent="0.25">
      <c r="A378" s="170">
        <v>43434</v>
      </c>
      <c r="B378" s="116">
        <v>390</v>
      </c>
      <c r="C378" s="116">
        <v>387.95</v>
      </c>
      <c r="D378" s="116">
        <v>372.5</v>
      </c>
      <c r="E378" s="116">
        <v>372.5</v>
      </c>
      <c r="F378" s="116">
        <v>387.95</v>
      </c>
      <c r="G378">
        <v>1150</v>
      </c>
      <c r="H378" s="116"/>
      <c r="I378" s="116"/>
      <c r="L378" s="170">
        <v>43434</v>
      </c>
      <c r="M378" s="116">
        <v>388.45</v>
      </c>
      <c r="N378" s="116">
        <v>390</v>
      </c>
      <c r="O378" s="116">
        <v>379.1</v>
      </c>
      <c r="P378" s="116">
        <v>389.05</v>
      </c>
      <c r="Q378" s="116">
        <v>388.45</v>
      </c>
      <c r="R378">
        <v>27181</v>
      </c>
    </row>
    <row r="379" spans="1:18" x14ac:dyDescent="0.25">
      <c r="A379" s="170">
        <v>43437</v>
      </c>
      <c r="B379" s="116">
        <v>390</v>
      </c>
      <c r="C379" s="116">
        <v>386.75</v>
      </c>
      <c r="D379" s="116">
        <v>385</v>
      </c>
      <c r="E379" s="116">
        <v>390</v>
      </c>
      <c r="F379" s="116">
        <v>386.75</v>
      </c>
      <c r="G379">
        <v>327</v>
      </c>
      <c r="H379" s="116"/>
      <c r="I379" s="116"/>
      <c r="L379" s="170">
        <v>43437</v>
      </c>
      <c r="M379" s="116">
        <v>387.85</v>
      </c>
      <c r="N379" s="116">
        <v>394.6</v>
      </c>
      <c r="O379" s="116">
        <v>386</v>
      </c>
      <c r="P379" s="116">
        <v>394.6</v>
      </c>
      <c r="Q379" s="116">
        <v>387.85</v>
      </c>
      <c r="R379">
        <v>9311</v>
      </c>
    </row>
    <row r="380" spans="1:18" x14ac:dyDescent="0.25">
      <c r="A380" s="170">
        <v>43438</v>
      </c>
      <c r="B380" s="116">
        <v>390</v>
      </c>
      <c r="C380" s="116">
        <v>384.9</v>
      </c>
      <c r="D380" s="116">
        <v>380</v>
      </c>
      <c r="E380" s="116">
        <v>385</v>
      </c>
      <c r="F380" s="116">
        <v>384.9</v>
      </c>
      <c r="G380">
        <v>852</v>
      </c>
      <c r="H380" s="116"/>
      <c r="I380" s="116"/>
      <c r="L380" s="170">
        <v>43438</v>
      </c>
      <c r="M380" s="116">
        <v>382.25</v>
      </c>
      <c r="N380" s="116">
        <v>389</v>
      </c>
      <c r="O380" s="116">
        <v>378.9</v>
      </c>
      <c r="P380" s="116">
        <v>387.85</v>
      </c>
      <c r="Q380" s="116">
        <v>382.25</v>
      </c>
      <c r="R380">
        <v>9773</v>
      </c>
    </row>
    <row r="381" spans="1:18" x14ac:dyDescent="0.25">
      <c r="A381" s="170">
        <v>43439</v>
      </c>
      <c r="B381" s="116">
        <v>395</v>
      </c>
      <c r="C381" s="116">
        <v>386.55</v>
      </c>
      <c r="D381" s="116">
        <v>375</v>
      </c>
      <c r="E381" s="116">
        <v>379.5</v>
      </c>
      <c r="F381" s="116">
        <v>386.55</v>
      </c>
      <c r="G381">
        <v>2885</v>
      </c>
      <c r="H381" s="116"/>
      <c r="I381" s="116"/>
      <c r="L381" s="170">
        <v>43439</v>
      </c>
      <c r="M381" s="116">
        <v>386.3</v>
      </c>
      <c r="N381" s="116">
        <v>390</v>
      </c>
      <c r="O381" s="116">
        <v>375.1</v>
      </c>
      <c r="P381" s="116">
        <v>380</v>
      </c>
      <c r="Q381" s="116">
        <v>386.3</v>
      </c>
      <c r="R381">
        <v>19517</v>
      </c>
    </row>
    <row r="382" spans="1:18" x14ac:dyDescent="0.25">
      <c r="A382" s="170">
        <v>43440</v>
      </c>
      <c r="B382" s="116">
        <v>390</v>
      </c>
      <c r="C382" s="116">
        <v>388.9</v>
      </c>
      <c r="D382" s="116">
        <v>382</v>
      </c>
      <c r="E382" s="116">
        <v>390</v>
      </c>
      <c r="F382" s="116">
        <v>388.9</v>
      </c>
      <c r="G382">
        <v>1266</v>
      </c>
      <c r="H382" s="116"/>
      <c r="I382" s="116"/>
      <c r="L382" s="170">
        <v>43440</v>
      </c>
      <c r="M382" s="116">
        <v>389.05</v>
      </c>
      <c r="N382" s="116">
        <v>390</v>
      </c>
      <c r="O382" s="116">
        <v>378</v>
      </c>
      <c r="P382" s="116">
        <v>382</v>
      </c>
      <c r="Q382" s="116">
        <v>389.05</v>
      </c>
      <c r="R382">
        <v>20214</v>
      </c>
    </row>
    <row r="383" spans="1:18" x14ac:dyDescent="0.25">
      <c r="A383" s="170">
        <v>43441</v>
      </c>
      <c r="B383" s="116">
        <v>389.8</v>
      </c>
      <c r="C383" s="116">
        <v>382.25</v>
      </c>
      <c r="D383" s="116">
        <v>379.75</v>
      </c>
      <c r="E383" s="116">
        <v>389.8</v>
      </c>
      <c r="F383" s="116">
        <v>382.25</v>
      </c>
      <c r="G383">
        <v>998</v>
      </c>
      <c r="H383" s="116"/>
      <c r="I383" s="116"/>
      <c r="L383" s="170">
        <v>43441</v>
      </c>
      <c r="M383" s="116">
        <v>385.45</v>
      </c>
      <c r="N383" s="116">
        <v>389.2</v>
      </c>
      <c r="O383" s="116">
        <v>381</v>
      </c>
      <c r="P383" s="116">
        <v>389.2</v>
      </c>
      <c r="Q383" s="116">
        <v>385.45</v>
      </c>
      <c r="R383">
        <v>5889</v>
      </c>
    </row>
    <row r="384" spans="1:18" x14ac:dyDescent="0.25">
      <c r="A384" s="170">
        <v>43444</v>
      </c>
      <c r="B384" s="116">
        <v>382.25</v>
      </c>
      <c r="C384" s="116">
        <v>377.35</v>
      </c>
      <c r="D384" s="116">
        <v>374.4</v>
      </c>
      <c r="E384" s="116">
        <v>375.7</v>
      </c>
      <c r="F384" s="116">
        <v>377.35</v>
      </c>
      <c r="G384">
        <v>997</v>
      </c>
      <c r="H384" s="116"/>
      <c r="I384" s="116"/>
      <c r="L384" s="170">
        <v>43444</v>
      </c>
      <c r="M384" s="116">
        <v>385.05</v>
      </c>
      <c r="N384" s="116">
        <v>390</v>
      </c>
      <c r="O384" s="116">
        <v>372.95</v>
      </c>
      <c r="P384" s="116">
        <v>383.25</v>
      </c>
      <c r="Q384" s="116">
        <v>385.05</v>
      </c>
      <c r="R384">
        <v>7693</v>
      </c>
    </row>
    <row r="385" spans="1:18" x14ac:dyDescent="0.25">
      <c r="A385" s="170">
        <v>43445</v>
      </c>
      <c r="B385" s="116">
        <v>385.15</v>
      </c>
      <c r="C385" s="116">
        <v>382.3</v>
      </c>
      <c r="D385" s="116">
        <v>375.1</v>
      </c>
      <c r="E385" s="116">
        <v>381.2</v>
      </c>
      <c r="F385" s="116">
        <v>382.3</v>
      </c>
      <c r="G385">
        <v>440</v>
      </c>
      <c r="H385" s="116"/>
      <c r="I385" s="116"/>
      <c r="L385" s="170">
        <v>43445</v>
      </c>
      <c r="M385" s="116">
        <v>384.05</v>
      </c>
      <c r="N385" s="116">
        <v>385</v>
      </c>
      <c r="O385" s="116">
        <v>379.05</v>
      </c>
      <c r="P385" s="116">
        <v>380</v>
      </c>
      <c r="Q385" s="116">
        <v>384.05</v>
      </c>
      <c r="R385">
        <v>9822</v>
      </c>
    </row>
    <row r="386" spans="1:18" x14ac:dyDescent="0.25">
      <c r="A386" s="170">
        <v>43446</v>
      </c>
      <c r="B386" s="116">
        <v>390</v>
      </c>
      <c r="C386" s="116">
        <v>379.65</v>
      </c>
      <c r="D386" s="116">
        <v>375.95</v>
      </c>
      <c r="E386" s="116">
        <v>385.45</v>
      </c>
      <c r="F386" s="116">
        <v>379.65</v>
      </c>
      <c r="G386">
        <v>2193</v>
      </c>
      <c r="H386" s="116"/>
      <c r="I386" s="116"/>
      <c r="L386" s="170">
        <v>43446</v>
      </c>
      <c r="M386" s="116">
        <v>378.25</v>
      </c>
      <c r="N386" s="116">
        <v>387.85</v>
      </c>
      <c r="O386" s="116">
        <v>376.1</v>
      </c>
      <c r="P386" s="116">
        <v>385</v>
      </c>
      <c r="Q386" s="116">
        <v>378.25</v>
      </c>
      <c r="R386">
        <v>24525</v>
      </c>
    </row>
    <row r="387" spans="1:18" x14ac:dyDescent="0.25">
      <c r="A387" s="170">
        <v>43447</v>
      </c>
      <c r="B387" s="116">
        <v>384.5</v>
      </c>
      <c r="C387" s="116">
        <v>379.6</v>
      </c>
      <c r="D387" s="116">
        <v>378.75</v>
      </c>
      <c r="E387" s="116">
        <v>382</v>
      </c>
      <c r="F387" s="116">
        <v>379.6</v>
      </c>
      <c r="G387">
        <v>336</v>
      </c>
      <c r="H387" s="116"/>
      <c r="I387" s="116"/>
      <c r="L387" s="170">
        <v>43447</v>
      </c>
      <c r="M387" s="116">
        <v>379.85</v>
      </c>
      <c r="N387" s="116">
        <v>382.75</v>
      </c>
      <c r="O387" s="116">
        <v>378</v>
      </c>
      <c r="P387" s="116">
        <v>380.3</v>
      </c>
      <c r="Q387" s="116">
        <v>379.85</v>
      </c>
      <c r="R387">
        <v>11148</v>
      </c>
    </row>
    <row r="388" spans="1:18" x14ac:dyDescent="0.25">
      <c r="A388" s="170">
        <v>43448</v>
      </c>
      <c r="B388" s="116">
        <v>380.95</v>
      </c>
      <c r="C388" s="116">
        <v>379</v>
      </c>
      <c r="D388" s="116">
        <v>377.65</v>
      </c>
      <c r="E388" s="116">
        <v>379.6</v>
      </c>
      <c r="F388" s="116">
        <v>379</v>
      </c>
      <c r="G388">
        <v>420</v>
      </c>
      <c r="H388" s="116"/>
      <c r="I388" s="116"/>
      <c r="L388" s="170">
        <v>43448</v>
      </c>
      <c r="M388" s="116">
        <v>380.7</v>
      </c>
      <c r="N388" s="116">
        <v>382</v>
      </c>
      <c r="O388" s="116">
        <v>376.85</v>
      </c>
      <c r="P388" s="116">
        <v>378.75</v>
      </c>
      <c r="Q388" s="116">
        <v>380.7</v>
      </c>
      <c r="R388">
        <v>6296</v>
      </c>
    </row>
    <row r="389" spans="1:18" x14ac:dyDescent="0.25">
      <c r="A389" s="170">
        <v>43451</v>
      </c>
      <c r="B389" s="116">
        <v>384</v>
      </c>
      <c r="C389" s="116">
        <v>373</v>
      </c>
      <c r="D389" s="116">
        <v>371</v>
      </c>
      <c r="E389" s="116">
        <v>380</v>
      </c>
      <c r="F389" s="116">
        <v>373</v>
      </c>
      <c r="G389">
        <v>2303</v>
      </c>
      <c r="H389" s="116"/>
      <c r="I389" s="116"/>
      <c r="L389" s="170">
        <v>43451</v>
      </c>
      <c r="M389" s="116">
        <v>377.5</v>
      </c>
      <c r="N389" s="116">
        <v>383</v>
      </c>
      <c r="O389" s="116">
        <v>375.5</v>
      </c>
      <c r="P389" s="116">
        <v>377.65</v>
      </c>
      <c r="Q389" s="116">
        <v>377.5</v>
      </c>
      <c r="R389">
        <v>8986</v>
      </c>
    </row>
    <row r="390" spans="1:18" x14ac:dyDescent="0.25">
      <c r="A390" s="170">
        <v>43452</v>
      </c>
      <c r="B390" s="116">
        <v>373.1</v>
      </c>
      <c r="C390" s="116">
        <v>372</v>
      </c>
      <c r="D390" s="116">
        <v>371.95</v>
      </c>
      <c r="E390" s="116">
        <v>373</v>
      </c>
      <c r="F390" s="116">
        <v>372</v>
      </c>
      <c r="G390">
        <v>533</v>
      </c>
      <c r="H390" s="116"/>
      <c r="I390" s="116"/>
      <c r="L390" s="170">
        <v>43452</v>
      </c>
      <c r="M390" s="116">
        <v>372.65</v>
      </c>
      <c r="N390" s="116">
        <v>376.55</v>
      </c>
      <c r="O390" s="116">
        <v>371.1</v>
      </c>
      <c r="P390" s="116">
        <v>376.55</v>
      </c>
      <c r="Q390" s="116">
        <v>372.65</v>
      </c>
      <c r="R390">
        <v>8196</v>
      </c>
    </row>
    <row r="391" spans="1:18" x14ac:dyDescent="0.25">
      <c r="A391" s="170">
        <v>43453</v>
      </c>
      <c r="B391" s="116">
        <v>387.2</v>
      </c>
      <c r="C391" s="116">
        <v>382.9</v>
      </c>
      <c r="D391" s="116">
        <v>377.25</v>
      </c>
      <c r="E391" s="116">
        <v>380.95</v>
      </c>
      <c r="F391" s="116">
        <v>382.9</v>
      </c>
      <c r="G391">
        <v>3964</v>
      </c>
      <c r="H391" s="116"/>
      <c r="I391" s="116"/>
      <c r="L391" s="170">
        <v>43453</v>
      </c>
      <c r="M391" s="116">
        <v>380.15</v>
      </c>
      <c r="N391" s="116">
        <v>383</v>
      </c>
      <c r="O391" s="116">
        <v>374</v>
      </c>
      <c r="P391" s="116">
        <v>374.05</v>
      </c>
      <c r="Q391" s="116">
        <v>380.15</v>
      </c>
      <c r="R391">
        <v>75822</v>
      </c>
    </row>
    <row r="392" spans="1:18" x14ac:dyDescent="0.25">
      <c r="A392" s="170">
        <v>43454</v>
      </c>
      <c r="B392" s="116">
        <v>390.1</v>
      </c>
      <c r="C392" s="116">
        <v>385.5</v>
      </c>
      <c r="D392" s="116">
        <v>376.6</v>
      </c>
      <c r="E392" s="116">
        <v>379.15</v>
      </c>
      <c r="F392" s="116">
        <v>385.5</v>
      </c>
      <c r="G392">
        <v>174872</v>
      </c>
      <c r="H392" s="116"/>
      <c r="I392" s="116"/>
      <c r="L392" s="170">
        <v>43454</v>
      </c>
      <c r="M392" s="116">
        <v>385.35</v>
      </c>
      <c r="N392" s="116">
        <v>389</v>
      </c>
      <c r="O392" s="116">
        <v>377.1</v>
      </c>
      <c r="P392" s="116">
        <v>382.25</v>
      </c>
      <c r="Q392" s="116">
        <v>385.35</v>
      </c>
      <c r="R392">
        <v>442440</v>
      </c>
    </row>
    <row r="393" spans="1:18" x14ac:dyDescent="0.25">
      <c r="A393" s="170">
        <v>43455</v>
      </c>
      <c r="B393" s="116">
        <v>392</v>
      </c>
      <c r="C393" s="116">
        <v>386.5</v>
      </c>
      <c r="D393" s="116">
        <v>383.9</v>
      </c>
      <c r="E393" s="116">
        <v>389.8</v>
      </c>
      <c r="F393" s="116">
        <v>386.5</v>
      </c>
      <c r="G393">
        <v>5684</v>
      </c>
      <c r="H393" s="116"/>
      <c r="I393" s="116"/>
      <c r="L393" s="170">
        <v>43455</v>
      </c>
      <c r="M393" s="116">
        <v>388.05</v>
      </c>
      <c r="N393" s="116">
        <v>392.4</v>
      </c>
      <c r="O393" s="116">
        <v>383</v>
      </c>
      <c r="P393" s="116">
        <v>387</v>
      </c>
      <c r="Q393" s="116">
        <v>388.05</v>
      </c>
      <c r="R393">
        <v>35345</v>
      </c>
    </row>
    <row r="394" spans="1:18" x14ac:dyDescent="0.25">
      <c r="A394" s="170">
        <v>43458</v>
      </c>
      <c r="B394" s="116">
        <v>390.5</v>
      </c>
      <c r="C394" s="116">
        <v>383.25</v>
      </c>
      <c r="D394" s="116">
        <v>380</v>
      </c>
      <c r="E394" s="116">
        <v>388</v>
      </c>
      <c r="F394" s="116">
        <v>383.25</v>
      </c>
      <c r="G394">
        <v>2045</v>
      </c>
      <c r="H394" s="116"/>
      <c r="I394" s="116"/>
      <c r="L394" s="170">
        <v>43458</v>
      </c>
      <c r="M394" s="116">
        <v>381.75</v>
      </c>
      <c r="N394" s="116">
        <v>390</v>
      </c>
      <c r="O394" s="116">
        <v>379.1</v>
      </c>
      <c r="P394" s="116">
        <v>387.4</v>
      </c>
      <c r="Q394" s="116">
        <v>381.75</v>
      </c>
      <c r="R394">
        <v>29931</v>
      </c>
    </row>
    <row r="395" spans="1:18" x14ac:dyDescent="0.25">
      <c r="A395" s="170">
        <v>43460</v>
      </c>
      <c r="B395" s="116">
        <v>384.1</v>
      </c>
      <c r="C395" s="116">
        <v>380</v>
      </c>
      <c r="D395" s="116">
        <v>378</v>
      </c>
      <c r="E395" s="116">
        <v>381.25</v>
      </c>
      <c r="F395" s="116">
        <v>380</v>
      </c>
      <c r="G395">
        <v>2447</v>
      </c>
      <c r="H395" s="116"/>
      <c r="I395" s="116"/>
      <c r="L395" s="170">
        <v>43460</v>
      </c>
      <c r="M395" s="116">
        <v>380.05</v>
      </c>
      <c r="N395" s="116">
        <v>383.25</v>
      </c>
      <c r="O395" s="116">
        <v>379.8</v>
      </c>
      <c r="P395" s="116">
        <v>383.25</v>
      </c>
      <c r="Q395" s="116">
        <v>380.05</v>
      </c>
      <c r="R395">
        <v>49470</v>
      </c>
    </row>
    <row r="396" spans="1:18" x14ac:dyDescent="0.25">
      <c r="A396" s="170">
        <v>43461</v>
      </c>
      <c r="B396" s="116">
        <v>380.75</v>
      </c>
      <c r="C396" s="116">
        <v>380</v>
      </c>
      <c r="D396" s="116">
        <v>377.15</v>
      </c>
      <c r="E396" s="116">
        <v>380.75</v>
      </c>
      <c r="F396" s="116">
        <v>380</v>
      </c>
      <c r="G396">
        <v>510</v>
      </c>
      <c r="H396" s="116"/>
      <c r="I396" s="116"/>
      <c r="L396" s="170">
        <v>43461</v>
      </c>
      <c r="M396" s="116">
        <v>380.55</v>
      </c>
      <c r="N396" s="116">
        <v>384.25</v>
      </c>
      <c r="O396" s="116">
        <v>379.6</v>
      </c>
      <c r="P396" s="116">
        <v>384.25</v>
      </c>
      <c r="Q396" s="116">
        <v>380.55</v>
      </c>
      <c r="R396">
        <v>7670</v>
      </c>
    </row>
    <row r="397" spans="1:18" x14ac:dyDescent="0.25">
      <c r="A397" s="170">
        <v>43462</v>
      </c>
      <c r="B397" s="116">
        <v>390</v>
      </c>
      <c r="C397" s="116">
        <v>388.1</v>
      </c>
      <c r="D397" s="116">
        <v>379.05</v>
      </c>
      <c r="E397" s="116">
        <v>383</v>
      </c>
      <c r="F397" s="116">
        <v>388.1</v>
      </c>
      <c r="G397">
        <v>1470</v>
      </c>
      <c r="H397" s="116"/>
      <c r="I397" s="116"/>
      <c r="L397" s="170">
        <v>43462</v>
      </c>
      <c r="M397" s="116">
        <v>388.05</v>
      </c>
      <c r="N397" s="116">
        <v>389</v>
      </c>
      <c r="O397" s="116">
        <v>379.6</v>
      </c>
      <c r="P397" s="116">
        <v>380.05</v>
      </c>
      <c r="Q397" s="116">
        <v>388.05</v>
      </c>
      <c r="R397">
        <v>15084</v>
      </c>
    </row>
    <row r="398" spans="1:18" x14ac:dyDescent="0.25">
      <c r="A398" s="170">
        <v>43465</v>
      </c>
      <c r="B398" s="116">
        <v>393.05</v>
      </c>
      <c r="C398" s="116">
        <v>392.05</v>
      </c>
      <c r="D398" s="116">
        <v>384.65</v>
      </c>
      <c r="E398" s="116">
        <v>387.45</v>
      </c>
      <c r="F398" s="116">
        <v>392.05</v>
      </c>
      <c r="G398">
        <v>728</v>
      </c>
      <c r="H398" s="116"/>
      <c r="I398" s="116"/>
      <c r="L398" s="170">
        <v>43465</v>
      </c>
      <c r="M398" s="116">
        <v>392.55</v>
      </c>
      <c r="N398" s="116">
        <v>394</v>
      </c>
      <c r="O398" s="116">
        <v>384.1</v>
      </c>
      <c r="P398" s="116">
        <v>387.9</v>
      </c>
      <c r="Q398" s="116">
        <v>392.55</v>
      </c>
      <c r="R398">
        <v>14804</v>
      </c>
    </row>
    <row r="399" spans="1:18" x14ac:dyDescent="0.25">
      <c r="A399" s="170">
        <v>43466</v>
      </c>
      <c r="B399" s="116">
        <v>395</v>
      </c>
      <c r="C399" s="116">
        <v>393.15</v>
      </c>
      <c r="D399" s="116">
        <v>382.9</v>
      </c>
      <c r="E399" s="116">
        <v>394</v>
      </c>
      <c r="F399" s="116">
        <v>393.15</v>
      </c>
      <c r="G399">
        <v>3408</v>
      </c>
      <c r="H399" s="116"/>
      <c r="I399" s="116"/>
      <c r="L399" s="170">
        <v>43466</v>
      </c>
      <c r="M399" s="116">
        <v>392.95</v>
      </c>
      <c r="N399" s="116">
        <v>397</v>
      </c>
      <c r="O399" s="116">
        <v>382.85</v>
      </c>
      <c r="P399" s="116">
        <v>390.1</v>
      </c>
      <c r="Q399" s="116">
        <v>392.95</v>
      </c>
      <c r="R399">
        <v>19531</v>
      </c>
    </row>
    <row r="400" spans="1:18" x14ac:dyDescent="0.25">
      <c r="A400" s="170">
        <v>43467</v>
      </c>
      <c r="B400" s="116">
        <v>407.25</v>
      </c>
      <c r="C400" s="116">
        <v>403.05</v>
      </c>
      <c r="D400" s="116">
        <v>391.75</v>
      </c>
      <c r="E400" s="116">
        <v>394</v>
      </c>
      <c r="F400" s="116">
        <v>403.05</v>
      </c>
      <c r="G400">
        <v>5503</v>
      </c>
      <c r="H400" s="116"/>
      <c r="I400" s="116"/>
      <c r="L400" s="170">
        <v>43467</v>
      </c>
      <c r="M400" s="116">
        <v>403.05</v>
      </c>
      <c r="N400" s="116">
        <v>408.95</v>
      </c>
      <c r="O400" s="116">
        <v>386.05</v>
      </c>
      <c r="P400" s="116">
        <v>392.85</v>
      </c>
      <c r="Q400" s="116">
        <v>403.05</v>
      </c>
      <c r="R400">
        <v>39190</v>
      </c>
    </row>
    <row r="401" spans="1:18" x14ac:dyDescent="0.25">
      <c r="A401" s="170">
        <v>43468</v>
      </c>
      <c r="B401" s="116">
        <v>412.95</v>
      </c>
      <c r="C401" s="116">
        <v>409.55</v>
      </c>
      <c r="D401" s="116">
        <v>406.1</v>
      </c>
      <c r="E401" s="116">
        <v>407.95</v>
      </c>
      <c r="F401" s="116">
        <v>409.55</v>
      </c>
      <c r="G401">
        <v>4423</v>
      </c>
      <c r="H401" s="116"/>
      <c r="I401" s="116"/>
      <c r="L401" s="170">
        <v>43468</v>
      </c>
      <c r="M401" s="116">
        <v>411.35</v>
      </c>
      <c r="N401" s="116">
        <v>414.95</v>
      </c>
      <c r="O401" s="116">
        <v>402.15</v>
      </c>
      <c r="P401" s="116">
        <v>405</v>
      </c>
      <c r="Q401" s="116">
        <v>411.35</v>
      </c>
      <c r="R401">
        <v>59286</v>
      </c>
    </row>
    <row r="402" spans="1:18" x14ac:dyDescent="0.25">
      <c r="A402" s="170">
        <v>43469</v>
      </c>
      <c r="B402" s="116">
        <v>423</v>
      </c>
      <c r="C402" s="116">
        <v>422.75</v>
      </c>
      <c r="D402" s="116">
        <v>414.55</v>
      </c>
      <c r="E402" s="116">
        <v>414.55</v>
      </c>
      <c r="F402" s="116">
        <v>422.75</v>
      </c>
      <c r="G402">
        <v>3240</v>
      </c>
      <c r="H402" s="116"/>
      <c r="I402" s="116"/>
      <c r="L402" s="170">
        <v>43469</v>
      </c>
      <c r="M402" s="116">
        <v>422.2</v>
      </c>
      <c r="N402" s="116">
        <v>423.1</v>
      </c>
      <c r="O402" s="116">
        <v>405.05</v>
      </c>
      <c r="P402" s="116">
        <v>411.15</v>
      </c>
      <c r="Q402" s="116">
        <v>422.2</v>
      </c>
      <c r="R402">
        <v>34823</v>
      </c>
    </row>
    <row r="403" spans="1:18" x14ac:dyDescent="0.25">
      <c r="A403" s="170">
        <v>43472</v>
      </c>
      <c r="B403" s="116">
        <v>439.5</v>
      </c>
      <c r="C403" s="116">
        <v>423.95</v>
      </c>
      <c r="D403" s="116">
        <v>417.5</v>
      </c>
      <c r="E403" s="116">
        <v>434.45</v>
      </c>
      <c r="F403" s="116">
        <v>423.95</v>
      </c>
      <c r="G403">
        <v>4110</v>
      </c>
      <c r="H403" s="116"/>
      <c r="I403" s="116"/>
      <c r="L403" s="170">
        <v>43472</v>
      </c>
      <c r="M403" s="116">
        <v>421.25</v>
      </c>
      <c r="N403" s="116">
        <v>435.95</v>
      </c>
      <c r="O403" s="116">
        <v>415.55</v>
      </c>
      <c r="P403" s="116">
        <v>427</v>
      </c>
      <c r="Q403" s="116">
        <v>421.25</v>
      </c>
      <c r="R403">
        <v>44124</v>
      </c>
    </row>
    <row r="404" spans="1:18" x14ac:dyDescent="0.25">
      <c r="A404" s="170">
        <v>43473</v>
      </c>
      <c r="B404" s="116">
        <v>434.5</v>
      </c>
      <c r="C404" s="116">
        <v>433.05</v>
      </c>
      <c r="D404" s="116">
        <v>415</v>
      </c>
      <c r="E404" s="116">
        <v>422.5</v>
      </c>
      <c r="F404" s="116">
        <v>433.05</v>
      </c>
      <c r="G404">
        <v>3499</v>
      </c>
      <c r="H404" s="116"/>
      <c r="I404" s="116"/>
      <c r="L404" s="170">
        <v>43473</v>
      </c>
      <c r="M404" s="116">
        <v>433.7</v>
      </c>
      <c r="N404" s="116">
        <v>435</v>
      </c>
      <c r="O404" s="116">
        <v>417</v>
      </c>
      <c r="P404" s="116">
        <v>417</v>
      </c>
      <c r="Q404" s="116">
        <v>433.7</v>
      </c>
      <c r="R404">
        <v>27110</v>
      </c>
    </row>
    <row r="405" spans="1:18" x14ac:dyDescent="0.25">
      <c r="A405" s="170">
        <v>43474</v>
      </c>
      <c r="B405" s="116">
        <v>446.8</v>
      </c>
      <c r="C405" s="116">
        <v>434.5</v>
      </c>
      <c r="D405" s="116">
        <v>426.4</v>
      </c>
      <c r="E405" s="116">
        <v>446.8</v>
      </c>
      <c r="F405" s="116">
        <v>434.5</v>
      </c>
      <c r="G405">
        <v>7558</v>
      </c>
      <c r="H405" s="116"/>
      <c r="I405" s="116"/>
      <c r="L405" s="170">
        <v>43474</v>
      </c>
      <c r="M405" s="116">
        <v>435.25</v>
      </c>
      <c r="N405" s="116">
        <v>439.8</v>
      </c>
      <c r="O405" s="116">
        <v>423.75</v>
      </c>
      <c r="P405" s="116">
        <v>435.85</v>
      </c>
      <c r="Q405" s="116">
        <v>435.25</v>
      </c>
      <c r="R405">
        <v>45141</v>
      </c>
    </row>
    <row r="406" spans="1:18" x14ac:dyDescent="0.25">
      <c r="A406" s="170">
        <v>43475</v>
      </c>
      <c r="B406" s="116">
        <v>440</v>
      </c>
      <c r="C406" s="116">
        <v>434.75</v>
      </c>
      <c r="D406" s="116">
        <v>431.2</v>
      </c>
      <c r="E406" s="116">
        <v>438.25</v>
      </c>
      <c r="F406" s="116">
        <v>434.75</v>
      </c>
      <c r="G406">
        <v>2585</v>
      </c>
      <c r="H406" s="116"/>
      <c r="I406" s="116"/>
      <c r="L406" s="170">
        <v>43475</v>
      </c>
      <c r="M406" s="116">
        <v>435.95</v>
      </c>
      <c r="N406" s="116">
        <v>438.5</v>
      </c>
      <c r="O406" s="116">
        <v>430.65</v>
      </c>
      <c r="P406" s="116">
        <v>438</v>
      </c>
      <c r="Q406" s="116">
        <v>435.95</v>
      </c>
      <c r="R406">
        <v>15343</v>
      </c>
    </row>
    <row r="407" spans="1:18" x14ac:dyDescent="0.25">
      <c r="A407" s="170">
        <v>43476</v>
      </c>
      <c r="B407" s="116">
        <v>440.65</v>
      </c>
      <c r="C407" s="116">
        <v>431</v>
      </c>
      <c r="D407" s="116">
        <v>430</v>
      </c>
      <c r="E407" s="116">
        <v>438.35</v>
      </c>
      <c r="F407" s="116">
        <v>431</v>
      </c>
      <c r="G407">
        <v>2054</v>
      </c>
      <c r="H407" s="116"/>
      <c r="I407" s="116"/>
      <c r="L407" s="170">
        <v>43476</v>
      </c>
      <c r="M407" s="116">
        <v>430.55</v>
      </c>
      <c r="N407" s="116">
        <v>442.15</v>
      </c>
      <c r="O407" s="116">
        <v>428.45</v>
      </c>
      <c r="P407" s="116">
        <v>432.25</v>
      </c>
      <c r="Q407" s="116">
        <v>430.55</v>
      </c>
      <c r="R407">
        <v>35530</v>
      </c>
    </row>
    <row r="408" spans="1:18" x14ac:dyDescent="0.25">
      <c r="A408" s="170">
        <v>43479</v>
      </c>
      <c r="B408" s="116">
        <v>430</v>
      </c>
      <c r="C408" s="116">
        <v>414.3</v>
      </c>
      <c r="D408" s="116">
        <v>400.35</v>
      </c>
      <c r="E408" s="116">
        <v>430</v>
      </c>
      <c r="F408" s="116">
        <v>414.3</v>
      </c>
      <c r="G408">
        <v>9381</v>
      </c>
      <c r="H408" s="116"/>
      <c r="I408" s="116"/>
      <c r="L408" s="170">
        <v>43479</v>
      </c>
      <c r="M408" s="116">
        <v>415.25</v>
      </c>
      <c r="N408" s="116">
        <v>431</v>
      </c>
      <c r="O408" s="116">
        <v>400</v>
      </c>
      <c r="P408" s="116">
        <v>431</v>
      </c>
      <c r="Q408" s="116">
        <v>415.25</v>
      </c>
      <c r="R408">
        <v>66752</v>
      </c>
    </row>
    <row r="409" spans="1:18" x14ac:dyDescent="0.25">
      <c r="A409" s="170">
        <v>43480</v>
      </c>
      <c r="B409" s="116">
        <v>419.2</v>
      </c>
      <c r="C409" s="116">
        <v>410.9</v>
      </c>
      <c r="D409" s="116">
        <v>409</v>
      </c>
      <c r="E409" s="116">
        <v>419.2</v>
      </c>
      <c r="F409" s="116">
        <v>410.9</v>
      </c>
      <c r="G409">
        <v>357</v>
      </c>
      <c r="H409" s="116"/>
      <c r="I409" s="116"/>
      <c r="L409" s="170">
        <v>43480</v>
      </c>
      <c r="M409" s="116">
        <v>411.85</v>
      </c>
      <c r="N409" s="116">
        <v>424.4</v>
      </c>
      <c r="O409" s="116">
        <v>409</v>
      </c>
      <c r="P409" s="116">
        <v>411.75</v>
      </c>
      <c r="Q409" s="116">
        <v>411.85</v>
      </c>
      <c r="R409">
        <v>13022</v>
      </c>
    </row>
    <row r="410" spans="1:18" x14ac:dyDescent="0.25">
      <c r="A410" s="170">
        <v>43481</v>
      </c>
      <c r="B410" s="116">
        <v>417.8</v>
      </c>
      <c r="C410" s="116">
        <v>411.65</v>
      </c>
      <c r="D410" s="116">
        <v>402.3</v>
      </c>
      <c r="E410" s="116">
        <v>408.3</v>
      </c>
      <c r="F410" s="116">
        <v>411.65</v>
      </c>
      <c r="G410">
        <v>2508</v>
      </c>
      <c r="H410" s="116"/>
      <c r="I410" s="116"/>
      <c r="L410" s="170">
        <v>43481</v>
      </c>
      <c r="M410" s="116">
        <v>411.5</v>
      </c>
      <c r="N410" s="116">
        <v>421</v>
      </c>
      <c r="O410" s="116">
        <v>401</v>
      </c>
      <c r="P410" s="116">
        <v>410.05</v>
      </c>
      <c r="Q410" s="116">
        <v>411.5</v>
      </c>
      <c r="R410">
        <v>27870</v>
      </c>
    </row>
    <row r="411" spans="1:18" x14ac:dyDescent="0.25">
      <c r="A411" s="170">
        <v>43482</v>
      </c>
      <c r="B411" s="116">
        <v>415.05</v>
      </c>
      <c r="C411" s="116">
        <v>409.85</v>
      </c>
      <c r="D411" s="116">
        <v>403.4</v>
      </c>
      <c r="E411" s="116">
        <v>415.05</v>
      </c>
      <c r="F411" s="116">
        <v>409.85</v>
      </c>
      <c r="G411">
        <v>420</v>
      </c>
      <c r="H411" s="116"/>
      <c r="I411" s="116"/>
      <c r="L411" s="170">
        <v>43482</v>
      </c>
      <c r="M411" s="116">
        <v>409.7</v>
      </c>
      <c r="N411" s="116">
        <v>415</v>
      </c>
      <c r="O411" s="116">
        <v>403</v>
      </c>
      <c r="P411" s="116">
        <v>414.9</v>
      </c>
      <c r="Q411" s="116">
        <v>409.7</v>
      </c>
      <c r="R411">
        <v>13181</v>
      </c>
    </row>
    <row r="412" spans="1:18" x14ac:dyDescent="0.25">
      <c r="A412" s="170">
        <v>43483</v>
      </c>
      <c r="B412" s="116">
        <v>406.25</v>
      </c>
      <c r="C412" s="116">
        <v>402.35</v>
      </c>
      <c r="D412" s="116">
        <v>400</v>
      </c>
      <c r="E412" s="116">
        <v>404.2</v>
      </c>
      <c r="F412" s="116">
        <v>402.35</v>
      </c>
      <c r="G412">
        <v>1166</v>
      </c>
      <c r="H412" s="116"/>
      <c r="I412" s="116"/>
      <c r="L412" s="170">
        <v>43483</v>
      </c>
      <c r="M412" s="116">
        <v>400.6</v>
      </c>
      <c r="N412" s="116">
        <v>411.35</v>
      </c>
      <c r="O412" s="116">
        <v>395.2</v>
      </c>
      <c r="P412" s="116">
        <v>411.35</v>
      </c>
      <c r="Q412" s="116">
        <v>400.6</v>
      </c>
      <c r="R412">
        <v>18515</v>
      </c>
    </row>
    <row r="413" spans="1:18" x14ac:dyDescent="0.25">
      <c r="A413" s="170">
        <v>43486</v>
      </c>
      <c r="B413" s="116">
        <v>416</v>
      </c>
      <c r="C413" s="116">
        <v>408.45</v>
      </c>
      <c r="D413" s="116">
        <v>404.25</v>
      </c>
      <c r="E413" s="116">
        <v>406.95</v>
      </c>
      <c r="F413" s="116">
        <v>408.45</v>
      </c>
      <c r="G413">
        <v>4515</v>
      </c>
      <c r="H413" s="116"/>
      <c r="I413" s="116"/>
      <c r="L413" s="170">
        <v>43486</v>
      </c>
      <c r="M413" s="116">
        <v>408.2</v>
      </c>
      <c r="N413" s="116">
        <v>416.45</v>
      </c>
      <c r="O413" s="116">
        <v>404</v>
      </c>
      <c r="P413" s="116">
        <v>408.05</v>
      </c>
      <c r="Q413" s="116">
        <v>408.2</v>
      </c>
      <c r="R413">
        <v>56047</v>
      </c>
    </row>
    <row r="414" spans="1:18" x14ac:dyDescent="0.25">
      <c r="A414" s="170">
        <v>43487</v>
      </c>
      <c r="B414" s="116">
        <v>410</v>
      </c>
      <c r="C414" s="116">
        <v>405.6</v>
      </c>
      <c r="D414" s="116">
        <v>402</v>
      </c>
      <c r="E414" s="116">
        <v>404</v>
      </c>
      <c r="F414" s="116">
        <v>405.6</v>
      </c>
      <c r="G414">
        <v>2220</v>
      </c>
      <c r="H414" s="116"/>
      <c r="I414" s="116"/>
      <c r="L414" s="170">
        <v>43487</v>
      </c>
      <c r="M414" s="116">
        <v>407.65</v>
      </c>
      <c r="N414" s="116">
        <v>410.9</v>
      </c>
      <c r="O414" s="116">
        <v>402.65</v>
      </c>
      <c r="P414" s="116">
        <v>410.9</v>
      </c>
      <c r="Q414" s="116">
        <v>407.65</v>
      </c>
      <c r="R414">
        <v>24381</v>
      </c>
    </row>
    <row r="415" spans="1:18" x14ac:dyDescent="0.25">
      <c r="A415" s="170">
        <v>43488</v>
      </c>
      <c r="B415" s="116">
        <v>408</v>
      </c>
      <c r="C415" s="116">
        <v>407.25</v>
      </c>
      <c r="D415" s="116">
        <v>403.9</v>
      </c>
      <c r="E415" s="116">
        <v>405.25</v>
      </c>
      <c r="F415" s="116">
        <v>407.25</v>
      </c>
      <c r="G415">
        <v>662</v>
      </c>
      <c r="H415" s="116"/>
      <c r="I415" s="116"/>
      <c r="L415" s="170">
        <v>43488</v>
      </c>
      <c r="M415" s="116">
        <v>406.25</v>
      </c>
      <c r="N415" s="116">
        <v>408.8</v>
      </c>
      <c r="O415" s="116">
        <v>400.3</v>
      </c>
      <c r="P415" s="116">
        <v>405</v>
      </c>
      <c r="Q415" s="116">
        <v>406.25</v>
      </c>
      <c r="R415">
        <v>8238</v>
      </c>
    </row>
    <row r="416" spans="1:18" x14ac:dyDescent="0.25">
      <c r="A416" s="170">
        <v>43489</v>
      </c>
      <c r="B416" s="116">
        <v>404.7</v>
      </c>
      <c r="C416" s="116">
        <v>397.8</v>
      </c>
      <c r="D416" s="116">
        <v>396.15</v>
      </c>
      <c r="E416" s="116">
        <v>402.25</v>
      </c>
      <c r="F416" s="116">
        <v>397.8</v>
      </c>
      <c r="G416">
        <v>414</v>
      </c>
      <c r="H416" s="116"/>
      <c r="I416" s="116"/>
      <c r="L416" s="170">
        <v>43489</v>
      </c>
      <c r="M416" s="116">
        <v>396.55</v>
      </c>
      <c r="N416" s="116">
        <v>405</v>
      </c>
      <c r="O416" s="116">
        <v>393.75</v>
      </c>
      <c r="P416" s="116">
        <v>403.05</v>
      </c>
      <c r="Q416" s="116">
        <v>396.55</v>
      </c>
      <c r="R416">
        <v>11286</v>
      </c>
    </row>
    <row r="417" spans="1:18" x14ac:dyDescent="0.25">
      <c r="A417" s="170">
        <v>43490</v>
      </c>
      <c r="B417" s="116">
        <v>405.3</v>
      </c>
      <c r="C417" s="116">
        <v>395.2</v>
      </c>
      <c r="D417" s="116">
        <v>392.3</v>
      </c>
      <c r="E417" s="116">
        <v>396.3</v>
      </c>
      <c r="F417" s="116">
        <v>395.2</v>
      </c>
      <c r="G417">
        <v>1041</v>
      </c>
      <c r="H417" s="116"/>
      <c r="I417" s="116"/>
      <c r="L417" s="170">
        <v>43490</v>
      </c>
      <c r="M417" s="116">
        <v>392.35</v>
      </c>
      <c r="N417" s="116">
        <v>404.9</v>
      </c>
      <c r="O417" s="116">
        <v>388.05</v>
      </c>
      <c r="P417" s="116">
        <v>392.6</v>
      </c>
      <c r="Q417" s="116">
        <v>392.35</v>
      </c>
      <c r="R417">
        <v>10988</v>
      </c>
    </row>
    <row r="418" spans="1:18" x14ac:dyDescent="0.25">
      <c r="A418" s="170">
        <v>43493</v>
      </c>
      <c r="B418" s="116">
        <v>391.1</v>
      </c>
      <c r="C418" s="116">
        <v>383.7</v>
      </c>
      <c r="D418" s="116">
        <v>381.1</v>
      </c>
      <c r="E418" s="116">
        <v>390.1</v>
      </c>
      <c r="F418" s="116">
        <v>383.7</v>
      </c>
      <c r="G418">
        <v>1155</v>
      </c>
      <c r="H418" s="116"/>
      <c r="I418" s="116"/>
      <c r="L418" s="170">
        <v>43493</v>
      </c>
      <c r="M418" s="116">
        <v>382.95</v>
      </c>
      <c r="N418" s="116">
        <v>393.1</v>
      </c>
      <c r="O418" s="116">
        <v>380</v>
      </c>
      <c r="P418" s="116">
        <v>393.1</v>
      </c>
      <c r="Q418" s="116">
        <v>382.95</v>
      </c>
      <c r="R418">
        <v>24327</v>
      </c>
    </row>
    <row r="419" spans="1:18" x14ac:dyDescent="0.25">
      <c r="A419" s="170">
        <v>43494</v>
      </c>
      <c r="B419" s="116">
        <v>388.85</v>
      </c>
      <c r="C419" s="116">
        <v>386.75</v>
      </c>
      <c r="D419" s="116">
        <v>381</v>
      </c>
      <c r="E419" s="116">
        <v>382</v>
      </c>
      <c r="F419" s="116">
        <v>386.75</v>
      </c>
      <c r="G419">
        <v>1569</v>
      </c>
      <c r="H419" s="116"/>
      <c r="I419" s="116"/>
      <c r="L419" s="170">
        <v>43494</v>
      </c>
      <c r="M419" s="116">
        <v>383.3</v>
      </c>
      <c r="N419" s="116">
        <v>385.5</v>
      </c>
      <c r="O419" s="116">
        <v>380</v>
      </c>
      <c r="P419" s="116">
        <v>380.05</v>
      </c>
      <c r="Q419" s="116">
        <v>383.3</v>
      </c>
      <c r="R419">
        <v>10464</v>
      </c>
    </row>
    <row r="420" spans="1:18" x14ac:dyDescent="0.25">
      <c r="A420" s="170">
        <v>43495</v>
      </c>
      <c r="B420" s="116">
        <v>384.85</v>
      </c>
      <c r="C420" s="116">
        <v>381.15</v>
      </c>
      <c r="D420" s="116">
        <v>380</v>
      </c>
      <c r="E420" s="116">
        <v>384.5</v>
      </c>
      <c r="F420" s="116">
        <v>381.15</v>
      </c>
      <c r="G420">
        <v>473</v>
      </c>
      <c r="H420" s="116"/>
      <c r="I420" s="116"/>
      <c r="L420" s="170">
        <v>43495</v>
      </c>
      <c r="M420" s="116">
        <v>381.2</v>
      </c>
      <c r="N420" s="116">
        <v>384</v>
      </c>
      <c r="O420" s="116">
        <v>380</v>
      </c>
      <c r="P420" s="116">
        <v>382.55</v>
      </c>
      <c r="Q420" s="116">
        <v>381.2</v>
      </c>
      <c r="R420">
        <v>7672</v>
      </c>
    </row>
    <row r="421" spans="1:18" x14ac:dyDescent="0.25">
      <c r="A421" s="170">
        <v>43496</v>
      </c>
      <c r="B421" s="116">
        <v>385</v>
      </c>
      <c r="C421" s="116">
        <v>380.85</v>
      </c>
      <c r="D421" s="116">
        <v>379.65</v>
      </c>
      <c r="E421" s="116">
        <v>380</v>
      </c>
      <c r="F421" s="116">
        <v>380.85</v>
      </c>
      <c r="G421">
        <v>1395</v>
      </c>
      <c r="H421" s="116"/>
      <c r="I421" s="116"/>
      <c r="L421" s="170">
        <v>43496</v>
      </c>
      <c r="M421" s="116">
        <v>381.75</v>
      </c>
      <c r="N421" s="116">
        <v>385</v>
      </c>
      <c r="O421" s="116">
        <v>378</v>
      </c>
      <c r="P421" s="116">
        <v>381.95</v>
      </c>
      <c r="Q421" s="116">
        <v>381.75</v>
      </c>
      <c r="R421">
        <v>12247</v>
      </c>
    </row>
    <row r="422" spans="1:18" x14ac:dyDescent="0.25">
      <c r="A422" s="170">
        <v>43497</v>
      </c>
      <c r="B422" s="116">
        <v>388</v>
      </c>
      <c r="C422" s="116">
        <v>386.85</v>
      </c>
      <c r="D422" s="116">
        <v>380</v>
      </c>
      <c r="E422" s="116">
        <v>385</v>
      </c>
      <c r="F422" s="116">
        <v>386.85</v>
      </c>
      <c r="G422">
        <v>662</v>
      </c>
      <c r="H422" s="116"/>
      <c r="I422" s="116"/>
      <c r="L422" s="170">
        <v>43497</v>
      </c>
      <c r="M422" s="116">
        <v>384.8</v>
      </c>
      <c r="N422" s="116">
        <v>389</v>
      </c>
      <c r="O422" s="116">
        <v>380</v>
      </c>
      <c r="P422" s="116">
        <v>383.95</v>
      </c>
      <c r="Q422" s="116">
        <v>384.8</v>
      </c>
      <c r="R422">
        <v>67978</v>
      </c>
    </row>
    <row r="423" spans="1:18" x14ac:dyDescent="0.25">
      <c r="A423" s="170">
        <v>43500</v>
      </c>
      <c r="B423" s="116">
        <v>385</v>
      </c>
      <c r="C423" s="116">
        <v>380.95</v>
      </c>
      <c r="D423" s="116">
        <v>379.45</v>
      </c>
      <c r="E423" s="116">
        <v>385</v>
      </c>
      <c r="F423" s="116">
        <v>380.95</v>
      </c>
      <c r="G423">
        <v>396</v>
      </c>
      <c r="H423" s="116"/>
      <c r="I423" s="116"/>
      <c r="L423" s="170">
        <v>43500</v>
      </c>
      <c r="M423" s="116">
        <v>380.45</v>
      </c>
      <c r="N423" s="116">
        <v>384.8</v>
      </c>
      <c r="O423" s="116">
        <v>379.9</v>
      </c>
      <c r="P423" s="116">
        <v>384.8</v>
      </c>
      <c r="Q423" s="116">
        <v>380.45</v>
      </c>
      <c r="R423">
        <v>16049</v>
      </c>
    </row>
    <row r="424" spans="1:18" x14ac:dyDescent="0.25">
      <c r="A424" s="170">
        <v>43501</v>
      </c>
      <c r="B424" s="116">
        <v>384</v>
      </c>
      <c r="C424" s="116">
        <v>380.4</v>
      </c>
      <c r="D424" s="116">
        <v>380</v>
      </c>
      <c r="E424" s="116">
        <v>383.85</v>
      </c>
      <c r="F424" s="116">
        <v>380.4</v>
      </c>
      <c r="G424">
        <v>1241</v>
      </c>
      <c r="H424" s="116"/>
      <c r="I424" s="116"/>
      <c r="L424" s="170">
        <v>43501</v>
      </c>
      <c r="M424" s="116">
        <v>380.5</v>
      </c>
      <c r="N424" s="116">
        <v>384.5</v>
      </c>
      <c r="O424" s="116">
        <v>380</v>
      </c>
      <c r="P424" s="116">
        <v>381.15</v>
      </c>
      <c r="Q424" s="116">
        <v>380.5</v>
      </c>
      <c r="R424">
        <v>9533</v>
      </c>
    </row>
    <row r="425" spans="1:18" x14ac:dyDescent="0.25">
      <c r="A425" s="170">
        <v>43502</v>
      </c>
      <c r="B425" s="116">
        <v>387.2</v>
      </c>
      <c r="C425" s="116">
        <v>387.05</v>
      </c>
      <c r="D425" s="116">
        <v>380.1</v>
      </c>
      <c r="E425" s="116">
        <v>385</v>
      </c>
      <c r="F425" s="116">
        <v>387.05</v>
      </c>
      <c r="G425">
        <v>1098</v>
      </c>
      <c r="H425" s="116"/>
      <c r="I425" s="116"/>
      <c r="L425" s="170">
        <v>43502</v>
      </c>
      <c r="M425" s="116">
        <v>386</v>
      </c>
      <c r="N425" s="116">
        <v>390.95</v>
      </c>
      <c r="O425" s="116">
        <v>380</v>
      </c>
      <c r="P425" s="116">
        <v>380.05</v>
      </c>
      <c r="Q425" s="116">
        <v>386</v>
      </c>
      <c r="R425">
        <v>18721</v>
      </c>
    </row>
    <row r="426" spans="1:18" x14ac:dyDescent="0.25">
      <c r="A426" s="170">
        <v>43503</v>
      </c>
      <c r="B426" s="116">
        <v>396.4</v>
      </c>
      <c r="C426" s="116">
        <v>393.55</v>
      </c>
      <c r="D426" s="116">
        <v>386.5</v>
      </c>
      <c r="E426" s="116">
        <v>391.95</v>
      </c>
      <c r="F426" s="116">
        <v>393.55</v>
      </c>
      <c r="G426">
        <v>4121</v>
      </c>
      <c r="H426" s="116"/>
      <c r="I426" s="116"/>
      <c r="L426" s="170">
        <v>43503</v>
      </c>
      <c r="M426" s="116">
        <v>393.6</v>
      </c>
      <c r="N426" s="116">
        <v>396.5</v>
      </c>
      <c r="O426" s="116">
        <v>382</v>
      </c>
      <c r="P426" s="116">
        <v>383</v>
      </c>
      <c r="Q426" s="116">
        <v>393.6</v>
      </c>
      <c r="R426">
        <v>18657</v>
      </c>
    </row>
    <row r="427" spans="1:18" x14ac:dyDescent="0.25">
      <c r="A427" s="170">
        <v>43504</v>
      </c>
      <c r="B427" s="116">
        <v>394.6</v>
      </c>
      <c r="C427" s="116">
        <v>388.7</v>
      </c>
      <c r="D427" s="116">
        <v>385.9</v>
      </c>
      <c r="E427" s="116">
        <v>390.05</v>
      </c>
      <c r="F427" s="116">
        <v>388.7</v>
      </c>
      <c r="G427">
        <v>1466</v>
      </c>
      <c r="H427" s="116"/>
      <c r="I427" s="116"/>
      <c r="L427" s="170">
        <v>43504</v>
      </c>
      <c r="M427" s="116">
        <v>388</v>
      </c>
      <c r="N427" s="116">
        <v>394</v>
      </c>
      <c r="O427" s="116">
        <v>384.4</v>
      </c>
      <c r="P427" s="116">
        <v>391.15</v>
      </c>
      <c r="Q427" s="116">
        <v>388</v>
      </c>
      <c r="R427">
        <v>13025</v>
      </c>
    </row>
    <row r="428" spans="1:18" x14ac:dyDescent="0.25">
      <c r="A428" s="170">
        <v>43507</v>
      </c>
      <c r="B428" s="116">
        <v>404.2</v>
      </c>
      <c r="C428" s="116">
        <v>396</v>
      </c>
      <c r="D428" s="116">
        <v>392.65</v>
      </c>
      <c r="E428" s="116">
        <v>397</v>
      </c>
      <c r="F428" s="116">
        <v>396</v>
      </c>
      <c r="G428">
        <v>1753</v>
      </c>
      <c r="H428" s="116"/>
      <c r="I428" s="116"/>
      <c r="L428" s="170">
        <v>43507</v>
      </c>
      <c r="M428" s="116">
        <v>396</v>
      </c>
      <c r="N428" s="116">
        <v>407.2</v>
      </c>
      <c r="O428" s="116">
        <v>387</v>
      </c>
      <c r="P428" s="116">
        <v>390</v>
      </c>
      <c r="Q428" s="116">
        <v>396</v>
      </c>
      <c r="R428">
        <v>18329</v>
      </c>
    </row>
    <row r="429" spans="1:18" x14ac:dyDescent="0.25">
      <c r="A429" s="170">
        <v>43508</v>
      </c>
      <c r="B429" s="116">
        <v>397.4</v>
      </c>
      <c r="C429" s="116">
        <v>391.75</v>
      </c>
      <c r="D429" s="116">
        <v>387.4</v>
      </c>
      <c r="E429" s="116">
        <v>397.35</v>
      </c>
      <c r="F429" s="116">
        <v>391.75</v>
      </c>
      <c r="G429">
        <v>1240</v>
      </c>
      <c r="H429" s="116"/>
      <c r="I429" s="116"/>
      <c r="L429" s="170">
        <v>43508</v>
      </c>
      <c r="M429" s="116">
        <v>392.3</v>
      </c>
      <c r="N429" s="116">
        <v>399.7</v>
      </c>
      <c r="O429" s="116">
        <v>385.2</v>
      </c>
      <c r="P429" s="116">
        <v>399.7</v>
      </c>
      <c r="Q429" s="116">
        <v>392.3</v>
      </c>
      <c r="R429">
        <v>16727</v>
      </c>
    </row>
    <row r="430" spans="1:18" x14ac:dyDescent="0.25">
      <c r="A430" s="170">
        <v>43509</v>
      </c>
      <c r="B430" s="116">
        <v>397</v>
      </c>
      <c r="C430" s="116">
        <v>389.2</v>
      </c>
      <c r="D430" s="116">
        <v>382.4</v>
      </c>
      <c r="E430" s="116">
        <v>397</v>
      </c>
      <c r="F430" s="116">
        <v>389.2</v>
      </c>
      <c r="G430">
        <v>1710</v>
      </c>
      <c r="H430" s="116"/>
      <c r="I430" s="116"/>
      <c r="L430" s="170">
        <v>43509</v>
      </c>
      <c r="M430" s="116">
        <v>390</v>
      </c>
      <c r="N430" s="116">
        <v>396.65</v>
      </c>
      <c r="O430" s="116">
        <v>384.65</v>
      </c>
      <c r="P430" s="116">
        <v>387.05</v>
      </c>
      <c r="Q430" s="116">
        <v>390</v>
      </c>
      <c r="R430">
        <v>8485</v>
      </c>
    </row>
    <row r="431" spans="1:18" x14ac:dyDescent="0.25">
      <c r="A431" s="170">
        <v>43510</v>
      </c>
      <c r="B431" s="116">
        <v>394</v>
      </c>
      <c r="C431" s="116">
        <v>390.55</v>
      </c>
      <c r="D431" s="116">
        <v>382.3</v>
      </c>
      <c r="E431" s="116">
        <v>394</v>
      </c>
      <c r="F431" s="116">
        <v>390.55</v>
      </c>
      <c r="G431">
        <v>2125</v>
      </c>
      <c r="H431" s="116"/>
      <c r="I431" s="116"/>
      <c r="L431" s="170">
        <v>43510</v>
      </c>
      <c r="M431" s="116">
        <v>390.7</v>
      </c>
      <c r="N431" s="116">
        <v>395.05</v>
      </c>
      <c r="O431" s="116">
        <v>380</v>
      </c>
      <c r="P431" s="116">
        <v>395.05</v>
      </c>
      <c r="Q431" s="116">
        <v>390.7</v>
      </c>
      <c r="R431">
        <v>27482</v>
      </c>
    </row>
    <row r="432" spans="1:18" x14ac:dyDescent="0.25">
      <c r="A432" s="170">
        <v>43511</v>
      </c>
      <c r="B432" s="116">
        <v>390</v>
      </c>
      <c r="C432" s="116">
        <v>386.15</v>
      </c>
      <c r="D432" s="116">
        <v>382.1</v>
      </c>
      <c r="E432" s="116">
        <v>390</v>
      </c>
      <c r="F432" s="116">
        <v>386.15</v>
      </c>
      <c r="G432">
        <v>1024</v>
      </c>
      <c r="H432" s="116"/>
      <c r="I432" s="116"/>
      <c r="L432" s="170">
        <v>43511</v>
      </c>
      <c r="M432" s="116">
        <v>385.65</v>
      </c>
      <c r="N432" s="116">
        <v>391.8</v>
      </c>
      <c r="O432" s="116">
        <v>381.05</v>
      </c>
      <c r="P432" s="116">
        <v>391.8</v>
      </c>
      <c r="Q432" s="116">
        <v>385.65</v>
      </c>
      <c r="R432">
        <v>15202</v>
      </c>
    </row>
    <row r="433" spans="1:18" x14ac:dyDescent="0.25">
      <c r="A433" s="170">
        <v>43514</v>
      </c>
      <c r="B433" s="116">
        <v>385</v>
      </c>
      <c r="C433" s="116">
        <v>380.4</v>
      </c>
      <c r="D433" s="116">
        <v>380</v>
      </c>
      <c r="E433" s="116">
        <v>381.6</v>
      </c>
      <c r="F433" s="116">
        <v>380.4</v>
      </c>
      <c r="G433">
        <v>1024</v>
      </c>
      <c r="H433" s="116"/>
      <c r="I433" s="116"/>
      <c r="L433" s="170">
        <v>43514</v>
      </c>
      <c r="M433" s="116">
        <v>380.25</v>
      </c>
      <c r="N433" s="116">
        <v>384.95</v>
      </c>
      <c r="O433" s="116">
        <v>377.4</v>
      </c>
      <c r="P433" s="116">
        <v>377.4</v>
      </c>
      <c r="Q433" s="116">
        <v>380.25</v>
      </c>
      <c r="R433">
        <v>10889</v>
      </c>
    </row>
    <row r="434" spans="1:18" x14ac:dyDescent="0.25">
      <c r="A434" s="170">
        <v>43515</v>
      </c>
      <c r="B434" s="116">
        <v>388.15</v>
      </c>
      <c r="C434" s="116">
        <v>384.45</v>
      </c>
      <c r="D434" s="116">
        <v>379.65</v>
      </c>
      <c r="E434" s="116">
        <v>379.65</v>
      </c>
      <c r="F434" s="116">
        <v>384.45</v>
      </c>
      <c r="G434">
        <v>1097</v>
      </c>
      <c r="H434" s="116"/>
      <c r="I434" s="116"/>
      <c r="L434" s="170">
        <v>43515</v>
      </c>
      <c r="M434" s="116">
        <v>386</v>
      </c>
      <c r="N434" s="116">
        <v>389.8</v>
      </c>
      <c r="O434" s="116">
        <v>380.65</v>
      </c>
      <c r="P434" s="116">
        <v>380.65</v>
      </c>
      <c r="Q434" s="116">
        <v>386</v>
      </c>
      <c r="R434">
        <v>6748</v>
      </c>
    </row>
    <row r="435" spans="1:18" x14ac:dyDescent="0.25">
      <c r="A435" s="170">
        <v>43516</v>
      </c>
      <c r="B435" s="116">
        <v>388.3</v>
      </c>
      <c r="C435" s="116">
        <v>385.2</v>
      </c>
      <c r="D435" s="116">
        <v>384</v>
      </c>
      <c r="E435" s="116">
        <v>386.6</v>
      </c>
      <c r="F435" s="116">
        <v>385.2</v>
      </c>
      <c r="G435">
        <v>618</v>
      </c>
      <c r="H435" s="116"/>
      <c r="I435" s="116"/>
      <c r="L435" s="170">
        <v>43516</v>
      </c>
      <c r="M435" s="116">
        <v>385.25</v>
      </c>
      <c r="N435" s="116">
        <v>388.15</v>
      </c>
      <c r="O435" s="116">
        <v>381.15</v>
      </c>
      <c r="P435" s="116">
        <v>385.8</v>
      </c>
      <c r="Q435" s="116">
        <v>385.25</v>
      </c>
      <c r="R435">
        <v>9008</v>
      </c>
    </row>
    <row r="436" spans="1:18" x14ac:dyDescent="0.25">
      <c r="A436" s="170">
        <v>43517</v>
      </c>
      <c r="B436" s="116">
        <v>389.25</v>
      </c>
      <c r="C436" s="116">
        <v>388.65</v>
      </c>
      <c r="D436" s="116">
        <v>381.3</v>
      </c>
      <c r="E436" s="116">
        <v>381.3</v>
      </c>
      <c r="F436" s="116">
        <v>388.65</v>
      </c>
      <c r="G436">
        <v>933</v>
      </c>
      <c r="H436" s="116"/>
      <c r="I436" s="116"/>
      <c r="L436" s="170">
        <v>43517</v>
      </c>
      <c r="M436" s="116">
        <v>387.8</v>
      </c>
      <c r="N436" s="116">
        <v>390</v>
      </c>
      <c r="O436" s="116">
        <v>382.3</v>
      </c>
      <c r="P436" s="116">
        <v>385.25</v>
      </c>
      <c r="Q436" s="116">
        <v>387.8</v>
      </c>
      <c r="R436">
        <v>6732</v>
      </c>
    </row>
    <row r="437" spans="1:18" x14ac:dyDescent="0.25">
      <c r="A437" s="170">
        <v>43518</v>
      </c>
      <c r="B437" s="116">
        <v>391</v>
      </c>
      <c r="C437" s="116">
        <v>391</v>
      </c>
      <c r="D437" s="116">
        <v>385.1</v>
      </c>
      <c r="E437" s="116">
        <v>385.1</v>
      </c>
      <c r="F437" s="116">
        <v>391</v>
      </c>
      <c r="G437">
        <v>111</v>
      </c>
      <c r="H437" s="116"/>
      <c r="I437" s="116"/>
      <c r="L437" s="170">
        <v>43518</v>
      </c>
      <c r="M437" s="116">
        <v>390.75</v>
      </c>
      <c r="N437" s="116">
        <v>395</v>
      </c>
      <c r="O437" s="116">
        <v>383.1</v>
      </c>
      <c r="P437" s="116">
        <v>390</v>
      </c>
      <c r="Q437" s="116">
        <v>390.75</v>
      </c>
      <c r="R437">
        <v>7266</v>
      </c>
    </row>
    <row r="438" spans="1:18" x14ac:dyDescent="0.25">
      <c r="A438" s="170">
        <v>43521</v>
      </c>
      <c r="B438" s="116">
        <v>403.85</v>
      </c>
      <c r="C438" s="116">
        <v>394.65</v>
      </c>
      <c r="D438" s="116">
        <v>389</v>
      </c>
      <c r="E438" s="116">
        <v>392</v>
      </c>
      <c r="F438" s="116">
        <v>394.65</v>
      </c>
      <c r="G438">
        <v>1473</v>
      </c>
      <c r="H438" s="116"/>
      <c r="I438" s="116"/>
      <c r="L438" s="170">
        <v>43521</v>
      </c>
      <c r="M438" s="116">
        <v>392.65</v>
      </c>
      <c r="N438" s="116">
        <v>412.9</v>
      </c>
      <c r="O438" s="116">
        <v>385.55</v>
      </c>
      <c r="P438" s="116">
        <v>396.6</v>
      </c>
      <c r="Q438" s="116">
        <v>392.65</v>
      </c>
      <c r="R438">
        <v>11729</v>
      </c>
    </row>
    <row r="439" spans="1:18" x14ac:dyDescent="0.25">
      <c r="A439" s="170">
        <v>43522</v>
      </c>
      <c r="B439" s="116">
        <v>408.8</v>
      </c>
      <c r="C439" s="116">
        <v>401.45</v>
      </c>
      <c r="D439" s="116">
        <v>380</v>
      </c>
      <c r="E439" s="116">
        <v>389.75</v>
      </c>
      <c r="F439" s="116">
        <v>401.45</v>
      </c>
      <c r="G439">
        <v>4884</v>
      </c>
      <c r="H439" s="116"/>
      <c r="I439" s="116"/>
      <c r="L439" s="170">
        <v>43522</v>
      </c>
      <c r="M439" s="116">
        <v>401.05</v>
      </c>
      <c r="N439" s="116">
        <v>409.9</v>
      </c>
      <c r="O439" s="116">
        <v>380.05</v>
      </c>
      <c r="P439" s="116">
        <v>395.95</v>
      </c>
      <c r="Q439" s="116">
        <v>401.05</v>
      </c>
      <c r="R439">
        <v>33299</v>
      </c>
    </row>
    <row r="440" spans="1:18" x14ac:dyDescent="0.25">
      <c r="A440" s="170">
        <v>43523</v>
      </c>
      <c r="B440" s="116">
        <v>404.85</v>
      </c>
      <c r="C440" s="116">
        <v>401.4</v>
      </c>
      <c r="D440" s="116">
        <v>387.55</v>
      </c>
      <c r="E440" s="116">
        <v>403.8</v>
      </c>
      <c r="F440" s="116">
        <v>401.4</v>
      </c>
      <c r="G440">
        <v>2169</v>
      </c>
      <c r="H440" s="116"/>
      <c r="I440" s="116"/>
      <c r="L440" s="170">
        <v>43523</v>
      </c>
      <c r="M440" s="116">
        <v>401.65</v>
      </c>
      <c r="N440" s="116">
        <v>405</v>
      </c>
      <c r="O440" s="116">
        <v>388</v>
      </c>
      <c r="P440" s="116">
        <v>399.95</v>
      </c>
      <c r="Q440" s="116">
        <v>401.65</v>
      </c>
      <c r="R440">
        <v>23702</v>
      </c>
    </row>
    <row r="441" spans="1:18" x14ac:dyDescent="0.25">
      <c r="A441" s="170">
        <v>43524</v>
      </c>
      <c r="B441" s="116">
        <v>408.1</v>
      </c>
      <c r="C441" s="116">
        <v>401.55</v>
      </c>
      <c r="D441" s="116">
        <v>399.25</v>
      </c>
      <c r="E441" s="116">
        <v>403</v>
      </c>
      <c r="F441" s="116">
        <v>401.55</v>
      </c>
      <c r="G441">
        <v>1326</v>
      </c>
      <c r="H441" s="116"/>
      <c r="I441" s="116"/>
      <c r="L441" s="170">
        <v>43524</v>
      </c>
      <c r="M441" s="116">
        <v>402</v>
      </c>
      <c r="N441" s="116">
        <v>408.85</v>
      </c>
      <c r="O441" s="116">
        <v>396.6</v>
      </c>
      <c r="P441" s="116">
        <v>404.85</v>
      </c>
      <c r="Q441" s="116">
        <v>402</v>
      </c>
      <c r="R441">
        <v>17674</v>
      </c>
    </row>
    <row r="442" spans="1:18" x14ac:dyDescent="0.25">
      <c r="A442" s="170">
        <v>43525</v>
      </c>
      <c r="B442" s="116">
        <v>432</v>
      </c>
      <c r="C442" s="116">
        <v>428.65</v>
      </c>
      <c r="D442" s="116">
        <v>402.55</v>
      </c>
      <c r="E442" s="116">
        <v>405.45</v>
      </c>
      <c r="F442" s="116">
        <v>428.65</v>
      </c>
      <c r="G442">
        <v>6723</v>
      </c>
      <c r="H442" s="116"/>
      <c r="I442" s="116"/>
      <c r="L442" s="170">
        <v>43525</v>
      </c>
      <c r="M442" s="116">
        <v>428.6</v>
      </c>
      <c r="N442" s="116">
        <v>431</v>
      </c>
      <c r="O442" s="116">
        <v>398.7</v>
      </c>
      <c r="P442" s="116">
        <v>407</v>
      </c>
      <c r="Q442" s="116">
        <v>428.6</v>
      </c>
      <c r="R442">
        <v>53304</v>
      </c>
    </row>
    <row r="443" spans="1:18" x14ac:dyDescent="0.25">
      <c r="A443" s="170">
        <v>43529</v>
      </c>
      <c r="B443" s="116">
        <v>455.5</v>
      </c>
      <c r="C443" s="116">
        <v>436.85</v>
      </c>
      <c r="D443" s="116">
        <v>431.35</v>
      </c>
      <c r="E443" s="116">
        <v>438.9</v>
      </c>
      <c r="F443" s="116">
        <v>436.85</v>
      </c>
      <c r="G443">
        <v>3029</v>
      </c>
      <c r="H443" s="116"/>
      <c r="I443" s="116"/>
      <c r="L443" s="170">
        <v>43529</v>
      </c>
      <c r="M443" s="116">
        <v>438.75</v>
      </c>
      <c r="N443" s="116">
        <v>456.95</v>
      </c>
      <c r="O443" s="116">
        <v>431.6</v>
      </c>
      <c r="P443" s="116">
        <v>431.6</v>
      </c>
      <c r="Q443" s="116">
        <v>438.75</v>
      </c>
      <c r="R443">
        <v>86587</v>
      </c>
    </row>
    <row r="444" spans="1:18" x14ac:dyDescent="0.25">
      <c r="A444" s="170">
        <v>43530</v>
      </c>
      <c r="B444" s="116">
        <v>464</v>
      </c>
      <c r="C444" s="116">
        <v>450.6</v>
      </c>
      <c r="D444" s="116">
        <v>445</v>
      </c>
      <c r="E444" s="116">
        <v>448</v>
      </c>
      <c r="F444" s="116">
        <v>450.6</v>
      </c>
      <c r="G444">
        <v>5829</v>
      </c>
      <c r="H444" s="116"/>
      <c r="I444" s="116"/>
      <c r="L444" s="170">
        <v>43530</v>
      </c>
      <c r="M444" s="116">
        <v>449.9</v>
      </c>
      <c r="N444" s="116">
        <v>464.95</v>
      </c>
      <c r="O444" s="116">
        <v>442.15</v>
      </c>
      <c r="P444" s="116">
        <v>445.35</v>
      </c>
      <c r="Q444" s="116">
        <v>449.9</v>
      </c>
      <c r="R444">
        <v>65167</v>
      </c>
    </row>
    <row r="445" spans="1:18" x14ac:dyDescent="0.25">
      <c r="A445" s="170">
        <v>43531</v>
      </c>
      <c r="B445" s="116">
        <v>460.15</v>
      </c>
      <c r="C445" s="116">
        <v>445</v>
      </c>
      <c r="D445" s="116">
        <v>440.75</v>
      </c>
      <c r="E445" s="116">
        <v>451</v>
      </c>
      <c r="F445" s="116">
        <v>445</v>
      </c>
      <c r="G445">
        <v>2423</v>
      </c>
      <c r="H445" s="116"/>
      <c r="I445" s="116"/>
      <c r="L445" s="170">
        <v>43531</v>
      </c>
      <c r="M445" s="116">
        <v>446.35</v>
      </c>
      <c r="N445" s="116">
        <v>460</v>
      </c>
      <c r="O445" s="116">
        <v>445</v>
      </c>
      <c r="P445" s="116">
        <v>457</v>
      </c>
      <c r="Q445" s="116">
        <v>446.35</v>
      </c>
      <c r="R445">
        <v>28724</v>
      </c>
    </row>
    <row r="446" spans="1:18" x14ac:dyDescent="0.25">
      <c r="A446" s="170">
        <v>43532</v>
      </c>
      <c r="B446" s="116">
        <v>457</v>
      </c>
      <c r="C446" s="116">
        <v>445.4</v>
      </c>
      <c r="D446" s="116">
        <v>441.05</v>
      </c>
      <c r="E446" s="116">
        <v>445.25</v>
      </c>
      <c r="F446" s="116">
        <v>445.4</v>
      </c>
      <c r="G446">
        <v>871</v>
      </c>
      <c r="H446" s="116"/>
      <c r="I446" s="116"/>
      <c r="L446" s="170">
        <v>43532</v>
      </c>
      <c r="M446" s="116">
        <v>443</v>
      </c>
      <c r="N446" s="116">
        <v>452</v>
      </c>
      <c r="O446" s="116">
        <v>442</v>
      </c>
      <c r="P446" s="116">
        <v>446</v>
      </c>
      <c r="Q446" s="116">
        <v>443</v>
      </c>
      <c r="R446">
        <v>71292</v>
      </c>
    </row>
    <row r="447" spans="1:18" x14ac:dyDescent="0.25">
      <c r="A447" s="170">
        <v>43535</v>
      </c>
      <c r="B447" s="116">
        <v>453</v>
      </c>
      <c r="C447" s="116">
        <v>443.75</v>
      </c>
      <c r="D447" s="116">
        <v>443.5</v>
      </c>
      <c r="E447" s="116">
        <v>450</v>
      </c>
      <c r="F447" s="116">
        <v>443.75</v>
      </c>
      <c r="G447">
        <v>953</v>
      </c>
      <c r="H447" s="116"/>
      <c r="I447" s="116"/>
      <c r="L447" s="170">
        <v>43535</v>
      </c>
      <c r="M447" s="116">
        <v>445.95</v>
      </c>
      <c r="N447" s="116">
        <v>458</v>
      </c>
      <c r="O447" s="116">
        <v>439.4</v>
      </c>
      <c r="P447" s="116">
        <v>458</v>
      </c>
      <c r="Q447" s="116">
        <v>445.95</v>
      </c>
      <c r="R447">
        <v>39623</v>
      </c>
    </row>
    <row r="448" spans="1:18" x14ac:dyDescent="0.25">
      <c r="A448" s="170">
        <v>43536</v>
      </c>
      <c r="B448" s="116">
        <v>469.95</v>
      </c>
      <c r="C448" s="116">
        <v>463.4</v>
      </c>
      <c r="D448" s="116">
        <v>454</v>
      </c>
      <c r="E448" s="116">
        <v>462.6</v>
      </c>
      <c r="F448" s="116">
        <v>463.4</v>
      </c>
      <c r="G448">
        <v>9431</v>
      </c>
      <c r="H448" s="116"/>
      <c r="I448" s="116"/>
      <c r="L448" s="170">
        <v>43536</v>
      </c>
      <c r="M448" s="116">
        <v>466.4</v>
      </c>
      <c r="N448" s="116">
        <v>469.95</v>
      </c>
      <c r="O448" s="116">
        <v>452.5</v>
      </c>
      <c r="P448" s="116">
        <v>462.5</v>
      </c>
      <c r="Q448" s="116">
        <v>466.4</v>
      </c>
      <c r="R448">
        <v>217733</v>
      </c>
    </row>
    <row r="449" spans="1:18" x14ac:dyDescent="0.25">
      <c r="A449" s="170">
        <v>43537</v>
      </c>
      <c r="B449" s="116">
        <v>466.5</v>
      </c>
      <c r="C449" s="116">
        <v>459.6</v>
      </c>
      <c r="D449" s="116">
        <v>455.7</v>
      </c>
      <c r="E449" s="116">
        <v>465.5</v>
      </c>
      <c r="F449" s="116">
        <v>459.6</v>
      </c>
      <c r="G449">
        <v>2716</v>
      </c>
      <c r="H449" s="116"/>
      <c r="I449" s="116"/>
      <c r="L449" s="170">
        <v>43537</v>
      </c>
      <c r="M449" s="116">
        <v>460.75</v>
      </c>
      <c r="N449" s="116">
        <v>468.45</v>
      </c>
      <c r="O449" s="116">
        <v>456.15</v>
      </c>
      <c r="P449" s="116">
        <v>468.45</v>
      </c>
      <c r="Q449" s="116">
        <v>460.75</v>
      </c>
      <c r="R449">
        <v>24753</v>
      </c>
    </row>
    <row r="450" spans="1:18" x14ac:dyDescent="0.25">
      <c r="A450" s="170">
        <v>43538</v>
      </c>
      <c r="B450" s="116">
        <v>467.25</v>
      </c>
      <c r="C450" s="116">
        <v>465.1</v>
      </c>
      <c r="D450" s="116">
        <v>450.85</v>
      </c>
      <c r="E450" s="116">
        <v>461.95</v>
      </c>
      <c r="F450" s="116">
        <v>465.1</v>
      </c>
      <c r="G450">
        <v>1334</v>
      </c>
      <c r="H450" s="116"/>
      <c r="I450" s="116"/>
      <c r="L450" s="170">
        <v>43538</v>
      </c>
      <c r="M450" s="116">
        <v>463.75</v>
      </c>
      <c r="N450" s="116">
        <v>466</v>
      </c>
      <c r="O450" s="116">
        <v>451.95</v>
      </c>
      <c r="P450" s="116">
        <v>463.9</v>
      </c>
      <c r="Q450" s="116">
        <v>463.75</v>
      </c>
      <c r="R450">
        <v>21009</v>
      </c>
    </row>
    <row r="451" spans="1:18" x14ac:dyDescent="0.25">
      <c r="A451" s="170">
        <v>43539</v>
      </c>
      <c r="B451" s="116">
        <v>465</v>
      </c>
      <c r="C451" s="116">
        <v>461.7</v>
      </c>
      <c r="D451" s="116">
        <v>455</v>
      </c>
      <c r="E451" s="116">
        <v>464.75</v>
      </c>
      <c r="F451" s="116">
        <v>461.7</v>
      </c>
      <c r="G451">
        <v>1441</v>
      </c>
      <c r="H451" s="116"/>
      <c r="I451" s="116"/>
      <c r="L451" s="170">
        <v>43539</v>
      </c>
      <c r="M451" s="116">
        <v>462.55</v>
      </c>
      <c r="N451" s="116">
        <v>466.9</v>
      </c>
      <c r="O451" s="116">
        <v>458</v>
      </c>
      <c r="P451" s="116">
        <v>465</v>
      </c>
      <c r="Q451" s="116">
        <v>462.55</v>
      </c>
      <c r="R451">
        <v>26680</v>
      </c>
    </row>
    <row r="452" spans="1:18" x14ac:dyDescent="0.25">
      <c r="A452" s="170">
        <v>43542</v>
      </c>
      <c r="B452" s="116">
        <v>474.5</v>
      </c>
      <c r="C452" s="116">
        <v>470.1</v>
      </c>
      <c r="D452" s="116">
        <v>468</v>
      </c>
      <c r="E452" s="116">
        <v>472.4</v>
      </c>
      <c r="F452" s="116">
        <v>470.1</v>
      </c>
      <c r="G452">
        <v>4855</v>
      </c>
      <c r="H452" s="116"/>
      <c r="I452" s="116"/>
      <c r="L452" s="170">
        <v>43542</v>
      </c>
      <c r="M452" s="116">
        <v>469.95</v>
      </c>
      <c r="N452" s="116">
        <v>477</v>
      </c>
      <c r="O452" s="116">
        <v>467</v>
      </c>
      <c r="P452" s="116">
        <v>475</v>
      </c>
      <c r="Q452" s="116">
        <v>469.95</v>
      </c>
      <c r="R452">
        <v>70905</v>
      </c>
    </row>
    <row r="453" spans="1:18" x14ac:dyDescent="0.25">
      <c r="A453" s="170">
        <v>43543</v>
      </c>
      <c r="B453" s="116">
        <v>473</v>
      </c>
      <c r="C453" s="116">
        <v>467.65</v>
      </c>
      <c r="D453" s="116">
        <v>460.2</v>
      </c>
      <c r="E453" s="116">
        <v>460.2</v>
      </c>
      <c r="F453" s="116">
        <v>467.65</v>
      </c>
      <c r="G453">
        <v>1212</v>
      </c>
      <c r="H453" s="116"/>
      <c r="I453" s="116"/>
      <c r="L453" s="170">
        <v>43543</v>
      </c>
      <c r="M453" s="116">
        <v>468.85</v>
      </c>
      <c r="N453" s="116">
        <v>473</v>
      </c>
      <c r="O453" s="116">
        <v>462</v>
      </c>
      <c r="P453" s="116">
        <v>470</v>
      </c>
      <c r="Q453" s="116">
        <v>468.85</v>
      </c>
      <c r="R453">
        <v>28245</v>
      </c>
    </row>
    <row r="454" spans="1:18" x14ac:dyDescent="0.25">
      <c r="A454" s="170">
        <v>43544</v>
      </c>
      <c r="B454" s="116">
        <v>475.7</v>
      </c>
      <c r="C454" s="116">
        <v>466.6</v>
      </c>
      <c r="D454" s="116">
        <v>466</v>
      </c>
      <c r="E454" s="116">
        <v>469.45</v>
      </c>
      <c r="F454" s="116">
        <v>466.6</v>
      </c>
      <c r="G454">
        <v>6856</v>
      </c>
      <c r="H454" s="116"/>
      <c r="I454" s="116"/>
      <c r="L454" s="170">
        <v>43544</v>
      </c>
      <c r="M454" s="116">
        <v>467.45</v>
      </c>
      <c r="N454" s="116">
        <v>471.9</v>
      </c>
      <c r="O454" s="116">
        <v>463.15</v>
      </c>
      <c r="P454" s="116">
        <v>471.9</v>
      </c>
      <c r="Q454" s="116">
        <v>467.45</v>
      </c>
      <c r="R454">
        <v>28952</v>
      </c>
    </row>
    <row r="455" spans="1:18" x14ac:dyDescent="0.25">
      <c r="A455" s="170">
        <v>43546</v>
      </c>
      <c r="B455" s="116">
        <v>489.9</v>
      </c>
      <c r="C455" s="116">
        <v>458.7</v>
      </c>
      <c r="D455" s="116">
        <v>454.15</v>
      </c>
      <c r="E455" s="116">
        <v>489.9</v>
      </c>
      <c r="F455" s="116">
        <v>458.7</v>
      </c>
      <c r="G455">
        <v>6388</v>
      </c>
      <c r="H455" s="116"/>
      <c r="I455" s="116"/>
      <c r="L455" s="170">
        <v>43546</v>
      </c>
      <c r="M455" s="116">
        <v>458</v>
      </c>
      <c r="N455" s="116">
        <v>472.95</v>
      </c>
      <c r="O455" s="116">
        <v>454</v>
      </c>
      <c r="P455" s="116">
        <v>468.3</v>
      </c>
      <c r="Q455" s="116">
        <v>458</v>
      </c>
      <c r="R455">
        <v>104584</v>
      </c>
    </row>
    <row r="456" spans="1:18" x14ac:dyDescent="0.25">
      <c r="A456" s="170">
        <v>43549</v>
      </c>
      <c r="B456" s="116">
        <v>460</v>
      </c>
      <c r="C456" s="116">
        <v>453.9</v>
      </c>
      <c r="D456" s="116">
        <v>450.75</v>
      </c>
      <c r="E456" s="116">
        <v>457.15</v>
      </c>
      <c r="F456" s="116">
        <v>453.9</v>
      </c>
      <c r="G456">
        <v>3363</v>
      </c>
      <c r="H456" s="116"/>
      <c r="I456" s="116"/>
      <c r="L456" s="170">
        <v>43549</v>
      </c>
      <c r="M456" s="116">
        <v>455.1</v>
      </c>
      <c r="N456" s="116">
        <v>461.4</v>
      </c>
      <c r="O456" s="116">
        <v>452.6</v>
      </c>
      <c r="P456" s="116">
        <v>458</v>
      </c>
      <c r="Q456" s="116">
        <v>455.1</v>
      </c>
      <c r="R456">
        <v>32328</v>
      </c>
    </row>
    <row r="457" spans="1:18" x14ac:dyDescent="0.25">
      <c r="A457" s="170">
        <v>43550</v>
      </c>
      <c r="B457" s="116">
        <v>460</v>
      </c>
      <c r="C457" s="116">
        <v>453.15</v>
      </c>
      <c r="D457" s="116">
        <v>451</v>
      </c>
      <c r="E457" s="116">
        <v>458.85</v>
      </c>
      <c r="F457" s="116">
        <v>453.15</v>
      </c>
      <c r="G457">
        <v>876</v>
      </c>
      <c r="H457" s="116"/>
      <c r="I457" s="116"/>
      <c r="L457" s="170">
        <v>43550</v>
      </c>
      <c r="M457" s="116">
        <v>455.45</v>
      </c>
      <c r="N457" s="116">
        <v>459.6</v>
      </c>
      <c r="O457" s="116">
        <v>450.25</v>
      </c>
      <c r="P457" s="116">
        <v>450.3</v>
      </c>
      <c r="Q457" s="116">
        <v>455.45</v>
      </c>
      <c r="R457">
        <v>19402</v>
      </c>
    </row>
    <row r="458" spans="1:18" x14ac:dyDescent="0.25">
      <c r="A458" s="170">
        <v>43551</v>
      </c>
      <c r="B458" s="116">
        <v>460.75</v>
      </c>
      <c r="C458" s="116">
        <v>453.95</v>
      </c>
      <c r="D458" s="116">
        <v>450.25</v>
      </c>
      <c r="E458" s="116">
        <v>455.5</v>
      </c>
      <c r="F458" s="116">
        <v>453.95</v>
      </c>
      <c r="G458">
        <v>1143</v>
      </c>
      <c r="H458" s="116"/>
      <c r="I458" s="116"/>
      <c r="L458" s="170">
        <v>43551</v>
      </c>
      <c r="M458" s="116">
        <v>455.3</v>
      </c>
      <c r="N458" s="116">
        <v>462</v>
      </c>
      <c r="O458" s="116">
        <v>452.1</v>
      </c>
      <c r="P458" s="116">
        <v>457.95</v>
      </c>
      <c r="Q458" s="116">
        <v>455.3</v>
      </c>
      <c r="R458">
        <v>57980</v>
      </c>
    </row>
    <row r="459" spans="1:18" x14ac:dyDescent="0.25">
      <c r="A459" s="170">
        <v>43552</v>
      </c>
      <c r="B459" s="116">
        <v>464</v>
      </c>
      <c r="C459" s="116">
        <v>457.45</v>
      </c>
      <c r="D459" s="116">
        <v>452</v>
      </c>
      <c r="E459" s="116">
        <v>458.6</v>
      </c>
      <c r="F459" s="116">
        <v>457.45</v>
      </c>
      <c r="G459">
        <v>1813</v>
      </c>
      <c r="H459" s="116"/>
      <c r="I459" s="116"/>
      <c r="L459" s="170">
        <v>43552</v>
      </c>
      <c r="M459" s="116">
        <v>458</v>
      </c>
      <c r="N459" s="116">
        <v>462.5</v>
      </c>
      <c r="O459" s="116">
        <v>455.35</v>
      </c>
      <c r="P459" s="116">
        <v>459.7</v>
      </c>
      <c r="Q459" s="116">
        <v>458</v>
      </c>
      <c r="R459">
        <v>28095</v>
      </c>
    </row>
    <row r="460" spans="1:18" x14ac:dyDescent="0.25">
      <c r="A460" s="170">
        <v>43553</v>
      </c>
      <c r="B460" s="116">
        <v>461.65</v>
      </c>
      <c r="C460" s="116">
        <v>459.95</v>
      </c>
      <c r="D460" s="116">
        <v>454.25</v>
      </c>
      <c r="E460" s="116">
        <v>454.4</v>
      </c>
      <c r="F460" s="116">
        <v>459.95</v>
      </c>
      <c r="G460">
        <v>1346</v>
      </c>
      <c r="H460" s="116"/>
      <c r="I460" s="116"/>
      <c r="L460" s="170">
        <v>43553</v>
      </c>
      <c r="M460" s="116">
        <v>456.65</v>
      </c>
      <c r="N460" s="116">
        <v>464.9</v>
      </c>
      <c r="O460" s="116">
        <v>454</v>
      </c>
      <c r="P460" s="116">
        <v>464.9</v>
      </c>
      <c r="Q460" s="116">
        <v>456.65</v>
      </c>
      <c r="R460">
        <v>56730</v>
      </c>
    </row>
    <row r="461" spans="1:18" x14ac:dyDescent="0.25">
      <c r="A461" s="170">
        <v>43556</v>
      </c>
      <c r="B461" s="116">
        <v>475.8</v>
      </c>
      <c r="C461" s="116">
        <v>466.15</v>
      </c>
      <c r="D461" s="116">
        <v>464.65</v>
      </c>
      <c r="E461" s="116">
        <v>466.2</v>
      </c>
      <c r="F461" s="116">
        <v>466.15</v>
      </c>
      <c r="G461">
        <v>1427</v>
      </c>
      <c r="H461" s="116"/>
      <c r="I461" s="116"/>
      <c r="L461" s="170">
        <v>43556</v>
      </c>
      <c r="M461" s="116">
        <v>465.8</v>
      </c>
      <c r="N461" s="116">
        <v>477</v>
      </c>
      <c r="O461" s="116">
        <v>459.9</v>
      </c>
      <c r="P461" s="116">
        <v>459.95</v>
      </c>
      <c r="Q461" s="116">
        <v>465.8</v>
      </c>
      <c r="R461">
        <v>47094</v>
      </c>
    </row>
    <row r="462" spans="1:18" x14ac:dyDescent="0.25">
      <c r="A462" s="170">
        <v>43557</v>
      </c>
      <c r="B462" s="116">
        <v>475</v>
      </c>
      <c r="C462" s="116">
        <v>472.1</v>
      </c>
      <c r="D462" s="116">
        <v>465.5</v>
      </c>
      <c r="E462" s="116">
        <v>471.6</v>
      </c>
      <c r="F462" s="116">
        <v>472.1</v>
      </c>
      <c r="G462">
        <v>1940</v>
      </c>
      <c r="H462" s="116"/>
      <c r="I462" s="116"/>
      <c r="L462" s="170">
        <v>43557</v>
      </c>
      <c r="M462" s="116">
        <v>470.1</v>
      </c>
      <c r="N462" s="116">
        <v>473.95</v>
      </c>
      <c r="O462" s="116">
        <v>464.45</v>
      </c>
      <c r="P462" s="116">
        <v>472.8</v>
      </c>
      <c r="Q462" s="116">
        <v>470.1</v>
      </c>
      <c r="R462">
        <v>23049</v>
      </c>
    </row>
    <row r="463" spans="1:18" x14ac:dyDescent="0.25">
      <c r="A463" s="170">
        <v>43558</v>
      </c>
      <c r="B463" s="116">
        <v>472</v>
      </c>
      <c r="C463" s="116">
        <v>470.35</v>
      </c>
      <c r="D463" s="116">
        <v>465</v>
      </c>
      <c r="E463" s="116">
        <v>465.6</v>
      </c>
      <c r="F463" s="116">
        <v>470.35</v>
      </c>
      <c r="G463">
        <v>514</v>
      </c>
      <c r="H463" s="116"/>
      <c r="I463" s="116"/>
      <c r="L463" s="170">
        <v>43558</v>
      </c>
      <c r="M463" s="116">
        <v>469.75</v>
      </c>
      <c r="N463" s="116">
        <v>473.7</v>
      </c>
      <c r="O463" s="116">
        <v>465</v>
      </c>
      <c r="P463" s="116">
        <v>465</v>
      </c>
      <c r="Q463" s="116">
        <v>469.75</v>
      </c>
      <c r="R463">
        <v>20161</v>
      </c>
    </row>
    <row r="464" spans="1:18" x14ac:dyDescent="0.25">
      <c r="A464" s="170">
        <v>43559</v>
      </c>
      <c r="B464" s="116">
        <v>479.35</v>
      </c>
      <c r="C464" s="116">
        <v>473</v>
      </c>
      <c r="D464" s="116">
        <v>465</v>
      </c>
      <c r="E464" s="116">
        <v>479.35</v>
      </c>
      <c r="F464" s="116">
        <v>473</v>
      </c>
      <c r="G464">
        <v>1120</v>
      </c>
      <c r="H464" s="116"/>
      <c r="I464" s="116"/>
      <c r="L464" s="170">
        <v>43559</v>
      </c>
      <c r="M464" s="116">
        <v>474.2</v>
      </c>
      <c r="N464" s="116">
        <v>477</v>
      </c>
      <c r="O464" s="116">
        <v>465.5</v>
      </c>
      <c r="P464" s="116">
        <v>477</v>
      </c>
      <c r="Q464" s="116">
        <v>474.2</v>
      </c>
      <c r="R464">
        <v>18152</v>
      </c>
    </row>
    <row r="465" spans="1:18" x14ac:dyDescent="0.25">
      <c r="A465" s="170">
        <v>43560</v>
      </c>
      <c r="B465" s="116">
        <v>475</v>
      </c>
      <c r="C465" s="116">
        <v>473.45</v>
      </c>
      <c r="D465" s="116">
        <v>469.15</v>
      </c>
      <c r="E465" s="116">
        <v>470</v>
      </c>
      <c r="F465" s="116">
        <v>473.45</v>
      </c>
      <c r="G465">
        <v>1650</v>
      </c>
      <c r="H465" s="116"/>
      <c r="I465" s="116"/>
      <c r="L465" s="170">
        <v>43560</v>
      </c>
      <c r="M465" s="116">
        <v>474.3</v>
      </c>
      <c r="N465" s="116">
        <v>475</v>
      </c>
      <c r="O465" s="116">
        <v>465</v>
      </c>
      <c r="P465" s="116">
        <v>465</v>
      </c>
      <c r="Q465" s="116">
        <v>474.3</v>
      </c>
      <c r="R465">
        <v>15014</v>
      </c>
    </row>
    <row r="466" spans="1:18" x14ac:dyDescent="0.25">
      <c r="A466" s="170">
        <v>43563</v>
      </c>
      <c r="B466" s="116">
        <v>476</v>
      </c>
      <c r="C466" s="116">
        <v>475.5</v>
      </c>
      <c r="D466" s="116">
        <v>465.75</v>
      </c>
      <c r="E466" s="116">
        <v>476</v>
      </c>
      <c r="F466" s="116">
        <v>475.5</v>
      </c>
      <c r="G466">
        <v>387</v>
      </c>
      <c r="H466" s="116"/>
      <c r="I466" s="116"/>
      <c r="L466" s="170">
        <v>43563</v>
      </c>
      <c r="M466" s="116">
        <v>478.05</v>
      </c>
      <c r="N466" s="116">
        <v>480</v>
      </c>
      <c r="O466" s="116">
        <v>472</v>
      </c>
      <c r="P466" s="116">
        <v>474</v>
      </c>
      <c r="Q466" s="116">
        <v>478.05</v>
      </c>
      <c r="R466">
        <v>47722</v>
      </c>
    </row>
    <row r="467" spans="1:18" x14ac:dyDescent="0.25">
      <c r="A467" s="170">
        <v>43564</v>
      </c>
      <c r="B467" s="116">
        <v>478.5</v>
      </c>
      <c r="C467" s="116">
        <v>475.4</v>
      </c>
      <c r="D467" s="116">
        <v>469.4</v>
      </c>
      <c r="E467" s="116">
        <v>474.05</v>
      </c>
      <c r="F467" s="116">
        <v>475.4</v>
      </c>
      <c r="G467">
        <v>284</v>
      </c>
      <c r="H467" s="116"/>
      <c r="I467" s="116"/>
      <c r="L467" s="170">
        <v>43564</v>
      </c>
      <c r="M467" s="116">
        <v>477.35</v>
      </c>
      <c r="N467" s="116">
        <v>478.9</v>
      </c>
      <c r="O467" s="116">
        <v>468.1</v>
      </c>
      <c r="P467" s="116">
        <v>478</v>
      </c>
      <c r="Q467" s="116">
        <v>477.35</v>
      </c>
      <c r="R467">
        <v>17005</v>
      </c>
    </row>
    <row r="468" spans="1:18" x14ac:dyDescent="0.25">
      <c r="A468" s="170">
        <v>43565</v>
      </c>
      <c r="B468" s="116">
        <v>479</v>
      </c>
      <c r="C468" s="116">
        <v>473.35</v>
      </c>
      <c r="D468" s="116">
        <v>463.55</v>
      </c>
      <c r="E468" s="116">
        <v>475.4</v>
      </c>
      <c r="F468" s="116">
        <v>473.35</v>
      </c>
      <c r="G468">
        <v>354</v>
      </c>
      <c r="H468" s="116"/>
      <c r="I468" s="116"/>
      <c r="L468" s="170">
        <v>43565</v>
      </c>
      <c r="M468" s="116">
        <v>477.85</v>
      </c>
      <c r="N468" s="116">
        <v>480.95</v>
      </c>
      <c r="O468" s="116">
        <v>472</v>
      </c>
      <c r="P468" s="116">
        <v>480.95</v>
      </c>
      <c r="Q468" s="116">
        <v>477.85</v>
      </c>
      <c r="R468">
        <v>20243</v>
      </c>
    </row>
    <row r="469" spans="1:18" x14ac:dyDescent="0.25">
      <c r="A469" s="170">
        <v>43566</v>
      </c>
      <c r="B469" s="116">
        <v>486.95</v>
      </c>
      <c r="C469" s="116">
        <v>483.2</v>
      </c>
      <c r="D469" s="116">
        <v>473.75</v>
      </c>
      <c r="E469" s="116">
        <v>473.75</v>
      </c>
      <c r="F469" s="116">
        <v>483.2</v>
      </c>
      <c r="G469">
        <v>272</v>
      </c>
      <c r="H469" s="116"/>
      <c r="I469" s="116"/>
      <c r="L469" s="170">
        <v>43566</v>
      </c>
      <c r="M469" s="116">
        <v>483.85</v>
      </c>
      <c r="N469" s="116">
        <v>486.95</v>
      </c>
      <c r="O469" s="116">
        <v>472.5</v>
      </c>
      <c r="P469" s="116">
        <v>474.75</v>
      </c>
      <c r="Q469" s="116">
        <v>483.85</v>
      </c>
      <c r="R469">
        <v>20624</v>
      </c>
    </row>
    <row r="470" spans="1:18" x14ac:dyDescent="0.25">
      <c r="A470" s="170">
        <v>43567</v>
      </c>
      <c r="B470" s="116">
        <v>480.1</v>
      </c>
      <c r="C470" s="116">
        <v>476.1</v>
      </c>
      <c r="D470" s="116">
        <v>473.05</v>
      </c>
      <c r="E470" s="116">
        <v>477.9</v>
      </c>
      <c r="F470" s="116">
        <v>476.1</v>
      </c>
      <c r="G470">
        <v>1117</v>
      </c>
      <c r="H470" s="116"/>
      <c r="I470" s="116"/>
      <c r="L470" s="170">
        <v>43567</v>
      </c>
      <c r="M470" s="116">
        <v>475.5</v>
      </c>
      <c r="N470" s="116">
        <v>483.55</v>
      </c>
      <c r="O470" s="116">
        <v>472.1</v>
      </c>
      <c r="P470" s="116">
        <v>474.25</v>
      </c>
      <c r="Q470" s="116">
        <v>475.5</v>
      </c>
      <c r="R470">
        <v>17027</v>
      </c>
    </row>
    <row r="471" spans="1:18" x14ac:dyDescent="0.25">
      <c r="A471" s="170">
        <v>43570</v>
      </c>
      <c r="B471" s="116">
        <v>480</v>
      </c>
      <c r="C471" s="116">
        <v>476</v>
      </c>
      <c r="D471" s="116">
        <v>473</v>
      </c>
      <c r="E471" s="116">
        <v>475</v>
      </c>
      <c r="F471" s="116">
        <v>476</v>
      </c>
      <c r="G471">
        <v>964</v>
      </c>
      <c r="H471" s="116"/>
      <c r="I471" s="116"/>
      <c r="L471" s="170">
        <v>43570</v>
      </c>
      <c r="M471" s="116">
        <v>476.8</v>
      </c>
      <c r="N471" s="116">
        <v>482.5</v>
      </c>
      <c r="O471" s="116">
        <v>474.55</v>
      </c>
      <c r="P471" s="116">
        <v>482.5</v>
      </c>
      <c r="Q471" s="116">
        <v>476.8</v>
      </c>
      <c r="R471">
        <v>10563</v>
      </c>
    </row>
    <row r="472" spans="1:18" x14ac:dyDescent="0.25">
      <c r="A472" s="170">
        <v>43571</v>
      </c>
      <c r="B472" s="116">
        <v>481.95</v>
      </c>
      <c r="C472" s="116">
        <v>479.3</v>
      </c>
      <c r="D472" s="116">
        <v>468.1</v>
      </c>
      <c r="E472" s="116">
        <v>477</v>
      </c>
      <c r="F472" s="116">
        <v>479.3</v>
      </c>
      <c r="G472">
        <v>372</v>
      </c>
      <c r="H472" s="116"/>
      <c r="I472" s="116"/>
      <c r="L472" s="170">
        <v>43571</v>
      </c>
      <c r="M472" s="116">
        <v>477.95</v>
      </c>
      <c r="N472" s="116">
        <v>480</v>
      </c>
      <c r="O472" s="116">
        <v>475</v>
      </c>
      <c r="P472" s="116">
        <v>477</v>
      </c>
      <c r="Q472" s="116">
        <v>477.95</v>
      </c>
      <c r="R472">
        <v>14796</v>
      </c>
    </row>
    <row r="473" spans="1:18" x14ac:dyDescent="0.25">
      <c r="A473" s="170">
        <v>43573</v>
      </c>
      <c r="B473" s="116">
        <v>494.2</v>
      </c>
      <c r="C473" s="116">
        <v>477.35</v>
      </c>
      <c r="D473" s="116">
        <v>468.6</v>
      </c>
      <c r="E473" s="116">
        <v>482.8</v>
      </c>
      <c r="F473" s="116">
        <v>477.35</v>
      </c>
      <c r="G473">
        <v>374</v>
      </c>
      <c r="H473" s="116"/>
      <c r="I473" s="116"/>
      <c r="L473" s="170">
        <v>43573</v>
      </c>
      <c r="M473" s="116">
        <v>476.35</v>
      </c>
      <c r="N473" s="116">
        <v>481.95</v>
      </c>
      <c r="O473" s="116">
        <v>467.4</v>
      </c>
      <c r="P473" s="116">
        <v>477</v>
      </c>
      <c r="Q473" s="116">
        <v>476.35</v>
      </c>
      <c r="R473">
        <v>14480</v>
      </c>
    </row>
    <row r="474" spans="1:18" x14ac:dyDescent="0.25">
      <c r="A474" s="170">
        <v>43577</v>
      </c>
      <c r="B474" s="116">
        <v>487.35</v>
      </c>
      <c r="C474" s="116">
        <v>473.45</v>
      </c>
      <c r="D474" s="116">
        <v>470.8</v>
      </c>
      <c r="E474" s="116">
        <v>476</v>
      </c>
      <c r="F474" s="116">
        <v>473.45</v>
      </c>
      <c r="G474">
        <v>636</v>
      </c>
      <c r="H474" s="116"/>
      <c r="I474" s="116"/>
      <c r="L474" s="170">
        <v>43577</v>
      </c>
      <c r="M474" s="116">
        <v>476.85</v>
      </c>
      <c r="N474" s="116">
        <v>490</v>
      </c>
      <c r="O474" s="116">
        <v>473.6</v>
      </c>
      <c r="P474" s="116">
        <v>477.5</v>
      </c>
      <c r="Q474" s="116">
        <v>476.85</v>
      </c>
      <c r="R474">
        <v>10391</v>
      </c>
    </row>
    <row r="475" spans="1:18" x14ac:dyDescent="0.25">
      <c r="A475" s="170">
        <v>43578</v>
      </c>
      <c r="B475" s="116">
        <v>498.25</v>
      </c>
      <c r="C475" s="116">
        <v>476.35</v>
      </c>
      <c r="D475" s="116">
        <v>472</v>
      </c>
      <c r="E475" s="116">
        <v>498.25</v>
      </c>
      <c r="F475" s="116">
        <v>476.35</v>
      </c>
      <c r="G475">
        <v>2631</v>
      </c>
      <c r="H475" s="116"/>
      <c r="I475" s="116"/>
      <c r="L475" s="170">
        <v>43578</v>
      </c>
      <c r="M475" s="116">
        <v>477.45</v>
      </c>
      <c r="N475" s="116">
        <v>479.8</v>
      </c>
      <c r="O475" s="116">
        <v>472.3</v>
      </c>
      <c r="P475" s="116">
        <v>479.8</v>
      </c>
      <c r="Q475" s="116">
        <v>477.45</v>
      </c>
      <c r="R475">
        <v>9621</v>
      </c>
    </row>
    <row r="476" spans="1:18" x14ac:dyDescent="0.25">
      <c r="A476" s="170">
        <v>43579</v>
      </c>
      <c r="B476" s="116">
        <v>478.05</v>
      </c>
      <c r="C476" s="116">
        <v>478.05</v>
      </c>
      <c r="D476" s="116">
        <v>474</v>
      </c>
      <c r="E476" s="116">
        <v>478</v>
      </c>
      <c r="F476" s="116">
        <v>478.05</v>
      </c>
      <c r="G476">
        <v>561</v>
      </c>
      <c r="H476" s="116"/>
      <c r="I476" s="116"/>
      <c r="L476" s="170">
        <v>43579</v>
      </c>
      <c r="M476" s="116">
        <v>479</v>
      </c>
      <c r="N476" s="116">
        <v>484.4</v>
      </c>
      <c r="O476" s="116">
        <v>474.6</v>
      </c>
      <c r="P476" s="116">
        <v>484.4</v>
      </c>
      <c r="Q476" s="116">
        <v>479</v>
      </c>
      <c r="R476">
        <v>10565</v>
      </c>
    </row>
    <row r="477" spans="1:18" x14ac:dyDescent="0.25">
      <c r="A477" s="170">
        <v>43580</v>
      </c>
      <c r="B477" s="116">
        <v>485</v>
      </c>
      <c r="C477" s="116">
        <v>477.65</v>
      </c>
      <c r="D477" s="116">
        <v>474</v>
      </c>
      <c r="E477" s="116">
        <v>477.25</v>
      </c>
      <c r="F477" s="116">
        <v>477.65</v>
      </c>
      <c r="G477">
        <v>819</v>
      </c>
      <c r="H477" s="116"/>
      <c r="I477" s="116"/>
      <c r="L477" s="170">
        <v>43580</v>
      </c>
      <c r="M477" s="116">
        <v>476.4</v>
      </c>
      <c r="N477" s="116">
        <v>482</v>
      </c>
      <c r="O477" s="116">
        <v>475.1</v>
      </c>
      <c r="P477" s="116">
        <v>481.95</v>
      </c>
      <c r="Q477" s="116">
        <v>476.4</v>
      </c>
      <c r="R477">
        <v>8844</v>
      </c>
    </row>
    <row r="478" spans="1:18" x14ac:dyDescent="0.25">
      <c r="A478" s="170">
        <v>43581</v>
      </c>
      <c r="B478" s="116">
        <v>477.3</v>
      </c>
      <c r="C478" s="116">
        <v>472.5</v>
      </c>
      <c r="D478" s="116">
        <v>471.8</v>
      </c>
      <c r="E478" s="116">
        <v>477.3</v>
      </c>
      <c r="F478" s="116">
        <v>472.5</v>
      </c>
      <c r="G478">
        <v>342</v>
      </c>
      <c r="H478" s="116"/>
      <c r="I478" s="116"/>
      <c r="L478" s="170">
        <v>43581</v>
      </c>
      <c r="M478" s="116">
        <v>470.95</v>
      </c>
      <c r="N478" s="116">
        <v>478.5</v>
      </c>
      <c r="O478" s="116">
        <v>468.2</v>
      </c>
      <c r="P478" s="116">
        <v>475.5</v>
      </c>
      <c r="Q478" s="116">
        <v>470.95</v>
      </c>
      <c r="R478">
        <v>16152</v>
      </c>
    </row>
    <row r="479" spans="1:18" x14ac:dyDescent="0.25">
      <c r="A479" s="170">
        <v>43585</v>
      </c>
      <c r="B479" s="116">
        <v>473.95</v>
      </c>
      <c r="C479" s="116">
        <v>469.15</v>
      </c>
      <c r="D479" s="116">
        <v>458</v>
      </c>
      <c r="E479" s="116">
        <v>470.8</v>
      </c>
      <c r="F479" s="116">
        <v>469.15</v>
      </c>
      <c r="G479">
        <v>1989</v>
      </c>
      <c r="H479" s="116"/>
      <c r="I479" s="116"/>
      <c r="L479" s="170">
        <v>43585</v>
      </c>
      <c r="M479" s="116">
        <v>469.65</v>
      </c>
      <c r="N479" s="116">
        <v>475</v>
      </c>
      <c r="O479" s="116">
        <v>465.35</v>
      </c>
      <c r="P479" s="116">
        <v>474</v>
      </c>
      <c r="Q479" s="116">
        <v>469.65</v>
      </c>
      <c r="R479">
        <v>29526</v>
      </c>
    </row>
    <row r="480" spans="1:18" x14ac:dyDescent="0.25">
      <c r="A480" s="170">
        <v>43587</v>
      </c>
      <c r="B480" s="116">
        <v>474.45</v>
      </c>
      <c r="C480" s="116">
        <v>473.35</v>
      </c>
      <c r="D480" s="116">
        <v>463.75</v>
      </c>
      <c r="E480" s="116">
        <v>465</v>
      </c>
      <c r="F480" s="116">
        <v>473.35</v>
      </c>
      <c r="G480">
        <v>1820</v>
      </c>
      <c r="H480" s="116"/>
      <c r="I480" s="116"/>
      <c r="L480" s="170">
        <v>43587</v>
      </c>
      <c r="M480" s="116">
        <v>473.7</v>
      </c>
      <c r="N480" s="116">
        <v>475.7</v>
      </c>
      <c r="O480" s="116">
        <v>465.1</v>
      </c>
      <c r="P480" s="116">
        <v>470</v>
      </c>
      <c r="Q480" s="116">
        <v>473.7</v>
      </c>
      <c r="R480">
        <v>9157</v>
      </c>
    </row>
    <row r="481" spans="1:18" x14ac:dyDescent="0.25">
      <c r="A481" s="170">
        <v>43588</v>
      </c>
      <c r="B481" s="116">
        <v>480</v>
      </c>
      <c r="C481" s="116">
        <v>471.95</v>
      </c>
      <c r="D481" s="116">
        <v>470</v>
      </c>
      <c r="E481" s="116">
        <v>480</v>
      </c>
      <c r="F481" s="116">
        <v>471.95</v>
      </c>
      <c r="G481">
        <v>109</v>
      </c>
      <c r="H481" s="116"/>
      <c r="I481" s="116"/>
      <c r="L481" s="170">
        <v>43588</v>
      </c>
      <c r="M481" s="116">
        <v>470.3</v>
      </c>
      <c r="N481" s="116">
        <v>478</v>
      </c>
      <c r="O481" s="116">
        <v>467.1</v>
      </c>
      <c r="P481" s="116">
        <v>473.75</v>
      </c>
      <c r="Q481" s="116">
        <v>470.3</v>
      </c>
      <c r="R481">
        <v>11952</v>
      </c>
    </row>
    <row r="482" spans="1:18" x14ac:dyDescent="0.25">
      <c r="A482" s="170">
        <v>43591</v>
      </c>
      <c r="B482" s="116">
        <v>473.95</v>
      </c>
      <c r="C482" s="116">
        <v>471.9</v>
      </c>
      <c r="D482" s="116">
        <v>464.65</v>
      </c>
      <c r="E482" s="116">
        <v>465</v>
      </c>
      <c r="F482" s="116">
        <v>471.9</v>
      </c>
      <c r="G482">
        <v>539</v>
      </c>
      <c r="H482" s="116"/>
      <c r="I482" s="116"/>
      <c r="L482" s="170">
        <v>43591</v>
      </c>
      <c r="M482" s="116">
        <v>468.9</v>
      </c>
      <c r="N482" s="116">
        <v>473</v>
      </c>
      <c r="O482" s="116">
        <v>456.55</v>
      </c>
      <c r="P482" s="116">
        <v>470.3</v>
      </c>
      <c r="Q482" s="116">
        <v>468.9</v>
      </c>
      <c r="R482">
        <v>16063</v>
      </c>
    </row>
    <row r="483" spans="1:18" x14ac:dyDescent="0.25">
      <c r="A483" s="170">
        <v>43592</v>
      </c>
      <c r="B483" s="116">
        <v>469.6</v>
      </c>
      <c r="C483" s="116">
        <v>463.55</v>
      </c>
      <c r="D483" s="116">
        <v>458.7</v>
      </c>
      <c r="E483" s="116">
        <v>469.6</v>
      </c>
      <c r="F483" s="116">
        <v>463.55</v>
      </c>
      <c r="G483">
        <v>302</v>
      </c>
      <c r="H483" s="116"/>
      <c r="I483" s="116"/>
      <c r="L483" s="170">
        <v>43592</v>
      </c>
      <c r="M483" s="116">
        <v>464.2</v>
      </c>
      <c r="N483" s="116">
        <v>471.25</v>
      </c>
      <c r="O483" s="116">
        <v>461.1</v>
      </c>
      <c r="P483" s="116">
        <v>467.05</v>
      </c>
      <c r="Q483" s="116">
        <v>464.2</v>
      </c>
      <c r="R483">
        <v>5362</v>
      </c>
    </row>
    <row r="484" spans="1:18" x14ac:dyDescent="0.25">
      <c r="A484" s="170">
        <v>43593</v>
      </c>
      <c r="B484" s="116">
        <v>468.25</v>
      </c>
      <c r="C484" s="116">
        <v>459.8</v>
      </c>
      <c r="D484" s="116">
        <v>454</v>
      </c>
      <c r="E484" s="116">
        <v>463</v>
      </c>
      <c r="F484" s="116">
        <v>459.8</v>
      </c>
      <c r="G484">
        <v>1452</v>
      </c>
      <c r="H484" s="116"/>
      <c r="I484" s="116"/>
      <c r="L484" s="170">
        <v>43593</v>
      </c>
      <c r="M484" s="116">
        <v>459.85</v>
      </c>
      <c r="N484" s="116">
        <v>470.1</v>
      </c>
      <c r="O484" s="116">
        <v>454</v>
      </c>
      <c r="P484" s="116">
        <v>469.85</v>
      </c>
      <c r="Q484" s="116">
        <v>459.85</v>
      </c>
      <c r="R484">
        <v>24978</v>
      </c>
    </row>
    <row r="485" spans="1:18" x14ac:dyDescent="0.25">
      <c r="A485" s="170">
        <v>43594</v>
      </c>
      <c r="B485" s="116">
        <v>495</v>
      </c>
      <c r="C485" s="116">
        <v>446.85</v>
      </c>
      <c r="D485" s="116">
        <v>438.25</v>
      </c>
      <c r="E485" s="116">
        <v>457.7</v>
      </c>
      <c r="F485" s="116">
        <v>446.85</v>
      </c>
      <c r="G485">
        <v>7985</v>
      </c>
      <c r="H485" s="116"/>
      <c r="I485" s="116"/>
      <c r="L485" s="170">
        <v>43594</v>
      </c>
      <c r="M485" s="116">
        <v>444.25</v>
      </c>
      <c r="N485" s="116">
        <v>464.8</v>
      </c>
      <c r="O485" s="116">
        <v>438</v>
      </c>
      <c r="P485" s="116">
        <v>464.8</v>
      </c>
      <c r="Q485" s="116">
        <v>444.25</v>
      </c>
      <c r="R485">
        <v>83415</v>
      </c>
    </row>
    <row r="486" spans="1:18" x14ac:dyDescent="0.25">
      <c r="A486" s="170">
        <v>43595</v>
      </c>
      <c r="B486" s="116">
        <v>449.15</v>
      </c>
      <c r="C486" s="116">
        <v>444</v>
      </c>
      <c r="D486" s="116">
        <v>438.5</v>
      </c>
      <c r="E486" s="116">
        <v>438.5</v>
      </c>
      <c r="F486" s="116">
        <v>444</v>
      </c>
      <c r="G486">
        <v>1505</v>
      </c>
      <c r="H486" s="116"/>
      <c r="I486" s="116"/>
      <c r="L486" s="170">
        <v>43595</v>
      </c>
      <c r="M486" s="116">
        <v>444.05</v>
      </c>
      <c r="N486" s="116">
        <v>449.3</v>
      </c>
      <c r="O486" s="116">
        <v>439.2</v>
      </c>
      <c r="P486" s="116">
        <v>439.25</v>
      </c>
      <c r="Q486" s="116">
        <v>444.05</v>
      </c>
      <c r="R486">
        <v>11590</v>
      </c>
    </row>
    <row r="487" spans="1:18" x14ac:dyDescent="0.25">
      <c r="A487" s="170">
        <v>43598</v>
      </c>
      <c r="B487" s="116">
        <v>447.3</v>
      </c>
      <c r="C487" s="116">
        <v>435.45</v>
      </c>
      <c r="D487" s="116">
        <v>433.05</v>
      </c>
      <c r="E487" s="116">
        <v>447.3</v>
      </c>
      <c r="F487" s="116">
        <v>435.45</v>
      </c>
      <c r="G487">
        <v>4551</v>
      </c>
      <c r="H487" s="116"/>
      <c r="I487" s="116"/>
      <c r="L487" s="170">
        <v>43598</v>
      </c>
      <c r="M487" s="116">
        <v>441.85</v>
      </c>
      <c r="N487" s="116">
        <v>447.85</v>
      </c>
      <c r="O487" s="116">
        <v>440.6</v>
      </c>
      <c r="P487" s="116">
        <v>445</v>
      </c>
      <c r="Q487" s="116">
        <v>441.85</v>
      </c>
      <c r="R487">
        <v>12232</v>
      </c>
    </row>
    <row r="488" spans="1:18" x14ac:dyDescent="0.25">
      <c r="A488" s="170">
        <v>43599</v>
      </c>
      <c r="B488" s="116">
        <v>444</v>
      </c>
      <c r="C488" s="116">
        <v>436.15</v>
      </c>
      <c r="D488" s="116">
        <v>433.05</v>
      </c>
      <c r="E488" s="116">
        <v>440.85</v>
      </c>
      <c r="F488" s="116">
        <v>436.15</v>
      </c>
      <c r="G488">
        <v>8747</v>
      </c>
      <c r="H488" s="116"/>
      <c r="I488" s="116"/>
      <c r="L488" s="170">
        <v>43599</v>
      </c>
      <c r="M488" s="116">
        <v>443.35</v>
      </c>
      <c r="N488" s="116">
        <v>448.5</v>
      </c>
      <c r="O488" s="116">
        <v>432.35</v>
      </c>
      <c r="P488" s="116">
        <v>433.25</v>
      </c>
      <c r="Q488" s="116">
        <v>443.35</v>
      </c>
      <c r="R488">
        <v>21175</v>
      </c>
    </row>
    <row r="489" spans="1:18" x14ac:dyDescent="0.25">
      <c r="A489" s="170">
        <v>43600</v>
      </c>
      <c r="B489" s="116">
        <v>443.15</v>
      </c>
      <c r="C489" s="116">
        <v>437.4</v>
      </c>
      <c r="D489" s="116">
        <v>433.55</v>
      </c>
      <c r="E489" s="116">
        <v>439.05</v>
      </c>
      <c r="F489" s="116">
        <v>437.4</v>
      </c>
      <c r="G489">
        <v>4894</v>
      </c>
      <c r="H489" s="116"/>
      <c r="I489" s="116"/>
      <c r="L489" s="170">
        <v>43600</v>
      </c>
      <c r="M489" s="116">
        <v>441.9</v>
      </c>
      <c r="N489" s="116">
        <v>446.2</v>
      </c>
      <c r="O489" s="116">
        <v>430.15</v>
      </c>
      <c r="P489" s="116">
        <v>443.4</v>
      </c>
      <c r="Q489" s="116">
        <v>441.9</v>
      </c>
      <c r="R489">
        <v>12591</v>
      </c>
    </row>
    <row r="490" spans="1:18" x14ac:dyDescent="0.25">
      <c r="A490" s="170">
        <v>43601</v>
      </c>
      <c r="B490" s="116">
        <v>447.1</v>
      </c>
      <c r="C490" s="116">
        <v>434.3</v>
      </c>
      <c r="D490" s="116">
        <v>433</v>
      </c>
      <c r="E490" s="116">
        <v>447.1</v>
      </c>
      <c r="F490" s="116">
        <v>434.3</v>
      </c>
      <c r="G490">
        <v>8580</v>
      </c>
      <c r="H490" s="116"/>
      <c r="I490" s="116"/>
      <c r="L490" s="170">
        <v>43601</v>
      </c>
      <c r="M490" s="116">
        <v>439.25</v>
      </c>
      <c r="N490" s="116">
        <v>445.25</v>
      </c>
      <c r="O490" s="116">
        <v>434</v>
      </c>
      <c r="P490" s="116">
        <v>441.9</v>
      </c>
      <c r="Q490" s="116">
        <v>439.25</v>
      </c>
      <c r="R490">
        <v>16312</v>
      </c>
    </row>
    <row r="491" spans="1:18" x14ac:dyDescent="0.25">
      <c r="A491" s="170">
        <v>43602</v>
      </c>
      <c r="B491" s="116">
        <v>442.55</v>
      </c>
      <c r="C491" s="116">
        <v>434.45</v>
      </c>
      <c r="D491" s="116">
        <v>433</v>
      </c>
      <c r="E491" s="116">
        <v>440</v>
      </c>
      <c r="F491" s="116">
        <v>434.45</v>
      </c>
      <c r="G491">
        <v>991</v>
      </c>
      <c r="H491" s="116"/>
      <c r="I491" s="116"/>
      <c r="L491" s="170">
        <v>43602</v>
      </c>
      <c r="M491" s="116">
        <v>434.25</v>
      </c>
      <c r="N491" s="116">
        <v>443.9</v>
      </c>
      <c r="O491" s="116">
        <v>430.5</v>
      </c>
      <c r="P491" s="116">
        <v>439.95</v>
      </c>
      <c r="Q491" s="116">
        <v>434.25</v>
      </c>
      <c r="R491">
        <v>8193</v>
      </c>
    </row>
    <row r="492" spans="1:18" x14ac:dyDescent="0.25">
      <c r="A492" s="170">
        <v>43605</v>
      </c>
      <c r="B492" s="116">
        <v>454.45</v>
      </c>
      <c r="C492" s="116">
        <v>452.05</v>
      </c>
      <c r="D492" s="116">
        <v>440</v>
      </c>
      <c r="E492" s="116">
        <v>451</v>
      </c>
      <c r="F492" s="116">
        <v>452.05</v>
      </c>
      <c r="G492">
        <v>18099</v>
      </c>
      <c r="H492" s="116"/>
      <c r="I492" s="116"/>
      <c r="L492" s="170">
        <v>43605</v>
      </c>
      <c r="M492" s="116">
        <v>457.85</v>
      </c>
      <c r="N492" s="116">
        <v>463</v>
      </c>
      <c r="O492" s="116">
        <v>440.1</v>
      </c>
      <c r="P492" s="116">
        <v>463</v>
      </c>
      <c r="Q492" s="116">
        <v>457.85</v>
      </c>
      <c r="R492">
        <v>43326</v>
      </c>
    </row>
    <row r="493" spans="1:18" x14ac:dyDescent="0.25">
      <c r="A493" s="170">
        <v>43606</v>
      </c>
      <c r="B493" s="116">
        <v>458</v>
      </c>
      <c r="C493" s="116">
        <v>447.1</v>
      </c>
      <c r="D493" s="116">
        <v>445</v>
      </c>
      <c r="E493" s="116">
        <v>458</v>
      </c>
      <c r="F493" s="116">
        <v>447.1</v>
      </c>
      <c r="G493">
        <v>523</v>
      </c>
      <c r="H493" s="116"/>
      <c r="I493" s="116"/>
      <c r="L493" s="170">
        <v>43606</v>
      </c>
      <c r="M493" s="116">
        <v>446.7</v>
      </c>
      <c r="N493" s="116">
        <v>460</v>
      </c>
      <c r="O493" s="116">
        <v>443</v>
      </c>
      <c r="P493" s="116">
        <v>460</v>
      </c>
      <c r="Q493" s="116">
        <v>446.7</v>
      </c>
      <c r="R493">
        <v>13501</v>
      </c>
    </row>
    <row r="494" spans="1:18" x14ac:dyDescent="0.25">
      <c r="A494" s="170">
        <v>43607</v>
      </c>
      <c r="B494" s="116">
        <v>453</v>
      </c>
      <c r="C494" s="116">
        <v>452.15</v>
      </c>
      <c r="D494" s="116">
        <v>441.1</v>
      </c>
      <c r="E494" s="116">
        <v>445</v>
      </c>
      <c r="F494" s="116">
        <v>452.15</v>
      </c>
      <c r="G494">
        <v>923</v>
      </c>
      <c r="H494" s="116"/>
      <c r="I494" s="116"/>
      <c r="L494" s="170">
        <v>43607</v>
      </c>
      <c r="M494" s="116">
        <v>453.25</v>
      </c>
      <c r="N494" s="116">
        <v>456.95</v>
      </c>
      <c r="O494" s="116">
        <v>443</v>
      </c>
      <c r="P494" s="116">
        <v>443.1</v>
      </c>
      <c r="Q494" s="116">
        <v>453.25</v>
      </c>
      <c r="R494">
        <v>12151</v>
      </c>
    </row>
    <row r="495" spans="1:18" x14ac:dyDescent="0.25">
      <c r="A495" s="170">
        <v>43608</v>
      </c>
      <c r="B495" s="116">
        <v>480</v>
      </c>
      <c r="C495" s="116">
        <v>468.55</v>
      </c>
      <c r="D495" s="116">
        <v>458.05</v>
      </c>
      <c r="E495" s="116">
        <v>469</v>
      </c>
      <c r="F495" s="116">
        <v>468.55</v>
      </c>
      <c r="G495">
        <v>3057</v>
      </c>
      <c r="H495" s="116"/>
      <c r="I495" s="116"/>
      <c r="L495" s="170">
        <v>43608</v>
      </c>
      <c r="M495" s="116">
        <v>466.6</v>
      </c>
      <c r="N495" s="116">
        <v>481.9</v>
      </c>
      <c r="O495" s="116">
        <v>461.95</v>
      </c>
      <c r="P495" s="116">
        <v>469.95</v>
      </c>
      <c r="Q495" s="116">
        <v>466.6</v>
      </c>
      <c r="R495">
        <v>68498</v>
      </c>
    </row>
    <row r="496" spans="1:18" x14ac:dyDescent="0.25">
      <c r="A496" s="170">
        <v>43609</v>
      </c>
      <c r="B496" s="116">
        <v>511.2</v>
      </c>
      <c r="C496" s="116">
        <v>509.35</v>
      </c>
      <c r="D496" s="116">
        <v>468.3</v>
      </c>
      <c r="E496" s="116">
        <v>473</v>
      </c>
      <c r="F496" s="116">
        <v>509.35</v>
      </c>
      <c r="G496">
        <v>19539</v>
      </c>
      <c r="H496" s="116"/>
      <c r="I496" s="116"/>
      <c r="L496" s="170">
        <v>43609</v>
      </c>
      <c r="M496" s="116">
        <v>509.2</v>
      </c>
      <c r="N496" s="116">
        <v>511.9</v>
      </c>
      <c r="O496" s="116">
        <v>463.1</v>
      </c>
      <c r="P496" s="116">
        <v>468</v>
      </c>
      <c r="Q496" s="116">
        <v>509.2</v>
      </c>
      <c r="R496">
        <v>112492</v>
      </c>
    </row>
    <row r="497" spans="1:18" x14ac:dyDescent="0.25">
      <c r="A497" s="170">
        <v>43612</v>
      </c>
      <c r="B497" s="116">
        <v>525.5</v>
      </c>
      <c r="C497" s="116">
        <v>502.25</v>
      </c>
      <c r="D497" s="116">
        <v>492.1</v>
      </c>
      <c r="E497" s="116">
        <v>514</v>
      </c>
      <c r="F497" s="116">
        <v>502.25</v>
      </c>
      <c r="G497">
        <v>12747</v>
      </c>
      <c r="H497" s="116"/>
      <c r="I497" s="116"/>
      <c r="L497" s="170">
        <v>43612</v>
      </c>
      <c r="M497" s="116">
        <v>504.5</v>
      </c>
      <c r="N497" s="116">
        <v>539.9</v>
      </c>
      <c r="O497" s="116">
        <v>432.8</v>
      </c>
      <c r="P497" s="116">
        <v>517</v>
      </c>
      <c r="Q497" s="116">
        <v>504.5</v>
      </c>
      <c r="R497">
        <v>184229</v>
      </c>
    </row>
    <row r="498" spans="1:18" x14ac:dyDescent="0.25">
      <c r="A498" s="170">
        <v>43613</v>
      </c>
      <c r="B498" s="116">
        <v>517.79999999999995</v>
      </c>
      <c r="C498" s="116">
        <v>511.95</v>
      </c>
      <c r="D498" s="116">
        <v>503.2</v>
      </c>
      <c r="E498" s="116">
        <v>508.8</v>
      </c>
      <c r="F498" s="116">
        <v>511.95</v>
      </c>
      <c r="G498">
        <v>3883</v>
      </c>
      <c r="H498" s="116"/>
      <c r="I498" s="116"/>
      <c r="L498" s="170">
        <v>43613</v>
      </c>
      <c r="M498" s="116">
        <v>509.8</v>
      </c>
      <c r="N498" s="116">
        <v>519</v>
      </c>
      <c r="O498" s="116">
        <v>504.05</v>
      </c>
      <c r="P498" s="116">
        <v>519</v>
      </c>
      <c r="Q498" s="116">
        <v>509.8</v>
      </c>
      <c r="R498">
        <v>36719</v>
      </c>
    </row>
    <row r="499" spans="1:18" x14ac:dyDescent="0.25">
      <c r="A499" s="170">
        <v>43614</v>
      </c>
      <c r="B499" s="116">
        <v>517.95000000000005</v>
      </c>
      <c r="C499" s="116">
        <v>507.4</v>
      </c>
      <c r="D499" s="116">
        <v>505</v>
      </c>
      <c r="E499" s="116">
        <v>517.95000000000005</v>
      </c>
      <c r="F499" s="116">
        <v>507.4</v>
      </c>
      <c r="G499">
        <v>2024</v>
      </c>
      <c r="H499" s="116"/>
      <c r="I499" s="116"/>
      <c r="L499" s="170">
        <v>43614</v>
      </c>
      <c r="M499" s="116">
        <v>507.95</v>
      </c>
      <c r="N499" s="116">
        <v>518</v>
      </c>
      <c r="O499" s="116">
        <v>500</v>
      </c>
      <c r="P499" s="116">
        <v>515.35</v>
      </c>
      <c r="Q499" s="116">
        <v>507.95</v>
      </c>
      <c r="R499">
        <v>29299</v>
      </c>
    </row>
    <row r="500" spans="1:18" x14ac:dyDescent="0.25">
      <c r="A500" s="170">
        <v>43615</v>
      </c>
      <c r="B500" s="116">
        <v>523</v>
      </c>
      <c r="C500" s="116">
        <v>514.04999999999995</v>
      </c>
      <c r="D500" s="116">
        <v>504.4</v>
      </c>
      <c r="E500" s="116">
        <v>523</v>
      </c>
      <c r="F500" s="116">
        <v>514.04999999999995</v>
      </c>
      <c r="G500">
        <v>2607</v>
      </c>
      <c r="H500" s="116"/>
      <c r="I500" s="116"/>
      <c r="L500" s="170">
        <v>43615</v>
      </c>
      <c r="M500" s="116">
        <v>511.1</v>
      </c>
      <c r="N500" s="116">
        <v>516</v>
      </c>
      <c r="O500" s="116">
        <v>507</v>
      </c>
      <c r="P500" s="116">
        <v>508.5</v>
      </c>
      <c r="Q500" s="116">
        <v>511.1</v>
      </c>
      <c r="R500">
        <v>21030</v>
      </c>
    </row>
    <row r="501" spans="1:18" x14ac:dyDescent="0.25">
      <c r="A501" s="170">
        <v>43616</v>
      </c>
      <c r="B501" s="116">
        <v>525</v>
      </c>
      <c r="C501" s="116">
        <v>520.79999999999995</v>
      </c>
      <c r="D501" s="116">
        <v>515.04999999999995</v>
      </c>
      <c r="E501" s="116">
        <v>522.79999999999995</v>
      </c>
      <c r="F501" s="116">
        <v>520.79999999999995</v>
      </c>
      <c r="G501">
        <v>5609</v>
      </c>
      <c r="H501" s="116"/>
      <c r="I501" s="116"/>
      <c r="L501" s="170">
        <v>43616</v>
      </c>
      <c r="M501" s="116">
        <v>521.29999999999995</v>
      </c>
      <c r="N501" s="116">
        <v>528.70000000000005</v>
      </c>
      <c r="O501" s="116">
        <v>511.1</v>
      </c>
      <c r="P501" s="116">
        <v>511.1</v>
      </c>
      <c r="Q501" s="116">
        <v>521.29999999999995</v>
      </c>
      <c r="R501">
        <v>47183</v>
      </c>
    </row>
    <row r="502" spans="1:18" x14ac:dyDescent="0.25">
      <c r="A502" s="170">
        <v>43619</v>
      </c>
      <c r="B502" s="116">
        <v>535</v>
      </c>
      <c r="C502" s="116">
        <v>529.4</v>
      </c>
      <c r="D502" s="116">
        <v>515</v>
      </c>
      <c r="E502" s="116">
        <v>527.4</v>
      </c>
      <c r="F502" s="116">
        <v>529.4</v>
      </c>
      <c r="G502">
        <v>5043</v>
      </c>
      <c r="H502" s="116"/>
      <c r="I502" s="116"/>
      <c r="L502" s="170">
        <v>43619</v>
      </c>
      <c r="M502" s="116">
        <v>528.45000000000005</v>
      </c>
      <c r="N502" s="116">
        <v>536</v>
      </c>
      <c r="O502" s="116">
        <v>511</v>
      </c>
      <c r="P502" s="116">
        <v>521.29999999999995</v>
      </c>
      <c r="Q502" s="116">
        <v>528.45000000000005</v>
      </c>
      <c r="R502">
        <v>39701</v>
      </c>
    </row>
    <row r="503" spans="1:18" x14ac:dyDescent="0.25">
      <c r="A503" s="170">
        <v>43620</v>
      </c>
      <c r="B503" s="116">
        <v>532.29999999999995</v>
      </c>
      <c r="C503" s="116">
        <v>523.45000000000005</v>
      </c>
      <c r="D503" s="116">
        <v>520</v>
      </c>
      <c r="E503" s="116">
        <v>532.29999999999995</v>
      </c>
      <c r="F503" s="116">
        <v>523.45000000000005</v>
      </c>
      <c r="G503">
        <v>1265</v>
      </c>
      <c r="H503" s="116"/>
      <c r="I503" s="116"/>
      <c r="L503" s="170">
        <v>43620</v>
      </c>
      <c r="M503" s="116">
        <v>527.45000000000005</v>
      </c>
      <c r="N503" s="116">
        <v>532.5</v>
      </c>
      <c r="O503" s="116">
        <v>521</v>
      </c>
      <c r="P503" s="116">
        <v>527.95000000000005</v>
      </c>
      <c r="Q503" s="116">
        <v>527.45000000000005</v>
      </c>
      <c r="R503">
        <v>20993</v>
      </c>
    </row>
    <row r="504" spans="1:18" x14ac:dyDescent="0.25">
      <c r="A504" s="170">
        <v>43622</v>
      </c>
      <c r="B504" s="116">
        <v>548.70000000000005</v>
      </c>
      <c r="C504" s="116">
        <v>530</v>
      </c>
      <c r="D504" s="116">
        <v>524.85</v>
      </c>
      <c r="E504" s="116">
        <v>544</v>
      </c>
      <c r="F504" s="116">
        <v>530</v>
      </c>
      <c r="G504">
        <v>8091</v>
      </c>
      <c r="H504" s="116"/>
      <c r="I504" s="116"/>
      <c r="L504" s="170">
        <v>43622</v>
      </c>
      <c r="M504" s="116">
        <v>534.04999999999995</v>
      </c>
      <c r="N504" s="116">
        <v>567</v>
      </c>
      <c r="O504" s="116">
        <v>522.04999999999995</v>
      </c>
      <c r="P504" s="116">
        <v>535.1</v>
      </c>
      <c r="Q504" s="116">
        <v>534.04999999999995</v>
      </c>
      <c r="R504">
        <v>102415</v>
      </c>
    </row>
    <row r="505" spans="1:18" x14ac:dyDescent="0.25">
      <c r="A505" s="170">
        <v>43623</v>
      </c>
      <c r="B505" s="116">
        <v>548.75</v>
      </c>
      <c r="C505" s="116">
        <v>534.15</v>
      </c>
      <c r="D505" s="116">
        <v>521.54999999999995</v>
      </c>
      <c r="E505" s="116">
        <v>548.75</v>
      </c>
      <c r="F505" s="116">
        <v>534.15</v>
      </c>
      <c r="G505">
        <v>2179</v>
      </c>
      <c r="H505" s="116"/>
      <c r="I505" s="116"/>
      <c r="L505" s="170">
        <v>43623</v>
      </c>
      <c r="M505" s="116">
        <v>536.79999999999995</v>
      </c>
      <c r="N505" s="116">
        <v>540</v>
      </c>
      <c r="O505" s="116">
        <v>522</v>
      </c>
      <c r="P505" s="116">
        <v>538.35</v>
      </c>
      <c r="Q505" s="116">
        <v>536.79999999999995</v>
      </c>
      <c r="R505">
        <v>21340</v>
      </c>
    </row>
    <row r="506" spans="1:18" x14ac:dyDescent="0.25">
      <c r="A506" s="170">
        <v>43626</v>
      </c>
      <c r="B506" s="116">
        <v>549.35</v>
      </c>
      <c r="C506" s="116">
        <v>521.75</v>
      </c>
      <c r="D506" s="116">
        <v>519.9</v>
      </c>
      <c r="E506" s="116">
        <v>537.25</v>
      </c>
      <c r="F506" s="116">
        <v>521.75</v>
      </c>
      <c r="G506">
        <v>2845</v>
      </c>
      <c r="H506" s="116"/>
      <c r="I506" s="116"/>
      <c r="L506" s="170">
        <v>43626</v>
      </c>
      <c r="M506" s="116">
        <v>524.75</v>
      </c>
      <c r="N506" s="116">
        <v>541.75</v>
      </c>
      <c r="O506" s="116">
        <v>520.15</v>
      </c>
      <c r="P506" s="116">
        <v>541.75</v>
      </c>
      <c r="Q506" s="116">
        <v>524.75</v>
      </c>
      <c r="R506">
        <v>24533</v>
      </c>
    </row>
    <row r="507" spans="1:18" x14ac:dyDescent="0.25">
      <c r="A507" s="170">
        <v>43627</v>
      </c>
      <c r="B507" s="116">
        <v>526.70000000000005</v>
      </c>
      <c r="C507" s="116">
        <v>519.45000000000005</v>
      </c>
      <c r="D507" s="116">
        <v>515</v>
      </c>
      <c r="E507" s="116">
        <v>524</v>
      </c>
      <c r="F507" s="116">
        <v>519.45000000000005</v>
      </c>
      <c r="G507">
        <v>1205</v>
      </c>
      <c r="H507" s="116"/>
      <c r="I507" s="116"/>
      <c r="L507" s="170">
        <v>43627</v>
      </c>
      <c r="M507" s="116">
        <v>520.35</v>
      </c>
      <c r="N507" s="116">
        <v>527.75</v>
      </c>
      <c r="O507" s="116">
        <v>515</v>
      </c>
      <c r="P507" s="116">
        <v>525</v>
      </c>
      <c r="Q507" s="116">
        <v>520.35</v>
      </c>
      <c r="R507">
        <v>114625</v>
      </c>
    </row>
    <row r="508" spans="1:18" x14ac:dyDescent="0.25">
      <c r="A508" s="170">
        <v>43628</v>
      </c>
      <c r="B508" s="116">
        <v>527</v>
      </c>
      <c r="C508" s="116">
        <v>523.35</v>
      </c>
      <c r="D508" s="116">
        <v>520.85</v>
      </c>
      <c r="E508" s="116">
        <v>526.9</v>
      </c>
      <c r="F508" s="116">
        <v>523.35</v>
      </c>
      <c r="G508">
        <v>837</v>
      </c>
      <c r="H508" s="116"/>
      <c r="I508" s="116"/>
      <c r="L508" s="170">
        <v>43628</v>
      </c>
      <c r="M508" s="116">
        <v>523.65</v>
      </c>
      <c r="N508" s="116">
        <v>540</v>
      </c>
      <c r="O508" s="116">
        <v>500.4</v>
      </c>
      <c r="P508" s="116">
        <v>516</v>
      </c>
      <c r="Q508" s="116">
        <v>523.65</v>
      </c>
      <c r="R508">
        <v>9136</v>
      </c>
    </row>
    <row r="509" spans="1:18" x14ac:dyDescent="0.25">
      <c r="A509" s="170">
        <v>43629</v>
      </c>
      <c r="B509" s="116">
        <v>537.95000000000005</v>
      </c>
      <c r="C509" s="116">
        <v>524.45000000000005</v>
      </c>
      <c r="D509" s="116">
        <v>520</v>
      </c>
      <c r="E509" s="116">
        <v>537.95000000000005</v>
      </c>
      <c r="F509" s="116">
        <v>524.45000000000005</v>
      </c>
      <c r="G509">
        <v>1229</v>
      </c>
      <c r="H509" s="116"/>
      <c r="I509" s="116"/>
      <c r="L509" s="170">
        <v>43629</v>
      </c>
      <c r="M509" s="116">
        <v>528.5</v>
      </c>
      <c r="N509" s="116">
        <v>534.25</v>
      </c>
      <c r="O509" s="116">
        <v>524</v>
      </c>
      <c r="P509" s="116">
        <v>528.35</v>
      </c>
      <c r="Q509" s="116">
        <v>528.5</v>
      </c>
      <c r="R509">
        <v>12840</v>
      </c>
    </row>
    <row r="510" spans="1:18" x14ac:dyDescent="0.25">
      <c r="A510" s="170">
        <v>43630</v>
      </c>
      <c r="B510" s="116">
        <v>544.9</v>
      </c>
      <c r="C510" s="116">
        <v>540.45000000000005</v>
      </c>
      <c r="D510" s="116">
        <v>531.85</v>
      </c>
      <c r="E510" s="116">
        <v>536.54999999999995</v>
      </c>
      <c r="F510" s="116">
        <v>540.45000000000005</v>
      </c>
      <c r="G510">
        <v>3383</v>
      </c>
      <c r="H510" s="116"/>
      <c r="I510" s="116"/>
      <c r="L510" s="170">
        <v>43630</v>
      </c>
      <c r="M510" s="116">
        <v>540.54999999999995</v>
      </c>
      <c r="N510" s="116">
        <v>544.9</v>
      </c>
      <c r="O510" s="116">
        <v>531</v>
      </c>
      <c r="P510" s="116">
        <v>532.95000000000005</v>
      </c>
      <c r="Q510" s="116">
        <v>540.54999999999995</v>
      </c>
      <c r="R510">
        <v>24271</v>
      </c>
    </row>
    <row r="511" spans="1:18" x14ac:dyDescent="0.25">
      <c r="A511" s="170">
        <v>43633</v>
      </c>
      <c r="B511" s="116">
        <v>542.70000000000005</v>
      </c>
      <c r="C511" s="116">
        <v>526.75</v>
      </c>
      <c r="D511" s="116">
        <v>524.25</v>
      </c>
      <c r="E511" s="116">
        <v>540.5</v>
      </c>
      <c r="F511" s="116">
        <v>526.75</v>
      </c>
      <c r="G511">
        <v>4603</v>
      </c>
      <c r="H511" s="116"/>
      <c r="I511" s="116"/>
      <c r="L511" s="170">
        <v>43633</v>
      </c>
      <c r="M511" s="116">
        <v>529.4</v>
      </c>
      <c r="N511" s="116">
        <v>544.95000000000005</v>
      </c>
      <c r="O511" s="116">
        <v>525.1</v>
      </c>
      <c r="P511" s="116">
        <v>544.95000000000005</v>
      </c>
      <c r="Q511" s="116">
        <v>529.4</v>
      </c>
      <c r="R511">
        <v>20640</v>
      </c>
    </row>
    <row r="512" spans="1:18" x14ac:dyDescent="0.25">
      <c r="A512" s="170">
        <v>43634</v>
      </c>
      <c r="B512" s="116">
        <v>536.65</v>
      </c>
      <c r="C512" s="116">
        <v>520.5</v>
      </c>
      <c r="D512" s="116">
        <v>519.75</v>
      </c>
      <c r="E512" s="116">
        <v>532.20000000000005</v>
      </c>
      <c r="F512" s="116">
        <v>520.5</v>
      </c>
      <c r="G512">
        <v>2115</v>
      </c>
      <c r="H512" s="116"/>
      <c r="I512" s="116"/>
      <c r="L512" s="170">
        <v>43634</v>
      </c>
      <c r="M512" s="116">
        <v>521.04999999999995</v>
      </c>
      <c r="N512" s="116">
        <v>535.45000000000005</v>
      </c>
      <c r="O512" s="116">
        <v>520</v>
      </c>
      <c r="P512" s="116">
        <v>528</v>
      </c>
      <c r="Q512" s="116">
        <v>521.04999999999995</v>
      </c>
      <c r="R512">
        <v>14231</v>
      </c>
    </row>
    <row r="513" spans="1:18" x14ac:dyDescent="0.25">
      <c r="A513" s="170">
        <v>43635</v>
      </c>
      <c r="B513" s="116">
        <v>525</v>
      </c>
      <c r="C513" s="116">
        <v>522.95000000000005</v>
      </c>
      <c r="D513" s="116">
        <v>518</v>
      </c>
      <c r="E513" s="116">
        <v>525</v>
      </c>
      <c r="F513" s="116">
        <v>522.95000000000005</v>
      </c>
      <c r="G513">
        <v>2546</v>
      </c>
      <c r="H513" s="116"/>
      <c r="I513" s="116"/>
      <c r="L513" s="170">
        <v>43635</v>
      </c>
      <c r="M513" s="116">
        <v>520.4</v>
      </c>
      <c r="N513" s="116">
        <v>527.85</v>
      </c>
      <c r="O513" s="116">
        <v>516.79999999999995</v>
      </c>
      <c r="P513" s="116">
        <v>523.04999999999995</v>
      </c>
      <c r="Q513" s="116">
        <v>520.4</v>
      </c>
      <c r="R513">
        <v>14607</v>
      </c>
    </row>
    <row r="514" spans="1:18" x14ac:dyDescent="0.25">
      <c r="A514" s="170">
        <v>43636</v>
      </c>
      <c r="B514" s="116">
        <v>537</v>
      </c>
      <c r="C514" s="116">
        <v>524.25</v>
      </c>
      <c r="D514" s="116">
        <v>520</v>
      </c>
      <c r="E514" s="116">
        <v>525.35</v>
      </c>
      <c r="F514" s="116">
        <v>524.25</v>
      </c>
      <c r="G514">
        <v>1000</v>
      </c>
      <c r="H514" s="116"/>
      <c r="I514" s="116"/>
      <c r="L514" s="170">
        <v>43636</v>
      </c>
      <c r="M514" s="116">
        <v>524.1</v>
      </c>
      <c r="N514" s="116">
        <v>538</v>
      </c>
      <c r="O514" s="116">
        <v>511.35</v>
      </c>
      <c r="P514" s="116">
        <v>511.35</v>
      </c>
      <c r="Q514" s="116">
        <v>524.1</v>
      </c>
      <c r="R514">
        <v>37049</v>
      </c>
    </row>
    <row r="515" spans="1:18" x14ac:dyDescent="0.25">
      <c r="A515" s="170">
        <v>43637</v>
      </c>
      <c r="B515" s="116">
        <v>530</v>
      </c>
      <c r="C515" s="116">
        <v>523.54999999999995</v>
      </c>
      <c r="D515" s="116">
        <v>516.6</v>
      </c>
      <c r="E515" s="116">
        <v>526</v>
      </c>
      <c r="F515" s="116">
        <v>523.54999999999995</v>
      </c>
      <c r="G515">
        <v>1000</v>
      </c>
      <c r="H515" s="116"/>
      <c r="I515" s="116"/>
      <c r="L515" s="170">
        <v>43637</v>
      </c>
      <c r="M515" s="116">
        <v>520.85</v>
      </c>
      <c r="N515" s="116">
        <v>531.9</v>
      </c>
      <c r="O515" s="116">
        <v>516.35</v>
      </c>
      <c r="P515" s="116">
        <v>531.9</v>
      </c>
      <c r="Q515" s="116">
        <v>520.85</v>
      </c>
      <c r="R515">
        <v>9532</v>
      </c>
    </row>
    <row r="516" spans="1:18" x14ac:dyDescent="0.25">
      <c r="A516" s="170">
        <v>43640</v>
      </c>
      <c r="B516" s="116">
        <v>524.70000000000005</v>
      </c>
      <c r="C516" s="116">
        <v>524.29999999999995</v>
      </c>
      <c r="D516" s="116">
        <v>519.45000000000005</v>
      </c>
      <c r="E516" s="116">
        <v>524</v>
      </c>
      <c r="F516" s="116">
        <v>524.29999999999995</v>
      </c>
      <c r="G516">
        <v>1151</v>
      </c>
      <c r="H516" s="116"/>
      <c r="I516" s="116"/>
      <c r="L516" s="170">
        <v>43640</v>
      </c>
      <c r="M516" s="116">
        <v>524.75</v>
      </c>
      <c r="N516" s="116">
        <v>526.9</v>
      </c>
      <c r="O516" s="116">
        <v>519.75</v>
      </c>
      <c r="P516" s="116">
        <v>526.9</v>
      </c>
      <c r="Q516" s="116">
        <v>524.75</v>
      </c>
      <c r="R516">
        <v>21512</v>
      </c>
    </row>
    <row r="517" spans="1:18" x14ac:dyDescent="0.25">
      <c r="A517" s="170">
        <v>43641</v>
      </c>
      <c r="B517" s="116">
        <v>524.9</v>
      </c>
      <c r="C517" s="116">
        <v>519.95000000000005</v>
      </c>
      <c r="D517" s="116">
        <v>515.04999999999995</v>
      </c>
      <c r="E517" s="116">
        <v>524</v>
      </c>
      <c r="F517" s="116">
        <v>519.95000000000005</v>
      </c>
      <c r="G517">
        <v>209</v>
      </c>
      <c r="H517" s="116"/>
      <c r="I517" s="116"/>
      <c r="L517" s="170">
        <v>43641</v>
      </c>
      <c r="M517" s="116">
        <v>520.65</v>
      </c>
      <c r="N517" s="116">
        <v>524.79999999999995</v>
      </c>
      <c r="O517" s="116">
        <v>510.05</v>
      </c>
      <c r="P517" s="116">
        <v>510.05</v>
      </c>
      <c r="Q517" s="116">
        <v>520.65</v>
      </c>
      <c r="R517">
        <v>10935</v>
      </c>
    </row>
    <row r="518" spans="1:18" x14ac:dyDescent="0.25">
      <c r="A518" s="170">
        <v>43642</v>
      </c>
      <c r="B518" s="116">
        <v>526.70000000000005</v>
      </c>
      <c r="C518" s="116">
        <v>523.9</v>
      </c>
      <c r="D518" s="116">
        <v>511.05</v>
      </c>
      <c r="E518" s="116">
        <v>521</v>
      </c>
      <c r="F518" s="116">
        <v>523.9</v>
      </c>
      <c r="G518">
        <v>2342</v>
      </c>
      <c r="H518" s="116"/>
      <c r="I518" s="116"/>
      <c r="L518" s="170">
        <v>43642</v>
      </c>
      <c r="M518" s="116">
        <v>521.70000000000005</v>
      </c>
      <c r="N518" s="116">
        <v>526</v>
      </c>
      <c r="O518" s="116">
        <v>519.45000000000005</v>
      </c>
      <c r="P518" s="116">
        <v>519.45000000000005</v>
      </c>
      <c r="Q518" s="116">
        <v>521.70000000000005</v>
      </c>
      <c r="R518">
        <v>24034</v>
      </c>
    </row>
    <row r="519" spans="1:18" x14ac:dyDescent="0.25">
      <c r="A519" s="170">
        <v>43643</v>
      </c>
      <c r="B519" s="116">
        <v>529.95000000000005</v>
      </c>
      <c r="C519" s="116">
        <v>521.70000000000005</v>
      </c>
      <c r="D519" s="116">
        <v>520.15</v>
      </c>
      <c r="E519" s="116">
        <v>525.95000000000005</v>
      </c>
      <c r="F519" s="116">
        <v>521.70000000000005</v>
      </c>
      <c r="G519">
        <v>575</v>
      </c>
      <c r="H519" s="116"/>
      <c r="I519" s="116"/>
      <c r="L519" s="170">
        <v>43643</v>
      </c>
      <c r="M519" s="116">
        <v>521.85</v>
      </c>
      <c r="N519" s="116">
        <v>525</v>
      </c>
      <c r="O519" s="116">
        <v>520</v>
      </c>
      <c r="P519" s="116">
        <v>521.20000000000005</v>
      </c>
      <c r="Q519" s="116">
        <v>521.85</v>
      </c>
      <c r="R519">
        <v>11000</v>
      </c>
    </row>
    <row r="520" spans="1:18" x14ac:dyDescent="0.25">
      <c r="A520" s="170">
        <v>43644</v>
      </c>
      <c r="B520" s="116">
        <v>617</v>
      </c>
      <c r="C520" s="116">
        <v>550.20000000000005</v>
      </c>
      <c r="D520" s="116">
        <v>522</v>
      </c>
      <c r="E520" s="116">
        <v>522.85</v>
      </c>
      <c r="F520" s="116">
        <v>550.20000000000005</v>
      </c>
      <c r="G520">
        <v>23251</v>
      </c>
      <c r="H520" s="116"/>
      <c r="I520" s="116"/>
      <c r="L520" s="170">
        <v>43644</v>
      </c>
      <c r="M520" s="116">
        <v>549.25</v>
      </c>
      <c r="N520" s="116">
        <v>557.15</v>
      </c>
      <c r="O520" s="116">
        <v>522</v>
      </c>
      <c r="P520" s="116">
        <v>522</v>
      </c>
      <c r="Q520" s="116">
        <v>549.25</v>
      </c>
      <c r="R520">
        <v>66544</v>
      </c>
    </row>
    <row r="521" spans="1:18" x14ac:dyDescent="0.25">
      <c r="A521" s="170">
        <v>43647</v>
      </c>
      <c r="B521" s="116">
        <v>555.35</v>
      </c>
      <c r="C521" s="116">
        <v>549.1</v>
      </c>
      <c r="D521" s="116">
        <v>547.6</v>
      </c>
      <c r="E521" s="116">
        <v>552.29999999999995</v>
      </c>
      <c r="F521" s="116">
        <v>549.1</v>
      </c>
      <c r="G521">
        <v>1499</v>
      </c>
      <c r="H521" s="116"/>
      <c r="I521" s="116"/>
      <c r="L521" s="170">
        <v>43647</v>
      </c>
      <c r="M521" s="116">
        <v>549.9</v>
      </c>
      <c r="N521" s="116">
        <v>555</v>
      </c>
      <c r="O521" s="116">
        <v>547.1</v>
      </c>
      <c r="P521" s="116">
        <v>554.9</v>
      </c>
      <c r="Q521" s="116">
        <v>549.9</v>
      </c>
      <c r="R521">
        <v>17410</v>
      </c>
    </row>
    <row r="522" spans="1:18" x14ac:dyDescent="0.25">
      <c r="A522" s="170">
        <v>43648</v>
      </c>
      <c r="B522" s="116">
        <v>554.85</v>
      </c>
      <c r="C522" s="116">
        <v>551.75</v>
      </c>
      <c r="D522" s="116">
        <v>548.45000000000005</v>
      </c>
      <c r="E522" s="116">
        <v>551.04999999999995</v>
      </c>
      <c r="F522" s="116">
        <v>551.75</v>
      </c>
      <c r="G522">
        <v>281</v>
      </c>
      <c r="H522" s="116"/>
      <c r="I522" s="116"/>
      <c r="L522" s="170">
        <v>43648</v>
      </c>
      <c r="M522" s="116">
        <v>552.35</v>
      </c>
      <c r="N522" s="116">
        <v>554</v>
      </c>
      <c r="O522" s="116">
        <v>545.20000000000005</v>
      </c>
      <c r="P522" s="116">
        <v>545.20000000000005</v>
      </c>
      <c r="Q522" s="116">
        <v>552.35</v>
      </c>
      <c r="R522">
        <v>13289</v>
      </c>
    </row>
    <row r="523" spans="1:18" x14ac:dyDescent="0.25">
      <c r="A523" s="170">
        <v>43649</v>
      </c>
      <c r="B523" s="116">
        <v>552</v>
      </c>
      <c r="C523" s="116">
        <v>549.79999999999995</v>
      </c>
      <c r="D523" s="116">
        <v>549.5</v>
      </c>
      <c r="E523" s="116">
        <v>550.6</v>
      </c>
      <c r="F523" s="116">
        <v>549.79999999999995</v>
      </c>
      <c r="G523">
        <v>1447</v>
      </c>
      <c r="H523" s="116"/>
      <c r="I523" s="116"/>
      <c r="L523" s="170">
        <v>43649</v>
      </c>
      <c r="M523" s="116">
        <v>550.1</v>
      </c>
      <c r="N523" s="116">
        <v>556</v>
      </c>
      <c r="O523" s="116">
        <v>547.1</v>
      </c>
      <c r="P523" s="116">
        <v>547.1</v>
      </c>
      <c r="Q523" s="116">
        <v>550.1</v>
      </c>
      <c r="R523">
        <v>21801</v>
      </c>
    </row>
    <row r="524" spans="1:18" x14ac:dyDescent="0.25">
      <c r="A524" s="170">
        <v>43650</v>
      </c>
      <c r="B524" s="116">
        <v>555.15</v>
      </c>
      <c r="C524" s="116">
        <v>551</v>
      </c>
      <c r="D524" s="116">
        <v>549.25</v>
      </c>
      <c r="E524" s="116">
        <v>555</v>
      </c>
      <c r="F524" s="116">
        <v>551</v>
      </c>
      <c r="G524">
        <v>4051</v>
      </c>
      <c r="H524" s="116"/>
      <c r="I524" s="116"/>
      <c r="L524" s="170">
        <v>43650</v>
      </c>
      <c r="M524" s="116">
        <v>550.9</v>
      </c>
      <c r="N524" s="116">
        <v>557.5</v>
      </c>
      <c r="O524" s="116">
        <v>546.54999999999995</v>
      </c>
      <c r="P524" s="116">
        <v>557.5</v>
      </c>
      <c r="Q524" s="116">
        <v>550.9</v>
      </c>
      <c r="R524">
        <v>18260</v>
      </c>
    </row>
    <row r="525" spans="1:18" x14ac:dyDescent="0.25">
      <c r="A525" s="170">
        <v>43651</v>
      </c>
      <c r="B525" s="116">
        <v>558.1</v>
      </c>
      <c r="C525" s="116">
        <v>550.20000000000005</v>
      </c>
      <c r="D525" s="116">
        <v>549.25</v>
      </c>
      <c r="E525" s="116">
        <v>550.15</v>
      </c>
      <c r="F525" s="116">
        <v>550.20000000000005</v>
      </c>
      <c r="G525">
        <v>1568</v>
      </c>
      <c r="H525" s="116"/>
      <c r="I525" s="116"/>
      <c r="L525" s="170">
        <v>43651</v>
      </c>
      <c r="M525" s="116">
        <v>550</v>
      </c>
      <c r="N525" s="116">
        <v>560</v>
      </c>
      <c r="O525" s="116">
        <v>546</v>
      </c>
      <c r="P525" s="116">
        <v>546</v>
      </c>
      <c r="Q525" s="116">
        <v>550</v>
      </c>
      <c r="R525">
        <v>24338</v>
      </c>
    </row>
    <row r="526" spans="1:18" x14ac:dyDescent="0.25">
      <c r="A526" s="170">
        <v>43654</v>
      </c>
      <c r="B526" s="116">
        <v>548</v>
      </c>
      <c r="C526" s="116">
        <v>533.70000000000005</v>
      </c>
      <c r="D526" s="116">
        <v>524.15</v>
      </c>
      <c r="E526" s="116">
        <v>548</v>
      </c>
      <c r="F526" s="116">
        <v>533.70000000000005</v>
      </c>
      <c r="G526">
        <v>4600</v>
      </c>
      <c r="H526" s="116"/>
      <c r="I526" s="116"/>
      <c r="L526" s="170">
        <v>43654</v>
      </c>
      <c r="M526" s="116">
        <v>533.25</v>
      </c>
      <c r="N526" s="116">
        <v>549.70000000000005</v>
      </c>
      <c r="O526" s="116">
        <v>525</v>
      </c>
      <c r="P526" s="116">
        <v>549.70000000000005</v>
      </c>
      <c r="Q526" s="116">
        <v>533.25</v>
      </c>
      <c r="R526">
        <v>32393</v>
      </c>
    </row>
    <row r="527" spans="1:18" x14ac:dyDescent="0.25">
      <c r="A527" s="170">
        <v>43655</v>
      </c>
      <c r="B527" s="116">
        <v>537.5</v>
      </c>
      <c r="C527" s="116">
        <v>533.29999999999995</v>
      </c>
      <c r="D527" s="116">
        <v>525.25</v>
      </c>
      <c r="E527" s="116">
        <v>530.6</v>
      </c>
      <c r="F527" s="116">
        <v>533.29999999999995</v>
      </c>
      <c r="G527">
        <v>1202</v>
      </c>
      <c r="H527" s="116"/>
      <c r="I527" s="116"/>
      <c r="L527" s="170">
        <v>43655</v>
      </c>
      <c r="M527" s="116">
        <v>533.75</v>
      </c>
      <c r="N527" s="116">
        <v>539</v>
      </c>
      <c r="O527" s="116">
        <v>519.9</v>
      </c>
      <c r="P527" s="116">
        <v>530</v>
      </c>
      <c r="Q527" s="116">
        <v>533.75</v>
      </c>
      <c r="R527">
        <v>12317</v>
      </c>
    </row>
    <row r="528" spans="1:18" x14ac:dyDescent="0.25">
      <c r="A528" s="170">
        <v>43656</v>
      </c>
      <c r="B528" s="116">
        <v>548</v>
      </c>
      <c r="C528" s="116">
        <v>539.15</v>
      </c>
      <c r="D528" s="116">
        <v>530.6</v>
      </c>
      <c r="E528" s="116">
        <v>533.6</v>
      </c>
      <c r="F528" s="116">
        <v>539.15</v>
      </c>
      <c r="G528">
        <v>609</v>
      </c>
      <c r="H528" s="116"/>
      <c r="I528" s="116"/>
      <c r="L528" s="170">
        <v>43656</v>
      </c>
      <c r="M528" s="116">
        <v>540</v>
      </c>
      <c r="N528" s="116">
        <v>548.54999999999995</v>
      </c>
      <c r="O528" s="116">
        <v>522.79999999999995</v>
      </c>
      <c r="P528" s="116">
        <v>522.79999999999995</v>
      </c>
      <c r="Q528" s="116">
        <v>540</v>
      </c>
      <c r="R528">
        <v>22411</v>
      </c>
    </row>
    <row r="529" spans="1:18" x14ac:dyDescent="0.25">
      <c r="A529" s="170">
        <v>43657</v>
      </c>
      <c r="B529" s="116">
        <v>546.35</v>
      </c>
      <c r="C529" s="116">
        <v>538.54999999999995</v>
      </c>
      <c r="D529" s="116">
        <v>535</v>
      </c>
      <c r="E529" s="116">
        <v>546.35</v>
      </c>
      <c r="F529" s="116">
        <v>538.54999999999995</v>
      </c>
      <c r="G529">
        <v>587</v>
      </c>
      <c r="H529" s="116"/>
      <c r="I529" s="116"/>
      <c r="L529" s="170">
        <v>43657</v>
      </c>
      <c r="M529" s="116">
        <v>537.65</v>
      </c>
      <c r="N529" s="116">
        <v>546.9</v>
      </c>
      <c r="O529" s="116">
        <v>532.5</v>
      </c>
      <c r="P529" s="116">
        <v>540.1</v>
      </c>
      <c r="Q529" s="116">
        <v>537.65</v>
      </c>
      <c r="R529">
        <v>12158</v>
      </c>
    </row>
    <row r="530" spans="1:18" x14ac:dyDescent="0.25">
      <c r="A530" s="170">
        <v>43658</v>
      </c>
      <c r="B530" s="116">
        <v>536.20000000000005</v>
      </c>
      <c r="C530" s="116">
        <v>531.70000000000005</v>
      </c>
      <c r="D530" s="116">
        <v>525.54999999999995</v>
      </c>
      <c r="E530" s="116">
        <v>532</v>
      </c>
      <c r="F530" s="116">
        <v>531.70000000000005</v>
      </c>
      <c r="G530">
        <v>609</v>
      </c>
      <c r="H530" s="116"/>
      <c r="I530" s="116"/>
      <c r="L530" s="170">
        <v>43658</v>
      </c>
      <c r="M530" s="116">
        <v>532.15</v>
      </c>
      <c r="N530" s="116">
        <v>537.75</v>
      </c>
      <c r="O530" s="116">
        <v>526.20000000000005</v>
      </c>
      <c r="P530" s="116">
        <v>537.75</v>
      </c>
      <c r="Q530" s="116">
        <v>532.15</v>
      </c>
      <c r="R530">
        <v>10345</v>
      </c>
    </row>
    <row r="531" spans="1:18" x14ac:dyDescent="0.25">
      <c r="A531" s="170">
        <v>43661</v>
      </c>
      <c r="B531" s="116">
        <v>532.9</v>
      </c>
      <c r="C531" s="116">
        <v>531.54999999999995</v>
      </c>
      <c r="D531" s="116">
        <v>526.65</v>
      </c>
      <c r="E531" s="116">
        <v>532.9</v>
      </c>
      <c r="F531" s="116">
        <v>531.54999999999995</v>
      </c>
      <c r="G531">
        <v>585</v>
      </c>
      <c r="H531" s="116"/>
      <c r="I531" s="116"/>
      <c r="L531" s="170">
        <v>43661</v>
      </c>
      <c r="M531" s="116">
        <v>532.45000000000005</v>
      </c>
      <c r="N531" s="116">
        <v>536.85</v>
      </c>
      <c r="O531" s="116">
        <v>525.9</v>
      </c>
      <c r="P531" s="116">
        <v>532.15</v>
      </c>
      <c r="Q531" s="116">
        <v>532.45000000000005</v>
      </c>
      <c r="R531">
        <v>9859</v>
      </c>
    </row>
    <row r="532" spans="1:18" x14ac:dyDescent="0.25">
      <c r="A532" s="170">
        <v>43662</v>
      </c>
      <c r="B532" s="116">
        <v>533.20000000000005</v>
      </c>
      <c r="C532" s="116">
        <v>525.15</v>
      </c>
      <c r="D532" s="116">
        <v>519.20000000000005</v>
      </c>
      <c r="E532" s="116">
        <v>529.6</v>
      </c>
      <c r="F532" s="116">
        <v>525.15</v>
      </c>
      <c r="G532">
        <v>1592</v>
      </c>
      <c r="H532" s="116"/>
      <c r="I532" s="116"/>
      <c r="L532" s="170">
        <v>43662</v>
      </c>
      <c r="M532" s="116">
        <v>524.20000000000005</v>
      </c>
      <c r="N532" s="116">
        <v>531.95000000000005</v>
      </c>
      <c r="O532" s="116">
        <v>519.95000000000005</v>
      </c>
      <c r="P532" s="116">
        <v>529.15</v>
      </c>
      <c r="Q532" s="116">
        <v>524.20000000000005</v>
      </c>
      <c r="R532">
        <v>22398</v>
      </c>
    </row>
    <row r="533" spans="1:18" x14ac:dyDescent="0.25">
      <c r="A533" s="170">
        <v>43663</v>
      </c>
      <c r="B533" s="116">
        <v>524.9</v>
      </c>
      <c r="C533" s="116">
        <v>519.04999999999995</v>
      </c>
      <c r="D533" s="116">
        <v>515.45000000000005</v>
      </c>
      <c r="E533" s="116">
        <v>519.1</v>
      </c>
      <c r="F533" s="116">
        <v>519.04999999999995</v>
      </c>
      <c r="G533">
        <v>3029</v>
      </c>
      <c r="H533" s="116"/>
      <c r="I533" s="116"/>
      <c r="L533" s="170">
        <v>43663</v>
      </c>
      <c r="M533" s="116">
        <v>520.1</v>
      </c>
      <c r="N533" s="116">
        <v>527.1</v>
      </c>
      <c r="O533" s="116">
        <v>515.04999999999995</v>
      </c>
      <c r="P533" s="116">
        <v>523.70000000000005</v>
      </c>
      <c r="Q533" s="116">
        <v>520.1</v>
      </c>
      <c r="R533">
        <v>26064</v>
      </c>
    </row>
    <row r="534" spans="1:18" x14ac:dyDescent="0.25">
      <c r="A534" s="170">
        <v>43664</v>
      </c>
      <c r="B534" s="116">
        <v>523.5</v>
      </c>
      <c r="C534" s="116">
        <v>520.20000000000005</v>
      </c>
      <c r="D534" s="116">
        <v>518.75</v>
      </c>
      <c r="E534" s="116">
        <v>520.45000000000005</v>
      </c>
      <c r="F534" s="116">
        <v>520.20000000000005</v>
      </c>
      <c r="G534">
        <v>143</v>
      </c>
      <c r="H534" s="116"/>
      <c r="I534" s="116"/>
      <c r="L534" s="170">
        <v>43664</v>
      </c>
      <c r="M534" s="116">
        <v>520.4</v>
      </c>
      <c r="N534" s="116">
        <v>523.65</v>
      </c>
      <c r="O534" s="116">
        <v>512.20000000000005</v>
      </c>
      <c r="P534" s="116">
        <v>512.20000000000005</v>
      </c>
      <c r="Q534" s="116">
        <v>520.4</v>
      </c>
      <c r="R534">
        <v>13646</v>
      </c>
    </row>
    <row r="535" spans="1:18" x14ac:dyDescent="0.25">
      <c r="A535" s="170">
        <v>43665</v>
      </c>
      <c r="B535" s="116">
        <v>523.15</v>
      </c>
      <c r="C535" s="116">
        <v>512.04999999999995</v>
      </c>
      <c r="D535" s="116">
        <v>494.75</v>
      </c>
      <c r="E535" s="116">
        <v>523.15</v>
      </c>
      <c r="F535" s="116">
        <v>512.04999999999995</v>
      </c>
      <c r="G535">
        <v>7299</v>
      </c>
      <c r="H535" s="116"/>
      <c r="I535" s="116"/>
      <c r="L535" s="170">
        <v>43665</v>
      </c>
      <c r="M535" s="116">
        <v>513.4</v>
      </c>
      <c r="N535" s="116">
        <v>523</v>
      </c>
      <c r="O535" s="116">
        <v>495</v>
      </c>
      <c r="P535" s="116">
        <v>520.5</v>
      </c>
      <c r="Q535" s="116">
        <v>513.4</v>
      </c>
      <c r="R535">
        <v>32886</v>
      </c>
    </row>
    <row r="536" spans="1:18" x14ac:dyDescent="0.25">
      <c r="A536" s="170">
        <v>43668</v>
      </c>
      <c r="B536" s="116">
        <v>512</v>
      </c>
      <c r="C536" s="116">
        <v>493.65</v>
      </c>
      <c r="D536" s="116">
        <v>490.7</v>
      </c>
      <c r="E536" s="116">
        <v>510</v>
      </c>
      <c r="F536" s="116">
        <v>493.65</v>
      </c>
      <c r="G536">
        <v>3918</v>
      </c>
      <c r="H536" s="116"/>
      <c r="I536" s="116"/>
      <c r="L536" s="170">
        <v>43668</v>
      </c>
      <c r="M536" s="116">
        <v>493.8</v>
      </c>
      <c r="N536" s="116">
        <v>513.45000000000005</v>
      </c>
      <c r="O536" s="116">
        <v>491.6</v>
      </c>
      <c r="P536" s="116">
        <v>513.4</v>
      </c>
      <c r="Q536" s="116">
        <v>493.8</v>
      </c>
      <c r="R536">
        <v>28853</v>
      </c>
    </row>
    <row r="537" spans="1:18" x14ac:dyDescent="0.25">
      <c r="A537" s="170">
        <v>43669</v>
      </c>
      <c r="B537" s="116">
        <v>491.75</v>
      </c>
      <c r="C537" s="116">
        <v>491.35</v>
      </c>
      <c r="D537" s="116">
        <v>486</v>
      </c>
      <c r="E537" s="116">
        <v>490.35</v>
      </c>
      <c r="F537" s="116">
        <v>491.35</v>
      </c>
      <c r="G537">
        <v>610</v>
      </c>
      <c r="H537" s="116"/>
      <c r="I537" s="116"/>
      <c r="L537" s="170">
        <v>43669</v>
      </c>
      <c r="M537" s="116">
        <v>490.1</v>
      </c>
      <c r="N537" s="116">
        <v>499.65</v>
      </c>
      <c r="O537" s="116">
        <v>485</v>
      </c>
      <c r="P537" s="116">
        <v>493.05</v>
      </c>
      <c r="Q537" s="116">
        <v>490.1</v>
      </c>
      <c r="R537">
        <v>16250</v>
      </c>
    </row>
    <row r="538" spans="1:18" x14ac:dyDescent="0.25">
      <c r="A538" s="170">
        <v>43670</v>
      </c>
      <c r="B538" s="116">
        <v>491</v>
      </c>
      <c r="C538" s="116">
        <v>485.45</v>
      </c>
      <c r="D538" s="116">
        <v>483.3</v>
      </c>
      <c r="E538" s="116">
        <v>490.95</v>
      </c>
      <c r="F538" s="116">
        <v>485.45</v>
      </c>
      <c r="G538">
        <v>1459</v>
      </c>
      <c r="H538" s="116"/>
      <c r="I538" s="116"/>
      <c r="L538" s="170">
        <v>43670</v>
      </c>
      <c r="M538" s="116">
        <v>486</v>
      </c>
      <c r="N538" s="116">
        <v>497.95</v>
      </c>
      <c r="O538" s="116">
        <v>484.5</v>
      </c>
      <c r="P538" s="116">
        <v>497.95</v>
      </c>
      <c r="Q538" s="116">
        <v>486</v>
      </c>
      <c r="R538">
        <v>9571</v>
      </c>
    </row>
    <row r="539" spans="1:18" x14ac:dyDescent="0.25">
      <c r="A539" s="170">
        <v>43671</v>
      </c>
      <c r="B539" s="116">
        <v>500.45</v>
      </c>
      <c r="C539" s="116">
        <v>491.2</v>
      </c>
      <c r="D539" s="116">
        <v>486.2</v>
      </c>
      <c r="E539" s="116">
        <v>497.8</v>
      </c>
      <c r="F539" s="116">
        <v>491.2</v>
      </c>
      <c r="G539">
        <v>652</v>
      </c>
      <c r="H539" s="116"/>
      <c r="I539" s="116"/>
      <c r="L539" s="170">
        <v>43671</v>
      </c>
      <c r="M539" s="116">
        <v>488.35</v>
      </c>
      <c r="N539" s="116">
        <v>502.5</v>
      </c>
      <c r="O539" s="116">
        <v>485</v>
      </c>
      <c r="P539" s="116">
        <v>486.95</v>
      </c>
      <c r="Q539" s="116">
        <v>488.35</v>
      </c>
      <c r="R539">
        <v>9038</v>
      </c>
    </row>
    <row r="540" spans="1:18" x14ac:dyDescent="0.25">
      <c r="A540" s="170">
        <v>43672</v>
      </c>
      <c r="B540" s="116">
        <v>495</v>
      </c>
      <c r="C540" s="116">
        <v>493.2</v>
      </c>
      <c r="D540" s="116">
        <v>493</v>
      </c>
      <c r="E540" s="116">
        <v>495</v>
      </c>
      <c r="F540" s="116">
        <v>493.2</v>
      </c>
      <c r="G540">
        <v>287</v>
      </c>
      <c r="H540" s="116"/>
      <c r="I540" s="116"/>
      <c r="L540" s="170">
        <v>43672</v>
      </c>
      <c r="M540" s="116">
        <v>495.25</v>
      </c>
      <c r="N540" s="116">
        <v>497.25</v>
      </c>
      <c r="O540" s="116">
        <v>485</v>
      </c>
      <c r="P540" s="116">
        <v>488.35</v>
      </c>
      <c r="Q540" s="116">
        <v>495.25</v>
      </c>
      <c r="R540">
        <v>6214</v>
      </c>
    </row>
    <row r="541" spans="1:18" x14ac:dyDescent="0.25">
      <c r="A541" s="170">
        <v>43675</v>
      </c>
      <c r="B541" s="116">
        <v>499.45</v>
      </c>
      <c r="C541" s="116">
        <v>486.25</v>
      </c>
      <c r="D541" s="116">
        <v>463</v>
      </c>
      <c r="E541" s="116">
        <v>478</v>
      </c>
      <c r="F541" s="116">
        <v>486.25</v>
      </c>
      <c r="G541">
        <v>414</v>
      </c>
      <c r="H541" s="116"/>
      <c r="I541" s="116"/>
      <c r="L541" s="170">
        <v>43675</v>
      </c>
      <c r="M541" s="116">
        <v>486.85</v>
      </c>
      <c r="N541" s="116">
        <v>499</v>
      </c>
      <c r="O541" s="116">
        <v>485</v>
      </c>
      <c r="P541" s="116">
        <v>495</v>
      </c>
      <c r="Q541" s="116">
        <v>486.85</v>
      </c>
      <c r="R541">
        <v>6804</v>
      </c>
    </row>
    <row r="542" spans="1:18" x14ac:dyDescent="0.25">
      <c r="A542" s="170">
        <v>43676</v>
      </c>
      <c r="B542" s="116">
        <v>490</v>
      </c>
      <c r="C542" s="116">
        <v>485.6</v>
      </c>
      <c r="D542" s="116">
        <v>483</v>
      </c>
      <c r="E542" s="116">
        <v>486.1</v>
      </c>
      <c r="F542" s="116">
        <v>485.6</v>
      </c>
      <c r="G542">
        <v>509</v>
      </c>
      <c r="H542" s="116"/>
      <c r="I542" s="116"/>
      <c r="L542" s="170">
        <v>43676</v>
      </c>
      <c r="M542" s="116">
        <v>484.85</v>
      </c>
      <c r="N542" s="116">
        <v>492.45</v>
      </c>
      <c r="O542" s="116">
        <v>483.4</v>
      </c>
      <c r="P542" s="116">
        <v>483.4</v>
      </c>
      <c r="Q542" s="116">
        <v>484.85</v>
      </c>
      <c r="R542">
        <v>8024</v>
      </c>
    </row>
    <row r="543" spans="1:18" x14ac:dyDescent="0.25">
      <c r="A543" s="170">
        <v>43677</v>
      </c>
      <c r="B543" s="116">
        <v>491.5</v>
      </c>
      <c r="C543" s="116">
        <v>489.2</v>
      </c>
      <c r="D543" s="116">
        <v>465.8</v>
      </c>
      <c r="E543" s="116">
        <v>476.25</v>
      </c>
      <c r="F543" s="116">
        <v>489.2</v>
      </c>
      <c r="G543">
        <v>436</v>
      </c>
      <c r="H543" s="116"/>
      <c r="I543" s="116"/>
      <c r="L543" s="170">
        <v>43677</v>
      </c>
      <c r="M543" s="116">
        <v>489.95</v>
      </c>
      <c r="N543" s="116">
        <v>494</v>
      </c>
      <c r="O543" s="116">
        <v>466.15</v>
      </c>
      <c r="P543" s="116">
        <v>482.7</v>
      </c>
      <c r="Q543" s="116">
        <v>489.95</v>
      </c>
      <c r="R543">
        <v>19760</v>
      </c>
    </row>
    <row r="544" spans="1:18" x14ac:dyDescent="0.25">
      <c r="A544" s="170">
        <v>43678</v>
      </c>
      <c r="B544" s="116">
        <v>488.05</v>
      </c>
      <c r="C544" s="116">
        <v>483.25</v>
      </c>
      <c r="D544" s="116">
        <v>473.1</v>
      </c>
      <c r="E544" s="116">
        <v>484.6</v>
      </c>
      <c r="F544" s="116">
        <v>483.25</v>
      </c>
      <c r="G544">
        <v>181</v>
      </c>
      <c r="H544" s="116"/>
      <c r="I544" s="116"/>
      <c r="L544" s="170">
        <v>43678</v>
      </c>
      <c r="M544" s="116">
        <v>482.85</v>
      </c>
      <c r="N544" s="116">
        <v>488.3</v>
      </c>
      <c r="O544" s="116">
        <v>471.55</v>
      </c>
      <c r="P544" s="116">
        <v>480.05</v>
      </c>
      <c r="Q544" s="116">
        <v>482.85</v>
      </c>
      <c r="R544">
        <v>9143</v>
      </c>
    </row>
    <row r="545" spans="1:18" x14ac:dyDescent="0.25">
      <c r="A545" s="170">
        <v>43679</v>
      </c>
      <c r="B545" s="116">
        <v>482.5</v>
      </c>
      <c r="C545" s="116">
        <v>481.1</v>
      </c>
      <c r="D545" s="116">
        <v>468</v>
      </c>
      <c r="E545" s="116">
        <v>472.5</v>
      </c>
      <c r="F545" s="116">
        <v>481.1</v>
      </c>
      <c r="G545">
        <v>555</v>
      </c>
      <c r="H545" s="116"/>
      <c r="I545" s="116"/>
      <c r="L545" s="170">
        <v>43679</v>
      </c>
      <c r="M545" s="116">
        <v>480.4</v>
      </c>
      <c r="N545" s="116">
        <v>483.55</v>
      </c>
      <c r="O545" s="116">
        <v>471.05</v>
      </c>
      <c r="P545" s="116">
        <v>482.25</v>
      </c>
      <c r="Q545" s="116">
        <v>480.4</v>
      </c>
      <c r="R545">
        <v>8535</v>
      </c>
    </row>
    <row r="546" spans="1:18" x14ac:dyDescent="0.25">
      <c r="A546" s="170">
        <v>43682</v>
      </c>
      <c r="B546" s="116">
        <v>482.5</v>
      </c>
      <c r="C546" s="116">
        <v>469.25</v>
      </c>
      <c r="D546" s="116">
        <v>463.4</v>
      </c>
      <c r="E546" s="116">
        <v>479</v>
      </c>
      <c r="F546" s="116">
        <v>469.25</v>
      </c>
      <c r="G546">
        <v>691</v>
      </c>
      <c r="H546" s="116"/>
      <c r="I546" s="116"/>
      <c r="L546" s="170">
        <v>43682</v>
      </c>
      <c r="M546" s="116">
        <v>471</v>
      </c>
      <c r="N546" s="116">
        <v>484</v>
      </c>
      <c r="O546" s="116">
        <v>464</v>
      </c>
      <c r="P546" s="116">
        <v>479</v>
      </c>
      <c r="Q546" s="116">
        <v>471</v>
      </c>
      <c r="R546">
        <v>20322</v>
      </c>
    </row>
    <row r="547" spans="1:18" x14ac:dyDescent="0.25">
      <c r="A547" s="170">
        <v>43683</v>
      </c>
      <c r="B547" s="116">
        <v>486.8</v>
      </c>
      <c r="C547" s="116">
        <v>483.1</v>
      </c>
      <c r="D547" s="116">
        <v>476.8</v>
      </c>
      <c r="E547" s="116">
        <v>476.8</v>
      </c>
      <c r="F547" s="116">
        <v>483.1</v>
      </c>
      <c r="G547">
        <v>994</v>
      </c>
      <c r="H547" s="116"/>
      <c r="I547" s="116"/>
      <c r="L547" s="170">
        <v>43683</v>
      </c>
      <c r="M547" s="116">
        <v>484.45</v>
      </c>
      <c r="N547" s="116">
        <v>488</v>
      </c>
      <c r="O547" s="116">
        <v>465.95</v>
      </c>
      <c r="P547" s="116">
        <v>465.95</v>
      </c>
      <c r="Q547" s="116">
        <v>484.45</v>
      </c>
      <c r="R547">
        <v>10822</v>
      </c>
    </row>
    <row r="548" spans="1:18" x14ac:dyDescent="0.25">
      <c r="A548" s="170">
        <v>43684</v>
      </c>
      <c r="B548" s="116">
        <v>487</v>
      </c>
      <c r="C548" s="116">
        <v>485.2</v>
      </c>
      <c r="D548" s="116">
        <v>477.05</v>
      </c>
      <c r="E548" s="116">
        <v>484.15</v>
      </c>
      <c r="F548" s="116">
        <v>485.2</v>
      </c>
      <c r="G548">
        <v>447</v>
      </c>
      <c r="H548" s="116"/>
      <c r="I548" s="116"/>
      <c r="L548" s="170">
        <v>43684</v>
      </c>
      <c r="M548" s="116">
        <v>484.95</v>
      </c>
      <c r="N548" s="116">
        <v>488</v>
      </c>
      <c r="O548" s="116">
        <v>475.05</v>
      </c>
      <c r="P548" s="116">
        <v>487.95</v>
      </c>
      <c r="Q548" s="116">
        <v>484.95</v>
      </c>
      <c r="R548">
        <v>4210</v>
      </c>
    </row>
    <row r="549" spans="1:18" x14ac:dyDescent="0.25">
      <c r="A549" s="170">
        <v>43685</v>
      </c>
      <c r="B549" s="116">
        <v>484.45</v>
      </c>
      <c r="C549" s="116">
        <v>481.6</v>
      </c>
      <c r="D549" s="116">
        <v>476.55</v>
      </c>
      <c r="E549" s="116">
        <v>477.9</v>
      </c>
      <c r="F549" s="116">
        <v>481.6</v>
      </c>
      <c r="G549">
        <v>184</v>
      </c>
      <c r="H549" s="116"/>
      <c r="I549" s="116"/>
      <c r="L549" s="170">
        <v>43685</v>
      </c>
      <c r="M549" s="116">
        <v>482.65</v>
      </c>
      <c r="N549" s="116">
        <v>485</v>
      </c>
      <c r="O549" s="116">
        <v>475</v>
      </c>
      <c r="P549" s="116">
        <v>476</v>
      </c>
      <c r="Q549" s="116">
        <v>482.65</v>
      </c>
      <c r="R549">
        <v>6196</v>
      </c>
    </row>
    <row r="550" spans="1:18" x14ac:dyDescent="0.25">
      <c r="A550" s="170">
        <v>43686</v>
      </c>
      <c r="B550" s="116">
        <v>499.7</v>
      </c>
      <c r="C550" s="116">
        <v>495.55</v>
      </c>
      <c r="D550" s="116">
        <v>481</v>
      </c>
      <c r="E550" s="116">
        <v>481</v>
      </c>
      <c r="F550" s="116">
        <v>495.55</v>
      </c>
      <c r="G550">
        <v>1968</v>
      </c>
      <c r="H550" s="116"/>
      <c r="I550" s="116"/>
      <c r="L550" s="170">
        <v>43686</v>
      </c>
      <c r="M550" s="116">
        <v>494.85</v>
      </c>
      <c r="N550" s="116">
        <v>499.95</v>
      </c>
      <c r="O550" s="116">
        <v>473.05</v>
      </c>
      <c r="P550" s="116">
        <v>473.05</v>
      </c>
      <c r="Q550" s="116">
        <v>494.85</v>
      </c>
      <c r="R550">
        <v>41046</v>
      </c>
    </row>
    <row r="551" spans="1:18" x14ac:dyDescent="0.25">
      <c r="A551" s="170">
        <v>43690</v>
      </c>
      <c r="B551" s="116">
        <v>516.35</v>
      </c>
      <c r="C551" s="116">
        <v>513.29999999999995</v>
      </c>
      <c r="D551" s="116">
        <v>483.2</v>
      </c>
      <c r="E551" s="116">
        <v>509.95</v>
      </c>
      <c r="F551" s="116">
        <v>513.29999999999995</v>
      </c>
      <c r="G551">
        <v>2668</v>
      </c>
      <c r="H551" s="116"/>
      <c r="I551" s="116"/>
      <c r="L551" s="170">
        <v>43690</v>
      </c>
      <c r="M551" s="116">
        <v>514.04999999999995</v>
      </c>
      <c r="N551" s="116">
        <v>517.5</v>
      </c>
      <c r="O551" s="116">
        <v>474</v>
      </c>
      <c r="P551" s="116">
        <v>496.8</v>
      </c>
      <c r="Q551" s="116">
        <v>514.04999999999995</v>
      </c>
      <c r="R551">
        <v>25809</v>
      </c>
    </row>
    <row r="552" spans="1:18" x14ac:dyDescent="0.25">
      <c r="A552" s="170">
        <v>43691</v>
      </c>
      <c r="B552" s="116">
        <v>527.70000000000005</v>
      </c>
      <c r="C552" s="116">
        <v>525.29999999999995</v>
      </c>
      <c r="D552" s="116">
        <v>514.45000000000005</v>
      </c>
      <c r="E552" s="116">
        <v>514.45000000000005</v>
      </c>
      <c r="F552" s="116">
        <v>525.29999999999995</v>
      </c>
      <c r="G552">
        <v>1981</v>
      </c>
      <c r="H552" s="116"/>
      <c r="I552" s="116"/>
      <c r="L552" s="170">
        <v>43691</v>
      </c>
      <c r="M552" s="116">
        <v>527.54999999999995</v>
      </c>
      <c r="N552" s="116">
        <v>529.45000000000005</v>
      </c>
      <c r="O552" s="116">
        <v>511.85</v>
      </c>
      <c r="P552" s="116">
        <v>513.95000000000005</v>
      </c>
      <c r="Q552" s="116">
        <v>527.54999999999995</v>
      </c>
      <c r="R552">
        <v>19716</v>
      </c>
    </row>
    <row r="553" spans="1:18" x14ac:dyDescent="0.25">
      <c r="A553" s="170">
        <v>43693</v>
      </c>
      <c r="B553" s="116">
        <v>526.65</v>
      </c>
      <c r="C553" s="116">
        <v>521.70000000000005</v>
      </c>
      <c r="D553" s="116">
        <v>516.85</v>
      </c>
      <c r="E553" s="116">
        <v>519.35</v>
      </c>
      <c r="F553" s="116">
        <v>521.70000000000005</v>
      </c>
      <c r="G553">
        <v>3055</v>
      </c>
      <c r="H553" s="116"/>
      <c r="I553" s="116"/>
      <c r="L553" s="170">
        <v>43693</v>
      </c>
      <c r="M553" s="116">
        <v>520.29999999999995</v>
      </c>
      <c r="N553" s="116">
        <v>529.9</v>
      </c>
      <c r="O553" s="116">
        <v>516.15</v>
      </c>
      <c r="P553" s="116">
        <v>527</v>
      </c>
      <c r="Q553" s="116">
        <v>520.29999999999995</v>
      </c>
      <c r="R553">
        <v>8246</v>
      </c>
    </row>
    <row r="554" spans="1:18" x14ac:dyDescent="0.25">
      <c r="A554" s="170">
        <v>43696</v>
      </c>
      <c r="B554" s="116">
        <v>522.45000000000005</v>
      </c>
      <c r="C554" s="116">
        <v>516.79999999999995</v>
      </c>
      <c r="D554" s="116">
        <v>515</v>
      </c>
      <c r="E554" s="116">
        <v>519.04999999999995</v>
      </c>
      <c r="F554" s="116">
        <v>516.79999999999995</v>
      </c>
      <c r="G554">
        <v>1158</v>
      </c>
      <c r="H554" s="116"/>
      <c r="I554" s="116"/>
      <c r="L554" s="170">
        <v>43696</v>
      </c>
      <c r="M554" s="116">
        <v>515.29999999999995</v>
      </c>
      <c r="N554" s="116">
        <v>526.95000000000005</v>
      </c>
      <c r="O554" s="116">
        <v>512.04999999999995</v>
      </c>
      <c r="P554" s="116">
        <v>524.95000000000005</v>
      </c>
      <c r="Q554" s="116">
        <v>515.29999999999995</v>
      </c>
      <c r="R554">
        <v>5922</v>
      </c>
    </row>
    <row r="555" spans="1:18" x14ac:dyDescent="0.25">
      <c r="A555" s="170">
        <v>43697</v>
      </c>
      <c r="B555" s="116">
        <v>519.4</v>
      </c>
      <c r="C555" s="116">
        <v>505.25</v>
      </c>
      <c r="D555" s="116">
        <v>501</v>
      </c>
      <c r="E555" s="116">
        <v>519.29999999999995</v>
      </c>
      <c r="F555" s="116">
        <v>505.25</v>
      </c>
      <c r="G555">
        <v>1956</v>
      </c>
      <c r="H555" s="116"/>
      <c r="I555" s="116"/>
      <c r="L555" s="170">
        <v>43697</v>
      </c>
      <c r="M555" s="116">
        <v>505.2</v>
      </c>
      <c r="N555" s="116">
        <v>520.75</v>
      </c>
      <c r="O555" s="116">
        <v>501.1</v>
      </c>
      <c r="P555" s="116">
        <v>511</v>
      </c>
      <c r="Q555" s="116">
        <v>505.2</v>
      </c>
      <c r="R555">
        <v>7626</v>
      </c>
    </row>
    <row r="556" spans="1:18" x14ac:dyDescent="0.25">
      <c r="A556" s="170">
        <v>43698</v>
      </c>
      <c r="B556" s="116">
        <v>513.04999999999995</v>
      </c>
      <c r="C556" s="116">
        <v>510.55</v>
      </c>
      <c r="D556" s="116">
        <v>487.15</v>
      </c>
      <c r="E556" s="116">
        <v>500.25</v>
      </c>
      <c r="F556" s="116">
        <v>510.55</v>
      </c>
      <c r="G556">
        <v>4520</v>
      </c>
      <c r="H556" s="116"/>
      <c r="I556" s="116"/>
      <c r="L556" s="170">
        <v>43698</v>
      </c>
      <c r="M556" s="116">
        <v>510.9</v>
      </c>
      <c r="N556" s="116">
        <v>513.29999999999995</v>
      </c>
      <c r="O556" s="116">
        <v>488</v>
      </c>
      <c r="P556" s="116">
        <v>505.2</v>
      </c>
      <c r="Q556" s="116">
        <v>510.9</v>
      </c>
      <c r="R556">
        <v>12936</v>
      </c>
    </row>
    <row r="557" spans="1:18" x14ac:dyDescent="0.25">
      <c r="A557" s="170">
        <v>43699</v>
      </c>
      <c r="B557" s="116">
        <v>502.8</v>
      </c>
      <c r="C557" s="116">
        <v>496.25</v>
      </c>
      <c r="D557" s="116">
        <v>484.75</v>
      </c>
      <c r="E557" s="116">
        <v>500</v>
      </c>
      <c r="F557" s="116">
        <v>496.25</v>
      </c>
      <c r="G557">
        <v>961</v>
      </c>
      <c r="H557" s="116"/>
      <c r="I557" s="116"/>
      <c r="L557" s="170">
        <v>43699</v>
      </c>
      <c r="M557" s="116">
        <v>496.4</v>
      </c>
      <c r="N557" s="116">
        <v>512</v>
      </c>
      <c r="O557" s="116">
        <v>485</v>
      </c>
      <c r="P557" s="116">
        <v>512</v>
      </c>
      <c r="Q557" s="116">
        <v>496.4</v>
      </c>
      <c r="R557">
        <v>20750</v>
      </c>
    </row>
    <row r="558" spans="1:18" x14ac:dyDescent="0.25">
      <c r="A558" s="170">
        <v>43700</v>
      </c>
      <c r="B558" s="116">
        <v>500</v>
      </c>
      <c r="C558" s="116">
        <v>498.95</v>
      </c>
      <c r="D558" s="116">
        <v>484.3</v>
      </c>
      <c r="E558" s="116">
        <v>494.3</v>
      </c>
      <c r="F558" s="116">
        <v>498.95</v>
      </c>
      <c r="G558">
        <v>2427</v>
      </c>
      <c r="H558" s="116"/>
      <c r="I558" s="116"/>
      <c r="L558" s="170">
        <v>43700</v>
      </c>
      <c r="M558" s="116">
        <v>498.35</v>
      </c>
      <c r="N558" s="116">
        <v>502.5</v>
      </c>
      <c r="O558" s="116">
        <v>478</v>
      </c>
      <c r="P558" s="116">
        <v>495.85</v>
      </c>
      <c r="Q558" s="116">
        <v>498.35</v>
      </c>
      <c r="R558">
        <v>17968</v>
      </c>
    </row>
    <row r="559" spans="1:18" x14ac:dyDescent="0.25">
      <c r="A559" s="170">
        <v>43703</v>
      </c>
      <c r="B559" s="116">
        <v>513.95000000000005</v>
      </c>
      <c r="C559" s="116">
        <v>509.6</v>
      </c>
      <c r="D559" s="116">
        <v>485.5</v>
      </c>
      <c r="E559" s="116">
        <v>505.6</v>
      </c>
      <c r="F559" s="116">
        <v>509.6</v>
      </c>
      <c r="G559">
        <v>818</v>
      </c>
      <c r="H559" s="116"/>
      <c r="I559" s="116"/>
      <c r="L559" s="170">
        <v>43703</v>
      </c>
      <c r="M559" s="116">
        <v>510.05</v>
      </c>
      <c r="N559" s="116">
        <v>514.9</v>
      </c>
      <c r="O559" s="116">
        <v>484.9</v>
      </c>
      <c r="P559" s="116">
        <v>500.2</v>
      </c>
      <c r="Q559" s="116">
        <v>510.05</v>
      </c>
      <c r="R559">
        <v>18398</v>
      </c>
    </row>
    <row r="560" spans="1:18" x14ac:dyDescent="0.25">
      <c r="A560" s="170">
        <v>43704</v>
      </c>
      <c r="B560" s="116">
        <v>516.79999999999995</v>
      </c>
      <c r="C560" s="116">
        <v>510.4</v>
      </c>
      <c r="D560" s="116">
        <v>506.1</v>
      </c>
      <c r="E560" s="116">
        <v>509.8</v>
      </c>
      <c r="F560" s="116">
        <v>510.4</v>
      </c>
      <c r="G560">
        <v>1586</v>
      </c>
      <c r="H560" s="116"/>
      <c r="I560" s="116"/>
      <c r="L560" s="170">
        <v>43704</v>
      </c>
      <c r="M560" s="116">
        <v>509.3</v>
      </c>
      <c r="N560" s="116">
        <v>518.35</v>
      </c>
      <c r="O560" s="116">
        <v>500.75</v>
      </c>
      <c r="P560" s="116">
        <v>500.75</v>
      </c>
      <c r="Q560" s="116">
        <v>509.3</v>
      </c>
      <c r="R560">
        <v>16082</v>
      </c>
    </row>
    <row r="561" spans="1:18" x14ac:dyDescent="0.25">
      <c r="A561" s="170">
        <v>43705</v>
      </c>
      <c r="B561" s="116">
        <v>510</v>
      </c>
      <c r="C561" s="116">
        <v>496</v>
      </c>
      <c r="D561" s="116">
        <v>489.15</v>
      </c>
      <c r="E561" s="116">
        <v>505.85</v>
      </c>
      <c r="F561" s="116">
        <v>496</v>
      </c>
      <c r="G561">
        <v>838</v>
      </c>
      <c r="H561" s="116"/>
      <c r="I561" s="116"/>
      <c r="L561" s="170">
        <v>43705</v>
      </c>
      <c r="M561" s="116">
        <v>495.15</v>
      </c>
      <c r="N561" s="116">
        <v>510.8</v>
      </c>
      <c r="O561" s="116">
        <v>494</v>
      </c>
      <c r="P561" s="116">
        <v>507</v>
      </c>
      <c r="Q561" s="116">
        <v>495.15</v>
      </c>
      <c r="R561">
        <v>7910</v>
      </c>
    </row>
    <row r="562" spans="1:18" x14ac:dyDescent="0.25">
      <c r="A562" s="170">
        <v>43706</v>
      </c>
      <c r="B562" s="116">
        <v>508.5</v>
      </c>
      <c r="C562" s="116">
        <v>500.2</v>
      </c>
      <c r="D562" s="116">
        <v>496.6</v>
      </c>
      <c r="E562" s="116">
        <v>497.25</v>
      </c>
      <c r="F562" s="116">
        <v>500.2</v>
      </c>
      <c r="G562">
        <v>8768</v>
      </c>
      <c r="H562" s="116"/>
      <c r="I562" s="116"/>
      <c r="L562" s="170">
        <v>43706</v>
      </c>
      <c r="M562" s="116">
        <v>499.35</v>
      </c>
      <c r="N562" s="116">
        <v>505.75</v>
      </c>
      <c r="O562" s="116">
        <v>490.05</v>
      </c>
      <c r="P562" s="116">
        <v>490.05</v>
      </c>
      <c r="Q562" s="116">
        <v>499.35</v>
      </c>
      <c r="R562">
        <v>27516</v>
      </c>
    </row>
    <row r="563" spans="1:18" x14ac:dyDescent="0.25">
      <c r="A563" s="170">
        <v>43707</v>
      </c>
      <c r="B563" s="116">
        <v>502</v>
      </c>
      <c r="C563" s="116">
        <v>494.95</v>
      </c>
      <c r="D563" s="116">
        <v>492.5</v>
      </c>
      <c r="E563" s="116">
        <v>502</v>
      </c>
      <c r="F563" s="116">
        <v>494.95</v>
      </c>
      <c r="G563">
        <v>440</v>
      </c>
      <c r="H563" s="116"/>
      <c r="I563" s="116"/>
      <c r="L563" s="170">
        <v>43707</v>
      </c>
      <c r="M563" s="116">
        <v>495.55</v>
      </c>
      <c r="N563" s="116">
        <v>503.7</v>
      </c>
      <c r="O563" s="116">
        <v>493</v>
      </c>
      <c r="P563" s="116">
        <v>501.6</v>
      </c>
      <c r="Q563" s="116">
        <v>495.55</v>
      </c>
      <c r="R563">
        <v>6447</v>
      </c>
    </row>
    <row r="564" spans="1:18" x14ac:dyDescent="0.25">
      <c r="A564" s="170">
        <v>43711</v>
      </c>
      <c r="B564" s="116">
        <v>497</v>
      </c>
      <c r="C564" s="116">
        <v>490.1</v>
      </c>
      <c r="D564" s="116">
        <v>486.85</v>
      </c>
      <c r="E564" s="116">
        <v>495.6</v>
      </c>
      <c r="F564" s="116">
        <v>490.1</v>
      </c>
      <c r="G564">
        <v>9309</v>
      </c>
      <c r="H564" s="116"/>
      <c r="I564" s="116"/>
      <c r="L564" s="170">
        <v>43711</v>
      </c>
      <c r="M564" s="116">
        <v>489.8</v>
      </c>
      <c r="N564" s="116">
        <v>495.55</v>
      </c>
      <c r="O564" s="116">
        <v>486.5</v>
      </c>
      <c r="P564" s="116">
        <v>492</v>
      </c>
      <c r="Q564" s="116">
        <v>489.8</v>
      </c>
      <c r="R564">
        <v>9505</v>
      </c>
    </row>
    <row r="565" spans="1:18" x14ac:dyDescent="0.25">
      <c r="A565" s="170">
        <v>43712</v>
      </c>
      <c r="B565" s="116">
        <v>511.4</v>
      </c>
      <c r="C565" s="116">
        <v>508.75</v>
      </c>
      <c r="D565" s="116">
        <v>487.75</v>
      </c>
      <c r="E565" s="116">
        <v>487.75</v>
      </c>
      <c r="F565" s="116">
        <v>508.75</v>
      </c>
      <c r="G565">
        <v>4452</v>
      </c>
      <c r="H565" s="116"/>
      <c r="I565" s="116"/>
      <c r="L565" s="170">
        <v>43712</v>
      </c>
      <c r="M565" s="116">
        <v>507.8</v>
      </c>
      <c r="N565" s="116">
        <v>511.3</v>
      </c>
      <c r="O565" s="116">
        <v>487.1</v>
      </c>
      <c r="P565" s="116">
        <v>489.9</v>
      </c>
      <c r="Q565" s="116">
        <v>507.8</v>
      </c>
      <c r="R565">
        <v>13684</v>
      </c>
    </row>
    <row r="566" spans="1:18" x14ac:dyDescent="0.25">
      <c r="A566" s="170">
        <v>43713</v>
      </c>
      <c r="B566" s="116">
        <v>513.20000000000005</v>
      </c>
      <c r="C566" s="116">
        <v>509.25</v>
      </c>
      <c r="D566" s="116">
        <v>501.6</v>
      </c>
      <c r="E566" s="116">
        <v>505</v>
      </c>
      <c r="F566" s="116">
        <v>509.25</v>
      </c>
      <c r="G566">
        <v>487</v>
      </c>
      <c r="H566" s="116"/>
      <c r="I566" s="116"/>
      <c r="L566" s="170">
        <v>43713</v>
      </c>
      <c r="M566" s="116">
        <v>510.6</v>
      </c>
      <c r="N566" s="116">
        <v>515</v>
      </c>
      <c r="O566" s="116">
        <v>502</v>
      </c>
      <c r="P566" s="116">
        <v>511.75</v>
      </c>
      <c r="Q566" s="116">
        <v>510.6</v>
      </c>
      <c r="R566">
        <v>5104</v>
      </c>
    </row>
    <row r="567" spans="1:18" x14ac:dyDescent="0.25">
      <c r="A567" s="170">
        <v>43714</v>
      </c>
      <c r="B567" s="116">
        <v>527</v>
      </c>
      <c r="C567" s="116">
        <v>521.29999999999995</v>
      </c>
      <c r="D567" s="116">
        <v>509.25</v>
      </c>
      <c r="E567" s="116">
        <v>509.25</v>
      </c>
      <c r="F567" s="116">
        <v>521.29999999999995</v>
      </c>
      <c r="G567">
        <v>5339</v>
      </c>
      <c r="H567" s="116"/>
      <c r="I567" s="116"/>
      <c r="L567" s="170">
        <v>43714</v>
      </c>
      <c r="M567" s="116">
        <v>521.15</v>
      </c>
      <c r="N567" s="116">
        <v>529.75</v>
      </c>
      <c r="O567" s="116">
        <v>513.9</v>
      </c>
      <c r="P567" s="116">
        <v>513.9</v>
      </c>
      <c r="Q567" s="116">
        <v>521.15</v>
      </c>
      <c r="R567">
        <v>29919</v>
      </c>
    </row>
    <row r="568" spans="1:18" x14ac:dyDescent="0.25">
      <c r="A568" s="170">
        <v>43717</v>
      </c>
      <c r="B568" s="116">
        <v>525.9</v>
      </c>
      <c r="C568" s="116">
        <v>523.4</v>
      </c>
      <c r="D568" s="116">
        <v>521</v>
      </c>
      <c r="E568" s="116">
        <v>525.85</v>
      </c>
      <c r="F568" s="116">
        <v>523.4</v>
      </c>
      <c r="G568">
        <v>669</v>
      </c>
      <c r="H568" s="116"/>
      <c r="I568" s="116"/>
      <c r="L568" s="170">
        <v>43717</v>
      </c>
      <c r="M568" s="116">
        <v>521.20000000000005</v>
      </c>
      <c r="N568" s="116">
        <v>526</v>
      </c>
      <c r="O568" s="116">
        <v>516</v>
      </c>
      <c r="P568" s="116">
        <v>516</v>
      </c>
      <c r="Q568" s="116">
        <v>521.20000000000005</v>
      </c>
      <c r="R568">
        <v>5432</v>
      </c>
    </row>
    <row r="569" spans="1:18" x14ac:dyDescent="0.25">
      <c r="A569" s="170">
        <v>43719</v>
      </c>
      <c r="B569" s="116">
        <v>524.95000000000005</v>
      </c>
      <c r="C569" s="116">
        <v>515.95000000000005</v>
      </c>
      <c r="D569" s="116">
        <v>511.4</v>
      </c>
      <c r="E569" s="116">
        <v>522.75</v>
      </c>
      <c r="F569" s="116">
        <v>515.95000000000005</v>
      </c>
      <c r="G569">
        <v>524</v>
      </c>
      <c r="H569" s="116"/>
      <c r="I569" s="116"/>
      <c r="L569" s="170">
        <v>43719</v>
      </c>
      <c r="M569" s="116">
        <v>517.79999999999995</v>
      </c>
      <c r="N569" s="116">
        <v>524.9</v>
      </c>
      <c r="O569" s="116">
        <v>512</v>
      </c>
      <c r="P569" s="116">
        <v>524</v>
      </c>
      <c r="Q569" s="116">
        <v>517.79999999999995</v>
      </c>
      <c r="R569">
        <v>5492</v>
      </c>
    </row>
    <row r="570" spans="1:18" x14ac:dyDescent="0.25">
      <c r="A570" s="170">
        <v>43720</v>
      </c>
      <c r="B570" s="116">
        <v>531.20000000000005</v>
      </c>
      <c r="C570" s="116">
        <v>523.54999999999995</v>
      </c>
      <c r="D570" s="116">
        <v>512.4</v>
      </c>
      <c r="E570" s="116">
        <v>520.54999999999995</v>
      </c>
      <c r="F570" s="116">
        <v>523.54999999999995</v>
      </c>
      <c r="G570">
        <v>1163</v>
      </c>
      <c r="H570" s="116"/>
      <c r="I570" s="116"/>
      <c r="L570" s="170">
        <v>43720</v>
      </c>
      <c r="M570" s="116">
        <v>524.25</v>
      </c>
      <c r="N570" s="116">
        <v>530</v>
      </c>
      <c r="O570" s="116">
        <v>512.15</v>
      </c>
      <c r="P570" s="116">
        <v>525.75</v>
      </c>
      <c r="Q570" s="116">
        <v>524.25</v>
      </c>
      <c r="R570">
        <v>13445</v>
      </c>
    </row>
    <row r="571" spans="1:18" x14ac:dyDescent="0.25">
      <c r="A571" s="170">
        <v>43721</v>
      </c>
      <c r="B571" s="116">
        <v>522.4</v>
      </c>
      <c r="C571" s="116">
        <v>511.35</v>
      </c>
      <c r="D571" s="116">
        <v>506.1</v>
      </c>
      <c r="E571" s="116">
        <v>522</v>
      </c>
      <c r="F571" s="116">
        <v>511.35</v>
      </c>
      <c r="G571">
        <v>497</v>
      </c>
      <c r="H571" s="116"/>
      <c r="I571" s="116"/>
      <c r="L571" s="170">
        <v>43721</v>
      </c>
      <c r="M571" s="116">
        <v>512.1</v>
      </c>
      <c r="N571" s="116">
        <v>525</v>
      </c>
      <c r="O571" s="116">
        <v>506.25</v>
      </c>
      <c r="P571" s="116">
        <v>515.04999999999995</v>
      </c>
      <c r="Q571" s="116">
        <v>512.1</v>
      </c>
      <c r="R571">
        <v>21399</v>
      </c>
    </row>
    <row r="572" spans="1:18" x14ac:dyDescent="0.25">
      <c r="A572" s="170">
        <v>43724</v>
      </c>
      <c r="B572" s="116">
        <v>518.95000000000005</v>
      </c>
      <c r="C572" s="116">
        <v>511.25</v>
      </c>
      <c r="D572" s="116">
        <v>511.15</v>
      </c>
      <c r="E572" s="116">
        <v>518.95000000000005</v>
      </c>
      <c r="F572" s="116">
        <v>511.25</v>
      </c>
      <c r="G572">
        <v>122</v>
      </c>
      <c r="H572" s="116"/>
      <c r="I572" s="116"/>
      <c r="L572" s="170">
        <v>43724</v>
      </c>
      <c r="M572" s="116">
        <v>510.65</v>
      </c>
      <c r="N572" s="116">
        <v>523.04999999999995</v>
      </c>
      <c r="O572" s="116">
        <v>508.25</v>
      </c>
      <c r="P572" s="116">
        <v>523.04999999999995</v>
      </c>
      <c r="Q572" s="116">
        <v>510.65</v>
      </c>
      <c r="R572">
        <v>3048</v>
      </c>
    </row>
    <row r="573" spans="1:18" x14ac:dyDescent="0.25">
      <c r="A573" s="170">
        <v>43725</v>
      </c>
      <c r="B573" s="116">
        <v>512.20000000000005</v>
      </c>
      <c r="C573" s="116">
        <v>497.25</v>
      </c>
      <c r="D573" s="116">
        <v>489.15</v>
      </c>
      <c r="E573" s="116">
        <v>511.25</v>
      </c>
      <c r="F573" s="116">
        <v>497.25</v>
      </c>
      <c r="G573">
        <v>1874</v>
      </c>
      <c r="H573" s="116"/>
      <c r="I573" s="116"/>
      <c r="L573" s="170">
        <v>43725</v>
      </c>
      <c r="M573" s="116">
        <v>492</v>
      </c>
      <c r="N573" s="116">
        <v>513.85</v>
      </c>
      <c r="O573" s="116">
        <v>487.15</v>
      </c>
      <c r="P573" s="116">
        <v>513.29999999999995</v>
      </c>
      <c r="Q573" s="116">
        <v>492</v>
      </c>
      <c r="R573">
        <v>14734</v>
      </c>
    </row>
    <row r="574" spans="1:18" x14ac:dyDescent="0.25">
      <c r="A574" s="170">
        <v>43726</v>
      </c>
      <c r="B574" s="116">
        <v>500.5</v>
      </c>
      <c r="C574" s="116">
        <v>496.85</v>
      </c>
      <c r="D574" s="116">
        <v>491</v>
      </c>
      <c r="E574" s="116">
        <v>491</v>
      </c>
      <c r="F574" s="116">
        <v>496.85</v>
      </c>
      <c r="G574">
        <v>453</v>
      </c>
      <c r="H574" s="116"/>
      <c r="I574" s="116"/>
      <c r="L574" s="170">
        <v>43726</v>
      </c>
      <c r="M574" s="116">
        <v>498.1</v>
      </c>
      <c r="N574" s="116">
        <v>504.9</v>
      </c>
      <c r="O574" s="116">
        <v>492</v>
      </c>
      <c r="P574" s="116">
        <v>496.45</v>
      </c>
      <c r="Q574" s="116">
        <v>498.1</v>
      </c>
      <c r="R574">
        <v>13899</v>
      </c>
    </row>
    <row r="575" spans="1:18" x14ac:dyDescent="0.25">
      <c r="A575" s="170">
        <v>43727</v>
      </c>
      <c r="B575" s="116">
        <v>500</v>
      </c>
      <c r="C575" s="116">
        <v>492.75</v>
      </c>
      <c r="D575" s="116">
        <v>491.3</v>
      </c>
      <c r="E575" s="116">
        <v>499.85</v>
      </c>
      <c r="F575" s="116">
        <v>492.75</v>
      </c>
      <c r="G575">
        <v>797</v>
      </c>
      <c r="H575" s="116"/>
      <c r="I575" s="116"/>
      <c r="L575" s="170">
        <v>43727</v>
      </c>
      <c r="M575" s="116">
        <v>492.2</v>
      </c>
      <c r="N575" s="116">
        <v>506</v>
      </c>
      <c r="O575" s="116">
        <v>491.5</v>
      </c>
      <c r="P575" s="116">
        <v>506</v>
      </c>
      <c r="Q575" s="116">
        <v>492.2</v>
      </c>
      <c r="R575">
        <v>3321</v>
      </c>
    </row>
    <row r="576" spans="1:18" x14ac:dyDescent="0.25">
      <c r="A576" s="170">
        <v>43728</v>
      </c>
      <c r="B576" s="116">
        <v>520</v>
      </c>
      <c r="C576" s="116">
        <v>512.85</v>
      </c>
      <c r="D576" s="116">
        <v>485</v>
      </c>
      <c r="E576" s="116">
        <v>487.45</v>
      </c>
      <c r="F576" s="116">
        <v>512.85</v>
      </c>
      <c r="G576">
        <v>39217</v>
      </c>
      <c r="H576" s="116"/>
      <c r="I576" s="116"/>
      <c r="L576" s="170">
        <v>43728</v>
      </c>
      <c r="M576" s="116">
        <v>513.35</v>
      </c>
      <c r="N576" s="116">
        <v>519.70000000000005</v>
      </c>
      <c r="O576" s="116">
        <v>484.95</v>
      </c>
      <c r="P576" s="116">
        <v>492.5</v>
      </c>
      <c r="Q576" s="116">
        <v>513.35</v>
      </c>
      <c r="R576">
        <v>24456</v>
      </c>
    </row>
    <row r="577" spans="1:18" x14ac:dyDescent="0.25">
      <c r="A577" s="170">
        <v>43731</v>
      </c>
      <c r="B577" s="116">
        <v>534.95000000000005</v>
      </c>
      <c r="C577" s="116">
        <v>530.15</v>
      </c>
      <c r="D577" s="116">
        <v>513.04999999999995</v>
      </c>
      <c r="E577" s="116">
        <v>534.95000000000005</v>
      </c>
      <c r="F577" s="116">
        <v>530.15</v>
      </c>
      <c r="G577">
        <v>808</v>
      </c>
      <c r="H577" s="116"/>
      <c r="I577" s="116"/>
      <c r="L577" s="170">
        <v>43731</v>
      </c>
      <c r="M577" s="116">
        <v>531.70000000000005</v>
      </c>
      <c r="N577" s="116">
        <v>534.70000000000005</v>
      </c>
      <c r="O577" s="116">
        <v>510.4</v>
      </c>
      <c r="P577" s="116">
        <v>534</v>
      </c>
      <c r="Q577" s="116">
        <v>531.70000000000005</v>
      </c>
      <c r="R577">
        <v>32719</v>
      </c>
    </row>
    <row r="578" spans="1:18" x14ac:dyDescent="0.25">
      <c r="A578" s="170">
        <v>43732</v>
      </c>
      <c r="B578" s="116">
        <v>547</v>
      </c>
      <c r="C578" s="116">
        <v>543.9</v>
      </c>
      <c r="D578" s="116">
        <v>535</v>
      </c>
      <c r="E578" s="116">
        <v>535</v>
      </c>
      <c r="F578" s="116">
        <v>543.9</v>
      </c>
      <c r="G578">
        <v>2906</v>
      </c>
      <c r="H578" s="116"/>
      <c r="I578" s="116"/>
      <c r="L578" s="170">
        <v>43732</v>
      </c>
      <c r="M578" s="116">
        <v>545.5</v>
      </c>
      <c r="N578" s="116">
        <v>549</v>
      </c>
      <c r="O578" s="116">
        <v>528.04999999999995</v>
      </c>
      <c r="P578" s="116">
        <v>534.79999999999995</v>
      </c>
      <c r="Q578" s="116">
        <v>545.5</v>
      </c>
      <c r="R578">
        <v>42678</v>
      </c>
    </row>
    <row r="579" spans="1:18" x14ac:dyDescent="0.25">
      <c r="A579" s="170">
        <v>43733</v>
      </c>
      <c r="B579" s="116">
        <v>555</v>
      </c>
      <c r="C579" s="116">
        <v>548.54999999999995</v>
      </c>
      <c r="D579" s="116">
        <v>546.20000000000005</v>
      </c>
      <c r="E579" s="116">
        <v>549</v>
      </c>
      <c r="F579" s="116">
        <v>548.54999999999995</v>
      </c>
      <c r="G579">
        <v>3439</v>
      </c>
      <c r="H579" s="116"/>
      <c r="I579" s="116"/>
      <c r="L579" s="170">
        <v>43733</v>
      </c>
      <c r="M579" s="116">
        <v>548.4</v>
      </c>
      <c r="N579" s="116">
        <v>554.75</v>
      </c>
      <c r="O579" s="116">
        <v>546.5</v>
      </c>
      <c r="P579" s="116">
        <v>547.5</v>
      </c>
      <c r="Q579" s="116">
        <v>548.4</v>
      </c>
      <c r="R579">
        <v>31772</v>
      </c>
    </row>
    <row r="580" spans="1:18" x14ac:dyDescent="0.25">
      <c r="A580" s="170">
        <v>43734</v>
      </c>
      <c r="B580" s="116">
        <v>574.70000000000005</v>
      </c>
      <c r="C580" s="116">
        <v>569.6</v>
      </c>
      <c r="D580" s="116">
        <v>554</v>
      </c>
      <c r="E580" s="116">
        <v>554</v>
      </c>
      <c r="F580" s="116">
        <v>569.6</v>
      </c>
      <c r="G580">
        <v>4806</v>
      </c>
      <c r="H580" s="116"/>
      <c r="I580" s="116"/>
      <c r="L580" s="170">
        <v>43734</v>
      </c>
      <c r="M580" s="116">
        <v>570.15</v>
      </c>
      <c r="N580" s="116">
        <v>574.9</v>
      </c>
      <c r="O580" s="116">
        <v>545.1</v>
      </c>
      <c r="P580" s="116">
        <v>545.1</v>
      </c>
      <c r="Q580" s="116">
        <v>570.15</v>
      </c>
      <c r="R580">
        <v>50944</v>
      </c>
    </row>
    <row r="581" spans="1:18" x14ac:dyDescent="0.25">
      <c r="A581" s="170">
        <v>43735</v>
      </c>
      <c r="B581" s="116">
        <v>576.9</v>
      </c>
      <c r="C581" s="116">
        <v>564.70000000000005</v>
      </c>
      <c r="D581" s="116">
        <v>561.6</v>
      </c>
      <c r="E581" s="116">
        <v>570</v>
      </c>
      <c r="F581" s="116">
        <v>564.70000000000005</v>
      </c>
      <c r="G581">
        <v>1070</v>
      </c>
      <c r="H581" s="116"/>
      <c r="I581" s="116"/>
      <c r="L581" s="170">
        <v>43735</v>
      </c>
      <c r="M581" s="116">
        <v>565</v>
      </c>
      <c r="N581" s="116">
        <v>576.85</v>
      </c>
      <c r="O581" s="116">
        <v>561</v>
      </c>
      <c r="P581" s="116">
        <v>574.4</v>
      </c>
      <c r="Q581" s="116">
        <v>565</v>
      </c>
      <c r="R581">
        <v>22869</v>
      </c>
    </row>
    <row r="582" spans="1:18" x14ac:dyDescent="0.25">
      <c r="A582" s="170">
        <v>43738</v>
      </c>
      <c r="B582" s="116">
        <v>570</v>
      </c>
      <c r="C582" s="116">
        <v>564.5</v>
      </c>
      <c r="D582" s="116">
        <v>557.85</v>
      </c>
      <c r="E582" s="116">
        <v>564.04999999999995</v>
      </c>
      <c r="F582" s="116">
        <v>564.5</v>
      </c>
      <c r="G582">
        <v>853</v>
      </c>
      <c r="H582" s="116"/>
      <c r="I582" s="116"/>
      <c r="L582" s="170">
        <v>43738</v>
      </c>
      <c r="M582" s="116">
        <v>564.75</v>
      </c>
      <c r="N582" s="116">
        <v>572</v>
      </c>
      <c r="O582" s="116">
        <v>556.5</v>
      </c>
      <c r="P582" s="116">
        <v>567</v>
      </c>
      <c r="Q582" s="116">
        <v>564.75</v>
      </c>
      <c r="R582">
        <v>11239</v>
      </c>
    </row>
    <row r="583" spans="1:18" x14ac:dyDescent="0.25">
      <c r="A583" s="170">
        <v>43739</v>
      </c>
      <c r="B583" s="116">
        <v>576</v>
      </c>
      <c r="C583" s="116">
        <v>553.15</v>
      </c>
      <c r="D583" s="116">
        <v>550.04999999999995</v>
      </c>
      <c r="E583" s="116">
        <v>561.15</v>
      </c>
      <c r="F583" s="116">
        <v>553.15</v>
      </c>
      <c r="G583">
        <v>323</v>
      </c>
      <c r="H583" s="116"/>
      <c r="I583" s="116"/>
      <c r="L583" s="170">
        <v>43739</v>
      </c>
      <c r="M583" s="116">
        <v>551.25</v>
      </c>
      <c r="N583" s="116">
        <v>571.9</v>
      </c>
      <c r="O583" s="116">
        <v>551</v>
      </c>
      <c r="P583" s="116">
        <v>571.9</v>
      </c>
      <c r="Q583" s="116">
        <v>551.25</v>
      </c>
      <c r="R583">
        <v>11676</v>
      </c>
    </row>
    <row r="584" spans="1:18" x14ac:dyDescent="0.25">
      <c r="A584" s="170">
        <v>43741</v>
      </c>
      <c r="B584" s="116">
        <v>561.5</v>
      </c>
      <c r="C584" s="116">
        <v>546.45000000000005</v>
      </c>
      <c r="D584" s="116">
        <v>545.35</v>
      </c>
      <c r="E584" s="116">
        <v>546.9</v>
      </c>
      <c r="F584" s="116">
        <v>546.45000000000005</v>
      </c>
      <c r="G584">
        <v>842</v>
      </c>
      <c r="H584" s="116"/>
      <c r="I584" s="116"/>
      <c r="L584" s="170">
        <v>43741</v>
      </c>
      <c r="M584" s="116">
        <v>545.65</v>
      </c>
      <c r="N584" s="116">
        <v>556.20000000000005</v>
      </c>
      <c r="O584" s="116">
        <v>540</v>
      </c>
      <c r="P584" s="116">
        <v>540</v>
      </c>
      <c r="Q584" s="116">
        <v>545.65</v>
      </c>
      <c r="R584">
        <v>5613</v>
      </c>
    </row>
    <row r="585" spans="1:18" x14ac:dyDescent="0.25">
      <c r="A585" s="170">
        <v>43742</v>
      </c>
      <c r="B585" s="116">
        <v>554.35</v>
      </c>
      <c r="C585" s="116">
        <v>542.85</v>
      </c>
      <c r="D585" s="116">
        <v>513</v>
      </c>
      <c r="E585" s="116">
        <v>513</v>
      </c>
      <c r="F585" s="116">
        <v>542.85</v>
      </c>
      <c r="G585">
        <v>103</v>
      </c>
      <c r="H585" s="116"/>
      <c r="I585" s="116"/>
      <c r="L585" s="170">
        <v>43742</v>
      </c>
      <c r="M585" s="116">
        <v>544</v>
      </c>
      <c r="N585" s="116">
        <v>549.95000000000005</v>
      </c>
      <c r="O585" s="116">
        <v>538.95000000000005</v>
      </c>
      <c r="P585" s="116">
        <v>542.04999999999995</v>
      </c>
      <c r="Q585" s="116">
        <v>544</v>
      </c>
      <c r="R585">
        <v>8723</v>
      </c>
    </row>
    <row r="586" spans="1:18" x14ac:dyDescent="0.25">
      <c r="A586" s="170">
        <v>43745</v>
      </c>
      <c r="B586" s="116">
        <v>550.75</v>
      </c>
      <c r="C586" s="116">
        <v>548.04999999999995</v>
      </c>
      <c r="D586" s="116">
        <v>528</v>
      </c>
      <c r="E586" s="116">
        <v>540.54999999999995</v>
      </c>
      <c r="F586" s="116">
        <v>548.04999999999995</v>
      </c>
      <c r="G586">
        <v>696</v>
      </c>
      <c r="H586" s="116"/>
      <c r="I586" s="116"/>
      <c r="L586" s="170">
        <v>43745</v>
      </c>
      <c r="M586" s="116">
        <v>549.15</v>
      </c>
      <c r="N586" s="116">
        <v>550.75</v>
      </c>
      <c r="O586" s="116">
        <v>524.25</v>
      </c>
      <c r="P586" s="116">
        <v>524.25</v>
      </c>
      <c r="Q586" s="116">
        <v>549.15</v>
      </c>
      <c r="R586">
        <v>12182</v>
      </c>
    </row>
    <row r="587" spans="1:18" x14ac:dyDescent="0.25">
      <c r="A587" s="170">
        <v>43747</v>
      </c>
      <c r="B587" s="116">
        <v>553.75</v>
      </c>
      <c r="C587" s="116">
        <v>547.15</v>
      </c>
      <c r="D587" s="116">
        <v>543</v>
      </c>
      <c r="E587" s="116">
        <v>547</v>
      </c>
      <c r="F587" s="116">
        <v>547.15</v>
      </c>
      <c r="G587">
        <v>329</v>
      </c>
      <c r="H587" s="116"/>
      <c r="I587" s="116"/>
      <c r="L587" s="170">
        <v>43747</v>
      </c>
      <c r="M587" s="116">
        <v>549.9</v>
      </c>
      <c r="N587" s="116">
        <v>558</v>
      </c>
      <c r="O587" s="116">
        <v>542.79999999999995</v>
      </c>
      <c r="P587" s="116">
        <v>552.70000000000005</v>
      </c>
      <c r="Q587" s="116">
        <v>549.9</v>
      </c>
      <c r="R587">
        <v>27667</v>
      </c>
    </row>
    <row r="588" spans="1:18" x14ac:dyDescent="0.25">
      <c r="A588" s="170">
        <v>43748</v>
      </c>
      <c r="B588" s="116">
        <v>548.1</v>
      </c>
      <c r="C588" s="116">
        <v>543.70000000000005</v>
      </c>
      <c r="D588" s="116">
        <v>538.29999999999995</v>
      </c>
      <c r="E588" s="116">
        <v>538.29999999999995</v>
      </c>
      <c r="F588" s="116">
        <v>543.70000000000005</v>
      </c>
      <c r="G588">
        <v>176</v>
      </c>
      <c r="H588" s="116"/>
      <c r="I588" s="116"/>
      <c r="L588" s="170">
        <v>43748</v>
      </c>
      <c r="M588" s="116">
        <v>544.5</v>
      </c>
      <c r="N588" s="116">
        <v>549.95000000000005</v>
      </c>
      <c r="O588" s="116">
        <v>542</v>
      </c>
      <c r="P588" s="116">
        <v>549.95000000000005</v>
      </c>
      <c r="Q588" s="116">
        <v>544.5</v>
      </c>
      <c r="R588">
        <v>7270</v>
      </c>
    </row>
    <row r="589" spans="1:18" x14ac:dyDescent="0.25">
      <c r="A589" s="170">
        <v>43749</v>
      </c>
      <c r="B589" s="116">
        <v>552</v>
      </c>
      <c r="C589" s="116">
        <v>544.85</v>
      </c>
      <c r="D589" s="116">
        <v>539</v>
      </c>
      <c r="E589" s="116">
        <v>550.95000000000005</v>
      </c>
      <c r="F589" s="116">
        <v>544.85</v>
      </c>
      <c r="G589">
        <v>65</v>
      </c>
      <c r="H589" s="116"/>
      <c r="I589" s="116"/>
      <c r="L589" s="170">
        <v>43749</v>
      </c>
      <c r="M589" s="116">
        <v>544.25</v>
      </c>
      <c r="N589" s="116">
        <v>552.95000000000005</v>
      </c>
      <c r="O589" s="116">
        <v>538.04999999999995</v>
      </c>
      <c r="P589" s="116">
        <v>552.95000000000005</v>
      </c>
      <c r="Q589" s="116">
        <v>544.25</v>
      </c>
      <c r="R589">
        <v>9574</v>
      </c>
    </row>
    <row r="590" spans="1:18" x14ac:dyDescent="0.25">
      <c r="A590" s="170">
        <v>43752</v>
      </c>
      <c r="B590" s="116">
        <v>550.35</v>
      </c>
      <c r="C590" s="116">
        <v>547.35</v>
      </c>
      <c r="D590" s="116">
        <v>547</v>
      </c>
      <c r="E590" s="116">
        <v>550.35</v>
      </c>
      <c r="F590" s="116">
        <v>547.35</v>
      </c>
      <c r="G590">
        <v>15505</v>
      </c>
      <c r="H590" s="116"/>
      <c r="I590" s="116"/>
      <c r="L590" s="170">
        <v>43752</v>
      </c>
      <c r="M590" s="116">
        <v>548.29999999999995</v>
      </c>
      <c r="N590" s="116">
        <v>558</v>
      </c>
      <c r="O590" s="116">
        <v>544</v>
      </c>
      <c r="P590" s="116">
        <v>544.25</v>
      </c>
      <c r="Q590" s="116">
        <v>548.29999999999995</v>
      </c>
      <c r="R590">
        <v>10340</v>
      </c>
    </row>
    <row r="591" spans="1:18" x14ac:dyDescent="0.25">
      <c r="A591" s="170">
        <v>43753</v>
      </c>
      <c r="B591" s="116">
        <v>550.35</v>
      </c>
      <c r="C591" s="116">
        <v>544.15</v>
      </c>
      <c r="D591" s="116">
        <v>537.6</v>
      </c>
      <c r="E591" s="116">
        <v>541.35</v>
      </c>
      <c r="F591" s="116">
        <v>544.15</v>
      </c>
      <c r="G591">
        <v>134</v>
      </c>
      <c r="H591" s="116"/>
      <c r="I591" s="116"/>
      <c r="L591" s="170">
        <v>43753</v>
      </c>
      <c r="M591" s="116">
        <v>543.65</v>
      </c>
      <c r="N591" s="116">
        <v>550.5</v>
      </c>
      <c r="O591" s="116">
        <v>535</v>
      </c>
      <c r="P591" s="116">
        <v>535</v>
      </c>
      <c r="Q591" s="116">
        <v>543.65</v>
      </c>
      <c r="R591">
        <v>5201</v>
      </c>
    </row>
    <row r="592" spans="1:18" x14ac:dyDescent="0.25">
      <c r="A592" s="170">
        <v>43754</v>
      </c>
      <c r="B592" s="116">
        <v>550.85</v>
      </c>
      <c r="C592" s="116">
        <v>548.54999999999995</v>
      </c>
      <c r="D592" s="116">
        <v>542</v>
      </c>
      <c r="E592" s="116">
        <v>548.85</v>
      </c>
      <c r="F592" s="116">
        <v>548.54999999999995</v>
      </c>
      <c r="G592">
        <v>507</v>
      </c>
      <c r="H592" s="116"/>
      <c r="I592" s="116"/>
      <c r="L592" s="170">
        <v>43754</v>
      </c>
      <c r="M592" s="116">
        <v>548.85</v>
      </c>
      <c r="N592" s="116">
        <v>550</v>
      </c>
      <c r="O592" s="116">
        <v>524.29999999999995</v>
      </c>
      <c r="P592" s="116">
        <v>524.29999999999995</v>
      </c>
      <c r="Q592" s="116">
        <v>548.85</v>
      </c>
      <c r="R592">
        <v>3467</v>
      </c>
    </row>
    <row r="593" spans="1:18" x14ac:dyDescent="0.25">
      <c r="A593" s="170">
        <v>43755</v>
      </c>
      <c r="B593" s="116">
        <v>551.9</v>
      </c>
      <c r="C593" s="116">
        <v>550.1</v>
      </c>
      <c r="D593" s="116">
        <v>542.85</v>
      </c>
      <c r="E593" s="116">
        <v>543.9</v>
      </c>
      <c r="F593" s="116">
        <v>550.1</v>
      </c>
      <c r="G593">
        <v>1213</v>
      </c>
      <c r="H593" s="116"/>
      <c r="I593" s="116"/>
      <c r="L593" s="170">
        <v>43755</v>
      </c>
      <c r="M593" s="116">
        <v>551.15</v>
      </c>
      <c r="N593" s="116">
        <v>553.4</v>
      </c>
      <c r="O593" s="116">
        <v>542.15</v>
      </c>
      <c r="P593" s="116">
        <v>550</v>
      </c>
      <c r="Q593" s="116">
        <v>551.15</v>
      </c>
      <c r="R593">
        <v>23449</v>
      </c>
    </row>
    <row r="594" spans="1:18" x14ac:dyDescent="0.25">
      <c r="A594" s="170">
        <v>43756</v>
      </c>
      <c r="B594" s="116">
        <v>554</v>
      </c>
      <c r="C594" s="116">
        <v>547.75</v>
      </c>
      <c r="D594" s="116">
        <v>530</v>
      </c>
      <c r="E594" s="116">
        <v>551</v>
      </c>
      <c r="F594" s="116">
        <v>547.75</v>
      </c>
      <c r="G594">
        <v>351</v>
      </c>
      <c r="H594" s="116"/>
      <c r="I594" s="116"/>
      <c r="L594" s="170">
        <v>43756</v>
      </c>
      <c r="M594" s="116">
        <v>550.45000000000005</v>
      </c>
      <c r="N594" s="116">
        <v>553.9</v>
      </c>
      <c r="O594" s="116">
        <v>543.1</v>
      </c>
      <c r="P594" s="116">
        <v>552.79999999999995</v>
      </c>
      <c r="Q594" s="116">
        <v>550.45000000000005</v>
      </c>
      <c r="R594">
        <v>9088</v>
      </c>
    </row>
    <row r="595" spans="1:18" x14ac:dyDescent="0.25">
      <c r="A595" s="170">
        <v>43760</v>
      </c>
      <c r="B595" s="116">
        <v>565</v>
      </c>
      <c r="C595" s="116">
        <v>545.9</v>
      </c>
      <c r="D595" s="116">
        <v>540</v>
      </c>
      <c r="E595" s="116">
        <v>555</v>
      </c>
      <c r="F595" s="116">
        <v>545.9</v>
      </c>
      <c r="G595">
        <v>1758</v>
      </c>
      <c r="H595" s="116"/>
      <c r="I595" s="116"/>
      <c r="L595" s="170">
        <v>43760</v>
      </c>
      <c r="M595" s="116">
        <v>543.5</v>
      </c>
      <c r="N595" s="116">
        <v>561.79999999999995</v>
      </c>
      <c r="O595" s="116">
        <v>540</v>
      </c>
      <c r="P595" s="116">
        <v>556.75</v>
      </c>
      <c r="Q595" s="116">
        <v>543.5</v>
      </c>
      <c r="R595">
        <v>53027</v>
      </c>
    </row>
    <row r="596" spans="1:18" x14ac:dyDescent="0.25">
      <c r="A596" s="170">
        <v>43761</v>
      </c>
      <c r="B596" s="116">
        <v>567</v>
      </c>
      <c r="C596" s="116">
        <v>549.6</v>
      </c>
      <c r="D596" s="116">
        <v>544</v>
      </c>
      <c r="E596" s="116">
        <v>545</v>
      </c>
      <c r="F596" s="116">
        <v>549.6</v>
      </c>
      <c r="G596">
        <v>934</v>
      </c>
      <c r="H596" s="116"/>
      <c r="I596" s="116"/>
      <c r="L596" s="170">
        <v>43761</v>
      </c>
      <c r="M596" s="116">
        <v>551.35</v>
      </c>
      <c r="N596" s="116">
        <v>565.70000000000005</v>
      </c>
      <c r="O596" s="116">
        <v>540.25</v>
      </c>
      <c r="P596" s="116">
        <v>553</v>
      </c>
      <c r="Q596" s="116">
        <v>551.35</v>
      </c>
      <c r="R596">
        <v>33772</v>
      </c>
    </row>
    <row r="597" spans="1:18" x14ac:dyDescent="0.25">
      <c r="A597" s="170">
        <v>43762</v>
      </c>
      <c r="B597" s="116">
        <v>555.54999999999995</v>
      </c>
      <c r="C597" s="116">
        <v>543.45000000000005</v>
      </c>
      <c r="D597" s="116">
        <v>540.1</v>
      </c>
      <c r="E597" s="116">
        <v>555.54999999999995</v>
      </c>
      <c r="F597" s="116">
        <v>543.45000000000005</v>
      </c>
      <c r="G597">
        <v>546</v>
      </c>
      <c r="H597" s="116"/>
      <c r="I597" s="116"/>
      <c r="L597" s="170">
        <v>43762</v>
      </c>
      <c r="M597" s="116">
        <v>542.79999999999995</v>
      </c>
      <c r="N597" s="116">
        <v>561.70000000000005</v>
      </c>
      <c r="O597" s="116">
        <v>540.04999999999995</v>
      </c>
      <c r="P597" s="116">
        <v>561.70000000000005</v>
      </c>
      <c r="Q597" s="116">
        <v>542.79999999999995</v>
      </c>
      <c r="R597">
        <v>8792</v>
      </c>
    </row>
    <row r="598" spans="1:18" x14ac:dyDescent="0.25">
      <c r="A598" s="170">
        <v>43763</v>
      </c>
      <c r="B598" s="116">
        <v>554.35</v>
      </c>
      <c r="C598" s="116">
        <v>539.95000000000005</v>
      </c>
      <c r="D598" s="116">
        <v>537.04999999999995</v>
      </c>
      <c r="E598" s="116">
        <v>554.35</v>
      </c>
      <c r="F598" s="116">
        <v>539.95000000000005</v>
      </c>
      <c r="G598">
        <v>703</v>
      </c>
      <c r="H598" s="116"/>
      <c r="I598" s="116"/>
      <c r="L598" s="170">
        <v>43763</v>
      </c>
      <c r="M598" s="116">
        <v>539.65</v>
      </c>
      <c r="N598" s="116">
        <v>553.45000000000005</v>
      </c>
      <c r="O598" s="116">
        <v>537</v>
      </c>
      <c r="P598" s="116">
        <v>545</v>
      </c>
      <c r="Q598" s="116">
        <v>539.65</v>
      </c>
      <c r="R598">
        <v>4611</v>
      </c>
    </row>
    <row r="599" spans="1:18" x14ac:dyDescent="0.25">
      <c r="A599" s="170">
        <v>43765</v>
      </c>
      <c r="B599" s="116">
        <v>549.9</v>
      </c>
      <c r="C599" s="116">
        <v>546.45000000000005</v>
      </c>
      <c r="D599" s="116">
        <v>539.9</v>
      </c>
      <c r="E599" s="116">
        <v>539.9</v>
      </c>
      <c r="F599" s="116">
        <v>546.45000000000005</v>
      </c>
      <c r="G599">
        <v>318</v>
      </c>
      <c r="H599" s="116"/>
      <c r="I599" s="116"/>
      <c r="L599" s="170">
        <v>43765</v>
      </c>
      <c r="M599" s="116">
        <v>546.65</v>
      </c>
      <c r="N599" s="116">
        <v>554.4</v>
      </c>
      <c r="O599" s="116">
        <v>532.04999999999995</v>
      </c>
      <c r="P599" s="116">
        <v>549</v>
      </c>
      <c r="Q599" s="116">
        <v>546.65</v>
      </c>
      <c r="R599">
        <v>4179</v>
      </c>
    </row>
    <row r="600" spans="1:18" x14ac:dyDescent="0.25">
      <c r="A600" s="170">
        <v>43767</v>
      </c>
      <c r="B600" s="116">
        <v>554.85</v>
      </c>
      <c r="C600" s="116">
        <v>549.5</v>
      </c>
      <c r="D600" s="116">
        <v>535.79999999999995</v>
      </c>
      <c r="E600" s="116">
        <v>540</v>
      </c>
      <c r="F600" s="116">
        <v>549.5</v>
      </c>
      <c r="G600">
        <v>3176</v>
      </c>
      <c r="H600" s="116"/>
      <c r="I600" s="116"/>
      <c r="L600" s="170">
        <v>43767</v>
      </c>
      <c r="M600" s="116">
        <v>552.70000000000005</v>
      </c>
      <c r="N600" s="116">
        <v>553.9</v>
      </c>
      <c r="O600" s="116">
        <v>536.29999999999995</v>
      </c>
      <c r="P600" s="116">
        <v>550</v>
      </c>
      <c r="Q600" s="116">
        <v>552.70000000000005</v>
      </c>
      <c r="R600">
        <v>23382</v>
      </c>
    </row>
    <row r="601" spans="1:18" x14ac:dyDescent="0.25">
      <c r="A601" s="170">
        <v>43768</v>
      </c>
      <c r="B601" s="116">
        <v>559.5</v>
      </c>
      <c r="C601" s="116">
        <v>545.35</v>
      </c>
      <c r="D601" s="116">
        <v>544.35</v>
      </c>
      <c r="E601" s="116">
        <v>559.5</v>
      </c>
      <c r="F601" s="116">
        <v>545.35</v>
      </c>
      <c r="G601">
        <v>324</v>
      </c>
      <c r="H601" s="116"/>
      <c r="I601" s="116"/>
      <c r="L601" s="170">
        <v>43768</v>
      </c>
      <c r="M601" s="116">
        <v>544.75</v>
      </c>
      <c r="N601" s="116">
        <v>560</v>
      </c>
      <c r="O601" s="116">
        <v>543.1</v>
      </c>
      <c r="P601" s="116">
        <v>560</v>
      </c>
      <c r="Q601" s="116">
        <v>544.75</v>
      </c>
      <c r="R601">
        <v>13521</v>
      </c>
    </row>
    <row r="602" spans="1:18" x14ac:dyDescent="0.25">
      <c r="A602" s="170">
        <v>43769</v>
      </c>
      <c r="B602" s="116">
        <v>550.5</v>
      </c>
      <c r="C602" s="116">
        <v>546.1</v>
      </c>
      <c r="D602" s="116">
        <v>536.4</v>
      </c>
      <c r="E602" s="116">
        <v>550.5</v>
      </c>
      <c r="F602" s="116">
        <v>546.1</v>
      </c>
      <c r="G602">
        <v>1010</v>
      </c>
      <c r="H602" s="116"/>
      <c r="I602" s="116"/>
      <c r="L602" s="170">
        <v>43769</v>
      </c>
      <c r="M602" s="116">
        <v>547.04999999999995</v>
      </c>
      <c r="N602" s="116">
        <v>553.9</v>
      </c>
      <c r="O602" s="116">
        <v>540.54999999999995</v>
      </c>
      <c r="P602" s="116">
        <v>553.9</v>
      </c>
      <c r="Q602" s="116">
        <v>547.04999999999995</v>
      </c>
      <c r="R602">
        <v>17273</v>
      </c>
    </row>
    <row r="603" spans="1:18" x14ac:dyDescent="0.25">
      <c r="A603" s="170">
        <v>43770</v>
      </c>
      <c r="B603" s="116">
        <v>548.5</v>
      </c>
      <c r="C603" s="116">
        <v>540</v>
      </c>
      <c r="D603" s="116">
        <v>540</v>
      </c>
      <c r="E603" s="116">
        <v>548.5</v>
      </c>
      <c r="F603" s="116">
        <v>540</v>
      </c>
      <c r="G603">
        <v>413</v>
      </c>
      <c r="H603" s="116"/>
      <c r="I603" s="116"/>
      <c r="L603" s="170">
        <v>43770</v>
      </c>
      <c r="M603" s="116">
        <v>542.45000000000005</v>
      </c>
      <c r="N603" s="116">
        <v>551</v>
      </c>
      <c r="O603" s="116">
        <v>537.15</v>
      </c>
      <c r="P603" s="116">
        <v>537.15</v>
      </c>
      <c r="Q603" s="116">
        <v>542.45000000000005</v>
      </c>
      <c r="R603">
        <v>20189</v>
      </c>
    </row>
    <row r="604" spans="1:18" x14ac:dyDescent="0.25">
      <c r="A604" s="170">
        <v>43773</v>
      </c>
      <c r="B604" s="116">
        <v>550</v>
      </c>
      <c r="C604" s="116">
        <v>542.95000000000005</v>
      </c>
      <c r="D604" s="116">
        <v>538.85</v>
      </c>
      <c r="E604" s="116">
        <v>550</v>
      </c>
      <c r="F604" s="116">
        <v>542.95000000000005</v>
      </c>
      <c r="G604">
        <v>823</v>
      </c>
      <c r="H604" s="116"/>
      <c r="I604" s="116"/>
      <c r="L604" s="170">
        <v>43773</v>
      </c>
      <c r="M604" s="116">
        <v>546.04999999999995</v>
      </c>
      <c r="N604" s="116">
        <v>551.9</v>
      </c>
      <c r="O604" s="116">
        <v>536.1</v>
      </c>
      <c r="P604" s="116">
        <v>551.9</v>
      </c>
      <c r="Q604" s="116">
        <v>546.04999999999995</v>
      </c>
      <c r="R604">
        <v>18890</v>
      </c>
    </row>
    <row r="605" spans="1:18" x14ac:dyDescent="0.25">
      <c r="A605" s="170">
        <v>43774</v>
      </c>
      <c r="B605" s="116">
        <v>546.15</v>
      </c>
      <c r="C605" s="116">
        <v>543.75</v>
      </c>
      <c r="D605" s="116">
        <v>543</v>
      </c>
      <c r="E605" s="116">
        <v>545.5</v>
      </c>
      <c r="F605" s="116">
        <v>543.75</v>
      </c>
      <c r="G605">
        <v>149</v>
      </c>
      <c r="H605" s="116"/>
      <c r="I605" s="116"/>
      <c r="L605" s="170">
        <v>43774</v>
      </c>
      <c r="M605" s="116">
        <v>542.29999999999995</v>
      </c>
      <c r="N605" s="116">
        <v>548</v>
      </c>
      <c r="O605" s="116">
        <v>540</v>
      </c>
      <c r="P605" s="116">
        <v>541.70000000000005</v>
      </c>
      <c r="Q605" s="116">
        <v>542.29999999999995</v>
      </c>
      <c r="R605">
        <v>20810</v>
      </c>
    </row>
    <row r="606" spans="1:18" x14ac:dyDescent="0.25">
      <c r="A606" s="170">
        <v>43775</v>
      </c>
      <c r="B606" s="116">
        <v>554.9</v>
      </c>
      <c r="C606" s="116">
        <v>541.75</v>
      </c>
      <c r="D606" s="116">
        <v>537</v>
      </c>
      <c r="E606" s="116">
        <v>543.1</v>
      </c>
      <c r="F606" s="116">
        <v>541.75</v>
      </c>
      <c r="G606">
        <v>899</v>
      </c>
      <c r="H606" s="116"/>
      <c r="I606" s="116"/>
      <c r="L606" s="170">
        <v>43775</v>
      </c>
      <c r="M606" s="116">
        <v>540.6</v>
      </c>
      <c r="N606" s="116">
        <v>554.35</v>
      </c>
      <c r="O606" s="116">
        <v>535.04999999999995</v>
      </c>
      <c r="P606" s="116">
        <v>541</v>
      </c>
      <c r="Q606" s="116">
        <v>540.6</v>
      </c>
      <c r="R606">
        <v>27765</v>
      </c>
    </row>
    <row r="607" spans="1:18" x14ac:dyDescent="0.25">
      <c r="A607" s="170">
        <v>43776</v>
      </c>
      <c r="B607" s="116">
        <v>550</v>
      </c>
      <c r="C607" s="116">
        <v>539.65</v>
      </c>
      <c r="D607" s="116">
        <v>535</v>
      </c>
      <c r="E607" s="116">
        <v>550</v>
      </c>
      <c r="F607" s="116">
        <v>539.65</v>
      </c>
      <c r="G607">
        <v>448</v>
      </c>
      <c r="H607" s="116"/>
      <c r="I607" s="116"/>
      <c r="L607" s="170">
        <v>43776</v>
      </c>
      <c r="M607" s="116">
        <v>539.70000000000005</v>
      </c>
      <c r="N607" s="116">
        <v>549.95000000000005</v>
      </c>
      <c r="O607" s="116">
        <v>536</v>
      </c>
      <c r="P607" s="116">
        <v>545.5</v>
      </c>
      <c r="Q607" s="116">
        <v>539.70000000000005</v>
      </c>
      <c r="R607">
        <v>13659</v>
      </c>
    </row>
    <row r="608" spans="1:18" x14ac:dyDescent="0.25">
      <c r="A608" s="170">
        <v>43777</v>
      </c>
      <c r="B608" s="116">
        <v>545.54999999999995</v>
      </c>
      <c r="C608" s="116">
        <v>540.04999999999995</v>
      </c>
      <c r="D608" s="116">
        <v>536.15</v>
      </c>
      <c r="E608" s="116">
        <v>543</v>
      </c>
      <c r="F608" s="116">
        <v>540.04999999999995</v>
      </c>
      <c r="G608">
        <v>295</v>
      </c>
      <c r="H608" s="116"/>
      <c r="I608" s="116"/>
      <c r="L608" s="170">
        <v>43777</v>
      </c>
      <c r="M608" s="116">
        <v>540.20000000000005</v>
      </c>
      <c r="N608" s="116">
        <v>546</v>
      </c>
      <c r="O608" s="116">
        <v>536</v>
      </c>
      <c r="P608" s="116">
        <v>540</v>
      </c>
      <c r="Q608" s="116">
        <v>540.20000000000005</v>
      </c>
      <c r="R608">
        <v>15611</v>
      </c>
    </row>
    <row r="609" spans="1:18" x14ac:dyDescent="0.25">
      <c r="A609" s="170">
        <v>43780</v>
      </c>
      <c r="B609" s="116">
        <v>545.35</v>
      </c>
      <c r="C609" s="116">
        <v>542.85</v>
      </c>
      <c r="D609" s="116">
        <v>535.25</v>
      </c>
      <c r="E609" s="116">
        <v>538.79999999999995</v>
      </c>
      <c r="F609" s="116">
        <v>542.85</v>
      </c>
      <c r="G609">
        <v>105</v>
      </c>
      <c r="H609" s="116"/>
      <c r="I609" s="116"/>
      <c r="L609" s="170">
        <v>43780</v>
      </c>
      <c r="M609" s="116">
        <v>539</v>
      </c>
      <c r="N609" s="116">
        <v>545.95000000000005</v>
      </c>
      <c r="O609" s="116">
        <v>535.04999999999995</v>
      </c>
      <c r="P609" s="116">
        <v>536.15</v>
      </c>
      <c r="Q609" s="116">
        <v>539</v>
      </c>
      <c r="R609">
        <v>6608</v>
      </c>
    </row>
    <row r="610" spans="1:18" x14ac:dyDescent="0.25">
      <c r="A610" s="170">
        <v>43782</v>
      </c>
      <c r="B610" s="116">
        <v>542.85</v>
      </c>
      <c r="C610" s="116">
        <v>520.85</v>
      </c>
      <c r="D610" s="116">
        <v>517.54999999999995</v>
      </c>
      <c r="E610" s="116">
        <v>542.85</v>
      </c>
      <c r="F610" s="116">
        <v>520.85</v>
      </c>
      <c r="G610">
        <v>1168</v>
      </c>
      <c r="H610" s="116"/>
      <c r="I610" s="116"/>
      <c r="L610" s="170">
        <v>43782</v>
      </c>
      <c r="M610" s="116">
        <v>521.4</v>
      </c>
      <c r="N610" s="116">
        <v>549.70000000000005</v>
      </c>
      <c r="O610" s="116">
        <v>517.1</v>
      </c>
      <c r="P610" s="116">
        <v>549.70000000000005</v>
      </c>
      <c r="Q610" s="116">
        <v>521.4</v>
      </c>
      <c r="R610">
        <v>24046</v>
      </c>
    </row>
    <row r="611" spans="1:18" x14ac:dyDescent="0.25">
      <c r="A611" s="170">
        <v>43783</v>
      </c>
      <c r="B611" s="116">
        <v>534.9</v>
      </c>
      <c r="C611" s="116">
        <v>529.29999999999995</v>
      </c>
      <c r="D611" s="116">
        <v>524.5</v>
      </c>
      <c r="E611" s="116">
        <v>530</v>
      </c>
      <c r="F611" s="116">
        <v>529.29999999999995</v>
      </c>
      <c r="G611">
        <v>11493</v>
      </c>
      <c r="H611" s="116"/>
      <c r="I611" s="116"/>
      <c r="L611" s="170">
        <v>43783</v>
      </c>
      <c r="M611" s="116">
        <v>529.1</v>
      </c>
      <c r="N611" s="116">
        <v>537</v>
      </c>
      <c r="O611" s="116">
        <v>518</v>
      </c>
      <c r="P611" s="116">
        <v>518</v>
      </c>
      <c r="Q611" s="116">
        <v>529.1</v>
      </c>
      <c r="R611">
        <v>66781</v>
      </c>
    </row>
    <row r="612" spans="1:18" x14ac:dyDescent="0.25">
      <c r="A612" s="170">
        <v>43784</v>
      </c>
      <c r="B612" s="116">
        <v>560</v>
      </c>
      <c r="C612" s="116">
        <v>527.54999999999995</v>
      </c>
      <c r="D612" s="116">
        <v>521</v>
      </c>
      <c r="E612" s="116">
        <v>548.79999999999995</v>
      </c>
      <c r="F612" s="116">
        <v>527.54999999999995</v>
      </c>
      <c r="G612">
        <v>1165</v>
      </c>
      <c r="H612" s="116"/>
      <c r="I612" s="116"/>
      <c r="L612" s="170">
        <v>43784</v>
      </c>
      <c r="M612" s="116">
        <v>525.29999999999995</v>
      </c>
      <c r="N612" s="116">
        <v>542.4</v>
      </c>
      <c r="O612" s="116">
        <v>522.25</v>
      </c>
      <c r="P612" s="116">
        <v>537.95000000000005</v>
      </c>
      <c r="Q612" s="116">
        <v>525.29999999999995</v>
      </c>
      <c r="R612">
        <v>41080</v>
      </c>
    </row>
    <row r="613" spans="1:18" x14ac:dyDescent="0.25">
      <c r="A613" s="170">
        <v>43787</v>
      </c>
      <c r="B613" s="116">
        <v>532.79999999999995</v>
      </c>
      <c r="C613" s="116">
        <v>524.04999999999995</v>
      </c>
      <c r="D613" s="116">
        <v>521.65</v>
      </c>
      <c r="E613" s="116">
        <v>530</v>
      </c>
      <c r="F613" s="116">
        <v>524.04999999999995</v>
      </c>
      <c r="G613">
        <v>571</v>
      </c>
      <c r="H613" s="116"/>
      <c r="I613" s="116"/>
      <c r="L613" s="170">
        <v>43787</v>
      </c>
      <c r="M613" s="116">
        <v>523.70000000000005</v>
      </c>
      <c r="N613" s="116">
        <v>540</v>
      </c>
      <c r="O613" s="116">
        <v>520</v>
      </c>
      <c r="P613" s="116">
        <v>540</v>
      </c>
      <c r="Q613" s="116">
        <v>523.70000000000005</v>
      </c>
      <c r="R613">
        <v>11271</v>
      </c>
    </row>
    <row r="614" spans="1:18" x14ac:dyDescent="0.25">
      <c r="A614" s="170">
        <v>43788</v>
      </c>
      <c r="B614" s="116">
        <v>540</v>
      </c>
      <c r="C614" s="116">
        <v>527.6</v>
      </c>
      <c r="D614" s="116">
        <v>525.15</v>
      </c>
      <c r="E614" s="116">
        <v>529</v>
      </c>
      <c r="F614" s="116">
        <v>527.6</v>
      </c>
      <c r="G614">
        <v>733</v>
      </c>
      <c r="H614" s="116"/>
      <c r="I614" s="116"/>
      <c r="L614" s="170">
        <v>43788</v>
      </c>
      <c r="M614" s="116">
        <v>527.9</v>
      </c>
      <c r="N614" s="116">
        <v>541.85</v>
      </c>
      <c r="O614" s="116">
        <v>525.5</v>
      </c>
      <c r="P614" s="116">
        <v>539.5</v>
      </c>
      <c r="Q614" s="116">
        <v>527.9</v>
      </c>
      <c r="R614">
        <v>26429</v>
      </c>
    </row>
    <row r="615" spans="1:18" x14ac:dyDescent="0.25">
      <c r="A615" s="170">
        <v>43789</v>
      </c>
      <c r="B615" s="116">
        <v>531.29999999999995</v>
      </c>
      <c r="C615" s="116">
        <v>523.6</v>
      </c>
      <c r="D615" s="116">
        <v>519.75</v>
      </c>
      <c r="E615" s="116">
        <v>531.29999999999995</v>
      </c>
      <c r="F615" s="116">
        <v>523.6</v>
      </c>
      <c r="G615">
        <v>163</v>
      </c>
      <c r="H615" s="116"/>
      <c r="I615" s="116"/>
      <c r="L615" s="170">
        <v>43789</v>
      </c>
      <c r="M615" s="116">
        <v>522.5</v>
      </c>
      <c r="N615" s="116">
        <v>534.70000000000005</v>
      </c>
      <c r="O615" s="116">
        <v>519</v>
      </c>
      <c r="P615" s="116">
        <v>528</v>
      </c>
      <c r="Q615" s="116">
        <v>522.5</v>
      </c>
      <c r="R615">
        <v>9435</v>
      </c>
    </row>
    <row r="616" spans="1:18" x14ac:dyDescent="0.25">
      <c r="A616" s="170">
        <v>43790</v>
      </c>
      <c r="B616" s="116">
        <v>535</v>
      </c>
      <c r="C616" s="116">
        <v>532.9</v>
      </c>
      <c r="D616" s="116">
        <v>516.5</v>
      </c>
      <c r="E616" s="116">
        <v>529.70000000000005</v>
      </c>
      <c r="F616" s="116">
        <v>532.9</v>
      </c>
      <c r="G616">
        <v>15154</v>
      </c>
      <c r="H616" s="116"/>
      <c r="I616" s="116"/>
      <c r="L616" s="170">
        <v>43790</v>
      </c>
      <c r="M616" s="116">
        <v>531.04999999999995</v>
      </c>
      <c r="N616" s="116">
        <v>534</v>
      </c>
      <c r="O616" s="116">
        <v>516.20000000000005</v>
      </c>
      <c r="P616" s="116">
        <v>525</v>
      </c>
      <c r="Q616" s="116">
        <v>531.04999999999995</v>
      </c>
      <c r="R616">
        <v>18366</v>
      </c>
    </row>
    <row r="617" spans="1:18" x14ac:dyDescent="0.25">
      <c r="A617" s="170">
        <v>43791</v>
      </c>
      <c r="B617" s="116">
        <v>539.9</v>
      </c>
      <c r="C617" s="116">
        <v>518.5</v>
      </c>
      <c r="D617" s="116">
        <v>512.04999999999995</v>
      </c>
      <c r="E617" s="116">
        <v>539.9</v>
      </c>
      <c r="F617" s="116">
        <v>518.5</v>
      </c>
      <c r="G617">
        <v>7435</v>
      </c>
      <c r="H617" s="116"/>
      <c r="I617" s="116"/>
      <c r="L617" s="170">
        <v>43791</v>
      </c>
      <c r="M617" s="116">
        <v>517</v>
      </c>
      <c r="N617" s="116">
        <v>539.70000000000005</v>
      </c>
      <c r="O617" s="116">
        <v>512.45000000000005</v>
      </c>
      <c r="P617" s="116">
        <v>539.70000000000005</v>
      </c>
      <c r="Q617" s="116">
        <v>517</v>
      </c>
      <c r="R617">
        <v>18331</v>
      </c>
    </row>
    <row r="618" spans="1:18" x14ac:dyDescent="0.25">
      <c r="A618" s="170">
        <v>43794</v>
      </c>
      <c r="B618" s="116">
        <v>535</v>
      </c>
      <c r="C618" s="116">
        <v>521.15</v>
      </c>
      <c r="D618" s="116">
        <v>514</v>
      </c>
      <c r="E618" s="116">
        <v>535</v>
      </c>
      <c r="F618" s="116">
        <v>521.15</v>
      </c>
      <c r="G618">
        <v>1386</v>
      </c>
      <c r="H618" s="116"/>
      <c r="I618" s="116"/>
      <c r="L618" s="170">
        <v>43794</v>
      </c>
      <c r="M618" s="116">
        <v>520.15</v>
      </c>
      <c r="N618" s="116">
        <v>528</v>
      </c>
      <c r="O618" s="116">
        <v>512.45000000000005</v>
      </c>
      <c r="P618" s="116">
        <v>528</v>
      </c>
      <c r="Q618" s="116">
        <v>520.15</v>
      </c>
      <c r="R618">
        <v>9412</v>
      </c>
    </row>
    <row r="619" spans="1:18" x14ac:dyDescent="0.25">
      <c r="A619" s="170">
        <v>43795</v>
      </c>
      <c r="B619" s="116">
        <v>527.65</v>
      </c>
      <c r="C619" s="116">
        <v>518</v>
      </c>
      <c r="D619" s="116">
        <v>511.5</v>
      </c>
      <c r="E619" s="116">
        <v>521.20000000000005</v>
      </c>
      <c r="F619" s="116">
        <v>518</v>
      </c>
      <c r="G619">
        <v>1528</v>
      </c>
      <c r="H619" s="116"/>
      <c r="I619" s="116"/>
      <c r="L619" s="170">
        <v>43795</v>
      </c>
      <c r="M619" s="116">
        <v>517.4</v>
      </c>
      <c r="N619" s="116">
        <v>532</v>
      </c>
      <c r="O619" s="116">
        <v>510.55</v>
      </c>
      <c r="P619" s="116">
        <v>532</v>
      </c>
      <c r="Q619" s="116">
        <v>517.4</v>
      </c>
      <c r="R619">
        <v>40394</v>
      </c>
    </row>
    <row r="620" spans="1:18" x14ac:dyDescent="0.25">
      <c r="A620" s="170">
        <v>43796</v>
      </c>
      <c r="B620" s="116">
        <v>522.35</v>
      </c>
      <c r="C620" s="116">
        <v>511.1</v>
      </c>
      <c r="D620" s="116">
        <v>506.2</v>
      </c>
      <c r="E620" s="116">
        <v>520.15</v>
      </c>
      <c r="F620" s="116">
        <v>511.1</v>
      </c>
      <c r="G620">
        <v>1335</v>
      </c>
      <c r="H620" s="116"/>
      <c r="I620" s="116"/>
      <c r="L620" s="170">
        <v>43796</v>
      </c>
      <c r="M620" s="116">
        <v>508.65</v>
      </c>
      <c r="N620" s="116">
        <v>522.65</v>
      </c>
      <c r="O620" s="116">
        <v>505.1</v>
      </c>
      <c r="P620" s="116">
        <v>522.65</v>
      </c>
      <c r="Q620" s="116">
        <v>508.65</v>
      </c>
      <c r="R620">
        <v>40767</v>
      </c>
    </row>
    <row r="621" spans="1:18" x14ac:dyDescent="0.25">
      <c r="A621" s="170">
        <v>43797</v>
      </c>
      <c r="B621" s="116">
        <v>515</v>
      </c>
      <c r="C621" s="116">
        <v>513.25</v>
      </c>
      <c r="D621" s="116">
        <v>505</v>
      </c>
      <c r="E621" s="116">
        <v>506.75</v>
      </c>
      <c r="F621" s="116">
        <v>513.25</v>
      </c>
      <c r="G621">
        <v>2460</v>
      </c>
      <c r="H621" s="116"/>
      <c r="I621" s="116"/>
      <c r="L621" s="170">
        <v>43797</v>
      </c>
      <c r="M621" s="116">
        <v>512.9</v>
      </c>
      <c r="N621" s="116">
        <v>516.95000000000005</v>
      </c>
      <c r="O621" s="116">
        <v>503.5</v>
      </c>
      <c r="P621" s="116">
        <v>503.5</v>
      </c>
      <c r="Q621" s="116">
        <v>512.9</v>
      </c>
      <c r="R621">
        <v>15604</v>
      </c>
    </row>
    <row r="622" spans="1:18" x14ac:dyDescent="0.25">
      <c r="A622" s="170">
        <v>43798</v>
      </c>
      <c r="B622" s="116">
        <v>511.5</v>
      </c>
      <c r="C622" s="116">
        <v>501.75</v>
      </c>
      <c r="D622" s="116">
        <v>490.9</v>
      </c>
      <c r="E622" s="116">
        <v>509.2</v>
      </c>
      <c r="F622" s="116">
        <v>501.75</v>
      </c>
      <c r="G622">
        <v>1382</v>
      </c>
      <c r="H622" s="116"/>
      <c r="I622" s="116"/>
      <c r="L622" s="170">
        <v>43798</v>
      </c>
      <c r="M622" s="116">
        <v>498.4</v>
      </c>
      <c r="N622" s="116">
        <v>518.95000000000005</v>
      </c>
      <c r="O622" s="116">
        <v>490</v>
      </c>
      <c r="P622" s="116">
        <v>518.95000000000005</v>
      </c>
      <c r="Q622" s="116">
        <v>498.4</v>
      </c>
      <c r="R622">
        <v>62469</v>
      </c>
    </row>
    <row r="623" spans="1:18" x14ac:dyDescent="0.25">
      <c r="A623" s="170">
        <v>43801</v>
      </c>
      <c r="B623" s="116">
        <v>533.95000000000005</v>
      </c>
      <c r="C623" s="116">
        <v>512.20000000000005</v>
      </c>
      <c r="D623" s="116">
        <v>499.2</v>
      </c>
      <c r="E623" s="116">
        <v>499.2</v>
      </c>
      <c r="F623" s="116">
        <v>512.20000000000005</v>
      </c>
      <c r="G623">
        <v>5514</v>
      </c>
      <c r="H623" s="116"/>
      <c r="I623" s="116"/>
      <c r="L623" s="170">
        <v>43801</v>
      </c>
      <c r="M623" s="116">
        <v>513.20000000000005</v>
      </c>
      <c r="N623" s="116">
        <v>533.54999999999995</v>
      </c>
      <c r="O623" s="116">
        <v>493.85</v>
      </c>
      <c r="P623" s="116">
        <v>509.9</v>
      </c>
      <c r="Q623" s="116">
        <v>513.20000000000005</v>
      </c>
      <c r="R623">
        <v>83542</v>
      </c>
    </row>
    <row r="624" spans="1:18" x14ac:dyDescent="0.25">
      <c r="A624" s="170">
        <v>43802</v>
      </c>
      <c r="B624" s="116">
        <v>518</v>
      </c>
      <c r="C624" s="116">
        <v>505.1</v>
      </c>
      <c r="D624" s="116">
        <v>503</v>
      </c>
      <c r="E624" s="116">
        <v>518</v>
      </c>
      <c r="F624" s="116">
        <v>505.1</v>
      </c>
      <c r="G624">
        <v>1078</v>
      </c>
      <c r="H624" s="116"/>
      <c r="I624" s="116"/>
      <c r="L624" s="170">
        <v>43802</v>
      </c>
      <c r="M624" s="116">
        <v>505.05</v>
      </c>
      <c r="N624" s="116">
        <v>517.95000000000005</v>
      </c>
      <c r="O624" s="116">
        <v>504</v>
      </c>
      <c r="P624" s="116">
        <v>515.29999999999995</v>
      </c>
      <c r="Q624" s="116">
        <v>505.05</v>
      </c>
      <c r="R624">
        <v>8391</v>
      </c>
    </row>
    <row r="625" spans="1:18" x14ac:dyDescent="0.25">
      <c r="A625" s="170">
        <v>43803</v>
      </c>
      <c r="B625" s="116">
        <v>511.75</v>
      </c>
      <c r="C625" s="116">
        <v>508.4</v>
      </c>
      <c r="D625" s="116">
        <v>503.3</v>
      </c>
      <c r="E625" s="116">
        <v>503.3</v>
      </c>
      <c r="F625" s="116">
        <v>508.4</v>
      </c>
      <c r="G625">
        <v>518</v>
      </c>
      <c r="H625" s="116"/>
      <c r="I625" s="116"/>
      <c r="L625" s="170">
        <v>43803</v>
      </c>
      <c r="M625" s="116">
        <v>508.85</v>
      </c>
      <c r="N625" s="116">
        <v>511.5</v>
      </c>
      <c r="O625" s="116">
        <v>501.05</v>
      </c>
      <c r="P625" s="116">
        <v>505.35</v>
      </c>
      <c r="Q625" s="116">
        <v>508.85</v>
      </c>
      <c r="R625">
        <v>6764</v>
      </c>
    </row>
    <row r="626" spans="1:18" x14ac:dyDescent="0.25">
      <c r="A626" s="170">
        <v>43804</v>
      </c>
      <c r="B626" s="116">
        <v>507.95</v>
      </c>
      <c r="C626" s="116">
        <v>496</v>
      </c>
      <c r="D626" s="116">
        <v>491.05</v>
      </c>
      <c r="E626" s="116">
        <v>507.8</v>
      </c>
      <c r="F626" s="116">
        <v>496</v>
      </c>
      <c r="G626">
        <v>3506</v>
      </c>
      <c r="H626" s="116"/>
      <c r="I626" s="116"/>
      <c r="L626" s="170">
        <v>43804</v>
      </c>
      <c r="M626" s="116">
        <v>495.45</v>
      </c>
      <c r="N626" s="116">
        <v>512.95000000000005</v>
      </c>
      <c r="O626" s="116">
        <v>491.4</v>
      </c>
      <c r="P626" s="116">
        <v>512.95000000000005</v>
      </c>
      <c r="Q626" s="116">
        <v>495.45</v>
      </c>
      <c r="R626">
        <v>55429</v>
      </c>
    </row>
    <row r="627" spans="1:18" x14ac:dyDescent="0.25">
      <c r="A627" s="170">
        <v>43805</v>
      </c>
      <c r="B627" s="116">
        <v>486</v>
      </c>
      <c r="C627" s="116">
        <v>474.5</v>
      </c>
      <c r="D627" s="116">
        <v>471</v>
      </c>
      <c r="E627" s="116">
        <v>486</v>
      </c>
      <c r="F627" s="116">
        <v>474.5</v>
      </c>
      <c r="G627">
        <v>2126</v>
      </c>
      <c r="H627" s="116"/>
      <c r="I627" s="116"/>
      <c r="L627" s="170">
        <v>43805</v>
      </c>
      <c r="M627" s="116">
        <v>473.75</v>
      </c>
      <c r="N627" s="116">
        <v>496</v>
      </c>
      <c r="O627" s="116">
        <v>471</v>
      </c>
      <c r="P627" s="116">
        <v>490</v>
      </c>
      <c r="Q627" s="116">
        <v>473.75</v>
      </c>
      <c r="R627">
        <v>63907</v>
      </c>
    </row>
    <row r="628" spans="1:18" x14ac:dyDescent="0.25">
      <c r="A628" s="170">
        <v>43808</v>
      </c>
      <c r="B628" s="116">
        <v>510</v>
      </c>
      <c r="C628" s="116">
        <v>493.05</v>
      </c>
      <c r="D628" s="116">
        <v>469.65</v>
      </c>
      <c r="E628" s="116">
        <v>484</v>
      </c>
      <c r="F628" s="116">
        <v>493.05</v>
      </c>
      <c r="G628">
        <v>5566</v>
      </c>
      <c r="H628" s="116"/>
      <c r="I628" s="116"/>
      <c r="L628" s="170">
        <v>43808</v>
      </c>
      <c r="M628" s="116">
        <v>493.7</v>
      </c>
      <c r="N628" s="116">
        <v>513</v>
      </c>
      <c r="O628" s="116">
        <v>468</v>
      </c>
      <c r="P628" s="116">
        <v>470</v>
      </c>
      <c r="Q628" s="116">
        <v>493.7</v>
      </c>
      <c r="R628">
        <v>84443</v>
      </c>
    </row>
    <row r="629" spans="1:18" x14ac:dyDescent="0.25">
      <c r="A629" s="170">
        <v>43809</v>
      </c>
      <c r="B629" s="116">
        <v>511.3</v>
      </c>
      <c r="C629" s="116">
        <v>507.6</v>
      </c>
      <c r="D629" s="116">
        <v>496</v>
      </c>
      <c r="E629" s="116">
        <v>499.7</v>
      </c>
      <c r="F629" s="116">
        <v>507.6</v>
      </c>
      <c r="G629">
        <v>1488</v>
      </c>
      <c r="H629" s="116"/>
      <c r="I629" s="116"/>
      <c r="L629" s="170">
        <v>43809</v>
      </c>
      <c r="M629" s="116">
        <v>506.85</v>
      </c>
      <c r="N629" s="116">
        <v>511</v>
      </c>
      <c r="O629" s="116">
        <v>495.1</v>
      </c>
      <c r="P629" s="116">
        <v>498.65</v>
      </c>
      <c r="Q629" s="116">
        <v>506.85</v>
      </c>
      <c r="R629">
        <v>32745</v>
      </c>
    </row>
    <row r="630" spans="1:18" x14ac:dyDescent="0.25">
      <c r="A630" s="170">
        <v>43810</v>
      </c>
      <c r="B630" s="116">
        <v>505.5</v>
      </c>
      <c r="C630" s="116">
        <v>504.1</v>
      </c>
      <c r="D630" s="116">
        <v>500.5</v>
      </c>
      <c r="E630" s="116">
        <v>504.6</v>
      </c>
      <c r="F630" s="116">
        <v>504.1</v>
      </c>
      <c r="G630">
        <v>171</v>
      </c>
      <c r="H630" s="116"/>
      <c r="I630" s="116"/>
      <c r="L630" s="170">
        <v>43810</v>
      </c>
      <c r="M630" s="116">
        <v>503.75</v>
      </c>
      <c r="N630" s="116">
        <v>510</v>
      </c>
      <c r="O630" s="116">
        <v>500.15</v>
      </c>
      <c r="P630" s="116">
        <v>510</v>
      </c>
      <c r="Q630" s="116">
        <v>503.75</v>
      </c>
      <c r="R630">
        <v>19344</v>
      </c>
    </row>
    <row r="631" spans="1:18" x14ac:dyDescent="0.25">
      <c r="A631" s="170">
        <v>43811</v>
      </c>
      <c r="B631" s="116">
        <v>509</v>
      </c>
      <c r="C631" s="116">
        <v>507.55</v>
      </c>
      <c r="D631" s="116">
        <v>489</v>
      </c>
      <c r="E631" s="116">
        <v>489</v>
      </c>
      <c r="F631" s="116">
        <v>507.55</v>
      </c>
      <c r="G631">
        <v>789</v>
      </c>
      <c r="H631" s="116"/>
      <c r="I631" s="116"/>
      <c r="L631" s="170">
        <v>43811</v>
      </c>
      <c r="M631" s="116">
        <v>507.05</v>
      </c>
      <c r="N631" s="116">
        <v>510.65</v>
      </c>
      <c r="O631" s="116">
        <v>500</v>
      </c>
      <c r="P631" s="116">
        <v>510</v>
      </c>
      <c r="Q631" s="116">
        <v>507.05</v>
      </c>
      <c r="R631">
        <v>15466</v>
      </c>
    </row>
    <row r="632" spans="1:18" x14ac:dyDescent="0.25">
      <c r="A632" s="170">
        <v>43812</v>
      </c>
      <c r="B632" s="116">
        <v>522.70000000000005</v>
      </c>
      <c r="C632" s="116">
        <v>513.35</v>
      </c>
      <c r="D632" s="116">
        <v>508</v>
      </c>
      <c r="E632" s="116">
        <v>508.2</v>
      </c>
      <c r="F632" s="116">
        <v>513.35</v>
      </c>
      <c r="G632">
        <v>903</v>
      </c>
      <c r="H632" s="116"/>
      <c r="I632" s="116"/>
      <c r="L632" s="170">
        <v>43812</v>
      </c>
      <c r="M632" s="116">
        <v>511.25</v>
      </c>
      <c r="N632" s="116">
        <v>524.9</v>
      </c>
      <c r="O632" s="116">
        <v>505.85</v>
      </c>
      <c r="P632" s="116">
        <v>507</v>
      </c>
      <c r="Q632" s="116">
        <v>511.25</v>
      </c>
      <c r="R632">
        <v>44662</v>
      </c>
    </row>
    <row r="633" spans="1:18" x14ac:dyDescent="0.25">
      <c r="A633" s="170">
        <v>43815</v>
      </c>
      <c r="B633" s="116">
        <v>514.85</v>
      </c>
      <c r="C633" s="116">
        <v>506.35</v>
      </c>
      <c r="D633" s="116">
        <v>506</v>
      </c>
      <c r="E633" s="116">
        <v>513</v>
      </c>
      <c r="F633" s="116">
        <v>506.35</v>
      </c>
      <c r="G633">
        <v>140</v>
      </c>
      <c r="H633" s="116"/>
      <c r="I633" s="116"/>
      <c r="L633" s="170">
        <v>43815</v>
      </c>
      <c r="M633" s="116">
        <v>507.85</v>
      </c>
      <c r="N633" s="116">
        <v>514.9</v>
      </c>
      <c r="O633" s="116">
        <v>506</v>
      </c>
      <c r="P633" s="116">
        <v>514.85</v>
      </c>
      <c r="Q633" s="116">
        <v>507.85</v>
      </c>
      <c r="R633">
        <v>12943</v>
      </c>
    </row>
    <row r="634" spans="1:18" x14ac:dyDescent="0.25">
      <c r="A634" s="170">
        <v>43816</v>
      </c>
      <c r="B634" s="116">
        <v>509.7</v>
      </c>
      <c r="C634" s="116">
        <v>507</v>
      </c>
      <c r="D634" s="116">
        <v>505</v>
      </c>
      <c r="E634" s="116">
        <v>509.7</v>
      </c>
      <c r="F634" s="116">
        <v>507</v>
      </c>
      <c r="G634">
        <v>271</v>
      </c>
      <c r="H634" s="116"/>
      <c r="I634" s="116"/>
      <c r="L634" s="170">
        <v>43816</v>
      </c>
      <c r="M634" s="116">
        <v>505.7</v>
      </c>
      <c r="N634" s="116">
        <v>509</v>
      </c>
      <c r="O634" s="116">
        <v>504.5</v>
      </c>
      <c r="P634" s="116">
        <v>508.25</v>
      </c>
      <c r="Q634" s="116">
        <v>505.7</v>
      </c>
      <c r="R634">
        <v>7326</v>
      </c>
    </row>
    <row r="635" spans="1:18" x14ac:dyDescent="0.25">
      <c r="A635" s="170">
        <v>43817</v>
      </c>
      <c r="B635" s="116">
        <v>511.7</v>
      </c>
      <c r="C635" s="116">
        <v>505.4</v>
      </c>
      <c r="D635" s="116">
        <v>505</v>
      </c>
      <c r="E635" s="116">
        <v>509.6</v>
      </c>
      <c r="F635" s="116">
        <v>505.4</v>
      </c>
      <c r="G635">
        <v>656</v>
      </c>
      <c r="H635" s="116"/>
      <c r="I635" s="116"/>
      <c r="L635" s="170">
        <v>43817</v>
      </c>
      <c r="M635" s="116">
        <v>505.35</v>
      </c>
      <c r="N635" s="116">
        <v>512</v>
      </c>
      <c r="O635" s="116">
        <v>502.3</v>
      </c>
      <c r="P635" s="116">
        <v>512</v>
      </c>
      <c r="Q635" s="116">
        <v>505.35</v>
      </c>
      <c r="R635">
        <v>11018</v>
      </c>
    </row>
    <row r="636" spans="1:18" x14ac:dyDescent="0.25">
      <c r="A636" s="170">
        <v>43818</v>
      </c>
      <c r="B636" s="116">
        <v>508.9</v>
      </c>
      <c r="C636" s="116">
        <v>504.8</v>
      </c>
      <c r="D636" s="116">
        <v>501</v>
      </c>
      <c r="E636" s="116">
        <v>504.8</v>
      </c>
      <c r="F636" s="116">
        <v>504.8</v>
      </c>
      <c r="G636">
        <v>606</v>
      </c>
      <c r="H636" s="116"/>
      <c r="I636" s="116"/>
      <c r="L636" s="170">
        <v>43818</v>
      </c>
      <c r="M636" s="116">
        <v>505.9</v>
      </c>
      <c r="N636" s="116">
        <v>509.55</v>
      </c>
      <c r="O636" s="116">
        <v>490</v>
      </c>
      <c r="P636" s="116">
        <v>490</v>
      </c>
      <c r="Q636" s="116">
        <v>505.9</v>
      </c>
      <c r="R636">
        <v>7352</v>
      </c>
    </row>
    <row r="637" spans="1:18" x14ac:dyDescent="0.25">
      <c r="A637" s="170">
        <v>43819</v>
      </c>
      <c r="B637" s="116">
        <v>508.05</v>
      </c>
      <c r="C637" s="116">
        <v>505.05</v>
      </c>
      <c r="D637" s="116">
        <v>504.45</v>
      </c>
      <c r="E637" s="116">
        <v>505</v>
      </c>
      <c r="F637" s="116">
        <v>505.05</v>
      </c>
      <c r="G637">
        <v>382</v>
      </c>
      <c r="H637" s="116"/>
      <c r="I637" s="116"/>
      <c r="L637" s="170">
        <v>43819</v>
      </c>
      <c r="M637" s="116">
        <v>505.15</v>
      </c>
      <c r="N637" s="116">
        <v>509.3</v>
      </c>
      <c r="O637" s="116">
        <v>503.3</v>
      </c>
      <c r="P637" s="116">
        <v>508.45</v>
      </c>
      <c r="Q637" s="116">
        <v>505.15</v>
      </c>
      <c r="R637">
        <v>5020</v>
      </c>
    </row>
    <row r="638" spans="1:18" x14ac:dyDescent="0.25">
      <c r="A638" s="170">
        <v>43822</v>
      </c>
      <c r="B638" s="116">
        <v>520</v>
      </c>
      <c r="C638" s="116">
        <v>508.95</v>
      </c>
      <c r="D638" s="116">
        <v>508.55</v>
      </c>
      <c r="E638" s="116">
        <v>520</v>
      </c>
      <c r="F638" s="116">
        <v>508.95</v>
      </c>
      <c r="G638">
        <v>1433</v>
      </c>
      <c r="H638" s="116"/>
      <c r="I638" s="116"/>
      <c r="L638" s="170">
        <v>43822</v>
      </c>
      <c r="M638" s="116">
        <v>508.6</v>
      </c>
      <c r="N638" s="116">
        <v>518.70000000000005</v>
      </c>
      <c r="O638" s="116">
        <v>505</v>
      </c>
      <c r="P638" s="116">
        <v>516</v>
      </c>
      <c r="Q638" s="116">
        <v>508.6</v>
      </c>
      <c r="R638">
        <v>25580</v>
      </c>
    </row>
    <row r="639" spans="1:18" x14ac:dyDescent="0.25">
      <c r="A639" s="170">
        <v>43823</v>
      </c>
      <c r="B639" s="116">
        <v>506.55</v>
      </c>
      <c r="C639" s="116">
        <v>503.9</v>
      </c>
      <c r="D639" s="116">
        <v>502.45</v>
      </c>
      <c r="E639" s="116">
        <v>504.3</v>
      </c>
      <c r="F639" s="116">
        <v>503.9</v>
      </c>
      <c r="G639">
        <v>123</v>
      </c>
      <c r="H639" s="116"/>
      <c r="I639" s="116"/>
      <c r="L639" s="170">
        <v>43823</v>
      </c>
      <c r="M639" s="116">
        <v>502.1</v>
      </c>
      <c r="N639" s="116">
        <v>508.5</v>
      </c>
      <c r="O639" s="116">
        <v>501</v>
      </c>
      <c r="P639" s="116">
        <v>505</v>
      </c>
      <c r="Q639" s="116">
        <v>502.1</v>
      </c>
      <c r="R639">
        <v>41597</v>
      </c>
    </row>
    <row r="640" spans="1:18" x14ac:dyDescent="0.25">
      <c r="A640" s="170">
        <v>43825</v>
      </c>
      <c r="B640" s="116">
        <v>509.35</v>
      </c>
      <c r="C640" s="116">
        <v>493.55</v>
      </c>
      <c r="D640" s="116">
        <v>490.55</v>
      </c>
      <c r="E640" s="116">
        <v>505.2</v>
      </c>
      <c r="F640" s="116">
        <v>493.55</v>
      </c>
      <c r="G640">
        <v>2776</v>
      </c>
      <c r="H640" s="116"/>
      <c r="I640" s="116"/>
      <c r="L640" s="170">
        <v>43825</v>
      </c>
      <c r="M640" s="116">
        <v>493.3</v>
      </c>
      <c r="N640" s="116">
        <v>509</v>
      </c>
      <c r="O640" s="116">
        <v>490.15</v>
      </c>
      <c r="P640" s="116">
        <v>502.1</v>
      </c>
      <c r="Q640" s="116">
        <v>493.3</v>
      </c>
      <c r="R640">
        <v>42082</v>
      </c>
    </row>
    <row r="641" spans="1:18" x14ac:dyDescent="0.25">
      <c r="A641" s="170">
        <v>43826</v>
      </c>
      <c r="B641" s="116">
        <v>500.8</v>
      </c>
      <c r="C641" s="116">
        <v>489.45</v>
      </c>
      <c r="D641" s="116">
        <v>488</v>
      </c>
      <c r="E641" s="116">
        <v>499.85</v>
      </c>
      <c r="F641" s="116">
        <v>489.45</v>
      </c>
      <c r="G641">
        <v>1283</v>
      </c>
      <c r="H641" s="116"/>
      <c r="I641" s="116"/>
      <c r="L641" s="170">
        <v>43826</v>
      </c>
      <c r="M641" s="116">
        <v>491.25</v>
      </c>
      <c r="N641" s="116">
        <v>499</v>
      </c>
      <c r="O641" s="116">
        <v>489</v>
      </c>
      <c r="P641" s="116">
        <v>493</v>
      </c>
      <c r="Q641" s="116">
        <v>491.25</v>
      </c>
      <c r="R641">
        <v>13624</v>
      </c>
    </row>
    <row r="642" spans="1:18" x14ac:dyDescent="0.25">
      <c r="A642" s="170">
        <v>43829</v>
      </c>
      <c r="B642" s="116">
        <v>517.15</v>
      </c>
      <c r="C642" s="116">
        <v>493.9</v>
      </c>
      <c r="D642" s="116">
        <v>490</v>
      </c>
      <c r="E642" s="116">
        <v>507.8</v>
      </c>
      <c r="F642" s="116">
        <v>493.9</v>
      </c>
      <c r="G642">
        <v>4168</v>
      </c>
      <c r="H642" s="116"/>
      <c r="I642" s="116"/>
      <c r="L642" s="170">
        <v>43829</v>
      </c>
      <c r="M642" s="116">
        <v>494.2</v>
      </c>
      <c r="N642" s="116">
        <v>519</v>
      </c>
      <c r="O642" s="116">
        <v>490.1</v>
      </c>
      <c r="P642" s="116">
        <v>507.4</v>
      </c>
      <c r="Q642" s="116">
        <v>494.2</v>
      </c>
      <c r="R642">
        <v>80175</v>
      </c>
    </row>
    <row r="643" spans="1:18" x14ac:dyDescent="0.25">
      <c r="A643" s="170">
        <v>43830</v>
      </c>
      <c r="B643" s="116">
        <v>503</v>
      </c>
      <c r="C643" s="116">
        <v>495.75</v>
      </c>
      <c r="D643" s="116">
        <v>491.3</v>
      </c>
      <c r="E643" s="116">
        <v>503</v>
      </c>
      <c r="F643" s="116">
        <v>495.75</v>
      </c>
      <c r="G643">
        <v>225</v>
      </c>
      <c r="H643" s="116"/>
      <c r="I643" s="116"/>
      <c r="L643" s="170">
        <v>43830</v>
      </c>
      <c r="M643" s="116">
        <v>493.15</v>
      </c>
      <c r="N643" s="116">
        <v>496.6</v>
      </c>
      <c r="O643" s="116">
        <v>488.65</v>
      </c>
      <c r="P643" s="116">
        <v>492.55</v>
      </c>
      <c r="Q643" s="116">
        <v>493.15</v>
      </c>
      <c r="R643">
        <v>27593</v>
      </c>
    </row>
    <row r="644" spans="1:18" x14ac:dyDescent="0.25">
      <c r="A644" s="170">
        <v>43831</v>
      </c>
      <c r="B644" s="116">
        <v>499.8</v>
      </c>
      <c r="C644" s="116">
        <v>496.2</v>
      </c>
      <c r="D644" s="116">
        <v>494.1</v>
      </c>
      <c r="E644" s="116">
        <v>495</v>
      </c>
      <c r="F644" s="116">
        <v>496.2</v>
      </c>
      <c r="G644">
        <v>2336</v>
      </c>
      <c r="H644" s="116"/>
      <c r="I644" s="116"/>
      <c r="L644" s="170">
        <v>43831</v>
      </c>
      <c r="M644" s="116">
        <v>495.55</v>
      </c>
      <c r="N644" s="116">
        <v>500</v>
      </c>
      <c r="O644" s="116">
        <v>492.65</v>
      </c>
      <c r="P644" s="116">
        <v>497.05</v>
      </c>
      <c r="Q644" s="116">
        <v>495.55</v>
      </c>
      <c r="R644">
        <v>13289</v>
      </c>
    </row>
    <row r="645" spans="1:18" x14ac:dyDescent="0.25">
      <c r="A645" s="170">
        <v>43832</v>
      </c>
      <c r="B645" s="116">
        <v>502.95</v>
      </c>
      <c r="C645" s="116">
        <v>498.6</v>
      </c>
      <c r="D645" s="116">
        <v>490.5</v>
      </c>
      <c r="E645" s="116">
        <v>490.5</v>
      </c>
      <c r="F645" s="116">
        <v>498.6</v>
      </c>
      <c r="G645">
        <v>1331</v>
      </c>
      <c r="H645" s="116"/>
      <c r="I645" s="116"/>
      <c r="L645" s="170">
        <v>43832</v>
      </c>
      <c r="M645" s="116">
        <v>499.35</v>
      </c>
      <c r="N645" s="116">
        <v>503.95</v>
      </c>
      <c r="O645" s="116">
        <v>492.1</v>
      </c>
      <c r="P645" s="116">
        <v>498.8</v>
      </c>
      <c r="Q645" s="116">
        <v>499.35</v>
      </c>
      <c r="R645">
        <v>12636</v>
      </c>
    </row>
    <row r="646" spans="1:18" x14ac:dyDescent="0.25">
      <c r="A646" s="170">
        <v>43833</v>
      </c>
      <c r="B646" s="116">
        <v>515.95000000000005</v>
      </c>
      <c r="C646" s="116">
        <v>509.7</v>
      </c>
      <c r="D646" s="116">
        <v>495.95</v>
      </c>
      <c r="E646" s="116">
        <v>496</v>
      </c>
      <c r="F646" s="116">
        <v>509.7</v>
      </c>
      <c r="G646">
        <v>897</v>
      </c>
      <c r="H646" s="116"/>
      <c r="I646" s="116"/>
      <c r="L646" s="170">
        <v>43833</v>
      </c>
      <c r="M646" s="116">
        <v>511.2</v>
      </c>
      <c r="N646" s="116">
        <v>516</v>
      </c>
      <c r="O646" s="116">
        <v>495.05</v>
      </c>
      <c r="P646" s="116">
        <v>498</v>
      </c>
      <c r="Q646" s="116">
        <v>511.2</v>
      </c>
      <c r="R646">
        <v>24450</v>
      </c>
    </row>
    <row r="647" spans="1:18" x14ac:dyDescent="0.25">
      <c r="A647" s="170">
        <v>43836</v>
      </c>
      <c r="B647" s="116">
        <v>517.15</v>
      </c>
      <c r="C647" s="116">
        <v>514.1</v>
      </c>
      <c r="D647" s="116">
        <v>499</v>
      </c>
      <c r="E647" s="116">
        <v>506.5</v>
      </c>
      <c r="F647" s="116">
        <v>514.1</v>
      </c>
      <c r="G647">
        <v>94</v>
      </c>
      <c r="H647" s="116"/>
      <c r="I647" s="116"/>
      <c r="L647" s="170">
        <v>43836</v>
      </c>
      <c r="M647" s="116">
        <v>512.9</v>
      </c>
      <c r="N647" s="116">
        <v>516</v>
      </c>
      <c r="O647" s="116">
        <v>495.35</v>
      </c>
      <c r="P647" s="116">
        <v>506.65</v>
      </c>
      <c r="Q647" s="116">
        <v>512.9</v>
      </c>
      <c r="R647">
        <v>21593</v>
      </c>
    </row>
    <row r="648" spans="1:18" x14ac:dyDescent="0.25">
      <c r="A648" s="170">
        <v>43837</v>
      </c>
      <c r="B648" s="116">
        <v>520</v>
      </c>
      <c r="C648" s="116">
        <v>518.95000000000005</v>
      </c>
      <c r="D648" s="116">
        <v>507.1</v>
      </c>
      <c r="E648" s="116">
        <v>514</v>
      </c>
      <c r="F648" s="116">
        <v>518.95000000000005</v>
      </c>
      <c r="G648">
        <v>2623</v>
      </c>
      <c r="H648" s="116"/>
      <c r="I648" s="116"/>
      <c r="L648" s="170">
        <v>43837</v>
      </c>
      <c r="M648" s="116">
        <v>516.95000000000005</v>
      </c>
      <c r="N648" s="116">
        <v>521</v>
      </c>
      <c r="O648" s="116">
        <v>505.45</v>
      </c>
      <c r="P648" s="116">
        <v>519</v>
      </c>
      <c r="Q648" s="116">
        <v>516.95000000000005</v>
      </c>
      <c r="R648">
        <v>15847</v>
      </c>
    </row>
    <row r="649" spans="1:18" x14ac:dyDescent="0.25">
      <c r="A649" s="170">
        <v>43838</v>
      </c>
      <c r="B649" s="116">
        <v>520</v>
      </c>
      <c r="C649" s="116">
        <v>518.85</v>
      </c>
      <c r="D649" s="116">
        <v>506</v>
      </c>
      <c r="E649" s="116">
        <v>510</v>
      </c>
      <c r="F649" s="116">
        <v>518.85</v>
      </c>
      <c r="G649">
        <v>1012</v>
      </c>
      <c r="H649" s="116"/>
      <c r="I649" s="116"/>
      <c r="L649" s="170">
        <v>43838</v>
      </c>
      <c r="M649" s="116">
        <v>518.35</v>
      </c>
      <c r="N649" s="116">
        <v>523.04999999999995</v>
      </c>
      <c r="O649" s="116">
        <v>505.65</v>
      </c>
      <c r="P649" s="116">
        <v>516.04999999999995</v>
      </c>
      <c r="Q649" s="116">
        <v>518.35</v>
      </c>
      <c r="R649">
        <v>12793</v>
      </c>
    </row>
    <row r="650" spans="1:18" x14ac:dyDescent="0.25">
      <c r="A650" s="170">
        <v>43839</v>
      </c>
      <c r="B650" s="116">
        <v>524.70000000000005</v>
      </c>
      <c r="C650" s="116">
        <v>520.4</v>
      </c>
      <c r="D650" s="116">
        <v>520</v>
      </c>
      <c r="E650" s="116">
        <v>524.4</v>
      </c>
      <c r="F650" s="116">
        <v>520.4</v>
      </c>
      <c r="G650">
        <v>880</v>
      </c>
      <c r="H650" s="116"/>
      <c r="I650" s="116"/>
      <c r="L650" s="170">
        <v>43839</v>
      </c>
      <c r="M650" s="116">
        <v>520.4</v>
      </c>
      <c r="N650" s="116">
        <v>525</v>
      </c>
      <c r="O650" s="116">
        <v>514.54999999999995</v>
      </c>
      <c r="P650" s="116">
        <v>514.54999999999995</v>
      </c>
      <c r="Q650" s="116">
        <v>520.4</v>
      </c>
      <c r="R650">
        <v>9760</v>
      </c>
    </row>
    <row r="651" spans="1:18" x14ac:dyDescent="0.25">
      <c r="A651" s="170">
        <v>43840</v>
      </c>
      <c r="B651" s="116">
        <v>529.95000000000005</v>
      </c>
      <c r="C651" s="116">
        <v>527</v>
      </c>
      <c r="D651" s="116">
        <v>516.9</v>
      </c>
      <c r="E651" s="116">
        <v>520</v>
      </c>
      <c r="F651" s="116">
        <v>527</v>
      </c>
      <c r="G651">
        <v>5770</v>
      </c>
      <c r="H651" s="116"/>
      <c r="I651" s="116"/>
      <c r="L651" s="170">
        <v>43840</v>
      </c>
      <c r="M651" s="116">
        <v>528.5</v>
      </c>
      <c r="N651" s="116">
        <v>531</v>
      </c>
      <c r="O651" s="116">
        <v>518</v>
      </c>
      <c r="P651" s="116">
        <v>528.25</v>
      </c>
      <c r="Q651" s="116">
        <v>528.5</v>
      </c>
      <c r="R651">
        <v>30274</v>
      </c>
    </row>
    <row r="652" spans="1:18" x14ac:dyDescent="0.25">
      <c r="A652" s="170">
        <v>43843</v>
      </c>
      <c r="B652" s="116">
        <v>555</v>
      </c>
      <c r="C652" s="116">
        <v>543.45000000000005</v>
      </c>
      <c r="D652" s="116">
        <v>525</v>
      </c>
      <c r="E652" s="116">
        <v>526</v>
      </c>
      <c r="F652" s="116">
        <v>543.45000000000005</v>
      </c>
      <c r="G652">
        <v>4504</v>
      </c>
      <c r="H652" s="116"/>
      <c r="I652" s="116"/>
      <c r="L652" s="170">
        <v>43843</v>
      </c>
      <c r="M652" s="116">
        <v>547.54999999999995</v>
      </c>
      <c r="N652" s="116">
        <v>560</v>
      </c>
      <c r="O652" s="116">
        <v>524.25</v>
      </c>
      <c r="P652" s="116">
        <v>529.95000000000005</v>
      </c>
      <c r="Q652" s="116">
        <v>547.54999999999995</v>
      </c>
      <c r="R652">
        <v>42349</v>
      </c>
    </row>
    <row r="653" spans="1:18" x14ac:dyDescent="0.25">
      <c r="A653" s="170">
        <v>43844</v>
      </c>
      <c r="B653" s="116">
        <v>557.9</v>
      </c>
      <c r="C653" s="116">
        <v>548.6</v>
      </c>
      <c r="D653" s="116">
        <v>546.65</v>
      </c>
      <c r="E653" s="116">
        <v>550</v>
      </c>
      <c r="F653" s="116">
        <v>548.6</v>
      </c>
      <c r="G653">
        <v>1267</v>
      </c>
      <c r="H653" s="116"/>
      <c r="I653" s="116"/>
      <c r="L653" s="170">
        <v>43844</v>
      </c>
      <c r="M653" s="116">
        <v>548.95000000000005</v>
      </c>
      <c r="N653" s="116">
        <v>557.79999999999995</v>
      </c>
      <c r="O653" s="116">
        <v>545.4</v>
      </c>
      <c r="P653" s="116">
        <v>548.54999999999995</v>
      </c>
      <c r="Q653" s="116">
        <v>548.95000000000005</v>
      </c>
      <c r="R653">
        <v>36244</v>
      </c>
    </row>
    <row r="654" spans="1:18" x14ac:dyDescent="0.25">
      <c r="A654" s="170">
        <v>43845</v>
      </c>
      <c r="B654" s="116">
        <v>551.4</v>
      </c>
      <c r="C654" s="116">
        <v>549.70000000000005</v>
      </c>
      <c r="D654" s="116">
        <v>543</v>
      </c>
      <c r="E654" s="116">
        <v>550.79999999999995</v>
      </c>
      <c r="F654" s="116">
        <v>549.70000000000005</v>
      </c>
      <c r="G654">
        <v>3778</v>
      </c>
      <c r="H654" s="116"/>
      <c r="I654" s="116"/>
      <c r="L654" s="170">
        <v>43845</v>
      </c>
      <c r="M654" s="116">
        <v>549.9</v>
      </c>
      <c r="N654" s="116">
        <v>552.5</v>
      </c>
      <c r="O654" s="116">
        <v>535.54999999999995</v>
      </c>
      <c r="P654" s="116">
        <v>535.54999999999995</v>
      </c>
      <c r="Q654" s="116">
        <v>549.9</v>
      </c>
      <c r="R654">
        <v>25559</v>
      </c>
    </row>
    <row r="655" spans="1:18" x14ac:dyDescent="0.25">
      <c r="A655" s="170">
        <v>43846</v>
      </c>
      <c r="B655" s="116">
        <v>555.65</v>
      </c>
      <c r="C655" s="116">
        <v>544.35</v>
      </c>
      <c r="D655" s="116">
        <v>544.1</v>
      </c>
      <c r="E655" s="116">
        <v>555</v>
      </c>
      <c r="F655" s="116">
        <v>544.35</v>
      </c>
      <c r="G655">
        <v>545</v>
      </c>
      <c r="H655" s="116"/>
      <c r="I655" s="116"/>
      <c r="L655" s="170">
        <v>43846</v>
      </c>
      <c r="M655" s="116">
        <v>543.95000000000005</v>
      </c>
      <c r="N655" s="116">
        <v>557</v>
      </c>
      <c r="O655" s="116">
        <v>542</v>
      </c>
      <c r="P655" s="116">
        <v>557</v>
      </c>
      <c r="Q655" s="116">
        <v>543.95000000000005</v>
      </c>
      <c r="R655">
        <v>9926</v>
      </c>
    </row>
    <row r="656" spans="1:18" x14ac:dyDescent="0.25">
      <c r="A656" s="170">
        <v>43847</v>
      </c>
      <c r="B656" s="116">
        <v>553</v>
      </c>
      <c r="C656" s="116">
        <v>543.6</v>
      </c>
      <c r="D656" s="116">
        <v>542</v>
      </c>
      <c r="E656" s="116">
        <v>545.75</v>
      </c>
      <c r="F656" s="116">
        <v>543.6</v>
      </c>
      <c r="G656">
        <v>1672</v>
      </c>
      <c r="H656" s="116"/>
      <c r="I656" s="116"/>
      <c r="L656" s="170">
        <v>43847</v>
      </c>
      <c r="M656" s="116">
        <v>543.85</v>
      </c>
      <c r="N656" s="116">
        <v>555</v>
      </c>
      <c r="O656" s="116">
        <v>540</v>
      </c>
      <c r="P656" s="116">
        <v>540.04999999999995</v>
      </c>
      <c r="Q656" s="116">
        <v>543.85</v>
      </c>
      <c r="R656">
        <v>27969</v>
      </c>
    </row>
    <row r="657" spans="1:18" x14ac:dyDescent="0.25">
      <c r="A657" s="170">
        <v>43850</v>
      </c>
      <c r="B657" s="116">
        <v>544</v>
      </c>
      <c r="C657" s="116">
        <v>534.1</v>
      </c>
      <c r="D657" s="116">
        <v>533.79999999999995</v>
      </c>
      <c r="E657" s="116">
        <v>542.5</v>
      </c>
      <c r="F657" s="116">
        <v>534.1</v>
      </c>
      <c r="G657">
        <v>510</v>
      </c>
      <c r="H657" s="116"/>
      <c r="I657" s="116"/>
      <c r="L657" s="170">
        <v>43850</v>
      </c>
      <c r="M657" s="116">
        <v>534.35</v>
      </c>
      <c r="N657" s="116">
        <v>547.15</v>
      </c>
      <c r="O657" s="116">
        <v>532.1</v>
      </c>
      <c r="P657" s="116">
        <v>546.1</v>
      </c>
      <c r="Q657" s="116">
        <v>534.35</v>
      </c>
      <c r="R657">
        <v>10658</v>
      </c>
    </row>
    <row r="658" spans="1:18" x14ac:dyDescent="0.25">
      <c r="A658" s="170">
        <v>43851</v>
      </c>
      <c r="B658" s="116">
        <v>539.95000000000005</v>
      </c>
      <c r="C658" s="116">
        <v>531.45000000000005</v>
      </c>
      <c r="D658" s="116">
        <v>529.45000000000005</v>
      </c>
      <c r="E658" s="116">
        <v>534</v>
      </c>
      <c r="F658" s="116">
        <v>531.45000000000005</v>
      </c>
      <c r="G658">
        <v>671</v>
      </c>
      <c r="H658" s="116"/>
      <c r="I658" s="116"/>
      <c r="L658" s="170">
        <v>43851</v>
      </c>
      <c r="M658" s="116">
        <v>530.65</v>
      </c>
      <c r="N658" s="116">
        <v>545</v>
      </c>
      <c r="O658" s="116">
        <v>528.04999999999995</v>
      </c>
      <c r="P658" s="116">
        <v>538</v>
      </c>
      <c r="Q658" s="116">
        <v>530.65</v>
      </c>
      <c r="R658">
        <v>17519</v>
      </c>
    </row>
    <row r="659" spans="1:18" x14ac:dyDescent="0.25">
      <c r="A659" s="170">
        <v>43852</v>
      </c>
      <c r="B659" s="116">
        <v>539.35</v>
      </c>
      <c r="C659" s="116">
        <v>532</v>
      </c>
      <c r="D659" s="116">
        <v>529</v>
      </c>
      <c r="E659" s="116">
        <v>535</v>
      </c>
      <c r="F659" s="116">
        <v>532</v>
      </c>
      <c r="G659">
        <v>657</v>
      </c>
      <c r="H659" s="116"/>
      <c r="I659" s="116"/>
      <c r="L659" s="170">
        <v>43852</v>
      </c>
      <c r="M659" s="116">
        <v>533.65</v>
      </c>
      <c r="N659" s="116">
        <v>540</v>
      </c>
      <c r="O659" s="116">
        <v>530</v>
      </c>
      <c r="P659" s="116">
        <v>537.95000000000005</v>
      </c>
      <c r="Q659" s="116">
        <v>533.65</v>
      </c>
      <c r="R659">
        <v>7341</v>
      </c>
    </row>
    <row r="660" spans="1:18" x14ac:dyDescent="0.25">
      <c r="A660" s="170">
        <v>43853</v>
      </c>
      <c r="B660" s="116">
        <v>535.75</v>
      </c>
      <c r="C660" s="116">
        <v>530.6</v>
      </c>
      <c r="D660" s="116">
        <v>528.1</v>
      </c>
      <c r="E660" s="116">
        <v>535.29999999999995</v>
      </c>
      <c r="F660" s="116">
        <v>530.6</v>
      </c>
      <c r="G660">
        <v>764</v>
      </c>
      <c r="H660" s="116"/>
      <c r="I660" s="116"/>
      <c r="L660" s="170">
        <v>43853</v>
      </c>
      <c r="M660" s="116">
        <v>532</v>
      </c>
      <c r="N660" s="116">
        <v>535.04999999999995</v>
      </c>
      <c r="O660" s="116">
        <v>528</v>
      </c>
      <c r="P660" s="116">
        <v>534.79999999999995</v>
      </c>
      <c r="Q660" s="116">
        <v>532</v>
      </c>
      <c r="R660">
        <v>15310</v>
      </c>
    </row>
    <row r="661" spans="1:18" x14ac:dyDescent="0.25">
      <c r="A661" s="170">
        <v>43854</v>
      </c>
      <c r="B661" s="116">
        <v>531.35</v>
      </c>
      <c r="C661" s="116">
        <v>524.75</v>
      </c>
      <c r="D661" s="116">
        <v>522.04999999999995</v>
      </c>
      <c r="E661" s="116">
        <v>530</v>
      </c>
      <c r="F661" s="116">
        <v>524.75</v>
      </c>
      <c r="G661">
        <v>758</v>
      </c>
      <c r="H661" s="116"/>
      <c r="I661" s="116"/>
      <c r="L661" s="170">
        <v>43854</v>
      </c>
      <c r="M661" s="116">
        <v>525.5</v>
      </c>
      <c r="N661" s="116">
        <v>535</v>
      </c>
      <c r="O661" s="116">
        <v>521.1</v>
      </c>
      <c r="P661" s="116">
        <v>535</v>
      </c>
      <c r="Q661" s="116">
        <v>525.5</v>
      </c>
      <c r="R661">
        <v>13222</v>
      </c>
    </row>
    <row r="662" spans="1:18" x14ac:dyDescent="0.25">
      <c r="A662" s="170">
        <v>43857</v>
      </c>
      <c r="B662" s="116">
        <v>545</v>
      </c>
      <c r="C662" s="116">
        <v>529.1</v>
      </c>
      <c r="D662" s="116">
        <v>525.4</v>
      </c>
      <c r="E662" s="116">
        <v>525.4</v>
      </c>
      <c r="F662" s="116">
        <v>529.1</v>
      </c>
      <c r="G662">
        <v>910</v>
      </c>
      <c r="H662" s="116"/>
      <c r="I662" s="116"/>
      <c r="L662" s="170">
        <v>43857</v>
      </c>
      <c r="M662" s="116">
        <v>529.5</v>
      </c>
      <c r="N662" s="116">
        <v>542.29999999999995</v>
      </c>
      <c r="O662" s="116">
        <v>527</v>
      </c>
      <c r="P662" s="116">
        <v>532.85</v>
      </c>
      <c r="Q662" s="116">
        <v>529.5</v>
      </c>
      <c r="R662">
        <v>24835</v>
      </c>
    </row>
    <row r="663" spans="1:18" x14ac:dyDescent="0.25">
      <c r="A663" s="170">
        <v>43858</v>
      </c>
      <c r="B663" s="116">
        <v>530</v>
      </c>
      <c r="C663" s="116">
        <v>529.54999999999995</v>
      </c>
      <c r="D663" s="116">
        <v>525</v>
      </c>
      <c r="E663" s="116">
        <v>529.35</v>
      </c>
      <c r="F663" s="116">
        <v>529.54999999999995</v>
      </c>
      <c r="G663">
        <v>473</v>
      </c>
      <c r="H663" s="116"/>
      <c r="I663" s="116"/>
      <c r="L663" s="170">
        <v>43858</v>
      </c>
      <c r="M663" s="116">
        <v>527.29999999999995</v>
      </c>
      <c r="N663" s="116">
        <v>535</v>
      </c>
      <c r="O663" s="116">
        <v>524</v>
      </c>
      <c r="P663" s="116">
        <v>535</v>
      </c>
      <c r="Q663" s="116">
        <v>527.29999999999995</v>
      </c>
      <c r="R663">
        <v>10343</v>
      </c>
    </row>
    <row r="664" spans="1:18" x14ac:dyDescent="0.25">
      <c r="A664" s="170">
        <v>43859</v>
      </c>
      <c r="B664" s="116">
        <v>535</v>
      </c>
      <c r="C664" s="116">
        <v>529.6</v>
      </c>
      <c r="D664" s="116">
        <v>524.1</v>
      </c>
      <c r="E664" s="116">
        <v>532.65</v>
      </c>
      <c r="F664" s="116">
        <v>529.6</v>
      </c>
      <c r="G664">
        <v>508</v>
      </c>
      <c r="H664" s="116"/>
      <c r="I664" s="116"/>
      <c r="L664" s="170">
        <v>43859</v>
      </c>
      <c r="M664" s="116">
        <v>529</v>
      </c>
      <c r="N664" s="116">
        <v>545</v>
      </c>
      <c r="O664" s="116">
        <v>524</v>
      </c>
      <c r="P664" s="116">
        <v>545</v>
      </c>
      <c r="Q664" s="116">
        <v>529</v>
      </c>
      <c r="R664">
        <v>11196</v>
      </c>
    </row>
    <row r="665" spans="1:18" x14ac:dyDescent="0.25">
      <c r="A665" s="170">
        <v>43860</v>
      </c>
      <c r="B665" s="116">
        <v>528.4</v>
      </c>
      <c r="C665" s="116">
        <v>523.15</v>
      </c>
      <c r="D665" s="116">
        <v>517.15</v>
      </c>
      <c r="E665" s="116">
        <v>520.54999999999995</v>
      </c>
      <c r="F665" s="116">
        <v>523.15</v>
      </c>
      <c r="G665">
        <v>554</v>
      </c>
      <c r="H665" s="116"/>
      <c r="I665" s="116"/>
      <c r="L665" s="170">
        <v>43860</v>
      </c>
      <c r="M665" s="116">
        <v>520.9</v>
      </c>
      <c r="N665" s="116">
        <v>528</v>
      </c>
      <c r="O665" s="116">
        <v>516.20000000000005</v>
      </c>
      <c r="P665" s="116">
        <v>525.29999999999995</v>
      </c>
      <c r="Q665" s="116">
        <v>520.9</v>
      </c>
      <c r="R665">
        <v>12093</v>
      </c>
    </row>
    <row r="666" spans="1:18" x14ac:dyDescent="0.25">
      <c r="A666" s="170">
        <v>43861</v>
      </c>
      <c r="B666" s="116">
        <v>519.15</v>
      </c>
      <c r="C666" s="116">
        <v>514.85</v>
      </c>
      <c r="D666" s="116">
        <v>510</v>
      </c>
      <c r="E666" s="116">
        <v>510</v>
      </c>
      <c r="F666" s="116">
        <v>514.85</v>
      </c>
      <c r="G666">
        <v>241</v>
      </c>
      <c r="H666" s="116"/>
      <c r="I666" s="116"/>
      <c r="L666" s="170">
        <v>43861</v>
      </c>
      <c r="M666" s="116">
        <v>515.5</v>
      </c>
      <c r="N666" s="116">
        <v>521.04999999999995</v>
      </c>
      <c r="O666" s="116">
        <v>509.9</v>
      </c>
      <c r="P666" s="116">
        <v>514</v>
      </c>
      <c r="Q666" s="116">
        <v>515.5</v>
      </c>
      <c r="R666">
        <v>7476</v>
      </c>
    </row>
    <row r="667" spans="1:18" x14ac:dyDescent="0.25">
      <c r="A667" s="170">
        <v>43862</v>
      </c>
      <c r="B667" s="116">
        <v>529</v>
      </c>
      <c r="C667" s="116">
        <v>515.45000000000005</v>
      </c>
      <c r="D667" s="116">
        <v>513</v>
      </c>
      <c r="E667" s="116">
        <v>524</v>
      </c>
      <c r="F667" s="116">
        <v>515.45000000000005</v>
      </c>
      <c r="G667">
        <v>426</v>
      </c>
      <c r="H667" s="116"/>
      <c r="I667" s="116"/>
      <c r="L667" s="170">
        <v>43862</v>
      </c>
      <c r="M667" s="116">
        <v>516.65</v>
      </c>
      <c r="N667" s="116">
        <v>530.35</v>
      </c>
      <c r="O667" s="116">
        <v>512</v>
      </c>
      <c r="P667" s="116">
        <v>527</v>
      </c>
      <c r="Q667" s="116">
        <v>516.65</v>
      </c>
      <c r="R667">
        <v>9789</v>
      </c>
    </row>
    <row r="668" spans="1:18" x14ac:dyDescent="0.25">
      <c r="A668" s="170">
        <v>43864</v>
      </c>
      <c r="B668" s="116">
        <v>512.35</v>
      </c>
      <c r="C668" s="116">
        <v>504.9</v>
      </c>
      <c r="D668" s="116">
        <v>502.3</v>
      </c>
      <c r="E668" s="116">
        <v>508</v>
      </c>
      <c r="F668" s="116">
        <v>504.9</v>
      </c>
      <c r="G668">
        <v>827</v>
      </c>
      <c r="H668" s="116"/>
      <c r="I668" s="116"/>
      <c r="L668" s="170">
        <v>43864</v>
      </c>
      <c r="M668" s="116">
        <v>504.4</v>
      </c>
      <c r="N668" s="116">
        <v>523.15</v>
      </c>
      <c r="O668" s="116">
        <v>503</v>
      </c>
      <c r="P668" s="116">
        <v>519.95000000000005</v>
      </c>
      <c r="Q668" s="116">
        <v>504.4</v>
      </c>
      <c r="R668">
        <v>13837</v>
      </c>
    </row>
    <row r="669" spans="1:18" x14ac:dyDescent="0.25">
      <c r="A669" s="170">
        <v>43865</v>
      </c>
      <c r="B669" s="116">
        <v>520.5</v>
      </c>
      <c r="C669" s="116">
        <v>517.79999999999995</v>
      </c>
      <c r="D669" s="116">
        <v>506</v>
      </c>
      <c r="E669" s="116">
        <v>510</v>
      </c>
      <c r="F669" s="116">
        <v>517.79999999999995</v>
      </c>
      <c r="G669">
        <v>1067</v>
      </c>
      <c r="H669" s="116"/>
      <c r="I669" s="116"/>
      <c r="L669" s="170">
        <v>43865</v>
      </c>
      <c r="M669" s="116">
        <v>518.95000000000005</v>
      </c>
      <c r="N669" s="116">
        <v>520.5</v>
      </c>
      <c r="O669" s="116">
        <v>500</v>
      </c>
      <c r="P669" s="116">
        <v>500</v>
      </c>
      <c r="Q669" s="116">
        <v>518.95000000000005</v>
      </c>
      <c r="R669">
        <v>8354</v>
      </c>
    </row>
    <row r="670" spans="1:18" x14ac:dyDescent="0.25">
      <c r="A670" s="170">
        <v>43866</v>
      </c>
      <c r="B670" s="116">
        <v>526</v>
      </c>
      <c r="C670" s="116">
        <v>522.35</v>
      </c>
      <c r="D670" s="116">
        <v>517</v>
      </c>
      <c r="E670" s="116">
        <v>525.5</v>
      </c>
      <c r="F670" s="116">
        <v>522.35</v>
      </c>
      <c r="G670">
        <v>664</v>
      </c>
      <c r="H670" s="116"/>
      <c r="I670" s="116"/>
      <c r="L670" s="170">
        <v>43866</v>
      </c>
      <c r="M670" s="116">
        <v>522.6</v>
      </c>
      <c r="N670" s="116">
        <v>527.5</v>
      </c>
      <c r="O670" s="116">
        <v>515</v>
      </c>
      <c r="P670" s="116">
        <v>520.04999999999995</v>
      </c>
      <c r="Q670" s="116">
        <v>522.6</v>
      </c>
      <c r="R670">
        <v>11360</v>
      </c>
    </row>
    <row r="671" spans="1:18" x14ac:dyDescent="0.25">
      <c r="A671" s="170">
        <v>43867</v>
      </c>
      <c r="B671" s="116">
        <v>525</v>
      </c>
      <c r="C671" s="116">
        <v>514.25</v>
      </c>
      <c r="D671" s="116">
        <v>511.6</v>
      </c>
      <c r="E671" s="116">
        <v>517.25</v>
      </c>
      <c r="F671" s="116">
        <v>514.25</v>
      </c>
      <c r="G671">
        <v>749</v>
      </c>
      <c r="H671" s="116"/>
      <c r="I671" s="116"/>
      <c r="L671" s="170">
        <v>43867</v>
      </c>
      <c r="M671" s="116">
        <v>515</v>
      </c>
      <c r="N671" s="116">
        <v>525</v>
      </c>
      <c r="O671" s="116">
        <v>513</v>
      </c>
      <c r="P671" s="116">
        <v>522.65</v>
      </c>
      <c r="Q671" s="116">
        <v>515</v>
      </c>
      <c r="R671">
        <v>16741</v>
      </c>
    </row>
    <row r="672" spans="1:18" x14ac:dyDescent="0.25">
      <c r="A672" s="170">
        <v>43868</v>
      </c>
      <c r="B672" s="116">
        <v>524.35</v>
      </c>
      <c r="C672" s="116">
        <v>510.8</v>
      </c>
      <c r="D672" s="116">
        <v>508.1</v>
      </c>
      <c r="E672" s="116">
        <v>520</v>
      </c>
      <c r="F672" s="116">
        <v>510.8</v>
      </c>
      <c r="G672">
        <v>6902</v>
      </c>
      <c r="H672" s="116"/>
      <c r="I672" s="116"/>
      <c r="L672" s="170">
        <v>43868</v>
      </c>
      <c r="M672" s="116">
        <v>510.75</v>
      </c>
      <c r="N672" s="116">
        <v>522.75</v>
      </c>
      <c r="O672" s="116">
        <v>509</v>
      </c>
      <c r="P672" s="116">
        <v>521.79999999999995</v>
      </c>
      <c r="Q672" s="116">
        <v>510.75</v>
      </c>
      <c r="R672">
        <v>192995</v>
      </c>
    </row>
    <row r="673" spans="1:18" x14ac:dyDescent="0.25">
      <c r="A673" s="170">
        <v>43871</v>
      </c>
      <c r="B673" s="116">
        <v>520</v>
      </c>
      <c r="C673" s="116">
        <v>518.29999999999995</v>
      </c>
      <c r="D673" s="116">
        <v>515</v>
      </c>
      <c r="E673" s="116">
        <v>518.1</v>
      </c>
      <c r="F673" s="116">
        <v>518.29999999999995</v>
      </c>
      <c r="G673">
        <v>2110</v>
      </c>
      <c r="H673" s="116"/>
      <c r="I673" s="116"/>
      <c r="L673" s="170">
        <v>43871</v>
      </c>
      <c r="M673" s="116">
        <v>519.25</v>
      </c>
      <c r="N673" s="116">
        <v>520.5</v>
      </c>
      <c r="O673" s="116">
        <v>513.75</v>
      </c>
      <c r="P673" s="116">
        <v>516.5</v>
      </c>
      <c r="Q673" s="116">
        <v>519.25</v>
      </c>
      <c r="R673">
        <v>51566</v>
      </c>
    </row>
    <row r="674" spans="1:18" x14ac:dyDescent="0.25">
      <c r="A674" s="170">
        <v>43872</v>
      </c>
      <c r="B674" s="116">
        <v>535</v>
      </c>
      <c r="C674" s="116">
        <v>508.9</v>
      </c>
      <c r="D674" s="116">
        <v>505.3</v>
      </c>
      <c r="E674" s="116">
        <v>519</v>
      </c>
      <c r="F674" s="116">
        <v>508.9</v>
      </c>
      <c r="G674">
        <v>2862</v>
      </c>
      <c r="H674" s="116"/>
      <c r="I674" s="116"/>
      <c r="L674" s="170">
        <v>43872</v>
      </c>
      <c r="M674" s="116">
        <v>508.5</v>
      </c>
      <c r="N674" s="116">
        <v>539.95000000000005</v>
      </c>
      <c r="O674" s="116">
        <v>506.2</v>
      </c>
      <c r="P674" s="116">
        <v>526.9</v>
      </c>
      <c r="Q674" s="116">
        <v>508.5</v>
      </c>
      <c r="R674">
        <v>76488</v>
      </c>
    </row>
    <row r="675" spans="1:18" x14ac:dyDescent="0.25">
      <c r="A675" s="170">
        <v>43873</v>
      </c>
      <c r="B675" s="116">
        <v>513.95000000000005</v>
      </c>
      <c r="C675" s="116">
        <v>510.3</v>
      </c>
      <c r="D675" s="116">
        <v>500</v>
      </c>
      <c r="E675" s="116">
        <v>509</v>
      </c>
      <c r="F675" s="116">
        <v>510.3</v>
      </c>
      <c r="G675">
        <v>1605</v>
      </c>
      <c r="H675" s="116"/>
      <c r="I675" s="116"/>
      <c r="L675" s="170">
        <v>43873</v>
      </c>
      <c r="M675" s="116">
        <v>510.3</v>
      </c>
      <c r="N675" s="116">
        <v>515.79999999999995</v>
      </c>
      <c r="O675" s="116">
        <v>508</v>
      </c>
      <c r="P675" s="116">
        <v>512.6</v>
      </c>
      <c r="Q675" s="116">
        <v>510.3</v>
      </c>
      <c r="R675">
        <v>10666</v>
      </c>
    </row>
    <row r="676" spans="1:18" x14ac:dyDescent="0.25">
      <c r="A676" s="170">
        <v>43874</v>
      </c>
      <c r="B676" s="116">
        <v>515.1</v>
      </c>
      <c r="C676" s="116">
        <v>510.25</v>
      </c>
      <c r="D676" s="116">
        <v>507.1</v>
      </c>
      <c r="E676" s="116">
        <v>510</v>
      </c>
      <c r="F676" s="116">
        <v>510.25</v>
      </c>
      <c r="G676">
        <v>454</v>
      </c>
      <c r="H676" s="116"/>
      <c r="I676" s="116"/>
      <c r="L676" s="170">
        <v>43874</v>
      </c>
      <c r="M676" s="116">
        <v>509.4</v>
      </c>
      <c r="N676" s="116">
        <v>522</v>
      </c>
      <c r="O676" s="116">
        <v>506.1</v>
      </c>
      <c r="P676" s="116">
        <v>522</v>
      </c>
      <c r="Q676" s="116">
        <v>509.4</v>
      </c>
      <c r="R676">
        <v>7536</v>
      </c>
    </row>
    <row r="677" spans="1:18" x14ac:dyDescent="0.25">
      <c r="A677" s="170">
        <v>43875</v>
      </c>
      <c r="B677" s="116">
        <v>514.1</v>
      </c>
      <c r="C677" s="116">
        <v>505.85</v>
      </c>
      <c r="D677" s="116">
        <v>505</v>
      </c>
      <c r="E677" s="116">
        <v>513.45000000000005</v>
      </c>
      <c r="F677" s="116">
        <v>505.85</v>
      </c>
      <c r="G677">
        <v>1241</v>
      </c>
      <c r="H677" s="116"/>
      <c r="I677" s="116"/>
      <c r="L677" s="170">
        <v>43875</v>
      </c>
      <c r="M677" s="116">
        <v>507.35</v>
      </c>
      <c r="N677" s="116">
        <v>514</v>
      </c>
      <c r="O677" s="116">
        <v>504.7</v>
      </c>
      <c r="P677" s="116">
        <v>509.4</v>
      </c>
      <c r="Q677" s="116">
        <v>507.35</v>
      </c>
      <c r="R677">
        <v>18085</v>
      </c>
    </row>
    <row r="678" spans="1:18" x14ac:dyDescent="0.25">
      <c r="A678" s="170">
        <v>43878</v>
      </c>
      <c r="B678" s="116">
        <v>525.25</v>
      </c>
      <c r="C678" s="116">
        <v>519.4</v>
      </c>
      <c r="D678" s="116">
        <v>513.04999999999995</v>
      </c>
      <c r="E678" s="116">
        <v>523</v>
      </c>
      <c r="F678" s="116">
        <v>519.4</v>
      </c>
      <c r="G678">
        <v>2858</v>
      </c>
      <c r="H678" s="116"/>
      <c r="I678" s="116"/>
      <c r="L678" s="170">
        <v>43878</v>
      </c>
      <c r="M678" s="116">
        <v>519.45000000000005</v>
      </c>
      <c r="N678" s="116">
        <v>524.70000000000005</v>
      </c>
      <c r="O678" s="116">
        <v>516</v>
      </c>
      <c r="P678" s="116">
        <v>519</v>
      </c>
      <c r="Q678" s="116">
        <v>519.45000000000005</v>
      </c>
      <c r="R678">
        <v>86871</v>
      </c>
    </row>
    <row r="679" spans="1:18" x14ac:dyDescent="0.25">
      <c r="A679" s="170">
        <v>43879</v>
      </c>
      <c r="B679" s="116">
        <v>521.45000000000005</v>
      </c>
      <c r="C679" s="116">
        <v>520.1</v>
      </c>
      <c r="D679" s="116">
        <v>515.20000000000005</v>
      </c>
      <c r="E679" s="116">
        <v>520.6</v>
      </c>
      <c r="F679" s="116">
        <v>520.1</v>
      </c>
      <c r="G679">
        <v>2276</v>
      </c>
      <c r="H679" s="116"/>
      <c r="I679" s="116"/>
      <c r="L679" s="170">
        <v>43879</v>
      </c>
      <c r="M679" s="116">
        <v>519.6</v>
      </c>
      <c r="N679" s="116">
        <v>524.9</v>
      </c>
      <c r="O679" s="116">
        <v>515</v>
      </c>
      <c r="P679" s="116">
        <v>524.9</v>
      </c>
      <c r="Q679" s="116">
        <v>519.6</v>
      </c>
      <c r="R679">
        <v>23374</v>
      </c>
    </row>
    <row r="680" spans="1:18" x14ac:dyDescent="0.25">
      <c r="A680" s="170">
        <v>43880</v>
      </c>
      <c r="B680" s="116">
        <v>521.35</v>
      </c>
      <c r="C680" s="116">
        <v>520.29999999999995</v>
      </c>
      <c r="D680" s="116">
        <v>518</v>
      </c>
      <c r="E680" s="116">
        <v>520.9</v>
      </c>
      <c r="F680" s="116">
        <v>520.29999999999995</v>
      </c>
      <c r="G680">
        <v>532</v>
      </c>
      <c r="H680" s="116"/>
      <c r="I680" s="116"/>
      <c r="L680" s="170">
        <v>43880</v>
      </c>
      <c r="M680" s="116">
        <v>519.95000000000005</v>
      </c>
      <c r="N680" s="116">
        <v>523.95000000000005</v>
      </c>
      <c r="O680" s="116">
        <v>516.25</v>
      </c>
      <c r="P680" s="116">
        <v>523.9</v>
      </c>
      <c r="Q680" s="116">
        <v>519.95000000000005</v>
      </c>
      <c r="R680">
        <v>33682</v>
      </c>
    </row>
    <row r="681" spans="1:18" x14ac:dyDescent="0.25">
      <c r="A681" s="170">
        <v>43881</v>
      </c>
      <c r="B681" s="116">
        <v>525</v>
      </c>
      <c r="C681" s="116">
        <v>519.95000000000005</v>
      </c>
      <c r="D681" s="116">
        <v>515.04999999999995</v>
      </c>
      <c r="E681" s="116">
        <v>518.4</v>
      </c>
      <c r="F681" s="116">
        <v>519.95000000000005</v>
      </c>
      <c r="G681">
        <v>1323</v>
      </c>
      <c r="H681" s="116"/>
      <c r="I681" s="116"/>
      <c r="L681" s="170">
        <v>43881</v>
      </c>
      <c r="M681" s="116">
        <v>517.70000000000005</v>
      </c>
      <c r="N681" s="116">
        <v>524</v>
      </c>
      <c r="O681" s="116">
        <v>515</v>
      </c>
      <c r="P681" s="116">
        <v>520.29999999999995</v>
      </c>
      <c r="Q681" s="116">
        <v>517.70000000000005</v>
      </c>
      <c r="R681">
        <v>18012</v>
      </c>
    </row>
    <row r="682" spans="1:18" x14ac:dyDescent="0.25">
      <c r="A682" s="170">
        <v>43885</v>
      </c>
      <c r="B682" s="116">
        <v>520.9</v>
      </c>
      <c r="C682" s="116">
        <v>512.75</v>
      </c>
      <c r="D682" s="116">
        <v>510.3</v>
      </c>
      <c r="E682" s="116">
        <v>516</v>
      </c>
      <c r="F682" s="116">
        <v>512.75</v>
      </c>
      <c r="G682">
        <v>1523</v>
      </c>
      <c r="H682" s="116"/>
      <c r="I682" s="116"/>
      <c r="L682" s="170">
        <v>43885</v>
      </c>
      <c r="M682" s="116">
        <v>513.70000000000005</v>
      </c>
      <c r="N682" s="116">
        <v>521</v>
      </c>
      <c r="O682" s="116">
        <v>511.8</v>
      </c>
      <c r="P682" s="116">
        <v>517.70000000000005</v>
      </c>
      <c r="Q682" s="116">
        <v>513.70000000000005</v>
      </c>
      <c r="R682">
        <v>23158</v>
      </c>
    </row>
    <row r="683" spans="1:18" x14ac:dyDescent="0.25">
      <c r="A683" s="170">
        <v>43886</v>
      </c>
      <c r="B683" s="116">
        <v>518.6</v>
      </c>
      <c r="C683" s="116">
        <v>514.29999999999995</v>
      </c>
      <c r="D683" s="116">
        <v>511.25</v>
      </c>
      <c r="E683" s="116">
        <v>512.1</v>
      </c>
      <c r="F683" s="116">
        <v>514.29999999999995</v>
      </c>
      <c r="G683">
        <v>471</v>
      </c>
      <c r="H683" s="116"/>
      <c r="I683" s="116"/>
      <c r="L683" s="170">
        <v>43886</v>
      </c>
      <c r="M683" s="116">
        <v>514.1</v>
      </c>
      <c r="N683" s="116">
        <v>517.75</v>
      </c>
      <c r="O683" s="116">
        <v>511.25</v>
      </c>
      <c r="P683" s="116">
        <v>512</v>
      </c>
      <c r="Q683" s="116">
        <v>514.1</v>
      </c>
      <c r="R683">
        <v>8383</v>
      </c>
    </row>
    <row r="684" spans="1:18" x14ac:dyDescent="0.25">
      <c r="A684" s="170">
        <v>43887</v>
      </c>
      <c r="B684" s="116">
        <v>511.05</v>
      </c>
      <c r="C684" s="116">
        <v>505.45</v>
      </c>
      <c r="D684" s="116">
        <v>505</v>
      </c>
      <c r="E684" s="116">
        <v>511</v>
      </c>
      <c r="F684" s="116">
        <v>505.45</v>
      </c>
      <c r="G684">
        <v>530</v>
      </c>
      <c r="H684" s="116"/>
      <c r="I684" s="116"/>
      <c r="L684" s="170">
        <v>43887</v>
      </c>
      <c r="M684" s="116">
        <v>504.95</v>
      </c>
      <c r="N684" s="116">
        <v>512</v>
      </c>
      <c r="O684" s="116">
        <v>504</v>
      </c>
      <c r="P684" s="116">
        <v>512</v>
      </c>
      <c r="Q684" s="116">
        <v>504.95</v>
      </c>
      <c r="R684">
        <v>11650</v>
      </c>
    </row>
    <row r="685" spans="1:18" x14ac:dyDescent="0.25">
      <c r="A685" s="170">
        <v>43888</v>
      </c>
      <c r="B685" s="116">
        <v>499</v>
      </c>
      <c r="C685" s="116">
        <v>489.3</v>
      </c>
      <c r="D685" s="116">
        <v>483.35</v>
      </c>
      <c r="E685" s="116">
        <v>499</v>
      </c>
      <c r="F685" s="116">
        <v>489.3</v>
      </c>
      <c r="G685">
        <v>1653</v>
      </c>
      <c r="H685" s="116"/>
      <c r="I685" s="116"/>
      <c r="L685" s="170">
        <v>43888</v>
      </c>
      <c r="M685" s="116">
        <v>488.1</v>
      </c>
      <c r="N685" s="116">
        <v>512.5</v>
      </c>
      <c r="O685" s="116">
        <v>482.2</v>
      </c>
      <c r="P685" s="116">
        <v>508.1</v>
      </c>
      <c r="Q685" s="116">
        <v>488.1</v>
      </c>
      <c r="R685">
        <v>34055</v>
      </c>
    </row>
    <row r="686" spans="1:18" x14ac:dyDescent="0.25">
      <c r="A686" s="170">
        <v>43889</v>
      </c>
      <c r="B686" s="116">
        <v>493.9</v>
      </c>
      <c r="C686" s="116">
        <v>490.4</v>
      </c>
      <c r="D686" s="116">
        <v>468</v>
      </c>
      <c r="E686" s="116">
        <v>472.2</v>
      </c>
      <c r="F686" s="116">
        <v>490.4</v>
      </c>
      <c r="G686">
        <v>1475</v>
      </c>
      <c r="H686" s="116"/>
      <c r="I686" s="116"/>
      <c r="L686" s="170">
        <v>43889</v>
      </c>
      <c r="M686" s="116">
        <v>492.15</v>
      </c>
      <c r="N686" s="116">
        <v>496</v>
      </c>
      <c r="O686" s="116">
        <v>467.5</v>
      </c>
      <c r="P686" s="116">
        <v>484</v>
      </c>
      <c r="Q686" s="116">
        <v>492.15</v>
      </c>
      <c r="R686">
        <v>37524</v>
      </c>
    </row>
    <row r="687" spans="1:18" x14ac:dyDescent="0.25">
      <c r="A687" s="170">
        <v>43892</v>
      </c>
      <c r="B687" s="116">
        <v>500.95</v>
      </c>
      <c r="C687" s="116">
        <v>494.4</v>
      </c>
      <c r="D687" s="116">
        <v>480</v>
      </c>
      <c r="E687" s="116">
        <v>489</v>
      </c>
      <c r="F687" s="116">
        <v>494.4</v>
      </c>
      <c r="G687">
        <v>2160</v>
      </c>
      <c r="H687" s="116"/>
      <c r="I687" s="116"/>
      <c r="L687" s="170">
        <v>43892</v>
      </c>
      <c r="M687" s="116">
        <v>493.15</v>
      </c>
      <c r="N687" s="116">
        <v>505</v>
      </c>
      <c r="O687" s="116">
        <v>475</v>
      </c>
      <c r="P687" s="116">
        <v>492.3</v>
      </c>
      <c r="Q687" s="116">
        <v>493.15</v>
      </c>
      <c r="R687">
        <v>18196</v>
      </c>
    </row>
    <row r="688" spans="1:18" x14ac:dyDescent="0.25">
      <c r="A688" s="170">
        <v>43893</v>
      </c>
      <c r="B688" s="116">
        <v>502.1</v>
      </c>
      <c r="C688" s="116">
        <v>490.1</v>
      </c>
      <c r="D688" s="116">
        <v>481.05</v>
      </c>
      <c r="E688" s="116">
        <v>497.15</v>
      </c>
      <c r="F688" s="116">
        <v>490.1</v>
      </c>
      <c r="G688">
        <v>862</v>
      </c>
      <c r="H688" s="116"/>
      <c r="I688" s="116"/>
      <c r="L688" s="170">
        <v>43893</v>
      </c>
      <c r="M688" s="116">
        <v>489.15</v>
      </c>
      <c r="N688" s="116">
        <v>505.15</v>
      </c>
      <c r="O688" s="116">
        <v>482</v>
      </c>
      <c r="P688" s="116">
        <v>504</v>
      </c>
      <c r="Q688" s="116">
        <v>489.15</v>
      </c>
      <c r="R688">
        <v>11988</v>
      </c>
    </row>
    <row r="689" spans="1:18" x14ac:dyDescent="0.25">
      <c r="A689" s="170">
        <v>43894</v>
      </c>
      <c r="B689" s="116">
        <v>500.05</v>
      </c>
      <c r="C689" s="116">
        <v>496.45</v>
      </c>
      <c r="D689" s="116">
        <v>480</v>
      </c>
      <c r="E689" s="116">
        <v>491.9</v>
      </c>
      <c r="F689" s="116">
        <v>496.45</v>
      </c>
      <c r="G689">
        <v>1601</v>
      </c>
      <c r="H689" s="116"/>
      <c r="I689" s="116"/>
      <c r="L689" s="170">
        <v>43894</v>
      </c>
      <c r="M689" s="116">
        <v>497.4</v>
      </c>
      <c r="N689" s="116">
        <v>500.5</v>
      </c>
      <c r="O689" s="116">
        <v>482.3</v>
      </c>
      <c r="P689" s="116">
        <v>499.4</v>
      </c>
      <c r="Q689" s="116">
        <v>497.4</v>
      </c>
      <c r="R689">
        <v>18116</v>
      </c>
    </row>
    <row r="690" spans="1:18" x14ac:dyDescent="0.25">
      <c r="A690" s="170">
        <v>43895</v>
      </c>
      <c r="B690" s="116">
        <v>492.85</v>
      </c>
      <c r="C690" s="116">
        <v>487.5</v>
      </c>
      <c r="D690" s="116">
        <v>480</v>
      </c>
      <c r="E690" s="116">
        <v>487</v>
      </c>
      <c r="F690" s="116">
        <v>487.5</v>
      </c>
      <c r="G690">
        <v>359</v>
      </c>
      <c r="H690" s="116"/>
      <c r="I690" s="116"/>
      <c r="L690" s="170">
        <v>43895</v>
      </c>
      <c r="M690" s="116">
        <v>486.7</v>
      </c>
      <c r="N690" s="116">
        <v>498</v>
      </c>
      <c r="O690" s="116">
        <v>479.55</v>
      </c>
      <c r="P690" s="116">
        <v>498</v>
      </c>
      <c r="Q690" s="116">
        <v>486.7</v>
      </c>
      <c r="R690">
        <v>15428</v>
      </c>
    </row>
    <row r="691" spans="1:18" x14ac:dyDescent="0.25">
      <c r="A691" s="170">
        <v>43896</v>
      </c>
      <c r="B691" s="116">
        <v>480.25</v>
      </c>
      <c r="C691" s="116">
        <v>469.1</v>
      </c>
      <c r="D691" s="116">
        <v>460.05</v>
      </c>
      <c r="E691" s="116">
        <v>475.8</v>
      </c>
      <c r="F691" s="116">
        <v>469.1</v>
      </c>
      <c r="G691">
        <v>1864</v>
      </c>
      <c r="H691" s="116"/>
      <c r="I691" s="116"/>
      <c r="L691" s="170">
        <v>43896</v>
      </c>
      <c r="M691" s="116">
        <v>471.3</v>
      </c>
      <c r="N691" s="116">
        <v>480.95</v>
      </c>
      <c r="O691" s="116">
        <v>466</v>
      </c>
      <c r="P691" s="116">
        <v>472</v>
      </c>
      <c r="Q691" s="116">
        <v>471.3</v>
      </c>
      <c r="R691">
        <v>33568</v>
      </c>
    </row>
    <row r="692" spans="1:18" x14ac:dyDescent="0.25">
      <c r="A692" s="170">
        <v>43899</v>
      </c>
      <c r="B692" s="116">
        <v>471.5</v>
      </c>
      <c r="C692" s="116">
        <v>464.6</v>
      </c>
      <c r="D692" s="116">
        <v>445</v>
      </c>
      <c r="E692" s="116">
        <v>471.5</v>
      </c>
      <c r="F692" s="116">
        <v>464.6</v>
      </c>
      <c r="G692">
        <v>1565</v>
      </c>
      <c r="H692" s="116"/>
      <c r="I692" s="116"/>
      <c r="L692" s="170">
        <v>43899</v>
      </c>
      <c r="M692" s="116">
        <v>462.65</v>
      </c>
      <c r="N692" s="116">
        <v>475</v>
      </c>
      <c r="O692" s="116">
        <v>449.05</v>
      </c>
      <c r="P692" s="116">
        <v>475</v>
      </c>
      <c r="Q692" s="116">
        <v>462.65</v>
      </c>
      <c r="R692">
        <v>63668</v>
      </c>
    </row>
    <row r="693" spans="1:18" x14ac:dyDescent="0.25">
      <c r="A693" s="170">
        <v>43901</v>
      </c>
      <c r="B693" s="116">
        <v>464.6</v>
      </c>
      <c r="C693" s="116">
        <v>457.45</v>
      </c>
      <c r="D693" s="116">
        <v>453.5</v>
      </c>
      <c r="E693" s="116">
        <v>464.6</v>
      </c>
      <c r="F693" s="116">
        <v>457.45</v>
      </c>
      <c r="G693">
        <v>441</v>
      </c>
      <c r="H693" s="116"/>
      <c r="I693" s="116"/>
      <c r="L693" s="170">
        <v>43901</v>
      </c>
      <c r="M693" s="116">
        <v>457.25</v>
      </c>
      <c r="N693" s="116">
        <v>468.5</v>
      </c>
      <c r="O693" s="116">
        <v>450</v>
      </c>
      <c r="P693" s="116">
        <v>466.1</v>
      </c>
      <c r="Q693" s="116">
        <v>457.25</v>
      </c>
      <c r="R693">
        <v>31590</v>
      </c>
    </row>
    <row r="694" spans="1:18" x14ac:dyDescent="0.25">
      <c r="A694" s="170">
        <v>43902</v>
      </c>
      <c r="B694" s="116">
        <v>450.25</v>
      </c>
      <c r="C694" s="116">
        <v>442.4</v>
      </c>
      <c r="D694" s="116">
        <v>426.6</v>
      </c>
      <c r="E694" s="116">
        <v>450</v>
      </c>
      <c r="F694" s="116">
        <v>442.4</v>
      </c>
      <c r="G694">
        <v>2378</v>
      </c>
      <c r="H694" s="116"/>
      <c r="I694" s="116"/>
      <c r="L694" s="170">
        <v>43902</v>
      </c>
      <c r="M694" s="116">
        <v>442.95</v>
      </c>
      <c r="N694" s="116">
        <v>455.9</v>
      </c>
      <c r="O694" s="116">
        <v>427.5</v>
      </c>
      <c r="P694" s="116">
        <v>450.05</v>
      </c>
      <c r="Q694" s="116">
        <v>442.95</v>
      </c>
      <c r="R694">
        <v>61622</v>
      </c>
    </row>
    <row r="695" spans="1:18" x14ac:dyDescent="0.25">
      <c r="A695" s="170">
        <v>43903</v>
      </c>
      <c r="B695" s="116">
        <v>459.95</v>
      </c>
      <c r="C695" s="116">
        <v>444.75</v>
      </c>
      <c r="D695" s="116">
        <v>392.8</v>
      </c>
      <c r="E695" s="116">
        <v>425</v>
      </c>
      <c r="F695" s="116">
        <v>444.75</v>
      </c>
      <c r="G695">
        <v>3367</v>
      </c>
      <c r="H695" s="116"/>
      <c r="I695" s="116"/>
      <c r="L695" s="170">
        <v>43903</v>
      </c>
      <c r="M695" s="116">
        <v>444.7</v>
      </c>
      <c r="N695" s="116">
        <v>460</v>
      </c>
      <c r="O695" s="116">
        <v>382</v>
      </c>
      <c r="P695" s="116">
        <v>382</v>
      </c>
      <c r="Q695" s="116">
        <v>444.7</v>
      </c>
      <c r="R695">
        <v>36148</v>
      </c>
    </row>
    <row r="696" spans="1:18" x14ac:dyDescent="0.25">
      <c r="A696" s="170">
        <v>43906</v>
      </c>
      <c r="B696" s="116">
        <v>445</v>
      </c>
      <c r="C696" s="116">
        <v>419.55</v>
      </c>
      <c r="D696" s="116">
        <v>410.05</v>
      </c>
      <c r="E696" s="116">
        <v>445</v>
      </c>
      <c r="F696" s="116">
        <v>419.55</v>
      </c>
      <c r="G696">
        <v>1049</v>
      </c>
      <c r="H696" s="116"/>
      <c r="I696" s="116"/>
      <c r="L696" s="170">
        <v>43906</v>
      </c>
      <c r="M696" s="116">
        <v>423.65</v>
      </c>
      <c r="N696" s="116">
        <v>446</v>
      </c>
      <c r="O696" s="116">
        <v>411</v>
      </c>
      <c r="P696" s="116">
        <v>445</v>
      </c>
      <c r="Q696" s="116">
        <v>423.65</v>
      </c>
      <c r="R696">
        <v>72824</v>
      </c>
    </row>
    <row r="697" spans="1:18" x14ac:dyDescent="0.25">
      <c r="A697" s="170">
        <v>43907</v>
      </c>
      <c r="B697" s="116">
        <v>436.85</v>
      </c>
      <c r="C697" s="116">
        <v>422.75</v>
      </c>
      <c r="D697" s="116">
        <v>408.1</v>
      </c>
      <c r="E697" s="116">
        <v>410.05</v>
      </c>
      <c r="F697" s="116">
        <v>422.75</v>
      </c>
      <c r="G697">
        <v>1521</v>
      </c>
      <c r="H697" s="116"/>
      <c r="I697" s="116"/>
      <c r="L697" s="170">
        <v>43907</v>
      </c>
      <c r="M697" s="116">
        <v>427.4</v>
      </c>
      <c r="N697" s="116">
        <v>434.45</v>
      </c>
      <c r="O697" s="116">
        <v>408.55</v>
      </c>
      <c r="P697" s="116">
        <v>415.1</v>
      </c>
      <c r="Q697" s="116">
        <v>427.4</v>
      </c>
      <c r="R697">
        <v>54609</v>
      </c>
    </row>
    <row r="698" spans="1:18" x14ac:dyDescent="0.25">
      <c r="A698" s="170">
        <v>43908</v>
      </c>
      <c r="B698" s="116">
        <v>417.4</v>
      </c>
      <c r="C698" s="116">
        <v>403.75</v>
      </c>
      <c r="D698" s="116">
        <v>403</v>
      </c>
      <c r="E698" s="116">
        <v>417</v>
      </c>
      <c r="F698" s="116">
        <v>403.75</v>
      </c>
      <c r="G698">
        <v>610</v>
      </c>
      <c r="H698" s="116"/>
      <c r="I698" s="116"/>
      <c r="L698" s="170">
        <v>43908</v>
      </c>
      <c r="M698" s="116">
        <v>411.5</v>
      </c>
      <c r="N698" s="116">
        <v>434.7</v>
      </c>
      <c r="O698" s="116">
        <v>402.5</v>
      </c>
      <c r="P698" s="116">
        <v>426</v>
      </c>
      <c r="Q698" s="116">
        <v>411.5</v>
      </c>
      <c r="R698">
        <v>68942</v>
      </c>
    </row>
    <row r="699" spans="1:18" x14ac:dyDescent="0.25">
      <c r="A699" s="170">
        <v>43909</v>
      </c>
      <c r="B699" s="116">
        <v>404.9</v>
      </c>
      <c r="C699" s="116">
        <v>383.35</v>
      </c>
      <c r="D699" s="116">
        <v>373.6</v>
      </c>
      <c r="E699" s="116">
        <v>400</v>
      </c>
      <c r="F699" s="116">
        <v>383.35</v>
      </c>
      <c r="G699">
        <v>16118</v>
      </c>
      <c r="H699" s="116"/>
      <c r="I699" s="116"/>
      <c r="L699" s="170">
        <v>43909</v>
      </c>
      <c r="M699" s="116">
        <v>380.5</v>
      </c>
      <c r="N699" s="116">
        <v>485.6</v>
      </c>
      <c r="O699" s="116">
        <v>377</v>
      </c>
      <c r="P699" s="116">
        <v>385.5</v>
      </c>
      <c r="Q699" s="116">
        <v>380.5</v>
      </c>
      <c r="R699">
        <v>48222</v>
      </c>
    </row>
    <row r="700" spans="1:18" x14ac:dyDescent="0.25">
      <c r="A700" s="170">
        <v>43910</v>
      </c>
      <c r="B700" s="116">
        <v>387.35</v>
      </c>
      <c r="C700" s="116">
        <v>365.25</v>
      </c>
      <c r="D700" s="116">
        <v>325.64999999999998</v>
      </c>
      <c r="E700" s="116">
        <v>382</v>
      </c>
      <c r="F700" s="116">
        <v>365.25</v>
      </c>
      <c r="G700">
        <v>3288</v>
      </c>
      <c r="H700" s="116"/>
      <c r="I700" s="116"/>
      <c r="L700" s="170">
        <v>43910</v>
      </c>
      <c r="M700" s="116">
        <v>362.15</v>
      </c>
      <c r="N700" s="116">
        <v>386</v>
      </c>
      <c r="O700" s="116">
        <v>327.10000000000002</v>
      </c>
      <c r="P700" s="116">
        <v>386</v>
      </c>
      <c r="Q700" s="116">
        <v>362.15</v>
      </c>
      <c r="R700">
        <v>55151</v>
      </c>
    </row>
    <row r="701" spans="1:18" x14ac:dyDescent="0.25">
      <c r="A701" s="170">
        <v>43913</v>
      </c>
      <c r="B701" s="116">
        <v>397</v>
      </c>
      <c r="C701" s="116">
        <v>292.2</v>
      </c>
      <c r="D701" s="116">
        <v>292.2</v>
      </c>
      <c r="E701" s="116">
        <v>319.7</v>
      </c>
      <c r="F701" s="116">
        <v>292.2</v>
      </c>
      <c r="G701">
        <v>4194</v>
      </c>
      <c r="H701" s="116"/>
      <c r="I701" s="116"/>
      <c r="L701" s="170">
        <v>43913</v>
      </c>
      <c r="M701" s="116">
        <v>289.75</v>
      </c>
      <c r="N701" s="116">
        <v>350</v>
      </c>
      <c r="O701" s="116">
        <v>289.75</v>
      </c>
      <c r="P701" s="116">
        <v>350</v>
      </c>
      <c r="Q701" s="116">
        <v>289.75</v>
      </c>
      <c r="R701">
        <v>38376</v>
      </c>
    </row>
    <row r="702" spans="1:18" x14ac:dyDescent="0.25">
      <c r="A702" s="170">
        <v>43914</v>
      </c>
      <c r="B702" s="116">
        <v>315.55</v>
      </c>
      <c r="C702" s="116">
        <v>277.89999999999998</v>
      </c>
      <c r="D702" s="116">
        <v>233.8</v>
      </c>
      <c r="E702" s="116">
        <v>310.05</v>
      </c>
      <c r="F702" s="116">
        <v>277.89999999999998</v>
      </c>
      <c r="G702">
        <v>2989</v>
      </c>
      <c r="H702" s="116"/>
      <c r="I702" s="116"/>
      <c r="L702" s="170">
        <v>43914</v>
      </c>
      <c r="M702" s="116">
        <v>272.89999999999998</v>
      </c>
      <c r="N702" s="116">
        <v>319</v>
      </c>
      <c r="O702" s="116">
        <v>232</v>
      </c>
      <c r="P702" s="116">
        <v>305</v>
      </c>
      <c r="Q702" s="116">
        <v>272.89999999999998</v>
      </c>
      <c r="R702">
        <v>77038</v>
      </c>
    </row>
    <row r="703" spans="1:18" x14ac:dyDescent="0.25">
      <c r="A703" s="170">
        <v>43915</v>
      </c>
      <c r="B703" s="116">
        <v>305.60000000000002</v>
      </c>
      <c r="C703" s="116">
        <v>305.60000000000002</v>
      </c>
      <c r="D703" s="116">
        <v>270</v>
      </c>
      <c r="E703" s="116">
        <v>280</v>
      </c>
      <c r="F703" s="116">
        <v>305.60000000000002</v>
      </c>
      <c r="G703">
        <v>960</v>
      </c>
      <c r="H703" s="116"/>
      <c r="I703" s="116"/>
      <c r="L703" s="170">
        <v>43915</v>
      </c>
      <c r="M703" s="116">
        <v>300.14999999999998</v>
      </c>
      <c r="N703" s="116">
        <v>300.14999999999998</v>
      </c>
      <c r="O703" s="116">
        <v>267.64999999999998</v>
      </c>
      <c r="P703" s="116">
        <v>272</v>
      </c>
      <c r="Q703" s="116">
        <v>300.14999999999998</v>
      </c>
      <c r="R703">
        <v>45023</v>
      </c>
    </row>
    <row r="704" spans="1:18" x14ac:dyDescent="0.25">
      <c r="A704" s="170">
        <v>43916</v>
      </c>
      <c r="B704" s="116">
        <v>336.15</v>
      </c>
      <c r="C704" s="116">
        <v>331.3</v>
      </c>
      <c r="D704" s="116">
        <v>311.5</v>
      </c>
      <c r="E704" s="116">
        <v>333.25</v>
      </c>
      <c r="F704" s="116">
        <v>331.3</v>
      </c>
      <c r="G704">
        <v>2262</v>
      </c>
      <c r="H704" s="116"/>
      <c r="I704" s="116"/>
      <c r="L704" s="170">
        <v>43916</v>
      </c>
      <c r="M704" s="116">
        <v>328.15</v>
      </c>
      <c r="N704" s="116">
        <v>330.15</v>
      </c>
      <c r="O704" s="116">
        <v>300.35000000000002</v>
      </c>
      <c r="P704" s="116">
        <v>300.35000000000002</v>
      </c>
      <c r="Q704" s="116">
        <v>328.15</v>
      </c>
      <c r="R704">
        <v>41747</v>
      </c>
    </row>
    <row r="705" spans="1:18" x14ac:dyDescent="0.25">
      <c r="A705" s="170">
        <v>43917</v>
      </c>
      <c r="B705" s="116">
        <v>350</v>
      </c>
      <c r="C705" s="116">
        <v>324.5</v>
      </c>
      <c r="D705" s="116">
        <v>310.25</v>
      </c>
      <c r="E705" s="116">
        <v>340</v>
      </c>
      <c r="F705" s="116">
        <v>324.5</v>
      </c>
      <c r="G705">
        <v>2190</v>
      </c>
      <c r="H705" s="116"/>
      <c r="I705" s="116"/>
      <c r="L705" s="170">
        <v>43917</v>
      </c>
      <c r="M705" s="116">
        <v>327.3</v>
      </c>
      <c r="N705" s="116">
        <v>355</v>
      </c>
      <c r="O705" s="116">
        <v>299</v>
      </c>
      <c r="P705" s="116">
        <v>335</v>
      </c>
      <c r="Q705" s="116">
        <v>327.3</v>
      </c>
      <c r="R705">
        <v>29669</v>
      </c>
    </row>
    <row r="706" spans="1:18" x14ac:dyDescent="0.25">
      <c r="A706" s="170">
        <v>43920</v>
      </c>
      <c r="B706" s="116">
        <v>330</v>
      </c>
      <c r="C706" s="116">
        <v>307.7</v>
      </c>
      <c r="D706" s="116">
        <v>292.5</v>
      </c>
      <c r="E706" s="116">
        <v>330</v>
      </c>
      <c r="F706" s="116">
        <v>307.7</v>
      </c>
      <c r="G706">
        <v>2547</v>
      </c>
      <c r="H706" s="116"/>
      <c r="I706" s="116"/>
      <c r="L706" s="170">
        <v>43920</v>
      </c>
      <c r="M706" s="116">
        <v>309.55</v>
      </c>
      <c r="N706" s="116">
        <v>334.7</v>
      </c>
      <c r="O706" s="116">
        <v>295</v>
      </c>
      <c r="P706" s="116">
        <v>328</v>
      </c>
      <c r="Q706" s="116">
        <v>309.55</v>
      </c>
      <c r="R706">
        <v>39919</v>
      </c>
    </row>
    <row r="707" spans="1:18" x14ac:dyDescent="0.25">
      <c r="A707" s="170">
        <v>43921</v>
      </c>
      <c r="B707" s="116">
        <v>326.75</v>
      </c>
      <c r="C707" s="116">
        <v>321.7</v>
      </c>
      <c r="D707" s="116">
        <v>310</v>
      </c>
      <c r="E707" s="116">
        <v>310</v>
      </c>
      <c r="F707" s="116">
        <v>321.7</v>
      </c>
      <c r="G707">
        <v>1312</v>
      </c>
      <c r="H707" s="116"/>
      <c r="I707" s="116"/>
      <c r="L707" s="170">
        <v>43921</v>
      </c>
      <c r="M707" s="116">
        <v>325.05</v>
      </c>
      <c r="N707" s="116">
        <v>330</v>
      </c>
      <c r="O707" s="116">
        <v>309.10000000000002</v>
      </c>
      <c r="P707" s="116">
        <v>319.95</v>
      </c>
      <c r="Q707" s="116">
        <v>325.05</v>
      </c>
      <c r="R707">
        <v>27369</v>
      </c>
    </row>
    <row r="708" spans="1:18" x14ac:dyDescent="0.25">
      <c r="A708" s="170">
        <v>43922</v>
      </c>
      <c r="B708" s="116">
        <v>324.95</v>
      </c>
      <c r="C708" s="116">
        <v>324.60000000000002</v>
      </c>
      <c r="D708" s="116">
        <v>318</v>
      </c>
      <c r="E708" s="116">
        <v>322</v>
      </c>
      <c r="F708" s="116">
        <v>324.60000000000002</v>
      </c>
      <c r="G708">
        <v>415</v>
      </c>
      <c r="H708" s="116"/>
      <c r="I708" s="116"/>
      <c r="L708" s="170">
        <v>43922</v>
      </c>
      <c r="M708" s="116">
        <v>322.3</v>
      </c>
      <c r="N708" s="116">
        <v>328.5</v>
      </c>
      <c r="O708" s="116">
        <v>312.5</v>
      </c>
      <c r="P708" s="116">
        <v>312.5</v>
      </c>
      <c r="Q708" s="116">
        <v>322.3</v>
      </c>
      <c r="R708">
        <v>3576</v>
      </c>
    </row>
    <row r="709" spans="1:18" x14ac:dyDescent="0.25">
      <c r="A709" s="170">
        <v>43924</v>
      </c>
      <c r="B709" s="116">
        <v>320</v>
      </c>
      <c r="C709" s="116">
        <v>312.45</v>
      </c>
      <c r="D709" s="116">
        <v>305</v>
      </c>
      <c r="E709" s="116">
        <v>320</v>
      </c>
      <c r="F709" s="116">
        <v>312.45</v>
      </c>
      <c r="G709">
        <v>2042</v>
      </c>
      <c r="H709" s="116"/>
      <c r="I709" s="116"/>
      <c r="L709" s="170">
        <v>43924</v>
      </c>
      <c r="M709" s="116">
        <v>310.55</v>
      </c>
      <c r="N709" s="116">
        <v>325</v>
      </c>
      <c r="O709" s="116">
        <v>303</v>
      </c>
      <c r="P709" s="116">
        <v>325</v>
      </c>
      <c r="Q709" s="116">
        <v>310.55</v>
      </c>
      <c r="R709">
        <v>9137</v>
      </c>
    </row>
    <row r="710" spans="1:18" x14ac:dyDescent="0.25">
      <c r="A710" s="170">
        <v>43928</v>
      </c>
      <c r="B710" s="116">
        <v>335.5</v>
      </c>
      <c r="C710" s="116">
        <v>333.75</v>
      </c>
      <c r="D710" s="116">
        <v>310</v>
      </c>
      <c r="E710" s="116">
        <v>315</v>
      </c>
      <c r="F710" s="116">
        <v>333.75</v>
      </c>
      <c r="G710">
        <v>577</v>
      </c>
      <c r="H710" s="116"/>
      <c r="I710" s="116"/>
      <c r="L710" s="170">
        <v>43928</v>
      </c>
      <c r="M710" s="116">
        <v>332</v>
      </c>
      <c r="N710" s="116">
        <v>336</v>
      </c>
      <c r="O710" s="116">
        <v>309</v>
      </c>
      <c r="P710" s="116">
        <v>323</v>
      </c>
      <c r="Q710" s="116">
        <v>332</v>
      </c>
      <c r="R710">
        <v>26827</v>
      </c>
    </row>
    <row r="711" spans="1:18" x14ac:dyDescent="0.25">
      <c r="A711" s="170">
        <v>43929</v>
      </c>
      <c r="B711" s="116">
        <v>339</v>
      </c>
      <c r="C711" s="116">
        <v>335.5</v>
      </c>
      <c r="D711" s="116">
        <v>321.2</v>
      </c>
      <c r="E711" s="116">
        <v>326</v>
      </c>
      <c r="F711" s="116">
        <v>335.5</v>
      </c>
      <c r="G711">
        <v>2041</v>
      </c>
      <c r="H711" s="116"/>
      <c r="I711" s="116"/>
      <c r="L711" s="170">
        <v>43929</v>
      </c>
      <c r="M711" s="116">
        <v>335.25</v>
      </c>
      <c r="N711" s="116">
        <v>339.9</v>
      </c>
      <c r="O711" s="116">
        <v>324.3</v>
      </c>
      <c r="P711" s="116">
        <v>329.95</v>
      </c>
      <c r="Q711" s="116">
        <v>335.25</v>
      </c>
      <c r="R711">
        <v>27463</v>
      </c>
    </row>
    <row r="712" spans="1:18" x14ac:dyDescent="0.25">
      <c r="A712" s="170">
        <v>43930</v>
      </c>
      <c r="B712" s="116">
        <v>351</v>
      </c>
      <c r="C712" s="116">
        <v>347.1</v>
      </c>
      <c r="D712" s="116">
        <v>341.95</v>
      </c>
      <c r="E712" s="116">
        <v>345</v>
      </c>
      <c r="F712" s="116">
        <v>347.1</v>
      </c>
      <c r="G712">
        <v>4282</v>
      </c>
      <c r="H712" s="116"/>
      <c r="I712" s="116"/>
      <c r="L712" s="170">
        <v>43930</v>
      </c>
      <c r="M712" s="116">
        <v>348.6</v>
      </c>
      <c r="N712" s="116">
        <v>354.9</v>
      </c>
      <c r="O712" s="116">
        <v>334.95</v>
      </c>
      <c r="P712" s="116">
        <v>339</v>
      </c>
      <c r="Q712" s="116">
        <v>348.6</v>
      </c>
      <c r="R712">
        <v>33928</v>
      </c>
    </row>
    <row r="713" spans="1:18" x14ac:dyDescent="0.25">
      <c r="A713" s="170">
        <v>43934</v>
      </c>
      <c r="B713" s="116">
        <v>365.15</v>
      </c>
      <c r="C713" s="116">
        <v>360.75</v>
      </c>
      <c r="D713" s="116">
        <v>315</v>
      </c>
      <c r="E713" s="116">
        <v>347.15</v>
      </c>
      <c r="F713" s="116">
        <v>360.75</v>
      </c>
      <c r="G713">
        <v>1924</v>
      </c>
      <c r="H713" s="116"/>
      <c r="I713" s="116"/>
      <c r="L713" s="170">
        <v>43934</v>
      </c>
      <c r="M713" s="116">
        <v>362.4</v>
      </c>
      <c r="N713" s="116">
        <v>365</v>
      </c>
      <c r="O713" s="116">
        <v>339.1</v>
      </c>
      <c r="P713" s="116">
        <v>359</v>
      </c>
      <c r="Q713" s="116">
        <v>362.4</v>
      </c>
      <c r="R713">
        <v>28537</v>
      </c>
    </row>
    <row r="714" spans="1:18" x14ac:dyDescent="0.25">
      <c r="A714" s="170">
        <v>43936</v>
      </c>
      <c r="B714" s="116">
        <v>364.25</v>
      </c>
      <c r="C714" s="116">
        <v>351.85</v>
      </c>
      <c r="D714" s="116">
        <v>348.3</v>
      </c>
      <c r="E714" s="116">
        <v>363.9</v>
      </c>
      <c r="F714" s="116">
        <v>351.85</v>
      </c>
      <c r="G714">
        <v>2194</v>
      </c>
      <c r="H714" s="116"/>
      <c r="I714" s="116"/>
      <c r="L714" s="170">
        <v>43936</v>
      </c>
      <c r="M714" s="116">
        <v>351.95</v>
      </c>
      <c r="N714" s="116">
        <v>375</v>
      </c>
      <c r="O714" s="116">
        <v>349.95</v>
      </c>
      <c r="P714" s="116">
        <v>374</v>
      </c>
      <c r="Q714" s="116">
        <v>351.95</v>
      </c>
      <c r="R714">
        <v>28751</v>
      </c>
    </row>
    <row r="715" spans="1:18" x14ac:dyDescent="0.25">
      <c r="A715" s="170">
        <v>43937</v>
      </c>
      <c r="B715" s="116">
        <v>355</v>
      </c>
      <c r="C715" s="116">
        <v>351.6</v>
      </c>
      <c r="D715" s="116">
        <v>341.3</v>
      </c>
      <c r="E715" s="116">
        <v>349.9</v>
      </c>
      <c r="F715" s="116">
        <v>351.6</v>
      </c>
      <c r="G715">
        <v>834</v>
      </c>
      <c r="H715" s="116"/>
      <c r="I715" s="116"/>
      <c r="L715" s="170">
        <v>43937</v>
      </c>
      <c r="M715" s="116">
        <v>350.95</v>
      </c>
      <c r="N715" s="116">
        <v>355.9</v>
      </c>
      <c r="O715" s="116">
        <v>340</v>
      </c>
      <c r="P715" s="116">
        <v>343.05</v>
      </c>
      <c r="Q715" s="116">
        <v>350.95</v>
      </c>
      <c r="R715">
        <v>17033</v>
      </c>
    </row>
    <row r="716" spans="1:18" x14ac:dyDescent="0.25">
      <c r="A716" s="170">
        <v>43938</v>
      </c>
      <c r="B716" s="116">
        <v>364.45</v>
      </c>
      <c r="C716" s="116">
        <v>362.7</v>
      </c>
      <c r="D716" s="116">
        <v>351</v>
      </c>
      <c r="E716" s="116">
        <v>359.8</v>
      </c>
      <c r="F716" s="116">
        <v>362.7</v>
      </c>
      <c r="G716">
        <v>1279</v>
      </c>
      <c r="H716" s="116"/>
      <c r="I716" s="116"/>
      <c r="L716" s="170">
        <v>43938</v>
      </c>
      <c r="M716" s="116">
        <v>360.7</v>
      </c>
      <c r="N716" s="116">
        <v>363.95</v>
      </c>
      <c r="O716" s="116">
        <v>352.1</v>
      </c>
      <c r="P716" s="116">
        <v>355.55</v>
      </c>
      <c r="Q716" s="116">
        <v>360.7</v>
      </c>
      <c r="R716">
        <v>14940</v>
      </c>
    </row>
    <row r="717" spans="1:18" x14ac:dyDescent="0.25">
      <c r="A717" s="170">
        <v>43941</v>
      </c>
      <c r="B717" s="116">
        <v>375</v>
      </c>
      <c r="C717" s="116">
        <v>361.65</v>
      </c>
      <c r="D717" s="116">
        <v>358.7</v>
      </c>
      <c r="E717" s="116">
        <v>367</v>
      </c>
      <c r="F717" s="116">
        <v>361.65</v>
      </c>
      <c r="G717">
        <v>2465</v>
      </c>
      <c r="H717" s="116"/>
      <c r="I717" s="116"/>
      <c r="L717" s="170">
        <v>43941</v>
      </c>
      <c r="M717" s="116">
        <v>362.95</v>
      </c>
      <c r="N717" s="116">
        <v>369.95</v>
      </c>
      <c r="O717" s="116">
        <v>359.75</v>
      </c>
      <c r="P717" s="116">
        <v>369.95</v>
      </c>
      <c r="Q717" s="116">
        <v>362.95</v>
      </c>
      <c r="R717">
        <v>9280</v>
      </c>
    </row>
    <row r="718" spans="1:18" x14ac:dyDescent="0.25">
      <c r="A718" s="170">
        <v>43942</v>
      </c>
      <c r="B718" s="116">
        <v>363.45</v>
      </c>
      <c r="C718" s="116">
        <v>359.1</v>
      </c>
      <c r="D718" s="116">
        <v>346</v>
      </c>
      <c r="E718" s="116">
        <v>351.35</v>
      </c>
      <c r="F718" s="116">
        <v>359.1</v>
      </c>
      <c r="G718">
        <v>612</v>
      </c>
      <c r="H718" s="116"/>
      <c r="I718" s="116"/>
      <c r="L718" s="170">
        <v>43942</v>
      </c>
      <c r="M718" s="116">
        <v>360.15</v>
      </c>
      <c r="N718" s="116">
        <v>363.9</v>
      </c>
      <c r="O718" s="116">
        <v>345.05</v>
      </c>
      <c r="P718" s="116">
        <v>345.05</v>
      </c>
      <c r="Q718" s="116">
        <v>360.15</v>
      </c>
      <c r="R718">
        <v>16840</v>
      </c>
    </row>
    <row r="719" spans="1:18" x14ac:dyDescent="0.25">
      <c r="A719" s="170">
        <v>43943</v>
      </c>
      <c r="B719" s="116">
        <v>359.25</v>
      </c>
      <c r="C719" s="116">
        <v>354.15</v>
      </c>
      <c r="D719" s="116">
        <v>352</v>
      </c>
      <c r="E719" s="116">
        <v>356.05</v>
      </c>
      <c r="F719" s="116">
        <v>354.15</v>
      </c>
      <c r="G719">
        <v>662</v>
      </c>
      <c r="H719" s="116"/>
      <c r="I719" s="116"/>
      <c r="L719" s="170">
        <v>43943</v>
      </c>
      <c r="M719" s="116">
        <v>357</v>
      </c>
      <c r="N719" s="116">
        <v>360</v>
      </c>
      <c r="O719" s="116">
        <v>350.1</v>
      </c>
      <c r="P719" s="116">
        <v>359.95</v>
      </c>
      <c r="Q719" s="116">
        <v>357</v>
      </c>
      <c r="R719">
        <v>9154</v>
      </c>
    </row>
    <row r="720" spans="1:18" x14ac:dyDescent="0.25">
      <c r="A720" s="170">
        <v>43944</v>
      </c>
      <c r="B720" s="116">
        <v>362.05</v>
      </c>
      <c r="C720" s="116">
        <v>360.55</v>
      </c>
      <c r="D720" s="116">
        <v>352</v>
      </c>
      <c r="E720" s="116">
        <v>358.25</v>
      </c>
      <c r="F720" s="116">
        <v>360.55</v>
      </c>
      <c r="G720">
        <v>621</v>
      </c>
      <c r="H720" s="116"/>
      <c r="I720" s="116"/>
      <c r="L720" s="170">
        <v>43944</v>
      </c>
      <c r="M720" s="116">
        <v>360.35</v>
      </c>
      <c r="N720" s="116">
        <v>365</v>
      </c>
      <c r="O720" s="116">
        <v>353.1</v>
      </c>
      <c r="P720" s="116">
        <v>365</v>
      </c>
      <c r="Q720" s="116">
        <v>360.35</v>
      </c>
      <c r="R720">
        <v>6960</v>
      </c>
    </row>
    <row r="721" spans="1:18" x14ac:dyDescent="0.25">
      <c r="A721" s="170">
        <v>43945</v>
      </c>
      <c r="B721" s="116">
        <v>356</v>
      </c>
      <c r="C721" s="116">
        <v>354.25</v>
      </c>
      <c r="D721" s="116">
        <v>352.35</v>
      </c>
      <c r="E721" s="116">
        <v>355.35</v>
      </c>
      <c r="F721" s="116">
        <v>354.25</v>
      </c>
      <c r="G721">
        <v>362</v>
      </c>
      <c r="H721" s="116"/>
      <c r="I721" s="116"/>
      <c r="L721" s="170">
        <v>43945</v>
      </c>
      <c r="M721" s="116">
        <v>357.5</v>
      </c>
      <c r="N721" s="116">
        <v>360.4</v>
      </c>
      <c r="O721" s="116">
        <v>353.1</v>
      </c>
      <c r="P721" s="116">
        <v>360.4</v>
      </c>
      <c r="Q721" s="116">
        <v>357.5</v>
      </c>
      <c r="R721">
        <v>5608</v>
      </c>
    </row>
    <row r="722" spans="1:18" x14ac:dyDescent="0.25">
      <c r="A722" s="170">
        <v>43948</v>
      </c>
      <c r="B722" s="116">
        <v>357.6</v>
      </c>
      <c r="C722" s="116">
        <v>354.25</v>
      </c>
      <c r="D722" s="116">
        <v>351</v>
      </c>
      <c r="E722" s="116">
        <v>353.15</v>
      </c>
      <c r="F722" s="116">
        <v>354.25</v>
      </c>
      <c r="G722">
        <v>591</v>
      </c>
      <c r="H722" s="116"/>
      <c r="I722" s="116"/>
      <c r="L722" s="170">
        <v>43948</v>
      </c>
      <c r="M722" s="116">
        <v>353.9</v>
      </c>
      <c r="N722" s="116">
        <v>364.75</v>
      </c>
      <c r="O722" s="116">
        <v>350.1</v>
      </c>
      <c r="P722" s="116">
        <v>364.75</v>
      </c>
      <c r="Q722" s="116">
        <v>353.9</v>
      </c>
      <c r="R722">
        <v>15238</v>
      </c>
    </row>
    <row r="723" spans="1:18" x14ac:dyDescent="0.25">
      <c r="A723" s="170">
        <v>43949</v>
      </c>
      <c r="B723" s="116">
        <v>363</v>
      </c>
      <c r="C723" s="116">
        <v>361.05</v>
      </c>
      <c r="D723" s="116">
        <v>352.3</v>
      </c>
      <c r="E723" s="116">
        <v>357</v>
      </c>
      <c r="F723" s="116">
        <v>361.05</v>
      </c>
      <c r="G723">
        <v>1816</v>
      </c>
      <c r="H723" s="116"/>
      <c r="I723" s="116"/>
      <c r="L723" s="170">
        <v>43949</v>
      </c>
      <c r="M723" s="116">
        <v>361.7</v>
      </c>
      <c r="N723" s="116">
        <v>364</v>
      </c>
      <c r="O723" s="116">
        <v>352.4</v>
      </c>
      <c r="P723" s="116">
        <v>359.85</v>
      </c>
      <c r="Q723" s="116">
        <v>361.7</v>
      </c>
      <c r="R723">
        <v>13808</v>
      </c>
    </row>
    <row r="724" spans="1:18" x14ac:dyDescent="0.25">
      <c r="A724" s="170">
        <v>43950</v>
      </c>
      <c r="B724" s="116">
        <v>363.95</v>
      </c>
      <c r="C724" s="116">
        <v>357.55</v>
      </c>
      <c r="D724" s="116">
        <v>348.6</v>
      </c>
      <c r="E724" s="116">
        <v>359.7</v>
      </c>
      <c r="F724" s="116">
        <v>357.55</v>
      </c>
      <c r="G724">
        <v>1371</v>
      </c>
      <c r="H724" s="116"/>
      <c r="I724" s="116"/>
      <c r="L724" s="170">
        <v>43950</v>
      </c>
      <c r="M724" s="116">
        <v>359.15</v>
      </c>
      <c r="N724" s="116">
        <v>366</v>
      </c>
      <c r="O724" s="116">
        <v>348.25</v>
      </c>
      <c r="P724" s="116">
        <v>366</v>
      </c>
      <c r="Q724" s="116">
        <v>359.15</v>
      </c>
      <c r="R724">
        <v>20853</v>
      </c>
    </row>
    <row r="725" spans="1:18" x14ac:dyDescent="0.25">
      <c r="A725" s="170">
        <v>43951</v>
      </c>
      <c r="B725" s="116">
        <v>367.85</v>
      </c>
      <c r="C725" s="116">
        <v>364.7</v>
      </c>
      <c r="D725" s="116">
        <v>355.35</v>
      </c>
      <c r="E725" s="116">
        <v>364.3</v>
      </c>
      <c r="F725" s="116">
        <v>364.7</v>
      </c>
      <c r="G725">
        <v>5284</v>
      </c>
      <c r="H725" s="116"/>
      <c r="I725" s="116"/>
      <c r="L725" s="170">
        <v>43951</v>
      </c>
      <c r="M725" s="116">
        <v>363.55</v>
      </c>
      <c r="N725" s="116">
        <v>369</v>
      </c>
      <c r="O725" s="116">
        <v>355</v>
      </c>
      <c r="P725" s="116">
        <v>366.5</v>
      </c>
      <c r="Q725" s="116">
        <v>363.55</v>
      </c>
      <c r="R725">
        <v>24985</v>
      </c>
    </row>
    <row r="726" spans="1:18" x14ac:dyDescent="0.25">
      <c r="A726" s="170">
        <v>43955</v>
      </c>
      <c r="B726" s="116">
        <v>362</v>
      </c>
      <c r="C726" s="116">
        <v>351.3</v>
      </c>
      <c r="D726" s="116">
        <v>346.3</v>
      </c>
      <c r="E726" s="116">
        <v>359.55</v>
      </c>
      <c r="F726" s="116">
        <v>351.3</v>
      </c>
      <c r="G726">
        <v>4557</v>
      </c>
      <c r="H726" s="116"/>
      <c r="I726" s="116"/>
      <c r="L726" s="170">
        <v>43955</v>
      </c>
      <c r="M726" s="116">
        <v>350</v>
      </c>
      <c r="N726" s="116">
        <v>370.75</v>
      </c>
      <c r="O726" s="116">
        <v>342.1</v>
      </c>
      <c r="P726" s="116">
        <v>365.9</v>
      </c>
      <c r="Q726" s="116">
        <v>350</v>
      </c>
      <c r="R726">
        <v>16908</v>
      </c>
    </row>
    <row r="727" spans="1:18" x14ac:dyDescent="0.25">
      <c r="A727" s="170">
        <v>43956</v>
      </c>
      <c r="B727" s="116">
        <v>359</v>
      </c>
      <c r="C727" s="116">
        <v>348.3</v>
      </c>
      <c r="D727" s="116">
        <v>347.9</v>
      </c>
      <c r="E727" s="116">
        <v>359</v>
      </c>
      <c r="F727" s="116">
        <v>348.3</v>
      </c>
      <c r="G727">
        <v>1429</v>
      </c>
      <c r="H727" s="116"/>
      <c r="I727" s="116"/>
      <c r="L727" s="170">
        <v>43956</v>
      </c>
      <c r="M727" s="116">
        <v>349.15</v>
      </c>
      <c r="N727" s="116">
        <v>359.5</v>
      </c>
      <c r="O727" s="116">
        <v>349</v>
      </c>
      <c r="P727" s="116">
        <v>354.9</v>
      </c>
      <c r="Q727" s="116">
        <v>349.15</v>
      </c>
      <c r="R727">
        <v>9307</v>
      </c>
    </row>
    <row r="728" spans="1:18" x14ac:dyDescent="0.25">
      <c r="A728" s="170">
        <v>43957</v>
      </c>
      <c r="B728" s="116">
        <v>354</v>
      </c>
      <c r="C728" s="116">
        <v>351.85</v>
      </c>
      <c r="D728" s="116">
        <v>345.1</v>
      </c>
      <c r="E728" s="116">
        <v>346.9</v>
      </c>
      <c r="F728" s="116">
        <v>351.85</v>
      </c>
      <c r="G728">
        <v>328</v>
      </c>
      <c r="H728" s="116"/>
      <c r="I728" s="116"/>
      <c r="L728" s="170">
        <v>43957</v>
      </c>
      <c r="M728" s="116">
        <v>353.95</v>
      </c>
      <c r="N728" s="116">
        <v>359</v>
      </c>
      <c r="O728" s="116">
        <v>343.95</v>
      </c>
      <c r="P728" s="116">
        <v>348.8</v>
      </c>
      <c r="Q728" s="116">
        <v>353.95</v>
      </c>
      <c r="R728">
        <v>7254</v>
      </c>
    </row>
    <row r="729" spans="1:18" x14ac:dyDescent="0.25">
      <c r="A729" s="170">
        <v>43958</v>
      </c>
      <c r="B729" s="116">
        <v>348.2</v>
      </c>
      <c r="C729" s="116">
        <v>344.3</v>
      </c>
      <c r="D729" s="116">
        <v>343</v>
      </c>
      <c r="E729" s="116">
        <v>347.15</v>
      </c>
      <c r="F729" s="116">
        <v>344.3</v>
      </c>
      <c r="G729">
        <v>289</v>
      </c>
      <c r="H729" s="116"/>
      <c r="I729" s="116"/>
      <c r="L729" s="170">
        <v>43958</v>
      </c>
      <c r="M729" s="116">
        <v>344.8</v>
      </c>
      <c r="N729" s="116">
        <v>354</v>
      </c>
      <c r="O729" s="116">
        <v>342</v>
      </c>
      <c r="P729" s="116">
        <v>354</v>
      </c>
      <c r="Q729" s="116">
        <v>344.8</v>
      </c>
      <c r="R729">
        <v>11424</v>
      </c>
    </row>
    <row r="730" spans="1:18" x14ac:dyDescent="0.25">
      <c r="A730" s="170">
        <v>43959</v>
      </c>
      <c r="B730" s="116">
        <v>352.1</v>
      </c>
      <c r="C730" s="116">
        <v>342.5</v>
      </c>
      <c r="D730" s="116">
        <v>340</v>
      </c>
      <c r="E730" s="116">
        <v>352.1</v>
      </c>
      <c r="F730" s="116">
        <v>342.5</v>
      </c>
      <c r="G730">
        <v>2288</v>
      </c>
      <c r="H730" s="116"/>
      <c r="I730" s="116"/>
      <c r="L730" s="170">
        <v>43959</v>
      </c>
      <c r="M730" s="116">
        <v>342.35</v>
      </c>
      <c r="N730" s="116">
        <v>354</v>
      </c>
      <c r="O730" s="116">
        <v>338.1</v>
      </c>
      <c r="P730" s="116">
        <v>354</v>
      </c>
      <c r="Q730" s="116">
        <v>342.35</v>
      </c>
      <c r="R730">
        <v>14249</v>
      </c>
    </row>
    <row r="731" spans="1:18" x14ac:dyDescent="0.25">
      <c r="A731" s="170">
        <v>43962</v>
      </c>
      <c r="B731" s="116">
        <v>342.65</v>
      </c>
      <c r="C731" s="116">
        <v>340.7</v>
      </c>
      <c r="D731" s="116">
        <v>336</v>
      </c>
      <c r="E731" s="116">
        <v>340</v>
      </c>
      <c r="F731" s="116">
        <v>340.7</v>
      </c>
      <c r="G731">
        <v>488</v>
      </c>
      <c r="H731" s="116"/>
      <c r="I731" s="116"/>
      <c r="L731" s="170">
        <v>43962</v>
      </c>
      <c r="M731" s="116">
        <v>340.25</v>
      </c>
      <c r="N731" s="116">
        <v>351.35</v>
      </c>
      <c r="O731" s="116">
        <v>335.1</v>
      </c>
      <c r="P731" s="116">
        <v>349.95</v>
      </c>
      <c r="Q731" s="116">
        <v>340.25</v>
      </c>
      <c r="R731">
        <v>19181</v>
      </c>
    </row>
    <row r="732" spans="1:18" x14ac:dyDescent="0.25">
      <c r="A732" s="170">
        <v>43963</v>
      </c>
      <c r="B732" s="116">
        <v>339.75</v>
      </c>
      <c r="C732" s="116">
        <v>333.95</v>
      </c>
      <c r="D732" s="116">
        <v>323.14999999999998</v>
      </c>
      <c r="E732" s="116">
        <v>336.5</v>
      </c>
      <c r="F732" s="116">
        <v>333.95</v>
      </c>
      <c r="G732">
        <v>1258</v>
      </c>
      <c r="H732" s="116"/>
      <c r="I732" s="116"/>
      <c r="L732" s="170">
        <v>43963</v>
      </c>
      <c r="M732" s="116">
        <v>332.2</v>
      </c>
      <c r="N732" s="116">
        <v>345.1</v>
      </c>
      <c r="O732" s="116">
        <v>323.10000000000002</v>
      </c>
      <c r="P732" s="116">
        <v>333.65</v>
      </c>
      <c r="Q732" s="116">
        <v>332.2</v>
      </c>
      <c r="R732">
        <v>34850</v>
      </c>
    </row>
    <row r="733" spans="1:18" x14ac:dyDescent="0.25">
      <c r="A733" s="170">
        <v>43964</v>
      </c>
      <c r="B733" s="116">
        <v>345.45</v>
      </c>
      <c r="C733" s="116">
        <v>343.55</v>
      </c>
      <c r="D733" s="116">
        <v>338</v>
      </c>
      <c r="E733" s="116">
        <v>341.5</v>
      </c>
      <c r="F733" s="116">
        <v>343.55</v>
      </c>
      <c r="G733">
        <v>393</v>
      </c>
      <c r="H733" s="116"/>
      <c r="I733" s="116"/>
      <c r="L733" s="170">
        <v>43964</v>
      </c>
      <c r="M733" s="116">
        <v>343.8</v>
      </c>
      <c r="N733" s="116">
        <v>364</v>
      </c>
      <c r="O733" s="116">
        <v>336.95</v>
      </c>
      <c r="P733" s="116">
        <v>349.8</v>
      </c>
      <c r="Q733" s="116">
        <v>343.8</v>
      </c>
      <c r="R733">
        <v>25593</v>
      </c>
    </row>
    <row r="734" spans="1:18" x14ac:dyDescent="0.25">
      <c r="A734" s="170">
        <v>43965</v>
      </c>
      <c r="B734" s="116">
        <v>343.6</v>
      </c>
      <c r="C734" s="116">
        <v>342.85</v>
      </c>
      <c r="D734" s="116">
        <v>337.2</v>
      </c>
      <c r="E734" s="116">
        <v>340</v>
      </c>
      <c r="F734" s="116">
        <v>342.85</v>
      </c>
      <c r="G734">
        <v>22</v>
      </c>
      <c r="H734" s="116"/>
      <c r="I734" s="116"/>
      <c r="L734" s="170">
        <v>43965</v>
      </c>
      <c r="M734" s="116">
        <v>342.95</v>
      </c>
      <c r="N734" s="116">
        <v>344</v>
      </c>
      <c r="O734" s="116">
        <v>334.15</v>
      </c>
      <c r="P734" s="116">
        <v>344</v>
      </c>
      <c r="Q734" s="116">
        <v>342.95</v>
      </c>
      <c r="R734">
        <v>8027</v>
      </c>
    </row>
    <row r="735" spans="1:18" x14ac:dyDescent="0.25">
      <c r="A735" s="170">
        <v>43966</v>
      </c>
      <c r="B735" s="116">
        <v>342.1</v>
      </c>
      <c r="C735" s="116">
        <v>339.1</v>
      </c>
      <c r="D735" s="116">
        <v>334</v>
      </c>
      <c r="E735" s="116">
        <v>340.1</v>
      </c>
      <c r="F735" s="116">
        <v>339.1</v>
      </c>
      <c r="G735">
        <v>305</v>
      </c>
      <c r="H735" s="116"/>
      <c r="I735" s="116"/>
      <c r="L735" s="170">
        <v>43966</v>
      </c>
      <c r="M735" s="116">
        <v>340.85</v>
      </c>
      <c r="N735" s="116">
        <v>347</v>
      </c>
      <c r="O735" s="116">
        <v>334</v>
      </c>
      <c r="P735" s="116">
        <v>347</v>
      </c>
      <c r="Q735" s="116">
        <v>340.85</v>
      </c>
      <c r="R735">
        <v>8163</v>
      </c>
    </row>
    <row r="736" spans="1:18" x14ac:dyDescent="0.25">
      <c r="A736" s="170">
        <v>43969</v>
      </c>
      <c r="B736" s="116">
        <v>340</v>
      </c>
      <c r="C736" s="116">
        <v>336.35</v>
      </c>
      <c r="D736" s="116">
        <v>320</v>
      </c>
      <c r="E736" s="116">
        <v>338</v>
      </c>
      <c r="F736" s="116">
        <v>336.35</v>
      </c>
      <c r="G736">
        <v>940</v>
      </c>
      <c r="H736" s="116"/>
      <c r="I736" s="116"/>
      <c r="L736" s="170">
        <v>43969</v>
      </c>
      <c r="M736" s="116">
        <v>336.75</v>
      </c>
      <c r="N736" s="116">
        <v>346.75</v>
      </c>
      <c r="O736" s="116">
        <v>326.10000000000002</v>
      </c>
      <c r="P736" s="116">
        <v>346.75</v>
      </c>
      <c r="Q736" s="116">
        <v>336.75</v>
      </c>
      <c r="R736">
        <v>13969</v>
      </c>
    </row>
    <row r="737" spans="1:18" x14ac:dyDescent="0.25">
      <c r="A737" s="170">
        <v>43970</v>
      </c>
      <c r="B737" s="116">
        <v>342.55</v>
      </c>
      <c r="C737" s="116">
        <v>331.85</v>
      </c>
      <c r="D737" s="116">
        <v>326.35000000000002</v>
      </c>
      <c r="E737" s="116">
        <v>341</v>
      </c>
      <c r="F737" s="116">
        <v>331.85</v>
      </c>
      <c r="G737">
        <v>875</v>
      </c>
      <c r="H737" s="116"/>
      <c r="I737" s="116"/>
      <c r="L737" s="170">
        <v>43970</v>
      </c>
      <c r="M737" s="116">
        <v>331.1</v>
      </c>
      <c r="N737" s="116">
        <v>343.7</v>
      </c>
      <c r="O737" s="116">
        <v>327</v>
      </c>
      <c r="P737" s="116">
        <v>340</v>
      </c>
      <c r="Q737" s="116">
        <v>331.1</v>
      </c>
      <c r="R737">
        <v>8384</v>
      </c>
    </row>
    <row r="738" spans="1:18" x14ac:dyDescent="0.25">
      <c r="A738" s="170">
        <v>43971</v>
      </c>
      <c r="B738" s="116">
        <v>337.15</v>
      </c>
      <c r="C738" s="116">
        <v>335.05</v>
      </c>
      <c r="D738" s="116">
        <v>330</v>
      </c>
      <c r="E738" s="116">
        <v>333</v>
      </c>
      <c r="F738" s="116">
        <v>335.05</v>
      </c>
      <c r="G738">
        <v>704</v>
      </c>
      <c r="H738" s="116"/>
      <c r="I738" s="116"/>
      <c r="L738" s="170">
        <v>43971</v>
      </c>
      <c r="M738" s="116">
        <v>333.5</v>
      </c>
      <c r="N738" s="116">
        <v>338.55</v>
      </c>
      <c r="O738" s="116">
        <v>327.55</v>
      </c>
      <c r="P738" s="116">
        <v>334.7</v>
      </c>
      <c r="Q738" s="116">
        <v>333.5</v>
      </c>
      <c r="R738">
        <v>11867</v>
      </c>
    </row>
    <row r="739" spans="1:18" x14ac:dyDescent="0.25">
      <c r="A739" s="170">
        <v>43972</v>
      </c>
      <c r="B739" s="116">
        <v>340</v>
      </c>
      <c r="C739" s="116">
        <v>328.05</v>
      </c>
      <c r="D739" s="116">
        <v>325</v>
      </c>
      <c r="E739" s="116">
        <v>335.3</v>
      </c>
      <c r="F739" s="116">
        <v>328.05</v>
      </c>
      <c r="G739">
        <v>1251</v>
      </c>
      <c r="H739" s="116"/>
      <c r="I739" s="116"/>
      <c r="L739" s="170">
        <v>43972</v>
      </c>
      <c r="M739" s="116">
        <v>328.3</v>
      </c>
      <c r="N739" s="116">
        <v>335.2</v>
      </c>
      <c r="O739" s="116">
        <v>323.2</v>
      </c>
      <c r="P739" s="116">
        <v>333.1</v>
      </c>
      <c r="Q739" s="116">
        <v>328.3</v>
      </c>
      <c r="R739">
        <v>12494</v>
      </c>
    </row>
    <row r="740" spans="1:18" x14ac:dyDescent="0.25">
      <c r="A740" s="170">
        <v>43973</v>
      </c>
      <c r="B740" s="116">
        <v>328.35</v>
      </c>
      <c r="C740" s="116">
        <v>311.14999999999998</v>
      </c>
      <c r="D740" s="116">
        <v>308</v>
      </c>
      <c r="E740" s="116">
        <v>328.35</v>
      </c>
      <c r="F740" s="116">
        <v>311.14999999999998</v>
      </c>
      <c r="G740">
        <v>1564</v>
      </c>
      <c r="H740" s="116"/>
      <c r="I740" s="116"/>
      <c r="L740" s="170">
        <v>43973</v>
      </c>
      <c r="M740" s="116">
        <v>311.3</v>
      </c>
      <c r="N740" s="116">
        <v>332.9</v>
      </c>
      <c r="O740" s="116">
        <v>306.10000000000002</v>
      </c>
      <c r="P740" s="116">
        <v>325.35000000000002</v>
      </c>
      <c r="Q740" s="116">
        <v>311.3</v>
      </c>
      <c r="R740">
        <v>32692</v>
      </c>
    </row>
    <row r="741" spans="1:18" x14ac:dyDescent="0.25">
      <c r="A741" s="170">
        <v>43977</v>
      </c>
      <c r="B741" s="116">
        <v>310</v>
      </c>
      <c r="C741" s="116">
        <v>306.45</v>
      </c>
      <c r="D741" s="116">
        <v>305</v>
      </c>
      <c r="E741" s="116">
        <v>310</v>
      </c>
      <c r="F741" s="116">
        <v>306.45</v>
      </c>
      <c r="G741">
        <v>310</v>
      </c>
      <c r="H741" s="116"/>
      <c r="I741" s="116"/>
      <c r="L741" s="170">
        <v>43977</v>
      </c>
      <c r="M741" s="116">
        <v>306.45</v>
      </c>
      <c r="N741" s="116">
        <v>314.89999999999998</v>
      </c>
      <c r="O741" s="116">
        <v>304.25</v>
      </c>
      <c r="P741" s="116">
        <v>311.89999999999998</v>
      </c>
      <c r="Q741" s="116">
        <v>306.45</v>
      </c>
      <c r="R741">
        <v>8955</v>
      </c>
    </row>
    <row r="742" spans="1:18" x14ac:dyDescent="0.25">
      <c r="A742" s="170">
        <v>43978</v>
      </c>
      <c r="B742" s="116">
        <v>312.7</v>
      </c>
      <c r="C742" s="116">
        <v>312.7</v>
      </c>
      <c r="D742" s="116">
        <v>308.3</v>
      </c>
      <c r="E742" s="116">
        <v>308.64999999999998</v>
      </c>
      <c r="F742" s="116">
        <v>312.7</v>
      </c>
      <c r="G742">
        <v>115</v>
      </c>
      <c r="H742" s="116"/>
      <c r="I742" s="116"/>
      <c r="L742" s="170">
        <v>43978</v>
      </c>
      <c r="M742" s="116">
        <v>311.7</v>
      </c>
      <c r="N742" s="116">
        <v>313.89999999999998</v>
      </c>
      <c r="O742" s="116">
        <v>305.5</v>
      </c>
      <c r="P742" s="116">
        <v>313.89999999999998</v>
      </c>
      <c r="Q742" s="116">
        <v>311.7</v>
      </c>
      <c r="R742">
        <v>3944</v>
      </c>
    </row>
    <row r="743" spans="1:18" x14ac:dyDescent="0.25">
      <c r="A743" s="170">
        <v>43979</v>
      </c>
      <c r="B743" s="116">
        <v>318.5</v>
      </c>
      <c r="C743" s="116">
        <v>314.60000000000002</v>
      </c>
      <c r="D743" s="116">
        <v>312.05</v>
      </c>
      <c r="E743" s="116">
        <v>315</v>
      </c>
      <c r="F743" s="116">
        <v>314.60000000000002</v>
      </c>
      <c r="G743">
        <v>1692</v>
      </c>
      <c r="H743" s="116"/>
      <c r="I743" s="116"/>
      <c r="L743" s="170">
        <v>43979</v>
      </c>
      <c r="M743" s="116">
        <v>314.3</v>
      </c>
      <c r="N743" s="116">
        <v>319.45</v>
      </c>
      <c r="O743" s="116">
        <v>312</v>
      </c>
      <c r="P743" s="116">
        <v>312.25</v>
      </c>
      <c r="Q743" s="116">
        <v>314.3</v>
      </c>
      <c r="R743">
        <v>7265</v>
      </c>
    </row>
    <row r="744" spans="1:18" x14ac:dyDescent="0.25">
      <c r="A744" s="170">
        <v>43980</v>
      </c>
      <c r="B744" s="116">
        <v>331.4</v>
      </c>
      <c r="C744" s="116">
        <v>320</v>
      </c>
      <c r="D744" s="116">
        <v>311.8</v>
      </c>
      <c r="E744" s="116">
        <v>315</v>
      </c>
      <c r="F744" s="116">
        <v>320</v>
      </c>
      <c r="G744">
        <v>2377</v>
      </c>
      <c r="H744" s="116"/>
      <c r="I744" s="116"/>
      <c r="L744" s="170">
        <v>43980</v>
      </c>
      <c r="M744" s="116">
        <v>325.14999999999998</v>
      </c>
      <c r="N744" s="116">
        <v>339</v>
      </c>
      <c r="O744" s="116">
        <v>309</v>
      </c>
      <c r="P744" s="116">
        <v>311.05</v>
      </c>
      <c r="Q744" s="116">
        <v>325.14999999999998</v>
      </c>
      <c r="R744">
        <v>13787</v>
      </c>
    </row>
    <row r="745" spans="1:18" x14ac:dyDescent="0.25">
      <c r="A745" s="170">
        <v>43983</v>
      </c>
      <c r="B745" s="116">
        <v>352</v>
      </c>
      <c r="C745" s="116">
        <v>346.65</v>
      </c>
      <c r="D745" s="116">
        <v>338.2</v>
      </c>
      <c r="E745" s="116">
        <v>338.2</v>
      </c>
      <c r="F745" s="116">
        <v>346.65</v>
      </c>
      <c r="G745">
        <v>2171</v>
      </c>
      <c r="H745" s="116"/>
      <c r="I745" s="116"/>
      <c r="L745" s="170">
        <v>43983</v>
      </c>
      <c r="M745" s="116">
        <v>349</v>
      </c>
      <c r="N745" s="116">
        <v>354.9</v>
      </c>
      <c r="O745" s="116">
        <v>330</v>
      </c>
      <c r="P745" s="116">
        <v>330</v>
      </c>
      <c r="Q745" s="116">
        <v>349</v>
      </c>
      <c r="R745">
        <v>47537</v>
      </c>
    </row>
    <row r="746" spans="1:18" x14ac:dyDescent="0.25">
      <c r="A746" s="170">
        <v>43984</v>
      </c>
      <c r="B746" s="116">
        <v>351.35</v>
      </c>
      <c r="C746" s="116">
        <v>349.45</v>
      </c>
      <c r="D746" s="116">
        <v>336.75</v>
      </c>
      <c r="E746" s="116">
        <v>345.6</v>
      </c>
      <c r="F746" s="116">
        <v>349.45</v>
      </c>
      <c r="G746">
        <v>2385</v>
      </c>
      <c r="H746" s="116"/>
      <c r="I746" s="116"/>
      <c r="L746" s="170">
        <v>43984</v>
      </c>
      <c r="M746" s="116">
        <v>348.45</v>
      </c>
      <c r="N746" s="116">
        <v>352.9</v>
      </c>
      <c r="O746" s="116">
        <v>337</v>
      </c>
      <c r="P746" s="116">
        <v>343.4</v>
      </c>
      <c r="Q746" s="116">
        <v>348.45</v>
      </c>
      <c r="R746">
        <v>29757</v>
      </c>
    </row>
    <row r="747" spans="1:18" x14ac:dyDescent="0.25">
      <c r="A747" s="170">
        <v>43985</v>
      </c>
      <c r="B747" s="116">
        <v>351.2</v>
      </c>
      <c r="C747" s="116">
        <v>345.9</v>
      </c>
      <c r="D747" s="116">
        <v>343.05</v>
      </c>
      <c r="E747" s="116">
        <v>348.3</v>
      </c>
      <c r="F747" s="116">
        <v>345.9</v>
      </c>
      <c r="G747">
        <v>1288</v>
      </c>
      <c r="H747" s="116"/>
      <c r="I747" s="116"/>
      <c r="L747" s="170">
        <v>43985</v>
      </c>
      <c r="M747" s="116">
        <v>347.25</v>
      </c>
      <c r="N747" s="116">
        <v>352.85</v>
      </c>
      <c r="O747" s="116">
        <v>343.2</v>
      </c>
      <c r="P747" s="116">
        <v>352.85</v>
      </c>
      <c r="Q747" s="116">
        <v>347.25</v>
      </c>
      <c r="R747">
        <v>12307</v>
      </c>
    </row>
    <row r="748" spans="1:18" x14ac:dyDescent="0.25">
      <c r="A748" s="170">
        <v>43986</v>
      </c>
      <c r="B748" s="116">
        <v>352.45</v>
      </c>
      <c r="C748" s="116">
        <v>342.6</v>
      </c>
      <c r="D748" s="116">
        <v>341.7</v>
      </c>
      <c r="E748" s="116">
        <v>347.25</v>
      </c>
      <c r="F748" s="116">
        <v>342.6</v>
      </c>
      <c r="G748">
        <v>1117</v>
      </c>
      <c r="H748" s="116"/>
      <c r="I748" s="116"/>
      <c r="L748" s="170">
        <v>43986</v>
      </c>
      <c r="M748" s="116">
        <v>342.75</v>
      </c>
      <c r="N748" s="116">
        <v>352.85</v>
      </c>
      <c r="O748" s="116">
        <v>338</v>
      </c>
      <c r="P748" s="116">
        <v>347.25</v>
      </c>
      <c r="Q748" s="116">
        <v>342.75</v>
      </c>
      <c r="R748">
        <v>17973</v>
      </c>
    </row>
    <row r="749" spans="1:18" x14ac:dyDescent="0.25">
      <c r="A749" s="170">
        <v>43987</v>
      </c>
      <c r="B749" s="116">
        <v>361</v>
      </c>
      <c r="C749" s="116">
        <v>350.85</v>
      </c>
      <c r="D749" s="116">
        <v>345.7</v>
      </c>
      <c r="E749" s="116">
        <v>350</v>
      </c>
      <c r="F749" s="116">
        <v>350.85</v>
      </c>
      <c r="G749">
        <v>1289</v>
      </c>
      <c r="H749" s="116"/>
      <c r="I749" s="116"/>
      <c r="L749" s="170">
        <v>43987</v>
      </c>
      <c r="M749" s="116">
        <v>351.55</v>
      </c>
      <c r="N749" s="116">
        <v>354.8</v>
      </c>
      <c r="O749" s="116">
        <v>343.1</v>
      </c>
      <c r="P749" s="116">
        <v>343.1</v>
      </c>
      <c r="Q749" s="116">
        <v>351.55</v>
      </c>
      <c r="R749">
        <v>29655</v>
      </c>
    </row>
    <row r="750" spans="1:18" x14ac:dyDescent="0.25">
      <c r="A750" s="170">
        <v>43990</v>
      </c>
      <c r="B750" s="116">
        <v>379.95</v>
      </c>
      <c r="C750" s="116">
        <v>370</v>
      </c>
      <c r="D750" s="116">
        <v>354.25</v>
      </c>
      <c r="E750" s="116">
        <v>359.7</v>
      </c>
      <c r="F750" s="116">
        <v>370</v>
      </c>
      <c r="G750">
        <v>3571</v>
      </c>
      <c r="H750" s="116"/>
      <c r="I750" s="116"/>
      <c r="L750" s="170">
        <v>43990</v>
      </c>
      <c r="M750" s="116">
        <v>367.85</v>
      </c>
      <c r="N750" s="116">
        <v>380</v>
      </c>
      <c r="O750" s="116">
        <v>354</v>
      </c>
      <c r="P750" s="116">
        <v>359</v>
      </c>
      <c r="Q750" s="116">
        <v>367.85</v>
      </c>
      <c r="R750">
        <v>87498</v>
      </c>
    </row>
    <row r="751" spans="1:18" x14ac:dyDescent="0.25">
      <c r="A751" s="170">
        <v>43991</v>
      </c>
      <c r="B751" s="116">
        <v>391.55</v>
      </c>
      <c r="C751" s="116">
        <v>382.15</v>
      </c>
      <c r="D751" s="116">
        <v>375.95</v>
      </c>
      <c r="E751" s="116">
        <v>382.7</v>
      </c>
      <c r="F751" s="116">
        <v>382.15</v>
      </c>
      <c r="G751">
        <v>6806</v>
      </c>
      <c r="H751" s="116"/>
      <c r="I751" s="116"/>
      <c r="L751" s="170">
        <v>43991</v>
      </c>
      <c r="M751" s="116">
        <v>381.85</v>
      </c>
      <c r="N751" s="116">
        <v>391.9</v>
      </c>
      <c r="O751" s="116">
        <v>375.5</v>
      </c>
      <c r="P751" s="116">
        <v>384</v>
      </c>
      <c r="Q751" s="116">
        <v>381.85</v>
      </c>
      <c r="R751">
        <v>198900</v>
      </c>
    </row>
    <row r="752" spans="1:18" x14ac:dyDescent="0.25">
      <c r="A752" s="170">
        <v>43992</v>
      </c>
      <c r="B752" s="116">
        <v>390</v>
      </c>
      <c r="C752" s="116">
        <v>373.25</v>
      </c>
      <c r="D752" s="116">
        <v>366.25</v>
      </c>
      <c r="E752" s="116">
        <v>390</v>
      </c>
      <c r="F752" s="116">
        <v>373.25</v>
      </c>
      <c r="G752">
        <v>2688</v>
      </c>
      <c r="H752" s="116"/>
      <c r="I752" s="116"/>
      <c r="L752" s="170">
        <v>43992</v>
      </c>
      <c r="M752" s="116">
        <v>374.05</v>
      </c>
      <c r="N752" s="116">
        <v>390.65</v>
      </c>
      <c r="O752" s="116">
        <v>360</v>
      </c>
      <c r="P752" s="116">
        <v>386</v>
      </c>
      <c r="Q752" s="116">
        <v>374.05</v>
      </c>
      <c r="R752">
        <v>37064</v>
      </c>
    </row>
    <row r="753" spans="1:18" x14ac:dyDescent="0.25">
      <c r="A753" s="170">
        <v>43993</v>
      </c>
      <c r="B753" s="116">
        <v>389</v>
      </c>
      <c r="C753" s="116">
        <v>380.7</v>
      </c>
      <c r="D753" s="116">
        <v>376</v>
      </c>
      <c r="E753" s="116">
        <v>378.3</v>
      </c>
      <c r="F753" s="116">
        <v>380.7</v>
      </c>
      <c r="G753">
        <v>1757</v>
      </c>
      <c r="H753" s="116"/>
      <c r="I753" s="116"/>
      <c r="L753" s="170">
        <v>43993</v>
      </c>
      <c r="M753" s="116">
        <v>381.6</v>
      </c>
      <c r="N753" s="116">
        <v>392</v>
      </c>
      <c r="O753" s="116">
        <v>370</v>
      </c>
      <c r="P753" s="116">
        <v>379</v>
      </c>
      <c r="Q753" s="116">
        <v>381.6</v>
      </c>
      <c r="R753">
        <v>31891</v>
      </c>
    </row>
    <row r="754" spans="1:18" x14ac:dyDescent="0.25">
      <c r="A754" s="170">
        <v>43994</v>
      </c>
      <c r="B754" s="116">
        <v>377.7</v>
      </c>
      <c r="C754" s="116">
        <v>374.45</v>
      </c>
      <c r="D754" s="116">
        <v>365.1</v>
      </c>
      <c r="E754" s="116">
        <v>374</v>
      </c>
      <c r="F754" s="116">
        <v>374.45</v>
      </c>
      <c r="G754">
        <v>625</v>
      </c>
      <c r="H754" s="116"/>
      <c r="I754" s="116"/>
      <c r="L754" s="170">
        <v>43994</v>
      </c>
      <c r="M754" s="116">
        <v>373.65</v>
      </c>
      <c r="N754" s="116">
        <v>377.7</v>
      </c>
      <c r="O754" s="116">
        <v>365</v>
      </c>
      <c r="P754" s="116">
        <v>374</v>
      </c>
      <c r="Q754" s="116">
        <v>373.65</v>
      </c>
      <c r="R754">
        <v>16463</v>
      </c>
    </row>
    <row r="755" spans="1:18" x14ac:dyDescent="0.25">
      <c r="A755" s="170">
        <v>43997</v>
      </c>
      <c r="B755" s="116">
        <v>392</v>
      </c>
      <c r="C755" s="116">
        <v>380.15</v>
      </c>
      <c r="D755" s="116">
        <v>375.1</v>
      </c>
      <c r="E755" s="116">
        <v>375.1</v>
      </c>
      <c r="F755" s="116">
        <v>380.15</v>
      </c>
      <c r="G755">
        <v>4354</v>
      </c>
      <c r="H755" s="116"/>
      <c r="I755" s="116"/>
      <c r="L755" s="170">
        <v>43997</v>
      </c>
      <c r="M755" s="116">
        <v>380.25</v>
      </c>
      <c r="N755" s="116">
        <v>385</v>
      </c>
      <c r="O755" s="116">
        <v>374.7</v>
      </c>
      <c r="P755" s="116">
        <v>374.9</v>
      </c>
      <c r="Q755" s="116">
        <v>380.25</v>
      </c>
      <c r="R755">
        <v>24085</v>
      </c>
    </row>
    <row r="756" spans="1:18" x14ac:dyDescent="0.25">
      <c r="A756" s="170">
        <v>43998</v>
      </c>
      <c r="B756" s="116">
        <v>388</v>
      </c>
      <c r="C756" s="116">
        <v>381.8</v>
      </c>
      <c r="D756" s="116">
        <v>371.7</v>
      </c>
      <c r="E756" s="116">
        <v>386.25</v>
      </c>
      <c r="F756" s="116">
        <v>381.8</v>
      </c>
      <c r="G756">
        <v>1698</v>
      </c>
      <c r="H756" s="116"/>
      <c r="I756" s="116"/>
      <c r="L756" s="170">
        <v>43998</v>
      </c>
      <c r="M756" s="116">
        <v>381.7</v>
      </c>
      <c r="N756" s="116">
        <v>387.85</v>
      </c>
      <c r="O756" s="116">
        <v>370.3</v>
      </c>
      <c r="P756" s="116">
        <v>384.1</v>
      </c>
      <c r="Q756" s="116">
        <v>381.7</v>
      </c>
      <c r="R756">
        <v>20628</v>
      </c>
    </row>
    <row r="757" spans="1:18" x14ac:dyDescent="0.25">
      <c r="A757" s="170">
        <v>43999</v>
      </c>
      <c r="B757" s="116">
        <v>381</v>
      </c>
      <c r="C757" s="116">
        <v>375.7</v>
      </c>
      <c r="D757" s="116">
        <v>359</v>
      </c>
      <c r="E757" s="116">
        <v>370</v>
      </c>
      <c r="F757" s="116">
        <v>375.7</v>
      </c>
      <c r="G757">
        <v>1840</v>
      </c>
      <c r="H757" s="116"/>
      <c r="I757" s="116"/>
      <c r="L757" s="170">
        <v>43999</v>
      </c>
      <c r="M757" s="116">
        <v>375.35</v>
      </c>
      <c r="N757" s="116">
        <v>381.75</v>
      </c>
      <c r="O757" s="116">
        <v>373</v>
      </c>
      <c r="P757" s="116">
        <v>381.75</v>
      </c>
      <c r="Q757" s="116">
        <v>375.35</v>
      </c>
      <c r="R757">
        <v>8020</v>
      </c>
    </row>
    <row r="758" spans="1:18" x14ac:dyDescent="0.25">
      <c r="A758" s="170">
        <v>44000</v>
      </c>
      <c r="B758" s="116">
        <v>379</v>
      </c>
      <c r="C758" s="116">
        <v>372.4</v>
      </c>
      <c r="D758" s="116">
        <v>370</v>
      </c>
      <c r="E758" s="116">
        <v>376.5</v>
      </c>
      <c r="F758" s="116">
        <v>372.4</v>
      </c>
      <c r="G758">
        <v>1759</v>
      </c>
      <c r="H758" s="116"/>
      <c r="I758" s="116"/>
      <c r="L758" s="170">
        <v>44000</v>
      </c>
      <c r="M758" s="116">
        <v>372</v>
      </c>
      <c r="N758" s="116">
        <v>377.85</v>
      </c>
      <c r="O758" s="116">
        <v>370.55</v>
      </c>
      <c r="P758" s="116">
        <v>373</v>
      </c>
      <c r="Q758" s="116">
        <v>372</v>
      </c>
      <c r="R758">
        <v>15592</v>
      </c>
    </row>
    <row r="759" spans="1:18" x14ac:dyDescent="0.25">
      <c r="A759" s="170">
        <v>44001</v>
      </c>
      <c r="B759" s="116">
        <v>378.9</v>
      </c>
      <c r="C759" s="116">
        <v>367.45</v>
      </c>
      <c r="D759" s="116">
        <v>364.3</v>
      </c>
      <c r="E759" s="116">
        <v>372.1</v>
      </c>
      <c r="F759" s="116">
        <v>367.45</v>
      </c>
      <c r="G759">
        <v>3446</v>
      </c>
      <c r="H759" s="116"/>
      <c r="I759" s="116"/>
      <c r="L759" s="170">
        <v>44001</v>
      </c>
      <c r="M759" s="116">
        <v>368.55</v>
      </c>
      <c r="N759" s="116">
        <v>375</v>
      </c>
      <c r="O759" s="116">
        <v>365</v>
      </c>
      <c r="P759" s="116">
        <v>375</v>
      </c>
      <c r="Q759" s="116">
        <v>368.55</v>
      </c>
      <c r="R759">
        <v>16215</v>
      </c>
    </row>
    <row r="760" spans="1:18" x14ac:dyDescent="0.25">
      <c r="A760" s="170">
        <v>44004</v>
      </c>
      <c r="B760" s="116">
        <v>374.6</v>
      </c>
      <c r="C760" s="116">
        <v>368.1</v>
      </c>
      <c r="D760" s="116">
        <v>367</v>
      </c>
      <c r="E760" s="116">
        <v>369</v>
      </c>
      <c r="F760" s="116">
        <v>368.1</v>
      </c>
      <c r="G760">
        <v>662</v>
      </c>
      <c r="H760" s="116"/>
      <c r="I760" s="116"/>
      <c r="L760" s="170">
        <v>44004</v>
      </c>
      <c r="M760" s="116">
        <v>368.35</v>
      </c>
      <c r="N760" s="116">
        <v>375</v>
      </c>
      <c r="O760" s="116">
        <v>365.65</v>
      </c>
      <c r="P760" s="116">
        <v>370.05</v>
      </c>
      <c r="Q760" s="116">
        <v>368.35</v>
      </c>
      <c r="R760">
        <v>26373</v>
      </c>
    </row>
    <row r="761" spans="1:18" x14ac:dyDescent="0.25">
      <c r="A761" s="170">
        <v>44005</v>
      </c>
      <c r="B761" s="116">
        <v>380</v>
      </c>
      <c r="C761" s="116">
        <v>375.2</v>
      </c>
      <c r="D761" s="116">
        <v>368</v>
      </c>
      <c r="E761" s="116">
        <v>369.05</v>
      </c>
      <c r="F761" s="116">
        <v>375.2</v>
      </c>
      <c r="G761">
        <v>1595</v>
      </c>
      <c r="H761" s="116"/>
      <c r="I761" s="116"/>
      <c r="L761" s="170">
        <v>44005</v>
      </c>
      <c r="M761" s="116">
        <v>377.05</v>
      </c>
      <c r="N761" s="116">
        <v>384.9</v>
      </c>
      <c r="O761" s="116">
        <v>367.7</v>
      </c>
      <c r="P761" s="116">
        <v>368.55</v>
      </c>
      <c r="Q761" s="116">
        <v>377.05</v>
      </c>
      <c r="R761">
        <v>17121</v>
      </c>
    </row>
    <row r="762" spans="1:18" x14ac:dyDescent="0.25">
      <c r="A762" s="170">
        <v>44006</v>
      </c>
      <c r="B762" s="116">
        <v>380.55</v>
      </c>
      <c r="C762" s="116">
        <v>373.95</v>
      </c>
      <c r="D762" s="116">
        <v>368.3</v>
      </c>
      <c r="E762" s="116">
        <v>380</v>
      </c>
      <c r="F762" s="116">
        <v>373.95</v>
      </c>
      <c r="G762">
        <v>2013</v>
      </c>
      <c r="H762" s="116"/>
      <c r="I762" s="116"/>
      <c r="L762" s="170">
        <v>44006</v>
      </c>
      <c r="M762" s="116">
        <v>375.2</v>
      </c>
      <c r="N762" s="116">
        <v>384.5</v>
      </c>
      <c r="O762" s="116">
        <v>368.8</v>
      </c>
      <c r="P762" s="116">
        <v>377.6</v>
      </c>
      <c r="Q762" s="116">
        <v>375.2</v>
      </c>
      <c r="R762">
        <v>19286</v>
      </c>
    </row>
    <row r="763" spans="1:18" x14ac:dyDescent="0.25">
      <c r="A763" s="170">
        <v>44007</v>
      </c>
      <c r="B763" s="116">
        <v>379.65</v>
      </c>
      <c r="C763" s="116">
        <v>376.05</v>
      </c>
      <c r="D763" s="116">
        <v>369.7</v>
      </c>
      <c r="E763" s="116">
        <v>373.7</v>
      </c>
      <c r="F763" s="116">
        <v>376.05</v>
      </c>
      <c r="G763">
        <v>1067</v>
      </c>
      <c r="H763" s="116"/>
      <c r="I763" s="116"/>
      <c r="L763" s="170">
        <v>44007</v>
      </c>
      <c r="M763" s="116">
        <v>374.65</v>
      </c>
      <c r="N763" s="116">
        <v>379</v>
      </c>
      <c r="O763" s="116">
        <v>368.2</v>
      </c>
      <c r="P763" s="116">
        <v>375.25</v>
      </c>
      <c r="Q763" s="116">
        <v>374.65</v>
      </c>
      <c r="R763">
        <v>8747</v>
      </c>
    </row>
    <row r="764" spans="1:18" x14ac:dyDescent="0.25">
      <c r="A764" s="170">
        <v>44008</v>
      </c>
      <c r="B764" s="116">
        <v>403.3</v>
      </c>
      <c r="C764" s="116">
        <v>395.15</v>
      </c>
      <c r="D764" s="116">
        <v>367.8</v>
      </c>
      <c r="E764" s="116">
        <v>376.75</v>
      </c>
      <c r="F764" s="116">
        <v>395.15</v>
      </c>
      <c r="G764">
        <v>6584</v>
      </c>
      <c r="H764" s="116"/>
      <c r="I764" s="116"/>
      <c r="L764" s="170">
        <v>44008</v>
      </c>
      <c r="M764" s="116">
        <v>395.55</v>
      </c>
      <c r="N764" s="116">
        <v>404</v>
      </c>
      <c r="O764" s="116">
        <v>366.35</v>
      </c>
      <c r="P764" s="116">
        <v>378.8</v>
      </c>
      <c r="Q764" s="116">
        <v>395.55</v>
      </c>
      <c r="R764">
        <v>97011</v>
      </c>
    </row>
    <row r="765" spans="1:18" x14ac:dyDescent="0.25">
      <c r="A765" s="170">
        <v>44011</v>
      </c>
      <c r="B765" s="116">
        <v>405</v>
      </c>
      <c r="C765" s="116">
        <v>395.3</v>
      </c>
      <c r="D765" s="116">
        <v>384.3</v>
      </c>
      <c r="E765" s="116">
        <v>390</v>
      </c>
      <c r="F765" s="116">
        <v>395.3</v>
      </c>
      <c r="G765">
        <v>2139</v>
      </c>
      <c r="H765" s="116"/>
      <c r="I765" s="116"/>
      <c r="L765" s="170">
        <v>44011</v>
      </c>
      <c r="M765" s="116">
        <v>393.95</v>
      </c>
      <c r="N765" s="116">
        <v>406.1</v>
      </c>
      <c r="O765" s="116">
        <v>384.95</v>
      </c>
      <c r="P765" s="116">
        <v>392.7</v>
      </c>
      <c r="Q765" s="116">
        <v>393.95</v>
      </c>
      <c r="R765">
        <v>36120</v>
      </c>
    </row>
    <row r="766" spans="1:18" x14ac:dyDescent="0.25">
      <c r="A766" s="170">
        <v>44012</v>
      </c>
      <c r="B766" s="116">
        <v>394.8</v>
      </c>
      <c r="C766" s="116">
        <v>390</v>
      </c>
      <c r="D766" s="116">
        <v>380</v>
      </c>
      <c r="E766" s="116">
        <v>393.65</v>
      </c>
      <c r="F766" s="116">
        <v>390</v>
      </c>
      <c r="G766">
        <v>37190</v>
      </c>
      <c r="H766" s="116"/>
      <c r="I766" s="116"/>
      <c r="L766" s="170">
        <v>44012</v>
      </c>
      <c r="M766" s="116">
        <v>389.95</v>
      </c>
      <c r="N766" s="116">
        <v>400</v>
      </c>
      <c r="O766" s="116">
        <v>379.55</v>
      </c>
      <c r="P766" s="116">
        <v>396.4</v>
      </c>
      <c r="Q766" s="116">
        <v>389.95</v>
      </c>
      <c r="R766">
        <v>50353</v>
      </c>
    </row>
    <row r="767" spans="1:18" x14ac:dyDescent="0.25">
      <c r="A767" s="170">
        <v>44013</v>
      </c>
      <c r="B767" s="116">
        <v>388.1</v>
      </c>
      <c r="C767" s="116">
        <v>384.05</v>
      </c>
      <c r="D767" s="116">
        <v>381.45</v>
      </c>
      <c r="E767" s="116">
        <v>388</v>
      </c>
      <c r="F767" s="116">
        <v>384.05</v>
      </c>
      <c r="G767">
        <v>1070</v>
      </c>
      <c r="H767" s="116"/>
      <c r="I767" s="116"/>
      <c r="L767" s="170">
        <v>44013</v>
      </c>
      <c r="M767" s="116">
        <v>383.5</v>
      </c>
      <c r="N767" s="116">
        <v>389.95</v>
      </c>
      <c r="O767" s="116">
        <v>380.5</v>
      </c>
      <c r="P767" s="116">
        <v>389.95</v>
      </c>
      <c r="Q767" s="116">
        <v>383.5</v>
      </c>
      <c r="R767">
        <v>8906</v>
      </c>
    </row>
    <row r="768" spans="1:18" x14ac:dyDescent="0.25">
      <c r="A768" s="170">
        <v>44014</v>
      </c>
      <c r="B768" s="116">
        <v>413.45</v>
      </c>
      <c r="C768" s="116">
        <v>407.85</v>
      </c>
      <c r="D768" s="116">
        <v>386</v>
      </c>
      <c r="E768" s="116">
        <v>390</v>
      </c>
      <c r="F768" s="116">
        <v>407.85</v>
      </c>
      <c r="G768">
        <v>6888</v>
      </c>
      <c r="H768" s="116"/>
      <c r="I768" s="116"/>
      <c r="L768" s="170">
        <v>44014</v>
      </c>
      <c r="M768" s="116">
        <v>408.3</v>
      </c>
      <c r="N768" s="116">
        <v>413.9</v>
      </c>
      <c r="O768" s="116">
        <v>385.15</v>
      </c>
      <c r="P768" s="116">
        <v>389.85</v>
      </c>
      <c r="Q768" s="116">
        <v>408.3</v>
      </c>
      <c r="R768">
        <v>106898</v>
      </c>
    </row>
    <row r="769" spans="1:18" x14ac:dyDescent="0.25">
      <c r="A769" s="170">
        <v>44015</v>
      </c>
      <c r="B769" s="116">
        <v>434.3</v>
      </c>
      <c r="C769" s="116">
        <v>419.7</v>
      </c>
      <c r="D769" s="116">
        <v>415</v>
      </c>
      <c r="E769" s="116">
        <v>427</v>
      </c>
      <c r="F769" s="116">
        <v>419.7</v>
      </c>
      <c r="G769">
        <v>47530</v>
      </c>
      <c r="H769" s="116"/>
      <c r="I769" s="116"/>
      <c r="L769" s="170">
        <v>44015</v>
      </c>
      <c r="M769" s="116">
        <v>419.6</v>
      </c>
      <c r="N769" s="116">
        <v>434.7</v>
      </c>
      <c r="O769" s="116">
        <v>415</v>
      </c>
      <c r="P769" s="116">
        <v>425</v>
      </c>
      <c r="Q769" s="116">
        <v>419.6</v>
      </c>
      <c r="R769">
        <v>160453</v>
      </c>
    </row>
    <row r="770" spans="1:18" x14ac:dyDescent="0.25">
      <c r="A770" s="170">
        <v>44018</v>
      </c>
      <c r="B770" s="116">
        <v>425</v>
      </c>
      <c r="C770" s="116">
        <v>416.6</v>
      </c>
      <c r="D770" s="116">
        <v>411.8</v>
      </c>
      <c r="E770" s="116">
        <v>425</v>
      </c>
      <c r="F770" s="116">
        <v>416.6</v>
      </c>
      <c r="G770">
        <v>2298</v>
      </c>
      <c r="H770" s="116"/>
      <c r="I770" s="116"/>
      <c r="L770" s="170">
        <v>44018</v>
      </c>
      <c r="M770" s="116">
        <v>416.3</v>
      </c>
      <c r="N770" s="116">
        <v>424</v>
      </c>
      <c r="O770" s="116">
        <v>410</v>
      </c>
      <c r="P770" s="116">
        <v>424</v>
      </c>
      <c r="Q770" s="116">
        <v>416.3</v>
      </c>
      <c r="R770">
        <v>24946</v>
      </c>
    </row>
    <row r="771" spans="1:18" x14ac:dyDescent="0.25">
      <c r="A771" s="170">
        <v>44019</v>
      </c>
      <c r="B771" s="116">
        <v>423.4</v>
      </c>
      <c r="C771" s="116">
        <v>410.3</v>
      </c>
      <c r="D771" s="116">
        <v>405.7</v>
      </c>
      <c r="E771" s="116">
        <v>418.85</v>
      </c>
      <c r="F771" s="116">
        <v>410.3</v>
      </c>
      <c r="G771">
        <v>2539</v>
      </c>
      <c r="H771" s="116"/>
      <c r="I771" s="116"/>
      <c r="L771" s="170">
        <v>44019</v>
      </c>
      <c r="M771" s="116">
        <v>410.4</v>
      </c>
      <c r="N771" s="116">
        <v>422.9</v>
      </c>
      <c r="O771" s="116">
        <v>405</v>
      </c>
      <c r="P771" s="116">
        <v>416.5</v>
      </c>
      <c r="Q771" s="116">
        <v>410.4</v>
      </c>
      <c r="R771">
        <v>22209</v>
      </c>
    </row>
    <row r="772" spans="1:18" x14ac:dyDescent="0.25">
      <c r="A772" s="170">
        <v>44020</v>
      </c>
      <c r="B772" s="116">
        <v>413</v>
      </c>
      <c r="C772" s="116">
        <v>401.6</v>
      </c>
      <c r="D772" s="116">
        <v>396.5</v>
      </c>
      <c r="E772" s="116">
        <v>410.3</v>
      </c>
      <c r="F772" s="116">
        <v>401.6</v>
      </c>
      <c r="G772">
        <v>940</v>
      </c>
      <c r="H772" s="116"/>
      <c r="I772" s="116"/>
      <c r="L772" s="170">
        <v>44020</v>
      </c>
      <c r="M772" s="116">
        <v>401.15</v>
      </c>
      <c r="N772" s="116">
        <v>413.95</v>
      </c>
      <c r="O772" s="116">
        <v>395.1</v>
      </c>
      <c r="P772" s="116">
        <v>410.4</v>
      </c>
      <c r="Q772" s="116">
        <v>401.15</v>
      </c>
      <c r="R772">
        <v>17689</v>
      </c>
    </row>
    <row r="773" spans="1:18" x14ac:dyDescent="0.25">
      <c r="A773" s="170">
        <v>44021</v>
      </c>
      <c r="B773" s="116">
        <v>426.75</v>
      </c>
      <c r="C773" s="116">
        <v>411.35</v>
      </c>
      <c r="D773" s="116">
        <v>398.95</v>
      </c>
      <c r="E773" s="116">
        <v>402.05</v>
      </c>
      <c r="F773" s="116">
        <v>411.35</v>
      </c>
      <c r="G773">
        <v>2763</v>
      </c>
      <c r="H773" s="116"/>
      <c r="I773" s="116"/>
      <c r="L773" s="170">
        <v>44021</v>
      </c>
      <c r="M773" s="116">
        <v>411.1</v>
      </c>
      <c r="N773" s="116">
        <v>428.95</v>
      </c>
      <c r="O773" s="116">
        <v>399.05</v>
      </c>
      <c r="P773" s="116">
        <v>406.5</v>
      </c>
      <c r="Q773" s="116">
        <v>411.1</v>
      </c>
      <c r="R773">
        <v>42151</v>
      </c>
    </row>
    <row r="774" spans="1:18" x14ac:dyDescent="0.25">
      <c r="A774" s="170">
        <v>44022</v>
      </c>
      <c r="B774" s="116">
        <v>414.05</v>
      </c>
      <c r="C774" s="116">
        <v>408.25</v>
      </c>
      <c r="D774" s="116">
        <v>399.1</v>
      </c>
      <c r="E774" s="116">
        <v>406.6</v>
      </c>
      <c r="F774" s="116">
        <v>408.25</v>
      </c>
      <c r="G774">
        <v>2954</v>
      </c>
      <c r="H774" s="116"/>
      <c r="I774" s="116"/>
      <c r="L774" s="170">
        <v>44022</v>
      </c>
      <c r="M774" s="116">
        <v>410.2</v>
      </c>
      <c r="N774" s="116">
        <v>415.1</v>
      </c>
      <c r="O774" s="116">
        <v>403</v>
      </c>
      <c r="P774" s="116">
        <v>409.35</v>
      </c>
      <c r="Q774" s="116">
        <v>410.2</v>
      </c>
      <c r="R774">
        <v>12485</v>
      </c>
    </row>
    <row r="775" spans="1:18" x14ac:dyDescent="0.25">
      <c r="A775" s="170">
        <v>44025</v>
      </c>
      <c r="B775" s="116">
        <v>414.05</v>
      </c>
      <c r="C775" s="116">
        <v>410.4</v>
      </c>
      <c r="D775" s="116">
        <v>407.05</v>
      </c>
      <c r="E775" s="116">
        <v>413</v>
      </c>
      <c r="F775" s="116">
        <v>410.4</v>
      </c>
      <c r="G775">
        <v>889</v>
      </c>
      <c r="H775" s="116"/>
      <c r="I775" s="116"/>
      <c r="L775" s="170">
        <v>44025</v>
      </c>
      <c r="M775" s="116">
        <v>410</v>
      </c>
      <c r="N775" s="116">
        <v>414.65</v>
      </c>
      <c r="O775" s="116">
        <v>405.75</v>
      </c>
      <c r="P775" s="116">
        <v>410.2</v>
      </c>
      <c r="Q775" s="116">
        <v>410</v>
      </c>
      <c r="R775">
        <v>12779</v>
      </c>
    </row>
    <row r="776" spans="1:18" x14ac:dyDescent="0.25">
      <c r="A776" s="170">
        <v>44026</v>
      </c>
      <c r="B776" s="116">
        <v>437.2</v>
      </c>
      <c r="C776" s="116">
        <v>411.05</v>
      </c>
      <c r="D776" s="116">
        <v>403.5</v>
      </c>
      <c r="E776" s="116">
        <v>408.2</v>
      </c>
      <c r="F776" s="116">
        <v>411.05</v>
      </c>
      <c r="G776">
        <v>3652</v>
      </c>
      <c r="H776" s="116"/>
      <c r="I776" s="116"/>
      <c r="L776" s="170">
        <v>44026</v>
      </c>
      <c r="M776" s="116">
        <v>412.2</v>
      </c>
      <c r="N776" s="116">
        <v>419.9</v>
      </c>
      <c r="O776" s="116">
        <v>401.1</v>
      </c>
      <c r="P776" s="116">
        <v>413.7</v>
      </c>
      <c r="Q776" s="116">
        <v>412.2</v>
      </c>
      <c r="R776">
        <v>17180</v>
      </c>
    </row>
    <row r="777" spans="1:18" x14ac:dyDescent="0.25">
      <c r="A777" s="170">
        <v>44027</v>
      </c>
      <c r="B777" s="116">
        <v>418.15</v>
      </c>
      <c r="C777" s="116">
        <v>410.8</v>
      </c>
      <c r="D777" s="116">
        <v>407.5</v>
      </c>
      <c r="E777" s="116">
        <v>414.9</v>
      </c>
      <c r="F777" s="116">
        <v>410.8</v>
      </c>
      <c r="G777">
        <v>696</v>
      </c>
      <c r="H777" s="116"/>
      <c r="I777" s="116"/>
      <c r="L777" s="170">
        <v>44027</v>
      </c>
      <c r="M777" s="116">
        <v>410.15</v>
      </c>
      <c r="N777" s="116">
        <v>420</v>
      </c>
      <c r="O777" s="116">
        <v>407</v>
      </c>
      <c r="P777" s="116">
        <v>417.7</v>
      </c>
      <c r="Q777" s="116">
        <v>410.15</v>
      </c>
      <c r="R777">
        <v>16635</v>
      </c>
    </row>
    <row r="778" spans="1:18" x14ac:dyDescent="0.25">
      <c r="A778" s="170">
        <v>44028</v>
      </c>
      <c r="B778" s="116">
        <v>422</v>
      </c>
      <c r="C778" s="116">
        <v>412.3</v>
      </c>
      <c r="D778" s="116">
        <v>396.5</v>
      </c>
      <c r="E778" s="116">
        <v>401.35</v>
      </c>
      <c r="F778" s="116">
        <v>412.3</v>
      </c>
      <c r="G778">
        <v>7138</v>
      </c>
      <c r="H778" s="116"/>
      <c r="I778" s="116"/>
      <c r="L778" s="170">
        <v>44028</v>
      </c>
      <c r="M778" s="116">
        <v>412.95</v>
      </c>
      <c r="N778" s="116">
        <v>424</v>
      </c>
      <c r="O778" s="116">
        <v>402.35</v>
      </c>
      <c r="P778" s="116">
        <v>405.6</v>
      </c>
      <c r="Q778" s="116">
        <v>412.95</v>
      </c>
      <c r="R778">
        <v>22971</v>
      </c>
    </row>
    <row r="779" spans="1:18" x14ac:dyDescent="0.25">
      <c r="A779" s="170">
        <v>44029</v>
      </c>
      <c r="B779" s="116">
        <v>419.15</v>
      </c>
      <c r="C779" s="116">
        <v>408.8</v>
      </c>
      <c r="D779" s="116">
        <v>406.9</v>
      </c>
      <c r="E779" s="116">
        <v>412.4</v>
      </c>
      <c r="F779" s="116">
        <v>408.8</v>
      </c>
      <c r="G779">
        <v>698</v>
      </c>
      <c r="H779" s="116"/>
      <c r="I779" s="116"/>
      <c r="L779" s="170">
        <v>44029</v>
      </c>
      <c r="M779" s="116">
        <v>408.15</v>
      </c>
      <c r="N779" s="116">
        <v>418.85</v>
      </c>
      <c r="O779" s="116">
        <v>406</v>
      </c>
      <c r="P779" s="116">
        <v>411.75</v>
      </c>
      <c r="Q779" s="116">
        <v>408.15</v>
      </c>
      <c r="R779">
        <v>9117</v>
      </c>
    </row>
    <row r="780" spans="1:18" x14ac:dyDescent="0.25">
      <c r="A780" s="170">
        <v>44032</v>
      </c>
      <c r="B780" s="116">
        <v>420.05</v>
      </c>
      <c r="C780" s="116">
        <v>416.55</v>
      </c>
      <c r="D780" s="116">
        <v>407</v>
      </c>
      <c r="E780" s="116">
        <v>407</v>
      </c>
      <c r="F780" s="116">
        <v>416.55</v>
      </c>
      <c r="G780">
        <v>3428</v>
      </c>
      <c r="H780" s="116"/>
      <c r="I780" s="116"/>
      <c r="L780" s="170">
        <v>44032</v>
      </c>
      <c r="M780" s="116">
        <v>417.55</v>
      </c>
      <c r="N780" s="116">
        <v>420</v>
      </c>
      <c r="O780" s="116">
        <v>411</v>
      </c>
      <c r="P780" s="116">
        <v>411</v>
      </c>
      <c r="Q780" s="116">
        <v>417.55</v>
      </c>
      <c r="R780">
        <v>15372</v>
      </c>
    </row>
    <row r="781" spans="1:18" x14ac:dyDescent="0.25">
      <c r="A781" s="170">
        <v>44033</v>
      </c>
      <c r="B781" s="116">
        <v>427.95</v>
      </c>
      <c r="C781" s="116">
        <v>420.9</v>
      </c>
      <c r="D781" s="116">
        <v>415.5</v>
      </c>
      <c r="E781" s="116">
        <v>427.95</v>
      </c>
      <c r="F781" s="116">
        <v>420.9</v>
      </c>
      <c r="G781">
        <v>454</v>
      </c>
      <c r="H781" s="116"/>
      <c r="I781" s="116"/>
      <c r="L781" s="170">
        <v>44033</v>
      </c>
      <c r="M781" s="116">
        <v>423.2</v>
      </c>
      <c r="N781" s="116">
        <v>429.8</v>
      </c>
      <c r="O781" s="116">
        <v>415.1</v>
      </c>
      <c r="P781" s="116">
        <v>421</v>
      </c>
      <c r="Q781" s="116">
        <v>423.2</v>
      </c>
      <c r="R781">
        <v>21161</v>
      </c>
    </row>
    <row r="782" spans="1:18" x14ac:dyDescent="0.25">
      <c r="A782" s="170">
        <v>44034</v>
      </c>
      <c r="B782" s="116">
        <v>444.8</v>
      </c>
      <c r="C782" s="116">
        <v>417.45</v>
      </c>
      <c r="D782" s="116">
        <v>416</v>
      </c>
      <c r="E782" s="116">
        <v>444.8</v>
      </c>
      <c r="F782" s="116">
        <v>417.45</v>
      </c>
      <c r="G782">
        <v>1034</v>
      </c>
      <c r="H782" s="116"/>
      <c r="I782" s="116"/>
      <c r="L782" s="170">
        <v>44034</v>
      </c>
      <c r="M782" s="116">
        <v>419.45</v>
      </c>
      <c r="N782" s="116">
        <v>429.45</v>
      </c>
      <c r="O782" s="116">
        <v>415</v>
      </c>
      <c r="P782" s="116">
        <v>429.45</v>
      </c>
      <c r="Q782" s="116">
        <v>419.45</v>
      </c>
      <c r="R782">
        <v>12730</v>
      </c>
    </row>
    <row r="783" spans="1:18" x14ac:dyDescent="0.25">
      <c r="A783" s="170">
        <v>44035</v>
      </c>
      <c r="B783" s="116">
        <v>420.6</v>
      </c>
      <c r="C783" s="116">
        <v>418.85</v>
      </c>
      <c r="D783" s="116">
        <v>411.95</v>
      </c>
      <c r="E783" s="116">
        <v>419.45</v>
      </c>
      <c r="F783" s="116">
        <v>418.85</v>
      </c>
      <c r="G783">
        <v>297</v>
      </c>
      <c r="H783" s="116"/>
      <c r="I783" s="116"/>
      <c r="L783" s="170">
        <v>44035</v>
      </c>
      <c r="M783" s="116">
        <v>419.25</v>
      </c>
      <c r="N783" s="116">
        <v>424.45</v>
      </c>
      <c r="O783" s="116">
        <v>411.95</v>
      </c>
      <c r="P783" s="116">
        <v>419.45</v>
      </c>
      <c r="Q783" s="116">
        <v>419.25</v>
      </c>
      <c r="R783">
        <v>40320</v>
      </c>
    </row>
    <row r="784" spans="1:18" x14ac:dyDescent="0.25">
      <c r="A784" s="170">
        <v>44036</v>
      </c>
      <c r="B784" s="116">
        <v>421.15</v>
      </c>
      <c r="C784" s="116">
        <v>411.95</v>
      </c>
      <c r="D784" s="116">
        <v>406</v>
      </c>
      <c r="E784" s="116">
        <v>418</v>
      </c>
      <c r="F784" s="116">
        <v>411.95</v>
      </c>
      <c r="G784">
        <v>1291</v>
      </c>
      <c r="H784" s="116"/>
      <c r="I784" s="116"/>
      <c r="L784" s="170">
        <v>44036</v>
      </c>
      <c r="M784" s="116">
        <v>414.75</v>
      </c>
      <c r="N784" s="116">
        <v>421.5</v>
      </c>
      <c r="O784" s="116">
        <v>405</v>
      </c>
      <c r="P784" s="116">
        <v>419.35</v>
      </c>
      <c r="Q784" s="116">
        <v>414.75</v>
      </c>
      <c r="R784">
        <v>15206</v>
      </c>
    </row>
    <row r="785" spans="1:18" x14ac:dyDescent="0.25">
      <c r="A785" s="170">
        <v>44039</v>
      </c>
      <c r="B785" s="116">
        <v>414</v>
      </c>
      <c r="C785" s="116">
        <v>397.9</v>
      </c>
      <c r="D785" s="116">
        <v>395</v>
      </c>
      <c r="E785" s="116">
        <v>413.85</v>
      </c>
      <c r="F785" s="116">
        <v>397.9</v>
      </c>
      <c r="G785">
        <v>1731</v>
      </c>
      <c r="H785" s="116"/>
      <c r="I785" s="116"/>
      <c r="L785" s="170">
        <v>44039</v>
      </c>
      <c r="M785" s="116">
        <v>398.35</v>
      </c>
      <c r="N785" s="116">
        <v>419.9</v>
      </c>
      <c r="O785" s="116">
        <v>395</v>
      </c>
      <c r="P785" s="116">
        <v>414</v>
      </c>
      <c r="Q785" s="116">
        <v>398.35</v>
      </c>
      <c r="R785">
        <v>16429</v>
      </c>
    </row>
    <row r="786" spans="1:18" x14ac:dyDescent="0.25">
      <c r="A786" s="170">
        <v>44040</v>
      </c>
      <c r="B786" s="116">
        <v>411.85</v>
      </c>
      <c r="C786" s="116">
        <v>408.35</v>
      </c>
      <c r="D786" s="116">
        <v>397.15</v>
      </c>
      <c r="E786" s="116">
        <v>403</v>
      </c>
      <c r="F786" s="116">
        <v>408.35</v>
      </c>
      <c r="G786">
        <v>1849</v>
      </c>
      <c r="H786" s="116"/>
      <c r="I786" s="116"/>
      <c r="L786" s="170">
        <v>44040</v>
      </c>
      <c r="M786" s="116">
        <v>409.8</v>
      </c>
      <c r="N786" s="116">
        <v>411.9</v>
      </c>
      <c r="O786" s="116">
        <v>395.05</v>
      </c>
      <c r="P786" s="116">
        <v>402.8</v>
      </c>
      <c r="Q786" s="116">
        <v>409.8</v>
      </c>
      <c r="R786">
        <v>27869</v>
      </c>
    </row>
    <row r="787" spans="1:18" x14ac:dyDescent="0.25">
      <c r="A787" s="170">
        <v>44041</v>
      </c>
      <c r="B787" s="116">
        <v>415</v>
      </c>
      <c r="C787" s="116">
        <v>408.8</v>
      </c>
      <c r="D787" s="116">
        <v>405.2</v>
      </c>
      <c r="E787" s="116">
        <v>407.1</v>
      </c>
      <c r="F787" s="116">
        <v>408.8</v>
      </c>
      <c r="G787">
        <v>648</v>
      </c>
      <c r="H787" s="116"/>
      <c r="I787" s="116"/>
      <c r="L787" s="170">
        <v>44041</v>
      </c>
      <c r="M787" s="116">
        <v>409.05</v>
      </c>
      <c r="N787" s="116">
        <v>418</v>
      </c>
      <c r="O787" s="116">
        <v>405.05</v>
      </c>
      <c r="P787" s="116">
        <v>408.9</v>
      </c>
      <c r="Q787" s="116">
        <v>409.05</v>
      </c>
      <c r="R787">
        <v>13385</v>
      </c>
    </row>
    <row r="788" spans="1:18" x14ac:dyDescent="0.25">
      <c r="A788" s="170">
        <v>44042</v>
      </c>
      <c r="B788" s="116">
        <v>415</v>
      </c>
      <c r="C788" s="116">
        <v>407.1</v>
      </c>
      <c r="D788" s="116">
        <v>404.6</v>
      </c>
      <c r="E788" s="116">
        <v>410.05</v>
      </c>
      <c r="F788" s="116">
        <v>407.1</v>
      </c>
      <c r="G788">
        <v>2179</v>
      </c>
      <c r="H788" s="116"/>
      <c r="I788" s="116"/>
      <c r="L788" s="170">
        <v>44042</v>
      </c>
      <c r="M788" s="116">
        <v>406.7</v>
      </c>
      <c r="N788" s="116">
        <v>414.95</v>
      </c>
      <c r="O788" s="116">
        <v>405.1</v>
      </c>
      <c r="P788" s="116">
        <v>409</v>
      </c>
      <c r="Q788" s="116">
        <v>406.7</v>
      </c>
      <c r="R788">
        <v>8992</v>
      </c>
    </row>
    <row r="789" spans="1:18" x14ac:dyDescent="0.25">
      <c r="A789" s="170">
        <v>44043</v>
      </c>
      <c r="B789" s="116">
        <v>412.05</v>
      </c>
      <c r="C789" s="116">
        <v>401.1</v>
      </c>
      <c r="D789" s="116">
        <v>399.3</v>
      </c>
      <c r="E789" s="116">
        <v>411.1</v>
      </c>
      <c r="F789" s="116">
        <v>401.1</v>
      </c>
      <c r="G789">
        <v>2221</v>
      </c>
      <c r="H789" s="116"/>
      <c r="I789" s="116"/>
      <c r="L789" s="170">
        <v>44043</v>
      </c>
      <c r="M789" s="116">
        <v>400.35</v>
      </c>
      <c r="N789" s="116">
        <v>409.9</v>
      </c>
      <c r="O789" s="116">
        <v>398.1</v>
      </c>
      <c r="P789" s="116">
        <v>406.7</v>
      </c>
      <c r="Q789" s="116">
        <v>400.35</v>
      </c>
      <c r="R789">
        <v>11322</v>
      </c>
    </row>
    <row r="790" spans="1:18" x14ac:dyDescent="0.25">
      <c r="A790" s="170">
        <v>44046</v>
      </c>
      <c r="B790" s="116">
        <v>409.95</v>
      </c>
      <c r="C790" s="116">
        <v>399.95</v>
      </c>
      <c r="D790" s="116">
        <v>398.6</v>
      </c>
      <c r="E790" s="116">
        <v>409.95</v>
      </c>
      <c r="F790" s="116">
        <v>399.95</v>
      </c>
      <c r="G790">
        <v>1955</v>
      </c>
      <c r="H790" s="116"/>
      <c r="I790" s="116"/>
      <c r="L790" s="170">
        <v>44046</v>
      </c>
      <c r="M790" s="116">
        <v>400.05</v>
      </c>
      <c r="N790" s="116">
        <v>409.45</v>
      </c>
      <c r="O790" s="116">
        <v>396.55</v>
      </c>
      <c r="P790" s="116">
        <v>400.35</v>
      </c>
      <c r="Q790" s="116">
        <v>400.05</v>
      </c>
      <c r="R790">
        <v>12137</v>
      </c>
    </row>
    <row r="791" spans="1:18" x14ac:dyDescent="0.25">
      <c r="A791" s="170">
        <v>44047</v>
      </c>
      <c r="B791" s="116">
        <v>418.95</v>
      </c>
      <c r="C791" s="116">
        <v>407.85</v>
      </c>
      <c r="D791" s="116">
        <v>336.75</v>
      </c>
      <c r="E791" s="116">
        <v>403.75</v>
      </c>
      <c r="F791" s="116">
        <v>407.85</v>
      </c>
      <c r="G791">
        <v>2787</v>
      </c>
      <c r="H791" s="116"/>
      <c r="I791" s="116"/>
      <c r="L791" s="170">
        <v>44047</v>
      </c>
      <c r="M791" s="116">
        <v>407.75</v>
      </c>
      <c r="N791" s="116">
        <v>410</v>
      </c>
      <c r="O791" s="116">
        <v>400</v>
      </c>
      <c r="P791" s="116">
        <v>400</v>
      </c>
      <c r="Q791" s="116">
        <v>407.75</v>
      </c>
      <c r="R791">
        <v>13140</v>
      </c>
    </row>
    <row r="792" spans="1:18" x14ac:dyDescent="0.25">
      <c r="A792" s="170">
        <v>44048</v>
      </c>
      <c r="B792" s="116">
        <v>419</v>
      </c>
      <c r="C792" s="116">
        <v>401.75</v>
      </c>
      <c r="D792" s="116">
        <v>393.75</v>
      </c>
      <c r="E792" s="116">
        <v>413</v>
      </c>
      <c r="F792" s="116">
        <v>401.75</v>
      </c>
      <c r="G792">
        <v>5004</v>
      </c>
      <c r="H792" s="116"/>
      <c r="I792" s="116"/>
      <c r="L792" s="170">
        <v>44048</v>
      </c>
      <c r="M792" s="116">
        <v>402.75</v>
      </c>
      <c r="N792" s="116">
        <v>419.9</v>
      </c>
      <c r="O792" s="116">
        <v>392.3</v>
      </c>
      <c r="P792" s="116">
        <v>409</v>
      </c>
      <c r="Q792" s="116">
        <v>402.75</v>
      </c>
      <c r="R792">
        <v>33329</v>
      </c>
    </row>
    <row r="793" spans="1:18" x14ac:dyDescent="0.25">
      <c r="A793" s="170">
        <v>44049</v>
      </c>
      <c r="B793" s="116">
        <v>402</v>
      </c>
      <c r="C793" s="116">
        <v>396.65</v>
      </c>
      <c r="D793" s="116">
        <v>392</v>
      </c>
      <c r="E793" s="116">
        <v>392</v>
      </c>
      <c r="F793" s="116">
        <v>396.65</v>
      </c>
      <c r="G793">
        <v>1953</v>
      </c>
      <c r="H793" s="116"/>
      <c r="I793" s="116"/>
      <c r="L793" s="170">
        <v>44049</v>
      </c>
      <c r="M793" s="116">
        <v>397.15</v>
      </c>
      <c r="N793" s="116">
        <v>402.6</v>
      </c>
      <c r="O793" s="116">
        <v>392</v>
      </c>
      <c r="P793" s="116">
        <v>395.05</v>
      </c>
      <c r="Q793" s="116">
        <v>397.15</v>
      </c>
      <c r="R793">
        <v>22006</v>
      </c>
    </row>
    <row r="794" spans="1:18" x14ac:dyDescent="0.25">
      <c r="A794" s="170">
        <v>44050</v>
      </c>
      <c r="B794" s="116">
        <v>405</v>
      </c>
      <c r="C794" s="116">
        <v>401.9</v>
      </c>
      <c r="D794" s="116">
        <v>394.35</v>
      </c>
      <c r="E794" s="116">
        <v>395.25</v>
      </c>
      <c r="F794" s="116">
        <v>401.9</v>
      </c>
      <c r="G794">
        <v>461</v>
      </c>
      <c r="H794" s="116"/>
      <c r="I794" s="116"/>
      <c r="L794" s="170">
        <v>44050</v>
      </c>
      <c r="M794" s="116">
        <v>403.3</v>
      </c>
      <c r="N794" s="116">
        <v>409.85</v>
      </c>
      <c r="O794" s="116">
        <v>390.1</v>
      </c>
      <c r="P794" s="116">
        <v>390.1</v>
      </c>
      <c r="Q794" s="116">
        <v>403.3</v>
      </c>
      <c r="R794">
        <v>19878</v>
      </c>
    </row>
    <row r="795" spans="1:18" x14ac:dyDescent="0.25">
      <c r="A795" s="170">
        <v>44053</v>
      </c>
      <c r="B795" s="116">
        <v>408.05</v>
      </c>
      <c r="C795" s="116">
        <v>405.35</v>
      </c>
      <c r="D795" s="116">
        <v>403.3</v>
      </c>
      <c r="E795" s="116">
        <v>404.9</v>
      </c>
      <c r="F795" s="116">
        <v>405.35</v>
      </c>
      <c r="G795">
        <v>1249</v>
      </c>
      <c r="H795" s="116"/>
      <c r="I795" s="116"/>
      <c r="L795" s="170">
        <v>44053</v>
      </c>
      <c r="M795" s="116">
        <v>405.2</v>
      </c>
      <c r="N795" s="116">
        <v>409</v>
      </c>
      <c r="O795" s="116">
        <v>402.05</v>
      </c>
      <c r="P795" s="116">
        <v>404</v>
      </c>
      <c r="Q795" s="116">
        <v>405.2</v>
      </c>
      <c r="R795">
        <v>15703</v>
      </c>
    </row>
    <row r="796" spans="1:18" x14ac:dyDescent="0.25">
      <c r="A796" s="170">
        <v>44054</v>
      </c>
      <c r="B796" s="116">
        <v>411.5</v>
      </c>
      <c r="C796" s="116">
        <v>407.1</v>
      </c>
      <c r="D796" s="116">
        <v>401.25</v>
      </c>
      <c r="E796" s="116">
        <v>405</v>
      </c>
      <c r="F796" s="116">
        <v>407.1</v>
      </c>
      <c r="G796">
        <v>2119</v>
      </c>
      <c r="H796" s="116"/>
      <c r="I796" s="116"/>
      <c r="L796" s="170">
        <v>44054</v>
      </c>
      <c r="M796" s="116">
        <v>406.75</v>
      </c>
      <c r="N796" s="116">
        <v>412.1</v>
      </c>
      <c r="O796" s="116">
        <v>403.1</v>
      </c>
      <c r="P796" s="116">
        <v>407.45</v>
      </c>
      <c r="Q796" s="116">
        <v>406.75</v>
      </c>
      <c r="R796">
        <v>9871</v>
      </c>
    </row>
    <row r="797" spans="1:18" x14ac:dyDescent="0.25">
      <c r="A797" s="170">
        <v>44055</v>
      </c>
      <c r="B797" s="116">
        <v>413.95</v>
      </c>
      <c r="C797" s="116">
        <v>406</v>
      </c>
      <c r="D797" s="116">
        <v>404.8</v>
      </c>
      <c r="E797" s="116">
        <v>409.7</v>
      </c>
      <c r="F797" s="116">
        <v>406</v>
      </c>
      <c r="G797">
        <v>1667</v>
      </c>
      <c r="H797" s="116"/>
      <c r="I797" s="116"/>
      <c r="L797" s="170">
        <v>44055</v>
      </c>
      <c r="M797" s="116">
        <v>405.65</v>
      </c>
      <c r="N797" s="116">
        <v>414.15</v>
      </c>
      <c r="O797" s="116">
        <v>405</v>
      </c>
      <c r="P797" s="116">
        <v>409.95</v>
      </c>
      <c r="Q797" s="116">
        <v>405.65</v>
      </c>
      <c r="R797">
        <v>11274</v>
      </c>
    </row>
    <row r="798" spans="1:18" x14ac:dyDescent="0.25">
      <c r="A798" s="170">
        <v>44056</v>
      </c>
      <c r="B798" s="116">
        <v>408.3</v>
      </c>
      <c r="C798" s="116">
        <v>404</v>
      </c>
      <c r="D798" s="116">
        <v>401</v>
      </c>
      <c r="E798" s="116">
        <v>408.3</v>
      </c>
      <c r="F798" s="116">
        <v>404</v>
      </c>
      <c r="G798">
        <v>669</v>
      </c>
      <c r="H798" s="116"/>
      <c r="I798" s="116"/>
      <c r="L798" s="170">
        <v>44056</v>
      </c>
      <c r="M798" s="116">
        <v>404.65</v>
      </c>
      <c r="N798" s="116">
        <v>409.8</v>
      </c>
      <c r="O798" s="116">
        <v>400</v>
      </c>
      <c r="P798" s="116">
        <v>409.6</v>
      </c>
      <c r="Q798" s="116">
        <v>404.65</v>
      </c>
      <c r="R798">
        <v>15056</v>
      </c>
    </row>
    <row r="799" spans="1:18" x14ac:dyDescent="0.25">
      <c r="A799" s="170">
        <v>44057</v>
      </c>
      <c r="B799" s="116">
        <v>419.5</v>
      </c>
      <c r="C799" s="116">
        <v>402.65</v>
      </c>
      <c r="D799" s="116">
        <v>401.05</v>
      </c>
      <c r="E799" s="116">
        <v>419.5</v>
      </c>
      <c r="F799" s="116">
        <v>402.65</v>
      </c>
      <c r="G799">
        <v>890</v>
      </c>
      <c r="H799" s="116"/>
      <c r="I799" s="116"/>
      <c r="L799" s="170">
        <v>44057</v>
      </c>
      <c r="M799" s="116">
        <v>402.8</v>
      </c>
      <c r="N799" s="116">
        <v>424.95</v>
      </c>
      <c r="O799" s="116">
        <v>400.95</v>
      </c>
      <c r="P799" s="116">
        <v>404</v>
      </c>
      <c r="Q799" s="116">
        <v>402.8</v>
      </c>
      <c r="R799">
        <v>24802</v>
      </c>
    </row>
    <row r="800" spans="1:18" x14ac:dyDescent="0.25">
      <c r="A800" s="170">
        <v>44060</v>
      </c>
      <c r="B800" s="116">
        <v>408</v>
      </c>
      <c r="C800" s="116">
        <v>397.9</v>
      </c>
      <c r="D800" s="116">
        <v>391</v>
      </c>
      <c r="E800" s="116">
        <v>403.05</v>
      </c>
      <c r="F800" s="116">
        <v>397.9</v>
      </c>
      <c r="G800">
        <v>1074</v>
      </c>
      <c r="H800" s="116"/>
      <c r="I800" s="116"/>
      <c r="L800" s="170">
        <v>44060</v>
      </c>
      <c r="M800" s="116">
        <v>401.55</v>
      </c>
      <c r="N800" s="116">
        <v>414.95</v>
      </c>
      <c r="O800" s="116">
        <v>400</v>
      </c>
      <c r="P800" s="116">
        <v>400.8</v>
      </c>
      <c r="Q800" s="116">
        <v>401.55</v>
      </c>
      <c r="R800">
        <v>10066</v>
      </c>
    </row>
    <row r="801" spans="1:18" x14ac:dyDescent="0.25">
      <c r="A801" s="170">
        <v>44061</v>
      </c>
      <c r="B801" s="116">
        <v>406.25</v>
      </c>
      <c r="C801" s="116">
        <v>402.75</v>
      </c>
      <c r="D801" s="116">
        <v>395.3</v>
      </c>
      <c r="E801" s="116">
        <v>406</v>
      </c>
      <c r="F801" s="116">
        <v>402.75</v>
      </c>
      <c r="G801">
        <v>1831</v>
      </c>
      <c r="H801" s="116"/>
      <c r="I801" s="116"/>
      <c r="L801" s="170">
        <v>44061</v>
      </c>
      <c r="M801" s="116">
        <v>402</v>
      </c>
      <c r="N801" s="116">
        <v>408</v>
      </c>
      <c r="O801" s="116">
        <v>391.2</v>
      </c>
      <c r="P801" s="116">
        <v>400</v>
      </c>
      <c r="Q801" s="116">
        <v>402</v>
      </c>
      <c r="R801">
        <v>16268</v>
      </c>
    </row>
    <row r="802" spans="1:18" x14ac:dyDescent="0.25">
      <c r="A802" s="170">
        <v>44062</v>
      </c>
      <c r="B802" s="116">
        <v>410.9</v>
      </c>
      <c r="C802" s="116">
        <v>408.8</v>
      </c>
      <c r="D802" s="116">
        <v>403.85</v>
      </c>
      <c r="E802" s="116">
        <v>404</v>
      </c>
      <c r="F802" s="116">
        <v>408.8</v>
      </c>
      <c r="G802">
        <v>3085</v>
      </c>
      <c r="H802" s="116"/>
      <c r="I802" s="116"/>
      <c r="L802" s="170">
        <v>44062</v>
      </c>
      <c r="M802" s="116">
        <v>409.45</v>
      </c>
      <c r="N802" s="116">
        <v>410</v>
      </c>
      <c r="O802" s="116">
        <v>402.55</v>
      </c>
      <c r="P802" s="116">
        <v>404.95</v>
      </c>
      <c r="Q802" s="116">
        <v>409.45</v>
      </c>
      <c r="R802">
        <v>21998</v>
      </c>
    </row>
    <row r="803" spans="1:18" x14ac:dyDescent="0.25">
      <c r="A803" s="170">
        <v>44063</v>
      </c>
      <c r="B803" s="116">
        <v>415.6</v>
      </c>
      <c r="C803" s="116">
        <v>405.85</v>
      </c>
      <c r="D803" s="116">
        <v>395.75</v>
      </c>
      <c r="E803" s="116">
        <v>409</v>
      </c>
      <c r="F803" s="116">
        <v>405.85</v>
      </c>
      <c r="G803">
        <v>1934</v>
      </c>
      <c r="H803" s="116"/>
      <c r="I803" s="116"/>
      <c r="L803" s="170">
        <v>44063</v>
      </c>
      <c r="M803" s="116">
        <v>405.6</v>
      </c>
      <c r="N803" s="116">
        <v>411.3</v>
      </c>
      <c r="O803" s="116">
        <v>401.95</v>
      </c>
      <c r="P803" s="116">
        <v>409.45</v>
      </c>
      <c r="Q803" s="116">
        <v>405.6</v>
      </c>
      <c r="R803">
        <v>16778</v>
      </c>
    </row>
    <row r="804" spans="1:18" x14ac:dyDescent="0.25">
      <c r="A804" s="170">
        <v>44064</v>
      </c>
      <c r="B804" s="116">
        <v>419.1</v>
      </c>
      <c r="C804" s="116">
        <v>410.05</v>
      </c>
      <c r="D804" s="116">
        <v>400</v>
      </c>
      <c r="E804" s="116">
        <v>413.9</v>
      </c>
      <c r="F804" s="116">
        <v>410.05</v>
      </c>
      <c r="G804">
        <v>10796</v>
      </c>
      <c r="H804" s="116"/>
      <c r="I804" s="116"/>
      <c r="L804" s="170">
        <v>44064</v>
      </c>
      <c r="M804" s="116">
        <v>411.4</v>
      </c>
      <c r="N804" s="116">
        <v>419.45</v>
      </c>
      <c r="O804" s="116">
        <v>406</v>
      </c>
      <c r="P804" s="116">
        <v>406</v>
      </c>
      <c r="Q804" s="116">
        <v>411.4</v>
      </c>
      <c r="R804">
        <v>32402</v>
      </c>
    </row>
    <row r="805" spans="1:18" x14ac:dyDescent="0.25">
      <c r="A805" s="170">
        <v>44067</v>
      </c>
      <c r="B805" s="116">
        <v>444.7</v>
      </c>
      <c r="C805" s="116">
        <v>440.35</v>
      </c>
      <c r="D805" s="116">
        <v>414.45</v>
      </c>
      <c r="E805" s="116">
        <v>415.15</v>
      </c>
      <c r="F805" s="116">
        <v>440.35</v>
      </c>
      <c r="G805">
        <v>9024</v>
      </c>
      <c r="H805" s="116"/>
      <c r="I805" s="116"/>
      <c r="L805" s="170">
        <v>44067</v>
      </c>
      <c r="M805" s="116">
        <v>440.6</v>
      </c>
      <c r="N805" s="116">
        <v>445</v>
      </c>
      <c r="O805" s="116">
        <v>410</v>
      </c>
      <c r="P805" s="116">
        <v>410</v>
      </c>
      <c r="Q805" s="116">
        <v>440.6</v>
      </c>
      <c r="R805">
        <v>249613</v>
      </c>
    </row>
    <row r="806" spans="1:18" x14ac:dyDescent="0.25">
      <c r="A806" s="170">
        <v>44068</v>
      </c>
      <c r="B806" s="116">
        <v>479.05</v>
      </c>
      <c r="C806" s="116">
        <v>467.1</v>
      </c>
      <c r="D806" s="116">
        <v>434.7</v>
      </c>
      <c r="E806" s="116">
        <v>447.3</v>
      </c>
      <c r="F806" s="116">
        <v>467.1</v>
      </c>
      <c r="G806">
        <v>12881</v>
      </c>
      <c r="H806" s="116"/>
      <c r="I806" s="116"/>
      <c r="L806" s="170">
        <v>44068</v>
      </c>
      <c r="M806" s="116">
        <v>466.75</v>
      </c>
      <c r="N806" s="116">
        <v>478.8</v>
      </c>
      <c r="O806" s="116">
        <v>433.1</v>
      </c>
      <c r="P806" s="116">
        <v>447.7</v>
      </c>
      <c r="Q806" s="116">
        <v>466.75</v>
      </c>
      <c r="R806">
        <v>371699</v>
      </c>
    </row>
    <row r="807" spans="1:18" x14ac:dyDescent="0.25">
      <c r="A807" s="170">
        <v>44069</v>
      </c>
      <c r="B807" s="116">
        <v>457.5</v>
      </c>
      <c r="C807" s="116">
        <v>452.2</v>
      </c>
      <c r="D807" s="116">
        <v>445</v>
      </c>
      <c r="E807" s="116">
        <v>457</v>
      </c>
      <c r="F807" s="116">
        <v>452.2</v>
      </c>
      <c r="G807">
        <v>9995</v>
      </c>
      <c r="H807" s="116"/>
      <c r="I807" s="116"/>
      <c r="L807" s="170">
        <v>44069</v>
      </c>
      <c r="M807" s="116">
        <v>453.45</v>
      </c>
      <c r="N807" s="116">
        <v>459.5</v>
      </c>
      <c r="O807" s="116">
        <v>444.95</v>
      </c>
      <c r="P807" s="116">
        <v>459.5</v>
      </c>
      <c r="Q807" s="116">
        <v>453.45</v>
      </c>
      <c r="R807">
        <v>76008</v>
      </c>
    </row>
    <row r="808" spans="1:18" x14ac:dyDescent="0.25">
      <c r="A808" s="170">
        <v>44070</v>
      </c>
      <c r="B808" s="116">
        <v>455.6</v>
      </c>
      <c r="C808" s="116">
        <v>444.05</v>
      </c>
      <c r="D808" s="116">
        <v>439.85</v>
      </c>
      <c r="E808" s="116">
        <v>455.6</v>
      </c>
      <c r="F808" s="116">
        <v>444.05</v>
      </c>
      <c r="G808">
        <v>5402</v>
      </c>
      <c r="H808" s="116"/>
      <c r="I808" s="116"/>
      <c r="L808" s="170">
        <v>44070</v>
      </c>
      <c r="M808" s="116">
        <v>443.95</v>
      </c>
      <c r="N808" s="116">
        <v>456.6</v>
      </c>
      <c r="O808" s="116">
        <v>439</v>
      </c>
      <c r="P808" s="116">
        <v>455.75</v>
      </c>
      <c r="Q808" s="116">
        <v>443.95</v>
      </c>
      <c r="R808">
        <v>58151</v>
      </c>
    </row>
    <row r="809" spans="1:18" x14ac:dyDescent="0.25">
      <c r="A809" s="170">
        <v>44071</v>
      </c>
      <c r="B809" s="116">
        <v>445.45</v>
      </c>
      <c r="C809" s="116">
        <v>431.75</v>
      </c>
      <c r="D809" s="116">
        <v>430.75</v>
      </c>
      <c r="E809" s="116">
        <v>445.45</v>
      </c>
      <c r="F809" s="116">
        <v>431.75</v>
      </c>
      <c r="G809">
        <v>4858</v>
      </c>
      <c r="H809" s="116"/>
      <c r="I809" s="116"/>
      <c r="L809" s="170">
        <v>44071</v>
      </c>
      <c r="M809" s="116">
        <v>432.45</v>
      </c>
      <c r="N809" s="116">
        <v>448.75</v>
      </c>
      <c r="O809" s="116">
        <v>431.1</v>
      </c>
      <c r="P809" s="116">
        <v>443.95</v>
      </c>
      <c r="Q809" s="116">
        <v>432.45</v>
      </c>
      <c r="R809">
        <v>44508</v>
      </c>
    </row>
    <row r="810" spans="1:18" x14ac:dyDescent="0.25">
      <c r="A810" s="170">
        <v>44074</v>
      </c>
      <c r="B810" s="116">
        <v>436.5</v>
      </c>
      <c r="C810" s="116">
        <v>428.3</v>
      </c>
      <c r="D810" s="116">
        <v>406.2</v>
      </c>
      <c r="E810" s="116">
        <v>435.9</v>
      </c>
      <c r="F810" s="116">
        <v>428.3</v>
      </c>
      <c r="G810">
        <v>10822</v>
      </c>
      <c r="H810" s="116"/>
      <c r="I810" s="116"/>
      <c r="L810" s="170">
        <v>44074</v>
      </c>
      <c r="M810" s="116">
        <v>426.7</v>
      </c>
      <c r="N810" s="116">
        <v>439.15</v>
      </c>
      <c r="O810" s="116">
        <v>404</v>
      </c>
      <c r="P810" s="116">
        <v>433</v>
      </c>
      <c r="Q810" s="116">
        <v>426.7</v>
      </c>
      <c r="R810">
        <v>50072</v>
      </c>
    </row>
    <row r="811" spans="1:18" x14ac:dyDescent="0.25">
      <c r="A811" s="170">
        <v>44075</v>
      </c>
      <c r="B811" s="116">
        <v>436.7</v>
      </c>
      <c r="C811" s="116">
        <v>430.4</v>
      </c>
      <c r="D811" s="116">
        <v>416.85</v>
      </c>
      <c r="E811" s="116">
        <v>420.05</v>
      </c>
      <c r="F811" s="116">
        <v>430.4</v>
      </c>
      <c r="G811">
        <v>2644</v>
      </c>
      <c r="H811" s="116"/>
      <c r="I811" s="116"/>
      <c r="L811" s="170">
        <v>44075</v>
      </c>
      <c r="M811" s="116">
        <v>431.5</v>
      </c>
      <c r="N811" s="116">
        <v>436.35</v>
      </c>
      <c r="O811" s="116">
        <v>415.45</v>
      </c>
      <c r="P811" s="116">
        <v>418.05</v>
      </c>
      <c r="Q811" s="116">
        <v>431.5</v>
      </c>
      <c r="R811">
        <v>13446</v>
      </c>
    </row>
    <row r="812" spans="1:18" x14ac:dyDescent="0.25">
      <c r="A812" s="170">
        <v>44076</v>
      </c>
      <c r="B812" s="116">
        <v>437.05</v>
      </c>
      <c r="C812" s="116">
        <v>426.9</v>
      </c>
      <c r="D812" s="116">
        <v>421.2</v>
      </c>
      <c r="E812" s="116">
        <v>428.8</v>
      </c>
      <c r="F812" s="116">
        <v>426.9</v>
      </c>
      <c r="G812">
        <v>789</v>
      </c>
      <c r="H812" s="116"/>
      <c r="I812" s="116"/>
      <c r="L812" s="170">
        <v>44076</v>
      </c>
      <c r="M812" s="116">
        <v>429.6</v>
      </c>
      <c r="N812" s="116">
        <v>438</v>
      </c>
      <c r="O812" s="116">
        <v>420.1</v>
      </c>
      <c r="P812" s="116">
        <v>431.5</v>
      </c>
      <c r="Q812" s="116">
        <v>429.6</v>
      </c>
      <c r="R812">
        <v>12104</v>
      </c>
    </row>
    <row r="813" spans="1:18" x14ac:dyDescent="0.25">
      <c r="A813" s="170">
        <v>44077</v>
      </c>
      <c r="B813" s="116">
        <v>452</v>
      </c>
      <c r="C813" s="116">
        <v>448.6</v>
      </c>
      <c r="D813" s="116">
        <v>428.95</v>
      </c>
      <c r="E813" s="116">
        <v>437.05</v>
      </c>
      <c r="F813" s="116">
        <v>448.6</v>
      </c>
      <c r="G813">
        <v>4168</v>
      </c>
      <c r="H813" s="116"/>
      <c r="I813" s="116"/>
      <c r="L813" s="170">
        <v>44077</v>
      </c>
      <c r="M813" s="116">
        <v>449.05</v>
      </c>
      <c r="N813" s="116">
        <v>452.15</v>
      </c>
      <c r="O813" s="116">
        <v>429.1</v>
      </c>
      <c r="P813" s="116">
        <v>435</v>
      </c>
      <c r="Q813" s="116">
        <v>449.05</v>
      </c>
      <c r="R813">
        <v>22676</v>
      </c>
    </row>
    <row r="814" spans="1:18" x14ac:dyDescent="0.25">
      <c r="A814" s="170">
        <v>44078</v>
      </c>
      <c r="B814" s="116">
        <v>450.4</v>
      </c>
      <c r="C814" s="116">
        <v>432.75</v>
      </c>
      <c r="D814" s="116">
        <v>430</v>
      </c>
      <c r="E814" s="116">
        <v>447.8</v>
      </c>
      <c r="F814" s="116">
        <v>432.75</v>
      </c>
      <c r="G814">
        <v>4383</v>
      </c>
      <c r="H814" s="116"/>
      <c r="I814" s="116"/>
      <c r="L814" s="170">
        <v>44078</v>
      </c>
      <c r="M814" s="116">
        <v>433.5</v>
      </c>
      <c r="N814" s="116">
        <v>463.8</v>
      </c>
      <c r="O814" s="116">
        <v>430</v>
      </c>
      <c r="P814" s="116">
        <v>430</v>
      </c>
      <c r="Q814" s="116">
        <v>433.5</v>
      </c>
      <c r="R814">
        <v>26771</v>
      </c>
    </row>
    <row r="815" spans="1:18" x14ac:dyDescent="0.25">
      <c r="A815" s="170">
        <v>44081</v>
      </c>
      <c r="B815" s="116">
        <v>438</v>
      </c>
      <c r="C815" s="116">
        <v>431.75</v>
      </c>
      <c r="D815" s="116">
        <v>428</v>
      </c>
      <c r="E815" s="116">
        <v>437.95</v>
      </c>
      <c r="F815" s="116">
        <v>431.75</v>
      </c>
      <c r="G815">
        <v>1617</v>
      </c>
      <c r="H815" s="116"/>
      <c r="I815" s="116"/>
      <c r="L815" s="170">
        <v>44081</v>
      </c>
      <c r="M815" s="116">
        <v>431.9</v>
      </c>
      <c r="N815" s="116">
        <v>443</v>
      </c>
      <c r="O815" s="116">
        <v>430.1</v>
      </c>
      <c r="P815" s="116">
        <v>443</v>
      </c>
      <c r="Q815" s="116">
        <v>431.9</v>
      </c>
      <c r="R815">
        <v>7775</v>
      </c>
    </row>
    <row r="816" spans="1:18" x14ac:dyDescent="0.25">
      <c r="A816" s="170">
        <v>44082</v>
      </c>
      <c r="B816" s="116">
        <v>432.3</v>
      </c>
      <c r="C816" s="116">
        <v>419.1</v>
      </c>
      <c r="D816" s="116">
        <v>416.75</v>
      </c>
      <c r="E816" s="116">
        <v>431.75</v>
      </c>
      <c r="F816" s="116">
        <v>419.1</v>
      </c>
      <c r="G816">
        <v>863</v>
      </c>
      <c r="H816" s="116"/>
      <c r="I816" s="116"/>
      <c r="L816" s="170">
        <v>44082</v>
      </c>
      <c r="M816" s="116">
        <v>419.65</v>
      </c>
      <c r="N816" s="116">
        <v>434.1</v>
      </c>
      <c r="O816" s="116">
        <v>417</v>
      </c>
      <c r="P816" s="116">
        <v>430.95</v>
      </c>
      <c r="Q816" s="116">
        <v>419.65</v>
      </c>
      <c r="R816">
        <v>18297</v>
      </c>
    </row>
    <row r="817" spans="1:18" x14ac:dyDescent="0.25">
      <c r="A817" s="170">
        <v>44083</v>
      </c>
      <c r="B817" s="116">
        <v>419</v>
      </c>
      <c r="C817" s="116">
        <v>415.1</v>
      </c>
      <c r="D817" s="116">
        <v>413.95</v>
      </c>
      <c r="E817" s="116">
        <v>419</v>
      </c>
      <c r="F817" s="116">
        <v>415.1</v>
      </c>
      <c r="G817">
        <v>117</v>
      </c>
      <c r="H817" s="116"/>
      <c r="I817" s="116"/>
      <c r="L817" s="170">
        <v>44083</v>
      </c>
      <c r="M817" s="116">
        <v>416.3</v>
      </c>
      <c r="N817" s="116">
        <v>420</v>
      </c>
      <c r="O817" s="116">
        <v>412.75</v>
      </c>
      <c r="P817" s="116">
        <v>420</v>
      </c>
      <c r="Q817" s="116">
        <v>416.3</v>
      </c>
      <c r="R817">
        <v>5369</v>
      </c>
    </row>
    <row r="818" spans="1:18" x14ac:dyDescent="0.25">
      <c r="A818" s="170">
        <v>44084</v>
      </c>
      <c r="B818" s="116">
        <v>422.6</v>
      </c>
      <c r="C818" s="116">
        <v>418.15</v>
      </c>
      <c r="D818" s="116">
        <v>417.2</v>
      </c>
      <c r="E818" s="116">
        <v>422.6</v>
      </c>
      <c r="F818" s="116">
        <v>418.15</v>
      </c>
      <c r="G818">
        <v>265</v>
      </c>
      <c r="H818" s="116"/>
      <c r="I818" s="116"/>
      <c r="L818" s="170">
        <v>44084</v>
      </c>
      <c r="M818" s="116">
        <v>419.5</v>
      </c>
      <c r="N818" s="116">
        <v>424.9</v>
      </c>
      <c r="O818" s="116">
        <v>411.5</v>
      </c>
      <c r="P818" s="116">
        <v>416.7</v>
      </c>
      <c r="Q818" s="116">
        <v>419.5</v>
      </c>
      <c r="R818">
        <v>10642</v>
      </c>
    </row>
    <row r="819" spans="1:18" x14ac:dyDescent="0.25">
      <c r="A819" s="170">
        <v>44085</v>
      </c>
      <c r="B819" s="116">
        <v>434.95</v>
      </c>
      <c r="C819" s="116">
        <v>417.35</v>
      </c>
      <c r="D819" s="116">
        <v>415</v>
      </c>
      <c r="E819" s="116">
        <v>418</v>
      </c>
      <c r="F819" s="116">
        <v>417.35</v>
      </c>
      <c r="G819">
        <v>1300</v>
      </c>
      <c r="H819" s="116"/>
      <c r="I819" s="116"/>
      <c r="L819" s="170">
        <v>44085</v>
      </c>
      <c r="M819" s="116">
        <v>416.5</v>
      </c>
      <c r="N819" s="116">
        <v>423.45</v>
      </c>
      <c r="O819" s="116">
        <v>414</v>
      </c>
      <c r="P819" s="116">
        <v>416.45</v>
      </c>
      <c r="Q819" s="116">
        <v>416.5</v>
      </c>
      <c r="R819">
        <v>7616</v>
      </c>
    </row>
    <row r="820" spans="1:18" x14ac:dyDescent="0.25">
      <c r="A820" s="170">
        <v>44088</v>
      </c>
      <c r="B820" s="116">
        <v>441.45</v>
      </c>
      <c r="C820" s="116">
        <v>426.45</v>
      </c>
      <c r="D820" s="116">
        <v>415.55</v>
      </c>
      <c r="E820" s="116">
        <v>419.95</v>
      </c>
      <c r="F820" s="116">
        <v>426.45</v>
      </c>
      <c r="G820">
        <v>2185</v>
      </c>
      <c r="H820" s="116"/>
      <c r="I820" s="116"/>
      <c r="L820" s="170">
        <v>44088</v>
      </c>
      <c r="M820" s="116">
        <v>426.35</v>
      </c>
      <c r="N820" s="116">
        <v>441.85</v>
      </c>
      <c r="O820" s="116">
        <v>416</v>
      </c>
      <c r="P820" s="116">
        <v>416.1</v>
      </c>
      <c r="Q820" s="116">
        <v>426.35</v>
      </c>
      <c r="R820">
        <v>16321</v>
      </c>
    </row>
    <row r="821" spans="1:18" x14ac:dyDescent="0.25">
      <c r="A821" s="170">
        <v>44089</v>
      </c>
      <c r="B821" s="116">
        <v>436</v>
      </c>
      <c r="C821" s="116">
        <v>430.8</v>
      </c>
      <c r="D821" s="116">
        <v>424.75</v>
      </c>
      <c r="E821" s="116">
        <v>427</v>
      </c>
      <c r="F821" s="116">
        <v>430.8</v>
      </c>
      <c r="G821">
        <v>1054</v>
      </c>
      <c r="H821" s="116"/>
      <c r="I821" s="116"/>
      <c r="L821" s="170">
        <v>44089</v>
      </c>
      <c r="M821" s="116">
        <v>431.1</v>
      </c>
      <c r="N821" s="116">
        <v>439.4</v>
      </c>
      <c r="O821" s="116">
        <v>425</v>
      </c>
      <c r="P821" s="116">
        <v>428.3</v>
      </c>
      <c r="Q821" s="116">
        <v>431.1</v>
      </c>
      <c r="R821">
        <v>12949</v>
      </c>
    </row>
    <row r="822" spans="1:18" x14ac:dyDescent="0.25">
      <c r="A822" s="170">
        <v>44090</v>
      </c>
      <c r="B822" s="116">
        <v>434.15</v>
      </c>
      <c r="C822" s="116">
        <v>429.95</v>
      </c>
      <c r="D822" s="116">
        <v>423.8</v>
      </c>
      <c r="E822" s="116">
        <v>434.15</v>
      </c>
      <c r="F822" s="116">
        <v>429.95</v>
      </c>
      <c r="G822">
        <v>523</v>
      </c>
      <c r="H822" s="116"/>
      <c r="I822" s="116"/>
      <c r="L822" s="170">
        <v>44090</v>
      </c>
      <c r="M822" s="116">
        <v>429.3</v>
      </c>
      <c r="N822" s="116">
        <v>435</v>
      </c>
      <c r="O822" s="116">
        <v>422.2</v>
      </c>
      <c r="P822" s="116">
        <v>435</v>
      </c>
      <c r="Q822" s="116">
        <v>429.3</v>
      </c>
      <c r="R822">
        <v>7648</v>
      </c>
    </row>
    <row r="823" spans="1:18" x14ac:dyDescent="0.25">
      <c r="A823" s="170">
        <v>44091</v>
      </c>
      <c r="B823" s="116">
        <v>442.8</v>
      </c>
      <c r="C823" s="116">
        <v>432.9</v>
      </c>
      <c r="D823" s="116">
        <v>420.55</v>
      </c>
      <c r="E823" s="116">
        <v>427.45</v>
      </c>
      <c r="F823" s="116">
        <v>432.9</v>
      </c>
      <c r="G823">
        <v>3608</v>
      </c>
      <c r="H823" s="116"/>
      <c r="I823" s="116"/>
      <c r="L823" s="170">
        <v>44091</v>
      </c>
      <c r="M823" s="116">
        <v>434.6</v>
      </c>
      <c r="N823" s="116">
        <v>442.7</v>
      </c>
      <c r="O823" s="116">
        <v>428</v>
      </c>
      <c r="P823" s="116">
        <v>429.1</v>
      </c>
      <c r="Q823" s="116">
        <v>434.6</v>
      </c>
      <c r="R823">
        <v>11851</v>
      </c>
    </row>
    <row r="824" spans="1:18" x14ac:dyDescent="0.25">
      <c r="A824" s="170">
        <v>44092</v>
      </c>
      <c r="B824" s="116">
        <v>440.1</v>
      </c>
      <c r="C824" s="116">
        <v>430.4</v>
      </c>
      <c r="D824" s="116">
        <v>426</v>
      </c>
      <c r="E824" s="116">
        <v>432.25</v>
      </c>
      <c r="F824" s="116">
        <v>430.4</v>
      </c>
      <c r="G824">
        <v>787</v>
      </c>
      <c r="H824" s="116"/>
      <c r="I824" s="116"/>
      <c r="L824" s="170">
        <v>44092</v>
      </c>
      <c r="M824" s="116">
        <v>427.95</v>
      </c>
      <c r="N824" s="116">
        <v>440</v>
      </c>
      <c r="O824" s="116">
        <v>425</v>
      </c>
      <c r="P824" s="116">
        <v>436.8</v>
      </c>
      <c r="Q824" s="116">
        <v>427.95</v>
      </c>
      <c r="R824">
        <v>11145</v>
      </c>
    </row>
    <row r="825" spans="1:18" x14ac:dyDescent="0.25">
      <c r="A825" s="170">
        <v>44095</v>
      </c>
      <c r="B825" s="116">
        <v>431.75</v>
      </c>
      <c r="C825" s="116">
        <v>415.8</v>
      </c>
      <c r="D825" s="116">
        <v>411.05</v>
      </c>
      <c r="E825" s="116">
        <v>426</v>
      </c>
      <c r="F825" s="116">
        <v>415.8</v>
      </c>
      <c r="G825">
        <v>3392</v>
      </c>
      <c r="H825" s="116"/>
      <c r="I825" s="116"/>
      <c r="L825" s="170">
        <v>44095</v>
      </c>
      <c r="M825" s="116">
        <v>415.5</v>
      </c>
      <c r="N825" s="116">
        <v>431.5</v>
      </c>
      <c r="O825" s="116">
        <v>411.1</v>
      </c>
      <c r="P825" s="116">
        <v>431.5</v>
      </c>
      <c r="Q825" s="116">
        <v>415.5</v>
      </c>
      <c r="R825">
        <v>11419</v>
      </c>
    </row>
    <row r="826" spans="1:18" x14ac:dyDescent="0.25">
      <c r="A826" s="170">
        <v>44096</v>
      </c>
      <c r="B826" s="116">
        <v>428</v>
      </c>
      <c r="C826" s="116">
        <v>403.8</v>
      </c>
      <c r="D826" s="116">
        <v>401</v>
      </c>
      <c r="E826" s="116">
        <v>407.2</v>
      </c>
      <c r="F826" s="116">
        <v>403.8</v>
      </c>
      <c r="G826">
        <v>2717</v>
      </c>
      <c r="H826" s="116"/>
      <c r="I826" s="116"/>
      <c r="L826" s="170">
        <v>44096</v>
      </c>
      <c r="M826" s="116">
        <v>405.1</v>
      </c>
      <c r="N826" s="116">
        <v>417.6</v>
      </c>
      <c r="O826" s="116">
        <v>400</v>
      </c>
      <c r="P826" s="116">
        <v>417.6</v>
      </c>
      <c r="Q826" s="116">
        <v>405.1</v>
      </c>
      <c r="R826">
        <v>20331</v>
      </c>
    </row>
    <row r="827" spans="1:18" x14ac:dyDescent="0.25">
      <c r="A827" s="170">
        <v>44097</v>
      </c>
      <c r="B827" s="116">
        <v>410</v>
      </c>
      <c r="C827" s="116">
        <v>408.2</v>
      </c>
      <c r="D827" s="116">
        <v>400.55</v>
      </c>
      <c r="E827" s="116">
        <v>406.25</v>
      </c>
      <c r="F827" s="116">
        <v>408.2</v>
      </c>
      <c r="G827">
        <v>497</v>
      </c>
      <c r="H827" s="116"/>
      <c r="I827" s="116"/>
      <c r="L827" s="170">
        <v>44097</v>
      </c>
      <c r="M827" s="116">
        <v>406.75</v>
      </c>
      <c r="N827" s="116">
        <v>413.8</v>
      </c>
      <c r="O827" s="116">
        <v>401.05</v>
      </c>
      <c r="P827" s="116">
        <v>413.8</v>
      </c>
      <c r="Q827" s="116">
        <v>406.75</v>
      </c>
      <c r="R827">
        <v>7242</v>
      </c>
    </row>
    <row r="828" spans="1:18" x14ac:dyDescent="0.25">
      <c r="A828" s="170">
        <v>44098</v>
      </c>
      <c r="B828" s="116">
        <v>411.3</v>
      </c>
      <c r="C828" s="116">
        <v>408.5</v>
      </c>
      <c r="D828" s="116">
        <v>383.25</v>
      </c>
      <c r="E828" s="116">
        <v>400.9</v>
      </c>
      <c r="F828" s="116">
        <v>408.5</v>
      </c>
      <c r="G828">
        <v>4936</v>
      </c>
      <c r="H828" s="116"/>
      <c r="I828" s="116"/>
      <c r="L828" s="170">
        <v>44098</v>
      </c>
      <c r="M828" s="116">
        <v>409.45</v>
      </c>
      <c r="N828" s="116">
        <v>411</v>
      </c>
      <c r="O828" s="116">
        <v>387.25</v>
      </c>
      <c r="P828" s="116">
        <v>406</v>
      </c>
      <c r="Q828" s="116">
        <v>409.45</v>
      </c>
      <c r="R828">
        <v>33567</v>
      </c>
    </row>
    <row r="829" spans="1:18" x14ac:dyDescent="0.25">
      <c r="A829" s="170">
        <v>44099</v>
      </c>
      <c r="B829" s="116">
        <v>423.45</v>
      </c>
      <c r="C829" s="116">
        <v>407.9</v>
      </c>
      <c r="D829" s="116">
        <v>405</v>
      </c>
      <c r="E829" s="116">
        <v>408.5</v>
      </c>
      <c r="F829" s="116">
        <v>407.9</v>
      </c>
      <c r="G829">
        <v>484</v>
      </c>
      <c r="H829" s="116"/>
      <c r="I829" s="116"/>
      <c r="L829" s="170">
        <v>44099</v>
      </c>
      <c r="M829" s="116">
        <v>406.55</v>
      </c>
      <c r="N829" s="116">
        <v>413.5</v>
      </c>
      <c r="O829" s="116">
        <v>404</v>
      </c>
      <c r="P829" s="116">
        <v>410.05</v>
      </c>
      <c r="Q829" s="116">
        <v>406.55</v>
      </c>
      <c r="R829">
        <v>8277</v>
      </c>
    </row>
    <row r="830" spans="1:18" x14ac:dyDescent="0.25">
      <c r="A830" s="170">
        <v>44102</v>
      </c>
      <c r="B830" s="116">
        <v>410.05</v>
      </c>
      <c r="C830" s="116">
        <v>408.25</v>
      </c>
      <c r="D830" s="116">
        <v>398.75</v>
      </c>
      <c r="E830" s="116">
        <v>409.8</v>
      </c>
      <c r="F830" s="116">
        <v>408.25</v>
      </c>
      <c r="G830">
        <v>1280</v>
      </c>
      <c r="H830" s="116"/>
      <c r="I830" s="116"/>
      <c r="L830" s="170">
        <v>44102</v>
      </c>
      <c r="M830" s="116">
        <v>408.3</v>
      </c>
      <c r="N830" s="116">
        <v>414.9</v>
      </c>
      <c r="O830" s="116">
        <v>405.3</v>
      </c>
      <c r="P830" s="116">
        <v>410</v>
      </c>
      <c r="Q830" s="116">
        <v>408.3</v>
      </c>
      <c r="R830">
        <v>16279</v>
      </c>
    </row>
    <row r="831" spans="1:18" x14ac:dyDescent="0.25">
      <c r="A831" s="170">
        <v>44103</v>
      </c>
      <c r="B831" s="116">
        <v>405.9</v>
      </c>
      <c r="C831" s="116">
        <v>402</v>
      </c>
      <c r="D831" s="116">
        <v>400.5</v>
      </c>
      <c r="E831" s="116">
        <v>405.9</v>
      </c>
      <c r="F831" s="116">
        <v>402</v>
      </c>
      <c r="G831">
        <v>136</v>
      </c>
      <c r="H831" s="116"/>
      <c r="I831" s="116"/>
      <c r="L831" s="170">
        <v>44103</v>
      </c>
      <c r="M831" s="116">
        <v>402.6</v>
      </c>
      <c r="N831" s="116">
        <v>411.9</v>
      </c>
      <c r="O831" s="116">
        <v>400.5</v>
      </c>
      <c r="P831" s="116">
        <v>411.9</v>
      </c>
      <c r="Q831" s="116">
        <v>402.6</v>
      </c>
      <c r="R831">
        <v>8975</v>
      </c>
    </row>
    <row r="832" spans="1:18" x14ac:dyDescent="0.25">
      <c r="A832" s="170">
        <v>44104</v>
      </c>
      <c r="B832" s="116">
        <v>409.3</v>
      </c>
      <c r="C832" s="116">
        <v>403.15</v>
      </c>
      <c r="D832" s="116">
        <v>400</v>
      </c>
      <c r="E832" s="116">
        <v>401.15</v>
      </c>
      <c r="F832" s="116">
        <v>403.15</v>
      </c>
      <c r="G832">
        <v>280</v>
      </c>
      <c r="H832" s="116"/>
      <c r="I832" s="116"/>
      <c r="L832" s="170">
        <v>44104</v>
      </c>
      <c r="M832" s="116">
        <v>404.05</v>
      </c>
      <c r="N832" s="116">
        <v>410.45</v>
      </c>
      <c r="O832" s="116">
        <v>400.55</v>
      </c>
      <c r="P832" s="116">
        <v>404.65</v>
      </c>
      <c r="Q832" s="116">
        <v>404.05</v>
      </c>
      <c r="R832">
        <v>7257</v>
      </c>
    </row>
    <row r="833" spans="1:18" x14ac:dyDescent="0.25">
      <c r="A833" s="170">
        <v>44105</v>
      </c>
      <c r="B833" s="116">
        <v>420</v>
      </c>
      <c r="C833" s="116">
        <v>413.9</v>
      </c>
      <c r="D833" s="116">
        <v>404.85</v>
      </c>
      <c r="E833" s="116">
        <v>409.75</v>
      </c>
      <c r="F833" s="116">
        <v>413.9</v>
      </c>
      <c r="G833">
        <v>2507</v>
      </c>
      <c r="H833" s="116"/>
      <c r="I833" s="116"/>
      <c r="L833" s="170">
        <v>44105</v>
      </c>
      <c r="M833" s="116">
        <v>415.8</v>
      </c>
      <c r="N833" s="116">
        <v>424.8</v>
      </c>
      <c r="O833" s="116">
        <v>405.05</v>
      </c>
      <c r="P833" s="116">
        <v>405.95</v>
      </c>
      <c r="Q833" s="116">
        <v>415.8</v>
      </c>
      <c r="R833">
        <v>16531</v>
      </c>
    </row>
    <row r="834" spans="1:18" x14ac:dyDescent="0.25">
      <c r="A834" s="170">
        <v>44109</v>
      </c>
      <c r="B834" s="116">
        <v>416.7</v>
      </c>
      <c r="C834" s="116">
        <v>400.4</v>
      </c>
      <c r="D834" s="116">
        <v>395.15</v>
      </c>
      <c r="E834" s="116">
        <v>415</v>
      </c>
      <c r="F834" s="116">
        <v>400.4</v>
      </c>
      <c r="G834">
        <v>7593</v>
      </c>
      <c r="H834" s="116"/>
      <c r="I834" s="116"/>
      <c r="L834" s="170">
        <v>44109</v>
      </c>
      <c r="M834" s="116">
        <v>401.7</v>
      </c>
      <c r="N834" s="116">
        <v>422.95</v>
      </c>
      <c r="O834" s="116">
        <v>380.05</v>
      </c>
      <c r="P834" s="116">
        <v>419</v>
      </c>
      <c r="Q834" s="116">
        <v>401.7</v>
      </c>
      <c r="R834">
        <v>69841</v>
      </c>
    </row>
    <row r="835" spans="1:18" x14ac:dyDescent="0.25">
      <c r="A835" s="170">
        <v>44110</v>
      </c>
      <c r="B835" s="116">
        <v>406.35</v>
      </c>
      <c r="C835" s="116">
        <v>405.4</v>
      </c>
      <c r="D835" s="116">
        <v>403.15</v>
      </c>
      <c r="E835" s="116">
        <v>406.35</v>
      </c>
      <c r="F835" s="116">
        <v>405.4</v>
      </c>
      <c r="G835">
        <v>194</v>
      </c>
      <c r="H835" s="116"/>
      <c r="I835" s="116"/>
      <c r="L835" s="170">
        <v>44110</v>
      </c>
      <c r="M835" s="116">
        <v>405.35</v>
      </c>
      <c r="N835" s="116">
        <v>409.4</v>
      </c>
      <c r="O835" s="116">
        <v>401</v>
      </c>
      <c r="P835" s="116">
        <v>404.95</v>
      </c>
      <c r="Q835" s="116">
        <v>405.35</v>
      </c>
      <c r="R835">
        <v>10405</v>
      </c>
    </row>
    <row r="836" spans="1:18" x14ac:dyDescent="0.25">
      <c r="A836" s="170">
        <v>44111</v>
      </c>
      <c r="B836" s="116">
        <v>408.35</v>
      </c>
      <c r="C836" s="116">
        <v>407.5</v>
      </c>
      <c r="D836" s="116">
        <v>398.1</v>
      </c>
      <c r="E836" s="116">
        <v>399.75</v>
      </c>
      <c r="F836" s="116">
        <v>407.5</v>
      </c>
      <c r="G836">
        <v>1051</v>
      </c>
      <c r="H836" s="116"/>
      <c r="I836" s="116"/>
      <c r="L836" s="170">
        <v>44111</v>
      </c>
      <c r="M836" s="116">
        <v>406.9</v>
      </c>
      <c r="N836" s="116">
        <v>409</v>
      </c>
      <c r="O836" s="116">
        <v>398.35</v>
      </c>
      <c r="P836" s="116">
        <v>401</v>
      </c>
      <c r="Q836" s="116">
        <v>406.9</v>
      </c>
      <c r="R836">
        <v>10227</v>
      </c>
    </row>
    <row r="837" spans="1:18" x14ac:dyDescent="0.25">
      <c r="A837" s="170">
        <v>44112</v>
      </c>
      <c r="B837" s="116">
        <v>409.9</v>
      </c>
      <c r="C837" s="116">
        <v>396.65</v>
      </c>
      <c r="D837" s="116">
        <v>391.65</v>
      </c>
      <c r="E837" s="116">
        <v>407.25</v>
      </c>
      <c r="F837" s="116">
        <v>396.65</v>
      </c>
      <c r="G837">
        <v>2386</v>
      </c>
      <c r="H837" s="116"/>
      <c r="I837" s="116"/>
      <c r="L837" s="170">
        <v>44112</v>
      </c>
      <c r="M837" s="116">
        <v>396.3</v>
      </c>
      <c r="N837" s="116">
        <v>408.95</v>
      </c>
      <c r="O837" s="116">
        <v>394</v>
      </c>
      <c r="P837" s="116">
        <v>408.95</v>
      </c>
      <c r="Q837" s="116">
        <v>396.3</v>
      </c>
      <c r="R837">
        <v>15045</v>
      </c>
    </row>
    <row r="838" spans="1:18" x14ac:dyDescent="0.25">
      <c r="A838" s="170">
        <v>44113</v>
      </c>
      <c r="B838" s="116">
        <v>405.25</v>
      </c>
      <c r="C838" s="116">
        <v>400.25</v>
      </c>
      <c r="D838" s="116">
        <v>382.55</v>
      </c>
      <c r="E838" s="116">
        <v>391.75</v>
      </c>
      <c r="F838" s="116">
        <v>400.25</v>
      </c>
      <c r="G838">
        <v>1980</v>
      </c>
      <c r="H838" s="116"/>
      <c r="I838" s="116"/>
      <c r="L838" s="170">
        <v>44113</v>
      </c>
      <c r="M838" s="116">
        <v>399.85</v>
      </c>
      <c r="N838" s="116">
        <v>405.95</v>
      </c>
      <c r="O838" s="116">
        <v>390.2</v>
      </c>
      <c r="P838" s="116">
        <v>398.3</v>
      </c>
      <c r="Q838" s="116">
        <v>399.85</v>
      </c>
      <c r="R838">
        <v>12636</v>
      </c>
    </row>
    <row r="839" spans="1:18" x14ac:dyDescent="0.25">
      <c r="A839" s="170">
        <v>44116</v>
      </c>
      <c r="B839" s="116">
        <v>404.9</v>
      </c>
      <c r="C839" s="116">
        <v>398.55</v>
      </c>
      <c r="D839" s="116">
        <v>390.2</v>
      </c>
      <c r="E839" s="116">
        <v>391.05</v>
      </c>
      <c r="F839" s="116">
        <v>398.55</v>
      </c>
      <c r="G839">
        <v>1246</v>
      </c>
      <c r="H839" s="116"/>
      <c r="I839" s="116"/>
      <c r="L839" s="170">
        <v>44116</v>
      </c>
      <c r="M839" s="116">
        <v>398.45</v>
      </c>
      <c r="N839" s="116">
        <v>405.1</v>
      </c>
      <c r="O839" s="116">
        <v>393.45</v>
      </c>
      <c r="P839" s="116">
        <v>400.25</v>
      </c>
      <c r="Q839" s="116">
        <v>398.45</v>
      </c>
      <c r="R839">
        <v>8470</v>
      </c>
    </row>
    <row r="840" spans="1:18" x14ac:dyDescent="0.25">
      <c r="A840" s="170">
        <v>44117</v>
      </c>
      <c r="B840" s="116">
        <v>399.2</v>
      </c>
      <c r="C840" s="116">
        <v>390.85</v>
      </c>
      <c r="D840" s="116">
        <v>389.8</v>
      </c>
      <c r="E840" s="116">
        <v>399.2</v>
      </c>
      <c r="F840" s="116">
        <v>390.85</v>
      </c>
      <c r="G840">
        <v>2452</v>
      </c>
      <c r="H840" s="116"/>
      <c r="I840" s="116"/>
      <c r="L840" s="170">
        <v>44117</v>
      </c>
      <c r="M840" s="116">
        <v>390.9</v>
      </c>
      <c r="N840" s="116">
        <v>398.85</v>
      </c>
      <c r="O840" s="116">
        <v>389.05</v>
      </c>
      <c r="P840" s="116">
        <v>395.05</v>
      </c>
      <c r="Q840" s="116">
        <v>390.9</v>
      </c>
      <c r="R840">
        <v>8171</v>
      </c>
    </row>
    <row r="841" spans="1:18" x14ac:dyDescent="0.25">
      <c r="A841" s="170">
        <v>44118</v>
      </c>
      <c r="B841" s="116">
        <v>399.75</v>
      </c>
      <c r="C841" s="116">
        <v>395.4</v>
      </c>
      <c r="D841" s="116">
        <v>390.75</v>
      </c>
      <c r="E841" s="116">
        <v>390.75</v>
      </c>
      <c r="F841" s="116">
        <v>395.4</v>
      </c>
      <c r="G841">
        <v>176</v>
      </c>
      <c r="H841" s="116"/>
      <c r="I841" s="116"/>
      <c r="L841" s="170">
        <v>44118</v>
      </c>
      <c r="M841" s="116">
        <v>393.65</v>
      </c>
      <c r="N841" s="116">
        <v>400.5</v>
      </c>
      <c r="O841" s="116">
        <v>390</v>
      </c>
      <c r="P841" s="116">
        <v>392.8</v>
      </c>
      <c r="Q841" s="116">
        <v>393.65</v>
      </c>
      <c r="R841">
        <v>7379</v>
      </c>
    </row>
    <row r="842" spans="1:18" x14ac:dyDescent="0.25">
      <c r="A842" s="170">
        <v>44119</v>
      </c>
      <c r="B842" s="116">
        <v>403.5</v>
      </c>
      <c r="C842" s="116">
        <v>397.65</v>
      </c>
      <c r="D842" s="116">
        <v>384.05</v>
      </c>
      <c r="E842" s="116">
        <v>393.25</v>
      </c>
      <c r="F842" s="116">
        <v>397.65</v>
      </c>
      <c r="G842">
        <v>2248</v>
      </c>
      <c r="H842" s="116"/>
      <c r="I842" s="116"/>
      <c r="L842" s="170">
        <v>44119</v>
      </c>
      <c r="M842" s="116">
        <v>398.15</v>
      </c>
      <c r="N842" s="116">
        <v>403.9</v>
      </c>
      <c r="O842" s="116">
        <v>388.95</v>
      </c>
      <c r="P842" s="116">
        <v>390</v>
      </c>
      <c r="Q842" s="116">
        <v>398.15</v>
      </c>
      <c r="R842">
        <v>20653</v>
      </c>
    </row>
    <row r="843" spans="1:18" x14ac:dyDescent="0.25">
      <c r="A843" s="170">
        <v>44120</v>
      </c>
      <c r="B843" s="116">
        <v>400</v>
      </c>
      <c r="C843" s="116">
        <v>395.85</v>
      </c>
      <c r="D843" s="116">
        <v>393.1</v>
      </c>
      <c r="E843" s="116">
        <v>400</v>
      </c>
      <c r="F843" s="116">
        <v>395.85</v>
      </c>
      <c r="G843">
        <v>330</v>
      </c>
      <c r="H843" s="116"/>
      <c r="I843" s="116"/>
      <c r="L843" s="170">
        <v>44120</v>
      </c>
      <c r="M843" s="116">
        <v>396.55</v>
      </c>
      <c r="N843" s="116">
        <v>400.15</v>
      </c>
      <c r="O843" s="116">
        <v>393.95</v>
      </c>
      <c r="P843" s="116">
        <v>395</v>
      </c>
      <c r="Q843" s="116">
        <v>396.55</v>
      </c>
      <c r="R843">
        <v>12786</v>
      </c>
    </row>
    <row r="844" spans="1:18" x14ac:dyDescent="0.25">
      <c r="A844" s="170">
        <v>44123</v>
      </c>
      <c r="B844" s="116">
        <v>403.2</v>
      </c>
      <c r="C844" s="116">
        <v>397.45</v>
      </c>
      <c r="D844" s="116">
        <v>390.55</v>
      </c>
      <c r="E844" s="116">
        <v>399.75</v>
      </c>
      <c r="F844" s="116">
        <v>397.45</v>
      </c>
      <c r="G844">
        <v>1596</v>
      </c>
      <c r="H844" s="116"/>
      <c r="I844" s="116"/>
      <c r="L844" s="170">
        <v>44123</v>
      </c>
      <c r="M844" s="116">
        <v>397.25</v>
      </c>
      <c r="N844" s="116">
        <v>404.35</v>
      </c>
      <c r="O844" s="116">
        <v>396.05</v>
      </c>
      <c r="P844" s="116">
        <v>398.55</v>
      </c>
      <c r="Q844" s="116">
        <v>397.25</v>
      </c>
      <c r="R844">
        <v>11080</v>
      </c>
    </row>
    <row r="845" spans="1:18" x14ac:dyDescent="0.25">
      <c r="A845" s="170">
        <v>44124</v>
      </c>
      <c r="B845" s="116">
        <v>400.25</v>
      </c>
      <c r="C845" s="116">
        <v>395</v>
      </c>
      <c r="D845" s="116">
        <v>390</v>
      </c>
      <c r="E845" s="116">
        <v>400.1</v>
      </c>
      <c r="F845" s="116">
        <v>395</v>
      </c>
      <c r="G845">
        <v>285</v>
      </c>
      <c r="H845" s="116"/>
      <c r="I845" s="116"/>
      <c r="L845" s="170">
        <v>44124</v>
      </c>
      <c r="M845" s="116">
        <v>394.3</v>
      </c>
      <c r="N845" s="116">
        <v>402</v>
      </c>
      <c r="O845" s="116">
        <v>391.25</v>
      </c>
      <c r="P845" s="116">
        <v>399.95</v>
      </c>
      <c r="Q845" s="116">
        <v>394.3</v>
      </c>
      <c r="R845">
        <v>5294</v>
      </c>
    </row>
    <row r="846" spans="1:18" x14ac:dyDescent="0.25">
      <c r="A846" s="170">
        <v>44125</v>
      </c>
      <c r="B846" s="116">
        <v>399.3</v>
      </c>
      <c r="C846" s="116">
        <v>395.75</v>
      </c>
      <c r="D846" s="116">
        <v>388.85</v>
      </c>
      <c r="E846" s="116">
        <v>397</v>
      </c>
      <c r="F846" s="116">
        <v>395.75</v>
      </c>
      <c r="G846">
        <v>669</v>
      </c>
      <c r="H846" s="116"/>
      <c r="I846" s="116"/>
      <c r="L846" s="170">
        <v>44125</v>
      </c>
      <c r="M846" s="116">
        <v>395.4</v>
      </c>
      <c r="N846" s="116">
        <v>399.5</v>
      </c>
      <c r="O846" s="116">
        <v>390</v>
      </c>
      <c r="P846" s="116">
        <v>396.25</v>
      </c>
      <c r="Q846" s="116">
        <v>395.4</v>
      </c>
      <c r="R846">
        <v>7619</v>
      </c>
    </row>
    <row r="847" spans="1:18" x14ac:dyDescent="0.25">
      <c r="A847" s="170">
        <v>44126</v>
      </c>
      <c r="B847" s="116">
        <v>404.85</v>
      </c>
      <c r="C847" s="116">
        <v>398.7</v>
      </c>
      <c r="D847" s="116">
        <v>394.35</v>
      </c>
      <c r="E847" s="116">
        <v>395.8</v>
      </c>
      <c r="F847" s="116">
        <v>398.7</v>
      </c>
      <c r="G847">
        <v>766</v>
      </c>
      <c r="H847" s="116"/>
      <c r="I847" s="116"/>
      <c r="L847" s="170">
        <v>44126</v>
      </c>
      <c r="M847" s="116">
        <v>399.4</v>
      </c>
      <c r="N847" s="116">
        <v>404.95</v>
      </c>
      <c r="O847" s="116">
        <v>395.2</v>
      </c>
      <c r="P847" s="116">
        <v>397.4</v>
      </c>
      <c r="Q847" s="116">
        <v>399.4</v>
      </c>
      <c r="R847">
        <v>7313</v>
      </c>
    </row>
    <row r="848" spans="1:18" x14ac:dyDescent="0.25">
      <c r="A848" s="170">
        <v>44127</v>
      </c>
      <c r="B848" s="116">
        <v>413</v>
      </c>
      <c r="C848" s="116">
        <v>386.35</v>
      </c>
      <c r="D848" s="116">
        <v>383.5</v>
      </c>
      <c r="E848" s="116">
        <v>413</v>
      </c>
      <c r="F848" s="116">
        <v>386.35</v>
      </c>
      <c r="G848">
        <v>1179</v>
      </c>
      <c r="H848" s="116"/>
      <c r="I848" s="116"/>
      <c r="L848" s="170">
        <v>44127</v>
      </c>
      <c r="M848" s="116">
        <v>387.2</v>
      </c>
      <c r="N848" s="116">
        <v>403.85</v>
      </c>
      <c r="O848" s="116">
        <v>381</v>
      </c>
      <c r="P848" s="116">
        <v>399</v>
      </c>
      <c r="Q848" s="116">
        <v>387.2</v>
      </c>
      <c r="R848">
        <v>25897</v>
      </c>
    </row>
    <row r="849" spans="1:18" x14ac:dyDescent="0.25">
      <c r="A849" s="170">
        <v>44130</v>
      </c>
      <c r="B849" s="116">
        <v>393.9</v>
      </c>
      <c r="C849" s="116">
        <v>389.85</v>
      </c>
      <c r="D849" s="116">
        <v>387</v>
      </c>
      <c r="E849" s="116">
        <v>393.9</v>
      </c>
      <c r="F849" s="116">
        <v>389.85</v>
      </c>
      <c r="G849">
        <v>468</v>
      </c>
      <c r="H849" s="116"/>
      <c r="I849" s="116"/>
      <c r="L849" s="170">
        <v>44130</v>
      </c>
      <c r="M849" s="116">
        <v>390.2</v>
      </c>
      <c r="N849" s="116">
        <v>394.95</v>
      </c>
      <c r="O849" s="116">
        <v>385</v>
      </c>
      <c r="P849" s="116">
        <v>389.15</v>
      </c>
      <c r="Q849" s="116">
        <v>390.2</v>
      </c>
      <c r="R849">
        <v>10545</v>
      </c>
    </row>
    <row r="850" spans="1:18" x14ac:dyDescent="0.25">
      <c r="A850" s="170">
        <v>44131</v>
      </c>
      <c r="B850" s="116">
        <v>390.6</v>
      </c>
      <c r="C850" s="116">
        <v>389.95</v>
      </c>
      <c r="D850" s="116">
        <v>388</v>
      </c>
      <c r="E850" s="116">
        <v>390.6</v>
      </c>
      <c r="F850" s="116">
        <v>389.95</v>
      </c>
      <c r="G850">
        <v>1063</v>
      </c>
      <c r="H850" s="116"/>
      <c r="I850" s="116"/>
      <c r="L850" s="170">
        <v>44131</v>
      </c>
      <c r="M850" s="116">
        <v>389.55</v>
      </c>
      <c r="N850" s="116">
        <v>392.95</v>
      </c>
      <c r="O850" s="116">
        <v>387.1</v>
      </c>
      <c r="P850" s="116">
        <v>390</v>
      </c>
      <c r="Q850" s="116">
        <v>389.55</v>
      </c>
      <c r="R850">
        <v>5684</v>
      </c>
    </row>
    <row r="851" spans="1:18" x14ac:dyDescent="0.25">
      <c r="A851" s="170">
        <v>44132</v>
      </c>
      <c r="B851" s="116">
        <v>394.55</v>
      </c>
      <c r="C851" s="116">
        <v>391.65</v>
      </c>
      <c r="D851" s="116">
        <v>389.25</v>
      </c>
      <c r="E851" s="116">
        <v>390.05</v>
      </c>
      <c r="F851" s="116">
        <v>391.65</v>
      </c>
      <c r="G851">
        <v>937</v>
      </c>
      <c r="H851" s="116"/>
      <c r="I851" s="116"/>
      <c r="L851" s="170">
        <v>44132</v>
      </c>
      <c r="M851" s="116">
        <v>390.95</v>
      </c>
      <c r="N851" s="116">
        <v>399.8</v>
      </c>
      <c r="O851" s="116">
        <v>389.4</v>
      </c>
      <c r="P851" s="116">
        <v>392.5</v>
      </c>
      <c r="Q851" s="116">
        <v>390.95</v>
      </c>
      <c r="R851">
        <v>11295</v>
      </c>
    </row>
    <row r="852" spans="1:18" x14ac:dyDescent="0.25">
      <c r="A852" s="170">
        <v>44133</v>
      </c>
      <c r="B852" s="116">
        <v>392.5</v>
      </c>
      <c r="C852" s="116">
        <v>386.75</v>
      </c>
      <c r="D852" s="116">
        <v>380</v>
      </c>
      <c r="E852" s="116">
        <v>380</v>
      </c>
      <c r="F852" s="116">
        <v>386.75</v>
      </c>
      <c r="G852">
        <v>1433</v>
      </c>
      <c r="H852" s="116"/>
      <c r="I852" s="116"/>
      <c r="L852" s="170">
        <v>44133</v>
      </c>
      <c r="M852" s="116">
        <v>387.9</v>
      </c>
      <c r="N852" s="116">
        <v>392.3</v>
      </c>
      <c r="O852" s="116">
        <v>386.15</v>
      </c>
      <c r="P852" s="116">
        <v>390.5</v>
      </c>
      <c r="Q852" s="116">
        <v>387.9</v>
      </c>
      <c r="R852">
        <v>5838</v>
      </c>
    </row>
    <row r="853" spans="1:18" x14ac:dyDescent="0.25">
      <c r="A853" s="170">
        <v>44134</v>
      </c>
      <c r="B853" s="116">
        <v>391</v>
      </c>
      <c r="C853" s="116">
        <v>387</v>
      </c>
      <c r="D853" s="116">
        <v>386.4</v>
      </c>
      <c r="E853" s="116">
        <v>390.05</v>
      </c>
      <c r="F853" s="116">
        <v>387</v>
      </c>
      <c r="G853">
        <v>260</v>
      </c>
      <c r="H853" s="116"/>
      <c r="I853" s="116"/>
      <c r="L853" s="170">
        <v>44134</v>
      </c>
      <c r="M853" s="116">
        <v>387.05</v>
      </c>
      <c r="N853" s="116">
        <v>392.4</v>
      </c>
      <c r="O853" s="116">
        <v>385</v>
      </c>
      <c r="P853" s="116">
        <v>389.8</v>
      </c>
      <c r="Q853" s="116">
        <v>387.05</v>
      </c>
      <c r="R853">
        <v>6496</v>
      </c>
    </row>
    <row r="854" spans="1:18" x14ac:dyDescent="0.25">
      <c r="A854" s="170">
        <v>44137</v>
      </c>
      <c r="B854" s="116">
        <v>391.95</v>
      </c>
      <c r="C854" s="116">
        <v>384.55</v>
      </c>
      <c r="D854" s="116">
        <v>381.7</v>
      </c>
      <c r="E854" s="116">
        <v>391.1</v>
      </c>
      <c r="F854" s="116">
        <v>384.55</v>
      </c>
      <c r="G854">
        <v>351</v>
      </c>
      <c r="H854" s="116"/>
      <c r="I854" s="116"/>
      <c r="L854" s="170">
        <v>44137</v>
      </c>
      <c r="M854" s="116">
        <v>385.4</v>
      </c>
      <c r="N854" s="116">
        <v>392</v>
      </c>
      <c r="O854" s="116">
        <v>382</v>
      </c>
      <c r="P854" s="116">
        <v>389</v>
      </c>
      <c r="Q854" s="116">
        <v>385.4</v>
      </c>
      <c r="R854">
        <v>6981</v>
      </c>
    </row>
    <row r="855" spans="1:18" x14ac:dyDescent="0.25">
      <c r="A855" s="170">
        <v>44138</v>
      </c>
      <c r="B855" s="116">
        <v>398.05</v>
      </c>
      <c r="C855" s="116">
        <v>395.7</v>
      </c>
      <c r="D855" s="116">
        <v>388.05</v>
      </c>
      <c r="E855" s="116">
        <v>388.25</v>
      </c>
      <c r="F855" s="116">
        <v>395.7</v>
      </c>
      <c r="G855">
        <v>1539</v>
      </c>
      <c r="H855" s="116"/>
      <c r="I855" s="116"/>
      <c r="L855" s="170">
        <v>44138</v>
      </c>
      <c r="M855" s="116">
        <v>396.5</v>
      </c>
      <c r="N855" s="116">
        <v>399</v>
      </c>
      <c r="O855" s="116">
        <v>385.75</v>
      </c>
      <c r="P855" s="116">
        <v>390.9</v>
      </c>
      <c r="Q855" s="116">
        <v>396.5</v>
      </c>
      <c r="R855">
        <v>7750</v>
      </c>
    </row>
    <row r="856" spans="1:18" x14ac:dyDescent="0.25">
      <c r="A856" s="170">
        <v>44139</v>
      </c>
      <c r="B856" s="116">
        <v>395</v>
      </c>
      <c r="C856" s="116">
        <v>389.5</v>
      </c>
      <c r="D856" s="116">
        <v>386</v>
      </c>
      <c r="E856" s="116">
        <v>389</v>
      </c>
      <c r="F856" s="116">
        <v>389.5</v>
      </c>
      <c r="G856">
        <v>958</v>
      </c>
      <c r="H856" s="116"/>
      <c r="I856" s="116"/>
      <c r="L856" s="170">
        <v>44139</v>
      </c>
      <c r="M856" s="116">
        <v>390.35</v>
      </c>
      <c r="N856" s="116">
        <v>396</v>
      </c>
      <c r="O856" s="116">
        <v>385.1</v>
      </c>
      <c r="P856" s="116">
        <v>395</v>
      </c>
      <c r="Q856" s="116">
        <v>390.35</v>
      </c>
      <c r="R856">
        <v>47393</v>
      </c>
    </row>
    <row r="857" spans="1:18" x14ac:dyDescent="0.25">
      <c r="A857" s="170">
        <v>44140</v>
      </c>
      <c r="B857" s="116">
        <v>392.7</v>
      </c>
      <c r="C857" s="116">
        <v>389.45</v>
      </c>
      <c r="D857" s="116">
        <v>389.3</v>
      </c>
      <c r="E857" s="116">
        <v>390.95</v>
      </c>
      <c r="F857" s="116">
        <v>389.45</v>
      </c>
      <c r="G857">
        <v>168</v>
      </c>
      <c r="H857" s="116"/>
      <c r="I857" s="116"/>
      <c r="L857" s="170">
        <v>44140</v>
      </c>
      <c r="M857" s="116">
        <v>390</v>
      </c>
      <c r="N857" s="116">
        <v>394.1</v>
      </c>
      <c r="O857" s="116">
        <v>389</v>
      </c>
      <c r="P857" s="116">
        <v>392.3</v>
      </c>
      <c r="Q857" s="116">
        <v>390</v>
      </c>
      <c r="R857">
        <v>5515</v>
      </c>
    </row>
    <row r="858" spans="1:18" x14ac:dyDescent="0.25">
      <c r="A858" s="170">
        <v>44141</v>
      </c>
      <c r="B858" s="116">
        <v>419.45</v>
      </c>
      <c r="C858" s="116">
        <v>394.4</v>
      </c>
      <c r="D858" s="116">
        <v>389</v>
      </c>
      <c r="E858" s="116">
        <v>419.45</v>
      </c>
      <c r="F858" s="116">
        <v>394.4</v>
      </c>
      <c r="G858">
        <v>674</v>
      </c>
      <c r="H858" s="116"/>
      <c r="I858" s="116"/>
      <c r="L858" s="170">
        <v>44141</v>
      </c>
      <c r="M858" s="116">
        <v>394.95</v>
      </c>
      <c r="N858" s="116">
        <v>397</v>
      </c>
      <c r="O858" s="116">
        <v>382.2</v>
      </c>
      <c r="P858" s="116">
        <v>391.9</v>
      </c>
      <c r="Q858" s="116">
        <v>394.95</v>
      </c>
      <c r="R858">
        <v>10545</v>
      </c>
    </row>
    <row r="859" spans="1:18" x14ac:dyDescent="0.25">
      <c r="A859" s="170">
        <v>44144</v>
      </c>
      <c r="B859" s="116">
        <v>398.6</v>
      </c>
      <c r="C859" s="116">
        <v>390.05</v>
      </c>
      <c r="D859" s="116">
        <v>386</v>
      </c>
      <c r="E859" s="116">
        <v>397.05</v>
      </c>
      <c r="F859" s="116">
        <v>390.05</v>
      </c>
      <c r="G859">
        <v>1002</v>
      </c>
      <c r="H859" s="116"/>
      <c r="I859" s="116"/>
      <c r="L859" s="170">
        <v>44144</v>
      </c>
      <c r="M859" s="116">
        <v>391.35</v>
      </c>
      <c r="N859" s="116">
        <v>399</v>
      </c>
      <c r="O859" s="116">
        <v>385.5</v>
      </c>
      <c r="P859" s="116">
        <v>396.95</v>
      </c>
      <c r="Q859" s="116">
        <v>391.35</v>
      </c>
      <c r="R859">
        <v>39158</v>
      </c>
    </row>
    <row r="860" spans="1:18" x14ac:dyDescent="0.25">
      <c r="A860" s="170">
        <v>44145</v>
      </c>
      <c r="B860" s="116">
        <v>396</v>
      </c>
      <c r="C860" s="116">
        <v>392.65</v>
      </c>
      <c r="D860" s="116">
        <v>389.2</v>
      </c>
      <c r="E860" s="116">
        <v>391.05</v>
      </c>
      <c r="F860" s="116">
        <v>392.65</v>
      </c>
      <c r="G860">
        <v>1051</v>
      </c>
      <c r="H860" s="116"/>
      <c r="I860" s="116"/>
      <c r="L860" s="170">
        <v>44145</v>
      </c>
      <c r="M860" s="116">
        <v>393.55</v>
      </c>
      <c r="N860" s="116">
        <v>398.9</v>
      </c>
      <c r="O860" s="116">
        <v>388.8</v>
      </c>
      <c r="P860" s="116">
        <v>391.35</v>
      </c>
      <c r="Q860" s="116">
        <v>393.55</v>
      </c>
      <c r="R860">
        <v>11469</v>
      </c>
    </row>
    <row r="861" spans="1:18" x14ac:dyDescent="0.25">
      <c r="A861" s="170">
        <v>44146</v>
      </c>
      <c r="B861" s="116">
        <v>396.7</v>
      </c>
      <c r="C861" s="116">
        <v>389.05</v>
      </c>
      <c r="D861" s="116">
        <v>389</v>
      </c>
      <c r="E861" s="116">
        <v>393.15</v>
      </c>
      <c r="F861" s="116">
        <v>389.05</v>
      </c>
      <c r="G861">
        <v>718</v>
      </c>
      <c r="H861" s="116"/>
      <c r="I861" s="116"/>
      <c r="L861" s="170">
        <v>44146</v>
      </c>
      <c r="M861" s="116">
        <v>390.35</v>
      </c>
      <c r="N861" s="116">
        <v>397</v>
      </c>
      <c r="O861" s="116">
        <v>388.05</v>
      </c>
      <c r="P861" s="116">
        <v>393</v>
      </c>
      <c r="Q861" s="116">
        <v>390.35</v>
      </c>
      <c r="R861">
        <v>15629</v>
      </c>
    </row>
    <row r="862" spans="1:18" x14ac:dyDescent="0.25">
      <c r="A862" s="170">
        <v>44147</v>
      </c>
      <c r="B862" s="116">
        <v>391.1</v>
      </c>
      <c r="C862" s="116">
        <v>389.85</v>
      </c>
      <c r="D862" s="116">
        <v>387</v>
      </c>
      <c r="E862" s="116">
        <v>390.45</v>
      </c>
      <c r="F862" s="116">
        <v>389.85</v>
      </c>
      <c r="G862">
        <v>207</v>
      </c>
      <c r="H862" s="116"/>
      <c r="I862" s="116"/>
      <c r="L862" s="170">
        <v>44147</v>
      </c>
      <c r="M862" s="116">
        <v>389.3</v>
      </c>
      <c r="N862" s="116">
        <v>393.2</v>
      </c>
      <c r="O862" s="116">
        <v>386.2</v>
      </c>
      <c r="P862" s="116">
        <v>390.35</v>
      </c>
      <c r="Q862" s="116">
        <v>389.3</v>
      </c>
      <c r="R862">
        <v>47050</v>
      </c>
    </row>
    <row r="863" spans="1:18" x14ac:dyDescent="0.25">
      <c r="A863" s="170">
        <v>44148</v>
      </c>
      <c r="B863" s="116">
        <v>390.7</v>
      </c>
      <c r="C863" s="116">
        <v>388.05</v>
      </c>
      <c r="D863" s="116">
        <v>380.55</v>
      </c>
      <c r="E863" s="116">
        <v>390.3</v>
      </c>
      <c r="F863" s="116">
        <v>388.05</v>
      </c>
      <c r="G863">
        <v>1341</v>
      </c>
      <c r="H863" s="116"/>
      <c r="I863" s="116"/>
      <c r="L863" s="170">
        <v>44148</v>
      </c>
      <c r="M863" s="116">
        <v>388.15</v>
      </c>
      <c r="N863" s="116">
        <v>391.25</v>
      </c>
      <c r="O863" s="116">
        <v>386.2</v>
      </c>
      <c r="P863" s="116">
        <v>389.65</v>
      </c>
      <c r="Q863" s="116">
        <v>388.15</v>
      </c>
      <c r="R863">
        <v>11765</v>
      </c>
    </row>
    <row r="864" spans="1:18" x14ac:dyDescent="0.25">
      <c r="A864" s="170">
        <v>44149</v>
      </c>
      <c r="B864" s="116">
        <v>400</v>
      </c>
      <c r="C864" s="116">
        <v>399.3</v>
      </c>
      <c r="D864" s="116">
        <v>391.3</v>
      </c>
      <c r="E864" s="116">
        <v>399.6</v>
      </c>
      <c r="F864" s="116">
        <v>399.3</v>
      </c>
      <c r="G864">
        <v>3439</v>
      </c>
      <c r="H864" s="116"/>
      <c r="I864" s="116"/>
      <c r="L864" s="170">
        <v>44149</v>
      </c>
      <c r="M864" s="116">
        <v>399</v>
      </c>
      <c r="N864" s="116">
        <v>400.05</v>
      </c>
      <c r="O864" s="116">
        <v>390</v>
      </c>
      <c r="P864" s="116">
        <v>399</v>
      </c>
      <c r="Q864" s="116">
        <v>399</v>
      </c>
      <c r="R864">
        <v>13953</v>
      </c>
    </row>
    <row r="865" spans="1:18" x14ac:dyDescent="0.25">
      <c r="A865" s="170">
        <v>44152</v>
      </c>
      <c r="B865" s="116">
        <v>404.8</v>
      </c>
      <c r="C865" s="116">
        <v>389.85</v>
      </c>
      <c r="D865" s="116">
        <v>387</v>
      </c>
      <c r="E865" s="116">
        <v>404.8</v>
      </c>
      <c r="F865" s="116">
        <v>389.85</v>
      </c>
      <c r="G865">
        <v>2462</v>
      </c>
      <c r="H865" s="116"/>
      <c r="I865" s="116"/>
      <c r="L865" s="170">
        <v>44152</v>
      </c>
      <c r="M865" s="116">
        <v>389.35</v>
      </c>
      <c r="N865" s="116">
        <v>399</v>
      </c>
      <c r="O865" s="116">
        <v>386.15</v>
      </c>
      <c r="P865" s="116">
        <v>399</v>
      </c>
      <c r="Q865" s="116">
        <v>389.35</v>
      </c>
      <c r="R865">
        <v>41054</v>
      </c>
    </row>
    <row r="866" spans="1:18" x14ac:dyDescent="0.25">
      <c r="A866" s="170">
        <v>44153</v>
      </c>
      <c r="B866" s="116">
        <v>393</v>
      </c>
      <c r="C866" s="116">
        <v>381.15</v>
      </c>
      <c r="D866" s="116">
        <v>378.35</v>
      </c>
      <c r="E866" s="116">
        <v>393</v>
      </c>
      <c r="F866" s="116">
        <v>381.15</v>
      </c>
      <c r="G866">
        <v>4542</v>
      </c>
      <c r="H866" s="116"/>
      <c r="I866" s="116"/>
      <c r="L866" s="170">
        <v>44153</v>
      </c>
      <c r="M866" s="116">
        <v>381.35</v>
      </c>
      <c r="N866" s="116">
        <v>395</v>
      </c>
      <c r="O866" s="116">
        <v>378.05</v>
      </c>
      <c r="P866" s="116">
        <v>391.3</v>
      </c>
      <c r="Q866" s="116">
        <v>381.35</v>
      </c>
      <c r="R866">
        <v>99559</v>
      </c>
    </row>
    <row r="867" spans="1:18" x14ac:dyDescent="0.25">
      <c r="A867" s="170">
        <v>44154</v>
      </c>
      <c r="B867" s="116">
        <v>396</v>
      </c>
      <c r="C867" s="116">
        <v>393.9</v>
      </c>
      <c r="D867" s="116">
        <v>381</v>
      </c>
      <c r="E867" s="116">
        <v>381.15</v>
      </c>
      <c r="F867" s="116">
        <v>393.9</v>
      </c>
      <c r="G867">
        <v>351</v>
      </c>
      <c r="H867" s="116"/>
      <c r="I867" s="116"/>
      <c r="L867" s="170">
        <v>44154</v>
      </c>
      <c r="M867" s="116">
        <v>394.45</v>
      </c>
      <c r="N867" s="116">
        <v>397.9</v>
      </c>
      <c r="O867" s="116">
        <v>380</v>
      </c>
      <c r="P867" s="116">
        <v>382.95</v>
      </c>
      <c r="Q867" s="116">
        <v>394.45</v>
      </c>
      <c r="R867">
        <v>65627</v>
      </c>
    </row>
    <row r="868" spans="1:18" x14ac:dyDescent="0.25">
      <c r="A868" s="170">
        <v>44155</v>
      </c>
      <c r="B868" s="116">
        <v>391.1</v>
      </c>
      <c r="C868" s="116">
        <v>390.25</v>
      </c>
      <c r="D868" s="116">
        <v>386.2</v>
      </c>
      <c r="E868" s="116">
        <v>391.1</v>
      </c>
      <c r="F868" s="116">
        <v>390.25</v>
      </c>
      <c r="G868">
        <v>668</v>
      </c>
      <c r="H868" s="116"/>
      <c r="I868" s="116"/>
      <c r="L868" s="170">
        <v>44155</v>
      </c>
      <c r="M868" s="116">
        <v>388.85</v>
      </c>
      <c r="N868" s="116">
        <v>391</v>
      </c>
      <c r="O868" s="116">
        <v>382</v>
      </c>
      <c r="P868" s="116">
        <v>390.75</v>
      </c>
      <c r="Q868" s="116">
        <v>388.85</v>
      </c>
      <c r="R868">
        <v>14525</v>
      </c>
    </row>
    <row r="869" spans="1:18" x14ac:dyDescent="0.25">
      <c r="A869" s="170">
        <v>44158</v>
      </c>
      <c r="B869" s="116">
        <v>408.8</v>
      </c>
      <c r="C869" s="116">
        <v>394.25</v>
      </c>
      <c r="D869" s="116">
        <v>378</v>
      </c>
      <c r="E869" s="116">
        <v>390</v>
      </c>
      <c r="F869" s="116">
        <v>394.25</v>
      </c>
      <c r="G869">
        <v>4604</v>
      </c>
      <c r="H869" s="116"/>
      <c r="I869" s="116"/>
      <c r="L869" s="170">
        <v>44158</v>
      </c>
      <c r="M869" s="116">
        <v>395.35</v>
      </c>
      <c r="N869" s="116">
        <v>438.3</v>
      </c>
      <c r="O869" s="116">
        <v>388</v>
      </c>
      <c r="P869" s="116">
        <v>388.85</v>
      </c>
      <c r="Q869" s="116">
        <v>395.35</v>
      </c>
      <c r="R869">
        <v>27914</v>
      </c>
    </row>
    <row r="870" spans="1:18" x14ac:dyDescent="0.25">
      <c r="A870" s="170">
        <v>44159</v>
      </c>
      <c r="B870" s="116">
        <v>397.2</v>
      </c>
      <c r="C870" s="116">
        <v>389.25</v>
      </c>
      <c r="D870" s="116">
        <v>389</v>
      </c>
      <c r="E870" s="116">
        <v>397.2</v>
      </c>
      <c r="F870" s="116">
        <v>389.25</v>
      </c>
      <c r="G870">
        <v>2518</v>
      </c>
      <c r="H870" s="116"/>
      <c r="I870" s="116"/>
      <c r="L870" s="170">
        <v>44159</v>
      </c>
      <c r="M870" s="116">
        <v>389.9</v>
      </c>
      <c r="N870" s="116">
        <v>397</v>
      </c>
      <c r="O870" s="116">
        <v>389.05</v>
      </c>
      <c r="P870" s="116">
        <v>397</v>
      </c>
      <c r="Q870" s="116">
        <v>389.9</v>
      </c>
      <c r="R870">
        <v>28200</v>
      </c>
    </row>
    <row r="871" spans="1:18" x14ac:dyDescent="0.25">
      <c r="A871" s="170">
        <v>44160</v>
      </c>
      <c r="B871" s="116">
        <v>392.3</v>
      </c>
      <c r="C871" s="116">
        <v>386.1</v>
      </c>
      <c r="D871" s="116">
        <v>385</v>
      </c>
      <c r="E871" s="116">
        <v>392.3</v>
      </c>
      <c r="F871" s="116">
        <v>386.1</v>
      </c>
      <c r="G871">
        <v>1793</v>
      </c>
      <c r="H871" s="116"/>
      <c r="I871" s="116"/>
      <c r="L871" s="170">
        <v>44160</v>
      </c>
      <c r="M871" s="116">
        <v>385.8</v>
      </c>
      <c r="N871" s="116">
        <v>393.85</v>
      </c>
      <c r="O871" s="116">
        <v>382.2</v>
      </c>
      <c r="P871" s="116">
        <v>390.15</v>
      </c>
      <c r="Q871" s="116">
        <v>385.8</v>
      </c>
      <c r="R871">
        <v>23876</v>
      </c>
    </row>
    <row r="872" spans="1:18" x14ac:dyDescent="0.25">
      <c r="A872" s="170">
        <v>44161</v>
      </c>
      <c r="B872" s="116">
        <v>390.6</v>
      </c>
      <c r="C872" s="116">
        <v>386.25</v>
      </c>
      <c r="D872" s="116">
        <v>375</v>
      </c>
      <c r="E872" s="116">
        <v>385.65</v>
      </c>
      <c r="F872" s="116">
        <v>386.25</v>
      </c>
      <c r="G872">
        <v>2564</v>
      </c>
      <c r="H872" s="116"/>
      <c r="I872" s="116"/>
      <c r="L872" s="170">
        <v>44161</v>
      </c>
      <c r="M872" s="116">
        <v>388.65</v>
      </c>
      <c r="N872" s="116">
        <v>390</v>
      </c>
      <c r="O872" s="116">
        <v>385</v>
      </c>
      <c r="P872" s="116">
        <v>387.75</v>
      </c>
      <c r="Q872" s="116">
        <v>388.65</v>
      </c>
      <c r="R872">
        <v>6907</v>
      </c>
    </row>
    <row r="873" spans="1:18" x14ac:dyDescent="0.25">
      <c r="A873" s="170">
        <v>44162</v>
      </c>
      <c r="B873" s="116">
        <v>415</v>
      </c>
      <c r="C873" s="116">
        <v>409</v>
      </c>
      <c r="D873" s="116">
        <v>387.5</v>
      </c>
      <c r="E873" s="116">
        <v>393.95</v>
      </c>
      <c r="F873" s="116">
        <v>409</v>
      </c>
      <c r="G873">
        <v>6801</v>
      </c>
      <c r="H873" s="116"/>
      <c r="I873" s="116"/>
      <c r="L873" s="170">
        <v>44162</v>
      </c>
      <c r="M873" s="116">
        <v>408.85</v>
      </c>
      <c r="N873" s="116">
        <v>415</v>
      </c>
      <c r="O873" s="116">
        <v>389</v>
      </c>
      <c r="P873" s="116">
        <v>390</v>
      </c>
      <c r="Q873" s="116">
        <v>408.85</v>
      </c>
      <c r="R873">
        <v>92415</v>
      </c>
    </row>
    <row r="874" spans="1:18" x14ac:dyDescent="0.25">
      <c r="A874" s="170">
        <v>44166</v>
      </c>
      <c r="B874" s="116">
        <v>414.4</v>
      </c>
      <c r="C874" s="116">
        <v>407.4</v>
      </c>
      <c r="D874" s="116">
        <v>402.85</v>
      </c>
      <c r="E874" s="116">
        <v>414.25</v>
      </c>
      <c r="F874" s="116">
        <v>407.4</v>
      </c>
      <c r="G874">
        <v>4490</v>
      </c>
      <c r="H874" s="116"/>
      <c r="I874" s="116"/>
      <c r="L874" s="170">
        <v>44166</v>
      </c>
      <c r="M874" s="116">
        <v>407.85</v>
      </c>
      <c r="N874" s="116">
        <v>415.8</v>
      </c>
      <c r="O874" s="116">
        <v>402.9</v>
      </c>
      <c r="P874" s="116">
        <v>410.05</v>
      </c>
      <c r="Q874" s="116">
        <v>407.85</v>
      </c>
      <c r="R874">
        <v>56206</v>
      </c>
    </row>
    <row r="875" spans="1:18" x14ac:dyDescent="0.25">
      <c r="A875" s="170">
        <v>44167</v>
      </c>
      <c r="B875" s="116">
        <v>421.4</v>
      </c>
      <c r="C875" s="116">
        <v>411.25</v>
      </c>
      <c r="D875" s="116">
        <v>408.9</v>
      </c>
      <c r="E875" s="116">
        <v>414.45</v>
      </c>
      <c r="F875" s="116">
        <v>411.25</v>
      </c>
      <c r="G875">
        <v>1093</v>
      </c>
      <c r="H875" s="116"/>
      <c r="I875" s="116"/>
      <c r="L875" s="170">
        <v>44167</v>
      </c>
      <c r="M875" s="116">
        <v>411.55</v>
      </c>
      <c r="N875" s="116">
        <v>421</v>
      </c>
      <c r="O875" s="116">
        <v>409</v>
      </c>
      <c r="P875" s="116">
        <v>409</v>
      </c>
      <c r="Q875" s="116">
        <v>411.55</v>
      </c>
      <c r="R875">
        <v>53602</v>
      </c>
    </row>
    <row r="876" spans="1:18" x14ac:dyDescent="0.25">
      <c r="A876" s="170">
        <v>44168</v>
      </c>
      <c r="B876" s="116">
        <v>426.95</v>
      </c>
      <c r="C876" s="116">
        <v>418.2</v>
      </c>
      <c r="D876" s="116">
        <v>415</v>
      </c>
      <c r="E876" s="116">
        <v>415</v>
      </c>
      <c r="F876" s="116">
        <v>418.2</v>
      </c>
      <c r="G876">
        <v>6473</v>
      </c>
      <c r="H876" s="116"/>
      <c r="I876" s="116"/>
      <c r="L876" s="170">
        <v>44168</v>
      </c>
      <c r="M876" s="116">
        <v>416.95</v>
      </c>
      <c r="N876" s="116">
        <v>423</v>
      </c>
      <c r="O876" s="116">
        <v>413.65</v>
      </c>
      <c r="P876" s="116">
        <v>413.65</v>
      </c>
      <c r="Q876" s="116">
        <v>416.95</v>
      </c>
      <c r="R876">
        <v>53278</v>
      </c>
    </row>
    <row r="877" spans="1:18" x14ac:dyDescent="0.25">
      <c r="A877" s="170">
        <v>44169</v>
      </c>
      <c r="B877" s="116">
        <v>424.95</v>
      </c>
      <c r="C877" s="116">
        <v>415</v>
      </c>
      <c r="D877" s="116">
        <v>411.6</v>
      </c>
      <c r="E877" s="116">
        <v>420.3</v>
      </c>
      <c r="F877" s="116">
        <v>415</v>
      </c>
      <c r="G877">
        <v>3293</v>
      </c>
      <c r="H877" s="116"/>
      <c r="I877" s="116"/>
      <c r="L877" s="170">
        <v>44169</v>
      </c>
      <c r="M877" s="116">
        <v>415.1</v>
      </c>
      <c r="N877" s="116">
        <v>420</v>
      </c>
      <c r="O877" s="116">
        <v>411</v>
      </c>
      <c r="P877" s="116">
        <v>420</v>
      </c>
      <c r="Q877" s="116">
        <v>415.1</v>
      </c>
      <c r="R877">
        <v>30235</v>
      </c>
    </row>
    <row r="878" spans="1:18" x14ac:dyDescent="0.25">
      <c r="A878" s="170">
        <v>44172</v>
      </c>
      <c r="B878" s="116">
        <v>424.3</v>
      </c>
      <c r="C878" s="116">
        <v>418.6</v>
      </c>
      <c r="D878" s="116">
        <v>417.55</v>
      </c>
      <c r="E878" s="116">
        <v>420</v>
      </c>
      <c r="F878" s="116">
        <v>418.6</v>
      </c>
      <c r="G878">
        <v>1863</v>
      </c>
      <c r="H878" s="116"/>
      <c r="I878" s="116"/>
      <c r="L878" s="170">
        <v>44172</v>
      </c>
      <c r="M878" s="116">
        <v>418.6</v>
      </c>
      <c r="N878" s="116">
        <v>425</v>
      </c>
      <c r="O878" s="116">
        <v>417</v>
      </c>
      <c r="P878" s="116">
        <v>421.95</v>
      </c>
      <c r="Q878" s="116">
        <v>418.6</v>
      </c>
      <c r="R878">
        <v>35869</v>
      </c>
    </row>
    <row r="879" spans="1:18" x14ac:dyDescent="0.25">
      <c r="A879" s="170">
        <v>44173</v>
      </c>
      <c r="B879" s="116">
        <v>429.45</v>
      </c>
      <c r="C879" s="116">
        <v>412.45</v>
      </c>
      <c r="D879" s="116">
        <v>408</v>
      </c>
      <c r="E879" s="116">
        <v>420.1</v>
      </c>
      <c r="F879" s="116">
        <v>412.45</v>
      </c>
      <c r="G879">
        <v>1792</v>
      </c>
      <c r="H879" s="116"/>
      <c r="I879" s="116"/>
      <c r="L879" s="170">
        <v>44173</v>
      </c>
      <c r="M879" s="116">
        <v>411.35</v>
      </c>
      <c r="N879" s="116">
        <v>424.6</v>
      </c>
      <c r="O879" s="116">
        <v>408.05</v>
      </c>
      <c r="P879" s="116">
        <v>420.5</v>
      </c>
      <c r="Q879" s="116">
        <v>411.35</v>
      </c>
      <c r="R879">
        <v>60205</v>
      </c>
    </row>
    <row r="880" spans="1:18" x14ac:dyDescent="0.25">
      <c r="A880" s="170">
        <v>44174</v>
      </c>
      <c r="B880" s="116">
        <v>415.05</v>
      </c>
      <c r="C880" s="116">
        <v>408.3</v>
      </c>
      <c r="D880" s="116">
        <v>407.7</v>
      </c>
      <c r="E880" s="116">
        <v>411.8</v>
      </c>
      <c r="F880" s="116">
        <v>408.3</v>
      </c>
      <c r="G880">
        <v>4645</v>
      </c>
      <c r="H880" s="116"/>
      <c r="I880" s="116"/>
      <c r="L880" s="170">
        <v>44174</v>
      </c>
      <c r="M880" s="116">
        <v>409.35</v>
      </c>
      <c r="N880" s="116">
        <v>415.8</v>
      </c>
      <c r="O880" s="116">
        <v>407.95</v>
      </c>
      <c r="P880" s="116">
        <v>411.35</v>
      </c>
      <c r="Q880" s="116">
        <v>409.35</v>
      </c>
      <c r="R880">
        <v>40557</v>
      </c>
    </row>
    <row r="881" spans="1:18" x14ac:dyDescent="0.25">
      <c r="A881" s="170">
        <v>44175</v>
      </c>
      <c r="B881" s="116">
        <v>406.85</v>
      </c>
      <c r="C881" s="116">
        <v>402.6</v>
      </c>
      <c r="D881" s="116">
        <v>400.3</v>
      </c>
      <c r="E881" s="116">
        <v>406.85</v>
      </c>
      <c r="F881" s="116">
        <v>402.6</v>
      </c>
      <c r="G881">
        <v>3426</v>
      </c>
      <c r="H881" s="116"/>
      <c r="I881" s="116"/>
      <c r="L881" s="170">
        <v>44175</v>
      </c>
      <c r="M881" s="116">
        <v>402.1</v>
      </c>
      <c r="N881" s="116">
        <v>411.3</v>
      </c>
      <c r="O881" s="116">
        <v>400.6</v>
      </c>
      <c r="P881" s="116">
        <v>409</v>
      </c>
      <c r="Q881" s="116">
        <v>402.1</v>
      </c>
      <c r="R881">
        <v>32250</v>
      </c>
    </row>
    <row r="882" spans="1:18" x14ac:dyDescent="0.25">
      <c r="A882" s="170">
        <v>44176</v>
      </c>
      <c r="B882" s="116">
        <v>409.5</v>
      </c>
      <c r="C882" s="116">
        <v>399.95</v>
      </c>
      <c r="D882" s="116">
        <v>394.9</v>
      </c>
      <c r="E882" s="116">
        <v>407.8</v>
      </c>
      <c r="F882" s="116">
        <v>399.95</v>
      </c>
      <c r="G882">
        <v>3420</v>
      </c>
      <c r="H882" s="116"/>
      <c r="I882" s="116"/>
      <c r="L882" s="170">
        <v>44176</v>
      </c>
      <c r="M882" s="116">
        <v>400</v>
      </c>
      <c r="N882" s="116">
        <v>409.8</v>
      </c>
      <c r="O882" s="116">
        <v>398</v>
      </c>
      <c r="P882" s="116">
        <v>405</v>
      </c>
      <c r="Q882" s="116">
        <v>400</v>
      </c>
      <c r="R882">
        <v>31596</v>
      </c>
    </row>
    <row r="883" spans="1:18" x14ac:dyDescent="0.25">
      <c r="A883" s="170">
        <v>44179</v>
      </c>
      <c r="B883" s="116">
        <v>409.7</v>
      </c>
      <c r="C883" s="116">
        <v>405.6</v>
      </c>
      <c r="D883" s="116">
        <v>395.65</v>
      </c>
      <c r="E883" s="116">
        <v>400</v>
      </c>
      <c r="F883" s="116">
        <v>405.6</v>
      </c>
      <c r="G883">
        <v>3761</v>
      </c>
      <c r="H883" s="116"/>
      <c r="I883" s="116"/>
      <c r="L883" s="170">
        <v>44179</v>
      </c>
      <c r="M883" s="116">
        <v>405.85</v>
      </c>
      <c r="N883" s="116">
        <v>410.35</v>
      </c>
      <c r="O883" s="116">
        <v>395</v>
      </c>
      <c r="P883" s="116">
        <v>405</v>
      </c>
      <c r="Q883" s="116">
        <v>405.85</v>
      </c>
      <c r="R883">
        <v>64307</v>
      </c>
    </row>
    <row r="884" spans="1:18" x14ac:dyDescent="0.25">
      <c r="A884" s="170">
        <v>44180</v>
      </c>
      <c r="B884" s="116">
        <v>415.25</v>
      </c>
      <c r="C884" s="116">
        <v>412.85</v>
      </c>
      <c r="D884" s="116">
        <v>403.3</v>
      </c>
      <c r="E884" s="116">
        <v>409.75</v>
      </c>
      <c r="F884" s="116">
        <v>412.85</v>
      </c>
      <c r="G884">
        <v>6612</v>
      </c>
      <c r="H884" s="116"/>
      <c r="I884" s="116"/>
      <c r="L884" s="170">
        <v>44180</v>
      </c>
      <c r="M884" s="116">
        <v>413.35</v>
      </c>
      <c r="N884" s="116">
        <v>414.9</v>
      </c>
      <c r="O884" s="116">
        <v>402</v>
      </c>
      <c r="P884" s="116">
        <v>406</v>
      </c>
      <c r="Q884" s="116">
        <v>413.35</v>
      </c>
      <c r="R884">
        <v>98278</v>
      </c>
    </row>
    <row r="885" spans="1:18" x14ac:dyDescent="0.25">
      <c r="A885" s="170">
        <v>44181</v>
      </c>
      <c r="B885" s="116">
        <v>425</v>
      </c>
      <c r="C885" s="116">
        <v>421.25</v>
      </c>
      <c r="D885" s="116">
        <v>410</v>
      </c>
      <c r="E885" s="116">
        <v>412</v>
      </c>
      <c r="F885" s="116">
        <v>421.25</v>
      </c>
      <c r="G885">
        <v>15602</v>
      </c>
      <c r="H885" s="116"/>
      <c r="I885" s="116"/>
      <c r="L885" s="170">
        <v>44181</v>
      </c>
      <c r="M885" s="116">
        <v>421.15</v>
      </c>
      <c r="N885" s="116">
        <v>423</v>
      </c>
      <c r="O885" s="116">
        <v>409</v>
      </c>
      <c r="P885" s="116">
        <v>415.45</v>
      </c>
      <c r="Q885" s="116">
        <v>421.15</v>
      </c>
      <c r="R885">
        <v>166208</v>
      </c>
    </row>
    <row r="886" spans="1:18" x14ac:dyDescent="0.25">
      <c r="A886" s="170">
        <v>44182</v>
      </c>
      <c r="B886" s="116">
        <v>426</v>
      </c>
      <c r="C886" s="116">
        <v>425.4</v>
      </c>
      <c r="D886" s="116">
        <v>415.15</v>
      </c>
      <c r="E886" s="116">
        <v>424.5</v>
      </c>
      <c r="F886" s="116">
        <v>425.4</v>
      </c>
      <c r="G886">
        <v>16130</v>
      </c>
      <c r="H886" s="116"/>
      <c r="I886" s="116"/>
      <c r="L886" s="170">
        <v>44182</v>
      </c>
      <c r="M886" s="116">
        <v>424.9</v>
      </c>
      <c r="N886" s="116">
        <v>428</v>
      </c>
      <c r="O886" s="116">
        <v>415.1</v>
      </c>
      <c r="P886" s="116">
        <v>427.85</v>
      </c>
      <c r="Q886" s="116">
        <v>424.9</v>
      </c>
      <c r="R886">
        <v>140445</v>
      </c>
    </row>
    <row r="887" spans="1:18" x14ac:dyDescent="0.25">
      <c r="A887" s="170">
        <v>44183</v>
      </c>
      <c r="B887" s="116">
        <v>423</v>
      </c>
      <c r="C887" s="116">
        <v>419.35</v>
      </c>
      <c r="D887" s="116">
        <v>414.1</v>
      </c>
      <c r="E887" s="116">
        <v>423</v>
      </c>
      <c r="F887" s="116">
        <v>419.35</v>
      </c>
      <c r="G887">
        <v>24321</v>
      </c>
      <c r="H887" s="116"/>
      <c r="I887" s="116"/>
      <c r="L887" s="170">
        <v>44183</v>
      </c>
      <c r="M887" s="116">
        <v>419.2</v>
      </c>
      <c r="N887" s="116">
        <v>428.5</v>
      </c>
      <c r="O887" s="116">
        <v>415.05</v>
      </c>
      <c r="P887" s="116">
        <v>427.05</v>
      </c>
      <c r="Q887" s="116">
        <v>419.2</v>
      </c>
      <c r="R887">
        <v>121345</v>
      </c>
    </row>
    <row r="888" spans="1:18" x14ac:dyDescent="0.25">
      <c r="A888" s="170">
        <v>44186</v>
      </c>
      <c r="B888" s="116">
        <v>420.6</v>
      </c>
      <c r="C888" s="116">
        <v>398.15</v>
      </c>
      <c r="D888" s="116">
        <v>393.75</v>
      </c>
      <c r="E888" s="116">
        <v>402.3</v>
      </c>
      <c r="F888" s="116">
        <v>398.15</v>
      </c>
      <c r="G888">
        <v>30807</v>
      </c>
      <c r="H888" s="116"/>
      <c r="I888" s="116"/>
      <c r="L888" s="170">
        <v>44186</v>
      </c>
      <c r="M888" s="116">
        <v>397.85</v>
      </c>
      <c r="N888" s="116">
        <v>421.2</v>
      </c>
      <c r="O888" s="116">
        <v>395</v>
      </c>
      <c r="P888" s="116">
        <v>421.2</v>
      </c>
      <c r="Q888" s="116">
        <v>397.85</v>
      </c>
      <c r="R888">
        <v>111583</v>
      </c>
    </row>
    <row r="889" spans="1:18" x14ac:dyDescent="0.25">
      <c r="A889" s="170">
        <v>44187</v>
      </c>
      <c r="B889" s="116">
        <v>411</v>
      </c>
      <c r="C889" s="116">
        <v>409</v>
      </c>
      <c r="D889" s="116">
        <v>394.05</v>
      </c>
      <c r="E889" s="116">
        <v>398</v>
      </c>
      <c r="F889" s="116">
        <v>409</v>
      </c>
      <c r="G889">
        <v>3872</v>
      </c>
      <c r="H889" s="116"/>
      <c r="I889" s="116"/>
      <c r="L889" s="170">
        <v>44187</v>
      </c>
      <c r="M889" s="116">
        <v>408.75</v>
      </c>
      <c r="N889" s="116">
        <v>411</v>
      </c>
      <c r="O889" s="116">
        <v>391</v>
      </c>
      <c r="P889" s="116">
        <v>391</v>
      </c>
      <c r="Q889" s="116">
        <v>408.75</v>
      </c>
      <c r="R889">
        <v>32734</v>
      </c>
    </row>
    <row r="890" spans="1:18" x14ac:dyDescent="0.25">
      <c r="A890" s="170">
        <v>44188</v>
      </c>
      <c r="B890" s="116">
        <v>417.25</v>
      </c>
      <c r="C890" s="116">
        <v>415.2</v>
      </c>
      <c r="D890" s="116">
        <v>398.3</v>
      </c>
      <c r="E890" s="116">
        <v>398.3</v>
      </c>
      <c r="F890" s="116">
        <v>415.2</v>
      </c>
      <c r="G890">
        <v>24358</v>
      </c>
      <c r="H890" s="116"/>
      <c r="I890" s="116"/>
      <c r="L890" s="170">
        <v>44188</v>
      </c>
      <c r="M890" s="116">
        <v>415.3</v>
      </c>
      <c r="N890" s="116">
        <v>417.45</v>
      </c>
      <c r="O890" s="116">
        <v>409.55</v>
      </c>
      <c r="P890" s="116">
        <v>410.8</v>
      </c>
      <c r="Q890" s="116">
        <v>415.3</v>
      </c>
      <c r="R890">
        <v>88647</v>
      </c>
    </row>
    <row r="891" spans="1:18" x14ac:dyDescent="0.25">
      <c r="A891" s="170">
        <v>44189</v>
      </c>
      <c r="B891" s="116">
        <v>419.4</v>
      </c>
      <c r="C891" s="116">
        <v>414.65</v>
      </c>
      <c r="D891" s="116">
        <v>411</v>
      </c>
      <c r="E891" s="116">
        <v>419.4</v>
      </c>
      <c r="F891" s="116">
        <v>414.65</v>
      </c>
      <c r="G891">
        <v>25327</v>
      </c>
      <c r="H891" s="116"/>
      <c r="I891" s="116"/>
      <c r="L891" s="170">
        <v>44189</v>
      </c>
      <c r="M891" s="116">
        <v>414.8</v>
      </c>
      <c r="N891" s="116">
        <v>421.7</v>
      </c>
      <c r="O891" s="116">
        <v>410.25</v>
      </c>
      <c r="P891" s="116">
        <v>417.4</v>
      </c>
      <c r="Q891" s="116">
        <v>414.8</v>
      </c>
      <c r="R891">
        <v>102745</v>
      </c>
    </row>
    <row r="892" spans="1:18" x14ac:dyDescent="0.25">
      <c r="A892" s="170">
        <v>44193</v>
      </c>
      <c r="B892" s="116">
        <v>420.75</v>
      </c>
      <c r="C892" s="116">
        <v>419.25</v>
      </c>
      <c r="D892" s="116">
        <v>411.3</v>
      </c>
      <c r="E892" s="116">
        <v>419.6</v>
      </c>
      <c r="F892" s="116">
        <v>419.25</v>
      </c>
      <c r="G892">
        <v>26110</v>
      </c>
      <c r="H892" s="116"/>
      <c r="I892" s="116"/>
      <c r="L892" s="170">
        <v>44193</v>
      </c>
      <c r="M892" s="116">
        <v>419.4</v>
      </c>
      <c r="N892" s="116">
        <v>421.7</v>
      </c>
      <c r="O892" s="116">
        <v>410.65</v>
      </c>
      <c r="P892" s="116">
        <v>421.7</v>
      </c>
      <c r="Q892" s="116">
        <v>419.4</v>
      </c>
      <c r="R892">
        <v>106675</v>
      </c>
    </row>
    <row r="893" spans="1:18" x14ac:dyDescent="0.25">
      <c r="A893" s="170">
        <v>44194</v>
      </c>
      <c r="B893" s="116">
        <v>421.4</v>
      </c>
      <c r="C893" s="116">
        <v>413.55</v>
      </c>
      <c r="D893" s="116">
        <v>412</v>
      </c>
      <c r="E893" s="116">
        <v>420.9</v>
      </c>
      <c r="F893" s="116">
        <v>413.55</v>
      </c>
      <c r="G893">
        <v>26912</v>
      </c>
      <c r="H893" s="116"/>
      <c r="I893" s="116"/>
      <c r="L893" s="170">
        <v>44194</v>
      </c>
      <c r="M893" s="116">
        <v>414</v>
      </c>
      <c r="N893" s="116">
        <v>421.4</v>
      </c>
      <c r="O893" s="116">
        <v>412</v>
      </c>
      <c r="P893" s="116">
        <v>420</v>
      </c>
      <c r="Q893" s="116">
        <v>414</v>
      </c>
      <c r="R893">
        <v>105690</v>
      </c>
    </row>
    <row r="894" spans="1:18" x14ac:dyDescent="0.25">
      <c r="A894" s="170">
        <v>44195</v>
      </c>
      <c r="B894" s="116">
        <v>416.05</v>
      </c>
      <c r="C894" s="116">
        <v>414.15</v>
      </c>
      <c r="D894" s="116">
        <v>411</v>
      </c>
      <c r="E894" s="116">
        <v>413.8</v>
      </c>
      <c r="F894" s="116">
        <v>414.15</v>
      </c>
      <c r="G894">
        <v>31916</v>
      </c>
      <c r="H894" s="116"/>
      <c r="I894" s="116"/>
      <c r="L894" s="170">
        <v>44195</v>
      </c>
      <c r="M894" s="116">
        <v>414.25</v>
      </c>
      <c r="N894" s="116">
        <v>416.2</v>
      </c>
      <c r="O894" s="116">
        <v>410.45</v>
      </c>
      <c r="P894" s="116">
        <v>412</v>
      </c>
      <c r="Q894" s="116">
        <v>414.25</v>
      </c>
      <c r="R894">
        <v>95894</v>
      </c>
    </row>
    <row r="895" spans="1:18" x14ac:dyDescent="0.25">
      <c r="A895" s="170">
        <v>44196</v>
      </c>
      <c r="B895" s="116">
        <v>418.1</v>
      </c>
      <c r="C895" s="116">
        <v>414.95</v>
      </c>
      <c r="D895" s="116">
        <v>408.5</v>
      </c>
      <c r="E895" s="116">
        <v>416</v>
      </c>
      <c r="F895" s="116">
        <v>414.95</v>
      </c>
      <c r="G895">
        <v>28972</v>
      </c>
      <c r="H895" s="116"/>
      <c r="I895" s="116"/>
      <c r="L895" s="170">
        <v>44196</v>
      </c>
      <c r="M895" s="116">
        <v>413.95</v>
      </c>
      <c r="N895" s="116">
        <v>419.8</v>
      </c>
      <c r="O895" s="116">
        <v>409</v>
      </c>
      <c r="P895" s="116">
        <v>419.8</v>
      </c>
      <c r="Q895" s="116">
        <v>413.95</v>
      </c>
      <c r="R895">
        <v>112830</v>
      </c>
    </row>
    <row r="896" spans="1:18" x14ac:dyDescent="0.25">
      <c r="A896" s="170">
        <v>44197</v>
      </c>
      <c r="B896" s="116">
        <v>420</v>
      </c>
      <c r="C896" s="116">
        <v>417.05</v>
      </c>
      <c r="D896" s="116">
        <v>413.45</v>
      </c>
      <c r="E896" s="116">
        <v>414.65</v>
      </c>
      <c r="F896" s="116">
        <v>417.05</v>
      </c>
      <c r="G896">
        <v>32427</v>
      </c>
      <c r="H896" s="116"/>
      <c r="I896" s="116"/>
      <c r="L896" s="170">
        <v>44197</v>
      </c>
      <c r="M896" s="116">
        <v>417.7</v>
      </c>
      <c r="N896" s="116">
        <v>419.95</v>
      </c>
      <c r="O896" s="116">
        <v>412.1</v>
      </c>
      <c r="P896" s="116">
        <v>413.9</v>
      </c>
      <c r="Q896" s="116">
        <v>417.7</v>
      </c>
      <c r="R896">
        <v>91530</v>
      </c>
    </row>
    <row r="897" spans="1:18" x14ac:dyDescent="0.25">
      <c r="A897" s="170">
        <v>44200</v>
      </c>
      <c r="B897" s="116">
        <v>434</v>
      </c>
      <c r="C897" s="116">
        <v>420</v>
      </c>
      <c r="D897" s="116">
        <v>415.05</v>
      </c>
      <c r="E897" s="116">
        <v>434</v>
      </c>
      <c r="F897" s="116">
        <v>420</v>
      </c>
      <c r="G897">
        <v>27918</v>
      </c>
      <c r="H897" s="116"/>
      <c r="I897" s="116"/>
      <c r="L897" s="170">
        <v>44200</v>
      </c>
      <c r="M897" s="116">
        <v>419.5</v>
      </c>
      <c r="N897" s="116">
        <v>424.7</v>
      </c>
      <c r="O897" s="116">
        <v>416.35</v>
      </c>
      <c r="P897" s="116">
        <v>424.7</v>
      </c>
      <c r="Q897" s="116">
        <v>419.5</v>
      </c>
      <c r="R897">
        <v>129986</v>
      </c>
    </row>
    <row r="898" spans="1:18" x14ac:dyDescent="0.25">
      <c r="A898" s="170">
        <v>44201</v>
      </c>
      <c r="B898" s="116">
        <v>424</v>
      </c>
      <c r="C898" s="116">
        <v>418.8</v>
      </c>
      <c r="D898" s="116">
        <v>400</v>
      </c>
      <c r="E898" s="116">
        <v>416.2</v>
      </c>
      <c r="F898" s="116">
        <v>418.8</v>
      </c>
      <c r="G898">
        <v>31896</v>
      </c>
      <c r="H898" s="116"/>
      <c r="I898" s="116"/>
      <c r="L898" s="170">
        <v>44201</v>
      </c>
      <c r="M898" s="116">
        <v>419.3</v>
      </c>
      <c r="N898" s="116">
        <v>420.5</v>
      </c>
      <c r="O898" s="116">
        <v>414</v>
      </c>
      <c r="P898" s="116">
        <v>419.5</v>
      </c>
      <c r="Q898" s="116">
        <v>419.3</v>
      </c>
      <c r="R898">
        <v>107451</v>
      </c>
    </row>
    <row r="899" spans="1:18" x14ac:dyDescent="0.25">
      <c r="A899" s="170">
        <v>44202</v>
      </c>
      <c r="B899" s="116">
        <v>420</v>
      </c>
      <c r="C899" s="116">
        <v>414.75</v>
      </c>
      <c r="D899" s="116">
        <v>410.2</v>
      </c>
      <c r="E899" s="116">
        <v>420</v>
      </c>
      <c r="F899" s="116">
        <v>414.75</v>
      </c>
      <c r="G899">
        <v>32269</v>
      </c>
      <c r="H899" s="116"/>
      <c r="I899" s="116"/>
      <c r="L899" s="170">
        <v>44202</v>
      </c>
      <c r="M899" s="116">
        <v>412.75</v>
      </c>
      <c r="N899" s="116">
        <v>421.25</v>
      </c>
      <c r="O899" s="116">
        <v>410</v>
      </c>
      <c r="P899" s="116">
        <v>420.9</v>
      </c>
      <c r="Q899" s="116">
        <v>412.75</v>
      </c>
      <c r="R899">
        <v>130908</v>
      </c>
    </row>
    <row r="900" spans="1:18" x14ac:dyDescent="0.25">
      <c r="A900" s="170">
        <v>44203</v>
      </c>
      <c r="B900" s="116">
        <v>420.5</v>
      </c>
      <c r="C900" s="116">
        <v>414.85</v>
      </c>
      <c r="D900" s="116">
        <v>412.75</v>
      </c>
      <c r="E900" s="116">
        <v>420</v>
      </c>
      <c r="F900" s="116">
        <v>414.85</v>
      </c>
      <c r="G900">
        <v>37347</v>
      </c>
      <c r="H900" s="116"/>
      <c r="I900" s="116"/>
      <c r="L900" s="170">
        <v>44203</v>
      </c>
      <c r="M900" s="116">
        <v>416.85</v>
      </c>
      <c r="N900" s="116">
        <v>421.95</v>
      </c>
      <c r="O900" s="116">
        <v>412.5</v>
      </c>
      <c r="P900" s="116">
        <v>419.9</v>
      </c>
      <c r="Q900" s="116">
        <v>416.85</v>
      </c>
      <c r="R900">
        <v>147682</v>
      </c>
    </row>
    <row r="901" spans="1:18" x14ac:dyDescent="0.25">
      <c r="A901" s="170">
        <v>44204</v>
      </c>
      <c r="B901" s="116">
        <v>419.75</v>
      </c>
      <c r="C901" s="116">
        <v>418.55</v>
      </c>
      <c r="D901" s="116">
        <v>412</v>
      </c>
      <c r="E901" s="116">
        <v>417</v>
      </c>
      <c r="F901" s="116">
        <v>418.55</v>
      </c>
      <c r="G901">
        <v>32818</v>
      </c>
      <c r="H901" s="116"/>
      <c r="I901" s="116"/>
      <c r="L901" s="170">
        <v>44204</v>
      </c>
      <c r="M901" s="116">
        <v>418.55</v>
      </c>
      <c r="N901" s="116">
        <v>421</v>
      </c>
      <c r="O901" s="116">
        <v>412.15</v>
      </c>
      <c r="P901" s="116">
        <v>421</v>
      </c>
      <c r="Q901" s="116">
        <v>418.55</v>
      </c>
      <c r="R901">
        <v>178082</v>
      </c>
    </row>
    <row r="902" spans="1:18" x14ac:dyDescent="0.25">
      <c r="A902" s="170">
        <v>44207</v>
      </c>
      <c r="B902" s="116">
        <v>434</v>
      </c>
      <c r="C902" s="116">
        <v>431.9</v>
      </c>
      <c r="D902" s="116">
        <v>415.3</v>
      </c>
      <c r="E902" s="116">
        <v>417</v>
      </c>
      <c r="F902" s="116">
        <v>431.9</v>
      </c>
      <c r="G902">
        <v>41857</v>
      </c>
      <c r="H902" s="116"/>
      <c r="I902" s="116"/>
      <c r="L902" s="170">
        <v>44207</v>
      </c>
      <c r="M902" s="116">
        <v>431.85</v>
      </c>
      <c r="N902" s="116">
        <v>434.1</v>
      </c>
      <c r="O902" s="116">
        <v>414.45</v>
      </c>
      <c r="P902" s="116">
        <v>419.8</v>
      </c>
      <c r="Q902" s="116">
        <v>431.85</v>
      </c>
      <c r="R902">
        <v>306009</v>
      </c>
    </row>
    <row r="903" spans="1:18" x14ac:dyDescent="0.25">
      <c r="A903" s="170">
        <v>44208</v>
      </c>
      <c r="B903" s="116">
        <v>438.3</v>
      </c>
      <c r="C903" s="116">
        <v>430.05</v>
      </c>
      <c r="D903" s="116">
        <v>426.1</v>
      </c>
      <c r="E903" s="116">
        <v>432.55</v>
      </c>
      <c r="F903" s="116">
        <v>430.05</v>
      </c>
      <c r="G903">
        <v>38886</v>
      </c>
      <c r="H903" s="116"/>
      <c r="I903" s="116"/>
      <c r="L903" s="170">
        <v>44208</v>
      </c>
      <c r="M903" s="116">
        <v>430.15</v>
      </c>
      <c r="N903" s="116">
        <v>439</v>
      </c>
      <c r="O903" s="116">
        <v>425.5</v>
      </c>
      <c r="P903" s="116">
        <v>439</v>
      </c>
      <c r="Q903" s="116">
        <v>430.15</v>
      </c>
      <c r="R903">
        <v>190600</v>
      </c>
    </row>
    <row r="904" spans="1:18" x14ac:dyDescent="0.25">
      <c r="A904" s="170">
        <v>44209</v>
      </c>
      <c r="B904" s="116">
        <v>435</v>
      </c>
      <c r="C904" s="116">
        <v>427.75</v>
      </c>
      <c r="D904" s="116">
        <v>420.65</v>
      </c>
      <c r="E904" s="116">
        <v>430.05</v>
      </c>
      <c r="F904" s="116">
        <v>427.75</v>
      </c>
      <c r="G904">
        <v>35349</v>
      </c>
      <c r="H904" s="116"/>
      <c r="I904" s="116"/>
      <c r="L904" s="170">
        <v>44209</v>
      </c>
      <c r="M904" s="116">
        <v>427.4</v>
      </c>
      <c r="N904" s="116">
        <v>433.4</v>
      </c>
      <c r="O904" s="116">
        <v>420.5</v>
      </c>
      <c r="P904" s="116">
        <v>431.95</v>
      </c>
      <c r="Q904" s="116">
        <v>427.4</v>
      </c>
      <c r="R904">
        <v>181066</v>
      </c>
    </row>
    <row r="905" spans="1:18" x14ac:dyDescent="0.25">
      <c r="A905" s="170">
        <v>44210</v>
      </c>
      <c r="B905" s="116">
        <v>442.05</v>
      </c>
      <c r="C905" s="116">
        <v>435.65</v>
      </c>
      <c r="D905" s="116">
        <v>424.55</v>
      </c>
      <c r="E905" s="116">
        <v>424.55</v>
      </c>
      <c r="F905" s="116">
        <v>435.65</v>
      </c>
      <c r="G905">
        <v>38997</v>
      </c>
      <c r="H905" s="116"/>
      <c r="I905" s="116"/>
      <c r="L905" s="170">
        <v>44210</v>
      </c>
      <c r="M905" s="116">
        <v>436.1</v>
      </c>
      <c r="N905" s="116">
        <v>442.7</v>
      </c>
      <c r="O905" s="116">
        <v>427.4</v>
      </c>
      <c r="P905" s="116">
        <v>427.4</v>
      </c>
      <c r="Q905" s="116">
        <v>436.1</v>
      </c>
      <c r="R905">
        <v>425351</v>
      </c>
    </row>
    <row r="906" spans="1:18" x14ac:dyDescent="0.25">
      <c r="A906" s="170">
        <v>44211</v>
      </c>
      <c r="B906" s="116">
        <v>440</v>
      </c>
      <c r="C906" s="116">
        <v>424.6</v>
      </c>
      <c r="D906" s="116">
        <v>424</v>
      </c>
      <c r="E906" s="116">
        <v>424.05</v>
      </c>
      <c r="F906" s="116">
        <v>424.6</v>
      </c>
      <c r="G906">
        <v>32111</v>
      </c>
      <c r="H906" s="116"/>
      <c r="I906" s="116"/>
      <c r="L906" s="170">
        <v>44211</v>
      </c>
      <c r="M906" s="116">
        <v>427</v>
      </c>
      <c r="N906" s="116">
        <v>442.2</v>
      </c>
      <c r="O906" s="116">
        <v>423.3</v>
      </c>
      <c r="P906" s="116">
        <v>438.3</v>
      </c>
      <c r="Q906" s="116">
        <v>427</v>
      </c>
      <c r="R906">
        <v>117496</v>
      </c>
    </row>
    <row r="907" spans="1:18" x14ac:dyDescent="0.25">
      <c r="A907" s="170">
        <v>44214</v>
      </c>
      <c r="B907" s="116">
        <v>426.6</v>
      </c>
      <c r="C907" s="116">
        <v>411.3</v>
      </c>
      <c r="D907" s="116">
        <v>410.05</v>
      </c>
      <c r="E907" s="116">
        <v>426</v>
      </c>
      <c r="F907" s="116">
        <v>411.3</v>
      </c>
      <c r="G907">
        <v>45922</v>
      </c>
      <c r="H907" s="116"/>
      <c r="I907" s="116"/>
      <c r="L907" s="170">
        <v>44214</v>
      </c>
      <c r="M907" s="116">
        <v>410.9</v>
      </c>
      <c r="N907" s="116">
        <v>430</v>
      </c>
      <c r="O907" s="116">
        <v>410</v>
      </c>
      <c r="P907" s="116">
        <v>426</v>
      </c>
      <c r="Q907" s="116">
        <v>410.9</v>
      </c>
      <c r="R907">
        <v>129473</v>
      </c>
    </row>
    <row r="908" spans="1:18" x14ac:dyDescent="0.25">
      <c r="A908" s="170">
        <v>44215</v>
      </c>
      <c r="B908" s="116">
        <v>420.35</v>
      </c>
      <c r="C908" s="116">
        <v>409.75</v>
      </c>
      <c r="D908" s="116">
        <v>408</v>
      </c>
      <c r="E908" s="116">
        <v>415</v>
      </c>
      <c r="F908" s="116">
        <v>409.75</v>
      </c>
      <c r="G908">
        <v>46586</v>
      </c>
      <c r="H908" s="116"/>
      <c r="I908" s="116"/>
      <c r="L908" s="170">
        <v>44215</v>
      </c>
      <c r="M908" s="116">
        <v>410</v>
      </c>
      <c r="N908" s="116">
        <v>420.25</v>
      </c>
      <c r="O908" s="116">
        <v>408</v>
      </c>
      <c r="P908" s="116">
        <v>414.95</v>
      </c>
      <c r="Q908" s="116">
        <v>410</v>
      </c>
      <c r="R908">
        <v>103878</v>
      </c>
    </row>
    <row r="909" spans="1:18" x14ac:dyDescent="0.25">
      <c r="A909" s="170">
        <v>44216</v>
      </c>
      <c r="B909" s="116">
        <v>412.55</v>
      </c>
      <c r="C909" s="116">
        <v>405.05</v>
      </c>
      <c r="D909" s="116">
        <v>401.15</v>
      </c>
      <c r="E909" s="116">
        <v>412.25</v>
      </c>
      <c r="F909" s="116">
        <v>405.05</v>
      </c>
      <c r="G909">
        <v>31025</v>
      </c>
      <c r="H909" s="116"/>
      <c r="I909" s="116"/>
      <c r="L909" s="170">
        <v>44216</v>
      </c>
      <c r="M909" s="116">
        <v>405.4</v>
      </c>
      <c r="N909" s="116">
        <v>414.6</v>
      </c>
      <c r="O909" s="116">
        <v>401.8</v>
      </c>
      <c r="P909" s="116">
        <v>412</v>
      </c>
      <c r="Q909" s="116">
        <v>405.4</v>
      </c>
      <c r="R909">
        <v>218586</v>
      </c>
    </row>
    <row r="910" spans="1:18" x14ac:dyDescent="0.25">
      <c r="A910" s="170">
        <v>44217</v>
      </c>
      <c r="B910" s="116">
        <v>408</v>
      </c>
      <c r="C910" s="116">
        <v>399.55</v>
      </c>
      <c r="D910" s="116">
        <v>398</v>
      </c>
      <c r="E910" s="116">
        <v>408</v>
      </c>
      <c r="F910" s="116">
        <v>399.55</v>
      </c>
      <c r="G910">
        <v>33298</v>
      </c>
      <c r="H910" s="116"/>
      <c r="I910" s="116"/>
      <c r="L910" s="170">
        <v>44217</v>
      </c>
      <c r="M910" s="116">
        <v>399.4</v>
      </c>
      <c r="N910" s="116">
        <v>409.15</v>
      </c>
      <c r="O910" s="116">
        <v>398</v>
      </c>
      <c r="P910" s="116">
        <v>407</v>
      </c>
      <c r="Q910" s="116">
        <v>399.4</v>
      </c>
      <c r="R910">
        <v>132306</v>
      </c>
    </row>
    <row r="911" spans="1:18" x14ac:dyDescent="0.25">
      <c r="A911" s="170">
        <v>44218</v>
      </c>
      <c r="B911" s="116">
        <v>419</v>
      </c>
      <c r="C911" s="116">
        <v>416.5</v>
      </c>
      <c r="D911" s="116">
        <v>399.65</v>
      </c>
      <c r="E911" s="116">
        <v>400.55</v>
      </c>
      <c r="F911" s="116">
        <v>416.5</v>
      </c>
      <c r="G911">
        <v>49325</v>
      </c>
      <c r="H911" s="116"/>
      <c r="I911" s="116"/>
      <c r="L911" s="170">
        <v>44218</v>
      </c>
      <c r="M911" s="116">
        <v>415.75</v>
      </c>
      <c r="N911" s="116">
        <v>420.55</v>
      </c>
      <c r="O911" s="116">
        <v>399.55</v>
      </c>
      <c r="P911" s="116">
        <v>400</v>
      </c>
      <c r="Q911" s="116">
        <v>415.75</v>
      </c>
      <c r="R911">
        <v>153247</v>
      </c>
    </row>
    <row r="912" spans="1:18" x14ac:dyDescent="0.25">
      <c r="A912" s="170">
        <v>44221</v>
      </c>
      <c r="B912" s="116">
        <v>421.95</v>
      </c>
      <c r="C912" s="116">
        <v>419.55</v>
      </c>
      <c r="D912" s="116">
        <v>416.05</v>
      </c>
      <c r="E912" s="116">
        <v>416.55</v>
      </c>
      <c r="F912" s="116">
        <v>419.55</v>
      </c>
      <c r="G912">
        <v>40828</v>
      </c>
      <c r="H912" s="116"/>
      <c r="I912" s="116"/>
      <c r="L912" s="170">
        <v>44221</v>
      </c>
      <c r="M912" s="116">
        <v>419.5</v>
      </c>
      <c r="N912" s="116">
        <v>422</v>
      </c>
      <c r="O912" s="116">
        <v>416.05</v>
      </c>
      <c r="P912" s="116">
        <v>420</v>
      </c>
      <c r="Q912" s="116">
        <v>419.5</v>
      </c>
      <c r="R912">
        <v>123431</v>
      </c>
    </row>
    <row r="913" spans="1:18" x14ac:dyDescent="0.25">
      <c r="A913" s="170">
        <v>44223</v>
      </c>
      <c r="B913" s="116">
        <v>429</v>
      </c>
      <c r="C913" s="116">
        <v>416.45</v>
      </c>
      <c r="D913" s="116">
        <v>401</v>
      </c>
      <c r="E913" s="116">
        <v>401</v>
      </c>
      <c r="F913" s="116">
        <v>416.45</v>
      </c>
      <c r="G913">
        <v>43245</v>
      </c>
      <c r="H913" s="116"/>
      <c r="I913" s="116"/>
      <c r="L913" s="170">
        <v>44223</v>
      </c>
      <c r="M913" s="116">
        <v>413.05</v>
      </c>
      <c r="N913" s="116">
        <v>428</v>
      </c>
      <c r="O913" s="116">
        <v>405</v>
      </c>
      <c r="P913" s="116">
        <v>420.85</v>
      </c>
      <c r="Q913" s="116">
        <v>413.05</v>
      </c>
      <c r="R913">
        <v>219406</v>
      </c>
    </row>
    <row r="914" spans="1:18" x14ac:dyDescent="0.25">
      <c r="A914" s="170">
        <v>44224</v>
      </c>
      <c r="B914" s="116">
        <v>419</v>
      </c>
      <c r="C914" s="116">
        <v>411.15</v>
      </c>
      <c r="D914" s="116">
        <v>398.45</v>
      </c>
      <c r="E914" s="116">
        <v>416</v>
      </c>
      <c r="F914" s="116">
        <v>411.15</v>
      </c>
      <c r="G914">
        <v>45127</v>
      </c>
      <c r="H914" s="116"/>
      <c r="I914" s="116"/>
      <c r="L914" s="170">
        <v>44224</v>
      </c>
      <c r="M914" s="116">
        <v>411.35</v>
      </c>
      <c r="N914" s="116">
        <v>420</v>
      </c>
      <c r="O914" s="116">
        <v>398.45</v>
      </c>
      <c r="P914" s="116">
        <v>414</v>
      </c>
      <c r="Q914" s="116">
        <v>411.35</v>
      </c>
      <c r="R914">
        <v>221077</v>
      </c>
    </row>
    <row r="915" spans="1:18" x14ac:dyDescent="0.25">
      <c r="A915" s="170">
        <v>44225</v>
      </c>
      <c r="B915" s="116">
        <v>419.8</v>
      </c>
      <c r="C915" s="116">
        <v>415.1</v>
      </c>
      <c r="D915" s="116">
        <v>410.3</v>
      </c>
      <c r="E915" s="116">
        <v>410.3</v>
      </c>
      <c r="F915" s="116">
        <v>415.1</v>
      </c>
      <c r="G915">
        <v>30677</v>
      </c>
      <c r="H915" s="116"/>
      <c r="I915" s="116"/>
      <c r="L915" s="170">
        <v>44225</v>
      </c>
      <c r="M915" s="116">
        <v>414.7</v>
      </c>
      <c r="N915" s="116">
        <v>419.8</v>
      </c>
      <c r="O915" s="116">
        <v>413</v>
      </c>
      <c r="P915" s="116">
        <v>413</v>
      </c>
      <c r="Q915" s="116">
        <v>414.7</v>
      </c>
      <c r="R915">
        <v>152763</v>
      </c>
    </row>
    <row r="916" spans="1:18" x14ac:dyDescent="0.25">
      <c r="A916" s="170">
        <v>44228</v>
      </c>
      <c r="B916" s="116">
        <v>425</v>
      </c>
      <c r="C916" s="116">
        <v>424</v>
      </c>
      <c r="D916" s="116">
        <v>414.05</v>
      </c>
      <c r="E916" s="116">
        <v>418.75</v>
      </c>
      <c r="F916" s="116">
        <v>424</v>
      </c>
      <c r="G916">
        <v>36714</v>
      </c>
      <c r="H916" s="116"/>
      <c r="I916" s="116"/>
      <c r="L916" s="170">
        <v>44228</v>
      </c>
      <c r="M916" s="116">
        <v>423.4</v>
      </c>
      <c r="N916" s="116">
        <v>425.25</v>
      </c>
      <c r="O916" s="116">
        <v>414.2</v>
      </c>
      <c r="P916" s="116">
        <v>416.7</v>
      </c>
      <c r="Q916" s="116">
        <v>423.4</v>
      </c>
      <c r="R916">
        <v>126135</v>
      </c>
    </row>
    <row r="917" spans="1:18" x14ac:dyDescent="0.25">
      <c r="A917" s="170">
        <v>44229</v>
      </c>
      <c r="B917" s="116">
        <v>430</v>
      </c>
      <c r="C917" s="116">
        <v>422.15</v>
      </c>
      <c r="D917" s="116">
        <v>420.5</v>
      </c>
      <c r="E917" s="116">
        <v>430</v>
      </c>
      <c r="F917" s="116">
        <v>422.15</v>
      </c>
      <c r="G917">
        <v>37428</v>
      </c>
      <c r="H917" s="116"/>
      <c r="I917" s="116"/>
      <c r="L917" s="170">
        <v>44229</v>
      </c>
      <c r="M917" s="116">
        <v>423</v>
      </c>
      <c r="N917" s="116">
        <v>429.15</v>
      </c>
      <c r="O917" s="116">
        <v>420</v>
      </c>
      <c r="P917" s="116">
        <v>429.1</v>
      </c>
      <c r="Q917" s="116">
        <v>423</v>
      </c>
      <c r="R917">
        <v>157784</v>
      </c>
    </row>
    <row r="918" spans="1:18" x14ac:dyDescent="0.25">
      <c r="A918" s="170">
        <v>44230</v>
      </c>
      <c r="B918" s="116">
        <v>430</v>
      </c>
      <c r="C918" s="116">
        <v>423.9</v>
      </c>
      <c r="D918" s="116">
        <v>412.3</v>
      </c>
      <c r="E918" s="116">
        <v>429</v>
      </c>
      <c r="F918" s="116">
        <v>423.9</v>
      </c>
      <c r="G918">
        <v>33895</v>
      </c>
      <c r="H918" s="116"/>
      <c r="I918" s="116"/>
      <c r="L918" s="170">
        <v>44230</v>
      </c>
      <c r="M918" s="116">
        <v>425.45</v>
      </c>
      <c r="N918" s="116">
        <v>427.5</v>
      </c>
      <c r="O918" s="116">
        <v>412.55</v>
      </c>
      <c r="P918" s="116">
        <v>427.5</v>
      </c>
      <c r="Q918" s="116">
        <v>425.45</v>
      </c>
      <c r="R918">
        <v>134308</v>
      </c>
    </row>
    <row r="919" spans="1:18" x14ac:dyDescent="0.25">
      <c r="A919" s="170">
        <v>44231</v>
      </c>
      <c r="B919" s="116">
        <v>454.5</v>
      </c>
      <c r="C919" s="116">
        <v>446.55</v>
      </c>
      <c r="D919" s="116">
        <v>428.7</v>
      </c>
      <c r="E919" s="116">
        <v>428.7</v>
      </c>
      <c r="F919" s="116">
        <v>446.55</v>
      </c>
      <c r="G919">
        <v>161739</v>
      </c>
      <c r="H919" s="116"/>
      <c r="I919" s="116"/>
      <c r="L919" s="170">
        <v>44231</v>
      </c>
      <c r="M919" s="116">
        <v>446.5</v>
      </c>
      <c r="N919" s="116">
        <v>455.25</v>
      </c>
      <c r="O919" s="116">
        <v>427.15</v>
      </c>
      <c r="P919" s="116">
        <v>427.5</v>
      </c>
      <c r="Q919" s="116">
        <v>446.5</v>
      </c>
      <c r="R919">
        <v>597248</v>
      </c>
    </row>
    <row r="920" spans="1:18" x14ac:dyDescent="0.25">
      <c r="A920" s="170">
        <v>44232</v>
      </c>
      <c r="B920" s="116">
        <v>498.9</v>
      </c>
      <c r="C920" s="116">
        <v>475.9</v>
      </c>
      <c r="D920" s="116">
        <v>456.5</v>
      </c>
      <c r="E920" s="116">
        <v>456.5</v>
      </c>
      <c r="F920" s="116">
        <v>475.9</v>
      </c>
      <c r="G920">
        <v>119977</v>
      </c>
      <c r="H920" s="116"/>
      <c r="I920" s="116"/>
      <c r="L920" s="170">
        <v>44232</v>
      </c>
      <c r="M920" s="116">
        <v>475.15</v>
      </c>
      <c r="N920" s="116">
        <v>531.29999999999995</v>
      </c>
      <c r="O920" s="116">
        <v>455</v>
      </c>
      <c r="P920" s="116">
        <v>459.9</v>
      </c>
      <c r="Q920" s="116">
        <v>475.15</v>
      </c>
      <c r="R920">
        <v>983287</v>
      </c>
    </row>
    <row r="921" spans="1:18" x14ac:dyDescent="0.25">
      <c r="A921" s="170">
        <v>44235</v>
      </c>
      <c r="B921" s="116">
        <v>506</v>
      </c>
      <c r="C921" s="116">
        <v>501.9</v>
      </c>
      <c r="D921" s="116">
        <v>483</v>
      </c>
      <c r="E921" s="116">
        <v>487</v>
      </c>
      <c r="F921" s="116">
        <v>501.9</v>
      </c>
      <c r="G921">
        <v>74152</v>
      </c>
      <c r="H921" s="116"/>
      <c r="I921" s="116"/>
      <c r="L921" s="170">
        <v>44235</v>
      </c>
      <c r="M921" s="116">
        <v>501.25</v>
      </c>
      <c r="N921" s="116">
        <v>506</v>
      </c>
      <c r="O921" s="116">
        <v>483.65</v>
      </c>
      <c r="P921" s="116">
        <v>493</v>
      </c>
      <c r="Q921" s="116">
        <v>501.25</v>
      </c>
      <c r="R921">
        <v>372414</v>
      </c>
    </row>
    <row r="922" spans="1:18" x14ac:dyDescent="0.25">
      <c r="A922" s="170">
        <v>44236</v>
      </c>
      <c r="B922" s="116">
        <v>505.9</v>
      </c>
      <c r="C922" s="116">
        <v>475.85</v>
      </c>
      <c r="D922" s="116">
        <v>474.25</v>
      </c>
      <c r="E922" s="116">
        <v>505.9</v>
      </c>
      <c r="F922" s="116">
        <v>475.85</v>
      </c>
      <c r="G922">
        <v>51186</v>
      </c>
      <c r="H922" s="116"/>
      <c r="I922" s="116"/>
      <c r="L922" s="170">
        <v>44236</v>
      </c>
      <c r="M922" s="116">
        <v>475.75</v>
      </c>
      <c r="N922" s="116">
        <v>505</v>
      </c>
      <c r="O922" s="116">
        <v>473.05</v>
      </c>
      <c r="P922" s="116">
        <v>505</v>
      </c>
      <c r="Q922" s="116">
        <v>475.75</v>
      </c>
      <c r="R922">
        <v>171354</v>
      </c>
    </row>
    <row r="923" spans="1:18" x14ac:dyDescent="0.25">
      <c r="A923" s="170">
        <v>44237</v>
      </c>
      <c r="B923" s="116">
        <v>485.5</v>
      </c>
      <c r="C923" s="116">
        <v>467.2</v>
      </c>
      <c r="D923" s="116">
        <v>456.3</v>
      </c>
      <c r="E923" s="116">
        <v>463</v>
      </c>
      <c r="F923" s="116">
        <v>467.2</v>
      </c>
      <c r="G923">
        <v>53337</v>
      </c>
      <c r="H923" s="116"/>
      <c r="I923" s="116"/>
      <c r="L923" s="170">
        <v>44237</v>
      </c>
      <c r="M923" s="116">
        <v>465.8</v>
      </c>
      <c r="N923" s="116">
        <v>486.5</v>
      </c>
      <c r="O923" s="116">
        <v>449.05</v>
      </c>
      <c r="P923" s="116">
        <v>476</v>
      </c>
      <c r="Q923" s="116">
        <v>465.8</v>
      </c>
      <c r="R923">
        <v>345486</v>
      </c>
    </row>
    <row r="924" spans="1:18" x14ac:dyDescent="0.25">
      <c r="A924" s="170">
        <v>44238</v>
      </c>
      <c r="B924" s="116">
        <v>479.45</v>
      </c>
      <c r="C924" s="116">
        <v>475.75</v>
      </c>
      <c r="D924" s="116">
        <v>467.6</v>
      </c>
      <c r="E924" s="116">
        <v>470.35</v>
      </c>
      <c r="F924" s="116">
        <v>475.75</v>
      </c>
      <c r="G924">
        <v>42598</v>
      </c>
      <c r="H924" s="116"/>
      <c r="I924" s="116"/>
      <c r="L924" s="170">
        <v>44238</v>
      </c>
      <c r="M924" s="116">
        <v>475.55</v>
      </c>
      <c r="N924" s="116">
        <v>479.8</v>
      </c>
      <c r="O924" s="116">
        <v>468</v>
      </c>
      <c r="P924" s="116">
        <v>468.95</v>
      </c>
      <c r="Q924" s="116">
        <v>475.55</v>
      </c>
      <c r="R924">
        <v>124671</v>
      </c>
    </row>
    <row r="925" spans="1:18" x14ac:dyDescent="0.25">
      <c r="A925" s="170">
        <v>44239</v>
      </c>
      <c r="B925" s="116">
        <v>480</v>
      </c>
      <c r="C925" s="116">
        <v>474.75</v>
      </c>
      <c r="D925" s="116">
        <v>472</v>
      </c>
      <c r="E925" s="116">
        <v>478.55</v>
      </c>
      <c r="F925" s="116">
        <v>474.75</v>
      </c>
      <c r="G925">
        <v>43157</v>
      </c>
      <c r="H925" s="116"/>
      <c r="I925" s="116"/>
      <c r="L925" s="170">
        <v>44239</v>
      </c>
      <c r="M925" s="116">
        <v>474.9</v>
      </c>
      <c r="N925" s="116">
        <v>481</v>
      </c>
      <c r="O925" s="116">
        <v>472</v>
      </c>
      <c r="P925" s="116">
        <v>478.1</v>
      </c>
      <c r="Q925" s="116">
        <v>474.9</v>
      </c>
      <c r="R925">
        <v>104490</v>
      </c>
    </row>
    <row r="926" spans="1:18" x14ac:dyDescent="0.25">
      <c r="A926" s="170">
        <v>44242</v>
      </c>
      <c r="B926" s="116">
        <v>480.1</v>
      </c>
      <c r="C926" s="116">
        <v>478.9</v>
      </c>
      <c r="D926" s="116">
        <v>470.05</v>
      </c>
      <c r="E926" s="116">
        <v>471</v>
      </c>
      <c r="F926" s="116">
        <v>478.9</v>
      </c>
      <c r="G926">
        <v>38726</v>
      </c>
      <c r="H926" s="116"/>
      <c r="I926" s="116"/>
      <c r="L926" s="170">
        <v>44242</v>
      </c>
      <c r="M926" s="116">
        <v>478</v>
      </c>
      <c r="N926" s="116">
        <v>479.9</v>
      </c>
      <c r="O926" s="116">
        <v>470.1</v>
      </c>
      <c r="P926" s="116">
        <v>477.3</v>
      </c>
      <c r="Q926" s="116">
        <v>478</v>
      </c>
      <c r="R926">
        <v>105442</v>
      </c>
    </row>
    <row r="927" spans="1:18" x14ac:dyDescent="0.25">
      <c r="A927" s="170">
        <v>44243</v>
      </c>
      <c r="B927" s="116">
        <v>484.65</v>
      </c>
      <c r="C927" s="116">
        <v>466.8</v>
      </c>
      <c r="D927" s="116">
        <v>462.4</v>
      </c>
      <c r="E927" s="116">
        <v>483.1</v>
      </c>
      <c r="F927" s="116">
        <v>466.8</v>
      </c>
      <c r="G927">
        <v>41106</v>
      </c>
      <c r="H927" s="116"/>
      <c r="I927" s="116"/>
      <c r="L927" s="170">
        <v>44243</v>
      </c>
      <c r="M927" s="116">
        <v>467.95</v>
      </c>
      <c r="N927" s="116">
        <v>484.9</v>
      </c>
      <c r="O927" s="116">
        <v>461.95</v>
      </c>
      <c r="P927" s="116">
        <v>481</v>
      </c>
      <c r="Q927" s="116">
        <v>467.95</v>
      </c>
      <c r="R927">
        <v>125062</v>
      </c>
    </row>
    <row r="928" spans="1:18" x14ac:dyDescent="0.25">
      <c r="A928" s="170">
        <v>44244</v>
      </c>
      <c r="B928" s="116">
        <v>473.95</v>
      </c>
      <c r="C928" s="116">
        <v>471.9</v>
      </c>
      <c r="D928" s="116">
        <v>460.3</v>
      </c>
      <c r="E928" s="116">
        <v>460.3</v>
      </c>
      <c r="F928" s="116">
        <v>471.9</v>
      </c>
      <c r="G928">
        <v>41432</v>
      </c>
      <c r="H928" s="116"/>
      <c r="I928" s="116"/>
      <c r="L928" s="170">
        <v>44244</v>
      </c>
      <c r="M928" s="116">
        <v>470.85</v>
      </c>
      <c r="N928" s="116">
        <v>475.75</v>
      </c>
      <c r="O928" s="116">
        <v>462.35</v>
      </c>
      <c r="P928" s="116">
        <v>470</v>
      </c>
      <c r="Q928" s="116">
        <v>470.85</v>
      </c>
      <c r="R928">
        <v>161690</v>
      </c>
    </row>
    <row r="929" spans="1:18" x14ac:dyDescent="0.25">
      <c r="A929" s="170">
        <v>44245</v>
      </c>
      <c r="B929" s="116">
        <v>474.55</v>
      </c>
      <c r="C929" s="116">
        <v>466.3</v>
      </c>
      <c r="D929" s="116">
        <v>457.85</v>
      </c>
      <c r="E929" s="116">
        <v>471.8</v>
      </c>
      <c r="F929" s="116">
        <v>466.3</v>
      </c>
      <c r="G929">
        <v>63898</v>
      </c>
      <c r="H929" s="116"/>
      <c r="I929" s="116"/>
      <c r="L929" s="170">
        <v>44245</v>
      </c>
      <c r="M929" s="116">
        <v>462.7</v>
      </c>
      <c r="N929" s="116">
        <v>475</v>
      </c>
      <c r="O929" s="116">
        <v>457.55</v>
      </c>
      <c r="P929" s="116">
        <v>472</v>
      </c>
      <c r="Q929" s="116">
        <v>462.7</v>
      </c>
      <c r="R929">
        <v>222167</v>
      </c>
    </row>
    <row r="930" spans="1:18" x14ac:dyDescent="0.25">
      <c r="A930" s="170">
        <v>44246</v>
      </c>
      <c r="B930" s="116">
        <v>475</v>
      </c>
      <c r="C930" s="116">
        <v>464.1</v>
      </c>
      <c r="D930" s="116">
        <v>459.9</v>
      </c>
      <c r="E930" s="116">
        <v>475</v>
      </c>
      <c r="F930" s="116">
        <v>464.1</v>
      </c>
      <c r="G930">
        <v>36519</v>
      </c>
      <c r="H930" s="116"/>
      <c r="I930" s="116"/>
      <c r="L930" s="170">
        <v>44246</v>
      </c>
      <c r="M930" s="116">
        <v>464.65</v>
      </c>
      <c r="N930" s="116">
        <v>474.8</v>
      </c>
      <c r="O930" s="116">
        <v>457.3</v>
      </c>
      <c r="P930" s="116">
        <v>470</v>
      </c>
      <c r="Q930" s="116">
        <v>464.65</v>
      </c>
      <c r="R930">
        <v>104433</v>
      </c>
    </row>
    <row r="931" spans="1:18" x14ac:dyDescent="0.25">
      <c r="A931" s="170">
        <v>44249</v>
      </c>
      <c r="B931" s="116">
        <v>473.9</v>
      </c>
      <c r="C931" s="116">
        <v>471.6</v>
      </c>
      <c r="D931" s="116">
        <v>464.95</v>
      </c>
      <c r="E931" s="116">
        <v>464.95</v>
      </c>
      <c r="F931" s="116">
        <v>471.6</v>
      </c>
      <c r="G931">
        <v>30328</v>
      </c>
      <c r="H931" s="116"/>
      <c r="I931" s="116"/>
      <c r="L931" s="170">
        <v>44249</v>
      </c>
      <c r="M931" s="116">
        <v>471.3</v>
      </c>
      <c r="N931" s="116">
        <v>479.6</v>
      </c>
      <c r="O931" s="116">
        <v>460</v>
      </c>
      <c r="P931" s="116">
        <v>460</v>
      </c>
      <c r="Q931" s="116">
        <v>471.3</v>
      </c>
      <c r="R931">
        <v>114208</v>
      </c>
    </row>
    <row r="932" spans="1:18" x14ac:dyDescent="0.25">
      <c r="A932" s="170">
        <v>44250</v>
      </c>
      <c r="B932" s="116">
        <v>478.95</v>
      </c>
      <c r="C932" s="116">
        <v>473.4</v>
      </c>
      <c r="D932" s="116">
        <v>467.3</v>
      </c>
      <c r="E932" s="116">
        <v>467.3</v>
      </c>
      <c r="F932" s="116">
        <v>473.4</v>
      </c>
      <c r="G932">
        <v>43014</v>
      </c>
      <c r="H932" s="116"/>
      <c r="I932" s="116"/>
      <c r="L932" s="170">
        <v>44250</v>
      </c>
      <c r="M932" s="116">
        <v>473.9</v>
      </c>
      <c r="N932" s="116">
        <v>479.55</v>
      </c>
      <c r="O932" s="116">
        <v>470.95</v>
      </c>
      <c r="P932" s="116">
        <v>479.4</v>
      </c>
      <c r="Q932" s="116">
        <v>473.9</v>
      </c>
      <c r="R932">
        <v>121334</v>
      </c>
    </row>
    <row r="933" spans="1:18" x14ac:dyDescent="0.25">
      <c r="A933" s="170">
        <v>44251</v>
      </c>
      <c r="B933" s="116">
        <v>481.95</v>
      </c>
      <c r="C933" s="116">
        <v>478.55</v>
      </c>
      <c r="D933" s="116">
        <v>457</v>
      </c>
      <c r="E933" s="116">
        <v>473.7</v>
      </c>
      <c r="F933" s="116">
        <v>478.55</v>
      </c>
      <c r="G933">
        <v>41789</v>
      </c>
      <c r="H933" s="116"/>
      <c r="I933" s="116"/>
      <c r="L933" s="170">
        <v>44251</v>
      </c>
      <c r="M933" s="116">
        <v>479.35</v>
      </c>
      <c r="N933" s="116">
        <v>484.85</v>
      </c>
      <c r="O933" s="116">
        <v>461</v>
      </c>
      <c r="P933" s="116">
        <v>478.95</v>
      </c>
      <c r="Q933" s="116">
        <v>479.35</v>
      </c>
      <c r="R933">
        <v>51177</v>
      </c>
    </row>
    <row r="934" spans="1:18" x14ac:dyDescent="0.25">
      <c r="A934" s="170">
        <v>44252</v>
      </c>
      <c r="B934" s="116">
        <v>481.95</v>
      </c>
      <c r="C934" s="116">
        <v>478.5</v>
      </c>
      <c r="D934" s="116">
        <v>474.2</v>
      </c>
      <c r="E934" s="116">
        <v>481.25</v>
      </c>
      <c r="F934" s="116">
        <v>478.5</v>
      </c>
      <c r="G934">
        <v>51050</v>
      </c>
      <c r="H934" s="116"/>
      <c r="I934" s="116"/>
      <c r="L934" s="170">
        <v>44252</v>
      </c>
      <c r="M934" s="116">
        <v>477.55</v>
      </c>
      <c r="N934" s="116">
        <v>483.55</v>
      </c>
      <c r="O934" s="116">
        <v>473.05</v>
      </c>
      <c r="P934" s="116">
        <v>480</v>
      </c>
      <c r="Q934" s="116">
        <v>477.55</v>
      </c>
      <c r="R934">
        <v>170290</v>
      </c>
    </row>
    <row r="935" spans="1:18" x14ac:dyDescent="0.25">
      <c r="A935" s="170">
        <v>44253</v>
      </c>
      <c r="B935" s="116">
        <v>479.45</v>
      </c>
      <c r="C935" s="116">
        <v>470.25</v>
      </c>
      <c r="D935" s="116">
        <v>466</v>
      </c>
      <c r="E935" s="116">
        <v>477</v>
      </c>
      <c r="F935" s="116">
        <v>470.25</v>
      </c>
      <c r="G935">
        <v>38090</v>
      </c>
      <c r="H935" s="116"/>
      <c r="I935" s="116"/>
      <c r="L935" s="170">
        <v>44253</v>
      </c>
      <c r="M935" s="116">
        <v>470.85</v>
      </c>
      <c r="N935" s="116">
        <v>479.7</v>
      </c>
      <c r="O935" s="116">
        <v>465.55</v>
      </c>
      <c r="P935" s="116">
        <v>471.1</v>
      </c>
      <c r="Q935" s="116">
        <v>470.85</v>
      </c>
      <c r="R935">
        <v>114551</v>
      </c>
    </row>
    <row r="936" spans="1:18" x14ac:dyDescent="0.25">
      <c r="A936" s="170">
        <v>44256</v>
      </c>
      <c r="B936" s="116">
        <v>482.2</v>
      </c>
      <c r="C936" s="116">
        <v>477.35</v>
      </c>
      <c r="D936" s="116">
        <v>472.6</v>
      </c>
      <c r="E936" s="116">
        <v>480</v>
      </c>
      <c r="F936" s="116">
        <v>477.35</v>
      </c>
      <c r="G936">
        <v>43482</v>
      </c>
      <c r="H936" s="116"/>
      <c r="I936" s="116"/>
      <c r="L936" s="170">
        <v>44256</v>
      </c>
      <c r="M936" s="116">
        <v>477</v>
      </c>
      <c r="N936" s="116">
        <v>482.25</v>
      </c>
      <c r="O936" s="116">
        <v>472.55</v>
      </c>
      <c r="P936" s="116">
        <v>477.05</v>
      </c>
      <c r="Q936" s="116">
        <v>477</v>
      </c>
      <c r="R936">
        <v>109952</v>
      </c>
    </row>
    <row r="937" spans="1:18" x14ac:dyDescent="0.25">
      <c r="A937" s="170">
        <v>44257</v>
      </c>
      <c r="B937" s="116">
        <v>479.55</v>
      </c>
      <c r="C937" s="116">
        <v>477.15</v>
      </c>
      <c r="D937" s="116">
        <v>470.05</v>
      </c>
      <c r="E937" s="116">
        <v>477.3</v>
      </c>
      <c r="F937" s="116">
        <v>477.15</v>
      </c>
      <c r="G937">
        <v>44560</v>
      </c>
      <c r="H937" s="116"/>
      <c r="I937" s="116"/>
      <c r="L937" s="170">
        <v>44257</v>
      </c>
      <c r="M937" s="116">
        <v>477.55</v>
      </c>
      <c r="N937" s="116">
        <v>479.9</v>
      </c>
      <c r="O937" s="116">
        <v>470.2</v>
      </c>
      <c r="P937" s="116">
        <v>479.4</v>
      </c>
      <c r="Q937" s="116">
        <v>477.55</v>
      </c>
      <c r="R937">
        <v>109157</v>
      </c>
    </row>
    <row r="938" spans="1:18" x14ac:dyDescent="0.25">
      <c r="A938" s="170">
        <v>44258</v>
      </c>
      <c r="B938" s="116">
        <v>494.7</v>
      </c>
      <c r="C938" s="116">
        <v>480.4</v>
      </c>
      <c r="D938" s="116">
        <v>467.45</v>
      </c>
      <c r="E938" s="116">
        <v>476.75</v>
      </c>
      <c r="F938" s="116">
        <v>480.4</v>
      </c>
      <c r="G938">
        <v>46087</v>
      </c>
      <c r="H938" s="116"/>
      <c r="I938" s="116"/>
      <c r="L938" s="170">
        <v>44258</v>
      </c>
      <c r="M938" s="116">
        <v>481</v>
      </c>
      <c r="N938" s="116">
        <v>495.05</v>
      </c>
      <c r="O938" s="116">
        <v>466.95</v>
      </c>
      <c r="P938" s="116">
        <v>479.25</v>
      </c>
      <c r="Q938" s="116">
        <v>481</v>
      </c>
      <c r="R938">
        <v>217985</v>
      </c>
    </row>
    <row r="939" spans="1:18" x14ac:dyDescent="0.25">
      <c r="A939" s="170">
        <v>44259</v>
      </c>
      <c r="B939" s="116">
        <v>483.2</v>
      </c>
      <c r="C939" s="116">
        <v>479.75</v>
      </c>
      <c r="D939" s="116">
        <v>472.9</v>
      </c>
      <c r="E939" s="116">
        <v>481</v>
      </c>
      <c r="F939" s="116">
        <v>479.75</v>
      </c>
      <c r="G939">
        <v>46808</v>
      </c>
      <c r="H939" s="116"/>
      <c r="I939" s="116"/>
      <c r="L939" s="170">
        <v>44259</v>
      </c>
      <c r="M939" s="116">
        <v>479.65</v>
      </c>
      <c r="N939" s="116">
        <v>482.9</v>
      </c>
      <c r="O939" s="116">
        <v>472.35</v>
      </c>
      <c r="P939" s="116">
        <v>476.5</v>
      </c>
      <c r="Q939" s="116">
        <v>479.65</v>
      </c>
      <c r="R939">
        <v>138267</v>
      </c>
    </row>
    <row r="940" spans="1:18" x14ac:dyDescent="0.25">
      <c r="A940" s="170">
        <v>44260</v>
      </c>
      <c r="B940" s="116">
        <v>482.3</v>
      </c>
      <c r="C940" s="116">
        <v>479.9</v>
      </c>
      <c r="D940" s="116">
        <v>470.55</v>
      </c>
      <c r="E940" s="116">
        <v>477.8</v>
      </c>
      <c r="F940" s="116">
        <v>479.9</v>
      </c>
      <c r="G940">
        <v>44810</v>
      </c>
      <c r="H940" s="116"/>
      <c r="I940" s="116"/>
      <c r="L940" s="170">
        <v>44260</v>
      </c>
      <c r="M940" s="116">
        <v>479.55</v>
      </c>
      <c r="N940" s="116">
        <v>482.05</v>
      </c>
      <c r="O940" s="116">
        <v>470.6</v>
      </c>
      <c r="P940" s="116">
        <v>482.05</v>
      </c>
      <c r="Q940" s="116">
        <v>479.55</v>
      </c>
      <c r="R940">
        <v>110685</v>
      </c>
    </row>
    <row r="941" spans="1:18" x14ac:dyDescent="0.25">
      <c r="A941" s="170">
        <v>44263</v>
      </c>
      <c r="B941" s="116">
        <v>483.85</v>
      </c>
      <c r="C941" s="116">
        <v>478.2</v>
      </c>
      <c r="D941" s="116">
        <v>473.85</v>
      </c>
      <c r="E941" s="116">
        <v>483.45</v>
      </c>
      <c r="F941" s="116">
        <v>478.2</v>
      </c>
      <c r="G941">
        <v>48742</v>
      </c>
      <c r="H941" s="116"/>
      <c r="I941" s="116"/>
      <c r="L941" s="170">
        <v>44263</v>
      </c>
      <c r="M941" s="116">
        <v>477.25</v>
      </c>
      <c r="N941" s="116">
        <v>484.95</v>
      </c>
      <c r="O941" s="116">
        <v>473.8</v>
      </c>
      <c r="P941" s="116">
        <v>482</v>
      </c>
      <c r="Q941" s="116">
        <v>477.25</v>
      </c>
      <c r="R941">
        <v>148832</v>
      </c>
    </row>
    <row r="942" spans="1:18" x14ac:dyDescent="0.25">
      <c r="A942" s="170">
        <v>44264</v>
      </c>
      <c r="B942" s="116">
        <v>505</v>
      </c>
      <c r="C942" s="116">
        <v>479.2</v>
      </c>
      <c r="D942" s="116">
        <v>473</v>
      </c>
      <c r="E942" s="116">
        <v>500</v>
      </c>
      <c r="F942" s="116">
        <v>479.2</v>
      </c>
      <c r="G942">
        <v>48251</v>
      </c>
      <c r="H942" s="116"/>
      <c r="I942" s="116"/>
      <c r="L942" s="170">
        <v>44264</v>
      </c>
      <c r="M942" s="116">
        <v>480.3</v>
      </c>
      <c r="N942" s="116">
        <v>509.3</v>
      </c>
      <c r="O942" s="116">
        <v>472.6</v>
      </c>
      <c r="P942" s="116">
        <v>499.95</v>
      </c>
      <c r="Q942" s="116">
        <v>480.3</v>
      </c>
      <c r="R942">
        <v>267488</v>
      </c>
    </row>
    <row r="943" spans="1:18" x14ac:dyDescent="0.25">
      <c r="A943" s="170">
        <v>44265</v>
      </c>
      <c r="B943" s="116">
        <v>490</v>
      </c>
      <c r="C943" s="116">
        <v>482.5</v>
      </c>
      <c r="D943" s="116">
        <v>480</v>
      </c>
      <c r="E943" s="116">
        <v>490</v>
      </c>
      <c r="F943" s="116">
        <v>482.5</v>
      </c>
      <c r="G943">
        <v>45242</v>
      </c>
      <c r="H943" s="116"/>
      <c r="I943" s="116"/>
      <c r="L943" s="170">
        <v>44265</v>
      </c>
      <c r="M943" s="116">
        <v>480.6</v>
      </c>
      <c r="N943" s="116">
        <v>486</v>
      </c>
      <c r="O943" s="116">
        <v>479.5</v>
      </c>
      <c r="P943" s="116">
        <v>486</v>
      </c>
      <c r="Q943" s="116">
        <v>480.6</v>
      </c>
      <c r="R943">
        <v>90462</v>
      </c>
    </row>
    <row r="944" spans="1:18" x14ac:dyDescent="0.25">
      <c r="A944" s="170">
        <v>44267</v>
      </c>
      <c r="B944" s="116">
        <v>484.05</v>
      </c>
      <c r="C944" s="116">
        <v>477.4</v>
      </c>
      <c r="D944" s="116">
        <v>471.55</v>
      </c>
      <c r="E944" s="116">
        <v>481.4</v>
      </c>
      <c r="F944" s="116">
        <v>477.4</v>
      </c>
      <c r="G944">
        <v>43306</v>
      </c>
      <c r="H944" s="116"/>
      <c r="I944" s="116"/>
      <c r="L944" s="170">
        <v>44267</v>
      </c>
      <c r="M944" s="116">
        <v>476.55</v>
      </c>
      <c r="N944" s="116">
        <v>489.7</v>
      </c>
      <c r="O944" s="116">
        <v>471.05</v>
      </c>
      <c r="P944" s="116">
        <v>476.5</v>
      </c>
      <c r="Q944" s="116">
        <v>476.55</v>
      </c>
      <c r="R944">
        <v>96547</v>
      </c>
    </row>
    <row r="945" spans="1:18" x14ac:dyDescent="0.25">
      <c r="A945" s="170">
        <v>44270</v>
      </c>
      <c r="B945" s="116">
        <v>475.95</v>
      </c>
      <c r="C945" s="116">
        <v>471.75</v>
      </c>
      <c r="D945" s="116">
        <v>469</v>
      </c>
      <c r="E945" s="116">
        <v>470</v>
      </c>
      <c r="F945" s="116">
        <v>471.75</v>
      </c>
      <c r="G945">
        <v>41088</v>
      </c>
      <c r="H945" s="116"/>
      <c r="I945" s="116"/>
      <c r="L945" s="170">
        <v>44270</v>
      </c>
      <c r="M945" s="116">
        <v>472.7</v>
      </c>
      <c r="N945" s="116">
        <v>478.9</v>
      </c>
      <c r="O945" s="116">
        <v>468.5</v>
      </c>
      <c r="P945" s="116">
        <v>478.9</v>
      </c>
      <c r="Q945" s="116">
        <v>472.7</v>
      </c>
      <c r="R945">
        <v>89284</v>
      </c>
    </row>
    <row r="946" spans="1:18" x14ac:dyDescent="0.25">
      <c r="A946" s="170">
        <v>44271</v>
      </c>
      <c r="B946" s="116">
        <v>477.35</v>
      </c>
      <c r="C946" s="116">
        <v>474.2</v>
      </c>
      <c r="D946" s="116">
        <v>470.05</v>
      </c>
      <c r="E946" s="116">
        <v>475</v>
      </c>
      <c r="F946" s="116">
        <v>474.2</v>
      </c>
      <c r="G946">
        <v>42877</v>
      </c>
      <c r="H946" s="116"/>
      <c r="I946" s="116"/>
      <c r="L946" s="170">
        <v>44271</v>
      </c>
      <c r="M946" s="116">
        <v>475.2</v>
      </c>
      <c r="N946" s="116">
        <v>478</v>
      </c>
      <c r="O946" s="116">
        <v>468.1</v>
      </c>
      <c r="P946" s="116">
        <v>478</v>
      </c>
      <c r="Q946" s="116">
        <v>475.2</v>
      </c>
      <c r="R946">
        <v>87650</v>
      </c>
    </row>
    <row r="947" spans="1:18" x14ac:dyDescent="0.25">
      <c r="A947" s="170">
        <v>44272</v>
      </c>
      <c r="B947" s="116">
        <v>475.1</v>
      </c>
      <c r="C947" s="116">
        <v>471.45</v>
      </c>
      <c r="D947" s="116">
        <v>468.65</v>
      </c>
      <c r="E947" s="116">
        <v>473.35</v>
      </c>
      <c r="F947" s="116">
        <v>471.45</v>
      </c>
      <c r="G947">
        <v>42279</v>
      </c>
      <c r="H947" s="116"/>
      <c r="I947" s="116"/>
      <c r="L947" s="170">
        <v>44272</v>
      </c>
      <c r="M947" s="116">
        <v>473.3</v>
      </c>
      <c r="N947" s="116">
        <v>476</v>
      </c>
      <c r="O947" s="116">
        <v>468.1</v>
      </c>
      <c r="P947" s="116">
        <v>475.2</v>
      </c>
      <c r="Q947" s="116">
        <v>473.3</v>
      </c>
      <c r="R947">
        <v>192621</v>
      </c>
    </row>
    <row r="948" spans="1:18" x14ac:dyDescent="0.25">
      <c r="A948" s="170">
        <v>44273</v>
      </c>
      <c r="B948" s="116">
        <v>475.1</v>
      </c>
      <c r="C948" s="116">
        <v>470.8</v>
      </c>
      <c r="D948" s="116">
        <v>462</v>
      </c>
      <c r="E948" s="116">
        <v>473.85</v>
      </c>
      <c r="F948" s="116">
        <v>470.8</v>
      </c>
      <c r="G948">
        <v>44148</v>
      </c>
      <c r="H948" s="116"/>
      <c r="I948" s="116"/>
      <c r="L948" s="170">
        <v>44273</v>
      </c>
      <c r="M948" s="116">
        <v>470.65</v>
      </c>
      <c r="N948" s="116">
        <v>474.95</v>
      </c>
      <c r="O948" s="116">
        <v>459</v>
      </c>
      <c r="P948" s="116">
        <v>473.2</v>
      </c>
      <c r="Q948" s="116">
        <v>470.65</v>
      </c>
      <c r="R948">
        <v>96361</v>
      </c>
    </row>
    <row r="949" spans="1:18" x14ac:dyDescent="0.25">
      <c r="A949" s="170">
        <v>44274</v>
      </c>
      <c r="B949" s="116">
        <v>473.85</v>
      </c>
      <c r="C949" s="116">
        <v>467.85</v>
      </c>
      <c r="D949" s="116">
        <v>457</v>
      </c>
      <c r="E949" s="116">
        <v>457</v>
      </c>
      <c r="F949" s="116">
        <v>467.85</v>
      </c>
      <c r="G949">
        <v>41753</v>
      </c>
      <c r="H949" s="116"/>
      <c r="I949" s="116"/>
      <c r="L949" s="170">
        <v>44274</v>
      </c>
      <c r="M949" s="116">
        <v>470</v>
      </c>
      <c r="N949" s="116">
        <v>474.7</v>
      </c>
      <c r="O949" s="116">
        <v>458.25</v>
      </c>
      <c r="P949" s="116">
        <v>470.65</v>
      </c>
      <c r="Q949" s="116">
        <v>470</v>
      </c>
      <c r="R949">
        <v>86515</v>
      </c>
    </row>
    <row r="950" spans="1:18" x14ac:dyDescent="0.25">
      <c r="A950" s="170">
        <v>44277</v>
      </c>
      <c r="B950" s="116">
        <v>478.5</v>
      </c>
      <c r="C950" s="116">
        <v>472.65</v>
      </c>
      <c r="D950" s="116">
        <v>465.1</v>
      </c>
      <c r="E950" s="116">
        <v>470</v>
      </c>
      <c r="F950" s="116">
        <v>472.65</v>
      </c>
      <c r="G950">
        <v>74981</v>
      </c>
      <c r="H950" s="116"/>
      <c r="I950" s="116"/>
      <c r="L950" s="170">
        <v>44277</v>
      </c>
      <c r="M950" s="116">
        <v>471.9</v>
      </c>
      <c r="N950" s="116">
        <v>478.35</v>
      </c>
      <c r="O950" s="116">
        <v>463.8</v>
      </c>
      <c r="P950" s="116">
        <v>474.9</v>
      </c>
      <c r="Q950" s="116">
        <v>471.9</v>
      </c>
      <c r="R950">
        <v>133617</v>
      </c>
    </row>
    <row r="951" spans="1:18" x14ac:dyDescent="0.25">
      <c r="A951" s="170">
        <v>44278</v>
      </c>
      <c r="B951" s="116">
        <v>476.7</v>
      </c>
      <c r="C951" s="116">
        <v>471.15</v>
      </c>
      <c r="D951" s="116">
        <v>464.95</v>
      </c>
      <c r="E951" s="116">
        <v>472.25</v>
      </c>
      <c r="F951" s="116">
        <v>471.15</v>
      </c>
      <c r="G951">
        <v>52094</v>
      </c>
      <c r="H951" s="116"/>
      <c r="I951" s="116"/>
      <c r="L951" s="170">
        <v>44278</v>
      </c>
      <c r="M951" s="116">
        <v>472.25</v>
      </c>
      <c r="N951" s="116">
        <v>477</v>
      </c>
      <c r="O951" s="116">
        <v>464.75</v>
      </c>
      <c r="P951" s="116">
        <v>469</v>
      </c>
      <c r="Q951" s="116">
        <v>472.25</v>
      </c>
      <c r="R951">
        <v>168735</v>
      </c>
    </row>
    <row r="952" spans="1:18" x14ac:dyDescent="0.25">
      <c r="A952" s="170">
        <v>44279</v>
      </c>
      <c r="B952" s="116">
        <v>476.05</v>
      </c>
      <c r="C952" s="116">
        <v>462.7</v>
      </c>
      <c r="D952" s="116">
        <v>461.75</v>
      </c>
      <c r="E952" s="116">
        <v>470.9</v>
      </c>
      <c r="F952" s="116">
        <v>462.7</v>
      </c>
      <c r="G952">
        <v>52403</v>
      </c>
      <c r="H952" s="116"/>
      <c r="I952" s="116"/>
      <c r="L952" s="170">
        <v>44279</v>
      </c>
      <c r="M952" s="116">
        <v>465.6</v>
      </c>
      <c r="N952" s="116">
        <v>476.5</v>
      </c>
      <c r="O952" s="116">
        <v>461.5</v>
      </c>
      <c r="P952" s="116">
        <v>472</v>
      </c>
      <c r="Q952" s="116">
        <v>465.6</v>
      </c>
      <c r="R952">
        <v>127522</v>
      </c>
    </row>
    <row r="953" spans="1:18" x14ac:dyDescent="0.25">
      <c r="A953" s="170">
        <v>44280</v>
      </c>
      <c r="B953" s="116">
        <v>466.25</v>
      </c>
      <c r="C953" s="116">
        <v>465.25</v>
      </c>
      <c r="D953" s="116">
        <v>460</v>
      </c>
      <c r="E953" s="116">
        <v>462.85</v>
      </c>
      <c r="F953" s="116">
        <v>465.25</v>
      </c>
      <c r="G953">
        <v>29156</v>
      </c>
      <c r="H953" s="116"/>
      <c r="I953" s="116"/>
      <c r="L953" s="170">
        <v>44280</v>
      </c>
      <c r="M953" s="116">
        <v>465.45</v>
      </c>
      <c r="N953" s="116">
        <v>468</v>
      </c>
      <c r="O953" s="116">
        <v>459</v>
      </c>
      <c r="P953" s="116">
        <v>465.6</v>
      </c>
      <c r="Q953" s="116">
        <v>465.45</v>
      </c>
      <c r="R953">
        <v>79457</v>
      </c>
    </row>
    <row r="954" spans="1:18" x14ac:dyDescent="0.25">
      <c r="A954" s="170">
        <v>44281</v>
      </c>
      <c r="B954" s="116">
        <v>471.05</v>
      </c>
      <c r="C954" s="116">
        <v>469.95</v>
      </c>
      <c r="D954" s="116">
        <v>463.4</v>
      </c>
      <c r="E954" s="116">
        <v>465.3</v>
      </c>
      <c r="F954" s="116">
        <v>469.95</v>
      </c>
      <c r="G954">
        <v>46128</v>
      </c>
      <c r="H954" s="116"/>
      <c r="I954" s="116"/>
      <c r="L954" s="170">
        <v>44281</v>
      </c>
      <c r="M954" s="116">
        <v>469.5</v>
      </c>
      <c r="N954" s="116">
        <v>475</v>
      </c>
      <c r="O954" s="116">
        <v>464.6</v>
      </c>
      <c r="P954" s="116">
        <v>475</v>
      </c>
      <c r="Q954" s="116">
        <v>469.5</v>
      </c>
      <c r="R954">
        <v>86064</v>
      </c>
    </row>
    <row r="955" spans="1:18" x14ac:dyDescent="0.25">
      <c r="A955" s="170">
        <v>44285</v>
      </c>
      <c r="B955" s="116">
        <v>467.8</v>
      </c>
      <c r="C955" s="116">
        <v>457.6</v>
      </c>
      <c r="D955" s="116">
        <v>452.5</v>
      </c>
      <c r="E955" s="116">
        <v>462.55</v>
      </c>
      <c r="F955" s="116">
        <v>457.6</v>
      </c>
      <c r="G955">
        <v>23377</v>
      </c>
      <c r="H955" s="116"/>
      <c r="I955" s="116"/>
      <c r="L955" s="170">
        <v>44285</v>
      </c>
      <c r="M955" s="116">
        <v>458.6</v>
      </c>
      <c r="N955" s="116">
        <v>469.45</v>
      </c>
      <c r="O955" s="116">
        <v>451.75</v>
      </c>
      <c r="P955" s="116">
        <v>469.25</v>
      </c>
      <c r="Q955" s="116">
        <v>458.6</v>
      </c>
      <c r="R955">
        <v>93004</v>
      </c>
    </row>
    <row r="956" spans="1:18" x14ac:dyDescent="0.25">
      <c r="A956" s="170">
        <v>44286</v>
      </c>
      <c r="B956" s="116">
        <v>467.2</v>
      </c>
      <c r="C956" s="116">
        <v>463.4</v>
      </c>
      <c r="D956" s="116">
        <v>456.25</v>
      </c>
      <c r="E956" s="116">
        <v>461</v>
      </c>
      <c r="F956" s="116">
        <v>463.4</v>
      </c>
      <c r="G956">
        <v>13501</v>
      </c>
      <c r="H956" s="116"/>
      <c r="I956" s="116"/>
      <c r="L956" s="170">
        <v>44286</v>
      </c>
      <c r="M956" s="116">
        <v>463.3</v>
      </c>
      <c r="N956" s="116">
        <v>467.9</v>
      </c>
      <c r="O956" s="116">
        <v>451.8</v>
      </c>
      <c r="P956" s="116">
        <v>451.8</v>
      </c>
      <c r="Q956" s="116">
        <v>463.3</v>
      </c>
      <c r="R956">
        <v>42617</v>
      </c>
    </row>
    <row r="957" spans="1:18" x14ac:dyDescent="0.25">
      <c r="A957" s="170">
        <v>44287</v>
      </c>
      <c r="B957" s="116">
        <v>468</v>
      </c>
      <c r="C957" s="116">
        <v>465.6</v>
      </c>
      <c r="D957" s="116">
        <v>461.45</v>
      </c>
      <c r="E957" s="116">
        <v>468</v>
      </c>
      <c r="F957" s="116">
        <v>465.6</v>
      </c>
      <c r="G957">
        <v>7289</v>
      </c>
      <c r="H957" s="116"/>
      <c r="I957" s="116"/>
      <c r="L957" s="170">
        <v>44287</v>
      </c>
      <c r="M957" s="116">
        <v>466.15</v>
      </c>
      <c r="N957" s="116">
        <v>468.8</v>
      </c>
      <c r="O957" s="116">
        <v>461.05</v>
      </c>
      <c r="P957" s="116">
        <v>468.8</v>
      </c>
      <c r="Q957" s="116">
        <v>466.15</v>
      </c>
      <c r="R957">
        <v>25413</v>
      </c>
    </row>
    <row r="958" spans="1:18" x14ac:dyDescent="0.25">
      <c r="A958" s="170">
        <v>44291</v>
      </c>
      <c r="B958" s="116">
        <v>468.1</v>
      </c>
      <c r="C958" s="116">
        <v>464.15</v>
      </c>
      <c r="D958" s="116">
        <v>460.25</v>
      </c>
      <c r="E958" s="116">
        <v>464.6</v>
      </c>
      <c r="F958" s="116">
        <v>464.15</v>
      </c>
      <c r="G958">
        <v>7512</v>
      </c>
      <c r="H958" s="116"/>
      <c r="I958" s="116"/>
      <c r="L958" s="170">
        <v>44291</v>
      </c>
      <c r="M958" s="116">
        <v>464.7</v>
      </c>
      <c r="N958" s="116">
        <v>468.6</v>
      </c>
      <c r="O958" s="116">
        <v>460.5</v>
      </c>
      <c r="P958" s="116">
        <v>468.6</v>
      </c>
      <c r="Q958" s="116">
        <v>464.7</v>
      </c>
      <c r="R958">
        <v>22765</v>
      </c>
    </row>
    <row r="959" spans="1:18" x14ac:dyDescent="0.25">
      <c r="A959" s="170">
        <v>44292</v>
      </c>
      <c r="B959" s="116">
        <v>467</v>
      </c>
      <c r="C959" s="116">
        <v>454.3</v>
      </c>
      <c r="D959" s="116">
        <v>452</v>
      </c>
      <c r="E959" s="116">
        <v>461.95</v>
      </c>
      <c r="F959" s="116">
        <v>454.3</v>
      </c>
      <c r="G959">
        <v>8150</v>
      </c>
      <c r="H959" s="116"/>
      <c r="I959" s="116"/>
      <c r="L959" s="170">
        <v>44292</v>
      </c>
      <c r="M959" s="116">
        <v>453.25</v>
      </c>
      <c r="N959" s="116">
        <v>467.9</v>
      </c>
      <c r="O959" s="116">
        <v>451.75</v>
      </c>
      <c r="P959" s="116">
        <v>466.85</v>
      </c>
      <c r="Q959" s="116">
        <v>453.25</v>
      </c>
      <c r="R959">
        <v>38400</v>
      </c>
    </row>
    <row r="960" spans="1:18" x14ac:dyDescent="0.25">
      <c r="A960" s="170">
        <v>44293</v>
      </c>
      <c r="B960" s="116">
        <v>457</v>
      </c>
      <c r="C960" s="116">
        <v>440.5</v>
      </c>
      <c r="D960" s="116">
        <v>436.45</v>
      </c>
      <c r="E960" s="116">
        <v>457</v>
      </c>
      <c r="F960" s="116">
        <v>440.5</v>
      </c>
      <c r="G960">
        <v>6844</v>
      </c>
      <c r="H960" s="116"/>
      <c r="I960" s="116"/>
      <c r="L960" s="170">
        <v>44293</v>
      </c>
      <c r="M960" s="116">
        <v>441.55</v>
      </c>
      <c r="N960" s="116">
        <v>456.8</v>
      </c>
      <c r="O960" s="116">
        <v>436.3</v>
      </c>
      <c r="P960" s="116">
        <v>455.6</v>
      </c>
      <c r="Q960" s="116">
        <v>441.55</v>
      </c>
      <c r="R960">
        <v>66475</v>
      </c>
    </row>
    <row r="961" spans="1:18" x14ac:dyDescent="0.25">
      <c r="A961" s="170">
        <v>44294</v>
      </c>
      <c r="B961" s="116">
        <v>443.15</v>
      </c>
      <c r="C961" s="116">
        <v>440.05</v>
      </c>
      <c r="D961" s="116">
        <v>438.55</v>
      </c>
      <c r="E961" s="116">
        <v>440.55</v>
      </c>
      <c r="F961" s="116">
        <v>440.05</v>
      </c>
      <c r="G961">
        <v>1250</v>
      </c>
      <c r="H961" s="116"/>
      <c r="I961" s="116"/>
      <c r="L961" s="170">
        <v>44294</v>
      </c>
      <c r="M961" s="116">
        <v>439.75</v>
      </c>
      <c r="N961" s="116">
        <v>447</v>
      </c>
      <c r="O961" s="116">
        <v>438</v>
      </c>
      <c r="P961" s="116">
        <v>447</v>
      </c>
      <c r="Q961" s="116">
        <v>439.75</v>
      </c>
      <c r="R961">
        <v>39259</v>
      </c>
    </row>
    <row r="962" spans="1:18" x14ac:dyDescent="0.25">
      <c r="A962" s="170">
        <v>44295</v>
      </c>
      <c r="B962" s="116">
        <v>443.55</v>
      </c>
      <c r="C962" s="116">
        <v>438.6</v>
      </c>
      <c r="D962" s="116">
        <v>436.55</v>
      </c>
      <c r="E962" s="116">
        <v>441.65</v>
      </c>
      <c r="F962" s="116">
        <v>438.6</v>
      </c>
      <c r="G962">
        <v>6763</v>
      </c>
      <c r="H962" s="116"/>
      <c r="I962" s="116"/>
      <c r="L962" s="170">
        <v>44295</v>
      </c>
      <c r="M962" s="116">
        <v>437.75</v>
      </c>
      <c r="N962" s="116">
        <v>444</v>
      </c>
      <c r="O962" s="116">
        <v>436</v>
      </c>
      <c r="P962" s="116">
        <v>441.25</v>
      </c>
      <c r="Q962" s="116">
        <v>437.75</v>
      </c>
      <c r="R962">
        <v>46244</v>
      </c>
    </row>
    <row r="963" spans="1:18" x14ac:dyDescent="0.25">
      <c r="A963" s="170">
        <v>44298</v>
      </c>
      <c r="B963" s="116">
        <v>436</v>
      </c>
      <c r="C963" s="116">
        <v>417.1</v>
      </c>
      <c r="D963" s="116">
        <v>408.9</v>
      </c>
      <c r="E963" s="116">
        <v>436</v>
      </c>
      <c r="F963" s="116">
        <v>417.1</v>
      </c>
      <c r="G963">
        <v>3884</v>
      </c>
      <c r="H963" s="116"/>
      <c r="I963" s="116"/>
      <c r="L963" s="170">
        <v>44298</v>
      </c>
      <c r="M963" s="116">
        <v>419</v>
      </c>
      <c r="N963" s="116">
        <v>435.25</v>
      </c>
      <c r="O963" s="116">
        <v>408.15</v>
      </c>
      <c r="P963" s="116">
        <v>431</v>
      </c>
      <c r="Q963" s="116">
        <v>419</v>
      </c>
      <c r="R963">
        <v>42849</v>
      </c>
    </row>
    <row r="964" spans="1:18" x14ac:dyDescent="0.25">
      <c r="A964" s="170">
        <v>44299</v>
      </c>
      <c r="B964" s="116">
        <v>433.85</v>
      </c>
      <c r="C964" s="116">
        <v>429.2</v>
      </c>
      <c r="D964" s="116">
        <v>415.85</v>
      </c>
      <c r="E964" s="116">
        <v>419.6</v>
      </c>
      <c r="F964" s="116">
        <v>429.2</v>
      </c>
      <c r="G964">
        <v>1502</v>
      </c>
      <c r="H964" s="116"/>
      <c r="I964" s="116"/>
      <c r="L964" s="170">
        <v>44299</v>
      </c>
      <c r="M964" s="116">
        <v>428.65</v>
      </c>
      <c r="N964" s="116">
        <v>434.5</v>
      </c>
      <c r="O964" s="116">
        <v>416.55</v>
      </c>
      <c r="P964" s="116">
        <v>421.2</v>
      </c>
      <c r="Q964" s="116">
        <v>428.65</v>
      </c>
      <c r="R964">
        <v>27212</v>
      </c>
    </row>
    <row r="965" spans="1:18" x14ac:dyDescent="0.25">
      <c r="A965" s="170">
        <v>44301</v>
      </c>
      <c r="B965" s="116">
        <v>433.3</v>
      </c>
      <c r="C965" s="116">
        <v>418.85</v>
      </c>
      <c r="D965" s="116">
        <v>413.3</v>
      </c>
      <c r="E965" s="116">
        <v>421.45</v>
      </c>
      <c r="F965" s="116">
        <v>418.85</v>
      </c>
      <c r="G965">
        <v>4611</v>
      </c>
      <c r="H965" s="116"/>
      <c r="I965" s="116"/>
      <c r="L965" s="170">
        <v>44301</v>
      </c>
      <c r="M965" s="116">
        <v>418.55</v>
      </c>
      <c r="N965" s="116">
        <v>433.45</v>
      </c>
      <c r="O965" s="116">
        <v>412.5</v>
      </c>
      <c r="P965" s="116">
        <v>430.8</v>
      </c>
      <c r="Q965" s="116">
        <v>418.55</v>
      </c>
      <c r="R965">
        <v>30978</v>
      </c>
    </row>
    <row r="966" spans="1:18" x14ac:dyDescent="0.25">
      <c r="A966" s="170">
        <v>44302</v>
      </c>
      <c r="B966" s="116">
        <v>418.15</v>
      </c>
      <c r="C966" s="116">
        <v>414.1</v>
      </c>
      <c r="D966" s="116">
        <v>410.15</v>
      </c>
      <c r="E966" s="116">
        <v>418.15</v>
      </c>
      <c r="F966" s="116">
        <v>414.1</v>
      </c>
      <c r="G966">
        <v>3326</v>
      </c>
      <c r="H966" s="116"/>
      <c r="I966" s="116"/>
      <c r="L966" s="170">
        <v>44302</v>
      </c>
      <c r="M966" s="116">
        <v>413.95</v>
      </c>
      <c r="N966" s="116">
        <v>418</v>
      </c>
      <c r="O966" s="116">
        <v>412.2</v>
      </c>
      <c r="P966" s="116">
        <v>418</v>
      </c>
      <c r="Q966" s="116">
        <v>413.95</v>
      </c>
      <c r="R966">
        <v>28070</v>
      </c>
    </row>
    <row r="967" spans="1:18" x14ac:dyDescent="0.25">
      <c r="A967" s="170">
        <v>44305</v>
      </c>
      <c r="B967" s="116">
        <v>414</v>
      </c>
      <c r="C967" s="116">
        <v>407.2</v>
      </c>
      <c r="D967" s="116">
        <v>401.3</v>
      </c>
      <c r="E967" s="116">
        <v>405.1</v>
      </c>
      <c r="F967" s="116">
        <v>407.2</v>
      </c>
      <c r="G967">
        <v>5845</v>
      </c>
      <c r="H967" s="116"/>
      <c r="I967" s="116"/>
      <c r="L967" s="170">
        <v>44305</v>
      </c>
      <c r="M967" s="116">
        <v>407.2</v>
      </c>
      <c r="N967" s="116">
        <v>414</v>
      </c>
      <c r="O967" s="116">
        <v>401</v>
      </c>
      <c r="P967" s="116">
        <v>413.95</v>
      </c>
      <c r="Q967" s="116">
        <v>407.2</v>
      </c>
      <c r="R967">
        <v>21476</v>
      </c>
    </row>
    <row r="968" spans="1:18" x14ac:dyDescent="0.25">
      <c r="A968" s="170">
        <v>44306</v>
      </c>
      <c r="B968" s="116">
        <v>416.65</v>
      </c>
      <c r="C968" s="116">
        <v>412.5</v>
      </c>
      <c r="D968" s="116">
        <v>409.55</v>
      </c>
      <c r="E968" s="116">
        <v>413.4</v>
      </c>
      <c r="F968" s="116">
        <v>412.5</v>
      </c>
      <c r="G968">
        <v>1048</v>
      </c>
      <c r="H968" s="116"/>
      <c r="I968" s="116"/>
      <c r="L968" s="170">
        <v>44306</v>
      </c>
      <c r="M968" s="116">
        <v>412.95</v>
      </c>
      <c r="N968" s="116">
        <v>418.15</v>
      </c>
      <c r="O968" s="116">
        <v>403.6</v>
      </c>
      <c r="P968" s="116">
        <v>403.6</v>
      </c>
      <c r="Q968" s="116">
        <v>412.95</v>
      </c>
      <c r="R968">
        <v>18774</v>
      </c>
    </row>
    <row r="969" spans="1:18" x14ac:dyDescent="0.25">
      <c r="A969" s="170">
        <v>44308</v>
      </c>
      <c r="B969" s="116">
        <v>430.15</v>
      </c>
      <c r="C969" s="116">
        <v>426.15</v>
      </c>
      <c r="D969" s="116">
        <v>410.2</v>
      </c>
      <c r="E969" s="116">
        <v>412.5</v>
      </c>
      <c r="F969" s="116">
        <v>426.15</v>
      </c>
      <c r="G969">
        <v>34693</v>
      </c>
      <c r="H969" s="116"/>
      <c r="I969" s="116"/>
      <c r="L969" s="170">
        <v>44308</v>
      </c>
      <c r="M969" s="116">
        <v>424.8</v>
      </c>
      <c r="N969" s="116">
        <v>431.45</v>
      </c>
      <c r="O969" s="116">
        <v>405.05</v>
      </c>
      <c r="P969" s="116">
        <v>405.05</v>
      </c>
      <c r="Q969" s="116">
        <v>424.8</v>
      </c>
      <c r="R969">
        <v>101053</v>
      </c>
    </row>
    <row r="970" spans="1:18" x14ac:dyDescent="0.25">
      <c r="A970" s="170">
        <v>44309</v>
      </c>
      <c r="B970" s="116">
        <v>431.65</v>
      </c>
      <c r="C970" s="116">
        <v>426.7</v>
      </c>
      <c r="D970" s="116">
        <v>423.1</v>
      </c>
      <c r="E970" s="116">
        <v>429.95</v>
      </c>
      <c r="F970" s="116">
        <v>426.7</v>
      </c>
      <c r="G970">
        <v>2882</v>
      </c>
      <c r="H970" s="116"/>
      <c r="I970" s="116"/>
      <c r="L970" s="170">
        <v>44309</v>
      </c>
      <c r="M970" s="116">
        <v>427.75</v>
      </c>
      <c r="N970" s="116">
        <v>431.7</v>
      </c>
      <c r="O970" s="116">
        <v>422.8</v>
      </c>
      <c r="P970" s="116">
        <v>429.9</v>
      </c>
      <c r="Q970" s="116">
        <v>427.75</v>
      </c>
      <c r="R970">
        <v>19020</v>
      </c>
    </row>
    <row r="971" spans="1:18" x14ac:dyDescent="0.25">
      <c r="A971" s="170">
        <v>44312</v>
      </c>
      <c r="B971" s="116">
        <v>427.45</v>
      </c>
      <c r="C971" s="116">
        <v>424.4</v>
      </c>
      <c r="D971" s="116">
        <v>421.5</v>
      </c>
      <c r="E971" s="116">
        <v>426</v>
      </c>
      <c r="F971" s="116">
        <v>424.4</v>
      </c>
      <c r="G971">
        <v>1509</v>
      </c>
      <c r="H971" s="116"/>
      <c r="I971" s="116"/>
      <c r="L971" s="170">
        <v>44312</v>
      </c>
      <c r="M971" s="116">
        <v>422.65</v>
      </c>
      <c r="N971" s="116">
        <v>429.85</v>
      </c>
      <c r="O971" s="116">
        <v>421</v>
      </c>
      <c r="P971" s="116">
        <v>429.85</v>
      </c>
      <c r="Q971" s="116">
        <v>422.65</v>
      </c>
      <c r="R971">
        <v>12063</v>
      </c>
    </row>
    <row r="972" spans="1:18" x14ac:dyDescent="0.25">
      <c r="A972" s="170">
        <v>44313</v>
      </c>
      <c r="B972" s="116">
        <v>426.9</v>
      </c>
      <c r="C972" s="116">
        <v>418.2</v>
      </c>
      <c r="D972" s="116">
        <v>417.7</v>
      </c>
      <c r="E972" s="116">
        <v>425.55</v>
      </c>
      <c r="F972" s="116">
        <v>418.2</v>
      </c>
      <c r="G972">
        <v>1856</v>
      </c>
      <c r="H972" s="116"/>
      <c r="I972" s="116"/>
      <c r="L972" s="170">
        <v>44313</v>
      </c>
      <c r="M972" s="116">
        <v>418.95</v>
      </c>
      <c r="N972" s="116">
        <v>426.65</v>
      </c>
      <c r="O972" s="116">
        <v>417.05</v>
      </c>
      <c r="P972" s="116">
        <v>418.8</v>
      </c>
      <c r="Q972" s="116">
        <v>418.95</v>
      </c>
      <c r="R972">
        <v>11560</v>
      </c>
    </row>
    <row r="973" spans="1:18" x14ac:dyDescent="0.25">
      <c r="A973" s="170">
        <v>44314</v>
      </c>
      <c r="B973" s="116">
        <v>419</v>
      </c>
      <c r="C973" s="116">
        <v>415.35</v>
      </c>
      <c r="D973" s="116">
        <v>415.1</v>
      </c>
      <c r="E973" s="116">
        <v>417.2</v>
      </c>
      <c r="F973" s="116">
        <v>415.35</v>
      </c>
      <c r="G973">
        <v>1095</v>
      </c>
      <c r="H973" s="116"/>
      <c r="I973" s="116"/>
      <c r="L973" s="170">
        <v>44314</v>
      </c>
      <c r="M973" s="116">
        <v>416.3</v>
      </c>
      <c r="N973" s="116">
        <v>422.9</v>
      </c>
      <c r="O973" s="116">
        <v>415</v>
      </c>
      <c r="P973" s="116">
        <v>421</v>
      </c>
      <c r="Q973" s="116">
        <v>416.3</v>
      </c>
      <c r="R973">
        <v>16495</v>
      </c>
    </row>
    <row r="974" spans="1:18" x14ac:dyDescent="0.25">
      <c r="A974" s="170">
        <v>44315</v>
      </c>
      <c r="B974" s="116">
        <v>417.2</v>
      </c>
      <c r="C974" s="116">
        <v>412.55</v>
      </c>
      <c r="D974" s="116">
        <v>412.25</v>
      </c>
      <c r="E974" s="116">
        <v>417.2</v>
      </c>
      <c r="F974" s="116">
        <v>412.55</v>
      </c>
      <c r="G974">
        <v>530</v>
      </c>
      <c r="H974" s="116"/>
      <c r="I974" s="116"/>
      <c r="L974" s="170">
        <v>44315</v>
      </c>
      <c r="M974" s="116">
        <v>412.9</v>
      </c>
      <c r="N974" s="116">
        <v>418.55</v>
      </c>
      <c r="O974" s="116">
        <v>412.05</v>
      </c>
      <c r="P974" s="116">
        <v>415</v>
      </c>
      <c r="Q974" s="116">
        <v>412.9</v>
      </c>
      <c r="R974">
        <v>11701</v>
      </c>
    </row>
    <row r="975" spans="1:18" x14ac:dyDescent="0.25">
      <c r="A975" s="170">
        <v>44316</v>
      </c>
      <c r="B975" s="116">
        <v>419.05</v>
      </c>
      <c r="C975" s="116">
        <v>411.15</v>
      </c>
      <c r="D975" s="116">
        <v>411</v>
      </c>
      <c r="E975" s="116">
        <v>411.3</v>
      </c>
      <c r="F975" s="116">
        <v>411.15</v>
      </c>
      <c r="G975">
        <v>697</v>
      </c>
      <c r="H975" s="116"/>
      <c r="I975" s="116"/>
      <c r="L975" s="170">
        <v>44316</v>
      </c>
      <c r="M975" s="116">
        <v>412.65</v>
      </c>
      <c r="N975" s="116">
        <v>419.5</v>
      </c>
      <c r="O975" s="116">
        <v>410</v>
      </c>
      <c r="P975" s="116">
        <v>410</v>
      </c>
      <c r="Q975" s="116">
        <v>412.65</v>
      </c>
      <c r="R975">
        <v>13224</v>
      </c>
    </row>
    <row r="976" spans="1:18" x14ac:dyDescent="0.25">
      <c r="A976" s="170">
        <v>44319</v>
      </c>
      <c r="B976" s="116">
        <v>445.2</v>
      </c>
      <c r="C976" s="116">
        <v>428.45</v>
      </c>
      <c r="D976" s="116">
        <v>413.55</v>
      </c>
      <c r="E976" s="116">
        <v>415.95</v>
      </c>
      <c r="F976" s="116">
        <v>428.45</v>
      </c>
      <c r="G976">
        <v>7830</v>
      </c>
      <c r="H976" s="116"/>
      <c r="I976" s="116"/>
      <c r="L976" s="170">
        <v>44319</v>
      </c>
      <c r="M976" s="116">
        <v>429.05</v>
      </c>
      <c r="N976" s="116">
        <v>446.65</v>
      </c>
      <c r="O976" s="116">
        <v>411.35</v>
      </c>
      <c r="P976" s="116">
        <v>412</v>
      </c>
      <c r="Q976" s="116">
        <v>429.05</v>
      </c>
      <c r="R976">
        <v>293204</v>
      </c>
    </row>
    <row r="977" spans="1:18" x14ac:dyDescent="0.25">
      <c r="A977" s="170">
        <v>44320</v>
      </c>
      <c r="B977" s="116">
        <v>430.4</v>
      </c>
      <c r="C977" s="116">
        <v>417.4</v>
      </c>
      <c r="D977" s="116">
        <v>415</v>
      </c>
      <c r="E977" s="116">
        <v>428.15</v>
      </c>
      <c r="F977" s="116">
        <v>417.4</v>
      </c>
      <c r="G977">
        <v>2161</v>
      </c>
      <c r="H977" s="116"/>
      <c r="I977" s="116"/>
      <c r="L977" s="170">
        <v>44320</v>
      </c>
      <c r="M977" s="116">
        <v>416.95</v>
      </c>
      <c r="N977" s="116">
        <v>431.9</v>
      </c>
      <c r="O977" s="116">
        <v>415.55</v>
      </c>
      <c r="P977" s="116">
        <v>428.75</v>
      </c>
      <c r="Q977" s="116">
        <v>416.95</v>
      </c>
      <c r="R977">
        <v>48820</v>
      </c>
    </row>
    <row r="978" spans="1:18" x14ac:dyDescent="0.25">
      <c r="A978" s="170">
        <v>44321</v>
      </c>
      <c r="B978" s="116">
        <v>424.8</v>
      </c>
      <c r="C978" s="116">
        <v>413.3</v>
      </c>
      <c r="D978" s="116">
        <v>412</v>
      </c>
      <c r="E978" s="116">
        <v>419</v>
      </c>
      <c r="F978" s="116">
        <v>413.3</v>
      </c>
      <c r="G978">
        <v>2054</v>
      </c>
      <c r="H978" s="116"/>
      <c r="I978" s="116"/>
      <c r="L978" s="170">
        <v>44321</v>
      </c>
      <c r="M978" s="116">
        <v>413.25</v>
      </c>
      <c r="N978" s="116">
        <v>425.25</v>
      </c>
      <c r="O978" s="116">
        <v>411.8</v>
      </c>
      <c r="P978" s="116">
        <v>415</v>
      </c>
      <c r="Q978" s="116">
        <v>413.25</v>
      </c>
      <c r="R978">
        <v>18422</v>
      </c>
    </row>
    <row r="979" spans="1:18" x14ac:dyDescent="0.25">
      <c r="A979" s="170">
        <v>44322</v>
      </c>
      <c r="B979" s="116">
        <v>422.95</v>
      </c>
      <c r="C979" s="116">
        <v>413.7</v>
      </c>
      <c r="D979" s="116">
        <v>412.65</v>
      </c>
      <c r="E979" s="116">
        <v>415.6</v>
      </c>
      <c r="F979" s="116">
        <v>413.7</v>
      </c>
      <c r="G979">
        <v>2950</v>
      </c>
      <c r="H979" s="116"/>
      <c r="I979" s="116"/>
      <c r="L979" s="170">
        <v>44322</v>
      </c>
      <c r="M979" s="116">
        <v>413.7</v>
      </c>
      <c r="N979" s="116">
        <v>422</v>
      </c>
      <c r="O979" s="116">
        <v>412</v>
      </c>
      <c r="P979" s="116">
        <v>414.5</v>
      </c>
      <c r="Q979" s="116">
        <v>413.7</v>
      </c>
      <c r="R979">
        <v>11237</v>
      </c>
    </row>
    <row r="980" spans="1:18" x14ac:dyDescent="0.25">
      <c r="A980" s="170">
        <v>44323</v>
      </c>
      <c r="B980" s="116">
        <v>417.75</v>
      </c>
      <c r="C980" s="116">
        <v>412.45</v>
      </c>
      <c r="D980" s="116">
        <v>411</v>
      </c>
      <c r="E980" s="116">
        <v>417.2</v>
      </c>
      <c r="F980" s="116">
        <v>412.45</v>
      </c>
      <c r="G980">
        <v>2776</v>
      </c>
      <c r="H980" s="116"/>
      <c r="I980" s="116"/>
      <c r="L980" s="170">
        <v>44323</v>
      </c>
      <c r="M980" s="116">
        <v>412.5</v>
      </c>
      <c r="N980" s="116">
        <v>419.6</v>
      </c>
      <c r="O980" s="116">
        <v>411</v>
      </c>
      <c r="P980" s="116">
        <v>415.8</v>
      </c>
      <c r="Q980" s="116">
        <v>412.5</v>
      </c>
      <c r="R980">
        <v>15679</v>
      </c>
    </row>
    <row r="981" spans="1:18" x14ac:dyDescent="0.25">
      <c r="A981" s="170">
        <v>44326</v>
      </c>
      <c r="B981" s="116">
        <v>416.25</v>
      </c>
      <c r="C981" s="116">
        <v>410.25</v>
      </c>
      <c r="D981" s="116">
        <v>409.9</v>
      </c>
      <c r="E981" s="116">
        <v>414.7</v>
      </c>
      <c r="F981" s="116">
        <v>410.25</v>
      </c>
      <c r="G981">
        <v>3965</v>
      </c>
      <c r="H981" s="116"/>
      <c r="I981" s="116"/>
      <c r="L981" s="170">
        <v>44326</v>
      </c>
      <c r="M981" s="116">
        <v>410.6</v>
      </c>
      <c r="N981" s="116">
        <v>416.9</v>
      </c>
      <c r="O981" s="116">
        <v>410</v>
      </c>
      <c r="P981" s="116">
        <v>414.9</v>
      </c>
      <c r="Q981" s="116">
        <v>410.6</v>
      </c>
      <c r="R981">
        <v>33609</v>
      </c>
    </row>
    <row r="982" spans="1:18" x14ac:dyDescent="0.25">
      <c r="A982" s="170">
        <v>44327</v>
      </c>
      <c r="B982" s="116">
        <v>409.8</v>
      </c>
      <c r="C982" s="116">
        <v>405.65</v>
      </c>
      <c r="D982" s="116">
        <v>403.8</v>
      </c>
      <c r="E982" s="116">
        <v>408.5</v>
      </c>
      <c r="F982" s="116">
        <v>405.65</v>
      </c>
      <c r="G982">
        <v>1710</v>
      </c>
      <c r="H982" s="116"/>
      <c r="I982" s="116"/>
      <c r="L982" s="170">
        <v>44327</v>
      </c>
      <c r="M982" s="116">
        <v>405</v>
      </c>
      <c r="N982" s="116">
        <v>412.7</v>
      </c>
      <c r="O982" s="116">
        <v>403</v>
      </c>
      <c r="P982" s="116">
        <v>411.05</v>
      </c>
      <c r="Q982" s="116">
        <v>405</v>
      </c>
      <c r="R982">
        <v>40349</v>
      </c>
    </row>
    <row r="983" spans="1:18" x14ac:dyDescent="0.25">
      <c r="A983" s="170">
        <v>44328</v>
      </c>
      <c r="B983" s="116">
        <v>406.2</v>
      </c>
      <c r="C983" s="116">
        <v>401.85</v>
      </c>
      <c r="D983" s="116">
        <v>400.05</v>
      </c>
      <c r="E983" s="116">
        <v>406.2</v>
      </c>
      <c r="F983" s="116">
        <v>401.85</v>
      </c>
      <c r="G983">
        <v>7048</v>
      </c>
      <c r="H983" s="116"/>
      <c r="I983" s="116"/>
      <c r="L983" s="170">
        <v>44328</v>
      </c>
      <c r="M983" s="116">
        <v>400.9</v>
      </c>
      <c r="N983" s="116">
        <v>405.95</v>
      </c>
      <c r="O983" s="116">
        <v>399.65</v>
      </c>
      <c r="P983" s="116">
        <v>405</v>
      </c>
      <c r="Q983" s="116">
        <v>400.9</v>
      </c>
      <c r="R983">
        <v>36212</v>
      </c>
    </row>
    <row r="984" spans="1:18" x14ac:dyDescent="0.25">
      <c r="A984" s="170">
        <v>44330</v>
      </c>
      <c r="B984" s="116">
        <v>405.35</v>
      </c>
      <c r="C984" s="116">
        <v>400.05</v>
      </c>
      <c r="D984" s="116">
        <v>398</v>
      </c>
      <c r="E984" s="116">
        <v>401</v>
      </c>
      <c r="F984" s="116">
        <v>400.05</v>
      </c>
      <c r="G984">
        <v>9849</v>
      </c>
      <c r="H984" s="116"/>
      <c r="I984" s="116"/>
      <c r="L984" s="170">
        <v>44330</v>
      </c>
      <c r="M984" s="116">
        <v>399.95</v>
      </c>
      <c r="N984" s="116">
        <v>405.55</v>
      </c>
      <c r="O984" s="116">
        <v>397.15</v>
      </c>
      <c r="P984" s="116">
        <v>400.9</v>
      </c>
      <c r="Q984" s="116">
        <v>399.95</v>
      </c>
      <c r="R984">
        <v>90704</v>
      </c>
    </row>
    <row r="985" spans="1:18" x14ac:dyDescent="0.25">
      <c r="A985" s="170">
        <v>44333</v>
      </c>
      <c r="B985" s="116">
        <v>406.5</v>
      </c>
      <c r="C985" s="116">
        <v>399.8</v>
      </c>
      <c r="D985" s="116">
        <v>398.5</v>
      </c>
      <c r="E985" s="116">
        <v>402.5</v>
      </c>
      <c r="F985" s="116">
        <v>399.8</v>
      </c>
      <c r="G985">
        <v>3111</v>
      </c>
      <c r="H985" s="116"/>
      <c r="I985" s="116"/>
      <c r="L985" s="170">
        <v>44333</v>
      </c>
      <c r="M985" s="116">
        <v>400.05</v>
      </c>
      <c r="N985" s="116">
        <v>405</v>
      </c>
      <c r="O985" s="116">
        <v>399.1</v>
      </c>
      <c r="P985" s="116">
        <v>401.95</v>
      </c>
      <c r="Q985" s="116">
        <v>400.05</v>
      </c>
      <c r="R985">
        <v>38159</v>
      </c>
    </row>
    <row r="986" spans="1:18" x14ac:dyDescent="0.25">
      <c r="A986" s="170">
        <v>44334</v>
      </c>
      <c r="B986" s="116">
        <v>404.95</v>
      </c>
      <c r="C986" s="116">
        <v>402.35</v>
      </c>
      <c r="D986" s="116">
        <v>394</v>
      </c>
      <c r="E986" s="116">
        <v>394</v>
      </c>
      <c r="F986" s="116">
        <v>402.35</v>
      </c>
      <c r="G986">
        <v>1907</v>
      </c>
      <c r="H986" s="116"/>
      <c r="I986" s="116"/>
      <c r="L986" s="170">
        <v>44334</v>
      </c>
      <c r="M986" s="116">
        <v>400.85</v>
      </c>
      <c r="N986" s="116">
        <v>404.6</v>
      </c>
      <c r="O986" s="116">
        <v>399.85</v>
      </c>
      <c r="P986" s="116">
        <v>402.05</v>
      </c>
      <c r="Q986" s="116">
        <v>400.85</v>
      </c>
      <c r="R986">
        <v>47617</v>
      </c>
    </row>
    <row r="987" spans="1:18" x14ac:dyDescent="0.25">
      <c r="A987" s="170">
        <v>44335</v>
      </c>
      <c r="B987" s="116">
        <v>414</v>
      </c>
      <c r="C987" s="116">
        <v>400.05</v>
      </c>
      <c r="D987" s="116">
        <v>399</v>
      </c>
      <c r="E987" s="116">
        <v>405</v>
      </c>
      <c r="F987" s="116">
        <v>400.05</v>
      </c>
      <c r="G987">
        <v>8086</v>
      </c>
      <c r="H987" s="116"/>
      <c r="I987" s="116"/>
      <c r="L987" s="170">
        <v>44335</v>
      </c>
      <c r="M987" s="116">
        <v>399.9</v>
      </c>
      <c r="N987" s="116">
        <v>411</v>
      </c>
      <c r="O987" s="116">
        <v>399.05</v>
      </c>
      <c r="P987" s="116">
        <v>411</v>
      </c>
      <c r="Q987" s="116">
        <v>399.9</v>
      </c>
      <c r="R987">
        <v>52494</v>
      </c>
    </row>
    <row r="988" spans="1:18" x14ac:dyDescent="0.25">
      <c r="A988" s="170">
        <v>44336</v>
      </c>
      <c r="B988" s="116">
        <v>402.65</v>
      </c>
      <c r="C988" s="116">
        <v>399.9</v>
      </c>
      <c r="D988" s="116">
        <v>398.75</v>
      </c>
      <c r="E988" s="116">
        <v>402.65</v>
      </c>
      <c r="F988" s="116">
        <v>399.9</v>
      </c>
      <c r="G988">
        <v>3287</v>
      </c>
      <c r="H988" s="116"/>
      <c r="I988" s="116"/>
      <c r="L988" s="170">
        <v>44336</v>
      </c>
      <c r="M988" s="116">
        <v>399.95</v>
      </c>
      <c r="N988" s="116">
        <v>404.8</v>
      </c>
      <c r="O988" s="116">
        <v>398.55</v>
      </c>
      <c r="P988" s="116">
        <v>403.8</v>
      </c>
      <c r="Q988" s="116">
        <v>399.95</v>
      </c>
      <c r="R988">
        <v>29727</v>
      </c>
    </row>
    <row r="989" spans="1:18" x14ac:dyDescent="0.25">
      <c r="A989" s="170">
        <v>44337</v>
      </c>
      <c r="B989" s="116">
        <v>403.5</v>
      </c>
      <c r="C989" s="116">
        <v>399.8</v>
      </c>
      <c r="D989" s="116">
        <v>399.3</v>
      </c>
      <c r="E989" s="116">
        <v>403.45</v>
      </c>
      <c r="F989" s="116">
        <v>399.8</v>
      </c>
      <c r="G989">
        <v>2075</v>
      </c>
      <c r="H989" s="116"/>
      <c r="I989" s="116"/>
      <c r="L989" s="170">
        <v>44337</v>
      </c>
      <c r="M989" s="116">
        <v>400.05</v>
      </c>
      <c r="N989" s="116">
        <v>404.45</v>
      </c>
      <c r="O989" s="116">
        <v>399.5</v>
      </c>
      <c r="P989" s="116">
        <v>401.95</v>
      </c>
      <c r="Q989" s="116">
        <v>400.05</v>
      </c>
      <c r="R989">
        <v>41914</v>
      </c>
    </row>
    <row r="990" spans="1:18" x14ac:dyDescent="0.25">
      <c r="A990" s="170">
        <v>44340</v>
      </c>
      <c r="B990" s="116">
        <v>415.75</v>
      </c>
      <c r="C990" s="116">
        <v>412</v>
      </c>
      <c r="D990" s="116">
        <v>403.45</v>
      </c>
      <c r="E990" s="116">
        <v>403.45</v>
      </c>
      <c r="F990" s="116">
        <v>412</v>
      </c>
      <c r="G990">
        <v>12387</v>
      </c>
      <c r="H990" s="116"/>
      <c r="I990" s="116"/>
      <c r="L990" s="170">
        <v>44340</v>
      </c>
      <c r="M990" s="116">
        <v>411.25</v>
      </c>
      <c r="N990" s="116">
        <v>416</v>
      </c>
      <c r="O990" s="116">
        <v>402.25</v>
      </c>
      <c r="P990" s="116">
        <v>403.4</v>
      </c>
      <c r="Q990" s="116">
        <v>411.25</v>
      </c>
      <c r="R990">
        <v>233601</v>
      </c>
    </row>
    <row r="991" spans="1:18" x14ac:dyDescent="0.25">
      <c r="A991" s="170">
        <v>44341</v>
      </c>
      <c r="B991" s="116">
        <v>417.25</v>
      </c>
      <c r="C991" s="116">
        <v>410.1</v>
      </c>
      <c r="D991" s="116">
        <v>409.6</v>
      </c>
      <c r="E991" s="116">
        <v>414.8</v>
      </c>
      <c r="F991" s="116">
        <v>410.1</v>
      </c>
      <c r="G991">
        <v>10411</v>
      </c>
      <c r="H991" s="116"/>
      <c r="I991" s="116"/>
      <c r="L991" s="170">
        <v>44341</v>
      </c>
      <c r="M991" s="116">
        <v>409.9</v>
      </c>
      <c r="N991" s="116">
        <v>417.4</v>
      </c>
      <c r="O991" s="116">
        <v>408.2</v>
      </c>
      <c r="P991" s="116">
        <v>416.4</v>
      </c>
      <c r="Q991" s="116">
        <v>409.9</v>
      </c>
      <c r="R991">
        <v>34619</v>
      </c>
    </row>
    <row r="992" spans="1:18" x14ac:dyDescent="0.25">
      <c r="A992" s="170">
        <v>44342</v>
      </c>
      <c r="B992" s="116">
        <v>415.45</v>
      </c>
      <c r="C992" s="116">
        <v>410.8</v>
      </c>
      <c r="D992" s="116">
        <v>409.55</v>
      </c>
      <c r="E992" s="116">
        <v>414</v>
      </c>
      <c r="F992" s="116">
        <v>410.8</v>
      </c>
      <c r="G992">
        <v>5620</v>
      </c>
      <c r="H992" s="116"/>
      <c r="I992" s="116"/>
      <c r="L992" s="170">
        <v>44342</v>
      </c>
      <c r="M992" s="116">
        <v>411.6</v>
      </c>
      <c r="N992" s="116">
        <v>415.75</v>
      </c>
      <c r="O992" s="116">
        <v>409.85</v>
      </c>
      <c r="P992" s="116">
        <v>414.8</v>
      </c>
      <c r="Q992" s="116">
        <v>411.6</v>
      </c>
      <c r="R992">
        <v>26338</v>
      </c>
    </row>
    <row r="993" spans="1:18" x14ac:dyDescent="0.25">
      <c r="A993" s="170">
        <v>44343</v>
      </c>
      <c r="B993" s="116">
        <v>420.3</v>
      </c>
      <c r="C993" s="116">
        <v>405.05</v>
      </c>
      <c r="D993" s="116">
        <v>403.95</v>
      </c>
      <c r="E993" s="116">
        <v>420.3</v>
      </c>
      <c r="F993" s="116">
        <v>405.05</v>
      </c>
      <c r="G993">
        <v>2650</v>
      </c>
      <c r="H993" s="116"/>
      <c r="I993" s="116"/>
      <c r="L993" s="170">
        <v>44343</v>
      </c>
      <c r="M993" s="116">
        <v>404.8</v>
      </c>
      <c r="N993" s="116">
        <v>414</v>
      </c>
      <c r="O993" s="116">
        <v>404</v>
      </c>
      <c r="P993" s="116">
        <v>413.7</v>
      </c>
      <c r="Q993" s="116">
        <v>404.8</v>
      </c>
      <c r="R993">
        <v>30927</v>
      </c>
    </row>
    <row r="994" spans="1:18" x14ac:dyDescent="0.25">
      <c r="A994" s="170">
        <v>44344</v>
      </c>
      <c r="B994" s="116">
        <v>409.9</v>
      </c>
      <c r="C994" s="116">
        <v>399.45</v>
      </c>
      <c r="D994" s="116">
        <v>398</v>
      </c>
      <c r="E994" s="116">
        <v>407.6</v>
      </c>
      <c r="F994" s="116">
        <v>399.45</v>
      </c>
      <c r="G994">
        <v>4311</v>
      </c>
      <c r="H994" s="116"/>
      <c r="I994" s="116"/>
      <c r="L994" s="170">
        <v>44344</v>
      </c>
      <c r="M994" s="116">
        <v>400.05</v>
      </c>
      <c r="N994" s="116">
        <v>409.9</v>
      </c>
      <c r="O994" s="116">
        <v>399</v>
      </c>
      <c r="P994" s="116">
        <v>406.85</v>
      </c>
      <c r="Q994" s="116">
        <v>400.05</v>
      </c>
      <c r="R994">
        <v>62849</v>
      </c>
    </row>
    <row r="995" spans="1:18" x14ac:dyDescent="0.25">
      <c r="A995" s="170">
        <v>44347</v>
      </c>
      <c r="B995" s="116">
        <v>405.4</v>
      </c>
      <c r="C995" s="116">
        <v>400.35</v>
      </c>
      <c r="D995" s="116">
        <v>399.2</v>
      </c>
      <c r="E995" s="116">
        <v>404.8</v>
      </c>
      <c r="F995" s="116">
        <v>400.35</v>
      </c>
      <c r="G995">
        <v>3715</v>
      </c>
      <c r="H995" s="116"/>
      <c r="I995" s="116"/>
      <c r="L995" s="170">
        <v>44347</v>
      </c>
      <c r="M995" s="116">
        <v>400.05</v>
      </c>
      <c r="N995" s="116">
        <v>407.55</v>
      </c>
      <c r="O995" s="116">
        <v>399.3</v>
      </c>
      <c r="P995" s="116">
        <v>401</v>
      </c>
      <c r="Q995" s="116">
        <v>400.05</v>
      </c>
      <c r="R995">
        <v>147135</v>
      </c>
    </row>
    <row r="996" spans="1:18" x14ac:dyDescent="0.25">
      <c r="A996" s="170">
        <v>44348</v>
      </c>
      <c r="B996" s="116">
        <v>407.65</v>
      </c>
      <c r="C996" s="116">
        <v>400</v>
      </c>
      <c r="D996" s="116">
        <v>398.8</v>
      </c>
      <c r="E996" s="116">
        <v>404</v>
      </c>
      <c r="F996" s="116">
        <v>400</v>
      </c>
      <c r="G996">
        <v>4379</v>
      </c>
      <c r="H996" s="116"/>
      <c r="I996" s="116"/>
      <c r="L996" s="170">
        <v>44348</v>
      </c>
      <c r="M996" s="116">
        <v>399.75</v>
      </c>
      <c r="N996" s="116">
        <v>407.35</v>
      </c>
      <c r="O996" s="116">
        <v>398.95</v>
      </c>
      <c r="P996" s="116">
        <v>404</v>
      </c>
      <c r="Q996" s="116">
        <v>399.75</v>
      </c>
      <c r="R996">
        <v>50287</v>
      </c>
    </row>
    <row r="997" spans="1:18" x14ac:dyDescent="0.25">
      <c r="A997" s="170">
        <v>44349</v>
      </c>
      <c r="B997" s="116">
        <v>405.4</v>
      </c>
      <c r="C997" s="116">
        <v>401.75</v>
      </c>
      <c r="D997" s="116">
        <v>397.55</v>
      </c>
      <c r="E997" s="116">
        <v>405.4</v>
      </c>
      <c r="F997" s="116">
        <v>401.75</v>
      </c>
      <c r="G997">
        <v>5167</v>
      </c>
      <c r="H997" s="116"/>
      <c r="I997" s="116"/>
      <c r="L997" s="170">
        <v>44349</v>
      </c>
      <c r="M997" s="116">
        <v>400.8</v>
      </c>
      <c r="N997" s="116">
        <v>404.7</v>
      </c>
      <c r="O997" s="116">
        <v>397</v>
      </c>
      <c r="P997" s="116">
        <v>399.75</v>
      </c>
      <c r="Q997" s="116">
        <v>400.8</v>
      </c>
      <c r="R997">
        <v>76823</v>
      </c>
    </row>
    <row r="998" spans="1:18" x14ac:dyDescent="0.25">
      <c r="A998" s="170">
        <v>44350</v>
      </c>
      <c r="B998" s="116">
        <v>429.7</v>
      </c>
      <c r="C998" s="116">
        <v>418.65</v>
      </c>
      <c r="D998" s="116">
        <v>402</v>
      </c>
      <c r="E998" s="116">
        <v>402</v>
      </c>
      <c r="F998" s="116">
        <v>418.65</v>
      </c>
      <c r="G998">
        <v>28539</v>
      </c>
      <c r="H998" s="116"/>
      <c r="I998" s="116"/>
      <c r="L998" s="170">
        <v>44350</v>
      </c>
      <c r="M998" s="116">
        <v>418.95</v>
      </c>
      <c r="N998" s="116">
        <v>429.4</v>
      </c>
      <c r="O998" s="116">
        <v>403.05</v>
      </c>
      <c r="P998" s="116">
        <v>404.8</v>
      </c>
      <c r="Q998" s="116">
        <v>418.95</v>
      </c>
      <c r="R998">
        <v>231499</v>
      </c>
    </row>
    <row r="999" spans="1:18" x14ac:dyDescent="0.25">
      <c r="A999" s="170">
        <v>44351</v>
      </c>
      <c r="B999" s="116">
        <v>424.4</v>
      </c>
      <c r="C999" s="116">
        <v>422.65</v>
      </c>
      <c r="D999" s="116">
        <v>417.95</v>
      </c>
      <c r="E999" s="116">
        <v>422.4</v>
      </c>
      <c r="F999" s="116">
        <v>422.65</v>
      </c>
      <c r="G999">
        <v>2228</v>
      </c>
      <c r="H999" s="116"/>
      <c r="I999" s="116"/>
      <c r="L999" s="170">
        <v>44351</v>
      </c>
      <c r="M999" s="116">
        <v>422.55</v>
      </c>
      <c r="N999" s="116">
        <v>424.1</v>
      </c>
      <c r="O999" s="116">
        <v>417</v>
      </c>
      <c r="P999" s="116">
        <v>422.5</v>
      </c>
      <c r="Q999" s="116">
        <v>422.55</v>
      </c>
      <c r="R999">
        <v>66653</v>
      </c>
    </row>
    <row r="1000" spans="1:18" x14ac:dyDescent="0.25">
      <c r="A1000" s="170">
        <v>44354</v>
      </c>
      <c r="B1000" s="116">
        <v>433</v>
      </c>
      <c r="C1000" s="116">
        <v>429.75</v>
      </c>
      <c r="D1000" s="116">
        <v>423.55</v>
      </c>
      <c r="E1000" s="116">
        <v>423.55</v>
      </c>
      <c r="F1000" s="116">
        <v>429.75</v>
      </c>
      <c r="G1000">
        <v>10448</v>
      </c>
      <c r="H1000" s="116"/>
      <c r="I1000" s="116"/>
      <c r="L1000" s="170">
        <v>44354</v>
      </c>
      <c r="M1000" s="116">
        <v>430.05</v>
      </c>
      <c r="N1000" s="116">
        <v>434</v>
      </c>
      <c r="O1000" s="116">
        <v>423.5</v>
      </c>
      <c r="P1000" s="116">
        <v>430.5</v>
      </c>
      <c r="Q1000" s="116">
        <v>430.05</v>
      </c>
      <c r="R1000">
        <v>67077</v>
      </c>
    </row>
    <row r="1001" spans="1:18" x14ac:dyDescent="0.25">
      <c r="A1001" s="170">
        <v>44355</v>
      </c>
      <c r="B1001" s="116">
        <v>436.7</v>
      </c>
      <c r="C1001" s="116">
        <v>428.3</v>
      </c>
      <c r="D1001" s="116">
        <v>425</v>
      </c>
      <c r="E1001" s="116">
        <v>434.85</v>
      </c>
      <c r="F1001" s="116">
        <v>428.3</v>
      </c>
      <c r="G1001">
        <v>2866</v>
      </c>
      <c r="H1001" s="116"/>
      <c r="I1001" s="116"/>
      <c r="L1001" s="170">
        <v>44355</v>
      </c>
      <c r="M1001" s="116">
        <v>427.55</v>
      </c>
      <c r="N1001" s="116">
        <v>436.9</v>
      </c>
      <c r="O1001" s="116">
        <v>423.05</v>
      </c>
      <c r="P1001" s="116">
        <v>433.5</v>
      </c>
      <c r="Q1001" s="116">
        <v>427.55</v>
      </c>
      <c r="R1001">
        <v>96752</v>
      </c>
    </row>
    <row r="1002" spans="1:18" x14ac:dyDescent="0.25">
      <c r="A1002" s="170">
        <v>44356</v>
      </c>
      <c r="B1002" s="116">
        <v>439.95</v>
      </c>
      <c r="C1002" s="116">
        <v>423.25</v>
      </c>
      <c r="D1002" s="116">
        <v>422.05</v>
      </c>
      <c r="E1002" s="116">
        <v>427.5</v>
      </c>
      <c r="F1002" s="116">
        <v>423.25</v>
      </c>
      <c r="G1002">
        <v>17831</v>
      </c>
      <c r="H1002" s="116"/>
      <c r="I1002" s="116"/>
      <c r="L1002" s="170">
        <v>44356</v>
      </c>
      <c r="M1002" s="116">
        <v>423.65</v>
      </c>
      <c r="N1002" s="116">
        <v>440</v>
      </c>
      <c r="O1002" s="116">
        <v>422.05</v>
      </c>
      <c r="P1002" s="116">
        <v>427.55</v>
      </c>
      <c r="Q1002" s="116">
        <v>423.65</v>
      </c>
      <c r="R1002">
        <v>157437</v>
      </c>
    </row>
    <row r="1003" spans="1:18" x14ac:dyDescent="0.25">
      <c r="A1003" s="170">
        <v>44357</v>
      </c>
      <c r="B1003" s="116">
        <v>441</v>
      </c>
      <c r="C1003" s="116">
        <v>432.15</v>
      </c>
      <c r="D1003" s="116">
        <v>426</v>
      </c>
      <c r="E1003" s="116">
        <v>433.1</v>
      </c>
      <c r="F1003" s="116">
        <v>432.15</v>
      </c>
      <c r="G1003">
        <v>9318</v>
      </c>
      <c r="H1003" s="116"/>
      <c r="I1003" s="116"/>
      <c r="L1003" s="170">
        <v>44357</v>
      </c>
      <c r="M1003" s="116">
        <v>435.25</v>
      </c>
      <c r="N1003" s="116">
        <v>439.15</v>
      </c>
      <c r="O1003" s="116">
        <v>425</v>
      </c>
      <c r="P1003" s="116">
        <v>425</v>
      </c>
      <c r="Q1003" s="116">
        <v>435.25</v>
      </c>
      <c r="R1003">
        <v>120831</v>
      </c>
    </row>
    <row r="1004" spans="1:18" x14ac:dyDescent="0.25">
      <c r="A1004" s="170">
        <v>44358</v>
      </c>
      <c r="B1004" s="116">
        <v>475</v>
      </c>
      <c r="C1004" s="116">
        <v>460</v>
      </c>
      <c r="D1004" s="116">
        <v>441.7</v>
      </c>
      <c r="E1004" s="116">
        <v>441.7</v>
      </c>
      <c r="F1004" s="116">
        <v>460</v>
      </c>
      <c r="G1004">
        <v>21889</v>
      </c>
      <c r="H1004" s="116"/>
      <c r="I1004" s="116"/>
      <c r="L1004" s="170">
        <v>44358</v>
      </c>
      <c r="M1004" s="116">
        <v>457.2</v>
      </c>
      <c r="N1004" s="116">
        <v>473.95</v>
      </c>
      <c r="O1004" s="116">
        <v>437.5</v>
      </c>
      <c r="P1004" s="116">
        <v>437.5</v>
      </c>
      <c r="Q1004" s="116">
        <v>457.2</v>
      </c>
      <c r="R1004">
        <v>683620</v>
      </c>
    </row>
    <row r="1005" spans="1:18" x14ac:dyDescent="0.25">
      <c r="A1005" s="170">
        <v>44361</v>
      </c>
      <c r="B1005" s="116">
        <v>457</v>
      </c>
      <c r="C1005" s="116">
        <v>442.55</v>
      </c>
      <c r="D1005" s="116">
        <v>435</v>
      </c>
      <c r="E1005" s="116">
        <v>451</v>
      </c>
      <c r="F1005" s="116">
        <v>442.55</v>
      </c>
      <c r="G1005">
        <v>19747</v>
      </c>
      <c r="H1005" s="116"/>
      <c r="I1005" s="116"/>
      <c r="L1005" s="170">
        <v>44361</v>
      </c>
      <c r="M1005" s="116">
        <v>440.45</v>
      </c>
      <c r="N1005" s="116">
        <v>457.5</v>
      </c>
      <c r="O1005" s="116">
        <v>435.35</v>
      </c>
      <c r="P1005" s="116">
        <v>457.5</v>
      </c>
      <c r="Q1005" s="116">
        <v>440.45</v>
      </c>
      <c r="R1005">
        <v>141962</v>
      </c>
    </row>
    <row r="1006" spans="1:18" x14ac:dyDescent="0.25">
      <c r="A1006" s="170">
        <v>44362</v>
      </c>
      <c r="B1006" s="116">
        <v>454.35</v>
      </c>
      <c r="C1006" s="116">
        <v>444.6</v>
      </c>
      <c r="D1006" s="116">
        <v>442.25</v>
      </c>
      <c r="E1006" s="116">
        <v>447.1</v>
      </c>
      <c r="F1006" s="116">
        <v>444.6</v>
      </c>
      <c r="G1006">
        <v>6689</v>
      </c>
      <c r="H1006" s="116"/>
      <c r="I1006" s="116"/>
      <c r="L1006" s="170">
        <v>44362</v>
      </c>
      <c r="M1006" s="116">
        <v>444.05</v>
      </c>
      <c r="N1006" s="116">
        <v>454.35</v>
      </c>
      <c r="O1006" s="116">
        <v>440.9</v>
      </c>
      <c r="P1006" s="116">
        <v>443</v>
      </c>
      <c r="Q1006" s="116">
        <v>444.05</v>
      </c>
      <c r="R1006">
        <v>59504</v>
      </c>
    </row>
    <row r="1007" spans="1:18" x14ac:dyDescent="0.25">
      <c r="A1007" s="170">
        <v>44363</v>
      </c>
      <c r="B1007" s="116">
        <v>453</v>
      </c>
      <c r="C1007" s="116">
        <v>437.9</v>
      </c>
      <c r="D1007" s="116">
        <v>433.95</v>
      </c>
      <c r="E1007" s="116">
        <v>453</v>
      </c>
      <c r="F1007" s="116">
        <v>437.9</v>
      </c>
      <c r="G1007">
        <v>5599</v>
      </c>
      <c r="H1007" s="116"/>
      <c r="I1007" s="116"/>
      <c r="L1007" s="170">
        <v>44363</v>
      </c>
      <c r="M1007" s="116">
        <v>438</v>
      </c>
      <c r="N1007" s="116">
        <v>451.7</v>
      </c>
      <c r="O1007" s="116">
        <v>436.15</v>
      </c>
      <c r="P1007" s="116">
        <v>449.8</v>
      </c>
      <c r="Q1007" s="116">
        <v>438</v>
      </c>
      <c r="R1007">
        <v>61861</v>
      </c>
    </row>
    <row r="1008" spans="1:18" x14ac:dyDescent="0.25">
      <c r="A1008" s="170">
        <v>44364</v>
      </c>
      <c r="B1008" s="116">
        <v>452</v>
      </c>
      <c r="C1008" s="116">
        <v>445.65</v>
      </c>
      <c r="D1008" s="116">
        <v>435.75</v>
      </c>
      <c r="E1008" s="116">
        <v>437</v>
      </c>
      <c r="F1008" s="116">
        <v>445.65</v>
      </c>
      <c r="G1008">
        <v>10022</v>
      </c>
      <c r="H1008" s="116"/>
      <c r="I1008" s="116"/>
      <c r="L1008" s="170">
        <v>44364</v>
      </c>
      <c r="M1008" s="116">
        <v>444.7</v>
      </c>
      <c r="N1008" s="116">
        <v>452</v>
      </c>
      <c r="O1008" s="116">
        <v>435.95</v>
      </c>
      <c r="P1008" s="116">
        <v>437.9</v>
      </c>
      <c r="Q1008" s="116">
        <v>444.7</v>
      </c>
      <c r="R1008">
        <v>356537</v>
      </c>
    </row>
    <row r="1009" spans="1:18" x14ac:dyDescent="0.25">
      <c r="A1009" s="170">
        <v>44365</v>
      </c>
      <c r="B1009" s="116">
        <v>448</v>
      </c>
      <c r="C1009" s="116">
        <v>436.55</v>
      </c>
      <c r="D1009" s="116">
        <v>411.5</v>
      </c>
      <c r="E1009" s="116">
        <v>448</v>
      </c>
      <c r="F1009" s="116">
        <v>436.55</v>
      </c>
      <c r="G1009">
        <v>22230</v>
      </c>
      <c r="H1009" s="116"/>
      <c r="I1009" s="116"/>
      <c r="L1009" s="170">
        <v>44365</v>
      </c>
      <c r="M1009" s="116">
        <v>436.25</v>
      </c>
      <c r="N1009" s="116">
        <v>445</v>
      </c>
      <c r="O1009" s="116">
        <v>413</v>
      </c>
      <c r="P1009" s="116">
        <v>445</v>
      </c>
      <c r="Q1009" s="116">
        <v>436.25</v>
      </c>
      <c r="R1009">
        <v>303267</v>
      </c>
    </row>
    <row r="1010" spans="1:18" x14ac:dyDescent="0.25">
      <c r="A1010" s="170">
        <v>44368</v>
      </c>
      <c r="B1010" s="116">
        <v>433.95</v>
      </c>
      <c r="C1010" s="116">
        <v>421.2</v>
      </c>
      <c r="D1010" s="116">
        <v>416.15</v>
      </c>
      <c r="E1010" s="116">
        <v>431.8</v>
      </c>
      <c r="F1010" s="116">
        <v>421.2</v>
      </c>
      <c r="G1010">
        <v>27465</v>
      </c>
      <c r="H1010" s="116"/>
      <c r="I1010" s="116"/>
      <c r="L1010" s="170">
        <v>44368</v>
      </c>
      <c r="M1010" s="116">
        <v>421.75</v>
      </c>
      <c r="N1010" s="116">
        <v>435</v>
      </c>
      <c r="O1010" s="116">
        <v>415.35</v>
      </c>
      <c r="P1010" s="116">
        <v>429</v>
      </c>
      <c r="Q1010" s="116">
        <v>421.75</v>
      </c>
      <c r="R1010">
        <v>158248</v>
      </c>
    </row>
    <row r="1011" spans="1:18" x14ac:dyDescent="0.25">
      <c r="A1011" s="170">
        <v>44369</v>
      </c>
      <c r="B1011" s="116">
        <v>436</v>
      </c>
      <c r="C1011" s="116">
        <v>432.95</v>
      </c>
      <c r="D1011" s="116">
        <v>429.05</v>
      </c>
      <c r="E1011" s="116">
        <v>432.3</v>
      </c>
      <c r="F1011" s="116">
        <v>432.95</v>
      </c>
      <c r="G1011">
        <v>5272</v>
      </c>
      <c r="H1011" s="116"/>
      <c r="I1011" s="116"/>
      <c r="L1011" s="170">
        <v>44369</v>
      </c>
      <c r="M1011" s="116">
        <v>432.45</v>
      </c>
      <c r="N1011" s="116">
        <v>436</v>
      </c>
      <c r="O1011" s="116">
        <v>423.5</v>
      </c>
      <c r="P1011" s="116">
        <v>423.5</v>
      </c>
      <c r="Q1011" s="116">
        <v>432.45</v>
      </c>
      <c r="R1011">
        <v>92790</v>
      </c>
    </row>
    <row r="1012" spans="1:18" x14ac:dyDescent="0.25">
      <c r="A1012" s="170">
        <v>44370</v>
      </c>
      <c r="B1012" s="116">
        <v>436.4</v>
      </c>
      <c r="C1012" s="116">
        <v>425.4</v>
      </c>
      <c r="D1012" s="116">
        <v>425</v>
      </c>
      <c r="E1012" s="116">
        <v>435.25</v>
      </c>
      <c r="F1012" s="116">
        <v>425.4</v>
      </c>
      <c r="G1012">
        <v>8142</v>
      </c>
      <c r="H1012" s="116"/>
      <c r="I1012" s="116"/>
      <c r="L1012" s="170">
        <v>44370</v>
      </c>
      <c r="M1012" s="116">
        <v>426.3</v>
      </c>
      <c r="N1012" s="116">
        <v>438.25</v>
      </c>
      <c r="O1012" s="116">
        <v>425.05</v>
      </c>
      <c r="P1012" s="116">
        <v>434.65</v>
      </c>
      <c r="Q1012" s="116">
        <v>426.3</v>
      </c>
      <c r="R1012">
        <v>64450</v>
      </c>
    </row>
    <row r="1013" spans="1:18" x14ac:dyDescent="0.25">
      <c r="A1013" s="170">
        <v>44371</v>
      </c>
      <c r="B1013" s="116">
        <v>437.4</v>
      </c>
      <c r="C1013" s="116">
        <v>424.8</v>
      </c>
      <c r="D1013" s="116">
        <v>422.65</v>
      </c>
      <c r="E1013" s="116">
        <v>437.4</v>
      </c>
      <c r="F1013" s="116">
        <v>424.8</v>
      </c>
      <c r="G1013">
        <v>3711</v>
      </c>
      <c r="H1013" s="116"/>
      <c r="I1013" s="116"/>
      <c r="L1013" s="170">
        <v>44371</v>
      </c>
      <c r="M1013" s="116">
        <v>424.35</v>
      </c>
      <c r="N1013" s="116">
        <v>432.4</v>
      </c>
      <c r="O1013" s="116">
        <v>422</v>
      </c>
      <c r="P1013" s="116">
        <v>432.4</v>
      </c>
      <c r="Q1013" s="116">
        <v>424.35</v>
      </c>
      <c r="R1013">
        <v>47001</v>
      </c>
    </row>
    <row r="1014" spans="1:18" x14ac:dyDescent="0.25">
      <c r="A1014" s="170">
        <v>44372</v>
      </c>
      <c r="B1014" s="116">
        <v>433</v>
      </c>
      <c r="C1014" s="116">
        <v>419.9</v>
      </c>
      <c r="D1014" s="116">
        <v>417.75</v>
      </c>
      <c r="E1014" s="116">
        <v>433</v>
      </c>
      <c r="F1014" s="116">
        <v>419.9</v>
      </c>
      <c r="G1014">
        <v>8730</v>
      </c>
      <c r="H1014" s="116"/>
      <c r="I1014" s="116"/>
      <c r="L1014" s="170">
        <v>44372</v>
      </c>
      <c r="M1014" s="116">
        <v>419.2</v>
      </c>
      <c r="N1014" s="116">
        <v>430.85</v>
      </c>
      <c r="O1014" s="116">
        <v>417.2</v>
      </c>
      <c r="P1014" s="116">
        <v>429.7</v>
      </c>
      <c r="Q1014" s="116">
        <v>419.2</v>
      </c>
      <c r="R1014">
        <v>94302</v>
      </c>
    </row>
    <row r="1015" spans="1:18" x14ac:dyDescent="0.25">
      <c r="A1015" s="170">
        <v>44375</v>
      </c>
      <c r="B1015" s="116">
        <v>427.9</v>
      </c>
      <c r="C1015" s="116">
        <v>415.05</v>
      </c>
      <c r="D1015" s="116">
        <v>414.35</v>
      </c>
      <c r="E1015" s="116">
        <v>427.9</v>
      </c>
      <c r="F1015" s="116">
        <v>415.05</v>
      </c>
      <c r="G1015">
        <v>8588</v>
      </c>
      <c r="H1015" s="116"/>
      <c r="I1015" s="116"/>
      <c r="L1015" s="170">
        <v>44375</v>
      </c>
      <c r="M1015" s="116">
        <v>414.95</v>
      </c>
      <c r="N1015" s="116">
        <v>429</v>
      </c>
      <c r="O1015" s="116">
        <v>414.2</v>
      </c>
      <c r="P1015" s="116">
        <v>429</v>
      </c>
      <c r="Q1015" s="116">
        <v>414.95</v>
      </c>
      <c r="R1015">
        <v>65134</v>
      </c>
    </row>
    <row r="1016" spans="1:18" x14ac:dyDescent="0.25">
      <c r="A1016" s="170">
        <v>44376</v>
      </c>
      <c r="B1016" s="116">
        <v>420.75</v>
      </c>
      <c r="C1016" s="116">
        <v>415.7</v>
      </c>
      <c r="D1016" s="116">
        <v>411.85</v>
      </c>
      <c r="E1016" s="116">
        <v>416.1</v>
      </c>
      <c r="F1016" s="116">
        <v>415.7</v>
      </c>
      <c r="G1016">
        <v>8226</v>
      </c>
      <c r="H1016" s="116"/>
      <c r="I1016" s="116"/>
      <c r="L1016" s="170">
        <v>44376</v>
      </c>
      <c r="M1016" s="116">
        <v>414.7</v>
      </c>
      <c r="N1016" s="116">
        <v>420.6</v>
      </c>
      <c r="O1016" s="116">
        <v>412.2</v>
      </c>
      <c r="P1016" s="116">
        <v>417.85</v>
      </c>
      <c r="Q1016" s="116">
        <v>414.7</v>
      </c>
      <c r="R1016">
        <v>76148</v>
      </c>
    </row>
    <row r="1017" spans="1:18" x14ac:dyDescent="0.25">
      <c r="A1017" s="170">
        <v>44377</v>
      </c>
      <c r="B1017" s="116">
        <v>428.95</v>
      </c>
      <c r="C1017" s="116">
        <v>418.4</v>
      </c>
      <c r="D1017" s="116">
        <v>409</v>
      </c>
      <c r="E1017" s="116">
        <v>421</v>
      </c>
      <c r="F1017" s="116">
        <v>418.4</v>
      </c>
      <c r="G1017">
        <v>18540</v>
      </c>
      <c r="H1017" s="116"/>
      <c r="I1017" s="116"/>
      <c r="L1017" s="170">
        <v>44377</v>
      </c>
      <c r="M1017" s="116">
        <v>418.05</v>
      </c>
      <c r="N1017" s="116">
        <v>429</v>
      </c>
      <c r="O1017" s="116">
        <v>414.85</v>
      </c>
      <c r="P1017" s="116">
        <v>417</v>
      </c>
      <c r="Q1017" s="116">
        <v>418.05</v>
      </c>
      <c r="R1017">
        <v>113333</v>
      </c>
    </row>
    <row r="1018" spans="1:18" x14ac:dyDescent="0.25">
      <c r="A1018" s="170">
        <v>44378</v>
      </c>
      <c r="B1018" s="116">
        <v>476.15</v>
      </c>
      <c r="C1018" s="116">
        <v>450</v>
      </c>
      <c r="D1018" s="116">
        <v>421</v>
      </c>
      <c r="E1018" s="116">
        <v>426.2</v>
      </c>
      <c r="F1018" s="116">
        <v>450</v>
      </c>
      <c r="G1018">
        <v>163251</v>
      </c>
      <c r="H1018" s="116"/>
      <c r="I1018" s="116"/>
      <c r="L1018" s="170">
        <v>44378</v>
      </c>
      <c r="M1018" s="116">
        <v>448.9</v>
      </c>
      <c r="N1018" s="116">
        <v>476.5</v>
      </c>
      <c r="O1018" s="116">
        <v>424.5</v>
      </c>
      <c r="P1018" s="116">
        <v>428</v>
      </c>
      <c r="Q1018" s="116">
        <v>448.9</v>
      </c>
      <c r="R1018">
        <v>2410165</v>
      </c>
    </row>
    <row r="1019" spans="1:18" x14ac:dyDescent="0.25">
      <c r="A1019" s="170">
        <v>44379</v>
      </c>
      <c r="B1019" s="116">
        <v>463.85</v>
      </c>
      <c r="C1019" s="116">
        <v>446.75</v>
      </c>
      <c r="D1019" s="116">
        <v>443</v>
      </c>
      <c r="E1019" s="116">
        <v>454</v>
      </c>
      <c r="F1019" s="116">
        <v>446.75</v>
      </c>
      <c r="G1019">
        <v>38320</v>
      </c>
      <c r="H1019" s="116"/>
      <c r="I1019" s="116"/>
      <c r="L1019" s="170">
        <v>44379</v>
      </c>
      <c r="M1019" s="116">
        <v>446.3</v>
      </c>
      <c r="N1019" s="116">
        <v>463.95</v>
      </c>
      <c r="O1019" s="116">
        <v>442</v>
      </c>
      <c r="P1019" s="116">
        <v>453.85</v>
      </c>
      <c r="Q1019" s="116">
        <v>446.3</v>
      </c>
      <c r="R1019">
        <v>276280</v>
      </c>
    </row>
    <row r="1020" spans="1:18" x14ac:dyDescent="0.25">
      <c r="A1020" s="170">
        <v>44382</v>
      </c>
      <c r="B1020" s="116">
        <v>455.85</v>
      </c>
      <c r="C1020" s="116">
        <v>444.1</v>
      </c>
      <c r="D1020" s="116">
        <v>441.1</v>
      </c>
      <c r="E1020" s="116">
        <v>446.75</v>
      </c>
      <c r="F1020" s="116">
        <v>444.1</v>
      </c>
      <c r="G1020">
        <v>17250</v>
      </c>
      <c r="H1020" s="116"/>
      <c r="I1020" s="116"/>
      <c r="L1020" s="170">
        <v>44382</v>
      </c>
      <c r="M1020" s="116">
        <v>443.65</v>
      </c>
      <c r="N1020" s="116">
        <v>456</v>
      </c>
      <c r="O1020" s="116">
        <v>441.05</v>
      </c>
      <c r="P1020" s="116">
        <v>448.8</v>
      </c>
      <c r="Q1020" s="116">
        <v>443.65</v>
      </c>
      <c r="R1020">
        <v>134925</v>
      </c>
    </row>
    <row r="1021" spans="1:18" x14ac:dyDescent="0.25">
      <c r="A1021" s="170">
        <v>44383</v>
      </c>
      <c r="B1021" s="116">
        <v>469</v>
      </c>
      <c r="C1021" s="116">
        <v>451.65</v>
      </c>
      <c r="D1021" s="116">
        <v>450</v>
      </c>
      <c r="E1021" s="116">
        <v>450</v>
      </c>
      <c r="F1021" s="116">
        <v>451.65</v>
      </c>
      <c r="G1021">
        <v>37879</v>
      </c>
      <c r="H1021" s="116"/>
      <c r="I1021" s="116"/>
      <c r="L1021" s="170">
        <v>44383</v>
      </c>
      <c r="M1021" s="116">
        <v>452.3</v>
      </c>
      <c r="N1021" s="116">
        <v>470.8</v>
      </c>
      <c r="O1021" s="116">
        <v>450</v>
      </c>
      <c r="P1021" s="116">
        <v>455</v>
      </c>
      <c r="Q1021" s="116">
        <v>452.3</v>
      </c>
      <c r="R1021">
        <v>329336</v>
      </c>
    </row>
    <row r="1022" spans="1:18" x14ac:dyDescent="0.25">
      <c r="A1022" s="170">
        <v>44384</v>
      </c>
      <c r="B1022" s="116">
        <v>455.9</v>
      </c>
      <c r="C1022" s="116">
        <v>448.75</v>
      </c>
      <c r="D1022" s="116">
        <v>447.05</v>
      </c>
      <c r="E1022" s="116">
        <v>452</v>
      </c>
      <c r="F1022" s="116">
        <v>448.75</v>
      </c>
      <c r="G1022">
        <v>8371</v>
      </c>
      <c r="H1022" s="116"/>
      <c r="I1022" s="116"/>
      <c r="L1022" s="170">
        <v>44384</v>
      </c>
      <c r="M1022" s="116">
        <v>448.6</v>
      </c>
      <c r="N1022" s="116">
        <v>455.95</v>
      </c>
      <c r="O1022" s="116">
        <v>448</v>
      </c>
      <c r="P1022" s="116">
        <v>452.3</v>
      </c>
      <c r="Q1022" s="116">
        <v>448.6</v>
      </c>
      <c r="R1022">
        <v>138063</v>
      </c>
    </row>
    <row r="1023" spans="1:18" x14ac:dyDescent="0.25">
      <c r="A1023" s="170">
        <v>44385</v>
      </c>
      <c r="B1023" s="116">
        <v>452.1</v>
      </c>
      <c r="C1023" s="116">
        <v>442.9</v>
      </c>
      <c r="D1023" s="116">
        <v>441.1</v>
      </c>
      <c r="E1023" s="116">
        <v>451.3</v>
      </c>
      <c r="F1023" s="116">
        <v>442.9</v>
      </c>
      <c r="G1023">
        <v>6009</v>
      </c>
      <c r="H1023" s="116"/>
      <c r="I1023" s="116"/>
      <c r="L1023" s="170">
        <v>44385</v>
      </c>
      <c r="M1023" s="116">
        <v>442.9</v>
      </c>
      <c r="N1023" s="116">
        <v>452.35</v>
      </c>
      <c r="O1023" s="116">
        <v>441</v>
      </c>
      <c r="P1023" s="116">
        <v>451.5</v>
      </c>
      <c r="Q1023" s="116">
        <v>442.9</v>
      </c>
      <c r="R1023">
        <v>67063</v>
      </c>
    </row>
    <row r="1024" spans="1:18" x14ac:dyDescent="0.25">
      <c r="A1024" s="170">
        <v>44386</v>
      </c>
      <c r="B1024" s="116">
        <v>448.85</v>
      </c>
      <c r="C1024" s="116">
        <v>444.05</v>
      </c>
      <c r="D1024" s="116">
        <v>442.55</v>
      </c>
      <c r="E1024" s="116">
        <v>448.8</v>
      </c>
      <c r="F1024" s="116">
        <v>444.05</v>
      </c>
      <c r="G1024">
        <v>6517</v>
      </c>
      <c r="H1024" s="116"/>
      <c r="I1024" s="116"/>
      <c r="L1024" s="170">
        <v>44386</v>
      </c>
      <c r="M1024" s="116">
        <v>443.9</v>
      </c>
      <c r="N1024" s="116">
        <v>449.55</v>
      </c>
      <c r="O1024" s="116">
        <v>442.5</v>
      </c>
      <c r="P1024" s="116">
        <v>445.15</v>
      </c>
      <c r="Q1024" s="116">
        <v>443.9</v>
      </c>
      <c r="R1024">
        <v>53761</v>
      </c>
    </row>
    <row r="1025" spans="1:18" x14ac:dyDescent="0.25">
      <c r="A1025" s="170">
        <v>44389</v>
      </c>
      <c r="B1025" s="116">
        <v>456.7</v>
      </c>
      <c r="C1025" s="116">
        <v>449.4</v>
      </c>
      <c r="D1025" s="116">
        <v>445.15</v>
      </c>
      <c r="E1025" s="116">
        <v>446</v>
      </c>
      <c r="F1025" s="116">
        <v>449.4</v>
      </c>
      <c r="G1025">
        <v>16039</v>
      </c>
      <c r="H1025" s="116"/>
      <c r="I1025" s="116"/>
      <c r="L1025" s="170">
        <v>44389</v>
      </c>
      <c r="M1025" s="116">
        <v>449.6</v>
      </c>
      <c r="N1025" s="116">
        <v>457.8</v>
      </c>
      <c r="O1025" s="116">
        <v>445</v>
      </c>
      <c r="P1025" s="116">
        <v>448.75</v>
      </c>
      <c r="Q1025" s="116">
        <v>449.6</v>
      </c>
      <c r="R1025">
        <v>106137</v>
      </c>
    </row>
    <row r="1026" spans="1:18" x14ac:dyDescent="0.25">
      <c r="A1026" s="170">
        <v>44390</v>
      </c>
      <c r="B1026" s="116">
        <v>479.45</v>
      </c>
      <c r="C1026" s="116">
        <v>475.05</v>
      </c>
      <c r="D1026" s="116">
        <v>452</v>
      </c>
      <c r="E1026" s="116">
        <v>455.25</v>
      </c>
      <c r="F1026" s="116">
        <v>475.05</v>
      </c>
      <c r="G1026">
        <v>49103</v>
      </c>
      <c r="H1026" s="116"/>
      <c r="I1026" s="116"/>
      <c r="L1026" s="170">
        <v>44390</v>
      </c>
      <c r="M1026" s="116">
        <v>475.6</v>
      </c>
      <c r="N1026" s="116">
        <v>479.95</v>
      </c>
      <c r="O1026" s="116">
        <v>451.7</v>
      </c>
      <c r="P1026" s="116">
        <v>456.9</v>
      </c>
      <c r="Q1026" s="116">
        <v>475.6</v>
      </c>
      <c r="R1026">
        <v>736408</v>
      </c>
    </row>
    <row r="1027" spans="1:18" x14ac:dyDescent="0.25">
      <c r="A1027" s="170">
        <v>44391</v>
      </c>
      <c r="B1027" s="116">
        <v>483.6</v>
      </c>
      <c r="C1027" s="116">
        <v>468.5</v>
      </c>
      <c r="D1027" s="116">
        <v>461.9</v>
      </c>
      <c r="E1027" s="116">
        <v>477.15</v>
      </c>
      <c r="F1027" s="116">
        <v>468.5</v>
      </c>
      <c r="G1027">
        <v>16484</v>
      </c>
      <c r="H1027" s="116"/>
      <c r="I1027" s="116"/>
      <c r="L1027" s="170">
        <v>44391</v>
      </c>
      <c r="M1027" s="116">
        <v>466.9</v>
      </c>
      <c r="N1027" s="116">
        <v>484.4</v>
      </c>
      <c r="O1027" s="116">
        <v>461.55</v>
      </c>
      <c r="P1027" s="116">
        <v>477</v>
      </c>
      <c r="Q1027" s="116">
        <v>466.9</v>
      </c>
      <c r="R1027">
        <v>306577</v>
      </c>
    </row>
    <row r="1028" spans="1:18" x14ac:dyDescent="0.25">
      <c r="A1028" s="170">
        <v>44392</v>
      </c>
      <c r="B1028" s="116">
        <v>471</v>
      </c>
      <c r="C1028" s="116">
        <v>460.55</v>
      </c>
      <c r="D1028" s="116">
        <v>458.5</v>
      </c>
      <c r="E1028" s="116">
        <v>469.25</v>
      </c>
      <c r="F1028" s="116">
        <v>460.55</v>
      </c>
      <c r="G1028">
        <v>22055</v>
      </c>
      <c r="H1028" s="116"/>
      <c r="I1028" s="116"/>
      <c r="L1028" s="170">
        <v>44392</v>
      </c>
      <c r="M1028" s="116">
        <v>460.8</v>
      </c>
      <c r="N1028" s="116">
        <v>470</v>
      </c>
      <c r="O1028" s="116">
        <v>458.5</v>
      </c>
      <c r="P1028" s="116">
        <v>468</v>
      </c>
      <c r="Q1028" s="116">
        <v>460.8</v>
      </c>
      <c r="R1028">
        <v>128764</v>
      </c>
    </row>
    <row r="1029" spans="1:18" x14ac:dyDescent="0.25">
      <c r="A1029" s="170">
        <v>44393</v>
      </c>
      <c r="B1029" s="116">
        <v>479.1</v>
      </c>
      <c r="C1029" s="116">
        <v>472.2</v>
      </c>
      <c r="D1029" s="116">
        <v>463.7</v>
      </c>
      <c r="E1029" s="116">
        <v>469</v>
      </c>
      <c r="F1029" s="116">
        <v>472.2</v>
      </c>
      <c r="G1029">
        <v>13029</v>
      </c>
      <c r="H1029" s="116"/>
      <c r="I1029" s="116"/>
      <c r="L1029" s="170">
        <v>44393</v>
      </c>
      <c r="M1029" s="116">
        <v>470.95</v>
      </c>
      <c r="N1029" s="116">
        <v>479.4</v>
      </c>
      <c r="O1029" s="116">
        <v>463.05</v>
      </c>
      <c r="P1029" s="116">
        <v>465.4</v>
      </c>
      <c r="Q1029" s="116">
        <v>470.95</v>
      </c>
      <c r="R1029">
        <v>223252</v>
      </c>
    </row>
    <row r="1030" spans="1:18" x14ac:dyDescent="0.25">
      <c r="A1030" s="170">
        <v>44396</v>
      </c>
      <c r="B1030" s="116">
        <v>480</v>
      </c>
      <c r="C1030" s="116">
        <v>467.45</v>
      </c>
      <c r="D1030" s="116">
        <v>451.55</v>
      </c>
      <c r="E1030" s="116">
        <v>451.55</v>
      </c>
      <c r="F1030" s="116">
        <v>467.45</v>
      </c>
      <c r="G1030">
        <v>40442</v>
      </c>
      <c r="H1030" s="116"/>
      <c r="I1030" s="116"/>
      <c r="L1030" s="170">
        <v>44396</v>
      </c>
      <c r="M1030" s="116">
        <v>467.3</v>
      </c>
      <c r="N1030" s="116">
        <v>480</v>
      </c>
      <c r="O1030" s="116">
        <v>462.4</v>
      </c>
      <c r="P1030" s="116">
        <v>470</v>
      </c>
      <c r="Q1030" s="116">
        <v>467.3</v>
      </c>
      <c r="R1030">
        <v>321898</v>
      </c>
    </row>
    <row r="1031" spans="1:18" x14ac:dyDescent="0.25">
      <c r="A1031" s="170">
        <v>44397</v>
      </c>
      <c r="B1031" s="116">
        <v>477</v>
      </c>
      <c r="C1031" s="116">
        <v>448.55</v>
      </c>
      <c r="D1031" s="116">
        <v>445.6</v>
      </c>
      <c r="E1031" s="116">
        <v>466</v>
      </c>
      <c r="F1031" s="116">
        <v>448.55</v>
      </c>
      <c r="G1031">
        <v>29862</v>
      </c>
      <c r="H1031" s="116"/>
      <c r="I1031" s="116"/>
      <c r="L1031" s="170">
        <v>44397</v>
      </c>
      <c r="M1031" s="116">
        <v>448.1</v>
      </c>
      <c r="N1031" s="116">
        <v>478</v>
      </c>
      <c r="O1031" s="116">
        <v>446</v>
      </c>
      <c r="P1031" s="116">
        <v>471</v>
      </c>
      <c r="Q1031" s="116">
        <v>448.1</v>
      </c>
      <c r="R1031">
        <v>230870</v>
      </c>
    </row>
    <row r="1032" spans="1:18" x14ac:dyDescent="0.25">
      <c r="A1032" s="170">
        <v>44399</v>
      </c>
      <c r="B1032" s="116">
        <v>469.9</v>
      </c>
      <c r="C1032" s="116">
        <v>467.65</v>
      </c>
      <c r="D1032" s="116">
        <v>451.45</v>
      </c>
      <c r="E1032" s="116">
        <v>462</v>
      </c>
      <c r="F1032" s="116">
        <v>467.65</v>
      </c>
      <c r="G1032">
        <v>14526</v>
      </c>
      <c r="H1032" s="116"/>
      <c r="I1032" s="116"/>
      <c r="L1032" s="170">
        <v>44399</v>
      </c>
      <c r="M1032" s="116">
        <v>468.2</v>
      </c>
      <c r="N1032" s="116">
        <v>472.9</v>
      </c>
      <c r="O1032" s="116">
        <v>451.8</v>
      </c>
      <c r="P1032" s="116">
        <v>454.9</v>
      </c>
      <c r="Q1032" s="116">
        <v>468.2</v>
      </c>
      <c r="R1032">
        <v>186526</v>
      </c>
    </row>
    <row r="1033" spans="1:18" x14ac:dyDescent="0.25">
      <c r="A1033" s="170">
        <v>44400</v>
      </c>
      <c r="B1033" s="116">
        <v>489.85</v>
      </c>
      <c r="C1033" s="116">
        <v>480.4</v>
      </c>
      <c r="D1033" s="116">
        <v>468.5</v>
      </c>
      <c r="E1033" s="116">
        <v>483.45</v>
      </c>
      <c r="F1033" s="116">
        <v>480.4</v>
      </c>
      <c r="G1033">
        <v>32137</v>
      </c>
      <c r="H1033" s="116"/>
      <c r="I1033" s="116"/>
      <c r="L1033" s="170">
        <v>44400</v>
      </c>
      <c r="M1033" s="116">
        <v>480.5</v>
      </c>
      <c r="N1033" s="116">
        <v>489.95</v>
      </c>
      <c r="O1033" s="116">
        <v>468.2</v>
      </c>
      <c r="P1033" s="116">
        <v>480</v>
      </c>
      <c r="Q1033" s="116">
        <v>480.5</v>
      </c>
      <c r="R1033">
        <v>480562</v>
      </c>
    </row>
    <row r="1034" spans="1:18" x14ac:dyDescent="0.25">
      <c r="A1034" s="170">
        <v>44403</v>
      </c>
      <c r="B1034" s="116">
        <v>488.7</v>
      </c>
      <c r="C1034" s="116">
        <v>480.9</v>
      </c>
      <c r="D1034" s="116">
        <v>475.5</v>
      </c>
      <c r="E1034" s="116">
        <v>480.55</v>
      </c>
      <c r="F1034" s="116">
        <v>480.9</v>
      </c>
      <c r="G1034">
        <v>11598</v>
      </c>
      <c r="H1034" s="116"/>
      <c r="I1034" s="116"/>
      <c r="L1034" s="170">
        <v>44403</v>
      </c>
      <c r="M1034" s="116">
        <v>480.6</v>
      </c>
      <c r="N1034" s="116">
        <v>488.45</v>
      </c>
      <c r="O1034" s="116">
        <v>475.1</v>
      </c>
      <c r="P1034" s="116">
        <v>482.9</v>
      </c>
      <c r="Q1034" s="116">
        <v>480.6</v>
      </c>
      <c r="R1034">
        <v>145814</v>
      </c>
    </row>
    <row r="1035" spans="1:18" x14ac:dyDescent="0.25">
      <c r="A1035" s="170">
        <v>44404</v>
      </c>
      <c r="B1035" s="116">
        <v>487.55</v>
      </c>
      <c r="C1035" s="116">
        <v>470.4</v>
      </c>
      <c r="D1035" s="116">
        <v>466.55</v>
      </c>
      <c r="E1035" s="116">
        <v>487</v>
      </c>
      <c r="F1035" s="116">
        <v>470.4</v>
      </c>
      <c r="G1035">
        <v>13963</v>
      </c>
      <c r="H1035" s="116"/>
      <c r="I1035" s="116"/>
      <c r="L1035" s="170">
        <v>44404</v>
      </c>
      <c r="M1035" s="116">
        <v>469.65</v>
      </c>
      <c r="N1035" s="116">
        <v>488</v>
      </c>
      <c r="O1035" s="116">
        <v>465.7</v>
      </c>
      <c r="P1035" s="116">
        <v>482</v>
      </c>
      <c r="Q1035" s="116">
        <v>469.65</v>
      </c>
      <c r="R1035">
        <v>106505</v>
      </c>
    </row>
    <row r="1036" spans="1:18" x14ac:dyDescent="0.25">
      <c r="A1036" s="170">
        <v>44405</v>
      </c>
      <c r="B1036" s="116">
        <v>472.5</v>
      </c>
      <c r="C1036" s="116">
        <v>459.15</v>
      </c>
      <c r="D1036" s="116">
        <v>454.55</v>
      </c>
      <c r="E1036" s="116">
        <v>472.3</v>
      </c>
      <c r="F1036" s="116">
        <v>459.15</v>
      </c>
      <c r="G1036">
        <v>9510</v>
      </c>
      <c r="H1036" s="116"/>
      <c r="I1036" s="116"/>
      <c r="L1036" s="170">
        <v>44405</v>
      </c>
      <c r="M1036" s="116">
        <v>459.7</v>
      </c>
      <c r="N1036" s="116">
        <v>476.3</v>
      </c>
      <c r="O1036" s="116">
        <v>455</v>
      </c>
      <c r="P1036" s="116">
        <v>474.85</v>
      </c>
      <c r="Q1036" s="116">
        <v>459.7</v>
      </c>
      <c r="R1036">
        <v>88377</v>
      </c>
    </row>
    <row r="1037" spans="1:18" x14ac:dyDescent="0.25">
      <c r="A1037" s="170">
        <v>44406</v>
      </c>
      <c r="B1037" s="116">
        <v>478</v>
      </c>
      <c r="C1037" s="116">
        <v>473.25</v>
      </c>
      <c r="D1037" s="116">
        <v>455.6</v>
      </c>
      <c r="E1037" s="116">
        <v>461.95</v>
      </c>
      <c r="F1037" s="116">
        <v>473.25</v>
      </c>
      <c r="G1037">
        <v>32696</v>
      </c>
      <c r="H1037" s="116"/>
      <c r="I1037" s="116"/>
      <c r="L1037" s="170">
        <v>44406</v>
      </c>
      <c r="M1037" s="116">
        <v>472.5</v>
      </c>
      <c r="N1037" s="116">
        <v>478.3</v>
      </c>
      <c r="O1037" s="116">
        <v>455.3</v>
      </c>
      <c r="P1037" s="116">
        <v>464.85</v>
      </c>
      <c r="Q1037" s="116">
        <v>472.5</v>
      </c>
      <c r="R1037">
        <v>297857</v>
      </c>
    </row>
    <row r="1038" spans="1:18" x14ac:dyDescent="0.25">
      <c r="A1038" s="170">
        <v>44407</v>
      </c>
      <c r="B1038" s="116">
        <v>474.8</v>
      </c>
      <c r="C1038" s="116">
        <v>462.35</v>
      </c>
      <c r="D1038" s="116">
        <v>460.7</v>
      </c>
      <c r="E1038" s="116">
        <v>474.8</v>
      </c>
      <c r="F1038" s="116">
        <v>462.35</v>
      </c>
      <c r="G1038">
        <v>16797</v>
      </c>
      <c r="H1038" s="116"/>
      <c r="I1038" s="116"/>
      <c r="L1038" s="170">
        <v>44407</v>
      </c>
      <c r="M1038" s="116">
        <v>462.35</v>
      </c>
      <c r="N1038" s="116">
        <v>475.95</v>
      </c>
      <c r="O1038" s="116">
        <v>460.3</v>
      </c>
      <c r="P1038" s="116">
        <v>473</v>
      </c>
      <c r="Q1038" s="116">
        <v>462.35</v>
      </c>
      <c r="R1038">
        <v>177372</v>
      </c>
    </row>
    <row r="1039" spans="1:18" x14ac:dyDescent="0.25">
      <c r="A1039" s="170">
        <v>44410</v>
      </c>
      <c r="B1039" s="116">
        <v>474.35</v>
      </c>
      <c r="C1039" s="116">
        <v>466.1</v>
      </c>
      <c r="D1039" s="116">
        <v>457.5</v>
      </c>
      <c r="E1039" s="116">
        <v>464.75</v>
      </c>
      <c r="F1039" s="116">
        <v>466.1</v>
      </c>
      <c r="G1039">
        <v>10054</v>
      </c>
      <c r="H1039" s="116"/>
      <c r="I1039" s="116"/>
      <c r="L1039" s="170">
        <v>44410</v>
      </c>
      <c r="M1039" s="116">
        <v>465.8</v>
      </c>
      <c r="N1039" s="116">
        <v>474</v>
      </c>
      <c r="O1039" s="116">
        <v>461.5</v>
      </c>
      <c r="P1039" s="116">
        <v>468</v>
      </c>
      <c r="Q1039" s="116">
        <v>465.8</v>
      </c>
      <c r="R1039">
        <v>202958</v>
      </c>
    </row>
    <row r="1040" spans="1:18" x14ac:dyDescent="0.25">
      <c r="A1040" s="170">
        <v>44411</v>
      </c>
      <c r="B1040" s="116">
        <v>471.65</v>
      </c>
      <c r="C1040" s="116">
        <v>463.7</v>
      </c>
      <c r="D1040" s="116">
        <v>461.65</v>
      </c>
      <c r="E1040" s="116">
        <v>466</v>
      </c>
      <c r="F1040" s="116">
        <v>463.7</v>
      </c>
      <c r="G1040">
        <v>24116</v>
      </c>
      <c r="H1040" s="116"/>
      <c r="I1040" s="116"/>
      <c r="L1040" s="170">
        <v>44411</v>
      </c>
      <c r="M1040" s="116">
        <v>463.85</v>
      </c>
      <c r="N1040" s="116">
        <v>472</v>
      </c>
      <c r="O1040" s="116">
        <v>462.15</v>
      </c>
      <c r="P1040" s="116">
        <v>465.7</v>
      </c>
      <c r="Q1040" s="116">
        <v>463.85</v>
      </c>
      <c r="R1040">
        <v>128213</v>
      </c>
    </row>
    <row r="1041" spans="1:18" x14ac:dyDescent="0.25">
      <c r="A1041" s="170">
        <v>44412</v>
      </c>
      <c r="B1041" s="116">
        <v>469.25</v>
      </c>
      <c r="C1041" s="116">
        <v>454.3</v>
      </c>
      <c r="D1041" s="116">
        <v>452.05</v>
      </c>
      <c r="E1041" s="116">
        <v>469.25</v>
      </c>
      <c r="F1041" s="116">
        <v>454.3</v>
      </c>
      <c r="G1041">
        <v>4531</v>
      </c>
      <c r="H1041" s="116"/>
      <c r="I1041" s="116"/>
      <c r="L1041" s="170">
        <v>44412</v>
      </c>
      <c r="M1041" s="116">
        <v>453.1</v>
      </c>
      <c r="N1041" s="116">
        <v>470.55</v>
      </c>
      <c r="O1041" s="116">
        <v>452</v>
      </c>
      <c r="P1041" s="116">
        <v>464.75</v>
      </c>
      <c r="Q1041" s="116">
        <v>453.1</v>
      </c>
      <c r="R1041">
        <v>55820</v>
      </c>
    </row>
    <row r="1042" spans="1:18" x14ac:dyDescent="0.25">
      <c r="A1042" s="170">
        <v>44413</v>
      </c>
      <c r="B1042" s="116">
        <v>459.8</v>
      </c>
      <c r="C1042" s="116">
        <v>451.45</v>
      </c>
      <c r="D1042" s="116">
        <v>447.05</v>
      </c>
      <c r="E1042" s="116">
        <v>459.8</v>
      </c>
      <c r="F1042" s="116">
        <v>451.45</v>
      </c>
      <c r="G1042">
        <v>6843</v>
      </c>
      <c r="H1042" s="116"/>
      <c r="I1042" s="116"/>
      <c r="L1042" s="170">
        <v>44413</v>
      </c>
      <c r="M1042" s="116">
        <v>451.8</v>
      </c>
      <c r="N1042" s="116">
        <v>464</v>
      </c>
      <c r="O1042" s="116">
        <v>447.5</v>
      </c>
      <c r="P1042" s="116">
        <v>464</v>
      </c>
      <c r="Q1042" s="116">
        <v>451.8</v>
      </c>
      <c r="R1042">
        <v>52318</v>
      </c>
    </row>
    <row r="1043" spans="1:18" x14ac:dyDescent="0.25">
      <c r="A1043" s="170">
        <v>44414</v>
      </c>
      <c r="B1043" s="116">
        <v>455.35</v>
      </c>
      <c r="C1043" s="116">
        <v>451.3</v>
      </c>
      <c r="D1043" s="116">
        <v>448.7</v>
      </c>
      <c r="E1043" s="116">
        <v>453.45</v>
      </c>
      <c r="F1043" s="116">
        <v>451.3</v>
      </c>
      <c r="G1043">
        <v>2118</v>
      </c>
      <c r="H1043" s="116"/>
      <c r="I1043" s="116"/>
      <c r="L1043" s="170">
        <v>44414</v>
      </c>
      <c r="M1043" s="116">
        <v>451.15</v>
      </c>
      <c r="N1043" s="116">
        <v>456.9</v>
      </c>
      <c r="O1043" s="116">
        <v>448.4</v>
      </c>
      <c r="P1043" s="116">
        <v>454.1</v>
      </c>
      <c r="Q1043" s="116">
        <v>451.15</v>
      </c>
      <c r="R1043">
        <v>34515</v>
      </c>
    </row>
    <row r="1044" spans="1:18" x14ac:dyDescent="0.25">
      <c r="A1044" s="170">
        <v>44417</v>
      </c>
      <c r="B1044" s="116">
        <v>453.95</v>
      </c>
      <c r="C1044" s="116">
        <v>447.7</v>
      </c>
      <c r="D1044" s="116">
        <v>445.1</v>
      </c>
      <c r="E1044" s="116">
        <v>448.05</v>
      </c>
      <c r="F1044" s="116">
        <v>447.7</v>
      </c>
      <c r="G1044">
        <v>5883</v>
      </c>
      <c r="H1044" s="116"/>
      <c r="I1044" s="116"/>
      <c r="L1044" s="170">
        <v>44417</v>
      </c>
      <c r="M1044" s="116">
        <v>447.7</v>
      </c>
      <c r="N1044" s="116">
        <v>456.8</v>
      </c>
      <c r="O1044" s="116">
        <v>445.1</v>
      </c>
      <c r="P1044" s="116">
        <v>456.8</v>
      </c>
      <c r="Q1044" s="116">
        <v>447.7</v>
      </c>
      <c r="R1044">
        <v>32607</v>
      </c>
    </row>
    <row r="1045" spans="1:18" x14ac:dyDescent="0.25">
      <c r="A1045" s="170">
        <v>44418</v>
      </c>
      <c r="B1045" s="116">
        <v>450.7</v>
      </c>
      <c r="C1045" s="116">
        <v>431.35</v>
      </c>
      <c r="D1045" s="116">
        <v>424.45</v>
      </c>
      <c r="E1045" s="116">
        <v>443</v>
      </c>
      <c r="F1045" s="116">
        <v>431.35</v>
      </c>
      <c r="G1045">
        <v>18108</v>
      </c>
      <c r="H1045" s="116"/>
      <c r="I1045" s="116"/>
      <c r="L1045" s="170">
        <v>44418</v>
      </c>
      <c r="M1045" s="116">
        <v>432.25</v>
      </c>
      <c r="N1045" s="116">
        <v>450.9</v>
      </c>
      <c r="O1045" s="116">
        <v>429.3</v>
      </c>
      <c r="P1045" s="116">
        <v>450.9</v>
      </c>
      <c r="Q1045" s="116">
        <v>432.25</v>
      </c>
      <c r="R1045">
        <v>65263</v>
      </c>
    </row>
    <row r="1046" spans="1:18" x14ac:dyDescent="0.25">
      <c r="A1046" s="170">
        <v>44419</v>
      </c>
      <c r="B1046" s="116">
        <v>433.35</v>
      </c>
      <c r="C1046" s="116">
        <v>427.65</v>
      </c>
      <c r="D1046" s="116">
        <v>415.3</v>
      </c>
      <c r="E1046" s="116">
        <v>429.3</v>
      </c>
      <c r="F1046" s="116">
        <v>427.65</v>
      </c>
      <c r="G1046">
        <v>3921</v>
      </c>
      <c r="H1046" s="116"/>
      <c r="I1046" s="116"/>
      <c r="L1046" s="170">
        <v>44419</v>
      </c>
      <c r="M1046" s="116">
        <v>426.8</v>
      </c>
      <c r="N1046" s="116">
        <v>437</v>
      </c>
      <c r="O1046" s="116">
        <v>416.7</v>
      </c>
      <c r="P1046" s="116">
        <v>432.25</v>
      </c>
      <c r="Q1046" s="116">
        <v>426.8</v>
      </c>
      <c r="R1046">
        <v>76932</v>
      </c>
    </row>
    <row r="1047" spans="1:18" x14ac:dyDescent="0.25">
      <c r="A1047" s="170">
        <v>44420</v>
      </c>
      <c r="B1047" s="116">
        <v>454.95</v>
      </c>
      <c r="C1047" s="116">
        <v>448.65</v>
      </c>
      <c r="D1047" s="116">
        <v>428.45</v>
      </c>
      <c r="E1047" s="116">
        <v>436.8</v>
      </c>
      <c r="F1047" s="116">
        <v>448.65</v>
      </c>
      <c r="G1047">
        <v>5324</v>
      </c>
      <c r="H1047" s="116"/>
      <c r="I1047" s="116"/>
      <c r="L1047" s="170">
        <v>44420</v>
      </c>
      <c r="M1047" s="116">
        <v>448.65</v>
      </c>
      <c r="N1047" s="116">
        <v>454.9</v>
      </c>
      <c r="O1047" s="116">
        <v>428.25</v>
      </c>
      <c r="P1047" s="116">
        <v>431.95</v>
      </c>
      <c r="Q1047" s="116">
        <v>448.65</v>
      </c>
      <c r="R1047">
        <v>63267</v>
      </c>
    </row>
    <row r="1048" spans="1:18" x14ac:dyDescent="0.25">
      <c r="A1048" s="170">
        <v>44421</v>
      </c>
      <c r="B1048" s="116">
        <v>448.35</v>
      </c>
      <c r="C1048" s="116">
        <v>441.9</v>
      </c>
      <c r="D1048" s="116">
        <v>437.25</v>
      </c>
      <c r="E1048" s="116">
        <v>448.35</v>
      </c>
      <c r="F1048" s="116">
        <v>441.9</v>
      </c>
      <c r="G1048">
        <v>8622</v>
      </c>
      <c r="H1048" s="116"/>
      <c r="I1048" s="116"/>
      <c r="L1048" s="170">
        <v>44421</v>
      </c>
      <c r="M1048" s="116">
        <v>441.45</v>
      </c>
      <c r="N1048" s="116">
        <v>450.05</v>
      </c>
      <c r="O1048" s="116">
        <v>437.75</v>
      </c>
      <c r="P1048" s="116">
        <v>448.65</v>
      </c>
      <c r="Q1048" s="116">
        <v>441.45</v>
      </c>
      <c r="R1048">
        <v>52635</v>
      </c>
    </row>
    <row r="1049" spans="1:18" x14ac:dyDescent="0.25">
      <c r="A1049" s="170">
        <v>44424</v>
      </c>
      <c r="B1049" s="116">
        <v>442.9</v>
      </c>
      <c r="C1049" s="116">
        <v>434.8</v>
      </c>
      <c r="D1049" s="116">
        <v>432</v>
      </c>
      <c r="E1049" s="116">
        <v>442.9</v>
      </c>
      <c r="F1049" s="116">
        <v>434.8</v>
      </c>
      <c r="G1049">
        <v>3881</v>
      </c>
      <c r="H1049" s="116"/>
      <c r="I1049" s="116"/>
      <c r="L1049" s="170">
        <v>44424</v>
      </c>
      <c r="M1049" s="116">
        <v>434.65</v>
      </c>
      <c r="N1049" s="116">
        <v>444.9</v>
      </c>
      <c r="O1049" s="116">
        <v>431.2</v>
      </c>
      <c r="P1049" s="116">
        <v>436</v>
      </c>
      <c r="Q1049" s="116">
        <v>434.65</v>
      </c>
      <c r="R1049">
        <v>31517</v>
      </c>
    </row>
    <row r="1050" spans="1:18" x14ac:dyDescent="0.25">
      <c r="A1050" s="170">
        <v>44425</v>
      </c>
      <c r="B1050" s="116">
        <v>440</v>
      </c>
      <c r="C1050" s="116">
        <v>428.1</v>
      </c>
      <c r="D1050" s="116">
        <v>426</v>
      </c>
      <c r="E1050" s="116">
        <v>427</v>
      </c>
      <c r="F1050" s="116">
        <v>428.1</v>
      </c>
      <c r="G1050">
        <v>3852</v>
      </c>
      <c r="H1050" s="116"/>
      <c r="I1050" s="116"/>
      <c r="L1050" s="170">
        <v>44425</v>
      </c>
      <c r="M1050" s="116">
        <v>428.1</v>
      </c>
      <c r="N1050" s="116">
        <v>436.85</v>
      </c>
      <c r="O1050" s="116">
        <v>425.1</v>
      </c>
      <c r="P1050" s="116">
        <v>436.85</v>
      </c>
      <c r="Q1050" s="116">
        <v>428.1</v>
      </c>
      <c r="R1050">
        <v>26739</v>
      </c>
    </row>
    <row r="1051" spans="1:18" x14ac:dyDescent="0.25">
      <c r="A1051" s="170">
        <v>44426</v>
      </c>
      <c r="B1051" s="116">
        <v>433.1</v>
      </c>
      <c r="C1051" s="116">
        <v>422.4</v>
      </c>
      <c r="D1051" s="116">
        <v>421.15</v>
      </c>
      <c r="E1051" s="116">
        <v>430.6</v>
      </c>
      <c r="F1051" s="116">
        <v>422.4</v>
      </c>
      <c r="G1051">
        <v>6452</v>
      </c>
      <c r="H1051" s="116"/>
      <c r="I1051" s="116"/>
      <c r="L1051" s="170">
        <v>44426</v>
      </c>
      <c r="M1051" s="116">
        <v>422.3</v>
      </c>
      <c r="N1051" s="116">
        <v>433.6</v>
      </c>
      <c r="O1051" s="116">
        <v>421.1</v>
      </c>
      <c r="P1051" s="116">
        <v>430</v>
      </c>
      <c r="Q1051" s="116">
        <v>422.3</v>
      </c>
      <c r="R1051">
        <v>44169</v>
      </c>
    </row>
    <row r="1052" spans="1:18" x14ac:dyDescent="0.25">
      <c r="A1052" s="170">
        <v>44428</v>
      </c>
      <c r="B1052" s="116">
        <v>429</v>
      </c>
      <c r="C1052" s="116">
        <v>425.6</v>
      </c>
      <c r="D1052" s="116">
        <v>420</v>
      </c>
      <c r="E1052" s="116">
        <v>424</v>
      </c>
      <c r="F1052" s="116">
        <v>425.6</v>
      </c>
      <c r="G1052">
        <v>5168</v>
      </c>
      <c r="H1052" s="116"/>
      <c r="I1052" s="116"/>
      <c r="L1052" s="170">
        <v>44428</v>
      </c>
      <c r="M1052" s="116">
        <v>425.65</v>
      </c>
      <c r="N1052" s="116">
        <v>430</v>
      </c>
      <c r="O1052" s="116">
        <v>420</v>
      </c>
      <c r="P1052" s="116">
        <v>421</v>
      </c>
      <c r="Q1052" s="116">
        <v>425.65</v>
      </c>
      <c r="R1052">
        <v>32319</v>
      </c>
    </row>
    <row r="1053" spans="1:18" x14ac:dyDescent="0.25">
      <c r="A1053" s="170">
        <v>44431</v>
      </c>
      <c r="B1053" s="116">
        <v>429.15</v>
      </c>
      <c r="C1053" s="116">
        <v>410.3</v>
      </c>
      <c r="D1053" s="116">
        <v>406.4</v>
      </c>
      <c r="E1053" s="116">
        <v>428.95</v>
      </c>
      <c r="F1053" s="116">
        <v>410.3</v>
      </c>
      <c r="G1053">
        <v>3406</v>
      </c>
      <c r="H1053" s="116"/>
      <c r="I1053" s="116"/>
      <c r="L1053" s="170">
        <v>44431</v>
      </c>
      <c r="M1053" s="116">
        <v>409.25</v>
      </c>
      <c r="N1053" s="116">
        <v>429.1</v>
      </c>
      <c r="O1053" s="116">
        <v>405.1</v>
      </c>
      <c r="P1053" s="116">
        <v>423.65</v>
      </c>
      <c r="Q1053" s="116">
        <v>409.25</v>
      </c>
      <c r="R1053">
        <v>74735</v>
      </c>
    </row>
    <row r="1054" spans="1:18" x14ac:dyDescent="0.25">
      <c r="A1054" s="170">
        <v>44432</v>
      </c>
      <c r="B1054" s="116">
        <v>420.45</v>
      </c>
      <c r="C1054" s="116">
        <v>413.85</v>
      </c>
      <c r="D1054" s="116">
        <v>410.8</v>
      </c>
      <c r="E1054" s="116">
        <v>414.25</v>
      </c>
      <c r="F1054" s="116">
        <v>413.85</v>
      </c>
      <c r="G1054">
        <v>2439</v>
      </c>
      <c r="H1054" s="116"/>
      <c r="I1054" s="116"/>
      <c r="L1054" s="170">
        <v>44432</v>
      </c>
      <c r="M1054" s="116">
        <v>414.7</v>
      </c>
      <c r="N1054" s="116">
        <v>427</v>
      </c>
      <c r="O1054" s="116">
        <v>410.85</v>
      </c>
      <c r="P1054" s="116">
        <v>411.3</v>
      </c>
      <c r="Q1054" s="116">
        <v>414.7</v>
      </c>
      <c r="R1054">
        <v>32983</v>
      </c>
    </row>
    <row r="1055" spans="1:18" x14ac:dyDescent="0.25">
      <c r="A1055" s="170">
        <v>44433</v>
      </c>
      <c r="B1055" s="116">
        <v>425.35</v>
      </c>
      <c r="C1055" s="116">
        <v>419.95</v>
      </c>
      <c r="D1055" s="116">
        <v>417.65</v>
      </c>
      <c r="E1055" s="116">
        <v>418.5</v>
      </c>
      <c r="F1055" s="116">
        <v>419.95</v>
      </c>
      <c r="G1055">
        <v>1264</v>
      </c>
      <c r="H1055" s="116"/>
      <c r="I1055" s="116"/>
      <c r="L1055" s="170">
        <v>44433</v>
      </c>
      <c r="M1055" s="116">
        <v>420.45</v>
      </c>
      <c r="N1055" s="116">
        <v>426</v>
      </c>
      <c r="O1055" s="116">
        <v>415.8</v>
      </c>
      <c r="P1055" s="116">
        <v>415.8</v>
      </c>
      <c r="Q1055" s="116">
        <v>420.45</v>
      </c>
      <c r="R1055">
        <v>26675</v>
      </c>
    </row>
    <row r="1056" spans="1:18" x14ac:dyDescent="0.25">
      <c r="A1056" s="170">
        <v>44434</v>
      </c>
      <c r="B1056" s="116">
        <v>421.45</v>
      </c>
      <c r="C1056" s="116">
        <v>417.65</v>
      </c>
      <c r="D1056" s="116">
        <v>415</v>
      </c>
      <c r="E1056" s="116">
        <v>415.9</v>
      </c>
      <c r="F1056" s="116">
        <v>417.65</v>
      </c>
      <c r="G1056">
        <v>750</v>
      </c>
      <c r="H1056" s="116"/>
      <c r="I1056" s="116"/>
      <c r="L1056" s="170">
        <v>44434</v>
      </c>
      <c r="M1056" s="116">
        <v>416.8</v>
      </c>
      <c r="N1056" s="116">
        <v>423.9</v>
      </c>
      <c r="O1056" s="116">
        <v>410.3</v>
      </c>
      <c r="P1056" s="116">
        <v>423.9</v>
      </c>
      <c r="Q1056" s="116">
        <v>416.8</v>
      </c>
      <c r="R1056">
        <v>22053</v>
      </c>
    </row>
    <row r="1057" spans="1:18" x14ac:dyDescent="0.25">
      <c r="A1057" s="170">
        <v>44435</v>
      </c>
      <c r="B1057" s="116">
        <v>424</v>
      </c>
      <c r="C1057" s="116">
        <v>417.2</v>
      </c>
      <c r="D1057" s="116">
        <v>416.15</v>
      </c>
      <c r="E1057" s="116">
        <v>417.3</v>
      </c>
      <c r="F1057" s="116">
        <v>417.2</v>
      </c>
      <c r="G1057">
        <v>2390</v>
      </c>
      <c r="H1057" s="116"/>
      <c r="I1057" s="116"/>
      <c r="L1057" s="170">
        <v>44435</v>
      </c>
      <c r="M1057" s="116">
        <v>417.35</v>
      </c>
      <c r="N1057" s="116">
        <v>424.2</v>
      </c>
      <c r="O1057" s="116">
        <v>415</v>
      </c>
      <c r="P1057" s="116">
        <v>421.4</v>
      </c>
      <c r="Q1057" s="116">
        <v>417.35</v>
      </c>
      <c r="R1057">
        <v>17219</v>
      </c>
    </row>
    <row r="1058" spans="1:18" x14ac:dyDescent="0.25">
      <c r="A1058" s="170">
        <v>44438</v>
      </c>
      <c r="B1058" s="116">
        <v>425</v>
      </c>
      <c r="C1058" s="116">
        <v>422.2</v>
      </c>
      <c r="D1058" s="116">
        <v>419</v>
      </c>
      <c r="E1058" s="116">
        <v>419.15</v>
      </c>
      <c r="F1058" s="116">
        <v>422.2</v>
      </c>
      <c r="G1058">
        <v>7375</v>
      </c>
      <c r="H1058" s="116"/>
      <c r="I1058" s="116"/>
      <c r="L1058" s="170">
        <v>44438</v>
      </c>
      <c r="M1058" s="116">
        <v>421.3</v>
      </c>
      <c r="N1058" s="116">
        <v>425</v>
      </c>
      <c r="O1058" s="116">
        <v>418.1</v>
      </c>
      <c r="P1058" s="116">
        <v>422</v>
      </c>
      <c r="Q1058" s="116">
        <v>421.3</v>
      </c>
      <c r="R1058">
        <v>33452</v>
      </c>
    </row>
    <row r="1059" spans="1:18" x14ac:dyDescent="0.25">
      <c r="A1059" s="170">
        <v>44439</v>
      </c>
      <c r="B1059" s="116">
        <v>425.3</v>
      </c>
      <c r="C1059" s="116">
        <v>422.75</v>
      </c>
      <c r="D1059" s="116">
        <v>420</v>
      </c>
      <c r="E1059" s="116">
        <v>421.8</v>
      </c>
      <c r="F1059" s="116">
        <v>422.75</v>
      </c>
      <c r="G1059">
        <v>9783</v>
      </c>
      <c r="H1059" s="116"/>
      <c r="I1059" s="116"/>
      <c r="L1059" s="170">
        <v>44439</v>
      </c>
      <c r="M1059" s="116">
        <v>422.7</v>
      </c>
      <c r="N1059" s="116">
        <v>425</v>
      </c>
      <c r="O1059" s="116">
        <v>420.9</v>
      </c>
      <c r="P1059" s="116">
        <v>423.45</v>
      </c>
      <c r="Q1059" s="116">
        <v>422.7</v>
      </c>
      <c r="R1059">
        <v>22562</v>
      </c>
    </row>
    <row r="1060" spans="1:18" x14ac:dyDescent="0.25">
      <c r="A1060" s="170">
        <v>44440</v>
      </c>
      <c r="B1060" s="116">
        <v>430.65</v>
      </c>
      <c r="C1060" s="116">
        <v>424.5</v>
      </c>
      <c r="D1060" s="116">
        <v>420</v>
      </c>
      <c r="E1060" s="116">
        <v>421.5</v>
      </c>
      <c r="F1060" s="116">
        <v>424.5</v>
      </c>
      <c r="G1060">
        <v>4002</v>
      </c>
      <c r="H1060" s="116"/>
      <c r="I1060" s="116"/>
      <c r="L1060" s="170">
        <v>44440</v>
      </c>
      <c r="M1060" s="116">
        <v>424.9</v>
      </c>
      <c r="N1060" s="116">
        <v>430.2</v>
      </c>
      <c r="O1060" s="116">
        <v>420.1</v>
      </c>
      <c r="P1060" s="116">
        <v>420.1</v>
      </c>
      <c r="Q1060" s="116">
        <v>424.9</v>
      </c>
      <c r="R1060">
        <v>59557</v>
      </c>
    </row>
    <row r="1061" spans="1:18" x14ac:dyDescent="0.25">
      <c r="A1061" s="170">
        <v>44441</v>
      </c>
      <c r="B1061" s="116">
        <v>456.95</v>
      </c>
      <c r="C1061" s="116">
        <v>449.2</v>
      </c>
      <c r="D1061" s="116">
        <v>425.75</v>
      </c>
      <c r="E1061" s="116">
        <v>436</v>
      </c>
      <c r="F1061" s="116">
        <v>449.2</v>
      </c>
      <c r="G1061">
        <v>10587</v>
      </c>
      <c r="H1061" s="116"/>
      <c r="I1061" s="116"/>
      <c r="L1061" s="170">
        <v>44441</v>
      </c>
      <c r="M1061" s="116">
        <v>449.4</v>
      </c>
      <c r="N1061" s="116">
        <v>457</v>
      </c>
      <c r="O1061" s="116">
        <v>423.1</v>
      </c>
      <c r="P1061" s="116">
        <v>423.1</v>
      </c>
      <c r="Q1061" s="116">
        <v>449.4</v>
      </c>
      <c r="R1061">
        <v>205519</v>
      </c>
    </row>
    <row r="1062" spans="1:18" x14ac:dyDescent="0.25">
      <c r="A1062" s="170">
        <v>44442</v>
      </c>
      <c r="B1062" s="116">
        <v>457</v>
      </c>
      <c r="C1062" s="116">
        <v>450.85</v>
      </c>
      <c r="D1062" s="116">
        <v>445.6</v>
      </c>
      <c r="E1062" s="116">
        <v>457</v>
      </c>
      <c r="F1062" s="116">
        <v>450.85</v>
      </c>
      <c r="G1062">
        <v>8276</v>
      </c>
      <c r="H1062" s="116"/>
      <c r="I1062" s="116"/>
      <c r="L1062" s="170">
        <v>44442</v>
      </c>
      <c r="M1062" s="116">
        <v>449.85</v>
      </c>
      <c r="N1062" s="116">
        <v>454.9</v>
      </c>
      <c r="O1062" s="116">
        <v>445.15</v>
      </c>
      <c r="P1062" s="116">
        <v>454.9</v>
      </c>
      <c r="Q1062" s="116">
        <v>449.85</v>
      </c>
      <c r="R1062">
        <v>122449</v>
      </c>
    </row>
    <row r="1063" spans="1:18" x14ac:dyDescent="0.25">
      <c r="A1063" s="170">
        <v>44445</v>
      </c>
      <c r="B1063" s="116">
        <v>455.35</v>
      </c>
      <c r="C1063" s="116">
        <v>445.5</v>
      </c>
      <c r="D1063" s="116">
        <v>443</v>
      </c>
      <c r="E1063" s="116">
        <v>450.25</v>
      </c>
      <c r="F1063" s="116">
        <v>445.5</v>
      </c>
      <c r="G1063">
        <v>7400</v>
      </c>
      <c r="H1063" s="116"/>
      <c r="I1063" s="116"/>
      <c r="L1063" s="170">
        <v>44445</v>
      </c>
      <c r="M1063" s="116">
        <v>445.5</v>
      </c>
      <c r="N1063" s="116">
        <v>454.95</v>
      </c>
      <c r="O1063" s="116">
        <v>444.05</v>
      </c>
      <c r="P1063" s="116">
        <v>450</v>
      </c>
      <c r="Q1063" s="116">
        <v>445.5</v>
      </c>
      <c r="R1063">
        <v>37041</v>
      </c>
    </row>
    <row r="1064" spans="1:18" x14ac:dyDescent="0.25">
      <c r="A1064" s="170">
        <v>44446</v>
      </c>
      <c r="B1064" s="116">
        <v>449.95</v>
      </c>
      <c r="C1064" s="116">
        <v>444</v>
      </c>
      <c r="D1064" s="116">
        <v>437.15</v>
      </c>
      <c r="E1064" s="116">
        <v>447.4</v>
      </c>
      <c r="F1064" s="116">
        <v>444</v>
      </c>
      <c r="G1064">
        <v>6448</v>
      </c>
      <c r="H1064" s="116"/>
      <c r="I1064" s="116"/>
      <c r="L1064" s="170">
        <v>44446</v>
      </c>
      <c r="M1064" s="116">
        <v>443.7</v>
      </c>
      <c r="N1064" s="116">
        <v>450</v>
      </c>
      <c r="O1064" s="116">
        <v>437.25</v>
      </c>
      <c r="P1064" s="116">
        <v>443.3</v>
      </c>
      <c r="Q1064" s="116">
        <v>443.7</v>
      </c>
      <c r="R1064">
        <v>33593</v>
      </c>
    </row>
    <row r="1065" spans="1:18" x14ac:dyDescent="0.25">
      <c r="A1065" s="170">
        <v>44447</v>
      </c>
      <c r="B1065" s="116">
        <v>455</v>
      </c>
      <c r="C1065" s="116">
        <v>443</v>
      </c>
      <c r="D1065" s="116">
        <v>438.6</v>
      </c>
      <c r="E1065" s="116">
        <v>455</v>
      </c>
      <c r="F1065" s="116">
        <v>443</v>
      </c>
      <c r="G1065">
        <v>23220</v>
      </c>
      <c r="H1065" s="116"/>
      <c r="I1065" s="116"/>
      <c r="L1065" s="170">
        <v>44447</v>
      </c>
      <c r="M1065" s="116">
        <v>441.45</v>
      </c>
      <c r="N1065" s="116">
        <v>455.9</v>
      </c>
      <c r="O1065" s="116">
        <v>438</v>
      </c>
      <c r="P1065" s="116">
        <v>455</v>
      </c>
      <c r="Q1065" s="116">
        <v>441.45</v>
      </c>
      <c r="R1065">
        <v>209930</v>
      </c>
    </row>
    <row r="1066" spans="1:18" x14ac:dyDescent="0.25">
      <c r="A1066" s="170">
        <v>44448</v>
      </c>
      <c r="B1066" s="116">
        <v>448.85</v>
      </c>
      <c r="C1066" s="116">
        <v>439.9</v>
      </c>
      <c r="D1066" s="116">
        <v>437.45</v>
      </c>
      <c r="E1066" s="116">
        <v>441.7</v>
      </c>
      <c r="F1066" s="116">
        <v>439.9</v>
      </c>
      <c r="G1066">
        <v>5453</v>
      </c>
      <c r="H1066" s="116"/>
      <c r="I1066" s="116"/>
      <c r="L1066" s="170">
        <v>44448</v>
      </c>
      <c r="M1066" s="116">
        <v>440.15</v>
      </c>
      <c r="N1066" s="116">
        <v>450</v>
      </c>
      <c r="O1066" s="116">
        <v>437.25</v>
      </c>
      <c r="P1066" s="116">
        <v>450</v>
      </c>
      <c r="Q1066" s="116">
        <v>440.15</v>
      </c>
      <c r="R1066">
        <v>33995</v>
      </c>
    </row>
    <row r="1067" spans="1:18" x14ac:dyDescent="0.25">
      <c r="A1067" s="170">
        <v>44452</v>
      </c>
      <c r="B1067" s="116">
        <v>443.45</v>
      </c>
      <c r="C1067" s="116">
        <v>431.1</v>
      </c>
      <c r="D1067" s="116">
        <v>428.25</v>
      </c>
      <c r="E1067" s="116">
        <v>440</v>
      </c>
      <c r="F1067" s="116">
        <v>431.1</v>
      </c>
      <c r="G1067">
        <v>1914</v>
      </c>
      <c r="H1067" s="116"/>
      <c r="I1067" s="116"/>
      <c r="L1067" s="170">
        <v>44452</v>
      </c>
      <c r="M1067" s="116">
        <v>430.9</v>
      </c>
      <c r="N1067" s="116">
        <v>444</v>
      </c>
      <c r="O1067" s="116">
        <v>428.4</v>
      </c>
      <c r="P1067" s="116">
        <v>436.1</v>
      </c>
      <c r="Q1067" s="116">
        <v>430.9</v>
      </c>
      <c r="R1067">
        <v>66478</v>
      </c>
    </row>
    <row r="1068" spans="1:18" x14ac:dyDescent="0.25">
      <c r="A1068" s="170">
        <v>44453</v>
      </c>
      <c r="B1068" s="116">
        <v>435.05</v>
      </c>
      <c r="C1068" s="116">
        <v>426.95</v>
      </c>
      <c r="D1068" s="116">
        <v>425</v>
      </c>
      <c r="E1068" s="116">
        <v>434</v>
      </c>
      <c r="F1068" s="116">
        <v>426.95</v>
      </c>
      <c r="G1068">
        <v>31869</v>
      </c>
      <c r="H1068" s="116"/>
      <c r="I1068" s="116"/>
      <c r="L1068" s="170">
        <v>44453</v>
      </c>
      <c r="M1068" s="116">
        <v>426.5</v>
      </c>
      <c r="N1068" s="116">
        <v>434.7</v>
      </c>
      <c r="O1068" s="116">
        <v>425</v>
      </c>
      <c r="P1068" s="116">
        <v>433.1</v>
      </c>
      <c r="Q1068" s="116">
        <v>426.5</v>
      </c>
      <c r="R1068">
        <v>57744</v>
      </c>
    </row>
    <row r="1069" spans="1:18" x14ac:dyDescent="0.25">
      <c r="A1069" s="170">
        <v>44454</v>
      </c>
      <c r="B1069" s="116">
        <v>437.95</v>
      </c>
      <c r="C1069" s="116">
        <v>436.1</v>
      </c>
      <c r="D1069" s="116">
        <v>429.45</v>
      </c>
      <c r="E1069" s="116">
        <v>429.55</v>
      </c>
      <c r="F1069" s="116">
        <v>436.1</v>
      </c>
      <c r="G1069">
        <v>5444</v>
      </c>
      <c r="H1069" s="116"/>
      <c r="I1069" s="116"/>
      <c r="L1069" s="170">
        <v>44454</v>
      </c>
      <c r="M1069" s="116">
        <v>436.3</v>
      </c>
      <c r="N1069" s="116">
        <v>438</v>
      </c>
      <c r="O1069" s="116">
        <v>429</v>
      </c>
      <c r="P1069" s="116">
        <v>429</v>
      </c>
      <c r="Q1069" s="116">
        <v>436.3</v>
      </c>
      <c r="R1069">
        <v>42145</v>
      </c>
    </row>
    <row r="1070" spans="1:18" x14ac:dyDescent="0.25">
      <c r="A1070" s="170">
        <v>44455</v>
      </c>
      <c r="B1070" s="116">
        <v>441.5</v>
      </c>
      <c r="C1070" s="116">
        <v>435.4</v>
      </c>
      <c r="D1070" s="116">
        <v>428.3</v>
      </c>
      <c r="E1070" s="116">
        <v>437.35</v>
      </c>
      <c r="F1070" s="116">
        <v>435.4</v>
      </c>
      <c r="G1070">
        <v>3186</v>
      </c>
      <c r="H1070" s="116"/>
      <c r="I1070" s="116"/>
      <c r="L1070" s="170">
        <v>44455</v>
      </c>
      <c r="M1070" s="116">
        <v>433.9</v>
      </c>
      <c r="N1070" s="116">
        <v>441.95</v>
      </c>
      <c r="O1070" s="116">
        <v>428</v>
      </c>
      <c r="P1070" s="116">
        <v>438.5</v>
      </c>
      <c r="Q1070" s="116">
        <v>433.9</v>
      </c>
      <c r="R1070">
        <v>48990</v>
      </c>
    </row>
    <row r="1071" spans="1:18" x14ac:dyDescent="0.25">
      <c r="A1071" s="170">
        <v>44456</v>
      </c>
      <c r="B1071" s="116">
        <v>436.95</v>
      </c>
      <c r="C1071" s="116">
        <v>433.9</v>
      </c>
      <c r="D1071" s="116">
        <v>426.35</v>
      </c>
      <c r="E1071" s="116">
        <v>432.75</v>
      </c>
      <c r="F1071" s="116">
        <v>433.9</v>
      </c>
      <c r="G1071">
        <v>4119</v>
      </c>
      <c r="H1071" s="116"/>
      <c r="I1071" s="116"/>
      <c r="L1071" s="170">
        <v>44456</v>
      </c>
      <c r="M1071" s="116">
        <v>434.25</v>
      </c>
      <c r="N1071" s="116">
        <v>436.7</v>
      </c>
      <c r="O1071" s="116">
        <v>426.15</v>
      </c>
      <c r="P1071" s="116">
        <v>431.15</v>
      </c>
      <c r="Q1071" s="116">
        <v>434.25</v>
      </c>
      <c r="R1071">
        <v>68600</v>
      </c>
    </row>
    <row r="1072" spans="1:18" x14ac:dyDescent="0.25">
      <c r="A1072" s="170">
        <v>44459</v>
      </c>
      <c r="B1072" s="116">
        <v>435</v>
      </c>
      <c r="C1072" s="116">
        <v>423.3</v>
      </c>
      <c r="D1072" s="116">
        <v>420.6</v>
      </c>
      <c r="E1072" s="116">
        <v>428</v>
      </c>
      <c r="F1072" s="116">
        <v>423.3</v>
      </c>
      <c r="G1072">
        <v>3010</v>
      </c>
      <c r="H1072" s="116"/>
      <c r="I1072" s="116"/>
      <c r="L1072" s="170">
        <v>44459</v>
      </c>
      <c r="M1072" s="116">
        <v>424.25</v>
      </c>
      <c r="N1072" s="116">
        <v>437.35</v>
      </c>
      <c r="O1072" s="116">
        <v>420.6</v>
      </c>
      <c r="P1072" s="116">
        <v>431.25</v>
      </c>
      <c r="Q1072" s="116">
        <v>424.25</v>
      </c>
      <c r="R1072">
        <v>57844</v>
      </c>
    </row>
    <row r="1073" spans="1:18" x14ac:dyDescent="0.25">
      <c r="A1073" s="170">
        <v>44460</v>
      </c>
      <c r="B1073" s="116">
        <v>426.35</v>
      </c>
      <c r="C1073" s="116">
        <v>422</v>
      </c>
      <c r="D1073" s="116">
        <v>416.2</v>
      </c>
      <c r="E1073" s="116">
        <v>426.35</v>
      </c>
      <c r="F1073" s="116">
        <v>422</v>
      </c>
      <c r="G1073">
        <v>90365</v>
      </c>
      <c r="H1073" s="116"/>
      <c r="I1073" s="116"/>
      <c r="L1073" s="170">
        <v>44460</v>
      </c>
      <c r="M1073" s="116">
        <v>422.65</v>
      </c>
      <c r="N1073" s="116">
        <v>428.2</v>
      </c>
      <c r="O1073" s="116">
        <v>416.1</v>
      </c>
      <c r="P1073" s="116">
        <v>425</v>
      </c>
      <c r="Q1073" s="116">
        <v>422.65</v>
      </c>
      <c r="R1073">
        <v>32612</v>
      </c>
    </row>
    <row r="1074" spans="1:18" x14ac:dyDescent="0.25">
      <c r="A1074" s="170">
        <v>44461</v>
      </c>
      <c r="B1074" s="116">
        <v>452</v>
      </c>
      <c r="C1074" s="116">
        <v>435.6</v>
      </c>
      <c r="D1074" s="116">
        <v>425.1</v>
      </c>
      <c r="E1074" s="116">
        <v>425.1</v>
      </c>
      <c r="F1074" s="116">
        <v>435.6</v>
      </c>
      <c r="G1074">
        <v>9934</v>
      </c>
      <c r="H1074" s="116"/>
      <c r="I1074" s="116"/>
      <c r="L1074" s="170">
        <v>44461</v>
      </c>
      <c r="M1074" s="116">
        <v>436.05</v>
      </c>
      <c r="N1074" s="116">
        <v>452</v>
      </c>
      <c r="O1074" s="116">
        <v>423.8</v>
      </c>
      <c r="P1074" s="116">
        <v>424.8</v>
      </c>
      <c r="Q1074" s="116">
        <v>436.05</v>
      </c>
      <c r="R1074">
        <v>139550</v>
      </c>
    </row>
    <row r="1075" spans="1:18" x14ac:dyDescent="0.25">
      <c r="A1075" s="170">
        <v>44462</v>
      </c>
      <c r="B1075" s="116">
        <v>467.5</v>
      </c>
      <c r="C1075" s="116">
        <v>456.05</v>
      </c>
      <c r="D1075" s="116">
        <v>439.95</v>
      </c>
      <c r="E1075" s="116">
        <v>440.6</v>
      </c>
      <c r="F1075" s="116">
        <v>456.05</v>
      </c>
      <c r="G1075">
        <v>36111</v>
      </c>
      <c r="H1075" s="116"/>
      <c r="I1075" s="116"/>
      <c r="L1075" s="170">
        <v>44462</v>
      </c>
      <c r="M1075" s="116">
        <v>456.9</v>
      </c>
      <c r="N1075" s="116">
        <v>468.8</v>
      </c>
      <c r="O1075" s="116">
        <v>438.15</v>
      </c>
      <c r="P1075" s="116">
        <v>443</v>
      </c>
      <c r="Q1075" s="116">
        <v>456.9</v>
      </c>
      <c r="R1075">
        <v>603308</v>
      </c>
    </row>
    <row r="1076" spans="1:18" x14ac:dyDescent="0.25">
      <c r="A1076" s="170">
        <v>44463</v>
      </c>
      <c r="B1076" s="116">
        <v>461.2</v>
      </c>
      <c r="C1076" s="116">
        <v>447</v>
      </c>
      <c r="D1076" s="116">
        <v>442.1</v>
      </c>
      <c r="E1076" s="116">
        <v>456.1</v>
      </c>
      <c r="F1076" s="116">
        <v>447</v>
      </c>
      <c r="G1076">
        <v>25808</v>
      </c>
      <c r="H1076" s="116"/>
      <c r="I1076" s="116"/>
      <c r="L1076" s="170">
        <v>44463</v>
      </c>
      <c r="M1076" s="116">
        <v>446.75</v>
      </c>
      <c r="N1076" s="116">
        <v>461.95</v>
      </c>
      <c r="O1076" s="116">
        <v>440.55</v>
      </c>
      <c r="P1076" s="116">
        <v>458.9</v>
      </c>
      <c r="Q1076" s="116">
        <v>446.75</v>
      </c>
      <c r="R1076">
        <v>451086</v>
      </c>
    </row>
    <row r="1077" spans="1:18" x14ac:dyDescent="0.25">
      <c r="A1077" s="170">
        <v>44466</v>
      </c>
      <c r="B1077" s="116">
        <v>517.25</v>
      </c>
      <c r="C1077" s="116">
        <v>500.25</v>
      </c>
      <c r="D1077" s="116">
        <v>422</v>
      </c>
      <c r="E1077" s="116">
        <v>442</v>
      </c>
      <c r="F1077" s="116">
        <v>500.25</v>
      </c>
      <c r="G1077">
        <v>362336</v>
      </c>
      <c r="H1077" s="116"/>
      <c r="I1077" s="116"/>
      <c r="L1077" s="170">
        <v>44466</v>
      </c>
      <c r="M1077" s="116">
        <v>501.35</v>
      </c>
      <c r="N1077" s="116">
        <v>517.4</v>
      </c>
      <c r="O1077" s="116">
        <v>421</v>
      </c>
      <c r="P1077" s="116">
        <v>452.4</v>
      </c>
      <c r="Q1077" s="116">
        <v>501.35</v>
      </c>
      <c r="R1077">
        <v>6660598</v>
      </c>
    </row>
    <row r="1078" spans="1:18" x14ac:dyDescent="0.25">
      <c r="A1078" s="170">
        <v>44467</v>
      </c>
      <c r="B1078" s="116">
        <v>512</v>
      </c>
      <c r="C1078" s="116">
        <v>480.9</v>
      </c>
      <c r="D1078" s="116">
        <v>476</v>
      </c>
      <c r="E1078" s="116">
        <v>512</v>
      </c>
      <c r="F1078" s="116">
        <v>480.9</v>
      </c>
      <c r="G1078">
        <v>135503</v>
      </c>
      <c r="H1078" s="116"/>
      <c r="I1078" s="116"/>
      <c r="L1078" s="170">
        <v>44467</v>
      </c>
      <c r="M1078" s="116">
        <v>481.65</v>
      </c>
      <c r="N1078" s="116">
        <v>512.1</v>
      </c>
      <c r="O1078" s="116">
        <v>476</v>
      </c>
      <c r="P1078" s="116">
        <v>511</v>
      </c>
      <c r="Q1078" s="116">
        <v>481.65</v>
      </c>
      <c r="R1078">
        <v>1533604</v>
      </c>
    </row>
    <row r="1079" spans="1:18" x14ac:dyDescent="0.25">
      <c r="A1079" s="170">
        <v>44468</v>
      </c>
      <c r="B1079" s="116">
        <v>500.95</v>
      </c>
      <c r="C1079" s="116">
        <v>488.45</v>
      </c>
      <c r="D1079" s="116">
        <v>476</v>
      </c>
      <c r="E1079" s="116">
        <v>485.45</v>
      </c>
      <c r="F1079" s="116">
        <v>488.45</v>
      </c>
      <c r="G1079">
        <v>52243</v>
      </c>
      <c r="H1079" s="116"/>
      <c r="I1079" s="116"/>
      <c r="L1079" s="170">
        <v>44468</v>
      </c>
      <c r="M1079" s="116">
        <v>488.2</v>
      </c>
      <c r="N1079" s="116">
        <v>500.8</v>
      </c>
      <c r="O1079" s="116">
        <v>476.1</v>
      </c>
      <c r="P1079" s="116">
        <v>480</v>
      </c>
      <c r="Q1079" s="116">
        <v>488.2</v>
      </c>
      <c r="R1079">
        <v>795416</v>
      </c>
    </row>
    <row r="1080" spans="1:18" x14ac:dyDescent="0.25">
      <c r="A1080" s="170">
        <v>44469</v>
      </c>
      <c r="B1080" s="116">
        <v>500.55</v>
      </c>
      <c r="C1080" s="116">
        <v>482.75</v>
      </c>
      <c r="D1080" s="116">
        <v>478.55</v>
      </c>
      <c r="E1080" s="116">
        <v>498.7</v>
      </c>
      <c r="F1080" s="116">
        <v>482.75</v>
      </c>
      <c r="G1080">
        <v>50099</v>
      </c>
      <c r="H1080" s="116"/>
      <c r="I1080" s="116"/>
      <c r="L1080" s="170">
        <v>44469</v>
      </c>
      <c r="M1080" s="116">
        <v>482.4</v>
      </c>
      <c r="N1080" s="116">
        <v>501</v>
      </c>
      <c r="O1080" s="116">
        <v>479</v>
      </c>
      <c r="P1080" s="116">
        <v>496.5</v>
      </c>
      <c r="Q1080" s="116">
        <v>482.4</v>
      </c>
      <c r="R1080">
        <v>461504</v>
      </c>
    </row>
    <row r="1081" spans="1:18" x14ac:dyDescent="0.25">
      <c r="A1081" s="170">
        <v>44470</v>
      </c>
      <c r="B1081" s="116">
        <v>520</v>
      </c>
      <c r="C1081" s="116">
        <v>513.35</v>
      </c>
      <c r="D1081" s="116">
        <v>468.85</v>
      </c>
      <c r="E1081" s="116">
        <v>481.6</v>
      </c>
      <c r="F1081" s="116">
        <v>513.35</v>
      </c>
      <c r="G1081">
        <v>122087</v>
      </c>
      <c r="H1081" s="116"/>
      <c r="I1081" s="116"/>
      <c r="L1081" s="170">
        <v>44470</v>
      </c>
      <c r="M1081" s="116">
        <v>512.65</v>
      </c>
      <c r="N1081" s="116">
        <v>519</v>
      </c>
      <c r="O1081" s="116">
        <v>474.35</v>
      </c>
      <c r="P1081" s="116">
        <v>478</v>
      </c>
      <c r="Q1081" s="116">
        <v>512.65</v>
      </c>
      <c r="R1081">
        <v>1689670</v>
      </c>
    </row>
    <row r="1082" spans="1:18" x14ac:dyDescent="0.25">
      <c r="A1082" s="170">
        <v>44473</v>
      </c>
      <c r="B1082" s="116">
        <v>534.45000000000005</v>
      </c>
      <c r="C1082" s="116">
        <v>512.70000000000005</v>
      </c>
      <c r="D1082" s="116">
        <v>510</v>
      </c>
      <c r="E1082" s="116">
        <v>526</v>
      </c>
      <c r="F1082" s="116">
        <v>512.70000000000005</v>
      </c>
      <c r="G1082">
        <v>84540</v>
      </c>
      <c r="H1082" s="116"/>
      <c r="I1082" s="116"/>
      <c r="L1082" s="170">
        <v>44473</v>
      </c>
      <c r="M1082" s="116">
        <v>514</v>
      </c>
      <c r="N1082" s="116">
        <v>529.70000000000005</v>
      </c>
      <c r="O1082" s="116">
        <v>510.1</v>
      </c>
      <c r="P1082" s="116">
        <v>523.5</v>
      </c>
      <c r="Q1082" s="116">
        <v>514</v>
      </c>
      <c r="R1082">
        <v>1004216</v>
      </c>
    </row>
    <row r="1083" spans="1:18" x14ac:dyDescent="0.25">
      <c r="A1083" s="170">
        <v>44474</v>
      </c>
      <c r="B1083" s="116">
        <v>542</v>
      </c>
      <c r="C1083" s="116">
        <v>528.85</v>
      </c>
      <c r="D1083" s="116">
        <v>513.35</v>
      </c>
      <c r="E1083" s="116">
        <v>518.85</v>
      </c>
      <c r="F1083" s="116">
        <v>528.85</v>
      </c>
      <c r="G1083">
        <v>60374</v>
      </c>
      <c r="H1083" s="116"/>
      <c r="I1083" s="116"/>
      <c r="L1083" s="170">
        <v>44474</v>
      </c>
      <c r="M1083" s="116">
        <v>529.25</v>
      </c>
      <c r="N1083" s="116">
        <v>542</v>
      </c>
      <c r="O1083" s="116">
        <v>512.85</v>
      </c>
      <c r="P1083" s="116">
        <v>514.70000000000005</v>
      </c>
      <c r="Q1083" s="116">
        <v>529.25</v>
      </c>
      <c r="R1083">
        <v>1212115</v>
      </c>
    </row>
    <row r="1084" spans="1:18" x14ac:dyDescent="0.25">
      <c r="A1084" s="170">
        <v>44475</v>
      </c>
      <c r="B1084" s="116">
        <v>531</v>
      </c>
      <c r="C1084" s="116">
        <v>509.65</v>
      </c>
      <c r="D1084" s="116">
        <v>506.1</v>
      </c>
      <c r="E1084" s="116">
        <v>527.5</v>
      </c>
      <c r="F1084" s="116">
        <v>509.65</v>
      </c>
      <c r="G1084">
        <v>41435</v>
      </c>
      <c r="H1084" s="116"/>
      <c r="I1084" s="116"/>
      <c r="L1084" s="170">
        <v>44475</v>
      </c>
      <c r="M1084" s="116">
        <v>508.25</v>
      </c>
      <c r="N1084" s="116">
        <v>531.9</v>
      </c>
      <c r="O1084" s="116">
        <v>505.2</v>
      </c>
      <c r="P1084" s="116">
        <v>525.29999999999995</v>
      </c>
      <c r="Q1084" s="116">
        <v>508.25</v>
      </c>
      <c r="R1084">
        <v>424370</v>
      </c>
    </row>
    <row r="1085" spans="1:18" x14ac:dyDescent="0.25">
      <c r="A1085" s="170">
        <v>44476</v>
      </c>
      <c r="B1085" s="116">
        <v>524.70000000000005</v>
      </c>
      <c r="C1085" s="116">
        <v>511.75</v>
      </c>
      <c r="D1085" s="116">
        <v>507.1</v>
      </c>
      <c r="E1085" s="116">
        <v>516</v>
      </c>
      <c r="F1085" s="116">
        <v>511.75</v>
      </c>
      <c r="G1085">
        <v>46919</v>
      </c>
      <c r="H1085" s="116"/>
      <c r="I1085" s="116"/>
      <c r="L1085" s="170">
        <v>44476</v>
      </c>
      <c r="M1085" s="116">
        <v>511.8</v>
      </c>
      <c r="N1085" s="116">
        <v>524.9</v>
      </c>
      <c r="O1085" s="116">
        <v>509</v>
      </c>
      <c r="P1085" s="116">
        <v>514.79999999999995</v>
      </c>
      <c r="Q1085" s="116">
        <v>511.8</v>
      </c>
      <c r="R1085">
        <v>320490</v>
      </c>
    </row>
    <row r="1086" spans="1:18" x14ac:dyDescent="0.25">
      <c r="A1086" s="170">
        <v>44477</v>
      </c>
      <c r="B1086" s="116">
        <v>524.54999999999995</v>
      </c>
      <c r="C1086" s="116">
        <v>515.79999999999995</v>
      </c>
      <c r="D1086" s="116">
        <v>507.85</v>
      </c>
      <c r="E1086" s="116">
        <v>515.54999999999995</v>
      </c>
      <c r="F1086" s="116">
        <v>515.79999999999995</v>
      </c>
      <c r="G1086">
        <v>30869</v>
      </c>
      <c r="H1086" s="116"/>
      <c r="I1086" s="116"/>
      <c r="L1086" s="170">
        <v>44477</v>
      </c>
      <c r="M1086" s="116">
        <v>515.70000000000005</v>
      </c>
      <c r="N1086" s="116">
        <v>524.29999999999995</v>
      </c>
      <c r="O1086" s="116">
        <v>507.65</v>
      </c>
      <c r="P1086" s="116">
        <v>515</v>
      </c>
      <c r="Q1086" s="116">
        <v>515.70000000000005</v>
      </c>
      <c r="R1086">
        <v>286941</v>
      </c>
    </row>
    <row r="1087" spans="1:18" x14ac:dyDescent="0.25">
      <c r="A1087" s="170">
        <v>44480</v>
      </c>
      <c r="B1087" s="116">
        <v>528.75</v>
      </c>
      <c r="C1087" s="116">
        <v>504.05</v>
      </c>
      <c r="D1087" s="116">
        <v>497</v>
      </c>
      <c r="E1087" s="116">
        <v>516.04999999999995</v>
      </c>
      <c r="F1087" s="116">
        <v>504.05</v>
      </c>
      <c r="G1087">
        <v>73133</v>
      </c>
      <c r="H1087" s="116"/>
      <c r="I1087" s="116"/>
      <c r="L1087" s="170">
        <v>44480</v>
      </c>
      <c r="M1087" s="116">
        <v>501.5</v>
      </c>
      <c r="N1087" s="116">
        <v>529</v>
      </c>
      <c r="O1087" s="116">
        <v>497</v>
      </c>
      <c r="P1087" s="116">
        <v>517</v>
      </c>
      <c r="Q1087" s="116">
        <v>501.5</v>
      </c>
      <c r="R1087">
        <v>354649</v>
      </c>
    </row>
    <row r="1088" spans="1:18" x14ac:dyDescent="0.25">
      <c r="A1088" s="170">
        <v>44481</v>
      </c>
      <c r="B1088" s="116">
        <v>513.75</v>
      </c>
      <c r="C1088" s="116">
        <v>501.1</v>
      </c>
      <c r="D1088" s="116">
        <v>498.5</v>
      </c>
      <c r="E1088" s="116">
        <v>502</v>
      </c>
      <c r="F1088" s="116">
        <v>501.1</v>
      </c>
      <c r="G1088">
        <v>32305</v>
      </c>
      <c r="H1088" s="116"/>
      <c r="I1088" s="116"/>
      <c r="L1088" s="170">
        <v>44481</v>
      </c>
      <c r="M1088" s="116">
        <v>501.9</v>
      </c>
      <c r="N1088" s="116">
        <v>513.5</v>
      </c>
      <c r="O1088" s="116">
        <v>498.1</v>
      </c>
      <c r="P1088" s="116">
        <v>500</v>
      </c>
      <c r="Q1088" s="116">
        <v>501.9</v>
      </c>
      <c r="R1088">
        <v>413451</v>
      </c>
    </row>
    <row r="1089" spans="1:18" x14ac:dyDescent="0.25">
      <c r="A1089" s="170">
        <v>44482</v>
      </c>
      <c r="B1089" s="116">
        <v>515</v>
      </c>
      <c r="C1089" s="116">
        <v>505.1</v>
      </c>
      <c r="D1089" s="116">
        <v>500.5</v>
      </c>
      <c r="E1089" s="116">
        <v>504.55</v>
      </c>
      <c r="F1089" s="116">
        <v>505.1</v>
      </c>
      <c r="G1089">
        <v>15702</v>
      </c>
      <c r="H1089" s="116"/>
      <c r="I1089" s="116"/>
      <c r="L1089" s="170">
        <v>44482</v>
      </c>
      <c r="M1089" s="116">
        <v>505.3</v>
      </c>
      <c r="N1089" s="116">
        <v>514</v>
      </c>
      <c r="O1089" s="116">
        <v>500.1</v>
      </c>
      <c r="P1089" s="116">
        <v>509</v>
      </c>
      <c r="Q1089" s="116">
        <v>505.3</v>
      </c>
      <c r="R1089">
        <v>210200</v>
      </c>
    </row>
    <row r="1090" spans="1:18" x14ac:dyDescent="0.25">
      <c r="A1090" s="170">
        <v>44483</v>
      </c>
      <c r="B1090" s="116">
        <v>540.70000000000005</v>
      </c>
      <c r="C1090" s="116">
        <v>531</v>
      </c>
      <c r="D1090" s="116">
        <v>506.95</v>
      </c>
      <c r="E1090" s="116">
        <v>533.95000000000005</v>
      </c>
      <c r="F1090" s="116">
        <v>531</v>
      </c>
      <c r="G1090">
        <v>78154</v>
      </c>
      <c r="H1090" s="116"/>
      <c r="I1090" s="116"/>
      <c r="L1090" s="170">
        <v>44483</v>
      </c>
      <c r="M1090" s="116">
        <v>530.85</v>
      </c>
      <c r="N1090" s="116">
        <v>540.6</v>
      </c>
      <c r="O1090" s="116">
        <v>506.55</v>
      </c>
      <c r="P1090" s="116">
        <v>509.7</v>
      </c>
      <c r="Q1090" s="116">
        <v>530.85</v>
      </c>
      <c r="R1090">
        <v>915471</v>
      </c>
    </row>
    <row r="1091" spans="1:18" x14ac:dyDescent="0.25">
      <c r="A1091" s="170">
        <v>44487</v>
      </c>
      <c r="B1091" s="116">
        <v>540</v>
      </c>
      <c r="C1091" s="116">
        <v>531.70000000000005</v>
      </c>
      <c r="D1091" s="116">
        <v>522</v>
      </c>
      <c r="E1091" s="116">
        <v>531</v>
      </c>
      <c r="F1091" s="116">
        <v>531.70000000000005</v>
      </c>
      <c r="G1091">
        <v>65126</v>
      </c>
      <c r="H1091" s="116"/>
      <c r="I1091" s="116"/>
      <c r="L1091" s="170">
        <v>44487</v>
      </c>
      <c r="M1091" s="116">
        <v>531.6</v>
      </c>
      <c r="N1091" s="116">
        <v>540</v>
      </c>
      <c r="O1091" s="116">
        <v>521.95000000000005</v>
      </c>
      <c r="P1091" s="116">
        <v>534.85</v>
      </c>
      <c r="Q1091" s="116">
        <v>531.6</v>
      </c>
      <c r="R1091">
        <v>495960</v>
      </c>
    </row>
    <row r="1092" spans="1:18" x14ac:dyDescent="0.25">
      <c r="A1092" s="170">
        <v>44488</v>
      </c>
      <c r="B1092" s="116">
        <v>546</v>
      </c>
      <c r="C1092" s="116">
        <v>518.6</v>
      </c>
      <c r="D1092" s="116">
        <v>511.6</v>
      </c>
      <c r="E1092" s="116">
        <v>525.25</v>
      </c>
      <c r="F1092" s="116">
        <v>518.6</v>
      </c>
      <c r="G1092">
        <v>65947</v>
      </c>
      <c r="H1092" s="116"/>
      <c r="I1092" s="116"/>
      <c r="L1092" s="170">
        <v>44488</v>
      </c>
      <c r="M1092" s="116">
        <v>519</v>
      </c>
      <c r="N1092" s="116">
        <v>547.45000000000005</v>
      </c>
      <c r="O1092" s="116">
        <v>511.6</v>
      </c>
      <c r="P1092" s="116">
        <v>535</v>
      </c>
      <c r="Q1092" s="116">
        <v>519</v>
      </c>
      <c r="R1092">
        <v>510602</v>
      </c>
    </row>
    <row r="1093" spans="1:18" x14ac:dyDescent="0.25">
      <c r="A1093" s="170">
        <v>44489</v>
      </c>
      <c r="B1093" s="116">
        <v>527.75</v>
      </c>
      <c r="C1093" s="116">
        <v>512.25</v>
      </c>
      <c r="D1093" s="116">
        <v>501.05</v>
      </c>
      <c r="E1093" s="116">
        <v>527.75</v>
      </c>
      <c r="F1093" s="116">
        <v>512.25</v>
      </c>
      <c r="G1093">
        <v>46670</v>
      </c>
      <c r="H1093" s="116"/>
      <c r="I1093" s="116"/>
      <c r="L1093" s="170">
        <v>44489</v>
      </c>
      <c r="M1093" s="116">
        <v>511.2</v>
      </c>
      <c r="N1093" s="116">
        <v>519.79999999999995</v>
      </c>
      <c r="O1093" s="116">
        <v>500.7</v>
      </c>
      <c r="P1093" s="116">
        <v>519.79999999999995</v>
      </c>
      <c r="Q1093" s="116">
        <v>511.2</v>
      </c>
      <c r="R1093">
        <v>296654</v>
      </c>
    </row>
    <row r="1094" spans="1:18" x14ac:dyDescent="0.25">
      <c r="A1094" s="170">
        <v>44490</v>
      </c>
      <c r="B1094" s="116">
        <v>515.29999999999995</v>
      </c>
      <c r="C1094" s="116">
        <v>505.8</v>
      </c>
      <c r="D1094" s="116">
        <v>497.35</v>
      </c>
      <c r="E1094" s="116">
        <v>514.95000000000005</v>
      </c>
      <c r="F1094" s="116">
        <v>505.8</v>
      </c>
      <c r="G1094">
        <v>28343</v>
      </c>
      <c r="H1094" s="116"/>
      <c r="I1094" s="116"/>
      <c r="L1094" s="170">
        <v>44490</v>
      </c>
      <c r="M1094" s="116">
        <v>505.7</v>
      </c>
      <c r="N1094" s="116">
        <v>515</v>
      </c>
      <c r="O1094" s="116">
        <v>497.1</v>
      </c>
      <c r="P1094" s="116">
        <v>513</v>
      </c>
      <c r="Q1094" s="116">
        <v>505.7</v>
      </c>
      <c r="R1094">
        <v>143874</v>
      </c>
    </row>
    <row r="1095" spans="1:18" x14ac:dyDescent="0.25">
      <c r="A1095" s="170">
        <v>44491</v>
      </c>
      <c r="B1095" s="116">
        <v>528.5</v>
      </c>
      <c r="C1095" s="116">
        <v>509.45</v>
      </c>
      <c r="D1095" s="116">
        <v>503.65</v>
      </c>
      <c r="E1095" s="116">
        <v>505.8</v>
      </c>
      <c r="F1095" s="116">
        <v>509.45</v>
      </c>
      <c r="G1095">
        <v>51762</v>
      </c>
      <c r="H1095" s="116"/>
      <c r="I1095" s="116"/>
      <c r="L1095" s="170">
        <v>44491</v>
      </c>
      <c r="M1095" s="116">
        <v>509.2</v>
      </c>
      <c r="N1095" s="116">
        <v>529</v>
      </c>
      <c r="O1095" s="116">
        <v>503</v>
      </c>
      <c r="P1095" s="116">
        <v>509.7</v>
      </c>
      <c r="Q1095" s="116">
        <v>509.2</v>
      </c>
      <c r="R1095">
        <v>304381</v>
      </c>
    </row>
    <row r="1096" spans="1:18" x14ac:dyDescent="0.25">
      <c r="A1096" s="170">
        <v>44494</v>
      </c>
      <c r="B1096" s="116">
        <v>516</v>
      </c>
      <c r="C1096" s="116">
        <v>506.25</v>
      </c>
      <c r="D1096" s="116">
        <v>495.1</v>
      </c>
      <c r="E1096" s="116">
        <v>512.6</v>
      </c>
      <c r="F1096" s="116">
        <v>506.25</v>
      </c>
      <c r="G1096">
        <v>44633</v>
      </c>
      <c r="H1096" s="116"/>
      <c r="I1096" s="116"/>
      <c r="L1096" s="170">
        <v>44494</v>
      </c>
      <c r="M1096" s="116">
        <v>505</v>
      </c>
      <c r="N1096" s="116">
        <v>518</v>
      </c>
      <c r="O1096" s="116">
        <v>492.35</v>
      </c>
      <c r="P1096" s="116">
        <v>518</v>
      </c>
      <c r="Q1096" s="116">
        <v>505</v>
      </c>
      <c r="R1096">
        <v>170751</v>
      </c>
    </row>
    <row r="1097" spans="1:18" x14ac:dyDescent="0.25">
      <c r="A1097" s="170">
        <v>44495</v>
      </c>
      <c r="B1097" s="116">
        <v>523.45000000000005</v>
      </c>
      <c r="C1097" s="116">
        <v>518.15</v>
      </c>
      <c r="D1097" s="116">
        <v>504.65</v>
      </c>
      <c r="E1097" s="116">
        <v>507.1</v>
      </c>
      <c r="F1097" s="116">
        <v>518.15</v>
      </c>
      <c r="G1097">
        <v>45884</v>
      </c>
      <c r="H1097" s="116"/>
      <c r="I1097" s="116"/>
      <c r="L1097" s="170">
        <v>44495</v>
      </c>
      <c r="M1097" s="116">
        <v>517.5</v>
      </c>
      <c r="N1097" s="116">
        <v>523.5</v>
      </c>
      <c r="O1097" s="116">
        <v>504.35</v>
      </c>
      <c r="P1097" s="116">
        <v>509.85</v>
      </c>
      <c r="Q1097" s="116">
        <v>517.5</v>
      </c>
      <c r="R1097">
        <v>211909</v>
      </c>
    </row>
    <row r="1098" spans="1:18" x14ac:dyDescent="0.25">
      <c r="A1098" s="170">
        <v>44496</v>
      </c>
      <c r="B1098" s="116">
        <v>552.20000000000005</v>
      </c>
      <c r="C1098" s="116">
        <v>527.70000000000005</v>
      </c>
      <c r="D1098" s="116">
        <v>510.55</v>
      </c>
      <c r="E1098" s="116">
        <v>511</v>
      </c>
      <c r="F1098" s="116">
        <v>527.70000000000005</v>
      </c>
      <c r="G1098">
        <v>155429</v>
      </c>
      <c r="H1098" s="116"/>
      <c r="I1098" s="116"/>
      <c r="L1098" s="170">
        <v>44496</v>
      </c>
      <c r="M1098" s="116">
        <v>528.35</v>
      </c>
      <c r="N1098" s="116">
        <v>552</v>
      </c>
      <c r="O1098" s="116">
        <v>510</v>
      </c>
      <c r="P1098" s="116">
        <v>519.95000000000005</v>
      </c>
      <c r="Q1098" s="116">
        <v>528.35</v>
      </c>
      <c r="R1098">
        <v>1114450</v>
      </c>
    </row>
    <row r="1099" spans="1:18" x14ac:dyDescent="0.25">
      <c r="A1099" s="170">
        <v>44497</v>
      </c>
      <c r="B1099" s="116">
        <v>537</v>
      </c>
      <c r="C1099" s="116">
        <v>512.20000000000005</v>
      </c>
      <c r="D1099" s="116">
        <v>507.95</v>
      </c>
      <c r="E1099" s="116">
        <v>527.70000000000005</v>
      </c>
      <c r="F1099" s="116">
        <v>512.20000000000005</v>
      </c>
      <c r="G1099">
        <v>92978</v>
      </c>
      <c r="H1099" s="116"/>
      <c r="I1099" s="116"/>
      <c r="L1099" s="170">
        <v>44497</v>
      </c>
      <c r="M1099" s="116">
        <v>512.6</v>
      </c>
      <c r="N1099" s="116">
        <v>538</v>
      </c>
      <c r="O1099" s="116">
        <v>508</v>
      </c>
      <c r="P1099" s="116">
        <v>530</v>
      </c>
      <c r="Q1099" s="116">
        <v>512.6</v>
      </c>
      <c r="R1099">
        <v>269841</v>
      </c>
    </row>
    <row r="1100" spans="1:18" x14ac:dyDescent="0.25">
      <c r="A1100" s="170">
        <v>44498</v>
      </c>
      <c r="B1100" s="116">
        <v>525.9</v>
      </c>
      <c r="C1100" s="116">
        <v>513.70000000000005</v>
      </c>
      <c r="D1100" s="116">
        <v>505.25</v>
      </c>
      <c r="E1100" s="116">
        <v>518</v>
      </c>
      <c r="F1100" s="116">
        <v>513.70000000000005</v>
      </c>
      <c r="G1100">
        <v>45153</v>
      </c>
      <c r="H1100" s="116"/>
      <c r="I1100" s="116"/>
      <c r="L1100" s="170">
        <v>44498</v>
      </c>
      <c r="M1100" s="116">
        <v>514.15</v>
      </c>
      <c r="N1100" s="116">
        <v>526</v>
      </c>
      <c r="O1100" s="116">
        <v>504.2</v>
      </c>
      <c r="P1100" s="116">
        <v>510.2</v>
      </c>
      <c r="Q1100" s="116">
        <v>514.15</v>
      </c>
      <c r="R1100">
        <v>271071</v>
      </c>
    </row>
    <row r="1101" spans="1:18" x14ac:dyDescent="0.25">
      <c r="A1101" s="170">
        <v>44501</v>
      </c>
      <c r="B1101" s="116">
        <v>526</v>
      </c>
      <c r="C1101" s="116">
        <v>518.1</v>
      </c>
      <c r="D1101" s="116">
        <v>514.79999999999995</v>
      </c>
      <c r="E1101" s="116">
        <v>521</v>
      </c>
      <c r="F1101" s="116">
        <v>518.1</v>
      </c>
      <c r="G1101">
        <v>29833</v>
      </c>
      <c r="H1101" s="116"/>
      <c r="I1101" s="116"/>
      <c r="L1101" s="170">
        <v>44501</v>
      </c>
      <c r="M1101" s="116">
        <v>518.15</v>
      </c>
      <c r="N1101" s="116">
        <v>526.1</v>
      </c>
      <c r="O1101" s="116">
        <v>514.54999999999995</v>
      </c>
      <c r="P1101" s="116">
        <v>519.5</v>
      </c>
      <c r="Q1101" s="116">
        <v>518.15</v>
      </c>
      <c r="R1101">
        <v>165520</v>
      </c>
    </row>
    <row r="1102" spans="1:18" x14ac:dyDescent="0.25">
      <c r="A1102" s="170">
        <v>44502</v>
      </c>
      <c r="B1102" s="116">
        <v>535</v>
      </c>
      <c r="C1102" s="116">
        <v>523.5</v>
      </c>
      <c r="D1102" s="116">
        <v>521.5</v>
      </c>
      <c r="E1102" s="116">
        <v>523.04999999999995</v>
      </c>
      <c r="F1102" s="116">
        <v>523.5</v>
      </c>
      <c r="G1102">
        <v>39349</v>
      </c>
      <c r="H1102" s="116"/>
      <c r="I1102" s="116"/>
      <c r="L1102" s="170">
        <v>44502</v>
      </c>
      <c r="M1102" s="116">
        <v>524.35</v>
      </c>
      <c r="N1102" s="116">
        <v>534.85</v>
      </c>
      <c r="O1102" s="116">
        <v>520.54999999999995</v>
      </c>
      <c r="P1102" s="116">
        <v>521</v>
      </c>
      <c r="Q1102" s="116">
        <v>524.35</v>
      </c>
      <c r="R1102">
        <v>331789</v>
      </c>
    </row>
    <row r="1103" spans="1:18" x14ac:dyDescent="0.25">
      <c r="A1103" s="170">
        <v>44503</v>
      </c>
      <c r="B1103" s="116">
        <v>538.5</v>
      </c>
      <c r="C1103" s="116">
        <v>527.79999999999995</v>
      </c>
      <c r="D1103" s="116">
        <v>523.20000000000005</v>
      </c>
      <c r="E1103" s="116">
        <v>534.79999999999995</v>
      </c>
      <c r="F1103" s="116">
        <v>527.79999999999995</v>
      </c>
      <c r="G1103">
        <v>20986</v>
      </c>
      <c r="H1103" s="116"/>
      <c r="I1103" s="116"/>
      <c r="L1103" s="170">
        <v>44503</v>
      </c>
      <c r="M1103" s="116">
        <v>527.35</v>
      </c>
      <c r="N1103" s="116">
        <v>538.79999999999995</v>
      </c>
      <c r="O1103" s="116">
        <v>522.65</v>
      </c>
      <c r="P1103" s="116">
        <v>534</v>
      </c>
      <c r="Q1103" s="116">
        <v>527.35</v>
      </c>
      <c r="R1103">
        <v>258810</v>
      </c>
    </row>
    <row r="1104" spans="1:18" x14ac:dyDescent="0.25">
      <c r="A1104" s="170">
        <v>44504</v>
      </c>
      <c r="B1104" s="116">
        <v>537.5</v>
      </c>
      <c r="C1104" s="116">
        <v>533.9</v>
      </c>
      <c r="D1104" s="116">
        <v>533</v>
      </c>
      <c r="E1104" s="116">
        <v>533</v>
      </c>
      <c r="F1104" s="116">
        <v>533.9</v>
      </c>
      <c r="G1104">
        <v>8611</v>
      </c>
      <c r="H1104" s="116"/>
      <c r="I1104" s="116"/>
      <c r="L1104" s="170">
        <v>44504</v>
      </c>
      <c r="M1104" s="116">
        <v>533.70000000000005</v>
      </c>
      <c r="N1104" s="116">
        <v>538.35</v>
      </c>
      <c r="O1104" s="116">
        <v>532</v>
      </c>
      <c r="P1104" s="116">
        <v>532.70000000000005</v>
      </c>
      <c r="Q1104" s="116">
        <v>533.70000000000005</v>
      </c>
      <c r="R1104">
        <v>89333</v>
      </c>
    </row>
    <row r="1105" spans="1:18" x14ac:dyDescent="0.25">
      <c r="A1105" s="170">
        <v>44508</v>
      </c>
      <c r="B1105" s="116">
        <v>544</v>
      </c>
      <c r="C1105" s="116">
        <v>533.20000000000005</v>
      </c>
      <c r="D1105" s="116">
        <v>529.5</v>
      </c>
      <c r="E1105" s="116">
        <v>544</v>
      </c>
      <c r="F1105" s="116">
        <v>533.20000000000005</v>
      </c>
      <c r="G1105">
        <v>31403</v>
      </c>
      <c r="H1105" s="116"/>
      <c r="I1105" s="116"/>
      <c r="L1105" s="170">
        <v>44508</v>
      </c>
      <c r="M1105" s="116">
        <v>532.1</v>
      </c>
      <c r="N1105" s="116">
        <v>539.4</v>
      </c>
      <c r="O1105" s="116">
        <v>529.1</v>
      </c>
      <c r="P1105" s="116">
        <v>539.4</v>
      </c>
      <c r="Q1105" s="116">
        <v>532.1</v>
      </c>
      <c r="R1105">
        <v>208079</v>
      </c>
    </row>
    <row r="1106" spans="1:18" x14ac:dyDescent="0.25">
      <c r="A1106" s="170">
        <v>44509</v>
      </c>
      <c r="B1106" s="116">
        <v>539</v>
      </c>
      <c r="C1106" s="116">
        <v>526.04999999999995</v>
      </c>
      <c r="D1106" s="116">
        <v>524.35</v>
      </c>
      <c r="E1106" s="116">
        <v>539</v>
      </c>
      <c r="F1106" s="116">
        <v>526.04999999999995</v>
      </c>
      <c r="G1106">
        <v>23717</v>
      </c>
      <c r="H1106" s="116"/>
      <c r="I1106" s="116"/>
      <c r="L1106" s="170">
        <v>44509</v>
      </c>
      <c r="M1106" s="116">
        <v>526.20000000000005</v>
      </c>
      <c r="N1106" s="116">
        <v>538.9</v>
      </c>
      <c r="O1106" s="116">
        <v>524.1</v>
      </c>
      <c r="P1106" s="116">
        <v>535.95000000000005</v>
      </c>
      <c r="Q1106" s="116">
        <v>526.20000000000005</v>
      </c>
      <c r="R1106">
        <v>223409</v>
      </c>
    </row>
    <row r="1107" spans="1:18" x14ac:dyDescent="0.25">
      <c r="A1107" s="170">
        <v>44510</v>
      </c>
      <c r="B1107" s="116">
        <v>530.15</v>
      </c>
      <c r="C1107" s="116">
        <v>522.79999999999995</v>
      </c>
      <c r="D1107" s="116">
        <v>518.85</v>
      </c>
      <c r="E1107" s="116">
        <v>526.04999999999995</v>
      </c>
      <c r="F1107" s="116">
        <v>522.79999999999995</v>
      </c>
      <c r="G1107">
        <v>13515</v>
      </c>
      <c r="H1107" s="116"/>
      <c r="I1107" s="116"/>
      <c r="L1107" s="170">
        <v>44510</v>
      </c>
      <c r="M1107" s="116">
        <v>521.75</v>
      </c>
      <c r="N1107" s="116">
        <v>531</v>
      </c>
      <c r="O1107" s="116">
        <v>519.5</v>
      </c>
      <c r="P1107" s="116">
        <v>523.04999999999995</v>
      </c>
      <c r="Q1107" s="116">
        <v>521.75</v>
      </c>
      <c r="R1107">
        <v>73667</v>
      </c>
    </row>
    <row r="1108" spans="1:18" x14ac:dyDescent="0.25">
      <c r="A1108" s="170">
        <v>44511</v>
      </c>
      <c r="B1108" s="116">
        <v>524.79999999999995</v>
      </c>
      <c r="C1108" s="116">
        <v>514.29999999999995</v>
      </c>
      <c r="D1108" s="116">
        <v>510.3</v>
      </c>
      <c r="E1108" s="116">
        <v>521.54999999999995</v>
      </c>
      <c r="F1108" s="116">
        <v>514.29999999999995</v>
      </c>
      <c r="G1108">
        <v>18544</v>
      </c>
      <c r="H1108" s="116"/>
      <c r="I1108" s="116"/>
      <c r="L1108" s="170">
        <v>44511</v>
      </c>
      <c r="M1108" s="116">
        <v>514.35</v>
      </c>
      <c r="N1108" s="116">
        <v>524.9</v>
      </c>
      <c r="O1108" s="116">
        <v>511.3</v>
      </c>
      <c r="P1108" s="116">
        <v>524.4</v>
      </c>
      <c r="Q1108" s="116">
        <v>514.35</v>
      </c>
      <c r="R1108">
        <v>65126</v>
      </c>
    </row>
    <row r="1109" spans="1:18" x14ac:dyDescent="0.25">
      <c r="A1109" s="170">
        <v>44512</v>
      </c>
      <c r="B1109" s="116">
        <v>521.5</v>
      </c>
      <c r="C1109" s="116">
        <v>513.9</v>
      </c>
      <c r="D1109" s="116">
        <v>511</v>
      </c>
      <c r="E1109" s="116">
        <v>516.04999999999995</v>
      </c>
      <c r="F1109" s="116">
        <v>513.9</v>
      </c>
      <c r="G1109">
        <v>8765</v>
      </c>
      <c r="H1109" s="116"/>
      <c r="I1109" s="116"/>
      <c r="L1109" s="170">
        <v>44512</v>
      </c>
      <c r="M1109" s="116">
        <v>514.04999999999995</v>
      </c>
      <c r="N1109" s="116">
        <v>522.04999999999995</v>
      </c>
      <c r="O1109" s="116">
        <v>510.4</v>
      </c>
      <c r="P1109" s="116">
        <v>519.79999999999995</v>
      </c>
      <c r="Q1109" s="116">
        <v>514.04999999999995</v>
      </c>
      <c r="R1109">
        <v>61070</v>
      </c>
    </row>
    <row r="1110" spans="1:18" x14ac:dyDescent="0.25">
      <c r="A1110" s="170">
        <v>44515</v>
      </c>
      <c r="B1110" s="116">
        <v>524.35</v>
      </c>
      <c r="C1110" s="116">
        <v>514.35</v>
      </c>
      <c r="D1110" s="116">
        <v>508</v>
      </c>
      <c r="E1110" s="116">
        <v>524.35</v>
      </c>
      <c r="F1110" s="116">
        <v>514.35</v>
      </c>
      <c r="G1110">
        <v>11450</v>
      </c>
      <c r="H1110" s="116"/>
      <c r="I1110" s="116"/>
      <c r="L1110" s="170">
        <v>44515</v>
      </c>
      <c r="M1110" s="116">
        <v>511.4</v>
      </c>
      <c r="N1110" s="116">
        <v>518.85</v>
      </c>
      <c r="O1110" s="116">
        <v>507.05</v>
      </c>
      <c r="P1110" s="116">
        <v>516.6</v>
      </c>
      <c r="Q1110" s="116">
        <v>511.4</v>
      </c>
      <c r="R1110">
        <v>78187</v>
      </c>
    </row>
    <row r="1111" spans="1:18" x14ac:dyDescent="0.25">
      <c r="A1111" s="170">
        <v>44516</v>
      </c>
      <c r="B1111" s="116">
        <v>534.4</v>
      </c>
      <c r="C1111" s="116">
        <v>527.95000000000005</v>
      </c>
      <c r="D1111" s="116">
        <v>507.65</v>
      </c>
      <c r="E1111" s="116">
        <v>510.25</v>
      </c>
      <c r="F1111" s="116">
        <v>527.95000000000005</v>
      </c>
      <c r="G1111">
        <v>39166</v>
      </c>
      <c r="H1111" s="116"/>
      <c r="I1111" s="116"/>
      <c r="L1111" s="170">
        <v>44516</v>
      </c>
      <c r="M1111" s="116">
        <v>527.25</v>
      </c>
      <c r="N1111" s="116">
        <v>534.4</v>
      </c>
      <c r="O1111" s="116">
        <v>508.2</v>
      </c>
      <c r="P1111" s="116">
        <v>510</v>
      </c>
      <c r="Q1111" s="116">
        <v>527.25</v>
      </c>
      <c r="R1111">
        <v>227313</v>
      </c>
    </row>
    <row r="1112" spans="1:18" x14ac:dyDescent="0.25">
      <c r="A1112" s="170">
        <v>44517</v>
      </c>
      <c r="B1112" s="116">
        <v>533.70000000000005</v>
      </c>
      <c r="C1112" s="116">
        <v>518.95000000000005</v>
      </c>
      <c r="D1112" s="116">
        <v>518</v>
      </c>
      <c r="E1112" s="116">
        <v>533.70000000000005</v>
      </c>
      <c r="F1112" s="116">
        <v>518.95000000000005</v>
      </c>
      <c r="G1112">
        <v>17420</v>
      </c>
      <c r="H1112" s="116"/>
      <c r="I1112" s="116"/>
      <c r="L1112" s="170">
        <v>44517</v>
      </c>
      <c r="M1112" s="116">
        <v>519.20000000000005</v>
      </c>
      <c r="N1112" s="116">
        <v>528.5</v>
      </c>
      <c r="O1112" s="116">
        <v>517.29999999999995</v>
      </c>
      <c r="P1112" s="116">
        <v>528.5</v>
      </c>
      <c r="Q1112" s="116">
        <v>519.20000000000005</v>
      </c>
      <c r="R1112">
        <v>77043</v>
      </c>
    </row>
    <row r="1113" spans="1:18" x14ac:dyDescent="0.25">
      <c r="A1113" s="170">
        <v>44518</v>
      </c>
      <c r="B1113" s="116">
        <v>522.9</v>
      </c>
      <c r="C1113" s="116">
        <v>512.9</v>
      </c>
      <c r="D1113" s="116">
        <v>503.55</v>
      </c>
      <c r="E1113" s="116">
        <v>515</v>
      </c>
      <c r="F1113" s="116">
        <v>512.9</v>
      </c>
      <c r="G1113">
        <v>20716</v>
      </c>
      <c r="H1113" s="116"/>
      <c r="I1113" s="116"/>
      <c r="L1113" s="170">
        <v>44518</v>
      </c>
      <c r="M1113" s="116">
        <v>513.35</v>
      </c>
      <c r="N1113" s="116">
        <v>524</v>
      </c>
      <c r="O1113" s="116">
        <v>503.35</v>
      </c>
      <c r="P1113" s="116">
        <v>520</v>
      </c>
      <c r="Q1113" s="116">
        <v>513.35</v>
      </c>
      <c r="R1113">
        <v>138604</v>
      </c>
    </row>
    <row r="1114" spans="1:18" x14ac:dyDescent="0.25">
      <c r="A1114" s="170">
        <v>44522</v>
      </c>
      <c r="B1114" s="116">
        <v>513.04999999999995</v>
      </c>
      <c r="C1114" s="116">
        <v>491.5</v>
      </c>
      <c r="D1114" s="116">
        <v>489.65</v>
      </c>
      <c r="E1114" s="116">
        <v>513.04999999999995</v>
      </c>
      <c r="F1114" s="116">
        <v>491.5</v>
      </c>
      <c r="G1114">
        <v>13625</v>
      </c>
      <c r="H1114" s="116"/>
      <c r="I1114" s="116"/>
      <c r="L1114" s="170">
        <v>44522</v>
      </c>
      <c r="M1114" s="116">
        <v>491.8</v>
      </c>
      <c r="N1114" s="116">
        <v>518</v>
      </c>
      <c r="O1114" s="116">
        <v>489.6</v>
      </c>
      <c r="P1114" s="116">
        <v>515.95000000000005</v>
      </c>
      <c r="Q1114" s="116">
        <v>491.8</v>
      </c>
      <c r="R1114">
        <v>126906</v>
      </c>
    </row>
    <row r="1115" spans="1:18" x14ac:dyDescent="0.25">
      <c r="A1115" s="170">
        <v>44523</v>
      </c>
      <c r="B1115" s="116">
        <v>504.45</v>
      </c>
      <c r="C1115" s="116">
        <v>501.7</v>
      </c>
      <c r="D1115" s="116">
        <v>489.55</v>
      </c>
      <c r="E1115" s="116">
        <v>491.55</v>
      </c>
      <c r="F1115" s="116">
        <v>501.7</v>
      </c>
      <c r="G1115">
        <v>8523</v>
      </c>
      <c r="H1115" s="116"/>
      <c r="I1115" s="116"/>
      <c r="L1115" s="170">
        <v>44523</v>
      </c>
      <c r="M1115" s="116">
        <v>501.95</v>
      </c>
      <c r="N1115" s="116">
        <v>505</v>
      </c>
      <c r="O1115" s="116">
        <v>488.3</v>
      </c>
      <c r="P1115" s="116">
        <v>488.3</v>
      </c>
      <c r="Q1115" s="116">
        <v>501.95</v>
      </c>
      <c r="R1115">
        <v>116630</v>
      </c>
    </row>
    <row r="1116" spans="1:18" x14ac:dyDescent="0.25">
      <c r="A1116" s="170">
        <v>44524</v>
      </c>
      <c r="B1116" s="116">
        <v>514.9</v>
      </c>
      <c r="C1116" s="116">
        <v>504.5</v>
      </c>
      <c r="D1116" s="116">
        <v>501.65</v>
      </c>
      <c r="E1116" s="116">
        <v>511.6</v>
      </c>
      <c r="F1116" s="116">
        <v>504.5</v>
      </c>
      <c r="G1116">
        <v>14002</v>
      </c>
      <c r="H1116" s="116"/>
      <c r="I1116" s="116"/>
      <c r="L1116" s="170">
        <v>44524</v>
      </c>
      <c r="M1116" s="116">
        <v>502.9</v>
      </c>
      <c r="N1116" s="116">
        <v>514.9</v>
      </c>
      <c r="O1116" s="116">
        <v>500.5</v>
      </c>
      <c r="P1116" s="116">
        <v>502.3</v>
      </c>
      <c r="Q1116" s="116">
        <v>502.9</v>
      </c>
      <c r="R1116">
        <v>70331</v>
      </c>
    </row>
    <row r="1117" spans="1:18" x14ac:dyDescent="0.25">
      <c r="A1117" s="170">
        <v>44525</v>
      </c>
      <c r="B1117" s="116">
        <v>509.45</v>
      </c>
      <c r="C1117" s="116">
        <v>504.1</v>
      </c>
      <c r="D1117" s="116">
        <v>499.25</v>
      </c>
      <c r="E1117" s="116">
        <v>503.85</v>
      </c>
      <c r="F1117" s="116">
        <v>504.1</v>
      </c>
      <c r="G1117">
        <v>12781</v>
      </c>
      <c r="H1117" s="116"/>
      <c r="I1117" s="116"/>
      <c r="L1117" s="170">
        <v>44525</v>
      </c>
      <c r="M1117" s="116">
        <v>505.1</v>
      </c>
      <c r="N1117" s="116">
        <v>509.5</v>
      </c>
      <c r="O1117" s="116">
        <v>499</v>
      </c>
      <c r="P1117" s="116">
        <v>504</v>
      </c>
      <c r="Q1117" s="116">
        <v>505.1</v>
      </c>
      <c r="R1117">
        <v>59821</v>
      </c>
    </row>
    <row r="1118" spans="1:18" x14ac:dyDescent="0.25">
      <c r="A1118" s="170">
        <v>44526</v>
      </c>
      <c r="B1118" s="116">
        <v>503.35</v>
      </c>
      <c r="C1118" s="116">
        <v>490.4</v>
      </c>
      <c r="D1118" s="116">
        <v>483.9</v>
      </c>
      <c r="E1118" s="116">
        <v>495.45</v>
      </c>
      <c r="F1118" s="116">
        <v>490.4</v>
      </c>
      <c r="G1118">
        <v>14352</v>
      </c>
      <c r="H1118" s="116"/>
      <c r="I1118" s="116"/>
      <c r="L1118" s="170">
        <v>44526</v>
      </c>
      <c r="M1118" s="116">
        <v>491.5</v>
      </c>
      <c r="N1118" s="116">
        <v>504.2</v>
      </c>
      <c r="O1118" s="116">
        <v>484</v>
      </c>
      <c r="P1118" s="116">
        <v>499</v>
      </c>
      <c r="Q1118" s="116">
        <v>491.5</v>
      </c>
      <c r="R1118">
        <v>141003</v>
      </c>
    </row>
    <row r="1119" spans="1:18" x14ac:dyDescent="0.25">
      <c r="A1119" s="170">
        <v>44529</v>
      </c>
      <c r="B1119" s="116">
        <v>495</v>
      </c>
      <c r="C1119" s="116">
        <v>471.15</v>
      </c>
      <c r="D1119" s="116">
        <v>464.2</v>
      </c>
      <c r="E1119" s="116">
        <v>494.6</v>
      </c>
      <c r="F1119" s="116">
        <v>471.15</v>
      </c>
      <c r="G1119">
        <v>19713</v>
      </c>
      <c r="H1119" s="116"/>
      <c r="I1119" s="116"/>
      <c r="L1119" s="170">
        <v>44529</v>
      </c>
      <c r="M1119" s="116">
        <v>469.05</v>
      </c>
      <c r="N1119" s="116">
        <v>493.95</v>
      </c>
      <c r="O1119" s="116">
        <v>461.25</v>
      </c>
      <c r="P1119" s="116">
        <v>491.3</v>
      </c>
      <c r="Q1119" s="116">
        <v>469.05</v>
      </c>
      <c r="R1119">
        <v>96752</v>
      </c>
    </row>
    <row r="1120" spans="1:18" x14ac:dyDescent="0.25">
      <c r="A1120" s="170">
        <v>44530</v>
      </c>
      <c r="B1120" s="116">
        <v>484.55</v>
      </c>
      <c r="C1120" s="116">
        <v>474.85</v>
      </c>
      <c r="D1120" s="116">
        <v>470.3</v>
      </c>
      <c r="E1120" s="116">
        <v>473</v>
      </c>
      <c r="F1120" s="116">
        <v>474.85</v>
      </c>
      <c r="G1120">
        <v>8534</v>
      </c>
      <c r="H1120" s="116"/>
      <c r="I1120" s="116"/>
      <c r="L1120" s="170">
        <v>44530</v>
      </c>
      <c r="M1120" s="116">
        <v>472.65</v>
      </c>
      <c r="N1120" s="116">
        <v>485.2</v>
      </c>
      <c r="O1120" s="116">
        <v>470</v>
      </c>
      <c r="P1120" s="116">
        <v>470.05</v>
      </c>
      <c r="Q1120" s="116">
        <v>472.65</v>
      </c>
      <c r="R1120">
        <v>55310</v>
      </c>
    </row>
    <row r="1121" spans="1:18" x14ac:dyDescent="0.25">
      <c r="A1121" s="170">
        <v>44531</v>
      </c>
      <c r="B1121" s="116">
        <v>481.2</v>
      </c>
      <c r="C1121" s="116">
        <v>471.7</v>
      </c>
      <c r="D1121" s="116">
        <v>466.4</v>
      </c>
      <c r="E1121" s="116">
        <v>480.95</v>
      </c>
      <c r="F1121" s="116">
        <v>471.7</v>
      </c>
      <c r="G1121">
        <v>7006</v>
      </c>
      <c r="H1121" s="116"/>
      <c r="I1121" s="116"/>
      <c r="L1121" s="170">
        <v>44531</v>
      </c>
      <c r="M1121" s="116">
        <v>471.3</v>
      </c>
      <c r="N1121" s="116">
        <v>481.3</v>
      </c>
      <c r="O1121" s="116">
        <v>467.5</v>
      </c>
      <c r="P1121" s="116">
        <v>477.1</v>
      </c>
      <c r="Q1121" s="116">
        <v>471.3</v>
      </c>
      <c r="R1121">
        <v>37199</v>
      </c>
    </row>
    <row r="1122" spans="1:18" x14ac:dyDescent="0.25">
      <c r="A1122" s="170">
        <v>44532</v>
      </c>
      <c r="B1122" s="116">
        <v>495</v>
      </c>
      <c r="C1122" s="116">
        <v>488.15</v>
      </c>
      <c r="D1122" s="116">
        <v>462.85</v>
      </c>
      <c r="E1122" s="116">
        <v>462.85</v>
      </c>
      <c r="F1122" s="116">
        <v>488.15</v>
      </c>
      <c r="G1122">
        <v>22924</v>
      </c>
      <c r="H1122" s="116"/>
      <c r="I1122" s="116"/>
      <c r="L1122" s="170">
        <v>44532</v>
      </c>
      <c r="M1122" s="116">
        <v>488.3</v>
      </c>
      <c r="N1122" s="116">
        <v>494.4</v>
      </c>
      <c r="O1122" s="116">
        <v>472.45</v>
      </c>
      <c r="P1122" s="116">
        <v>472.45</v>
      </c>
      <c r="Q1122" s="116">
        <v>488.3</v>
      </c>
      <c r="R1122">
        <v>119869</v>
      </c>
    </row>
    <row r="1123" spans="1:18" x14ac:dyDescent="0.25">
      <c r="A1123" s="170">
        <v>44533</v>
      </c>
      <c r="B1123" s="116">
        <v>495.35</v>
      </c>
      <c r="C1123" s="116">
        <v>487.8</v>
      </c>
      <c r="D1123" s="116">
        <v>479.8</v>
      </c>
      <c r="E1123" s="116">
        <v>491.45</v>
      </c>
      <c r="F1123" s="116">
        <v>487.8</v>
      </c>
      <c r="G1123">
        <v>8007</v>
      </c>
      <c r="H1123" s="116"/>
      <c r="I1123" s="116"/>
      <c r="L1123" s="170">
        <v>44533</v>
      </c>
      <c r="M1123" s="116">
        <v>489.5</v>
      </c>
      <c r="N1123" s="116">
        <v>496</v>
      </c>
      <c r="O1123" s="116">
        <v>480.1</v>
      </c>
      <c r="P1123" s="116">
        <v>490.75</v>
      </c>
      <c r="Q1123" s="116">
        <v>489.5</v>
      </c>
      <c r="R1123">
        <v>77780</v>
      </c>
    </row>
    <row r="1124" spans="1:18" x14ac:dyDescent="0.25">
      <c r="A1124" s="170">
        <v>44536</v>
      </c>
      <c r="B1124" s="116">
        <v>490</v>
      </c>
      <c r="C1124" s="116">
        <v>474</v>
      </c>
      <c r="D1124" s="116">
        <v>472.1</v>
      </c>
      <c r="E1124" s="116">
        <v>490</v>
      </c>
      <c r="F1124" s="116">
        <v>474</v>
      </c>
      <c r="G1124">
        <v>3374</v>
      </c>
      <c r="H1124" s="116"/>
      <c r="I1124" s="116"/>
      <c r="L1124" s="170">
        <v>44536</v>
      </c>
      <c r="M1124" s="116">
        <v>473.45</v>
      </c>
      <c r="N1124" s="116">
        <v>496</v>
      </c>
      <c r="O1124" s="116">
        <v>471.5</v>
      </c>
      <c r="P1124" s="116">
        <v>496</v>
      </c>
      <c r="Q1124" s="116">
        <v>473.45</v>
      </c>
      <c r="R1124">
        <v>93750</v>
      </c>
    </row>
    <row r="1125" spans="1:18" x14ac:dyDescent="0.25">
      <c r="A1125" s="170">
        <v>44537</v>
      </c>
      <c r="B1125" s="116">
        <v>485</v>
      </c>
      <c r="C1125" s="116">
        <v>482.7</v>
      </c>
      <c r="D1125" s="116">
        <v>466.15</v>
      </c>
      <c r="E1125" s="116">
        <v>479.35</v>
      </c>
      <c r="F1125" s="116">
        <v>482.7</v>
      </c>
      <c r="G1125">
        <v>8163</v>
      </c>
      <c r="H1125" s="116"/>
      <c r="I1125" s="116"/>
      <c r="L1125" s="170">
        <v>44537</v>
      </c>
      <c r="M1125" s="116">
        <v>483.15</v>
      </c>
      <c r="N1125" s="116">
        <v>485</v>
      </c>
      <c r="O1125" s="116">
        <v>469.5</v>
      </c>
      <c r="P1125" s="116">
        <v>479.9</v>
      </c>
      <c r="Q1125" s="116">
        <v>483.15</v>
      </c>
      <c r="R1125">
        <v>68006</v>
      </c>
    </row>
    <row r="1126" spans="1:18" x14ac:dyDescent="0.25">
      <c r="A1126" s="170">
        <v>44538</v>
      </c>
      <c r="B1126" s="116">
        <v>511.65</v>
      </c>
      <c r="C1126" s="116">
        <v>508.1</v>
      </c>
      <c r="D1126" s="116">
        <v>483.35</v>
      </c>
      <c r="E1126" s="116">
        <v>488.45</v>
      </c>
      <c r="F1126" s="116">
        <v>508.1</v>
      </c>
      <c r="G1126">
        <v>6772</v>
      </c>
      <c r="H1126" s="116"/>
      <c r="I1126" s="116"/>
      <c r="L1126" s="170">
        <v>44538</v>
      </c>
      <c r="M1126" s="116">
        <v>507</v>
      </c>
      <c r="N1126" s="116">
        <v>512.04999999999995</v>
      </c>
      <c r="O1126" s="116">
        <v>482</v>
      </c>
      <c r="P1126" s="116">
        <v>482</v>
      </c>
      <c r="Q1126" s="116">
        <v>507</v>
      </c>
      <c r="R1126">
        <v>108780</v>
      </c>
    </row>
    <row r="1127" spans="1:18" x14ac:dyDescent="0.25">
      <c r="A1127" s="170">
        <v>44539</v>
      </c>
      <c r="B1127" s="116">
        <v>512</v>
      </c>
      <c r="C1127" s="116">
        <v>502.5</v>
      </c>
      <c r="D1127" s="116">
        <v>496.5</v>
      </c>
      <c r="E1127" s="116">
        <v>512</v>
      </c>
      <c r="F1127" s="116">
        <v>502.5</v>
      </c>
      <c r="G1127">
        <v>10627</v>
      </c>
      <c r="H1127" s="116"/>
      <c r="I1127" s="116"/>
      <c r="L1127" s="170">
        <v>44539</v>
      </c>
      <c r="M1127" s="116">
        <v>504.05</v>
      </c>
      <c r="N1127" s="116">
        <v>509.55</v>
      </c>
      <c r="O1127" s="116">
        <v>497</v>
      </c>
      <c r="P1127" s="116">
        <v>507</v>
      </c>
      <c r="Q1127" s="116">
        <v>504.05</v>
      </c>
      <c r="R1127">
        <v>55799</v>
      </c>
    </row>
    <row r="1128" spans="1:18" x14ac:dyDescent="0.25">
      <c r="A1128" s="170">
        <v>44540</v>
      </c>
      <c r="B1128" s="116">
        <v>535</v>
      </c>
      <c r="C1128" s="116">
        <v>529.95000000000005</v>
      </c>
      <c r="D1128" s="116">
        <v>503.75</v>
      </c>
      <c r="E1128" s="116">
        <v>503.75</v>
      </c>
      <c r="F1128" s="116">
        <v>529.95000000000005</v>
      </c>
      <c r="G1128">
        <v>13120</v>
      </c>
      <c r="H1128" s="116"/>
      <c r="I1128" s="116"/>
      <c r="L1128" s="170">
        <v>44540</v>
      </c>
      <c r="M1128" s="116">
        <v>530</v>
      </c>
      <c r="N1128" s="116">
        <v>534.79999999999995</v>
      </c>
      <c r="O1128" s="116">
        <v>508</v>
      </c>
      <c r="P1128" s="116">
        <v>510.1</v>
      </c>
      <c r="Q1128" s="116">
        <v>530</v>
      </c>
      <c r="R1128">
        <v>309025</v>
      </c>
    </row>
    <row r="1129" spans="1:18" x14ac:dyDescent="0.25">
      <c r="A1129" s="170">
        <v>44543</v>
      </c>
      <c r="B1129" s="116">
        <v>537.5</v>
      </c>
      <c r="C1129" s="116">
        <v>515.04999999999995</v>
      </c>
      <c r="D1129" s="116">
        <v>511.5</v>
      </c>
      <c r="E1129" s="116">
        <v>530</v>
      </c>
      <c r="F1129" s="116">
        <v>515.04999999999995</v>
      </c>
      <c r="G1129">
        <v>8547</v>
      </c>
      <c r="H1129" s="116"/>
      <c r="I1129" s="116"/>
      <c r="L1129" s="170">
        <v>44543</v>
      </c>
      <c r="M1129" s="116">
        <v>515.15</v>
      </c>
      <c r="N1129" s="116">
        <v>537.35</v>
      </c>
      <c r="O1129" s="116">
        <v>511.1</v>
      </c>
      <c r="P1129" s="116">
        <v>531.9</v>
      </c>
      <c r="Q1129" s="116">
        <v>515.15</v>
      </c>
      <c r="R1129">
        <v>144016</v>
      </c>
    </row>
    <row r="1130" spans="1:18" x14ac:dyDescent="0.25">
      <c r="A1130" s="170">
        <v>44544</v>
      </c>
      <c r="B1130" s="116">
        <v>524.79999999999995</v>
      </c>
      <c r="C1130" s="116">
        <v>514.1</v>
      </c>
      <c r="D1130" s="116">
        <v>506</v>
      </c>
      <c r="E1130" s="116">
        <v>520</v>
      </c>
      <c r="F1130" s="116">
        <v>514.1</v>
      </c>
      <c r="G1130">
        <v>17517</v>
      </c>
      <c r="H1130" s="116"/>
      <c r="I1130" s="116"/>
      <c r="L1130" s="170">
        <v>44544</v>
      </c>
      <c r="M1130" s="116">
        <v>511.25</v>
      </c>
      <c r="N1130" s="116">
        <v>528</v>
      </c>
      <c r="O1130" s="116">
        <v>506.1</v>
      </c>
      <c r="P1130" s="116">
        <v>513</v>
      </c>
      <c r="Q1130" s="116">
        <v>511.25</v>
      </c>
      <c r="R1130">
        <v>118991</v>
      </c>
    </row>
    <row r="1131" spans="1:18" x14ac:dyDescent="0.25">
      <c r="A1131" s="170">
        <v>44545</v>
      </c>
      <c r="B1131" s="116">
        <v>521.45000000000005</v>
      </c>
      <c r="C1131" s="116">
        <v>507.15</v>
      </c>
      <c r="D1131" s="116">
        <v>504.95</v>
      </c>
      <c r="E1131" s="116">
        <v>517</v>
      </c>
      <c r="F1131" s="116">
        <v>507.15</v>
      </c>
      <c r="G1131">
        <v>21709</v>
      </c>
      <c r="H1131" s="116"/>
      <c r="I1131" s="116"/>
      <c r="L1131" s="170">
        <v>44545</v>
      </c>
      <c r="M1131" s="116">
        <v>507.75</v>
      </c>
      <c r="N1131" s="116">
        <v>521.6</v>
      </c>
      <c r="O1131" s="116">
        <v>506.1</v>
      </c>
      <c r="P1131" s="116">
        <v>515</v>
      </c>
      <c r="Q1131" s="116">
        <v>507.75</v>
      </c>
      <c r="R1131">
        <v>120762</v>
      </c>
    </row>
    <row r="1132" spans="1:18" x14ac:dyDescent="0.25">
      <c r="A1132" s="170">
        <v>44546</v>
      </c>
      <c r="B1132" s="116">
        <v>513.79999999999995</v>
      </c>
      <c r="C1132" s="116">
        <v>499.6</v>
      </c>
      <c r="D1132" s="116">
        <v>498.2</v>
      </c>
      <c r="E1132" s="116">
        <v>512.75</v>
      </c>
      <c r="F1132" s="116">
        <v>499.6</v>
      </c>
      <c r="G1132">
        <v>13365</v>
      </c>
      <c r="H1132" s="116"/>
      <c r="I1132" s="116"/>
      <c r="L1132" s="170">
        <v>44546</v>
      </c>
      <c r="M1132" s="116">
        <v>499.85</v>
      </c>
      <c r="N1132" s="116">
        <v>514.79999999999995</v>
      </c>
      <c r="O1132" s="116">
        <v>498</v>
      </c>
      <c r="P1132" s="116">
        <v>510.3</v>
      </c>
      <c r="Q1132" s="116">
        <v>499.85</v>
      </c>
      <c r="R1132">
        <v>115890</v>
      </c>
    </row>
    <row r="1133" spans="1:18" x14ac:dyDescent="0.25">
      <c r="A1133" s="170">
        <v>44547</v>
      </c>
      <c r="B1133" s="116">
        <v>499.1</v>
      </c>
      <c r="C1133" s="116">
        <v>478.45</v>
      </c>
      <c r="D1133" s="116">
        <v>474.8</v>
      </c>
      <c r="E1133" s="116">
        <v>497</v>
      </c>
      <c r="F1133" s="116">
        <v>478.45</v>
      </c>
      <c r="G1133">
        <v>20779</v>
      </c>
      <c r="H1133" s="116"/>
      <c r="I1133" s="116"/>
      <c r="L1133" s="170">
        <v>44547</v>
      </c>
      <c r="M1133" s="116">
        <v>476.55</v>
      </c>
      <c r="N1133" s="116">
        <v>503.9</v>
      </c>
      <c r="O1133" s="116">
        <v>470.2</v>
      </c>
      <c r="P1133" s="116">
        <v>503.9</v>
      </c>
      <c r="Q1133" s="116">
        <v>476.55</v>
      </c>
      <c r="R1133">
        <v>174272</v>
      </c>
    </row>
    <row r="1134" spans="1:18" x14ac:dyDescent="0.25">
      <c r="A1134" s="170">
        <v>44550</v>
      </c>
      <c r="B1134" s="116">
        <v>470</v>
      </c>
      <c r="C1134" s="116">
        <v>451.85</v>
      </c>
      <c r="D1134" s="116">
        <v>446.65</v>
      </c>
      <c r="E1134" s="116">
        <v>470</v>
      </c>
      <c r="F1134" s="116">
        <v>451.85</v>
      </c>
      <c r="G1134">
        <v>17945</v>
      </c>
      <c r="H1134" s="116"/>
      <c r="I1134" s="116"/>
      <c r="L1134" s="170">
        <v>44550</v>
      </c>
      <c r="M1134" s="116">
        <v>452.3</v>
      </c>
      <c r="N1134" s="116">
        <v>470</v>
      </c>
      <c r="O1134" s="116">
        <v>448</v>
      </c>
      <c r="P1134" s="116">
        <v>470</v>
      </c>
      <c r="Q1134" s="116">
        <v>452.3</v>
      </c>
      <c r="R1134">
        <v>185001</v>
      </c>
    </row>
    <row r="1135" spans="1:18" x14ac:dyDescent="0.25">
      <c r="A1135" s="170">
        <v>44551</v>
      </c>
      <c r="B1135" s="116">
        <v>464.05</v>
      </c>
      <c r="C1135" s="116">
        <v>453.55</v>
      </c>
      <c r="D1135" s="116">
        <v>448</v>
      </c>
      <c r="E1135" s="116">
        <v>459.65</v>
      </c>
      <c r="F1135" s="116">
        <v>453.55</v>
      </c>
      <c r="G1135">
        <v>9172</v>
      </c>
      <c r="H1135" s="116"/>
      <c r="I1135" s="116"/>
      <c r="L1135" s="170">
        <v>44551</v>
      </c>
      <c r="M1135" s="116">
        <v>451.55</v>
      </c>
      <c r="N1135" s="116">
        <v>465</v>
      </c>
      <c r="O1135" s="116">
        <v>448.3</v>
      </c>
      <c r="P1135" s="116">
        <v>455.1</v>
      </c>
      <c r="Q1135" s="116">
        <v>451.55</v>
      </c>
      <c r="R1135">
        <v>124465</v>
      </c>
    </row>
    <row r="1136" spans="1:18" x14ac:dyDescent="0.25">
      <c r="A1136" s="170">
        <v>44552</v>
      </c>
      <c r="B1136" s="116">
        <v>460.6</v>
      </c>
      <c r="C1136" s="116">
        <v>451.2</v>
      </c>
      <c r="D1136" s="116">
        <v>449.3</v>
      </c>
      <c r="E1136" s="116">
        <v>453.55</v>
      </c>
      <c r="F1136" s="116">
        <v>451.2</v>
      </c>
      <c r="G1136">
        <v>7527</v>
      </c>
      <c r="H1136" s="116"/>
      <c r="I1136" s="116"/>
      <c r="L1136" s="170">
        <v>44552</v>
      </c>
      <c r="M1136" s="116">
        <v>450.95</v>
      </c>
      <c r="N1136" s="116">
        <v>461.8</v>
      </c>
      <c r="O1136" s="116">
        <v>449.5</v>
      </c>
      <c r="P1136" s="116">
        <v>452</v>
      </c>
      <c r="Q1136" s="116">
        <v>450.95</v>
      </c>
      <c r="R1136">
        <v>116242</v>
      </c>
    </row>
    <row r="1137" spans="1:18" x14ac:dyDescent="0.25">
      <c r="A1137" s="170">
        <v>44553</v>
      </c>
      <c r="B1137" s="116">
        <v>485</v>
      </c>
      <c r="C1137" s="116">
        <v>464.95</v>
      </c>
      <c r="D1137" s="116">
        <v>463.05</v>
      </c>
      <c r="E1137" s="116">
        <v>476.4</v>
      </c>
      <c r="F1137" s="116">
        <v>464.95</v>
      </c>
      <c r="G1137">
        <v>19365</v>
      </c>
      <c r="H1137" s="116"/>
      <c r="I1137" s="116"/>
      <c r="L1137" s="170">
        <v>44553</v>
      </c>
      <c r="M1137" s="116">
        <v>465.1</v>
      </c>
      <c r="N1137" s="116">
        <v>484.9</v>
      </c>
      <c r="O1137" s="116">
        <v>463.1</v>
      </c>
      <c r="P1137" s="116">
        <v>480</v>
      </c>
      <c r="Q1137" s="116">
        <v>465.1</v>
      </c>
      <c r="R1137">
        <v>313524</v>
      </c>
    </row>
    <row r="1138" spans="1:18" x14ac:dyDescent="0.25">
      <c r="A1138" s="170">
        <v>44554</v>
      </c>
      <c r="B1138" s="116">
        <v>475</v>
      </c>
      <c r="C1138" s="116">
        <v>464.85</v>
      </c>
      <c r="D1138" s="116">
        <v>461.75</v>
      </c>
      <c r="E1138" s="116">
        <v>475</v>
      </c>
      <c r="F1138" s="116">
        <v>464.85</v>
      </c>
      <c r="G1138">
        <v>4824</v>
      </c>
      <c r="H1138" s="116"/>
      <c r="I1138" s="116"/>
      <c r="L1138" s="170">
        <v>44554</v>
      </c>
      <c r="M1138" s="116">
        <v>464.55</v>
      </c>
      <c r="N1138" s="116">
        <v>473.8</v>
      </c>
      <c r="O1138" s="116">
        <v>461.35</v>
      </c>
      <c r="P1138" s="116">
        <v>473.8</v>
      </c>
      <c r="Q1138" s="116">
        <v>464.55</v>
      </c>
      <c r="R1138">
        <v>82075</v>
      </c>
    </row>
    <row r="1139" spans="1:18" x14ac:dyDescent="0.25">
      <c r="A1139" s="170">
        <v>44557</v>
      </c>
      <c r="B1139" s="116">
        <v>471.05</v>
      </c>
      <c r="C1139" s="116">
        <v>459.65</v>
      </c>
      <c r="D1139" s="116">
        <v>455.15</v>
      </c>
      <c r="E1139" s="116">
        <v>471.05</v>
      </c>
      <c r="F1139" s="116">
        <v>459.65</v>
      </c>
      <c r="G1139">
        <v>8773</v>
      </c>
      <c r="H1139" s="116"/>
      <c r="I1139" s="116"/>
      <c r="L1139" s="170">
        <v>44557</v>
      </c>
      <c r="M1139" s="116">
        <v>460.35</v>
      </c>
      <c r="N1139" s="116">
        <v>467.95</v>
      </c>
      <c r="O1139" s="116">
        <v>455</v>
      </c>
      <c r="P1139" s="116">
        <v>464.55</v>
      </c>
      <c r="Q1139" s="116">
        <v>460.35</v>
      </c>
      <c r="R1139">
        <v>53818</v>
      </c>
    </row>
    <row r="1140" spans="1:18" x14ac:dyDescent="0.25">
      <c r="A1140" s="170">
        <v>44558</v>
      </c>
      <c r="B1140" s="116">
        <v>472.2</v>
      </c>
      <c r="C1140" s="116">
        <v>468.45</v>
      </c>
      <c r="D1140" s="116">
        <v>463.75</v>
      </c>
      <c r="E1140" s="116">
        <v>463.75</v>
      </c>
      <c r="F1140" s="116">
        <v>468.45</v>
      </c>
      <c r="G1140">
        <v>2815</v>
      </c>
      <c r="H1140" s="116"/>
      <c r="I1140" s="116"/>
      <c r="L1140" s="170">
        <v>44558</v>
      </c>
      <c r="M1140" s="116">
        <v>468.7</v>
      </c>
      <c r="N1140" s="116">
        <v>472.75</v>
      </c>
      <c r="O1140" s="116">
        <v>461.35</v>
      </c>
      <c r="P1140" s="116">
        <v>461.35</v>
      </c>
      <c r="Q1140" s="116">
        <v>468.7</v>
      </c>
      <c r="R1140">
        <v>54105</v>
      </c>
    </row>
    <row r="1141" spans="1:18" x14ac:dyDescent="0.25">
      <c r="A1141" s="170">
        <v>44559</v>
      </c>
      <c r="B1141" s="116">
        <v>477.7</v>
      </c>
      <c r="C1141" s="116">
        <v>475.2</v>
      </c>
      <c r="D1141" s="116">
        <v>468.3</v>
      </c>
      <c r="E1141" s="116">
        <v>468.3</v>
      </c>
      <c r="F1141" s="116">
        <v>475.2</v>
      </c>
      <c r="G1141">
        <v>3879</v>
      </c>
      <c r="H1141" s="116"/>
      <c r="I1141" s="116"/>
      <c r="L1141" s="170">
        <v>44559</v>
      </c>
      <c r="M1141" s="116">
        <v>475.25</v>
      </c>
      <c r="N1141" s="116">
        <v>478.55</v>
      </c>
      <c r="O1141" s="116">
        <v>466.3</v>
      </c>
      <c r="P1141" s="116">
        <v>468.05</v>
      </c>
      <c r="Q1141" s="116">
        <v>475.25</v>
      </c>
      <c r="R1141">
        <v>60245</v>
      </c>
    </row>
    <row r="1142" spans="1:18" x14ac:dyDescent="0.25">
      <c r="A1142" s="170">
        <v>44560</v>
      </c>
      <c r="B1142" s="116">
        <v>500.5</v>
      </c>
      <c r="C1142" s="116">
        <v>488.25</v>
      </c>
      <c r="D1142" s="116">
        <v>471.6</v>
      </c>
      <c r="E1142" s="116">
        <v>471.6</v>
      </c>
      <c r="F1142" s="116">
        <v>488.25</v>
      </c>
      <c r="G1142">
        <v>4157</v>
      </c>
      <c r="H1142" s="116"/>
      <c r="I1142" s="116"/>
      <c r="L1142" s="170">
        <v>44560</v>
      </c>
      <c r="M1142" s="116">
        <v>487.65</v>
      </c>
      <c r="N1142" s="116">
        <v>501.9</v>
      </c>
      <c r="O1142" s="116">
        <v>471</v>
      </c>
      <c r="P1142" s="116">
        <v>475.2</v>
      </c>
      <c r="Q1142" s="116">
        <v>487.65</v>
      </c>
      <c r="R1142">
        <v>144151</v>
      </c>
    </row>
    <row r="1143" spans="1:18" x14ac:dyDescent="0.25">
      <c r="A1143" s="170">
        <v>44561</v>
      </c>
      <c r="B1143" s="116">
        <v>492.95</v>
      </c>
      <c r="C1143" s="116">
        <v>485.45</v>
      </c>
      <c r="D1143" s="116">
        <v>479.05</v>
      </c>
      <c r="E1143" s="116">
        <v>491</v>
      </c>
      <c r="F1143" s="116">
        <v>485.45</v>
      </c>
      <c r="G1143">
        <v>6024</v>
      </c>
      <c r="H1143" s="116"/>
      <c r="I1143" s="116"/>
      <c r="L1143" s="170">
        <v>44561</v>
      </c>
      <c r="M1143" s="116">
        <v>485.35</v>
      </c>
      <c r="N1143" s="116">
        <v>493.05</v>
      </c>
      <c r="O1143" s="116">
        <v>479.2</v>
      </c>
      <c r="P1143" s="116">
        <v>483.7</v>
      </c>
      <c r="Q1143" s="116">
        <v>485.35</v>
      </c>
      <c r="R1143">
        <v>74665</v>
      </c>
    </row>
    <row r="1144" spans="1:18" x14ac:dyDescent="0.25">
      <c r="A1144" s="170">
        <v>44564</v>
      </c>
      <c r="B1144" s="116">
        <v>504</v>
      </c>
      <c r="C1144" s="116">
        <v>495.05</v>
      </c>
      <c r="D1144" s="116">
        <v>490</v>
      </c>
      <c r="E1144" s="116">
        <v>492</v>
      </c>
      <c r="F1144" s="116">
        <v>495.05</v>
      </c>
      <c r="G1144">
        <v>7512</v>
      </c>
      <c r="H1144" s="116"/>
      <c r="I1144" s="116"/>
      <c r="L1144" s="170">
        <v>44564</v>
      </c>
      <c r="M1144" s="116">
        <v>495.25</v>
      </c>
      <c r="N1144" s="116">
        <v>504.4</v>
      </c>
      <c r="O1144" s="116">
        <v>490</v>
      </c>
      <c r="P1144" s="116">
        <v>496</v>
      </c>
      <c r="Q1144" s="116">
        <v>495.25</v>
      </c>
      <c r="R1144">
        <v>92260</v>
      </c>
    </row>
    <row r="1145" spans="1:18" x14ac:dyDescent="0.25">
      <c r="A1145" s="170">
        <v>44565</v>
      </c>
      <c r="B1145" s="116">
        <v>500</v>
      </c>
      <c r="C1145" s="116">
        <v>491.3</v>
      </c>
      <c r="D1145" s="116">
        <v>486</v>
      </c>
      <c r="E1145" s="116">
        <v>500</v>
      </c>
      <c r="F1145" s="116">
        <v>491.3</v>
      </c>
      <c r="G1145">
        <v>3939</v>
      </c>
      <c r="H1145" s="116"/>
      <c r="I1145" s="116"/>
      <c r="L1145" s="170">
        <v>44565</v>
      </c>
      <c r="M1145" s="116">
        <v>491.25</v>
      </c>
      <c r="N1145" s="116">
        <v>499.35</v>
      </c>
      <c r="O1145" s="116">
        <v>485.75</v>
      </c>
      <c r="P1145" s="116">
        <v>491</v>
      </c>
      <c r="Q1145" s="116">
        <v>491.25</v>
      </c>
      <c r="R1145">
        <v>68215</v>
      </c>
    </row>
    <row r="1146" spans="1:18" x14ac:dyDescent="0.25">
      <c r="A1146" s="170">
        <v>44566</v>
      </c>
      <c r="B1146" s="116">
        <v>493.45</v>
      </c>
      <c r="C1146" s="116">
        <v>488.1</v>
      </c>
      <c r="D1146" s="116">
        <v>482.4</v>
      </c>
      <c r="E1146" s="116">
        <v>489</v>
      </c>
      <c r="F1146" s="116">
        <v>488.1</v>
      </c>
      <c r="G1146">
        <v>6612</v>
      </c>
      <c r="H1146" s="116"/>
      <c r="I1146" s="116"/>
      <c r="L1146" s="170">
        <v>44566</v>
      </c>
      <c r="M1146" s="116">
        <v>488.35</v>
      </c>
      <c r="N1146" s="116">
        <v>493.8</v>
      </c>
      <c r="O1146" s="116">
        <v>482</v>
      </c>
      <c r="P1146" s="116">
        <v>492</v>
      </c>
      <c r="Q1146" s="116">
        <v>488.35</v>
      </c>
      <c r="R1146">
        <v>57589</v>
      </c>
    </row>
    <row r="1147" spans="1:18" x14ac:dyDescent="0.25">
      <c r="A1147" s="170">
        <v>44567</v>
      </c>
      <c r="B1147" s="116">
        <v>503.3</v>
      </c>
      <c r="C1147" s="116">
        <v>488.6</v>
      </c>
      <c r="D1147" s="116">
        <v>480.85</v>
      </c>
      <c r="E1147" s="116">
        <v>490</v>
      </c>
      <c r="F1147" s="116">
        <v>488.6</v>
      </c>
      <c r="G1147">
        <v>5324</v>
      </c>
      <c r="H1147" s="116"/>
      <c r="I1147" s="116"/>
      <c r="L1147" s="170">
        <v>44567</v>
      </c>
      <c r="M1147" s="116">
        <v>490.3</v>
      </c>
      <c r="N1147" s="116">
        <v>504.15</v>
      </c>
      <c r="O1147" s="116">
        <v>481.6</v>
      </c>
      <c r="P1147" s="116">
        <v>483.7</v>
      </c>
      <c r="Q1147" s="116">
        <v>490.3</v>
      </c>
      <c r="R1147">
        <v>134097</v>
      </c>
    </row>
    <row r="1148" spans="1:18" x14ac:dyDescent="0.25">
      <c r="A1148" s="170">
        <v>44568</v>
      </c>
      <c r="B1148" s="116">
        <v>499.4</v>
      </c>
      <c r="C1148" s="116">
        <v>490.3</v>
      </c>
      <c r="D1148" s="116">
        <v>484.8</v>
      </c>
      <c r="E1148" s="116">
        <v>491.2</v>
      </c>
      <c r="F1148" s="116">
        <v>490.3</v>
      </c>
      <c r="G1148">
        <v>5197</v>
      </c>
      <c r="H1148" s="116"/>
      <c r="I1148" s="116"/>
      <c r="L1148" s="170">
        <v>44568</v>
      </c>
      <c r="M1148" s="116">
        <v>488.95</v>
      </c>
      <c r="N1148" s="116">
        <v>499.5</v>
      </c>
      <c r="O1148" s="116">
        <v>484.8</v>
      </c>
      <c r="P1148" s="116">
        <v>488</v>
      </c>
      <c r="Q1148" s="116">
        <v>488.95</v>
      </c>
      <c r="R1148">
        <v>82752</v>
      </c>
    </row>
    <row r="1149" spans="1:18" x14ac:dyDescent="0.25">
      <c r="A1149" s="170">
        <v>44571</v>
      </c>
      <c r="B1149" s="116">
        <v>517.20000000000005</v>
      </c>
      <c r="C1149" s="116">
        <v>499.85</v>
      </c>
      <c r="D1149" s="116">
        <v>486.85</v>
      </c>
      <c r="E1149" s="116">
        <v>486.9</v>
      </c>
      <c r="F1149" s="116">
        <v>499.85</v>
      </c>
      <c r="G1149">
        <v>18461</v>
      </c>
      <c r="H1149" s="116"/>
      <c r="I1149" s="116"/>
      <c r="L1149" s="170">
        <v>44571</v>
      </c>
      <c r="M1149" s="116">
        <v>500.45</v>
      </c>
      <c r="N1149" s="116">
        <v>518</v>
      </c>
      <c r="O1149" s="116">
        <v>487.4</v>
      </c>
      <c r="P1149" s="116">
        <v>488</v>
      </c>
      <c r="Q1149" s="116">
        <v>500.45</v>
      </c>
      <c r="R1149">
        <v>262956</v>
      </c>
    </row>
    <row r="1150" spans="1:18" x14ac:dyDescent="0.25">
      <c r="A1150" s="170">
        <v>44572</v>
      </c>
      <c r="B1150" s="116">
        <v>511.5</v>
      </c>
      <c r="C1150" s="116">
        <v>504.3</v>
      </c>
      <c r="D1150" s="116">
        <v>500</v>
      </c>
      <c r="E1150" s="116">
        <v>510.5</v>
      </c>
      <c r="F1150" s="116">
        <v>504.3</v>
      </c>
      <c r="G1150">
        <v>6387</v>
      </c>
      <c r="H1150" s="116"/>
      <c r="I1150" s="116"/>
      <c r="L1150" s="170">
        <v>44572</v>
      </c>
      <c r="M1150" s="116">
        <v>503.7</v>
      </c>
      <c r="N1150" s="116">
        <v>511.85</v>
      </c>
      <c r="O1150" s="116">
        <v>500</v>
      </c>
      <c r="P1150" s="116">
        <v>505.95</v>
      </c>
      <c r="Q1150" s="116">
        <v>503.7</v>
      </c>
      <c r="R1150">
        <v>106733</v>
      </c>
    </row>
    <row r="1151" spans="1:18" x14ac:dyDescent="0.25">
      <c r="A1151" s="170">
        <v>44573</v>
      </c>
      <c r="B1151" s="116">
        <v>510.85</v>
      </c>
      <c r="C1151" s="116">
        <v>497.3</v>
      </c>
      <c r="D1151" s="116">
        <v>494.9</v>
      </c>
      <c r="E1151" s="116">
        <v>505</v>
      </c>
      <c r="F1151" s="116">
        <v>497.3</v>
      </c>
      <c r="G1151">
        <v>14143</v>
      </c>
      <c r="H1151" s="116"/>
      <c r="I1151" s="116"/>
      <c r="L1151" s="170">
        <v>44573</v>
      </c>
      <c r="M1151" s="116">
        <v>497.05</v>
      </c>
      <c r="N1151" s="116">
        <v>511</v>
      </c>
      <c r="O1151" s="116">
        <v>495</v>
      </c>
      <c r="P1151" s="116">
        <v>505.8</v>
      </c>
      <c r="Q1151" s="116">
        <v>497.05</v>
      </c>
      <c r="R1151">
        <v>77141</v>
      </c>
    </row>
    <row r="1152" spans="1:18" x14ac:dyDescent="0.25">
      <c r="A1152" s="170">
        <v>44574</v>
      </c>
      <c r="B1152" s="116">
        <v>504.1</v>
      </c>
      <c r="C1152" s="116">
        <v>496.55</v>
      </c>
      <c r="D1152" s="116">
        <v>493.3</v>
      </c>
      <c r="E1152" s="116">
        <v>500.5</v>
      </c>
      <c r="F1152" s="116">
        <v>496.55</v>
      </c>
      <c r="G1152">
        <v>6800</v>
      </c>
      <c r="H1152" s="116"/>
      <c r="I1152" s="116"/>
      <c r="L1152" s="170">
        <v>44574</v>
      </c>
      <c r="M1152" s="116">
        <v>496.8</v>
      </c>
      <c r="N1152" s="116">
        <v>504.35</v>
      </c>
      <c r="O1152" s="116">
        <v>493.35</v>
      </c>
      <c r="P1152" s="116">
        <v>503</v>
      </c>
      <c r="Q1152" s="116">
        <v>496.8</v>
      </c>
      <c r="R1152">
        <v>65145</v>
      </c>
    </row>
    <row r="1153" spans="1:18" x14ac:dyDescent="0.25">
      <c r="A1153" s="170">
        <v>44575</v>
      </c>
      <c r="B1153" s="116">
        <v>509.15</v>
      </c>
      <c r="C1153" s="116">
        <v>506.05</v>
      </c>
      <c r="D1153" s="116">
        <v>494.65</v>
      </c>
      <c r="E1153" s="116">
        <v>506.75</v>
      </c>
      <c r="F1153" s="116">
        <v>506.05</v>
      </c>
      <c r="G1153">
        <v>5954</v>
      </c>
      <c r="H1153" s="116"/>
      <c r="I1153" s="116"/>
      <c r="L1153" s="170">
        <v>44575</v>
      </c>
      <c r="M1153" s="116">
        <v>505.8</v>
      </c>
      <c r="N1153" s="116">
        <v>509.9</v>
      </c>
      <c r="O1153" s="116">
        <v>493.95</v>
      </c>
      <c r="P1153" s="116">
        <v>497</v>
      </c>
      <c r="Q1153" s="116">
        <v>505.8</v>
      </c>
      <c r="R1153">
        <v>85282</v>
      </c>
    </row>
    <row r="1154" spans="1:18" x14ac:dyDescent="0.25">
      <c r="A1154" s="170">
        <v>44578</v>
      </c>
      <c r="B1154" s="116">
        <v>516.5</v>
      </c>
      <c r="C1154" s="116">
        <v>514.04999999999995</v>
      </c>
      <c r="D1154" s="116">
        <v>502.5</v>
      </c>
      <c r="E1154" s="116">
        <v>506.3</v>
      </c>
      <c r="F1154" s="116">
        <v>514.04999999999995</v>
      </c>
      <c r="G1154">
        <v>16724</v>
      </c>
      <c r="H1154" s="116"/>
      <c r="I1154" s="116"/>
      <c r="L1154" s="170">
        <v>44578</v>
      </c>
      <c r="M1154" s="116">
        <v>514.70000000000005</v>
      </c>
      <c r="N1154" s="116">
        <v>517</v>
      </c>
      <c r="O1154" s="116">
        <v>503.35</v>
      </c>
      <c r="P1154" s="116">
        <v>509.95</v>
      </c>
      <c r="Q1154" s="116">
        <v>514.70000000000005</v>
      </c>
      <c r="R1154">
        <v>124426</v>
      </c>
    </row>
    <row r="1155" spans="1:18" x14ac:dyDescent="0.25">
      <c r="A1155" s="170">
        <v>44579</v>
      </c>
      <c r="B1155" s="116">
        <v>531</v>
      </c>
      <c r="C1155" s="116">
        <v>496.85</v>
      </c>
      <c r="D1155" s="116">
        <v>486.9</v>
      </c>
      <c r="E1155" s="116">
        <v>517.29999999999995</v>
      </c>
      <c r="F1155" s="116">
        <v>496.85</v>
      </c>
      <c r="G1155">
        <v>18352</v>
      </c>
      <c r="H1155" s="116"/>
      <c r="I1155" s="116"/>
      <c r="L1155" s="170">
        <v>44579</v>
      </c>
      <c r="M1155" s="116">
        <v>500.3</v>
      </c>
      <c r="N1155" s="116">
        <v>531.9</v>
      </c>
      <c r="O1155" s="116">
        <v>488</v>
      </c>
      <c r="P1155" s="116">
        <v>516</v>
      </c>
      <c r="Q1155" s="116">
        <v>500.3</v>
      </c>
      <c r="R1155">
        <v>328294</v>
      </c>
    </row>
    <row r="1156" spans="1:18" x14ac:dyDescent="0.25">
      <c r="A1156" s="170">
        <v>44580</v>
      </c>
      <c r="B1156" s="116">
        <v>523</v>
      </c>
      <c r="C1156" s="116">
        <v>522.5</v>
      </c>
      <c r="D1156" s="116">
        <v>499.25</v>
      </c>
      <c r="E1156" s="116">
        <v>499.25</v>
      </c>
      <c r="F1156" s="116">
        <v>522.5</v>
      </c>
      <c r="G1156">
        <v>13665</v>
      </c>
      <c r="H1156" s="116"/>
      <c r="I1156" s="116"/>
      <c r="L1156" s="170">
        <v>44580</v>
      </c>
      <c r="M1156" s="116">
        <v>522.1</v>
      </c>
      <c r="N1156" s="116">
        <v>523.85</v>
      </c>
      <c r="O1156" s="116">
        <v>498</v>
      </c>
      <c r="P1156" s="116">
        <v>499.3</v>
      </c>
      <c r="Q1156" s="116">
        <v>522.1</v>
      </c>
      <c r="R1156">
        <v>165588</v>
      </c>
    </row>
    <row r="1157" spans="1:18" x14ac:dyDescent="0.25">
      <c r="A1157" s="170">
        <v>44581</v>
      </c>
      <c r="B1157" s="116">
        <v>531.25</v>
      </c>
      <c r="C1157" s="116">
        <v>518.5</v>
      </c>
      <c r="D1157" s="116">
        <v>512</v>
      </c>
      <c r="E1157" s="116">
        <v>531.25</v>
      </c>
      <c r="F1157" s="116">
        <v>518.5</v>
      </c>
      <c r="G1157">
        <v>15098</v>
      </c>
      <c r="H1157" s="116"/>
      <c r="I1157" s="116"/>
      <c r="L1157" s="170">
        <v>44581</v>
      </c>
      <c r="M1157" s="116">
        <v>518.45000000000005</v>
      </c>
      <c r="N1157" s="116">
        <v>527.95000000000005</v>
      </c>
      <c r="O1157" s="116">
        <v>512.35</v>
      </c>
      <c r="P1157" s="116">
        <v>520.65</v>
      </c>
      <c r="Q1157" s="116">
        <v>518.45000000000005</v>
      </c>
      <c r="R1157">
        <v>83545</v>
      </c>
    </row>
    <row r="1158" spans="1:18" x14ac:dyDescent="0.25">
      <c r="A1158" s="170">
        <v>44582</v>
      </c>
      <c r="B1158" s="116">
        <v>523.04999999999995</v>
      </c>
      <c r="C1158" s="116">
        <v>505.8</v>
      </c>
      <c r="D1158" s="116">
        <v>499.05</v>
      </c>
      <c r="E1158" s="116">
        <v>520.95000000000005</v>
      </c>
      <c r="F1158" s="116">
        <v>505.8</v>
      </c>
      <c r="G1158">
        <v>12130</v>
      </c>
      <c r="H1158" s="116"/>
      <c r="I1158" s="116"/>
      <c r="L1158" s="170">
        <v>44582</v>
      </c>
      <c r="M1158" s="116">
        <v>506.2</v>
      </c>
      <c r="N1158" s="116">
        <v>523.95000000000005</v>
      </c>
      <c r="O1158" s="116">
        <v>500</v>
      </c>
      <c r="P1158" s="116">
        <v>517</v>
      </c>
      <c r="Q1158" s="116">
        <v>506.2</v>
      </c>
      <c r="R1158">
        <v>92459</v>
      </c>
    </row>
    <row r="1159" spans="1:18" x14ac:dyDescent="0.25">
      <c r="A1159" s="170">
        <v>44585</v>
      </c>
      <c r="B1159" s="116">
        <v>514.1</v>
      </c>
      <c r="C1159" s="116">
        <v>494.7</v>
      </c>
      <c r="D1159" s="116">
        <v>491</v>
      </c>
      <c r="E1159" s="116">
        <v>508.35</v>
      </c>
      <c r="F1159" s="116">
        <v>494.7</v>
      </c>
      <c r="G1159">
        <v>6914</v>
      </c>
      <c r="H1159" s="116"/>
      <c r="I1159" s="116"/>
      <c r="L1159" s="170">
        <v>44585</v>
      </c>
      <c r="M1159" s="116">
        <v>495.3</v>
      </c>
      <c r="N1159" s="116">
        <v>514.75</v>
      </c>
      <c r="O1159" s="116">
        <v>490</v>
      </c>
      <c r="P1159" s="116">
        <v>510</v>
      </c>
      <c r="Q1159" s="116">
        <v>495.3</v>
      </c>
      <c r="R1159">
        <v>147131</v>
      </c>
    </row>
    <row r="1160" spans="1:18" x14ac:dyDescent="0.25">
      <c r="A1160" s="170">
        <v>44586</v>
      </c>
      <c r="B1160" s="116">
        <v>518</v>
      </c>
      <c r="C1160" s="116">
        <v>514.35</v>
      </c>
      <c r="D1160" s="116">
        <v>484</v>
      </c>
      <c r="E1160" s="116">
        <v>495.3</v>
      </c>
      <c r="F1160" s="116">
        <v>514.35</v>
      </c>
      <c r="G1160">
        <v>11114</v>
      </c>
      <c r="H1160" s="116"/>
      <c r="I1160" s="116"/>
      <c r="L1160" s="170">
        <v>44586</v>
      </c>
      <c r="M1160" s="116">
        <v>514.45000000000005</v>
      </c>
      <c r="N1160" s="116">
        <v>523.9</v>
      </c>
      <c r="O1160" s="116">
        <v>483.55</v>
      </c>
      <c r="P1160" s="116">
        <v>496</v>
      </c>
      <c r="Q1160" s="116">
        <v>514.45000000000005</v>
      </c>
      <c r="R1160">
        <v>253256</v>
      </c>
    </row>
    <row r="1161" spans="1:18" x14ac:dyDescent="0.25">
      <c r="A1161" s="170">
        <v>44588</v>
      </c>
      <c r="B1161" s="116">
        <v>587</v>
      </c>
      <c r="C1161" s="116">
        <v>577.95000000000005</v>
      </c>
      <c r="D1161" s="116">
        <v>507.2</v>
      </c>
      <c r="E1161" s="116">
        <v>515</v>
      </c>
      <c r="F1161" s="116">
        <v>577.95000000000005</v>
      </c>
      <c r="G1161">
        <v>127063</v>
      </c>
      <c r="H1161" s="116"/>
      <c r="I1161" s="116"/>
      <c r="L1161" s="170">
        <v>44588</v>
      </c>
      <c r="M1161" s="116">
        <v>578.04999999999995</v>
      </c>
      <c r="N1161" s="116">
        <v>587.70000000000005</v>
      </c>
      <c r="O1161" s="116">
        <v>505.4</v>
      </c>
      <c r="P1161" s="116">
        <v>519</v>
      </c>
      <c r="Q1161" s="116">
        <v>578.04999999999995</v>
      </c>
      <c r="R1161">
        <v>2327482</v>
      </c>
    </row>
    <row r="1162" spans="1:18" x14ac:dyDescent="0.25">
      <c r="A1162" s="170">
        <v>44589</v>
      </c>
      <c r="B1162" s="116">
        <v>623.6</v>
      </c>
      <c r="C1162" s="116">
        <v>576.29999999999995</v>
      </c>
      <c r="D1162" s="116">
        <v>561.35</v>
      </c>
      <c r="E1162" s="116">
        <v>593.79999999999995</v>
      </c>
      <c r="F1162" s="116">
        <v>576.29999999999995</v>
      </c>
      <c r="G1162">
        <v>129556</v>
      </c>
      <c r="H1162" s="116"/>
      <c r="I1162" s="116"/>
      <c r="L1162" s="170">
        <v>44589</v>
      </c>
      <c r="M1162" s="116">
        <v>575.35</v>
      </c>
      <c r="N1162" s="116">
        <v>624.45000000000005</v>
      </c>
      <c r="O1162" s="116">
        <v>560.54999999999995</v>
      </c>
      <c r="P1162" s="116">
        <v>593</v>
      </c>
      <c r="Q1162" s="116">
        <v>575.35</v>
      </c>
      <c r="R1162">
        <v>2374939</v>
      </c>
    </row>
    <row r="1163" spans="1:18" x14ac:dyDescent="0.25">
      <c r="A1163" s="170">
        <v>44592</v>
      </c>
      <c r="B1163" s="116">
        <v>627.95000000000005</v>
      </c>
      <c r="C1163" s="116">
        <v>611.29999999999995</v>
      </c>
      <c r="D1163" s="116">
        <v>585</v>
      </c>
      <c r="E1163" s="116">
        <v>585</v>
      </c>
      <c r="F1163" s="116">
        <v>611.29999999999995</v>
      </c>
      <c r="G1163">
        <v>144522</v>
      </c>
      <c r="H1163" s="116"/>
      <c r="I1163" s="116"/>
      <c r="L1163" s="170">
        <v>44592</v>
      </c>
      <c r="M1163" s="116">
        <v>610.25</v>
      </c>
      <c r="N1163" s="116">
        <v>627.9</v>
      </c>
      <c r="O1163" s="116">
        <v>589.29999999999995</v>
      </c>
      <c r="P1163" s="116">
        <v>590</v>
      </c>
      <c r="Q1163" s="116">
        <v>610.25</v>
      </c>
      <c r="R1163">
        <v>1426537</v>
      </c>
    </row>
    <row r="1164" spans="1:18" x14ac:dyDescent="0.25">
      <c r="A1164" s="170">
        <v>44593</v>
      </c>
      <c r="B1164" s="116">
        <v>639</v>
      </c>
      <c r="C1164" s="116">
        <v>627.29999999999995</v>
      </c>
      <c r="D1164" s="116">
        <v>600.6</v>
      </c>
      <c r="E1164" s="116">
        <v>619</v>
      </c>
      <c r="F1164" s="116">
        <v>627.29999999999995</v>
      </c>
      <c r="G1164">
        <v>123104</v>
      </c>
      <c r="H1164" s="116"/>
      <c r="I1164" s="116"/>
      <c r="L1164" s="170">
        <v>44593</v>
      </c>
      <c r="M1164" s="116">
        <v>625.04999999999995</v>
      </c>
      <c r="N1164" s="116">
        <v>639.29999999999995</v>
      </c>
      <c r="O1164" s="116">
        <v>601.04999999999995</v>
      </c>
      <c r="P1164" s="116">
        <v>619.9</v>
      </c>
      <c r="Q1164" s="116">
        <v>625.04999999999995</v>
      </c>
      <c r="R1164">
        <v>1076865</v>
      </c>
    </row>
    <row r="1165" spans="1:18" x14ac:dyDescent="0.25">
      <c r="A1165" s="170">
        <v>44594</v>
      </c>
      <c r="B1165" s="116">
        <v>632.79999999999995</v>
      </c>
      <c r="C1165" s="116">
        <v>613.45000000000005</v>
      </c>
      <c r="D1165" s="116">
        <v>607.45000000000005</v>
      </c>
      <c r="E1165" s="116">
        <v>629.85</v>
      </c>
      <c r="F1165" s="116">
        <v>613.45000000000005</v>
      </c>
      <c r="G1165">
        <v>61841</v>
      </c>
      <c r="H1165" s="116"/>
      <c r="I1165" s="116"/>
      <c r="L1165" s="170">
        <v>44594</v>
      </c>
      <c r="M1165" s="116">
        <v>614.25</v>
      </c>
      <c r="N1165" s="116">
        <v>633</v>
      </c>
      <c r="O1165" s="116">
        <v>606.65</v>
      </c>
      <c r="P1165" s="116">
        <v>630</v>
      </c>
      <c r="Q1165" s="116">
        <v>614.25</v>
      </c>
      <c r="R1165">
        <v>388623</v>
      </c>
    </row>
    <row r="1166" spans="1:18" x14ac:dyDescent="0.25">
      <c r="A1166" s="170">
        <v>44595</v>
      </c>
      <c r="B1166" s="116">
        <v>611.70000000000005</v>
      </c>
      <c r="C1166" s="116">
        <v>598.45000000000005</v>
      </c>
      <c r="D1166" s="116">
        <v>590.04999999999995</v>
      </c>
      <c r="E1166" s="116">
        <v>610</v>
      </c>
      <c r="F1166" s="116">
        <v>598.45000000000005</v>
      </c>
      <c r="G1166">
        <v>14024</v>
      </c>
      <c r="H1166" s="116"/>
      <c r="I1166" s="116"/>
      <c r="L1166" s="170">
        <v>44595</v>
      </c>
      <c r="M1166" s="116">
        <v>597.5</v>
      </c>
      <c r="N1166" s="116">
        <v>613</v>
      </c>
      <c r="O1166" s="116">
        <v>590</v>
      </c>
      <c r="P1166" s="116">
        <v>610.5</v>
      </c>
      <c r="Q1166" s="116">
        <v>597.5</v>
      </c>
      <c r="R1166">
        <v>361524</v>
      </c>
    </row>
    <row r="1167" spans="1:18" x14ac:dyDescent="0.25">
      <c r="A1167" s="170">
        <v>44596</v>
      </c>
      <c r="B1167" s="116">
        <v>607.04999999999995</v>
      </c>
      <c r="C1167" s="116">
        <v>585.95000000000005</v>
      </c>
      <c r="D1167" s="116">
        <v>583</v>
      </c>
      <c r="E1167" s="116">
        <v>583</v>
      </c>
      <c r="F1167" s="116">
        <v>585.95000000000005</v>
      </c>
      <c r="G1167">
        <v>20841</v>
      </c>
      <c r="H1167" s="116"/>
      <c r="I1167" s="116"/>
      <c r="L1167" s="170">
        <v>44596</v>
      </c>
      <c r="M1167" s="116">
        <v>586.15</v>
      </c>
      <c r="N1167" s="116">
        <v>604.95000000000005</v>
      </c>
      <c r="O1167" s="116">
        <v>583</v>
      </c>
      <c r="P1167" s="116">
        <v>601.4</v>
      </c>
      <c r="Q1167" s="116">
        <v>586.15</v>
      </c>
      <c r="R1167">
        <v>147978</v>
      </c>
    </row>
    <row r="1168" spans="1:18" x14ac:dyDescent="0.25">
      <c r="A1168" s="170">
        <v>44599</v>
      </c>
      <c r="B1168" s="116">
        <v>610</v>
      </c>
      <c r="C1168" s="116">
        <v>592.04999999999995</v>
      </c>
      <c r="D1168" s="116">
        <v>581.9</v>
      </c>
      <c r="E1168" s="116">
        <v>589.20000000000005</v>
      </c>
      <c r="F1168" s="116">
        <v>592.04999999999995</v>
      </c>
      <c r="G1168">
        <v>7450</v>
      </c>
      <c r="H1168" s="116"/>
      <c r="I1168" s="116"/>
      <c r="L1168" s="170">
        <v>44599</v>
      </c>
      <c r="M1168" s="116">
        <v>592.9</v>
      </c>
      <c r="N1168" s="116">
        <v>609.79999999999995</v>
      </c>
      <c r="O1168" s="116">
        <v>580</v>
      </c>
      <c r="P1168" s="116">
        <v>589.35</v>
      </c>
      <c r="Q1168" s="116">
        <v>592.9</v>
      </c>
      <c r="R1168">
        <v>215440</v>
      </c>
    </row>
    <row r="1169" spans="1:18" x14ac:dyDescent="0.25">
      <c r="A1169" s="170">
        <v>44600</v>
      </c>
      <c r="B1169" s="116">
        <v>601.5</v>
      </c>
      <c r="C1169" s="116">
        <v>572.4</v>
      </c>
      <c r="D1169" s="116">
        <v>568.85</v>
      </c>
      <c r="E1169" s="116">
        <v>598.25</v>
      </c>
      <c r="F1169" s="116">
        <v>572.4</v>
      </c>
      <c r="G1169">
        <v>5366</v>
      </c>
      <c r="H1169" s="116"/>
      <c r="I1169" s="116"/>
      <c r="L1169" s="170">
        <v>44600</v>
      </c>
      <c r="M1169" s="116">
        <v>572.54999999999995</v>
      </c>
      <c r="N1169" s="116">
        <v>604.95000000000005</v>
      </c>
      <c r="O1169" s="116">
        <v>568.20000000000005</v>
      </c>
      <c r="P1169" s="116">
        <v>598</v>
      </c>
      <c r="Q1169" s="116">
        <v>572.54999999999995</v>
      </c>
      <c r="R1169">
        <v>154929</v>
      </c>
    </row>
    <row r="1170" spans="1:18" x14ac:dyDescent="0.25">
      <c r="A1170" s="170">
        <v>44601</v>
      </c>
      <c r="B1170" s="116">
        <v>584.75</v>
      </c>
      <c r="C1170" s="116">
        <v>574.25</v>
      </c>
      <c r="D1170" s="116">
        <v>568.75</v>
      </c>
      <c r="E1170" s="116">
        <v>578.1</v>
      </c>
      <c r="F1170" s="116">
        <v>574.25</v>
      </c>
      <c r="G1170">
        <v>7066</v>
      </c>
      <c r="H1170" s="116"/>
      <c r="I1170" s="116"/>
      <c r="L1170" s="170">
        <v>44601</v>
      </c>
      <c r="M1170" s="116">
        <v>574.6</v>
      </c>
      <c r="N1170" s="116">
        <v>585.04999999999995</v>
      </c>
      <c r="O1170" s="116">
        <v>570.1</v>
      </c>
      <c r="P1170" s="116">
        <v>579.20000000000005</v>
      </c>
      <c r="Q1170" s="116">
        <v>574.6</v>
      </c>
      <c r="R1170">
        <v>83575</v>
      </c>
    </row>
    <row r="1171" spans="1:18" x14ac:dyDescent="0.25">
      <c r="A1171" s="170">
        <v>44602</v>
      </c>
      <c r="B1171" s="116">
        <v>589</v>
      </c>
      <c r="C1171" s="116">
        <v>575.5</v>
      </c>
      <c r="D1171" s="116">
        <v>567.15</v>
      </c>
      <c r="E1171" s="116">
        <v>575.1</v>
      </c>
      <c r="F1171" s="116">
        <v>575.5</v>
      </c>
      <c r="G1171">
        <v>6579</v>
      </c>
      <c r="H1171" s="116"/>
      <c r="I1171" s="116"/>
      <c r="L1171" s="170">
        <v>44602</v>
      </c>
      <c r="M1171" s="116">
        <v>576</v>
      </c>
      <c r="N1171" s="116">
        <v>589.9</v>
      </c>
      <c r="O1171" s="116">
        <v>570</v>
      </c>
      <c r="P1171" s="116">
        <v>576.79999999999995</v>
      </c>
      <c r="Q1171" s="116">
        <v>576</v>
      </c>
      <c r="R1171">
        <v>105512</v>
      </c>
    </row>
    <row r="1172" spans="1:18" x14ac:dyDescent="0.25">
      <c r="A1172" s="170">
        <v>44603</v>
      </c>
      <c r="B1172" s="116">
        <v>600</v>
      </c>
      <c r="C1172" s="116">
        <v>561.75</v>
      </c>
      <c r="D1172" s="116">
        <v>558</v>
      </c>
      <c r="E1172" s="116">
        <v>600</v>
      </c>
      <c r="F1172" s="116">
        <v>561.75</v>
      </c>
      <c r="G1172">
        <v>5475</v>
      </c>
      <c r="H1172" s="116"/>
      <c r="I1172" s="116"/>
      <c r="L1172" s="170">
        <v>44603</v>
      </c>
      <c r="M1172" s="116">
        <v>560</v>
      </c>
      <c r="N1172" s="116">
        <v>578.4</v>
      </c>
      <c r="O1172" s="116">
        <v>557.54999999999995</v>
      </c>
      <c r="P1172" s="116">
        <v>571.70000000000005</v>
      </c>
      <c r="Q1172" s="116">
        <v>560</v>
      </c>
      <c r="R1172">
        <v>138322</v>
      </c>
    </row>
    <row r="1173" spans="1:18" x14ac:dyDescent="0.25">
      <c r="A1173" s="170">
        <v>44606</v>
      </c>
      <c r="B1173" s="116">
        <v>554.20000000000005</v>
      </c>
      <c r="C1173" s="116">
        <v>527.70000000000005</v>
      </c>
      <c r="D1173" s="116">
        <v>525</v>
      </c>
      <c r="E1173" s="116">
        <v>540</v>
      </c>
      <c r="F1173" s="116">
        <v>527.70000000000005</v>
      </c>
      <c r="G1173">
        <v>37072</v>
      </c>
      <c r="H1173" s="116"/>
      <c r="I1173" s="116"/>
      <c r="L1173" s="170">
        <v>44606</v>
      </c>
      <c r="M1173" s="116">
        <v>527.35</v>
      </c>
      <c r="N1173" s="116">
        <v>554.9</v>
      </c>
      <c r="O1173" s="116">
        <v>525</v>
      </c>
      <c r="P1173" s="116">
        <v>550</v>
      </c>
      <c r="Q1173" s="116">
        <v>527.35</v>
      </c>
      <c r="R1173">
        <v>221264</v>
      </c>
    </row>
    <row r="1174" spans="1:18" x14ac:dyDescent="0.25">
      <c r="A1174" s="170">
        <v>44607</v>
      </c>
      <c r="B1174" s="116">
        <v>551.95000000000005</v>
      </c>
      <c r="C1174" s="116">
        <v>546.20000000000005</v>
      </c>
      <c r="D1174" s="116">
        <v>517.85</v>
      </c>
      <c r="E1174" s="116">
        <v>528.15</v>
      </c>
      <c r="F1174" s="116">
        <v>546.20000000000005</v>
      </c>
      <c r="G1174">
        <v>38395</v>
      </c>
      <c r="H1174" s="116"/>
      <c r="I1174" s="116"/>
      <c r="L1174" s="170">
        <v>44607</v>
      </c>
      <c r="M1174" s="116">
        <v>545.9</v>
      </c>
      <c r="N1174" s="116">
        <v>552.35</v>
      </c>
      <c r="O1174" s="116">
        <v>518.4</v>
      </c>
      <c r="P1174" s="116">
        <v>538</v>
      </c>
      <c r="Q1174" s="116">
        <v>545.9</v>
      </c>
      <c r="R1174">
        <v>302294</v>
      </c>
    </row>
    <row r="1175" spans="1:18" x14ac:dyDescent="0.25">
      <c r="A1175" s="170">
        <v>44608</v>
      </c>
      <c r="B1175" s="116">
        <v>562</v>
      </c>
      <c r="C1175" s="116">
        <v>543.5</v>
      </c>
      <c r="D1175" s="116">
        <v>540.15</v>
      </c>
      <c r="E1175" s="116">
        <v>562</v>
      </c>
      <c r="F1175" s="116">
        <v>543.5</v>
      </c>
      <c r="G1175">
        <v>28736</v>
      </c>
      <c r="H1175" s="116"/>
      <c r="I1175" s="116"/>
      <c r="L1175" s="170">
        <v>44608</v>
      </c>
      <c r="M1175" s="116">
        <v>543.35</v>
      </c>
      <c r="N1175" s="116">
        <v>559</v>
      </c>
      <c r="O1175" s="116">
        <v>540.1</v>
      </c>
      <c r="P1175" s="116">
        <v>553</v>
      </c>
      <c r="Q1175" s="116">
        <v>543.35</v>
      </c>
      <c r="R1175">
        <v>117235</v>
      </c>
    </row>
    <row r="1176" spans="1:18" x14ac:dyDescent="0.25">
      <c r="A1176" s="170">
        <v>44609</v>
      </c>
      <c r="B1176" s="116">
        <v>555.1</v>
      </c>
      <c r="C1176" s="116">
        <v>530.5</v>
      </c>
      <c r="D1176" s="116">
        <v>527.04999999999995</v>
      </c>
      <c r="E1176" s="116">
        <v>550.5</v>
      </c>
      <c r="F1176" s="116">
        <v>530.5</v>
      </c>
      <c r="G1176">
        <v>14135</v>
      </c>
      <c r="H1176" s="116"/>
      <c r="I1176" s="116"/>
      <c r="L1176" s="170">
        <v>44609</v>
      </c>
      <c r="M1176" s="116">
        <v>530.79999999999995</v>
      </c>
      <c r="N1176" s="116">
        <v>556.29999999999995</v>
      </c>
      <c r="O1176" s="116">
        <v>525.5</v>
      </c>
      <c r="P1176" s="116">
        <v>554</v>
      </c>
      <c r="Q1176" s="116">
        <v>530.79999999999995</v>
      </c>
      <c r="R1176">
        <v>69206</v>
      </c>
    </row>
    <row r="1177" spans="1:18" x14ac:dyDescent="0.25">
      <c r="A1177" s="170">
        <v>44610</v>
      </c>
      <c r="B1177" s="116">
        <v>553.29999999999995</v>
      </c>
      <c r="C1177" s="116">
        <v>537.65</v>
      </c>
      <c r="D1177" s="116">
        <v>526</v>
      </c>
      <c r="E1177" s="116">
        <v>526</v>
      </c>
      <c r="F1177" s="116">
        <v>537.65</v>
      </c>
      <c r="G1177">
        <v>8101</v>
      </c>
      <c r="H1177" s="116"/>
      <c r="I1177" s="116"/>
      <c r="L1177" s="170">
        <v>44610</v>
      </c>
      <c r="M1177" s="116">
        <v>538</v>
      </c>
      <c r="N1177" s="116">
        <v>553.70000000000005</v>
      </c>
      <c r="O1177" s="116">
        <v>528</v>
      </c>
      <c r="P1177" s="116">
        <v>530</v>
      </c>
      <c r="Q1177" s="116">
        <v>538</v>
      </c>
      <c r="R1177">
        <v>148606</v>
      </c>
    </row>
    <row r="1178" spans="1:18" x14ac:dyDescent="0.25">
      <c r="A1178" s="170">
        <v>44613</v>
      </c>
      <c r="B1178" s="116">
        <v>538.20000000000005</v>
      </c>
      <c r="C1178" s="116">
        <v>518.70000000000005</v>
      </c>
      <c r="D1178" s="116">
        <v>512</v>
      </c>
      <c r="E1178" s="116">
        <v>537.04999999999995</v>
      </c>
      <c r="F1178" s="116">
        <v>518.70000000000005</v>
      </c>
      <c r="G1178">
        <v>11888</v>
      </c>
      <c r="H1178" s="116"/>
      <c r="I1178" s="116"/>
      <c r="L1178" s="170">
        <v>44613</v>
      </c>
      <c r="M1178" s="116">
        <v>518.6</v>
      </c>
      <c r="N1178" s="116">
        <v>539.95000000000005</v>
      </c>
      <c r="O1178" s="116">
        <v>511.2</v>
      </c>
      <c r="P1178" s="116">
        <v>538</v>
      </c>
      <c r="Q1178" s="116">
        <v>518.6</v>
      </c>
      <c r="R1178">
        <v>122786</v>
      </c>
    </row>
    <row r="1179" spans="1:18" x14ac:dyDescent="0.25">
      <c r="A1179" s="170">
        <v>44614</v>
      </c>
      <c r="B1179" s="116">
        <v>513.04999999999995</v>
      </c>
      <c r="C1179" s="116">
        <v>497.15</v>
      </c>
      <c r="D1179" s="116">
        <v>492.7</v>
      </c>
      <c r="E1179" s="116">
        <v>501.5</v>
      </c>
      <c r="F1179" s="116">
        <v>497.15</v>
      </c>
      <c r="G1179">
        <v>26403</v>
      </c>
      <c r="H1179" s="116"/>
      <c r="I1179" s="116"/>
      <c r="L1179" s="170">
        <v>44614</v>
      </c>
      <c r="M1179" s="116">
        <v>497.15</v>
      </c>
      <c r="N1179" s="116">
        <v>514.45000000000005</v>
      </c>
      <c r="O1179" s="116">
        <v>492.35</v>
      </c>
      <c r="P1179" s="116">
        <v>510</v>
      </c>
      <c r="Q1179" s="116">
        <v>497.15</v>
      </c>
      <c r="R1179">
        <v>138776</v>
      </c>
    </row>
    <row r="1180" spans="1:18" x14ac:dyDescent="0.25">
      <c r="A1180" s="170">
        <v>44615</v>
      </c>
      <c r="B1180" s="116">
        <v>522.6</v>
      </c>
      <c r="C1180" s="116">
        <v>511.65</v>
      </c>
      <c r="D1180" s="116">
        <v>506.4</v>
      </c>
      <c r="E1180" s="116">
        <v>510</v>
      </c>
      <c r="F1180" s="116">
        <v>511.65</v>
      </c>
      <c r="G1180">
        <v>16145</v>
      </c>
      <c r="H1180" s="116"/>
      <c r="I1180" s="116"/>
      <c r="L1180" s="170">
        <v>44615</v>
      </c>
      <c r="M1180" s="116">
        <v>512.25</v>
      </c>
      <c r="N1180" s="116">
        <v>522.5</v>
      </c>
      <c r="O1180" s="116">
        <v>505.4</v>
      </c>
      <c r="P1180" s="116">
        <v>508</v>
      </c>
      <c r="Q1180" s="116">
        <v>512.25</v>
      </c>
      <c r="R1180">
        <v>98646</v>
      </c>
    </row>
    <row r="1181" spans="1:18" x14ac:dyDescent="0.25">
      <c r="A1181" s="170">
        <v>44616</v>
      </c>
      <c r="B1181" s="116">
        <v>505</v>
      </c>
      <c r="C1181" s="116">
        <v>475.6</v>
      </c>
      <c r="D1181" s="116">
        <v>466.3</v>
      </c>
      <c r="E1181" s="116">
        <v>505</v>
      </c>
      <c r="F1181" s="116">
        <v>475.6</v>
      </c>
      <c r="G1181">
        <v>22274</v>
      </c>
      <c r="H1181" s="116"/>
      <c r="I1181" s="116"/>
      <c r="L1181" s="170">
        <v>44616</v>
      </c>
      <c r="M1181" s="116">
        <v>474.6</v>
      </c>
      <c r="N1181" s="116">
        <v>499</v>
      </c>
      <c r="O1181" s="116">
        <v>465.15</v>
      </c>
      <c r="P1181" s="116">
        <v>497</v>
      </c>
      <c r="Q1181" s="116">
        <v>474.6</v>
      </c>
      <c r="R1181">
        <v>287698</v>
      </c>
    </row>
    <row r="1182" spans="1:18" x14ac:dyDescent="0.25">
      <c r="A1182" s="170">
        <v>44617</v>
      </c>
      <c r="B1182" s="116">
        <v>499.9</v>
      </c>
      <c r="C1182" s="116">
        <v>483.35</v>
      </c>
      <c r="D1182" s="116">
        <v>479.55</v>
      </c>
      <c r="E1182" s="116">
        <v>499.9</v>
      </c>
      <c r="F1182" s="116">
        <v>483.35</v>
      </c>
      <c r="G1182">
        <v>19258</v>
      </c>
      <c r="H1182" s="116"/>
      <c r="I1182" s="116"/>
      <c r="L1182" s="170">
        <v>44617</v>
      </c>
      <c r="M1182" s="116">
        <v>483.8</v>
      </c>
      <c r="N1182" s="116">
        <v>499</v>
      </c>
      <c r="O1182" s="116">
        <v>479.5</v>
      </c>
      <c r="P1182" s="116">
        <v>481</v>
      </c>
      <c r="Q1182" s="116">
        <v>483.8</v>
      </c>
      <c r="R1182">
        <v>137234</v>
      </c>
    </row>
    <row r="1183" spans="1:18" x14ac:dyDescent="0.25">
      <c r="A1183" s="170">
        <v>44620</v>
      </c>
      <c r="B1183" s="116">
        <v>489.95</v>
      </c>
      <c r="C1183" s="116">
        <v>486.5</v>
      </c>
      <c r="D1183" s="116">
        <v>462</v>
      </c>
      <c r="E1183" s="116">
        <v>475</v>
      </c>
      <c r="F1183" s="116">
        <v>486.5</v>
      </c>
      <c r="G1183">
        <v>11244</v>
      </c>
      <c r="H1183" s="116"/>
      <c r="I1183" s="116"/>
      <c r="L1183" s="170">
        <v>44620</v>
      </c>
      <c r="M1183" s="116">
        <v>486.25</v>
      </c>
      <c r="N1183" s="116">
        <v>488.4</v>
      </c>
      <c r="O1183" s="116">
        <v>461.35</v>
      </c>
      <c r="P1183" s="116">
        <v>466.35</v>
      </c>
      <c r="Q1183" s="116">
        <v>486.25</v>
      </c>
      <c r="R1183">
        <v>245209</v>
      </c>
    </row>
    <row r="1184" spans="1:18" x14ac:dyDescent="0.25">
      <c r="A1184" s="170">
        <v>44622</v>
      </c>
      <c r="B1184" s="116">
        <v>499.95</v>
      </c>
      <c r="C1184" s="116">
        <v>493.8</v>
      </c>
      <c r="D1184" s="116">
        <v>485.95</v>
      </c>
      <c r="E1184" s="116">
        <v>488</v>
      </c>
      <c r="F1184" s="116">
        <v>493.8</v>
      </c>
      <c r="G1184">
        <v>24223</v>
      </c>
      <c r="H1184" s="116"/>
      <c r="I1184" s="116"/>
      <c r="L1184" s="170">
        <v>44622</v>
      </c>
      <c r="M1184" s="116">
        <v>494.75</v>
      </c>
      <c r="N1184" s="116">
        <v>499.8</v>
      </c>
      <c r="O1184" s="116">
        <v>486.25</v>
      </c>
      <c r="P1184" s="116">
        <v>488.5</v>
      </c>
      <c r="Q1184" s="116">
        <v>494.75</v>
      </c>
      <c r="R1184">
        <v>117274</v>
      </c>
    </row>
    <row r="1185" spans="1:18" x14ac:dyDescent="0.25">
      <c r="A1185" s="170">
        <v>44623</v>
      </c>
      <c r="B1185" s="116">
        <v>513.6</v>
      </c>
      <c r="C1185" s="116">
        <v>500.2</v>
      </c>
      <c r="D1185" s="116">
        <v>498.55</v>
      </c>
      <c r="E1185" s="116">
        <v>501.6</v>
      </c>
      <c r="F1185" s="116">
        <v>500.2</v>
      </c>
      <c r="G1185">
        <v>13826</v>
      </c>
      <c r="H1185" s="116"/>
      <c r="I1185" s="116"/>
      <c r="L1185" s="170">
        <v>44623</v>
      </c>
      <c r="M1185" s="116">
        <v>499.8</v>
      </c>
      <c r="N1185" s="116">
        <v>510.55</v>
      </c>
      <c r="O1185" s="116">
        <v>499.2</v>
      </c>
      <c r="P1185" s="116">
        <v>501</v>
      </c>
      <c r="Q1185" s="116">
        <v>499.8</v>
      </c>
      <c r="R1185">
        <v>82325</v>
      </c>
    </row>
    <row r="1186" spans="1:18" x14ac:dyDescent="0.25">
      <c r="A1186" s="170">
        <v>44624</v>
      </c>
      <c r="B1186" s="116">
        <v>506.55</v>
      </c>
      <c r="C1186" s="116">
        <v>498.7</v>
      </c>
      <c r="D1186" s="116">
        <v>486.95</v>
      </c>
      <c r="E1186" s="116">
        <v>491</v>
      </c>
      <c r="F1186" s="116">
        <v>498.7</v>
      </c>
      <c r="G1186">
        <v>14059</v>
      </c>
      <c r="H1186" s="116"/>
      <c r="I1186" s="116"/>
      <c r="L1186" s="170">
        <v>44624</v>
      </c>
      <c r="M1186" s="116">
        <v>499.5</v>
      </c>
      <c r="N1186" s="116">
        <v>507.15</v>
      </c>
      <c r="O1186" s="116">
        <v>489.2</v>
      </c>
      <c r="P1186" s="116">
        <v>497</v>
      </c>
      <c r="Q1186" s="116">
        <v>499.5</v>
      </c>
      <c r="R1186">
        <v>86172</v>
      </c>
    </row>
    <row r="1187" spans="1:18" x14ac:dyDescent="0.25">
      <c r="A1187" s="170">
        <v>44627</v>
      </c>
      <c r="B1187" s="116">
        <v>496.8</v>
      </c>
      <c r="C1187" s="116">
        <v>481.25</v>
      </c>
      <c r="D1187" s="116">
        <v>479</v>
      </c>
      <c r="E1187" s="116">
        <v>489</v>
      </c>
      <c r="F1187" s="116">
        <v>481.25</v>
      </c>
      <c r="G1187">
        <v>12761</v>
      </c>
      <c r="H1187" s="116"/>
      <c r="I1187" s="116"/>
      <c r="L1187" s="170">
        <v>44627</v>
      </c>
      <c r="M1187" s="116">
        <v>481.25</v>
      </c>
      <c r="N1187" s="116">
        <v>497</v>
      </c>
      <c r="O1187" s="116">
        <v>479</v>
      </c>
      <c r="P1187" s="116">
        <v>485</v>
      </c>
      <c r="Q1187" s="116">
        <v>481.25</v>
      </c>
      <c r="R1187">
        <v>100687</v>
      </c>
    </row>
    <row r="1188" spans="1:18" x14ac:dyDescent="0.25">
      <c r="A1188" s="170">
        <v>44628</v>
      </c>
      <c r="B1188" s="116">
        <v>496.25</v>
      </c>
      <c r="C1188" s="116">
        <v>494.1</v>
      </c>
      <c r="D1188" s="116">
        <v>472.2</v>
      </c>
      <c r="E1188" s="116">
        <v>472.2</v>
      </c>
      <c r="F1188" s="116">
        <v>494.1</v>
      </c>
      <c r="G1188">
        <v>13123</v>
      </c>
      <c r="H1188" s="116"/>
      <c r="I1188" s="116"/>
      <c r="L1188" s="170">
        <v>44628</v>
      </c>
      <c r="M1188" s="116">
        <v>494.1</v>
      </c>
      <c r="N1188" s="116">
        <v>497</v>
      </c>
      <c r="O1188" s="116">
        <v>477.1</v>
      </c>
      <c r="P1188" s="116">
        <v>480</v>
      </c>
      <c r="Q1188" s="116">
        <v>494.1</v>
      </c>
      <c r="R1188">
        <v>103929</v>
      </c>
    </row>
    <row r="1189" spans="1:18" x14ac:dyDescent="0.25">
      <c r="A1189" s="170">
        <v>44629</v>
      </c>
      <c r="B1189" s="116">
        <v>521</v>
      </c>
      <c r="C1189" s="116">
        <v>510.4</v>
      </c>
      <c r="D1189" s="116">
        <v>498</v>
      </c>
      <c r="E1189" s="116">
        <v>498</v>
      </c>
      <c r="F1189" s="116">
        <v>510.4</v>
      </c>
      <c r="G1189">
        <v>18172</v>
      </c>
      <c r="H1189" s="116"/>
      <c r="I1189" s="116"/>
      <c r="L1189" s="170">
        <v>44629</v>
      </c>
      <c r="M1189" s="116">
        <v>511.8</v>
      </c>
      <c r="N1189" s="116">
        <v>521.15</v>
      </c>
      <c r="O1189" s="116">
        <v>498.25</v>
      </c>
      <c r="P1189" s="116">
        <v>504</v>
      </c>
      <c r="Q1189" s="116">
        <v>511.8</v>
      </c>
      <c r="R1189">
        <v>245320</v>
      </c>
    </row>
    <row r="1190" spans="1:18" x14ac:dyDescent="0.25">
      <c r="A1190" s="170">
        <v>44630</v>
      </c>
      <c r="B1190" s="116">
        <v>531.20000000000005</v>
      </c>
      <c r="C1190" s="116">
        <v>513.25</v>
      </c>
      <c r="D1190" s="116">
        <v>506.15</v>
      </c>
      <c r="E1190" s="116">
        <v>527</v>
      </c>
      <c r="F1190" s="116">
        <v>513.25</v>
      </c>
      <c r="G1190">
        <v>10243</v>
      </c>
      <c r="H1190" s="116"/>
      <c r="I1190" s="116"/>
      <c r="L1190" s="170">
        <v>44630</v>
      </c>
      <c r="M1190" s="116">
        <v>513</v>
      </c>
      <c r="N1190" s="116">
        <v>531.79999999999995</v>
      </c>
      <c r="O1190" s="116">
        <v>503.3</v>
      </c>
      <c r="P1190" s="116">
        <v>522.04999999999995</v>
      </c>
      <c r="Q1190" s="116">
        <v>513</v>
      </c>
      <c r="R1190">
        <v>160932</v>
      </c>
    </row>
    <row r="1191" spans="1:18" x14ac:dyDescent="0.25">
      <c r="A1191" s="170">
        <v>44631</v>
      </c>
      <c r="B1191" s="116">
        <v>520.1</v>
      </c>
      <c r="C1191" s="116">
        <v>513.20000000000005</v>
      </c>
      <c r="D1191" s="116">
        <v>506.05</v>
      </c>
      <c r="E1191" s="116">
        <v>506.05</v>
      </c>
      <c r="F1191" s="116">
        <v>513.20000000000005</v>
      </c>
      <c r="G1191">
        <v>11220</v>
      </c>
      <c r="H1191" s="116"/>
      <c r="I1191" s="116"/>
      <c r="L1191" s="170">
        <v>44631</v>
      </c>
      <c r="M1191" s="116">
        <v>512.95000000000005</v>
      </c>
      <c r="N1191" s="116">
        <v>519.9</v>
      </c>
      <c r="O1191" s="116">
        <v>506.95</v>
      </c>
      <c r="P1191" s="116">
        <v>510.9</v>
      </c>
      <c r="Q1191" s="116">
        <v>512.95000000000005</v>
      </c>
      <c r="R1191">
        <v>87127</v>
      </c>
    </row>
    <row r="1192" spans="1:18" x14ac:dyDescent="0.25">
      <c r="A1192" s="170">
        <v>44634</v>
      </c>
      <c r="B1192" s="116">
        <v>541.95000000000005</v>
      </c>
      <c r="C1192" s="116">
        <v>517.54999999999995</v>
      </c>
      <c r="D1192" s="116">
        <v>515.20000000000005</v>
      </c>
      <c r="E1192" s="116">
        <v>520</v>
      </c>
      <c r="F1192" s="116">
        <v>517.54999999999995</v>
      </c>
      <c r="G1192">
        <v>18320</v>
      </c>
      <c r="H1192" s="116"/>
      <c r="I1192" s="116"/>
      <c r="L1192" s="170">
        <v>44634</v>
      </c>
      <c r="M1192" s="116">
        <v>516.65</v>
      </c>
      <c r="N1192" s="116">
        <v>541.79999999999995</v>
      </c>
      <c r="O1192" s="116">
        <v>513.6</v>
      </c>
      <c r="P1192" s="116">
        <v>522.5</v>
      </c>
      <c r="Q1192" s="116">
        <v>516.65</v>
      </c>
      <c r="R1192">
        <v>250306</v>
      </c>
    </row>
    <row r="1193" spans="1:18" x14ac:dyDescent="0.25">
      <c r="A1193" s="170">
        <v>44635</v>
      </c>
      <c r="B1193" s="116">
        <v>527.1</v>
      </c>
      <c r="C1193" s="116">
        <v>520.70000000000005</v>
      </c>
      <c r="D1193" s="116">
        <v>514.6</v>
      </c>
      <c r="E1193" s="116">
        <v>517.54999999999995</v>
      </c>
      <c r="F1193" s="116">
        <v>520.70000000000005</v>
      </c>
      <c r="G1193">
        <v>9797</v>
      </c>
      <c r="H1193" s="116"/>
      <c r="I1193" s="116"/>
      <c r="L1193" s="170">
        <v>44635</v>
      </c>
      <c r="M1193" s="116">
        <v>520.15</v>
      </c>
      <c r="N1193" s="116">
        <v>527.20000000000005</v>
      </c>
      <c r="O1193" s="116">
        <v>515.04999999999995</v>
      </c>
      <c r="P1193" s="116">
        <v>520</v>
      </c>
      <c r="Q1193" s="116">
        <v>520.15</v>
      </c>
      <c r="R1193">
        <v>74607</v>
      </c>
    </row>
    <row r="1194" spans="1:18" x14ac:dyDescent="0.25">
      <c r="A1194" s="170">
        <v>44636</v>
      </c>
      <c r="B1194" s="116">
        <v>532.04999999999995</v>
      </c>
      <c r="C1194" s="116">
        <v>518.70000000000005</v>
      </c>
      <c r="D1194" s="116">
        <v>516.5</v>
      </c>
      <c r="E1194" s="116">
        <v>524</v>
      </c>
      <c r="F1194" s="116">
        <v>518.70000000000005</v>
      </c>
      <c r="G1194">
        <v>6656</v>
      </c>
      <c r="H1194" s="116"/>
      <c r="I1194" s="116"/>
      <c r="L1194" s="170">
        <v>44636</v>
      </c>
      <c r="M1194" s="116">
        <v>519</v>
      </c>
      <c r="N1194" s="116">
        <v>533.65</v>
      </c>
      <c r="O1194" s="116">
        <v>515.20000000000005</v>
      </c>
      <c r="P1194" s="116">
        <v>524</v>
      </c>
      <c r="Q1194" s="116">
        <v>519</v>
      </c>
      <c r="R1194">
        <v>97878</v>
      </c>
    </row>
    <row r="1195" spans="1:18" x14ac:dyDescent="0.25">
      <c r="A1195" s="170">
        <v>44637</v>
      </c>
      <c r="B1195" s="116">
        <v>530</v>
      </c>
      <c r="C1195" s="116">
        <v>519.5</v>
      </c>
      <c r="D1195" s="116">
        <v>515.25</v>
      </c>
      <c r="E1195" s="116">
        <v>530</v>
      </c>
      <c r="F1195" s="116">
        <v>519.5</v>
      </c>
      <c r="G1195">
        <v>4761</v>
      </c>
      <c r="H1195" s="116"/>
      <c r="I1195" s="116"/>
      <c r="L1195" s="170">
        <v>44637</v>
      </c>
      <c r="M1195" s="116">
        <v>521.15</v>
      </c>
      <c r="N1195" s="116">
        <v>527.70000000000005</v>
      </c>
      <c r="O1195" s="116">
        <v>515.04999999999995</v>
      </c>
      <c r="P1195" s="116">
        <v>523.54999999999995</v>
      </c>
      <c r="Q1195" s="116">
        <v>521.15</v>
      </c>
      <c r="R1195">
        <v>119258</v>
      </c>
    </row>
    <row r="1196" spans="1:18" x14ac:dyDescent="0.25">
      <c r="A1196" s="170">
        <v>44641</v>
      </c>
      <c r="B1196" s="116">
        <v>534.70000000000005</v>
      </c>
      <c r="C1196" s="116">
        <v>518.65</v>
      </c>
      <c r="D1196" s="116">
        <v>516.79999999999995</v>
      </c>
      <c r="E1196" s="116">
        <v>523.85</v>
      </c>
      <c r="F1196" s="116">
        <v>518.65</v>
      </c>
      <c r="G1196">
        <v>6260</v>
      </c>
      <c r="H1196" s="116"/>
      <c r="I1196" s="116"/>
      <c r="L1196" s="170">
        <v>44641</v>
      </c>
      <c r="M1196" s="116">
        <v>518.04999999999995</v>
      </c>
      <c r="N1196" s="116">
        <v>534.9</v>
      </c>
      <c r="O1196" s="116">
        <v>516.45000000000005</v>
      </c>
      <c r="P1196" s="116">
        <v>524.9</v>
      </c>
      <c r="Q1196" s="116">
        <v>518.04999999999995</v>
      </c>
      <c r="R1196">
        <v>113364</v>
      </c>
    </row>
    <row r="1197" spans="1:18" x14ac:dyDescent="0.25">
      <c r="A1197" s="170">
        <v>44642</v>
      </c>
      <c r="B1197" s="116">
        <v>556.9</v>
      </c>
      <c r="C1197" s="116">
        <v>553.5</v>
      </c>
      <c r="D1197" s="116">
        <v>518.65</v>
      </c>
      <c r="E1197" s="116">
        <v>518.70000000000005</v>
      </c>
      <c r="F1197" s="116">
        <v>553.5</v>
      </c>
      <c r="G1197">
        <v>26773</v>
      </c>
      <c r="H1197" s="116"/>
      <c r="I1197" s="116"/>
      <c r="L1197" s="170">
        <v>44642</v>
      </c>
      <c r="M1197" s="116">
        <v>553</v>
      </c>
      <c r="N1197" s="116">
        <v>557.70000000000005</v>
      </c>
      <c r="O1197" s="116">
        <v>518.54999999999995</v>
      </c>
      <c r="P1197" s="116">
        <v>519.75</v>
      </c>
      <c r="Q1197" s="116">
        <v>553</v>
      </c>
      <c r="R1197">
        <v>281715</v>
      </c>
    </row>
    <row r="1198" spans="1:18" x14ac:dyDescent="0.25">
      <c r="A1198" s="170">
        <v>44643</v>
      </c>
      <c r="B1198" s="116">
        <v>576.79999999999995</v>
      </c>
      <c r="C1198" s="116">
        <v>541.95000000000005</v>
      </c>
      <c r="D1198" s="116">
        <v>537.70000000000005</v>
      </c>
      <c r="E1198" s="116">
        <v>576.79999999999995</v>
      </c>
      <c r="F1198" s="116">
        <v>541.95000000000005</v>
      </c>
      <c r="G1198">
        <v>15733</v>
      </c>
      <c r="H1198" s="116"/>
      <c r="I1198" s="116"/>
      <c r="L1198" s="170">
        <v>44643</v>
      </c>
      <c r="M1198" s="116">
        <v>541.9</v>
      </c>
      <c r="N1198" s="116">
        <v>563</v>
      </c>
      <c r="O1198" s="116">
        <v>538.20000000000005</v>
      </c>
      <c r="P1198" s="116">
        <v>563</v>
      </c>
      <c r="Q1198" s="116">
        <v>541.9</v>
      </c>
      <c r="R1198">
        <v>138101</v>
      </c>
    </row>
    <row r="1199" spans="1:18" x14ac:dyDescent="0.25">
      <c r="A1199" s="170">
        <v>44644</v>
      </c>
      <c r="B1199" s="116">
        <v>545.20000000000005</v>
      </c>
      <c r="C1199" s="116">
        <v>536.4</v>
      </c>
      <c r="D1199" s="116">
        <v>534</v>
      </c>
      <c r="E1199" s="116">
        <v>539.9</v>
      </c>
      <c r="F1199" s="116">
        <v>536.4</v>
      </c>
      <c r="G1199">
        <v>9337</v>
      </c>
      <c r="H1199" s="116"/>
      <c r="I1199" s="116"/>
      <c r="L1199" s="170">
        <v>44644</v>
      </c>
      <c r="M1199" s="116">
        <v>536.4</v>
      </c>
      <c r="N1199" s="116">
        <v>544.65</v>
      </c>
      <c r="O1199" s="116">
        <v>533.9</v>
      </c>
      <c r="P1199" s="116">
        <v>540</v>
      </c>
      <c r="Q1199" s="116">
        <v>536.4</v>
      </c>
      <c r="R1199">
        <v>93134</v>
      </c>
    </row>
    <row r="1200" spans="1:18" x14ac:dyDescent="0.25">
      <c r="A1200" s="170">
        <v>44645</v>
      </c>
      <c r="B1200" s="116">
        <v>546.79999999999995</v>
      </c>
      <c r="C1200" s="116">
        <v>531.70000000000005</v>
      </c>
      <c r="D1200" s="116">
        <v>530</v>
      </c>
      <c r="E1200" s="116">
        <v>541.79999999999995</v>
      </c>
      <c r="F1200" s="116">
        <v>531.70000000000005</v>
      </c>
      <c r="G1200">
        <v>9232</v>
      </c>
      <c r="H1200" s="116"/>
      <c r="I1200" s="116"/>
      <c r="L1200" s="170">
        <v>44645</v>
      </c>
      <c r="M1200" s="116">
        <v>532.25</v>
      </c>
      <c r="N1200" s="116">
        <v>546.54999999999995</v>
      </c>
      <c r="O1200" s="116">
        <v>530.15</v>
      </c>
      <c r="P1200" s="116">
        <v>537</v>
      </c>
      <c r="Q1200" s="116">
        <v>532.25</v>
      </c>
      <c r="R1200">
        <v>61126</v>
      </c>
    </row>
    <row r="1201" spans="1:18" x14ac:dyDescent="0.25">
      <c r="A1201" s="170">
        <v>44648</v>
      </c>
      <c r="B1201" s="116">
        <v>544.9</v>
      </c>
      <c r="C1201" s="116">
        <v>536.5</v>
      </c>
      <c r="D1201" s="116">
        <v>522</v>
      </c>
      <c r="E1201" s="116">
        <v>534.65</v>
      </c>
      <c r="F1201" s="116">
        <v>536.5</v>
      </c>
      <c r="G1201">
        <v>8286</v>
      </c>
      <c r="H1201" s="116"/>
      <c r="I1201" s="116"/>
      <c r="L1201" s="170">
        <v>44648</v>
      </c>
      <c r="M1201" s="116">
        <v>536.9</v>
      </c>
      <c r="N1201" s="116">
        <v>545.35</v>
      </c>
      <c r="O1201" s="116">
        <v>521.6</v>
      </c>
      <c r="P1201" s="116">
        <v>530</v>
      </c>
      <c r="Q1201" s="116">
        <v>536.9</v>
      </c>
      <c r="R1201">
        <v>113984</v>
      </c>
    </row>
    <row r="1202" spans="1:18" x14ac:dyDescent="0.25">
      <c r="A1202" s="170">
        <v>44649</v>
      </c>
      <c r="B1202" s="116">
        <v>547.70000000000005</v>
      </c>
      <c r="C1202" s="116">
        <v>541.20000000000005</v>
      </c>
      <c r="D1202" s="116">
        <v>534.29999999999995</v>
      </c>
      <c r="E1202" s="116">
        <v>547.29999999999995</v>
      </c>
      <c r="F1202" s="116">
        <v>541.20000000000005</v>
      </c>
      <c r="G1202">
        <v>3111</v>
      </c>
      <c r="H1202" s="116"/>
      <c r="I1202" s="116"/>
      <c r="L1202" s="170">
        <v>44649</v>
      </c>
      <c r="M1202" s="116">
        <v>540.9</v>
      </c>
      <c r="N1202" s="116">
        <v>547.9</v>
      </c>
      <c r="O1202" s="116">
        <v>534.20000000000005</v>
      </c>
      <c r="P1202" s="116">
        <v>539</v>
      </c>
      <c r="Q1202" s="116">
        <v>540.9</v>
      </c>
      <c r="R1202">
        <v>98224</v>
      </c>
    </row>
    <row r="1203" spans="1:18" x14ac:dyDescent="0.25">
      <c r="A1203" s="170">
        <v>44650</v>
      </c>
      <c r="B1203" s="116">
        <v>553</v>
      </c>
      <c r="C1203" s="116">
        <v>546.65</v>
      </c>
      <c r="D1203" s="116">
        <v>540.5</v>
      </c>
      <c r="E1203" s="116">
        <v>545.35</v>
      </c>
      <c r="F1203" s="116">
        <v>546.65</v>
      </c>
      <c r="G1203">
        <v>10097</v>
      </c>
      <c r="H1203" s="116"/>
      <c r="I1203" s="116"/>
      <c r="L1203" s="170">
        <v>44650</v>
      </c>
      <c r="M1203" s="116">
        <v>546.5</v>
      </c>
      <c r="N1203" s="116">
        <v>554.4</v>
      </c>
      <c r="O1203" s="116">
        <v>540.54999999999995</v>
      </c>
      <c r="P1203" s="116">
        <v>547</v>
      </c>
      <c r="Q1203" s="116">
        <v>546.5</v>
      </c>
      <c r="R1203">
        <v>83653</v>
      </c>
    </row>
    <row r="1204" spans="1:18" x14ac:dyDescent="0.25">
      <c r="A1204" s="170">
        <v>44651</v>
      </c>
      <c r="B1204" s="116">
        <v>557.15</v>
      </c>
      <c r="C1204" s="116">
        <v>539.85</v>
      </c>
      <c r="D1204" s="116">
        <v>535.4</v>
      </c>
      <c r="E1204" s="116">
        <v>545.6</v>
      </c>
      <c r="F1204" s="116">
        <v>539.85</v>
      </c>
      <c r="G1204">
        <v>11558</v>
      </c>
      <c r="H1204" s="116"/>
      <c r="I1204" s="116"/>
      <c r="L1204" s="170">
        <v>44651</v>
      </c>
      <c r="M1204" s="116">
        <v>539.15</v>
      </c>
      <c r="N1204" s="116">
        <v>556.9</v>
      </c>
      <c r="O1204" s="116">
        <v>535.5</v>
      </c>
      <c r="P1204" s="116">
        <v>541.15</v>
      </c>
      <c r="Q1204" s="116">
        <v>539.15</v>
      </c>
      <c r="R1204">
        <v>57886</v>
      </c>
    </row>
    <row r="1205" spans="1:18" x14ac:dyDescent="0.25">
      <c r="A1205" s="170">
        <v>44652</v>
      </c>
      <c r="B1205" s="116">
        <v>554.35</v>
      </c>
      <c r="C1205" s="116">
        <v>547.29999999999995</v>
      </c>
      <c r="D1205" s="116">
        <v>539.4</v>
      </c>
      <c r="E1205" s="116">
        <v>541.04999999999995</v>
      </c>
      <c r="F1205" s="116">
        <v>547.29999999999995</v>
      </c>
      <c r="G1205">
        <v>8726</v>
      </c>
      <c r="H1205" s="116"/>
      <c r="I1205" s="116"/>
      <c r="L1205" s="170">
        <v>44652</v>
      </c>
      <c r="M1205" s="116">
        <v>548.25</v>
      </c>
      <c r="N1205" s="116">
        <v>554.95000000000005</v>
      </c>
      <c r="O1205" s="116">
        <v>538.15</v>
      </c>
      <c r="P1205" s="116">
        <v>539.95000000000005</v>
      </c>
      <c r="Q1205" s="116">
        <v>548.25</v>
      </c>
      <c r="R1205">
        <v>62771</v>
      </c>
    </row>
    <row r="1206" spans="1:18" x14ac:dyDescent="0.25">
      <c r="A1206" s="170">
        <v>44655</v>
      </c>
      <c r="B1206" s="116">
        <v>564.70000000000005</v>
      </c>
      <c r="C1206" s="116">
        <v>550.6</v>
      </c>
      <c r="D1206" s="116">
        <v>539</v>
      </c>
      <c r="E1206" s="116">
        <v>564.70000000000005</v>
      </c>
      <c r="F1206" s="116">
        <v>550.6</v>
      </c>
      <c r="G1206">
        <v>9973</v>
      </c>
      <c r="H1206" s="116"/>
      <c r="I1206" s="116"/>
      <c r="L1206" s="170">
        <v>44655</v>
      </c>
      <c r="M1206" s="116">
        <v>550.54999999999995</v>
      </c>
      <c r="N1206" s="116">
        <v>564.4</v>
      </c>
      <c r="O1206" s="116">
        <v>538.1</v>
      </c>
      <c r="P1206" s="116">
        <v>552.75</v>
      </c>
      <c r="Q1206" s="116">
        <v>550.54999999999995</v>
      </c>
      <c r="R1206">
        <v>127698</v>
      </c>
    </row>
    <row r="1207" spans="1:18" x14ac:dyDescent="0.25">
      <c r="A1207" s="170">
        <v>44656</v>
      </c>
      <c r="B1207" s="116">
        <v>569.35</v>
      </c>
      <c r="C1207" s="116">
        <v>562.54999999999995</v>
      </c>
      <c r="D1207" s="116">
        <v>552.25</v>
      </c>
      <c r="E1207" s="116">
        <v>553.54999999999995</v>
      </c>
      <c r="F1207" s="116">
        <v>562.54999999999995</v>
      </c>
      <c r="G1207">
        <v>17654</v>
      </c>
      <c r="H1207" s="116"/>
      <c r="I1207" s="116"/>
      <c r="L1207" s="170">
        <v>44656</v>
      </c>
      <c r="M1207" s="116">
        <v>561.95000000000005</v>
      </c>
      <c r="N1207" s="116">
        <v>569.70000000000005</v>
      </c>
      <c r="O1207" s="116">
        <v>550.54999999999995</v>
      </c>
      <c r="P1207" s="116">
        <v>550.54999999999995</v>
      </c>
      <c r="Q1207" s="116">
        <v>561.95000000000005</v>
      </c>
      <c r="R1207">
        <v>142957</v>
      </c>
    </row>
    <row r="1208" spans="1:18" x14ac:dyDescent="0.25">
      <c r="A1208" s="170">
        <v>44657</v>
      </c>
      <c r="B1208" s="116">
        <v>574</v>
      </c>
      <c r="C1208" s="116">
        <v>555</v>
      </c>
      <c r="D1208" s="116">
        <v>552.70000000000005</v>
      </c>
      <c r="E1208" s="116">
        <v>561</v>
      </c>
      <c r="F1208" s="116">
        <v>555</v>
      </c>
      <c r="G1208">
        <v>18801</v>
      </c>
      <c r="H1208" s="116"/>
      <c r="I1208" s="116"/>
      <c r="L1208" s="170">
        <v>44657</v>
      </c>
      <c r="M1208" s="116">
        <v>555.95000000000005</v>
      </c>
      <c r="N1208" s="116">
        <v>574.29999999999995</v>
      </c>
      <c r="O1208" s="116">
        <v>551.95000000000005</v>
      </c>
      <c r="P1208" s="116">
        <v>561</v>
      </c>
      <c r="Q1208" s="116">
        <v>555.95000000000005</v>
      </c>
      <c r="R1208">
        <v>102438</v>
      </c>
    </row>
    <row r="1209" spans="1:18" x14ac:dyDescent="0.25">
      <c r="A1209" s="170">
        <v>44658</v>
      </c>
      <c r="B1209" s="116">
        <v>561.95000000000005</v>
      </c>
      <c r="C1209" s="116">
        <v>534.65</v>
      </c>
      <c r="D1209" s="116">
        <v>530</v>
      </c>
      <c r="E1209" s="116">
        <v>555</v>
      </c>
      <c r="F1209" s="116">
        <v>534.65</v>
      </c>
      <c r="G1209">
        <v>8214</v>
      </c>
      <c r="H1209" s="116"/>
      <c r="I1209" s="116"/>
      <c r="L1209" s="170">
        <v>44658</v>
      </c>
      <c r="M1209" s="116">
        <v>533.25</v>
      </c>
      <c r="N1209" s="116">
        <v>562</v>
      </c>
      <c r="O1209" s="116">
        <v>528</v>
      </c>
      <c r="P1209" s="116">
        <v>555</v>
      </c>
      <c r="Q1209" s="116">
        <v>533.25</v>
      </c>
      <c r="R1209">
        <v>131884</v>
      </c>
    </row>
    <row r="1210" spans="1:18" x14ac:dyDescent="0.25">
      <c r="A1210" s="170">
        <v>44659</v>
      </c>
      <c r="B1210" s="116">
        <v>563.79999999999995</v>
      </c>
      <c r="C1210" s="116">
        <v>557.95000000000005</v>
      </c>
      <c r="D1210" s="116">
        <v>537.04999999999995</v>
      </c>
      <c r="E1210" s="116">
        <v>538</v>
      </c>
      <c r="F1210" s="116">
        <v>557.95000000000005</v>
      </c>
      <c r="G1210">
        <v>19439</v>
      </c>
      <c r="H1210" s="116"/>
      <c r="I1210" s="116"/>
      <c r="L1210" s="170">
        <v>44659</v>
      </c>
      <c r="M1210" s="116">
        <v>558</v>
      </c>
      <c r="N1210" s="116">
        <v>563.95000000000005</v>
      </c>
      <c r="O1210" s="116">
        <v>536.1</v>
      </c>
      <c r="P1210" s="116">
        <v>536.1</v>
      </c>
      <c r="Q1210" s="116">
        <v>558</v>
      </c>
      <c r="R1210">
        <v>134790</v>
      </c>
    </row>
    <row r="1211" spans="1:18" x14ac:dyDescent="0.25">
      <c r="A1211" s="170">
        <v>44662</v>
      </c>
      <c r="B1211" s="116">
        <v>582.45000000000005</v>
      </c>
      <c r="C1211" s="116">
        <v>570.15</v>
      </c>
      <c r="D1211" s="116">
        <v>558.4</v>
      </c>
      <c r="E1211" s="116">
        <v>560.29999999999995</v>
      </c>
      <c r="F1211" s="116">
        <v>570.15</v>
      </c>
      <c r="G1211">
        <v>11098</v>
      </c>
      <c r="H1211" s="116"/>
      <c r="I1211" s="116"/>
      <c r="L1211" s="170">
        <v>44662</v>
      </c>
      <c r="M1211" s="116">
        <v>570.54999999999995</v>
      </c>
      <c r="N1211" s="116">
        <v>581.9</v>
      </c>
      <c r="O1211" s="116">
        <v>558.04999999999995</v>
      </c>
      <c r="P1211" s="116">
        <v>559</v>
      </c>
      <c r="Q1211" s="116">
        <v>570.54999999999995</v>
      </c>
      <c r="R1211">
        <v>167050</v>
      </c>
    </row>
    <row r="1212" spans="1:18" x14ac:dyDescent="0.25">
      <c r="A1212" s="170">
        <v>44663</v>
      </c>
      <c r="B1212" s="116">
        <v>567.20000000000005</v>
      </c>
      <c r="C1212" s="116">
        <v>553.45000000000005</v>
      </c>
      <c r="D1212" s="116">
        <v>551.1</v>
      </c>
      <c r="E1212" s="116">
        <v>566.9</v>
      </c>
      <c r="F1212" s="116">
        <v>553.45000000000005</v>
      </c>
      <c r="G1212">
        <v>4280</v>
      </c>
      <c r="H1212" s="116"/>
      <c r="I1212" s="116"/>
      <c r="L1212" s="170">
        <v>44663</v>
      </c>
      <c r="M1212" s="116">
        <v>553.20000000000005</v>
      </c>
      <c r="N1212" s="116">
        <v>568</v>
      </c>
      <c r="O1212" s="116">
        <v>550.54999999999995</v>
      </c>
      <c r="P1212" s="116">
        <v>568</v>
      </c>
      <c r="Q1212" s="116">
        <v>553.20000000000005</v>
      </c>
      <c r="R1212">
        <v>87608</v>
      </c>
    </row>
    <row r="1213" spans="1:18" x14ac:dyDescent="0.25">
      <c r="A1213" s="170">
        <v>44664</v>
      </c>
      <c r="B1213" s="116">
        <v>569.35</v>
      </c>
      <c r="C1213" s="116">
        <v>559.54999999999995</v>
      </c>
      <c r="D1213" s="116">
        <v>556.04999999999995</v>
      </c>
      <c r="E1213" s="116">
        <v>557.45000000000005</v>
      </c>
      <c r="F1213" s="116">
        <v>559.54999999999995</v>
      </c>
      <c r="G1213">
        <v>11404</v>
      </c>
      <c r="H1213" s="116"/>
      <c r="I1213" s="116"/>
      <c r="L1213" s="170">
        <v>44664</v>
      </c>
      <c r="M1213" s="116">
        <v>559.45000000000005</v>
      </c>
      <c r="N1213" s="116">
        <v>569.9</v>
      </c>
      <c r="O1213" s="116">
        <v>553.70000000000005</v>
      </c>
      <c r="P1213" s="116">
        <v>553.70000000000005</v>
      </c>
      <c r="Q1213" s="116">
        <v>559.45000000000005</v>
      </c>
      <c r="R1213">
        <v>87453</v>
      </c>
    </row>
    <row r="1214" spans="1:18" x14ac:dyDescent="0.25">
      <c r="A1214" s="170">
        <v>44669</v>
      </c>
      <c r="B1214" s="116">
        <v>557.5</v>
      </c>
      <c r="C1214" s="116">
        <v>545.70000000000005</v>
      </c>
      <c r="D1214" s="116">
        <v>539</v>
      </c>
      <c r="E1214" s="116">
        <v>547</v>
      </c>
      <c r="F1214" s="116">
        <v>545.70000000000005</v>
      </c>
      <c r="G1214">
        <v>13651</v>
      </c>
      <c r="H1214" s="116"/>
      <c r="I1214" s="116"/>
      <c r="L1214" s="170">
        <v>44669</v>
      </c>
      <c r="M1214" s="116">
        <v>544.4</v>
      </c>
      <c r="N1214" s="116">
        <v>557.95000000000005</v>
      </c>
      <c r="O1214" s="116">
        <v>535.29999999999995</v>
      </c>
      <c r="P1214" s="116">
        <v>545</v>
      </c>
      <c r="Q1214" s="116">
        <v>544.4</v>
      </c>
      <c r="R1214">
        <v>107094</v>
      </c>
    </row>
    <row r="1215" spans="1:18" x14ac:dyDescent="0.25">
      <c r="A1215" s="170">
        <v>44670</v>
      </c>
      <c r="B1215" s="116">
        <v>559.75</v>
      </c>
      <c r="C1215" s="116">
        <v>526.20000000000005</v>
      </c>
      <c r="D1215" s="116">
        <v>515</v>
      </c>
      <c r="E1215" s="116">
        <v>559.75</v>
      </c>
      <c r="F1215" s="116">
        <v>526.20000000000005</v>
      </c>
      <c r="G1215">
        <v>12536</v>
      </c>
      <c r="H1215" s="116"/>
      <c r="I1215" s="116"/>
      <c r="L1215" s="170">
        <v>44670</v>
      </c>
      <c r="M1215" s="116">
        <v>525.54999999999995</v>
      </c>
      <c r="N1215" s="116">
        <v>556.4</v>
      </c>
      <c r="O1215" s="116">
        <v>511.3</v>
      </c>
      <c r="P1215" s="116">
        <v>549.20000000000005</v>
      </c>
      <c r="Q1215" s="116">
        <v>525.54999999999995</v>
      </c>
      <c r="R1215">
        <v>119407</v>
      </c>
    </row>
    <row r="1216" spans="1:18" x14ac:dyDescent="0.25">
      <c r="A1216" s="170">
        <v>44671</v>
      </c>
      <c r="B1216" s="116">
        <v>557.9</v>
      </c>
      <c r="C1216" s="116">
        <v>553.9</v>
      </c>
      <c r="D1216" s="116">
        <v>525</v>
      </c>
      <c r="E1216" s="116">
        <v>525</v>
      </c>
      <c r="F1216" s="116">
        <v>553.9</v>
      </c>
      <c r="G1216">
        <v>33811</v>
      </c>
      <c r="H1216" s="116"/>
      <c r="I1216" s="116"/>
      <c r="L1216" s="170">
        <v>44671</v>
      </c>
      <c r="M1216" s="116">
        <v>553.35</v>
      </c>
      <c r="N1216" s="116">
        <v>557.9</v>
      </c>
      <c r="O1216" s="116">
        <v>525.54999999999995</v>
      </c>
      <c r="P1216" s="116">
        <v>528.4</v>
      </c>
      <c r="Q1216" s="116">
        <v>553.35</v>
      </c>
      <c r="R1216">
        <v>414233</v>
      </c>
    </row>
    <row r="1217" spans="1:18" x14ac:dyDescent="0.25">
      <c r="A1217" s="170">
        <v>44672</v>
      </c>
      <c r="B1217" s="116">
        <v>586.25</v>
      </c>
      <c r="C1217" s="116">
        <v>577.65</v>
      </c>
      <c r="D1217" s="116">
        <v>556</v>
      </c>
      <c r="E1217" s="116">
        <v>560</v>
      </c>
      <c r="F1217" s="116">
        <v>577.65</v>
      </c>
      <c r="G1217">
        <v>42573</v>
      </c>
      <c r="H1217" s="116"/>
      <c r="I1217" s="116"/>
      <c r="L1217" s="170">
        <v>44672</v>
      </c>
      <c r="M1217" s="116">
        <v>578.5</v>
      </c>
      <c r="N1217" s="116">
        <v>587.65</v>
      </c>
      <c r="O1217" s="116">
        <v>556.20000000000005</v>
      </c>
      <c r="P1217" s="116">
        <v>561.9</v>
      </c>
      <c r="Q1217" s="116">
        <v>578.5</v>
      </c>
      <c r="R1217">
        <v>451474</v>
      </c>
    </row>
    <row r="1218" spans="1:18" x14ac:dyDescent="0.25">
      <c r="A1218" s="170">
        <v>44673</v>
      </c>
      <c r="B1218" s="116">
        <v>588.20000000000005</v>
      </c>
      <c r="C1218" s="116">
        <v>553.1</v>
      </c>
      <c r="D1218" s="116">
        <v>550.79999999999995</v>
      </c>
      <c r="E1218" s="116">
        <v>572.79999999999995</v>
      </c>
      <c r="F1218" s="116">
        <v>553.1</v>
      </c>
      <c r="G1218">
        <v>27132</v>
      </c>
      <c r="H1218" s="116"/>
      <c r="I1218" s="116"/>
      <c r="L1218" s="170">
        <v>44673</v>
      </c>
      <c r="M1218" s="116">
        <v>553.79999999999995</v>
      </c>
      <c r="N1218" s="116">
        <v>588.6</v>
      </c>
      <c r="O1218" s="116">
        <v>550.54999999999995</v>
      </c>
      <c r="P1218" s="116">
        <v>575</v>
      </c>
      <c r="Q1218" s="116">
        <v>553.79999999999995</v>
      </c>
      <c r="R1218">
        <v>276086</v>
      </c>
    </row>
    <row r="1219" spans="1:18" x14ac:dyDescent="0.25">
      <c r="A1219" s="170">
        <v>44676</v>
      </c>
      <c r="B1219" s="116">
        <v>557</v>
      </c>
      <c r="C1219" s="116">
        <v>531.25</v>
      </c>
      <c r="D1219" s="116">
        <v>526.95000000000005</v>
      </c>
      <c r="E1219" s="116">
        <v>552</v>
      </c>
      <c r="F1219" s="116">
        <v>531.25</v>
      </c>
      <c r="G1219">
        <v>13284</v>
      </c>
      <c r="H1219" s="116"/>
      <c r="I1219" s="116"/>
      <c r="L1219" s="170">
        <v>44676</v>
      </c>
      <c r="M1219" s="116">
        <v>531.25</v>
      </c>
      <c r="N1219" s="116">
        <v>557.54999999999995</v>
      </c>
      <c r="O1219" s="116">
        <v>526.5</v>
      </c>
      <c r="P1219" s="116">
        <v>550.1</v>
      </c>
      <c r="Q1219" s="116">
        <v>531.25</v>
      </c>
      <c r="R1219">
        <v>173090</v>
      </c>
    </row>
    <row r="1220" spans="1:18" x14ac:dyDescent="0.25">
      <c r="A1220" s="170">
        <v>44677</v>
      </c>
      <c r="B1220" s="116">
        <v>567.25</v>
      </c>
      <c r="C1220" s="116">
        <v>559.79999999999995</v>
      </c>
      <c r="D1220" s="116">
        <v>536.45000000000005</v>
      </c>
      <c r="E1220" s="116">
        <v>539.54999999999995</v>
      </c>
      <c r="F1220" s="116">
        <v>559.79999999999995</v>
      </c>
      <c r="G1220">
        <v>17756</v>
      </c>
      <c r="H1220" s="116"/>
      <c r="I1220" s="116"/>
      <c r="L1220" s="170">
        <v>44677</v>
      </c>
      <c r="M1220" s="116">
        <v>557.9</v>
      </c>
      <c r="N1220" s="116">
        <v>568</v>
      </c>
      <c r="O1220" s="116">
        <v>536.15</v>
      </c>
      <c r="P1220" s="116">
        <v>537.5</v>
      </c>
      <c r="Q1220" s="116">
        <v>557.9</v>
      </c>
      <c r="R1220">
        <v>298041</v>
      </c>
    </row>
    <row r="1221" spans="1:18" x14ac:dyDescent="0.25">
      <c r="A1221" s="170">
        <v>44678</v>
      </c>
      <c r="B1221" s="116">
        <v>554.35</v>
      </c>
      <c r="C1221" s="116">
        <v>547.45000000000005</v>
      </c>
      <c r="D1221" s="116">
        <v>540</v>
      </c>
      <c r="E1221" s="116">
        <v>546.5</v>
      </c>
      <c r="F1221" s="116">
        <v>547.45000000000005</v>
      </c>
      <c r="G1221">
        <v>10931</v>
      </c>
      <c r="H1221" s="116"/>
      <c r="I1221" s="116"/>
      <c r="L1221" s="170">
        <v>44678</v>
      </c>
      <c r="M1221" s="116">
        <v>547.35</v>
      </c>
      <c r="N1221" s="116">
        <v>555.4</v>
      </c>
      <c r="O1221" s="116">
        <v>540.1</v>
      </c>
      <c r="P1221" s="116">
        <v>551.79999999999995</v>
      </c>
      <c r="Q1221" s="116">
        <v>547.35</v>
      </c>
      <c r="R1221">
        <v>68730</v>
      </c>
    </row>
    <row r="1222" spans="1:18" x14ac:dyDescent="0.25">
      <c r="A1222" s="170">
        <v>44679</v>
      </c>
      <c r="B1222" s="116">
        <v>554.4</v>
      </c>
      <c r="C1222" s="116">
        <v>544.25</v>
      </c>
      <c r="D1222" s="116">
        <v>539.5</v>
      </c>
      <c r="E1222" s="116">
        <v>554</v>
      </c>
      <c r="F1222" s="116">
        <v>544.25</v>
      </c>
      <c r="G1222">
        <v>7518</v>
      </c>
      <c r="H1222" s="116"/>
      <c r="I1222" s="116"/>
      <c r="L1222" s="170">
        <v>44679</v>
      </c>
      <c r="M1222" s="116">
        <v>544.04999999999995</v>
      </c>
      <c r="N1222" s="116">
        <v>555.20000000000005</v>
      </c>
      <c r="O1222" s="116">
        <v>540</v>
      </c>
      <c r="P1222" s="116">
        <v>552</v>
      </c>
      <c r="Q1222" s="116">
        <v>544.04999999999995</v>
      </c>
      <c r="R1222">
        <v>54252</v>
      </c>
    </row>
    <row r="1223" spans="1:18" x14ac:dyDescent="0.25">
      <c r="A1223" s="170">
        <v>44680</v>
      </c>
      <c r="B1223" s="116">
        <v>568.20000000000005</v>
      </c>
      <c r="C1223" s="116">
        <v>538.70000000000005</v>
      </c>
      <c r="D1223" s="116">
        <v>533.4</v>
      </c>
      <c r="E1223" s="116">
        <v>548.45000000000005</v>
      </c>
      <c r="F1223" s="116">
        <v>538.70000000000005</v>
      </c>
      <c r="G1223">
        <v>21870</v>
      </c>
      <c r="H1223" s="116"/>
      <c r="I1223" s="116"/>
      <c r="L1223" s="170">
        <v>44680</v>
      </c>
      <c r="M1223" s="116">
        <v>538.1</v>
      </c>
      <c r="N1223" s="116">
        <v>570</v>
      </c>
      <c r="O1223" s="116">
        <v>533</v>
      </c>
      <c r="P1223" s="116">
        <v>549.70000000000005</v>
      </c>
      <c r="Q1223" s="116">
        <v>538.1</v>
      </c>
      <c r="R1223">
        <v>364957</v>
      </c>
    </row>
    <row r="1224" spans="1:18" x14ac:dyDescent="0.25">
      <c r="A1224" s="170">
        <v>44683</v>
      </c>
      <c r="B1224" s="116">
        <v>541</v>
      </c>
      <c r="C1224" s="116">
        <v>530.85</v>
      </c>
      <c r="D1224" s="116">
        <v>518.29999999999995</v>
      </c>
      <c r="E1224" s="116">
        <v>518.29999999999995</v>
      </c>
      <c r="F1224" s="116">
        <v>530.85</v>
      </c>
      <c r="G1224">
        <v>12733</v>
      </c>
      <c r="H1224" s="116"/>
      <c r="I1224" s="116"/>
      <c r="L1224" s="170">
        <v>44683</v>
      </c>
      <c r="M1224" s="116">
        <v>531.4</v>
      </c>
      <c r="N1224" s="116">
        <v>540.70000000000005</v>
      </c>
      <c r="O1224" s="116">
        <v>526.1</v>
      </c>
      <c r="P1224" s="116">
        <v>535</v>
      </c>
      <c r="Q1224" s="116">
        <v>531.4</v>
      </c>
      <c r="R1224">
        <v>76188</v>
      </c>
    </row>
    <row r="1225" spans="1:18" x14ac:dyDescent="0.25">
      <c r="A1225" s="170">
        <v>44685</v>
      </c>
      <c r="B1225" s="116">
        <v>564</v>
      </c>
      <c r="C1225" s="116">
        <v>524.4</v>
      </c>
      <c r="D1225" s="116">
        <v>519.04999999999995</v>
      </c>
      <c r="E1225" s="116">
        <v>564</v>
      </c>
      <c r="F1225" s="116">
        <v>524.4</v>
      </c>
      <c r="G1225">
        <v>12734</v>
      </c>
      <c r="H1225" s="116"/>
      <c r="I1225" s="116"/>
      <c r="L1225" s="170">
        <v>44685</v>
      </c>
      <c r="M1225" s="116">
        <v>525.04999999999995</v>
      </c>
      <c r="N1225" s="116">
        <v>545.65</v>
      </c>
      <c r="O1225" s="116">
        <v>519</v>
      </c>
      <c r="P1225" s="116">
        <v>532.1</v>
      </c>
      <c r="Q1225" s="116">
        <v>525.04999999999995</v>
      </c>
      <c r="R1225">
        <v>130250</v>
      </c>
    </row>
    <row r="1226" spans="1:18" x14ac:dyDescent="0.25">
      <c r="A1226" s="170">
        <v>44686</v>
      </c>
      <c r="B1226" s="116">
        <v>539</v>
      </c>
      <c r="C1226" s="116">
        <v>530.25</v>
      </c>
      <c r="D1226" s="116">
        <v>521.95000000000005</v>
      </c>
      <c r="E1226" s="116">
        <v>523</v>
      </c>
      <c r="F1226" s="116">
        <v>530.25</v>
      </c>
      <c r="G1226">
        <v>12720</v>
      </c>
      <c r="H1226" s="116"/>
      <c r="I1226" s="116"/>
      <c r="L1226" s="170">
        <v>44686</v>
      </c>
      <c r="M1226" s="116">
        <v>527.4</v>
      </c>
      <c r="N1226" s="116">
        <v>540.4</v>
      </c>
      <c r="O1226" s="116">
        <v>521.1</v>
      </c>
      <c r="P1226" s="116">
        <v>526.15</v>
      </c>
      <c r="Q1226" s="116">
        <v>527.4</v>
      </c>
      <c r="R1226">
        <v>169038</v>
      </c>
    </row>
    <row r="1227" spans="1:18" x14ac:dyDescent="0.25">
      <c r="A1227" s="170">
        <v>44687</v>
      </c>
      <c r="B1227" s="116">
        <v>522.29999999999995</v>
      </c>
      <c r="C1227" s="116">
        <v>514.1</v>
      </c>
      <c r="D1227" s="116">
        <v>506.3</v>
      </c>
      <c r="E1227" s="116">
        <v>512</v>
      </c>
      <c r="F1227" s="116">
        <v>514.1</v>
      </c>
      <c r="G1227">
        <v>17028</v>
      </c>
      <c r="H1227" s="116"/>
      <c r="I1227" s="116"/>
      <c r="L1227" s="170">
        <v>44687</v>
      </c>
      <c r="M1227" s="116">
        <v>512.4</v>
      </c>
      <c r="N1227" s="116">
        <v>521.9</v>
      </c>
      <c r="O1227" s="116">
        <v>507</v>
      </c>
      <c r="P1227" s="116">
        <v>519</v>
      </c>
      <c r="Q1227" s="116">
        <v>512.4</v>
      </c>
      <c r="R1227">
        <v>95496</v>
      </c>
    </row>
    <row r="1228" spans="1:18" x14ac:dyDescent="0.25">
      <c r="A1228" s="170">
        <v>44690</v>
      </c>
      <c r="B1228" s="116">
        <v>519.70000000000005</v>
      </c>
      <c r="C1228" s="116">
        <v>503.6</v>
      </c>
      <c r="D1228" s="116">
        <v>486.5</v>
      </c>
      <c r="E1228" s="116">
        <v>500</v>
      </c>
      <c r="F1228" s="116">
        <v>503.6</v>
      </c>
      <c r="G1228">
        <v>19489</v>
      </c>
      <c r="H1228" s="116"/>
      <c r="I1228" s="116"/>
      <c r="L1228" s="170">
        <v>44690</v>
      </c>
      <c r="M1228" s="116">
        <v>504.45</v>
      </c>
      <c r="N1228" s="116">
        <v>519.79999999999995</v>
      </c>
      <c r="O1228" s="116">
        <v>496.85</v>
      </c>
      <c r="P1228" s="116">
        <v>500.05</v>
      </c>
      <c r="Q1228" s="116">
        <v>504.45</v>
      </c>
      <c r="R1228">
        <v>102350</v>
      </c>
    </row>
    <row r="1229" spans="1:18" x14ac:dyDescent="0.25">
      <c r="A1229" s="170">
        <v>44691</v>
      </c>
      <c r="B1229" s="116">
        <v>512.1</v>
      </c>
      <c r="C1229" s="116">
        <v>504.4</v>
      </c>
      <c r="D1229" s="116">
        <v>496</v>
      </c>
      <c r="E1229" s="116">
        <v>496</v>
      </c>
      <c r="F1229" s="116">
        <v>504.4</v>
      </c>
      <c r="G1229">
        <v>10168</v>
      </c>
      <c r="H1229" s="116"/>
      <c r="I1229" s="116"/>
      <c r="L1229" s="170">
        <v>44691</v>
      </c>
      <c r="M1229" s="116">
        <v>503.85</v>
      </c>
      <c r="N1229" s="116">
        <v>513.79999999999995</v>
      </c>
      <c r="O1229" s="116">
        <v>501.35</v>
      </c>
      <c r="P1229" s="116">
        <v>503.7</v>
      </c>
      <c r="Q1229" s="116">
        <v>503.85</v>
      </c>
      <c r="R1229">
        <v>82894</v>
      </c>
    </row>
    <row r="1230" spans="1:18" x14ac:dyDescent="0.25">
      <c r="A1230" s="170">
        <v>44692</v>
      </c>
      <c r="B1230" s="116">
        <v>509</v>
      </c>
      <c r="C1230" s="116">
        <v>486.75</v>
      </c>
      <c r="D1230" s="116">
        <v>471.15</v>
      </c>
      <c r="E1230" s="116">
        <v>502.9</v>
      </c>
      <c r="F1230" s="116">
        <v>486.75</v>
      </c>
      <c r="G1230">
        <v>27004</v>
      </c>
      <c r="H1230" s="116"/>
      <c r="I1230" s="116"/>
      <c r="L1230" s="170">
        <v>44692</v>
      </c>
      <c r="M1230" s="116">
        <v>487.5</v>
      </c>
      <c r="N1230" s="116">
        <v>509</v>
      </c>
      <c r="O1230" s="116">
        <v>472</v>
      </c>
      <c r="P1230" s="116">
        <v>504</v>
      </c>
      <c r="Q1230" s="116">
        <v>487.5</v>
      </c>
      <c r="R1230">
        <v>123674</v>
      </c>
    </row>
    <row r="1231" spans="1:18" x14ac:dyDescent="0.25">
      <c r="A1231" s="170">
        <v>44693</v>
      </c>
      <c r="B1231" s="116">
        <v>484.65</v>
      </c>
      <c r="C1231" s="116">
        <v>468.2</v>
      </c>
      <c r="D1231" s="116">
        <v>464.3</v>
      </c>
      <c r="E1231" s="116">
        <v>481.55</v>
      </c>
      <c r="F1231" s="116">
        <v>468.2</v>
      </c>
      <c r="G1231">
        <v>7278</v>
      </c>
      <c r="H1231" s="116"/>
      <c r="I1231" s="116"/>
      <c r="L1231" s="170">
        <v>44693</v>
      </c>
      <c r="M1231" s="116">
        <v>468.5</v>
      </c>
      <c r="N1231" s="116">
        <v>483.5</v>
      </c>
      <c r="O1231" s="116">
        <v>464</v>
      </c>
      <c r="P1231" s="116">
        <v>480.1</v>
      </c>
      <c r="Q1231" s="116">
        <v>468.5</v>
      </c>
      <c r="R1231">
        <v>97505</v>
      </c>
    </row>
    <row r="1232" spans="1:18" x14ac:dyDescent="0.25">
      <c r="A1232" s="170">
        <v>44694</v>
      </c>
      <c r="B1232" s="116">
        <v>488.05</v>
      </c>
      <c r="C1232" s="116">
        <v>477.05</v>
      </c>
      <c r="D1232" s="116">
        <v>473.6</v>
      </c>
      <c r="E1232" s="116">
        <v>480.7</v>
      </c>
      <c r="F1232" s="116">
        <v>477.05</v>
      </c>
      <c r="G1232">
        <v>7094</v>
      </c>
      <c r="H1232" s="116"/>
      <c r="I1232" s="116"/>
      <c r="L1232" s="170">
        <v>44694</v>
      </c>
      <c r="M1232" s="116">
        <v>475.45</v>
      </c>
      <c r="N1232" s="116">
        <v>488.5</v>
      </c>
      <c r="O1232" s="116">
        <v>470</v>
      </c>
      <c r="P1232" s="116">
        <v>470</v>
      </c>
      <c r="Q1232" s="116">
        <v>475.45</v>
      </c>
      <c r="R1232">
        <v>69028</v>
      </c>
    </row>
    <row r="1233" spans="1:18" x14ac:dyDescent="0.25">
      <c r="A1233" s="170">
        <v>44697</v>
      </c>
      <c r="B1233" s="116">
        <v>483.4</v>
      </c>
      <c r="C1233" s="116">
        <v>476.45</v>
      </c>
      <c r="D1233" s="116">
        <v>469.3</v>
      </c>
      <c r="E1233" s="116">
        <v>478</v>
      </c>
      <c r="F1233" s="116">
        <v>476.45</v>
      </c>
      <c r="G1233">
        <v>9004</v>
      </c>
      <c r="H1233" s="116"/>
      <c r="I1233" s="116"/>
      <c r="L1233" s="170">
        <v>44697</v>
      </c>
      <c r="M1233" s="116">
        <v>477.55</v>
      </c>
      <c r="N1233" s="116">
        <v>484.5</v>
      </c>
      <c r="O1233" s="116">
        <v>469.3</v>
      </c>
      <c r="P1233" s="116">
        <v>475</v>
      </c>
      <c r="Q1233" s="116">
        <v>477.55</v>
      </c>
      <c r="R1233">
        <v>76262</v>
      </c>
    </row>
    <row r="1234" spans="1:18" x14ac:dyDescent="0.25">
      <c r="A1234" s="170">
        <v>44698</v>
      </c>
      <c r="B1234" s="116">
        <v>499</v>
      </c>
      <c r="C1234" s="116">
        <v>492.1</v>
      </c>
      <c r="D1234" s="116">
        <v>480</v>
      </c>
      <c r="E1234" s="116">
        <v>499</v>
      </c>
      <c r="F1234" s="116">
        <v>492.1</v>
      </c>
      <c r="G1234">
        <v>5646</v>
      </c>
      <c r="H1234" s="116"/>
      <c r="I1234" s="116"/>
      <c r="L1234" s="170">
        <v>44698</v>
      </c>
      <c r="M1234" s="116">
        <v>490.25</v>
      </c>
      <c r="N1234" s="116">
        <v>496</v>
      </c>
      <c r="O1234" s="116">
        <v>477.95</v>
      </c>
      <c r="P1234" s="116">
        <v>484.7</v>
      </c>
      <c r="Q1234" s="116">
        <v>490.25</v>
      </c>
      <c r="R1234">
        <v>72253</v>
      </c>
    </row>
    <row r="1235" spans="1:18" x14ac:dyDescent="0.25">
      <c r="A1235" s="170">
        <v>44699</v>
      </c>
      <c r="B1235" s="116">
        <v>502.45</v>
      </c>
      <c r="C1235" s="116">
        <v>487.1</v>
      </c>
      <c r="D1235" s="116">
        <v>484.55</v>
      </c>
      <c r="E1235" s="116">
        <v>494.4</v>
      </c>
      <c r="F1235" s="116">
        <v>487.1</v>
      </c>
      <c r="G1235">
        <v>10346</v>
      </c>
      <c r="H1235" s="116"/>
      <c r="I1235" s="116"/>
      <c r="L1235" s="170">
        <v>44699</v>
      </c>
      <c r="M1235" s="116">
        <v>486.4</v>
      </c>
      <c r="N1235" s="116">
        <v>502</v>
      </c>
      <c r="O1235" s="116">
        <v>484.6</v>
      </c>
      <c r="P1235" s="116">
        <v>498</v>
      </c>
      <c r="Q1235" s="116">
        <v>486.4</v>
      </c>
      <c r="R1235">
        <v>83836</v>
      </c>
    </row>
    <row r="1236" spans="1:18" x14ac:dyDescent="0.25">
      <c r="A1236" s="170">
        <v>44700</v>
      </c>
      <c r="B1236" s="116">
        <v>485.55</v>
      </c>
      <c r="C1236" s="116">
        <v>475.15</v>
      </c>
      <c r="D1236" s="116">
        <v>468.3</v>
      </c>
      <c r="E1236" s="116">
        <v>468.3</v>
      </c>
      <c r="F1236" s="116">
        <v>475.15</v>
      </c>
      <c r="G1236">
        <v>9722</v>
      </c>
      <c r="H1236" s="116"/>
      <c r="I1236" s="116"/>
      <c r="L1236" s="170">
        <v>44700</v>
      </c>
      <c r="M1236" s="116">
        <v>476.25</v>
      </c>
      <c r="N1236" s="116">
        <v>485.85</v>
      </c>
      <c r="O1236" s="116">
        <v>472</v>
      </c>
      <c r="P1236" s="116">
        <v>475</v>
      </c>
      <c r="Q1236" s="116">
        <v>476.25</v>
      </c>
      <c r="R1236">
        <v>54297</v>
      </c>
    </row>
    <row r="1237" spans="1:18" x14ac:dyDescent="0.25">
      <c r="A1237" s="170">
        <v>44701</v>
      </c>
      <c r="B1237" s="116">
        <v>496</v>
      </c>
      <c r="C1237" s="116">
        <v>487.35</v>
      </c>
      <c r="D1237" s="116">
        <v>460</v>
      </c>
      <c r="E1237" s="116">
        <v>476.5</v>
      </c>
      <c r="F1237" s="116">
        <v>487.35</v>
      </c>
      <c r="G1237">
        <v>24368</v>
      </c>
      <c r="H1237" s="116"/>
      <c r="I1237" s="116"/>
      <c r="L1237" s="170">
        <v>44701</v>
      </c>
      <c r="M1237" s="116">
        <v>488.65</v>
      </c>
      <c r="N1237" s="116">
        <v>496.2</v>
      </c>
      <c r="O1237" s="116">
        <v>471.45</v>
      </c>
      <c r="P1237" s="116">
        <v>484</v>
      </c>
      <c r="Q1237" s="116">
        <v>488.65</v>
      </c>
      <c r="R1237">
        <v>69125</v>
      </c>
    </row>
    <row r="1238" spans="1:18" x14ac:dyDescent="0.25">
      <c r="A1238" s="170">
        <v>44704</v>
      </c>
      <c r="B1238" s="116">
        <v>505.85</v>
      </c>
      <c r="C1238" s="116">
        <v>490.4</v>
      </c>
      <c r="D1238" s="116">
        <v>486.8</v>
      </c>
      <c r="E1238" s="116">
        <v>493.75</v>
      </c>
      <c r="F1238" s="116">
        <v>490.4</v>
      </c>
      <c r="G1238">
        <v>6497</v>
      </c>
      <c r="H1238" s="116"/>
      <c r="I1238" s="116"/>
      <c r="L1238" s="170">
        <v>44704</v>
      </c>
      <c r="M1238" s="116">
        <v>488.95</v>
      </c>
      <c r="N1238" s="116">
        <v>506.9</v>
      </c>
      <c r="O1238" s="116">
        <v>485.5</v>
      </c>
      <c r="P1238" s="116">
        <v>499.9</v>
      </c>
      <c r="Q1238" s="116">
        <v>488.95</v>
      </c>
      <c r="R1238">
        <v>67262</v>
      </c>
    </row>
    <row r="1239" spans="1:18" x14ac:dyDescent="0.25">
      <c r="A1239" s="170">
        <v>44705</v>
      </c>
      <c r="B1239" s="116">
        <v>497.2</v>
      </c>
      <c r="C1239" s="116">
        <v>478.15</v>
      </c>
      <c r="D1239" s="116">
        <v>475</v>
      </c>
      <c r="E1239" s="116">
        <v>494.35</v>
      </c>
      <c r="F1239" s="116">
        <v>478.15</v>
      </c>
      <c r="G1239">
        <v>7846</v>
      </c>
      <c r="H1239" s="116"/>
      <c r="I1239" s="116"/>
      <c r="L1239" s="170">
        <v>44705</v>
      </c>
      <c r="M1239" s="116">
        <v>477</v>
      </c>
      <c r="N1239" s="116">
        <v>498.8</v>
      </c>
      <c r="O1239" s="116">
        <v>475</v>
      </c>
      <c r="P1239" s="116">
        <v>495.95</v>
      </c>
      <c r="Q1239" s="116">
        <v>477</v>
      </c>
      <c r="R1239">
        <v>66061</v>
      </c>
    </row>
    <row r="1240" spans="1:18" x14ac:dyDescent="0.25">
      <c r="A1240" s="170">
        <v>44706</v>
      </c>
      <c r="B1240" s="116">
        <v>481.4</v>
      </c>
      <c r="C1240" s="116">
        <v>469.7</v>
      </c>
      <c r="D1240" s="116">
        <v>467.15</v>
      </c>
      <c r="E1240" s="116">
        <v>472</v>
      </c>
      <c r="F1240" s="116">
        <v>469.7</v>
      </c>
      <c r="G1240">
        <v>6179</v>
      </c>
      <c r="H1240" s="116"/>
      <c r="I1240" s="116"/>
      <c r="L1240" s="170">
        <v>44706</v>
      </c>
      <c r="M1240" s="116">
        <v>469.5</v>
      </c>
      <c r="N1240" s="116">
        <v>481.95</v>
      </c>
      <c r="O1240" s="116">
        <v>468</v>
      </c>
      <c r="P1240" s="116">
        <v>478.2</v>
      </c>
      <c r="Q1240" s="116">
        <v>469.5</v>
      </c>
      <c r="R1240">
        <v>41497</v>
      </c>
    </row>
    <row r="1241" spans="1:18" x14ac:dyDescent="0.25">
      <c r="A1241" s="170">
        <v>44707</v>
      </c>
      <c r="B1241" s="116">
        <v>487.65</v>
      </c>
      <c r="C1241" s="116">
        <v>483.55</v>
      </c>
      <c r="D1241" s="116">
        <v>465</v>
      </c>
      <c r="E1241" s="116">
        <v>469.7</v>
      </c>
      <c r="F1241" s="116">
        <v>483.55</v>
      </c>
      <c r="G1241">
        <v>10074</v>
      </c>
      <c r="H1241" s="116"/>
      <c r="I1241" s="116"/>
      <c r="L1241" s="170">
        <v>44707</v>
      </c>
      <c r="M1241" s="116">
        <v>482.1</v>
      </c>
      <c r="N1241" s="116">
        <v>488.25</v>
      </c>
      <c r="O1241" s="116">
        <v>464.6</v>
      </c>
      <c r="P1241" s="116">
        <v>471.85</v>
      </c>
      <c r="Q1241" s="116">
        <v>482.1</v>
      </c>
      <c r="R1241">
        <v>73342</v>
      </c>
    </row>
    <row r="1242" spans="1:18" x14ac:dyDescent="0.25">
      <c r="A1242" s="170">
        <v>44708</v>
      </c>
      <c r="B1242" s="116">
        <v>535.45000000000005</v>
      </c>
      <c r="C1242" s="116">
        <v>518.15</v>
      </c>
      <c r="D1242" s="116">
        <v>485.1</v>
      </c>
      <c r="E1242" s="116">
        <v>485.35</v>
      </c>
      <c r="F1242" s="116">
        <v>518.15</v>
      </c>
      <c r="G1242">
        <v>32163</v>
      </c>
      <c r="H1242" s="116"/>
      <c r="I1242" s="116"/>
      <c r="L1242" s="170">
        <v>44708</v>
      </c>
      <c r="M1242" s="116">
        <v>517.85</v>
      </c>
      <c r="N1242" s="116">
        <v>536.6</v>
      </c>
      <c r="O1242" s="116">
        <v>484.8</v>
      </c>
      <c r="P1242" s="116">
        <v>486.9</v>
      </c>
      <c r="Q1242" s="116">
        <v>517.85</v>
      </c>
      <c r="R1242">
        <v>618354</v>
      </c>
    </row>
    <row r="1243" spans="1:18" x14ac:dyDescent="0.25">
      <c r="A1243" s="170">
        <v>44711</v>
      </c>
      <c r="B1243" s="116">
        <v>529</v>
      </c>
      <c r="C1243" s="116">
        <v>505.85</v>
      </c>
      <c r="D1243" s="116">
        <v>504.05</v>
      </c>
      <c r="E1243" s="116">
        <v>522</v>
      </c>
      <c r="F1243" s="116">
        <v>505.85</v>
      </c>
      <c r="G1243">
        <v>19663</v>
      </c>
      <c r="H1243" s="116"/>
      <c r="I1243" s="116"/>
      <c r="L1243" s="170">
        <v>44711</v>
      </c>
      <c r="M1243" s="116">
        <v>506.45</v>
      </c>
      <c r="N1243" s="116">
        <v>530.04999999999995</v>
      </c>
      <c r="O1243" s="116">
        <v>504</v>
      </c>
      <c r="P1243" s="116">
        <v>525</v>
      </c>
      <c r="Q1243" s="116">
        <v>506.45</v>
      </c>
      <c r="R1243">
        <v>153040</v>
      </c>
    </row>
    <row r="1244" spans="1:18" x14ac:dyDescent="0.25">
      <c r="A1244" s="170">
        <v>44712</v>
      </c>
      <c r="B1244" s="116">
        <v>518.79999999999995</v>
      </c>
      <c r="C1244" s="116">
        <v>511.05</v>
      </c>
      <c r="D1244" s="116">
        <v>508</v>
      </c>
      <c r="E1244" s="116">
        <v>509.9</v>
      </c>
      <c r="F1244" s="116">
        <v>511.05</v>
      </c>
      <c r="G1244">
        <v>4789</v>
      </c>
      <c r="H1244" s="116"/>
      <c r="I1244" s="116"/>
      <c r="L1244" s="170">
        <v>44712</v>
      </c>
      <c r="M1244" s="116">
        <v>510.7</v>
      </c>
      <c r="N1244" s="116">
        <v>518.70000000000005</v>
      </c>
      <c r="O1244" s="116">
        <v>504</v>
      </c>
      <c r="P1244" s="116">
        <v>510.3</v>
      </c>
      <c r="Q1244" s="116">
        <v>510.7</v>
      </c>
      <c r="R1244">
        <v>105763</v>
      </c>
    </row>
    <row r="1245" spans="1:18" x14ac:dyDescent="0.25">
      <c r="A1245" s="170">
        <v>44713</v>
      </c>
      <c r="B1245" s="116">
        <v>520</v>
      </c>
      <c r="C1245" s="116">
        <v>512.4</v>
      </c>
      <c r="D1245" s="116">
        <v>508.95</v>
      </c>
      <c r="E1245" s="116">
        <v>513.25</v>
      </c>
      <c r="F1245" s="116">
        <v>512.4</v>
      </c>
      <c r="G1245">
        <v>11866</v>
      </c>
      <c r="H1245" s="116"/>
      <c r="I1245" s="116"/>
      <c r="L1245" s="170">
        <v>44713</v>
      </c>
      <c r="M1245" s="116">
        <v>514.04999999999995</v>
      </c>
      <c r="N1245" s="116">
        <v>520</v>
      </c>
      <c r="O1245" s="116">
        <v>510</v>
      </c>
      <c r="P1245" s="116">
        <v>512.5</v>
      </c>
      <c r="Q1245" s="116">
        <v>514.04999999999995</v>
      </c>
      <c r="R1245">
        <v>63172</v>
      </c>
    </row>
    <row r="1246" spans="1:18" x14ac:dyDescent="0.25">
      <c r="A1246" s="170">
        <v>44714</v>
      </c>
      <c r="B1246" s="116">
        <v>527</v>
      </c>
      <c r="C1246" s="116">
        <v>522.45000000000005</v>
      </c>
      <c r="D1246" s="116">
        <v>512.4</v>
      </c>
      <c r="E1246" s="116">
        <v>513</v>
      </c>
      <c r="F1246" s="116">
        <v>522.45000000000005</v>
      </c>
      <c r="G1246">
        <v>7571</v>
      </c>
      <c r="H1246" s="116"/>
      <c r="I1246" s="116"/>
      <c r="L1246" s="170">
        <v>44714</v>
      </c>
      <c r="M1246" s="116">
        <v>521.70000000000005</v>
      </c>
      <c r="N1246" s="116">
        <v>527</v>
      </c>
      <c r="O1246" s="116">
        <v>512.04999999999995</v>
      </c>
      <c r="P1246" s="116">
        <v>515</v>
      </c>
      <c r="Q1246" s="116">
        <v>521.70000000000005</v>
      </c>
      <c r="R1246">
        <v>115787</v>
      </c>
    </row>
    <row r="1247" spans="1:18" x14ac:dyDescent="0.25">
      <c r="A1247" s="170">
        <v>44715</v>
      </c>
      <c r="B1247" s="116">
        <v>537.9</v>
      </c>
      <c r="C1247" s="116">
        <v>524.15</v>
      </c>
      <c r="D1247" s="116">
        <v>521</v>
      </c>
      <c r="E1247" s="116">
        <v>527</v>
      </c>
      <c r="F1247" s="116">
        <v>524.15</v>
      </c>
      <c r="G1247">
        <v>14960</v>
      </c>
      <c r="H1247" s="116"/>
      <c r="I1247" s="116"/>
      <c r="L1247" s="170">
        <v>44715</v>
      </c>
      <c r="M1247" s="116">
        <v>523.75</v>
      </c>
      <c r="N1247" s="116">
        <v>538.4</v>
      </c>
      <c r="O1247" s="116">
        <v>520</v>
      </c>
      <c r="P1247" s="116">
        <v>529</v>
      </c>
      <c r="Q1247" s="116">
        <v>523.75</v>
      </c>
      <c r="R1247">
        <v>119221</v>
      </c>
    </row>
    <row r="1248" spans="1:18" x14ac:dyDescent="0.25">
      <c r="A1248" s="170">
        <v>44718</v>
      </c>
      <c r="B1248" s="116">
        <v>549</v>
      </c>
      <c r="C1248" s="116">
        <v>539.65</v>
      </c>
      <c r="D1248" s="116">
        <v>511.7</v>
      </c>
      <c r="E1248" s="116">
        <v>523.75</v>
      </c>
      <c r="F1248" s="116">
        <v>539.65</v>
      </c>
      <c r="G1248">
        <v>9189</v>
      </c>
      <c r="H1248" s="116"/>
      <c r="I1248" s="116"/>
      <c r="L1248" s="170">
        <v>44718</v>
      </c>
      <c r="M1248" s="116">
        <v>534.6</v>
      </c>
      <c r="N1248" s="116">
        <v>550</v>
      </c>
      <c r="O1248" s="116">
        <v>511.8</v>
      </c>
      <c r="P1248" s="116">
        <v>515.15</v>
      </c>
      <c r="Q1248" s="116">
        <v>534.6</v>
      </c>
      <c r="R1248">
        <v>126139</v>
      </c>
    </row>
    <row r="1249" spans="1:18" x14ac:dyDescent="0.25">
      <c r="A1249" s="170">
        <v>44719</v>
      </c>
      <c r="B1249" s="116">
        <v>544.04999999999995</v>
      </c>
      <c r="C1249" s="116">
        <v>529.70000000000005</v>
      </c>
      <c r="D1249" s="116">
        <v>526.5</v>
      </c>
      <c r="E1249" s="116">
        <v>542.95000000000005</v>
      </c>
      <c r="F1249" s="116">
        <v>529.70000000000005</v>
      </c>
      <c r="G1249">
        <v>13513</v>
      </c>
      <c r="H1249" s="116"/>
      <c r="I1249" s="116"/>
      <c r="L1249" s="170">
        <v>44719</v>
      </c>
      <c r="M1249" s="116">
        <v>530.29999999999995</v>
      </c>
      <c r="N1249" s="116">
        <v>544.79999999999995</v>
      </c>
      <c r="O1249" s="116">
        <v>528</v>
      </c>
      <c r="P1249" s="116">
        <v>540.4</v>
      </c>
      <c r="Q1249" s="116">
        <v>530.29999999999995</v>
      </c>
      <c r="R1249">
        <v>159058</v>
      </c>
    </row>
    <row r="1250" spans="1:18" x14ac:dyDescent="0.25">
      <c r="A1250" s="170">
        <v>44720</v>
      </c>
      <c r="B1250" s="116">
        <v>539.20000000000005</v>
      </c>
      <c r="C1250" s="116">
        <v>527.6</v>
      </c>
      <c r="D1250" s="116">
        <v>524.70000000000005</v>
      </c>
      <c r="E1250" s="116">
        <v>534.54999999999995</v>
      </c>
      <c r="F1250" s="116">
        <v>527.6</v>
      </c>
      <c r="G1250">
        <v>2599</v>
      </c>
      <c r="H1250" s="116"/>
      <c r="I1250" s="116"/>
      <c r="L1250" s="170">
        <v>44720</v>
      </c>
      <c r="M1250" s="116">
        <v>527.70000000000005</v>
      </c>
      <c r="N1250" s="116">
        <v>539.6</v>
      </c>
      <c r="O1250" s="116">
        <v>524</v>
      </c>
      <c r="P1250" s="116">
        <v>534.5</v>
      </c>
      <c r="Q1250" s="116">
        <v>527.70000000000005</v>
      </c>
      <c r="R1250">
        <v>60271</v>
      </c>
    </row>
    <row r="1251" spans="1:18" x14ac:dyDescent="0.25">
      <c r="A1251" s="170">
        <v>44721</v>
      </c>
      <c r="B1251" s="116">
        <v>538</v>
      </c>
      <c r="C1251" s="116">
        <v>527</v>
      </c>
      <c r="D1251" s="116">
        <v>523.54999999999995</v>
      </c>
      <c r="E1251" s="116">
        <v>525.54999999999995</v>
      </c>
      <c r="F1251" s="116">
        <v>527</v>
      </c>
      <c r="G1251">
        <v>3213</v>
      </c>
      <c r="H1251" s="116"/>
      <c r="I1251" s="116"/>
      <c r="L1251" s="170">
        <v>44721</v>
      </c>
      <c r="M1251" s="116">
        <v>526.45000000000005</v>
      </c>
      <c r="N1251" s="116">
        <v>533.4</v>
      </c>
      <c r="O1251" s="116">
        <v>523.35</v>
      </c>
      <c r="P1251" s="116">
        <v>525</v>
      </c>
      <c r="Q1251" s="116">
        <v>526.45000000000005</v>
      </c>
      <c r="R1251">
        <v>42016</v>
      </c>
    </row>
    <row r="1252" spans="1:18" x14ac:dyDescent="0.25">
      <c r="A1252" s="170">
        <v>44722</v>
      </c>
      <c r="B1252" s="116">
        <v>528.85</v>
      </c>
      <c r="C1252" s="116">
        <v>522.5</v>
      </c>
      <c r="D1252" s="116">
        <v>517.75</v>
      </c>
      <c r="E1252" s="116">
        <v>520.4</v>
      </c>
      <c r="F1252" s="116">
        <v>522.5</v>
      </c>
      <c r="G1252">
        <v>6328</v>
      </c>
      <c r="H1252" s="116"/>
      <c r="I1252" s="116"/>
      <c r="L1252" s="170">
        <v>44722</v>
      </c>
      <c r="M1252" s="116">
        <v>523.29999999999995</v>
      </c>
      <c r="N1252" s="116">
        <v>529.4</v>
      </c>
      <c r="O1252" s="116">
        <v>518</v>
      </c>
      <c r="P1252" s="116">
        <v>521.54999999999995</v>
      </c>
      <c r="Q1252" s="116">
        <v>523.29999999999995</v>
      </c>
      <c r="R1252">
        <v>41445</v>
      </c>
    </row>
    <row r="1253" spans="1:18" x14ac:dyDescent="0.25">
      <c r="A1253" s="170">
        <v>44725</v>
      </c>
      <c r="B1253" s="116">
        <v>518.20000000000005</v>
      </c>
      <c r="C1253" s="116">
        <v>505.3</v>
      </c>
      <c r="D1253" s="116">
        <v>498.65</v>
      </c>
      <c r="E1253" s="116">
        <v>518.20000000000005</v>
      </c>
      <c r="F1253" s="116">
        <v>505.3</v>
      </c>
      <c r="G1253">
        <v>7555</v>
      </c>
      <c r="H1253" s="116"/>
      <c r="I1253" s="116"/>
      <c r="L1253" s="170">
        <v>44725</v>
      </c>
      <c r="M1253" s="116">
        <v>506.4</v>
      </c>
      <c r="N1253" s="116">
        <v>516.85</v>
      </c>
      <c r="O1253" s="116">
        <v>501.25</v>
      </c>
      <c r="P1253" s="116">
        <v>508</v>
      </c>
      <c r="Q1253" s="116">
        <v>506.4</v>
      </c>
      <c r="R1253">
        <v>65299</v>
      </c>
    </row>
    <row r="1254" spans="1:18" x14ac:dyDescent="0.25">
      <c r="A1254" s="170">
        <v>44726</v>
      </c>
      <c r="B1254" s="116">
        <v>518.29999999999995</v>
      </c>
      <c r="C1254" s="116">
        <v>508.65</v>
      </c>
      <c r="D1254" s="116">
        <v>501.8</v>
      </c>
      <c r="E1254" s="116">
        <v>504</v>
      </c>
      <c r="F1254" s="116">
        <v>508.65</v>
      </c>
      <c r="G1254">
        <v>5960</v>
      </c>
      <c r="H1254" s="116"/>
      <c r="I1254" s="116"/>
      <c r="L1254" s="170">
        <v>44726</v>
      </c>
      <c r="M1254" s="116">
        <v>508.45</v>
      </c>
      <c r="N1254" s="116">
        <v>517.25</v>
      </c>
      <c r="O1254" s="116">
        <v>500.05</v>
      </c>
      <c r="P1254" s="116">
        <v>500.05</v>
      </c>
      <c r="Q1254" s="116">
        <v>508.45</v>
      </c>
      <c r="R1254">
        <v>46648</v>
      </c>
    </row>
    <row r="1255" spans="1:18" x14ac:dyDescent="0.25">
      <c r="A1255" s="170">
        <v>44727</v>
      </c>
      <c r="B1255" s="116">
        <v>514.1</v>
      </c>
      <c r="C1255" s="116">
        <v>506.6</v>
      </c>
      <c r="D1255" s="116">
        <v>501.5</v>
      </c>
      <c r="E1255" s="116">
        <v>513.4</v>
      </c>
      <c r="F1255" s="116">
        <v>506.6</v>
      </c>
      <c r="G1255">
        <v>6371</v>
      </c>
      <c r="H1255" s="116"/>
      <c r="I1255" s="116"/>
      <c r="L1255" s="170">
        <v>44727</v>
      </c>
      <c r="M1255" s="116">
        <v>506.6</v>
      </c>
      <c r="N1255" s="116">
        <v>514.95000000000005</v>
      </c>
      <c r="O1255" s="116">
        <v>502</v>
      </c>
      <c r="P1255" s="116">
        <v>510.55</v>
      </c>
      <c r="Q1255" s="116">
        <v>506.6</v>
      </c>
      <c r="R1255">
        <v>27839</v>
      </c>
    </row>
    <row r="1256" spans="1:18" x14ac:dyDescent="0.25">
      <c r="A1256" s="170">
        <v>44728</v>
      </c>
      <c r="B1256" s="116">
        <v>524.4</v>
      </c>
      <c r="C1256" s="116">
        <v>489.5</v>
      </c>
      <c r="D1256" s="116">
        <v>487.25</v>
      </c>
      <c r="E1256" s="116">
        <v>524.4</v>
      </c>
      <c r="F1256" s="116">
        <v>489.5</v>
      </c>
      <c r="G1256">
        <v>8264</v>
      </c>
      <c r="H1256" s="116"/>
      <c r="I1256" s="116"/>
      <c r="L1256" s="170">
        <v>44728</v>
      </c>
      <c r="M1256" s="116">
        <v>489.9</v>
      </c>
      <c r="N1256" s="116">
        <v>519.85</v>
      </c>
      <c r="O1256" s="116">
        <v>486.95</v>
      </c>
      <c r="P1256" s="116">
        <v>514.20000000000005</v>
      </c>
      <c r="Q1256" s="116">
        <v>489.9</v>
      </c>
      <c r="R1256">
        <v>41773</v>
      </c>
    </row>
    <row r="1257" spans="1:18" x14ac:dyDescent="0.25">
      <c r="A1257" s="170">
        <v>44729</v>
      </c>
      <c r="B1257" s="116">
        <v>498</v>
      </c>
      <c r="C1257" s="116">
        <v>489.65</v>
      </c>
      <c r="D1257" s="116">
        <v>480.35</v>
      </c>
      <c r="E1257" s="116">
        <v>480.35</v>
      </c>
      <c r="F1257" s="116">
        <v>489.65</v>
      </c>
      <c r="G1257">
        <v>3275</v>
      </c>
      <c r="H1257" s="116"/>
      <c r="I1257" s="116"/>
      <c r="L1257" s="170">
        <v>44729</v>
      </c>
      <c r="M1257" s="116">
        <v>489.1</v>
      </c>
      <c r="N1257" s="116">
        <v>498.2</v>
      </c>
      <c r="O1257" s="116">
        <v>483.3</v>
      </c>
      <c r="P1257" s="116">
        <v>492.35</v>
      </c>
      <c r="Q1257" s="116">
        <v>489.1</v>
      </c>
      <c r="R1257">
        <v>41678</v>
      </c>
    </row>
    <row r="1258" spans="1:18" x14ac:dyDescent="0.25">
      <c r="A1258" s="170">
        <v>44732</v>
      </c>
      <c r="B1258" s="116">
        <v>494</v>
      </c>
      <c r="C1258" s="116">
        <v>472.5</v>
      </c>
      <c r="D1258" s="116">
        <v>458.9</v>
      </c>
      <c r="E1258" s="116">
        <v>491.45</v>
      </c>
      <c r="F1258" s="116">
        <v>472.5</v>
      </c>
      <c r="G1258">
        <v>8883</v>
      </c>
      <c r="H1258" s="116"/>
      <c r="I1258" s="116"/>
      <c r="L1258" s="170">
        <v>44732</v>
      </c>
      <c r="M1258" s="116">
        <v>470.55</v>
      </c>
      <c r="N1258" s="116">
        <v>494.55</v>
      </c>
      <c r="O1258" s="116">
        <v>459.2</v>
      </c>
      <c r="P1258" s="116">
        <v>489.2</v>
      </c>
      <c r="Q1258" s="116">
        <v>470.55</v>
      </c>
      <c r="R1258">
        <v>89750</v>
      </c>
    </row>
    <row r="1259" spans="1:18" x14ac:dyDescent="0.25">
      <c r="A1259" s="170">
        <v>44733</v>
      </c>
      <c r="B1259" s="116">
        <v>511.7</v>
      </c>
      <c r="C1259" s="116">
        <v>507.4</v>
      </c>
      <c r="D1259" s="116">
        <v>461.1</v>
      </c>
      <c r="E1259" s="116">
        <v>461.1</v>
      </c>
      <c r="F1259" s="116">
        <v>507.4</v>
      </c>
      <c r="G1259">
        <v>5797</v>
      </c>
      <c r="H1259" s="116"/>
      <c r="I1259" s="116"/>
      <c r="L1259" s="170">
        <v>44733</v>
      </c>
      <c r="M1259" s="116">
        <v>507.15</v>
      </c>
      <c r="N1259" s="116">
        <v>512</v>
      </c>
      <c r="O1259" s="116">
        <v>472.05</v>
      </c>
      <c r="P1259" s="116">
        <v>472.1</v>
      </c>
      <c r="Q1259" s="116">
        <v>507.15</v>
      </c>
      <c r="R1259">
        <v>74050</v>
      </c>
    </row>
    <row r="1260" spans="1:18" x14ac:dyDescent="0.25">
      <c r="A1260" s="170">
        <v>44734</v>
      </c>
      <c r="B1260" s="116">
        <v>507.45</v>
      </c>
      <c r="C1260" s="116">
        <v>503.6</v>
      </c>
      <c r="D1260" s="116">
        <v>490</v>
      </c>
      <c r="E1260" s="116">
        <v>500</v>
      </c>
      <c r="F1260" s="116">
        <v>503.6</v>
      </c>
      <c r="G1260">
        <v>3253</v>
      </c>
      <c r="H1260" s="116"/>
      <c r="I1260" s="116"/>
      <c r="L1260" s="170">
        <v>44734</v>
      </c>
      <c r="M1260" s="116">
        <v>503.8</v>
      </c>
      <c r="N1260" s="116">
        <v>507.15</v>
      </c>
      <c r="O1260" s="116">
        <v>490</v>
      </c>
      <c r="P1260" s="116">
        <v>501.15</v>
      </c>
      <c r="Q1260" s="116">
        <v>503.8</v>
      </c>
      <c r="R1260">
        <v>40357</v>
      </c>
    </row>
    <row r="1261" spans="1:18" x14ac:dyDescent="0.25">
      <c r="A1261" s="170">
        <v>44735</v>
      </c>
      <c r="B1261" s="116">
        <v>519</v>
      </c>
      <c r="C1261" s="116">
        <v>512.20000000000005</v>
      </c>
      <c r="D1261" s="116">
        <v>498</v>
      </c>
      <c r="E1261" s="116">
        <v>504.9</v>
      </c>
      <c r="F1261" s="116">
        <v>512.20000000000005</v>
      </c>
      <c r="G1261">
        <v>3383</v>
      </c>
      <c r="H1261" s="116"/>
      <c r="I1261" s="116"/>
      <c r="L1261" s="170">
        <v>44735</v>
      </c>
      <c r="M1261" s="116">
        <v>511.4</v>
      </c>
      <c r="N1261" s="116">
        <v>518.20000000000005</v>
      </c>
      <c r="O1261" s="116">
        <v>497.55</v>
      </c>
      <c r="P1261" s="116">
        <v>506.35</v>
      </c>
      <c r="Q1261" s="116">
        <v>511.4</v>
      </c>
      <c r="R1261">
        <v>78510</v>
      </c>
    </row>
    <row r="1262" spans="1:18" x14ac:dyDescent="0.25">
      <c r="A1262" s="170">
        <v>44736</v>
      </c>
      <c r="B1262" s="116">
        <v>539.25</v>
      </c>
      <c r="C1262" s="116">
        <v>531.85</v>
      </c>
      <c r="D1262" s="116">
        <v>516</v>
      </c>
      <c r="E1262" s="116">
        <v>518.70000000000005</v>
      </c>
      <c r="F1262" s="116">
        <v>531.85</v>
      </c>
      <c r="G1262">
        <v>15846</v>
      </c>
      <c r="H1262" s="116"/>
      <c r="I1262" s="116"/>
      <c r="L1262" s="170">
        <v>44736</v>
      </c>
      <c r="M1262" s="116">
        <v>532.04999999999995</v>
      </c>
      <c r="N1262" s="116">
        <v>540</v>
      </c>
      <c r="O1262" s="116">
        <v>515.6</v>
      </c>
      <c r="P1262" s="116">
        <v>520</v>
      </c>
      <c r="Q1262" s="116">
        <v>532.04999999999995</v>
      </c>
      <c r="R1262">
        <v>201863</v>
      </c>
    </row>
    <row r="1263" spans="1:18" x14ac:dyDescent="0.25">
      <c r="A1263" s="170">
        <v>44739</v>
      </c>
      <c r="B1263" s="116">
        <v>540</v>
      </c>
      <c r="C1263" s="116">
        <v>530</v>
      </c>
      <c r="D1263" s="116">
        <v>527.35</v>
      </c>
      <c r="E1263" s="116">
        <v>539.70000000000005</v>
      </c>
      <c r="F1263" s="116">
        <v>530</v>
      </c>
      <c r="G1263">
        <v>4776</v>
      </c>
      <c r="H1263" s="116"/>
      <c r="I1263" s="116"/>
      <c r="L1263" s="170">
        <v>44739</v>
      </c>
      <c r="M1263" s="116">
        <v>529.15</v>
      </c>
      <c r="N1263" s="116">
        <v>540.54999999999995</v>
      </c>
      <c r="O1263" s="116">
        <v>527</v>
      </c>
      <c r="P1263" s="116">
        <v>533.5</v>
      </c>
      <c r="Q1263" s="116">
        <v>529.15</v>
      </c>
      <c r="R1263">
        <v>89792</v>
      </c>
    </row>
    <row r="1264" spans="1:18" x14ac:dyDescent="0.25">
      <c r="A1264" s="170">
        <v>44740</v>
      </c>
      <c r="B1264" s="116">
        <v>567</v>
      </c>
      <c r="C1264" s="116">
        <v>561</v>
      </c>
      <c r="D1264" s="116">
        <v>524.04999999999995</v>
      </c>
      <c r="E1264" s="116">
        <v>524.04999999999995</v>
      </c>
      <c r="F1264" s="116">
        <v>561</v>
      </c>
      <c r="G1264">
        <v>35411</v>
      </c>
      <c r="H1264" s="116"/>
      <c r="I1264" s="116"/>
      <c r="L1264" s="170">
        <v>44740</v>
      </c>
      <c r="M1264" s="116">
        <v>559.04999999999995</v>
      </c>
      <c r="N1264" s="116">
        <v>566.54999999999995</v>
      </c>
      <c r="O1264" s="116">
        <v>527.79999999999995</v>
      </c>
      <c r="P1264" s="116">
        <v>527.79999999999995</v>
      </c>
      <c r="Q1264" s="116">
        <v>559.04999999999995</v>
      </c>
      <c r="R1264">
        <v>341178</v>
      </c>
    </row>
    <row r="1265" spans="1:18" x14ac:dyDescent="0.25">
      <c r="A1265" s="170">
        <v>44741</v>
      </c>
      <c r="B1265" s="116">
        <v>574.95000000000005</v>
      </c>
      <c r="C1265" s="116">
        <v>549.79999999999995</v>
      </c>
      <c r="D1265" s="116">
        <v>544.45000000000005</v>
      </c>
      <c r="E1265" s="116">
        <v>564</v>
      </c>
      <c r="F1265" s="116">
        <v>549.79999999999995</v>
      </c>
      <c r="G1265">
        <v>32665</v>
      </c>
      <c r="H1265" s="116"/>
      <c r="I1265" s="116"/>
      <c r="L1265" s="170">
        <v>44741</v>
      </c>
      <c r="M1265" s="116">
        <v>549.04999999999995</v>
      </c>
      <c r="N1265" s="116">
        <v>574.75</v>
      </c>
      <c r="O1265" s="116">
        <v>546.70000000000005</v>
      </c>
      <c r="P1265" s="116">
        <v>565.20000000000005</v>
      </c>
      <c r="Q1265" s="116">
        <v>549.04999999999995</v>
      </c>
      <c r="R1265">
        <v>294743</v>
      </c>
    </row>
    <row r="1266" spans="1:18" x14ac:dyDescent="0.25">
      <c r="A1266" s="170">
        <v>44742</v>
      </c>
      <c r="B1266" s="116">
        <v>566</v>
      </c>
      <c r="C1266" s="116">
        <v>552.9</v>
      </c>
      <c r="D1266" s="116">
        <v>550</v>
      </c>
      <c r="E1266" s="116">
        <v>553</v>
      </c>
      <c r="F1266" s="116">
        <v>552.9</v>
      </c>
      <c r="G1266">
        <v>19787</v>
      </c>
      <c r="H1266" s="116"/>
      <c r="I1266" s="116"/>
      <c r="L1266" s="170">
        <v>44742</v>
      </c>
      <c r="M1266" s="116">
        <v>553.20000000000005</v>
      </c>
      <c r="N1266" s="116">
        <v>566.4</v>
      </c>
      <c r="O1266" s="116">
        <v>550</v>
      </c>
      <c r="P1266" s="116">
        <v>553.85</v>
      </c>
      <c r="Q1266" s="116">
        <v>553.20000000000005</v>
      </c>
      <c r="R1266">
        <v>169473</v>
      </c>
    </row>
    <row r="1267" spans="1:18" x14ac:dyDescent="0.25">
      <c r="A1267" s="170">
        <v>44743</v>
      </c>
      <c r="B1267" s="116">
        <v>561.4</v>
      </c>
      <c r="C1267" s="116">
        <v>558.6</v>
      </c>
      <c r="D1267" s="116">
        <v>541.95000000000005</v>
      </c>
      <c r="E1267" s="116">
        <v>554</v>
      </c>
      <c r="F1267" s="116">
        <v>558.6</v>
      </c>
      <c r="G1267">
        <v>7818</v>
      </c>
      <c r="H1267" s="116"/>
      <c r="I1267" s="116"/>
      <c r="L1267" s="170">
        <v>44743</v>
      </c>
      <c r="M1267" s="116">
        <v>558.54999999999995</v>
      </c>
      <c r="N1267" s="116">
        <v>563</v>
      </c>
      <c r="O1267" s="116">
        <v>541.04999999999995</v>
      </c>
      <c r="P1267" s="116">
        <v>555</v>
      </c>
      <c r="Q1267" s="116">
        <v>558.54999999999995</v>
      </c>
      <c r="R1267">
        <v>81772</v>
      </c>
    </row>
    <row r="1268" spans="1:18" x14ac:dyDescent="0.25">
      <c r="A1268" s="170">
        <v>44746</v>
      </c>
      <c r="B1268" s="116">
        <v>568.35</v>
      </c>
      <c r="C1268" s="116">
        <v>557.4</v>
      </c>
      <c r="D1268" s="116">
        <v>553.29999999999995</v>
      </c>
      <c r="E1268" s="116">
        <v>562.45000000000005</v>
      </c>
      <c r="F1268" s="116">
        <v>557.4</v>
      </c>
      <c r="G1268">
        <v>12432</v>
      </c>
      <c r="H1268" s="116"/>
      <c r="I1268" s="116"/>
      <c r="L1268" s="170">
        <v>44746</v>
      </c>
      <c r="M1268" s="116">
        <v>559.15</v>
      </c>
      <c r="N1268" s="116">
        <v>569.45000000000005</v>
      </c>
      <c r="O1268" s="116">
        <v>554.1</v>
      </c>
      <c r="P1268" s="116">
        <v>555</v>
      </c>
      <c r="Q1268" s="116">
        <v>559.15</v>
      </c>
      <c r="R1268">
        <v>64722</v>
      </c>
    </row>
    <row r="1269" spans="1:18" x14ac:dyDescent="0.25">
      <c r="A1269" s="170">
        <v>44747</v>
      </c>
      <c r="B1269" s="116">
        <v>617.1</v>
      </c>
      <c r="C1269" s="116">
        <v>585.5</v>
      </c>
      <c r="D1269" s="116">
        <v>555.04999999999995</v>
      </c>
      <c r="E1269" s="116">
        <v>555.04999999999995</v>
      </c>
      <c r="F1269" s="116">
        <v>585.5</v>
      </c>
      <c r="G1269">
        <v>77682</v>
      </c>
      <c r="H1269" s="116"/>
      <c r="I1269" s="116"/>
      <c r="L1269" s="170">
        <v>44747</v>
      </c>
      <c r="M1269" s="116">
        <v>585.54999999999995</v>
      </c>
      <c r="N1269" s="116">
        <v>617.70000000000005</v>
      </c>
      <c r="O1269" s="116">
        <v>558.79999999999995</v>
      </c>
      <c r="P1269" s="116">
        <v>565</v>
      </c>
      <c r="Q1269" s="116">
        <v>585.54999999999995</v>
      </c>
      <c r="R1269">
        <v>1186095</v>
      </c>
    </row>
    <row r="1270" spans="1:18" x14ac:dyDescent="0.25">
      <c r="A1270" s="170">
        <v>44748</v>
      </c>
      <c r="B1270" s="116">
        <v>610</v>
      </c>
      <c r="C1270" s="116">
        <v>598.75</v>
      </c>
      <c r="D1270" s="116">
        <v>587.65</v>
      </c>
      <c r="E1270" s="116">
        <v>598</v>
      </c>
      <c r="F1270" s="116">
        <v>598.75</v>
      </c>
      <c r="G1270">
        <v>33842</v>
      </c>
      <c r="H1270" s="116"/>
      <c r="I1270" s="116"/>
      <c r="L1270" s="170">
        <v>44748</v>
      </c>
      <c r="M1270" s="116">
        <v>598.54999999999995</v>
      </c>
      <c r="N1270" s="116">
        <v>610</v>
      </c>
      <c r="O1270" s="116">
        <v>586.4</v>
      </c>
      <c r="P1270" s="116">
        <v>594.79999999999995</v>
      </c>
      <c r="Q1270" s="116">
        <v>598.54999999999995</v>
      </c>
      <c r="R1270">
        <v>355369</v>
      </c>
    </row>
    <row r="1271" spans="1:18" x14ac:dyDescent="0.25">
      <c r="A1271" s="170">
        <v>44749</v>
      </c>
      <c r="B1271" s="116">
        <v>611</v>
      </c>
      <c r="C1271" s="116">
        <v>601.15</v>
      </c>
      <c r="D1271" s="116">
        <v>587.6</v>
      </c>
      <c r="E1271" s="116">
        <v>600.20000000000005</v>
      </c>
      <c r="F1271" s="116">
        <v>601.15</v>
      </c>
      <c r="G1271">
        <v>28887</v>
      </c>
      <c r="H1271" s="116"/>
      <c r="I1271" s="116"/>
      <c r="L1271" s="170">
        <v>44749</v>
      </c>
      <c r="M1271" s="116">
        <v>600.45000000000005</v>
      </c>
      <c r="N1271" s="116">
        <v>611</v>
      </c>
      <c r="O1271" s="116">
        <v>586.29999999999995</v>
      </c>
      <c r="P1271" s="116">
        <v>601.4</v>
      </c>
      <c r="Q1271" s="116">
        <v>600.45000000000005</v>
      </c>
      <c r="R1271">
        <v>233634</v>
      </c>
    </row>
    <row r="1272" spans="1:18" x14ac:dyDescent="0.25">
      <c r="A1272" s="170">
        <v>44750</v>
      </c>
      <c r="B1272" s="116">
        <v>609.54999999999995</v>
      </c>
      <c r="C1272" s="116">
        <v>576.54999999999995</v>
      </c>
      <c r="D1272" s="116">
        <v>572</v>
      </c>
      <c r="E1272" s="116">
        <v>600.20000000000005</v>
      </c>
      <c r="F1272" s="116">
        <v>576.54999999999995</v>
      </c>
      <c r="G1272">
        <v>33637</v>
      </c>
      <c r="H1272" s="116"/>
      <c r="I1272" s="116"/>
      <c r="L1272" s="170">
        <v>44750</v>
      </c>
      <c r="M1272" s="116">
        <v>577.1</v>
      </c>
      <c r="N1272" s="116">
        <v>608.9</v>
      </c>
      <c r="O1272" s="116">
        <v>572</v>
      </c>
      <c r="P1272" s="116">
        <v>604</v>
      </c>
      <c r="Q1272" s="116">
        <v>577.1</v>
      </c>
      <c r="R1272">
        <v>218363</v>
      </c>
    </row>
    <row r="1273" spans="1:18" x14ac:dyDescent="0.25">
      <c r="A1273" s="170">
        <v>44753</v>
      </c>
      <c r="B1273" s="116">
        <v>618.29999999999995</v>
      </c>
      <c r="C1273" s="116">
        <v>614.35</v>
      </c>
      <c r="D1273" s="116">
        <v>577.5</v>
      </c>
      <c r="E1273" s="116">
        <v>579</v>
      </c>
      <c r="F1273" s="116">
        <v>614.35</v>
      </c>
      <c r="G1273">
        <v>27792</v>
      </c>
      <c r="H1273" s="116"/>
      <c r="I1273" s="116"/>
      <c r="L1273" s="170">
        <v>44753</v>
      </c>
      <c r="M1273" s="116">
        <v>613.85</v>
      </c>
      <c r="N1273" s="116">
        <v>618.79999999999995</v>
      </c>
      <c r="O1273" s="116">
        <v>575.04999999999995</v>
      </c>
      <c r="P1273" s="116">
        <v>579.79999999999995</v>
      </c>
      <c r="Q1273" s="116">
        <v>613.85</v>
      </c>
      <c r="R1273">
        <v>383239</v>
      </c>
    </row>
    <row r="1274" spans="1:18" x14ac:dyDescent="0.25">
      <c r="A1274" s="170">
        <v>44754</v>
      </c>
      <c r="B1274" s="116">
        <v>625.70000000000005</v>
      </c>
      <c r="C1274" s="116">
        <v>603.5</v>
      </c>
      <c r="D1274" s="116">
        <v>598.5</v>
      </c>
      <c r="E1274" s="116">
        <v>615</v>
      </c>
      <c r="F1274" s="116">
        <v>603.5</v>
      </c>
      <c r="G1274">
        <v>36397</v>
      </c>
      <c r="H1274" s="116"/>
      <c r="I1274" s="116"/>
      <c r="L1274" s="170">
        <v>44754</v>
      </c>
      <c r="M1274" s="116">
        <v>602.95000000000005</v>
      </c>
      <c r="N1274" s="116">
        <v>626.4</v>
      </c>
      <c r="O1274" s="116">
        <v>599.5</v>
      </c>
      <c r="P1274" s="116">
        <v>616</v>
      </c>
      <c r="Q1274" s="116">
        <v>602.95000000000005</v>
      </c>
      <c r="R1274">
        <v>279639</v>
      </c>
    </row>
    <row r="1275" spans="1:18" x14ac:dyDescent="0.25">
      <c r="A1275" s="170">
        <v>44755</v>
      </c>
      <c r="B1275" s="116">
        <v>609</v>
      </c>
      <c r="C1275" s="116">
        <v>593.35</v>
      </c>
      <c r="D1275" s="116">
        <v>583</v>
      </c>
      <c r="E1275" s="116">
        <v>606.29999999999995</v>
      </c>
      <c r="F1275" s="116">
        <v>593.35</v>
      </c>
      <c r="G1275">
        <v>18862</v>
      </c>
      <c r="H1275" s="116"/>
      <c r="I1275" s="116"/>
      <c r="L1275" s="170">
        <v>44755</v>
      </c>
      <c r="M1275" s="116">
        <v>594.25</v>
      </c>
      <c r="N1275" s="116">
        <v>609.4</v>
      </c>
      <c r="O1275" s="116">
        <v>582.95000000000005</v>
      </c>
      <c r="P1275" s="116">
        <v>605</v>
      </c>
      <c r="Q1275" s="116">
        <v>594.25</v>
      </c>
      <c r="R1275">
        <v>157995</v>
      </c>
    </row>
    <row r="1276" spans="1:18" x14ac:dyDescent="0.25">
      <c r="A1276" s="170">
        <v>44756</v>
      </c>
      <c r="B1276" s="116">
        <v>598.4</v>
      </c>
      <c r="C1276" s="116">
        <v>586.1</v>
      </c>
      <c r="D1276" s="116">
        <v>580</v>
      </c>
      <c r="E1276" s="116">
        <v>597</v>
      </c>
      <c r="F1276" s="116">
        <v>586.1</v>
      </c>
      <c r="G1276">
        <v>9162</v>
      </c>
      <c r="H1276" s="116"/>
      <c r="I1276" s="116"/>
      <c r="L1276" s="170">
        <v>44756</v>
      </c>
      <c r="M1276" s="116">
        <v>587.15</v>
      </c>
      <c r="N1276" s="116">
        <v>598.95000000000005</v>
      </c>
      <c r="O1276" s="116">
        <v>580.1</v>
      </c>
      <c r="P1276" s="116">
        <v>597</v>
      </c>
      <c r="Q1276" s="116">
        <v>587.15</v>
      </c>
      <c r="R1276">
        <v>160076</v>
      </c>
    </row>
    <row r="1277" spans="1:18" x14ac:dyDescent="0.25">
      <c r="A1277" s="170">
        <v>44757</v>
      </c>
      <c r="B1277" s="116">
        <v>611</v>
      </c>
      <c r="C1277" s="116">
        <v>608.6</v>
      </c>
      <c r="D1277" s="116">
        <v>587.4</v>
      </c>
      <c r="E1277" s="116">
        <v>590.4</v>
      </c>
      <c r="F1277" s="116">
        <v>608.6</v>
      </c>
      <c r="G1277">
        <v>10267</v>
      </c>
      <c r="H1277" s="116"/>
      <c r="I1277" s="116"/>
      <c r="L1277" s="170">
        <v>44757</v>
      </c>
      <c r="M1277" s="116">
        <v>608.04999999999995</v>
      </c>
      <c r="N1277" s="116">
        <v>611.1</v>
      </c>
      <c r="O1277" s="116">
        <v>587.15</v>
      </c>
      <c r="P1277" s="116">
        <v>588.5</v>
      </c>
      <c r="Q1277" s="116">
        <v>608.04999999999995</v>
      </c>
      <c r="R1277">
        <v>165284</v>
      </c>
    </row>
    <row r="1278" spans="1:18" x14ac:dyDescent="0.25">
      <c r="A1278" s="170">
        <v>44760</v>
      </c>
      <c r="B1278" s="116">
        <v>660</v>
      </c>
      <c r="C1278" s="116">
        <v>654.04999999999995</v>
      </c>
      <c r="D1278" s="116">
        <v>611.70000000000005</v>
      </c>
      <c r="E1278" s="116">
        <v>614.70000000000005</v>
      </c>
      <c r="F1278" s="116">
        <v>654.04999999999995</v>
      </c>
      <c r="G1278">
        <v>103525</v>
      </c>
      <c r="H1278" s="116"/>
      <c r="I1278" s="116"/>
      <c r="L1278" s="170">
        <v>44760</v>
      </c>
      <c r="M1278" s="116">
        <v>654.45000000000005</v>
      </c>
      <c r="N1278" s="116">
        <v>661</v>
      </c>
      <c r="O1278" s="116">
        <v>612</v>
      </c>
      <c r="P1278" s="116">
        <v>612</v>
      </c>
      <c r="Q1278" s="116">
        <v>654.45000000000005</v>
      </c>
      <c r="R1278">
        <v>1216398</v>
      </c>
    </row>
    <row r="1279" spans="1:18" x14ac:dyDescent="0.25">
      <c r="A1279" s="170">
        <v>44761</v>
      </c>
      <c r="B1279" s="116">
        <v>672</v>
      </c>
      <c r="C1279" s="116">
        <v>644.25</v>
      </c>
      <c r="D1279" s="116">
        <v>640.15</v>
      </c>
      <c r="E1279" s="116">
        <v>666</v>
      </c>
      <c r="F1279" s="116">
        <v>644.25</v>
      </c>
      <c r="G1279">
        <v>36689</v>
      </c>
      <c r="H1279" s="116"/>
      <c r="I1279" s="116"/>
      <c r="L1279" s="170">
        <v>44761</v>
      </c>
      <c r="M1279" s="116">
        <v>645.20000000000005</v>
      </c>
      <c r="N1279" s="116">
        <v>671.5</v>
      </c>
      <c r="O1279" s="116">
        <v>641.20000000000005</v>
      </c>
      <c r="P1279" s="116">
        <v>661</v>
      </c>
      <c r="Q1279" s="116">
        <v>645.20000000000005</v>
      </c>
      <c r="R1279">
        <v>763406</v>
      </c>
    </row>
    <row r="1280" spans="1:18" x14ac:dyDescent="0.25">
      <c r="A1280" s="170">
        <v>44762</v>
      </c>
      <c r="B1280" s="116">
        <v>653.20000000000005</v>
      </c>
      <c r="C1280" s="116">
        <v>636.75</v>
      </c>
      <c r="D1280" s="116">
        <v>629.20000000000005</v>
      </c>
      <c r="E1280" s="116">
        <v>653.20000000000005</v>
      </c>
      <c r="F1280" s="116">
        <v>636.75</v>
      </c>
      <c r="G1280">
        <v>17540</v>
      </c>
      <c r="H1280" s="116"/>
      <c r="I1280" s="116"/>
      <c r="L1280" s="170">
        <v>44762</v>
      </c>
      <c r="M1280" s="116">
        <v>637.54999999999995</v>
      </c>
      <c r="N1280" s="116">
        <v>653.5</v>
      </c>
      <c r="O1280" s="116">
        <v>628.15</v>
      </c>
      <c r="P1280" s="116">
        <v>653.5</v>
      </c>
      <c r="Q1280" s="116">
        <v>637.54999999999995</v>
      </c>
      <c r="R1280">
        <v>220010</v>
      </c>
    </row>
    <row r="1281" spans="1:18" x14ac:dyDescent="0.25">
      <c r="A1281" s="170">
        <v>44763</v>
      </c>
      <c r="B1281" s="116">
        <v>648.65</v>
      </c>
      <c r="C1281" s="116">
        <v>637.1</v>
      </c>
      <c r="D1281" s="116">
        <v>631.70000000000005</v>
      </c>
      <c r="E1281" s="116">
        <v>634.54999999999995</v>
      </c>
      <c r="F1281" s="116">
        <v>637.1</v>
      </c>
      <c r="G1281">
        <v>11585</v>
      </c>
      <c r="H1281" s="116"/>
      <c r="I1281" s="116"/>
      <c r="L1281" s="170">
        <v>44763</v>
      </c>
      <c r="M1281" s="116">
        <v>637.25</v>
      </c>
      <c r="N1281" s="116">
        <v>648.79999999999995</v>
      </c>
      <c r="O1281" s="116">
        <v>631.95000000000005</v>
      </c>
      <c r="P1281" s="116">
        <v>635.5</v>
      </c>
      <c r="Q1281" s="116">
        <v>637.25</v>
      </c>
      <c r="R1281">
        <v>175652</v>
      </c>
    </row>
    <row r="1282" spans="1:18" x14ac:dyDescent="0.25">
      <c r="A1282" s="170">
        <v>44764</v>
      </c>
      <c r="B1282" s="116">
        <v>648.35</v>
      </c>
      <c r="C1282" s="116">
        <v>630.65</v>
      </c>
      <c r="D1282" s="116">
        <v>627.04999999999995</v>
      </c>
      <c r="E1282" s="116">
        <v>641.04999999999995</v>
      </c>
      <c r="F1282" s="116">
        <v>630.65</v>
      </c>
      <c r="G1282">
        <v>8251</v>
      </c>
      <c r="H1282" s="116"/>
      <c r="I1282" s="116"/>
      <c r="L1282" s="170">
        <v>44764</v>
      </c>
      <c r="M1282" s="116">
        <v>630</v>
      </c>
      <c r="N1282" s="116">
        <v>649.70000000000005</v>
      </c>
      <c r="O1282" s="116">
        <v>627</v>
      </c>
      <c r="P1282" s="116">
        <v>643</v>
      </c>
      <c r="Q1282" s="116">
        <v>630</v>
      </c>
      <c r="R1282">
        <v>127278</v>
      </c>
    </row>
    <row r="1283" spans="1:18" x14ac:dyDescent="0.25">
      <c r="A1283" s="170">
        <v>44767</v>
      </c>
      <c r="B1283" s="116">
        <v>659</v>
      </c>
      <c r="C1283" s="116">
        <v>649.35</v>
      </c>
      <c r="D1283" s="116">
        <v>627</v>
      </c>
      <c r="E1283" s="116">
        <v>627</v>
      </c>
      <c r="F1283" s="116">
        <v>649.35</v>
      </c>
      <c r="G1283">
        <v>41666</v>
      </c>
      <c r="H1283" s="116"/>
      <c r="I1283" s="116"/>
      <c r="L1283" s="170">
        <v>44767</v>
      </c>
      <c r="M1283" s="116">
        <v>649.4</v>
      </c>
      <c r="N1283" s="116">
        <v>659</v>
      </c>
      <c r="O1283" s="116">
        <v>628</v>
      </c>
      <c r="P1283" s="116">
        <v>630</v>
      </c>
      <c r="Q1283" s="116">
        <v>649.4</v>
      </c>
      <c r="R1283">
        <v>373327</v>
      </c>
    </row>
    <row r="1284" spans="1:18" x14ac:dyDescent="0.25">
      <c r="A1284" s="170">
        <v>44768</v>
      </c>
      <c r="B1284" s="116">
        <v>660</v>
      </c>
      <c r="C1284" s="116">
        <v>635.45000000000005</v>
      </c>
      <c r="D1284" s="116">
        <v>632.04999999999995</v>
      </c>
      <c r="E1284" s="116">
        <v>659</v>
      </c>
      <c r="F1284" s="116">
        <v>635.45000000000005</v>
      </c>
      <c r="G1284">
        <v>11347</v>
      </c>
      <c r="H1284" s="116"/>
      <c r="I1284" s="116"/>
      <c r="L1284" s="170">
        <v>44768</v>
      </c>
      <c r="M1284" s="116">
        <v>636.45000000000005</v>
      </c>
      <c r="N1284" s="116">
        <v>660</v>
      </c>
      <c r="O1284" s="116">
        <v>632.5</v>
      </c>
      <c r="P1284" s="116">
        <v>658</v>
      </c>
      <c r="Q1284" s="116">
        <v>636.45000000000005</v>
      </c>
      <c r="R1284">
        <v>250511</v>
      </c>
    </row>
    <row r="1285" spans="1:18" x14ac:dyDescent="0.25">
      <c r="A1285" s="170">
        <v>44769</v>
      </c>
      <c r="B1285" s="116">
        <v>637.29999999999995</v>
      </c>
      <c r="C1285" s="116">
        <v>624.35</v>
      </c>
      <c r="D1285" s="116">
        <v>619.29999999999995</v>
      </c>
      <c r="E1285" s="116">
        <v>637</v>
      </c>
      <c r="F1285" s="116">
        <v>624.35</v>
      </c>
      <c r="G1285">
        <v>6261</v>
      </c>
      <c r="H1285" s="116"/>
      <c r="I1285" s="116"/>
      <c r="L1285" s="170">
        <v>44769</v>
      </c>
      <c r="M1285" s="116">
        <v>623.70000000000005</v>
      </c>
      <c r="N1285" s="116">
        <v>637.9</v>
      </c>
      <c r="O1285" s="116">
        <v>620.04999999999995</v>
      </c>
      <c r="P1285" s="116">
        <v>631</v>
      </c>
      <c r="Q1285" s="116">
        <v>623.70000000000005</v>
      </c>
      <c r="R1285">
        <v>87659</v>
      </c>
    </row>
    <row r="1286" spans="1:18" x14ac:dyDescent="0.25">
      <c r="A1286" s="170">
        <v>44770</v>
      </c>
      <c r="B1286" s="116">
        <v>640.1</v>
      </c>
      <c r="C1286" s="116">
        <v>629</v>
      </c>
      <c r="D1286" s="116">
        <v>616.04999999999995</v>
      </c>
      <c r="E1286" s="116">
        <v>616.04999999999995</v>
      </c>
      <c r="F1286" s="116">
        <v>629</v>
      </c>
      <c r="G1286">
        <v>13339</v>
      </c>
      <c r="H1286" s="116"/>
      <c r="I1286" s="116"/>
      <c r="L1286" s="170">
        <v>44770</v>
      </c>
      <c r="M1286" s="116">
        <v>629.1</v>
      </c>
      <c r="N1286" s="116">
        <v>640</v>
      </c>
      <c r="O1286" s="116">
        <v>627.5</v>
      </c>
      <c r="P1286" s="116">
        <v>627.85</v>
      </c>
      <c r="Q1286" s="116">
        <v>629.1</v>
      </c>
      <c r="R1286">
        <v>127012</v>
      </c>
    </row>
    <row r="1287" spans="1:18" x14ac:dyDescent="0.25">
      <c r="A1287" s="170">
        <v>44771</v>
      </c>
      <c r="B1287" s="116">
        <v>637</v>
      </c>
      <c r="C1287" s="116">
        <v>618.79999999999995</v>
      </c>
      <c r="D1287" s="116">
        <v>616.70000000000005</v>
      </c>
      <c r="E1287" s="116">
        <v>635.5</v>
      </c>
      <c r="F1287" s="116">
        <v>618.79999999999995</v>
      </c>
      <c r="G1287">
        <v>9875</v>
      </c>
      <c r="H1287" s="116"/>
      <c r="I1287" s="116"/>
      <c r="L1287" s="170">
        <v>44771</v>
      </c>
      <c r="M1287" s="116">
        <v>618.75</v>
      </c>
      <c r="N1287" s="116">
        <v>636.25</v>
      </c>
      <c r="O1287" s="116">
        <v>616.54999999999995</v>
      </c>
      <c r="P1287" s="116">
        <v>635</v>
      </c>
      <c r="Q1287" s="116">
        <v>618.75</v>
      </c>
      <c r="R1287">
        <v>122945</v>
      </c>
    </row>
    <row r="1288" spans="1:18" x14ac:dyDescent="0.25">
      <c r="A1288" s="170">
        <v>44774</v>
      </c>
      <c r="B1288" s="116">
        <v>641.25</v>
      </c>
      <c r="C1288" s="116">
        <v>626.79999999999995</v>
      </c>
      <c r="D1288" s="116">
        <v>616.4</v>
      </c>
      <c r="E1288" s="116">
        <v>616.4</v>
      </c>
      <c r="F1288" s="116">
        <v>626.79999999999995</v>
      </c>
      <c r="G1288">
        <v>25321</v>
      </c>
      <c r="H1288" s="116"/>
      <c r="I1288" s="116"/>
      <c r="L1288" s="170">
        <v>44774</v>
      </c>
      <c r="M1288" s="116">
        <v>628.25</v>
      </c>
      <c r="N1288" s="116">
        <v>641</v>
      </c>
      <c r="O1288" s="116">
        <v>621.85</v>
      </c>
      <c r="P1288" s="116">
        <v>621.85</v>
      </c>
      <c r="Q1288" s="116">
        <v>628.25</v>
      </c>
      <c r="R1288">
        <v>235925</v>
      </c>
    </row>
    <row r="1289" spans="1:18" x14ac:dyDescent="0.25">
      <c r="A1289" s="170">
        <v>44775</v>
      </c>
      <c r="B1289" s="116">
        <v>644.4</v>
      </c>
      <c r="C1289" s="116">
        <v>639.79999999999995</v>
      </c>
      <c r="D1289" s="116">
        <v>627.54999999999995</v>
      </c>
      <c r="E1289" s="116">
        <v>644.4</v>
      </c>
      <c r="F1289" s="116">
        <v>639.79999999999995</v>
      </c>
      <c r="G1289">
        <v>10623</v>
      </c>
      <c r="H1289" s="116"/>
      <c r="I1289" s="116"/>
      <c r="L1289" s="170">
        <v>44775</v>
      </c>
      <c r="M1289" s="116">
        <v>639.5</v>
      </c>
      <c r="N1289" s="116">
        <v>644.9</v>
      </c>
      <c r="O1289" s="116">
        <v>627.1</v>
      </c>
      <c r="P1289" s="116">
        <v>627.1</v>
      </c>
      <c r="Q1289" s="116">
        <v>639.5</v>
      </c>
      <c r="R1289">
        <v>228505</v>
      </c>
    </row>
    <row r="1290" spans="1:18" x14ac:dyDescent="0.25">
      <c r="A1290" s="170">
        <v>44776</v>
      </c>
      <c r="B1290" s="116">
        <v>643.35</v>
      </c>
      <c r="C1290" s="116">
        <v>628.45000000000005</v>
      </c>
      <c r="D1290" s="116">
        <v>619.95000000000005</v>
      </c>
      <c r="E1290" s="116">
        <v>640</v>
      </c>
      <c r="F1290" s="116">
        <v>628.45000000000005</v>
      </c>
      <c r="G1290">
        <v>17819</v>
      </c>
      <c r="H1290" s="116"/>
      <c r="I1290" s="116"/>
      <c r="L1290" s="170">
        <v>44776</v>
      </c>
      <c r="M1290" s="116">
        <v>628.25</v>
      </c>
      <c r="N1290" s="116">
        <v>642.5</v>
      </c>
      <c r="O1290" s="116">
        <v>620.1</v>
      </c>
      <c r="P1290" s="116">
        <v>640.79999999999995</v>
      </c>
      <c r="Q1290" s="116">
        <v>628.25</v>
      </c>
      <c r="R1290">
        <v>185467</v>
      </c>
    </row>
    <row r="1291" spans="1:18" x14ac:dyDescent="0.25">
      <c r="A1291" s="170">
        <v>44777</v>
      </c>
      <c r="B1291" s="116">
        <v>633.65</v>
      </c>
      <c r="C1291" s="116">
        <v>617.15</v>
      </c>
      <c r="D1291" s="116">
        <v>608.45000000000005</v>
      </c>
      <c r="E1291" s="116">
        <v>626.29999999999995</v>
      </c>
      <c r="F1291" s="116">
        <v>617.15</v>
      </c>
      <c r="G1291">
        <v>23309</v>
      </c>
      <c r="H1291" s="116"/>
      <c r="I1291" s="116"/>
      <c r="L1291" s="170">
        <v>44777</v>
      </c>
      <c r="M1291" s="116">
        <v>617.70000000000005</v>
      </c>
      <c r="N1291" s="116">
        <v>633.35</v>
      </c>
      <c r="O1291" s="116">
        <v>606.65</v>
      </c>
      <c r="P1291" s="116">
        <v>629</v>
      </c>
      <c r="Q1291" s="116">
        <v>617.70000000000005</v>
      </c>
      <c r="R1291">
        <v>183074</v>
      </c>
    </row>
    <row r="1292" spans="1:18" x14ac:dyDescent="0.25">
      <c r="A1292" s="170">
        <v>44778</v>
      </c>
      <c r="B1292" s="116">
        <v>627.45000000000005</v>
      </c>
      <c r="C1292" s="116">
        <v>617.15</v>
      </c>
      <c r="D1292" s="116">
        <v>611.85</v>
      </c>
      <c r="E1292" s="116">
        <v>627.45000000000005</v>
      </c>
      <c r="F1292" s="116">
        <v>617.15</v>
      </c>
      <c r="G1292">
        <v>10899</v>
      </c>
      <c r="H1292" s="116"/>
      <c r="I1292" s="116"/>
      <c r="L1292" s="170">
        <v>44778</v>
      </c>
      <c r="M1292" s="116">
        <v>615.20000000000005</v>
      </c>
      <c r="N1292" s="116">
        <v>626.4</v>
      </c>
      <c r="O1292" s="116">
        <v>611.9</v>
      </c>
      <c r="P1292" s="116">
        <v>621.95000000000005</v>
      </c>
      <c r="Q1292" s="116">
        <v>615.20000000000005</v>
      </c>
      <c r="R1292">
        <v>117355</v>
      </c>
    </row>
    <row r="1293" spans="1:18" x14ac:dyDescent="0.25">
      <c r="A1293" s="170">
        <v>44781</v>
      </c>
      <c r="B1293" s="116">
        <v>643.85</v>
      </c>
      <c r="C1293" s="116">
        <v>636.25</v>
      </c>
      <c r="D1293" s="116">
        <v>607.04999999999995</v>
      </c>
      <c r="E1293" s="116">
        <v>608.4</v>
      </c>
      <c r="F1293" s="116">
        <v>636.25</v>
      </c>
      <c r="G1293">
        <v>21936</v>
      </c>
      <c r="H1293" s="116"/>
      <c r="I1293" s="116"/>
      <c r="L1293" s="170">
        <v>44781</v>
      </c>
      <c r="M1293" s="116">
        <v>636.25</v>
      </c>
      <c r="N1293" s="116">
        <v>644.65</v>
      </c>
      <c r="O1293" s="116">
        <v>607.15</v>
      </c>
      <c r="P1293" s="116">
        <v>614.9</v>
      </c>
      <c r="Q1293" s="116">
        <v>636.25</v>
      </c>
      <c r="R1293">
        <v>231090</v>
      </c>
    </row>
    <row r="1294" spans="1:18" x14ac:dyDescent="0.25">
      <c r="A1294" s="170">
        <v>44783</v>
      </c>
      <c r="B1294" s="116">
        <v>625</v>
      </c>
      <c r="C1294" s="116">
        <v>598</v>
      </c>
      <c r="D1294" s="116">
        <v>582.1</v>
      </c>
      <c r="E1294" s="116">
        <v>609.65</v>
      </c>
      <c r="F1294" s="116">
        <v>598</v>
      </c>
      <c r="G1294">
        <v>62188</v>
      </c>
      <c r="H1294" s="116"/>
      <c r="I1294" s="116"/>
      <c r="L1294" s="170">
        <v>44783</v>
      </c>
      <c r="M1294" s="116">
        <v>597.85</v>
      </c>
      <c r="N1294" s="116">
        <v>626.95000000000005</v>
      </c>
      <c r="O1294" s="116">
        <v>583</v>
      </c>
      <c r="P1294" s="116">
        <v>626.95000000000005</v>
      </c>
      <c r="Q1294" s="116">
        <v>597.85</v>
      </c>
      <c r="R1294">
        <v>565613</v>
      </c>
    </row>
    <row r="1295" spans="1:18" x14ac:dyDescent="0.25">
      <c r="A1295" s="170">
        <v>44784</v>
      </c>
      <c r="B1295" s="116">
        <v>609.85</v>
      </c>
      <c r="C1295" s="116">
        <v>600.04999999999995</v>
      </c>
      <c r="D1295" s="116">
        <v>597.25</v>
      </c>
      <c r="E1295" s="116">
        <v>609.85</v>
      </c>
      <c r="F1295" s="116">
        <v>600.04999999999995</v>
      </c>
      <c r="G1295">
        <v>22381</v>
      </c>
      <c r="H1295" s="116"/>
      <c r="I1295" s="116"/>
      <c r="L1295" s="170">
        <v>44784</v>
      </c>
      <c r="M1295" s="116">
        <v>600.5</v>
      </c>
      <c r="N1295" s="116">
        <v>609.5</v>
      </c>
      <c r="O1295" s="116">
        <v>597.20000000000005</v>
      </c>
      <c r="P1295" s="116">
        <v>600</v>
      </c>
      <c r="Q1295" s="116">
        <v>600.5</v>
      </c>
      <c r="R1295">
        <v>136135</v>
      </c>
    </row>
    <row r="1296" spans="1:18" x14ac:dyDescent="0.25">
      <c r="A1296" s="170">
        <v>44785</v>
      </c>
      <c r="B1296" s="116">
        <v>616.5</v>
      </c>
      <c r="C1296" s="116">
        <v>611.65</v>
      </c>
      <c r="D1296" s="116">
        <v>593.45000000000005</v>
      </c>
      <c r="E1296" s="116">
        <v>602</v>
      </c>
      <c r="F1296" s="116">
        <v>611.65</v>
      </c>
      <c r="G1296">
        <v>11175</v>
      </c>
      <c r="H1296" s="116"/>
      <c r="I1296" s="116"/>
      <c r="L1296" s="170">
        <v>44785</v>
      </c>
      <c r="M1296" s="116">
        <v>612.79999999999995</v>
      </c>
      <c r="N1296" s="116">
        <v>616.9</v>
      </c>
      <c r="O1296" s="116">
        <v>592.9</v>
      </c>
      <c r="P1296" s="116">
        <v>603.04999999999995</v>
      </c>
      <c r="Q1296" s="116">
        <v>612.79999999999995</v>
      </c>
      <c r="R1296">
        <v>233002</v>
      </c>
    </row>
    <row r="1297" spans="1:18" x14ac:dyDescent="0.25">
      <c r="A1297" s="170">
        <v>44789</v>
      </c>
      <c r="B1297" s="116">
        <v>619.35</v>
      </c>
      <c r="C1297" s="116">
        <v>600.35</v>
      </c>
      <c r="D1297" s="116">
        <v>599</v>
      </c>
      <c r="E1297" s="116">
        <v>615.75</v>
      </c>
      <c r="F1297" s="116">
        <v>600.35</v>
      </c>
      <c r="G1297">
        <v>5655</v>
      </c>
      <c r="H1297" s="116"/>
      <c r="I1297" s="116"/>
      <c r="L1297" s="170">
        <v>44789</v>
      </c>
      <c r="M1297" s="116">
        <v>600.20000000000005</v>
      </c>
      <c r="N1297" s="116">
        <v>618.75</v>
      </c>
      <c r="O1297" s="116">
        <v>598</v>
      </c>
      <c r="P1297" s="116">
        <v>614.45000000000005</v>
      </c>
      <c r="Q1297" s="116">
        <v>600.20000000000005</v>
      </c>
      <c r="R1297">
        <v>69113</v>
      </c>
    </row>
    <row r="1298" spans="1:18" x14ac:dyDescent="0.25">
      <c r="A1298" s="170">
        <v>44790</v>
      </c>
      <c r="B1298" s="116">
        <v>606.45000000000005</v>
      </c>
      <c r="C1298" s="116">
        <v>596.15</v>
      </c>
      <c r="D1298" s="116">
        <v>590.29999999999995</v>
      </c>
      <c r="E1298" s="116">
        <v>590.29999999999995</v>
      </c>
      <c r="F1298" s="116">
        <v>596.15</v>
      </c>
      <c r="G1298">
        <v>9959</v>
      </c>
      <c r="H1298" s="116"/>
      <c r="I1298" s="116"/>
      <c r="L1298" s="170">
        <v>44790</v>
      </c>
      <c r="M1298" s="116">
        <v>597</v>
      </c>
      <c r="N1298" s="116">
        <v>606.1</v>
      </c>
      <c r="O1298" s="116">
        <v>594.04999999999995</v>
      </c>
      <c r="P1298" s="116">
        <v>599.85</v>
      </c>
      <c r="Q1298" s="116">
        <v>597</v>
      </c>
      <c r="R1298">
        <v>57025</v>
      </c>
    </row>
    <row r="1299" spans="1:18" x14ac:dyDescent="0.25">
      <c r="A1299" s="170">
        <v>44791</v>
      </c>
      <c r="B1299" s="116">
        <v>615.1</v>
      </c>
      <c r="C1299" s="116">
        <v>600.20000000000005</v>
      </c>
      <c r="D1299" s="116">
        <v>596.29999999999995</v>
      </c>
      <c r="E1299" s="116">
        <v>597.45000000000005</v>
      </c>
      <c r="F1299" s="116">
        <v>600.20000000000005</v>
      </c>
      <c r="G1299">
        <v>7575</v>
      </c>
      <c r="H1299" s="116"/>
      <c r="I1299" s="116"/>
      <c r="L1299" s="170">
        <v>44791</v>
      </c>
      <c r="M1299" s="116">
        <v>599.4</v>
      </c>
      <c r="N1299" s="116">
        <v>616.5</v>
      </c>
      <c r="O1299" s="116">
        <v>595.20000000000005</v>
      </c>
      <c r="P1299" s="116">
        <v>597</v>
      </c>
      <c r="Q1299" s="116">
        <v>599.4</v>
      </c>
      <c r="R1299">
        <v>147112</v>
      </c>
    </row>
    <row r="1300" spans="1:18" x14ac:dyDescent="0.25">
      <c r="A1300" s="170">
        <v>44792</v>
      </c>
      <c r="B1300" s="116">
        <v>601.95000000000005</v>
      </c>
      <c r="C1300" s="116">
        <v>584.9</v>
      </c>
      <c r="D1300" s="116">
        <v>584.1</v>
      </c>
      <c r="E1300" s="116">
        <v>600.75</v>
      </c>
      <c r="F1300" s="116">
        <v>584.9</v>
      </c>
      <c r="G1300">
        <v>18601</v>
      </c>
      <c r="H1300" s="116"/>
      <c r="I1300" s="116"/>
      <c r="L1300" s="170">
        <v>44792</v>
      </c>
      <c r="M1300" s="116">
        <v>585.5</v>
      </c>
      <c r="N1300" s="116">
        <v>602.29999999999995</v>
      </c>
      <c r="O1300" s="116">
        <v>582.95000000000005</v>
      </c>
      <c r="P1300" s="116">
        <v>600</v>
      </c>
      <c r="Q1300" s="116">
        <v>585.5</v>
      </c>
      <c r="R1300">
        <v>118808</v>
      </c>
    </row>
    <row r="1301" spans="1:18" x14ac:dyDescent="0.25">
      <c r="A1301" s="170">
        <v>44795</v>
      </c>
      <c r="B1301" s="116">
        <v>597.95000000000005</v>
      </c>
      <c r="C1301" s="116">
        <v>572.6</v>
      </c>
      <c r="D1301" s="116">
        <v>569.1</v>
      </c>
      <c r="E1301" s="116">
        <v>597.95000000000005</v>
      </c>
      <c r="F1301" s="116">
        <v>572.6</v>
      </c>
      <c r="G1301">
        <v>7873</v>
      </c>
      <c r="H1301" s="116"/>
      <c r="I1301" s="116"/>
      <c r="L1301" s="170">
        <v>44795</v>
      </c>
      <c r="M1301" s="116">
        <v>571.95000000000005</v>
      </c>
      <c r="N1301" s="116">
        <v>588</v>
      </c>
      <c r="O1301" s="116">
        <v>568</v>
      </c>
      <c r="P1301" s="116">
        <v>583</v>
      </c>
      <c r="Q1301" s="116">
        <v>571.95000000000005</v>
      </c>
      <c r="R1301">
        <v>91727</v>
      </c>
    </row>
    <row r="1302" spans="1:18" x14ac:dyDescent="0.25">
      <c r="A1302" s="170">
        <v>44796</v>
      </c>
      <c r="B1302" s="116">
        <v>592.85</v>
      </c>
      <c r="C1302" s="116">
        <v>591.29999999999995</v>
      </c>
      <c r="D1302" s="116">
        <v>563</v>
      </c>
      <c r="E1302" s="116">
        <v>563.04999999999995</v>
      </c>
      <c r="F1302" s="116">
        <v>591.29999999999995</v>
      </c>
      <c r="G1302">
        <v>21735</v>
      </c>
      <c r="H1302" s="116"/>
      <c r="I1302" s="116"/>
      <c r="L1302" s="170">
        <v>44796</v>
      </c>
      <c r="M1302" s="116">
        <v>590.85</v>
      </c>
      <c r="N1302" s="116">
        <v>592.04999999999995</v>
      </c>
      <c r="O1302" s="116">
        <v>566</v>
      </c>
      <c r="P1302" s="116">
        <v>567</v>
      </c>
      <c r="Q1302" s="116">
        <v>590.85</v>
      </c>
      <c r="R1302">
        <v>129161</v>
      </c>
    </row>
    <row r="1303" spans="1:18" x14ac:dyDescent="0.25">
      <c r="A1303" s="170">
        <v>44797</v>
      </c>
      <c r="B1303" s="116">
        <v>596.65</v>
      </c>
      <c r="C1303" s="116">
        <v>586.45000000000005</v>
      </c>
      <c r="D1303" s="116">
        <v>584.54999999999995</v>
      </c>
      <c r="E1303" s="116">
        <v>592.54999999999995</v>
      </c>
      <c r="F1303" s="116">
        <v>586.45000000000005</v>
      </c>
      <c r="G1303">
        <v>8456</v>
      </c>
      <c r="H1303" s="116"/>
      <c r="I1303" s="116"/>
      <c r="L1303" s="170">
        <v>44797</v>
      </c>
      <c r="M1303" s="116">
        <v>586.4</v>
      </c>
      <c r="N1303" s="116">
        <v>596.85</v>
      </c>
      <c r="O1303" s="116">
        <v>582</v>
      </c>
      <c r="P1303" s="116">
        <v>592.25</v>
      </c>
      <c r="Q1303" s="116">
        <v>586.4</v>
      </c>
      <c r="R1303">
        <v>34370</v>
      </c>
    </row>
    <row r="1304" spans="1:18" x14ac:dyDescent="0.25">
      <c r="A1304" s="170">
        <v>44798</v>
      </c>
      <c r="B1304" s="116">
        <v>624</v>
      </c>
      <c r="C1304" s="116">
        <v>604.45000000000005</v>
      </c>
      <c r="D1304" s="116">
        <v>600.9</v>
      </c>
      <c r="E1304" s="116">
        <v>607</v>
      </c>
      <c r="F1304" s="116">
        <v>604.45000000000005</v>
      </c>
      <c r="G1304">
        <v>39495</v>
      </c>
      <c r="H1304" s="116"/>
      <c r="I1304" s="116"/>
      <c r="L1304" s="170">
        <v>44798</v>
      </c>
      <c r="M1304" s="116">
        <v>604.35</v>
      </c>
      <c r="N1304" s="116">
        <v>624.9</v>
      </c>
      <c r="O1304" s="116">
        <v>600.54999999999995</v>
      </c>
      <c r="P1304" s="116">
        <v>620</v>
      </c>
      <c r="Q1304" s="116">
        <v>604.35</v>
      </c>
      <c r="R1304">
        <v>500926</v>
      </c>
    </row>
    <row r="1305" spans="1:18" x14ac:dyDescent="0.25">
      <c r="A1305" s="170">
        <v>44799</v>
      </c>
      <c r="B1305" s="116">
        <v>612</v>
      </c>
      <c r="C1305" s="116">
        <v>598.29999999999995</v>
      </c>
      <c r="D1305" s="116">
        <v>593.1</v>
      </c>
      <c r="E1305" s="116">
        <v>594.35</v>
      </c>
      <c r="F1305" s="116">
        <v>598.29999999999995</v>
      </c>
      <c r="G1305">
        <v>13956</v>
      </c>
      <c r="H1305" s="116"/>
      <c r="I1305" s="116"/>
      <c r="L1305" s="170">
        <v>44799</v>
      </c>
      <c r="M1305" s="116">
        <v>598.1</v>
      </c>
      <c r="N1305" s="116">
        <v>612.79999999999995</v>
      </c>
      <c r="O1305" s="116">
        <v>591.95000000000005</v>
      </c>
      <c r="P1305" s="116">
        <v>606.79999999999995</v>
      </c>
      <c r="Q1305" s="116">
        <v>598.1</v>
      </c>
      <c r="R1305">
        <v>81238</v>
      </c>
    </row>
    <row r="1306" spans="1:18" x14ac:dyDescent="0.25">
      <c r="A1306" s="170">
        <v>44802</v>
      </c>
      <c r="B1306" s="116">
        <v>617.20000000000005</v>
      </c>
      <c r="C1306" s="116">
        <v>608.79999999999995</v>
      </c>
      <c r="D1306" s="116">
        <v>581</v>
      </c>
      <c r="E1306" s="116">
        <v>581</v>
      </c>
      <c r="F1306" s="116">
        <v>608.79999999999995</v>
      </c>
      <c r="G1306">
        <v>27433</v>
      </c>
      <c r="H1306" s="116"/>
      <c r="I1306" s="116"/>
      <c r="L1306" s="170">
        <v>44802</v>
      </c>
      <c r="M1306" s="116">
        <v>608.95000000000005</v>
      </c>
      <c r="N1306" s="116">
        <v>617.85</v>
      </c>
      <c r="O1306" s="116">
        <v>584.29999999999995</v>
      </c>
      <c r="P1306" s="116">
        <v>590</v>
      </c>
      <c r="Q1306" s="116">
        <v>608.95000000000005</v>
      </c>
      <c r="R1306">
        <v>210132</v>
      </c>
    </row>
    <row r="1307" spans="1:18" x14ac:dyDescent="0.25">
      <c r="A1307" s="170">
        <v>44803</v>
      </c>
      <c r="B1307" s="116">
        <v>616.9</v>
      </c>
      <c r="C1307" s="116">
        <v>606.9</v>
      </c>
      <c r="D1307" s="116">
        <v>603.25</v>
      </c>
      <c r="E1307" s="116">
        <v>609</v>
      </c>
      <c r="F1307" s="116">
        <v>606.9</v>
      </c>
      <c r="G1307">
        <v>11929</v>
      </c>
      <c r="H1307" s="116"/>
      <c r="I1307" s="116"/>
      <c r="L1307" s="170">
        <v>44803</v>
      </c>
      <c r="M1307" s="116">
        <v>606.4</v>
      </c>
      <c r="N1307" s="116">
        <v>618.79999999999995</v>
      </c>
      <c r="O1307" s="116">
        <v>602.54999999999995</v>
      </c>
      <c r="P1307" s="116">
        <v>618</v>
      </c>
      <c r="Q1307" s="116">
        <v>606.4</v>
      </c>
      <c r="R1307">
        <v>141192</v>
      </c>
    </row>
    <row r="1308" spans="1:18" x14ac:dyDescent="0.25">
      <c r="A1308" s="170">
        <v>44805</v>
      </c>
      <c r="B1308" s="116">
        <v>616.65</v>
      </c>
      <c r="C1308" s="116">
        <v>605.6</v>
      </c>
      <c r="D1308" s="116">
        <v>601.65</v>
      </c>
      <c r="E1308" s="116">
        <v>603.9</v>
      </c>
      <c r="F1308" s="116">
        <v>605.6</v>
      </c>
      <c r="G1308">
        <v>26205</v>
      </c>
      <c r="H1308" s="116"/>
      <c r="I1308" s="116"/>
      <c r="L1308" s="170">
        <v>44805</v>
      </c>
      <c r="M1308" s="116">
        <v>604.70000000000005</v>
      </c>
      <c r="N1308" s="116">
        <v>617</v>
      </c>
      <c r="O1308" s="116">
        <v>601</v>
      </c>
      <c r="P1308" s="116">
        <v>601</v>
      </c>
      <c r="Q1308" s="116">
        <v>604.70000000000005</v>
      </c>
      <c r="R1308">
        <v>85503</v>
      </c>
    </row>
    <row r="1309" spans="1:18" x14ac:dyDescent="0.25">
      <c r="A1309" s="170">
        <v>44806</v>
      </c>
      <c r="B1309" s="116">
        <v>608.04999999999995</v>
      </c>
      <c r="C1309" s="116">
        <v>595.85</v>
      </c>
      <c r="D1309" s="116">
        <v>592.65</v>
      </c>
      <c r="E1309" s="116">
        <v>605.6</v>
      </c>
      <c r="F1309" s="116">
        <v>595.85</v>
      </c>
      <c r="G1309">
        <v>30514</v>
      </c>
      <c r="H1309" s="116"/>
      <c r="I1309" s="116"/>
      <c r="L1309" s="170">
        <v>44806</v>
      </c>
      <c r="M1309" s="116">
        <v>595.54999999999995</v>
      </c>
      <c r="N1309" s="116">
        <v>610</v>
      </c>
      <c r="O1309" s="116">
        <v>592.4</v>
      </c>
      <c r="P1309" s="116">
        <v>610</v>
      </c>
      <c r="Q1309" s="116">
        <v>595.54999999999995</v>
      </c>
      <c r="R1309">
        <v>176025</v>
      </c>
    </row>
    <row r="1310" spans="1:18" x14ac:dyDescent="0.25">
      <c r="A1310" s="170">
        <v>44809</v>
      </c>
      <c r="B1310" s="116">
        <v>604.04999999999995</v>
      </c>
      <c r="C1310" s="116">
        <v>596.15</v>
      </c>
      <c r="D1310" s="116">
        <v>593.5</v>
      </c>
      <c r="E1310" s="116">
        <v>596.04999999999995</v>
      </c>
      <c r="F1310" s="116">
        <v>596.15</v>
      </c>
      <c r="G1310">
        <v>10535</v>
      </c>
      <c r="H1310" s="116"/>
      <c r="I1310" s="116"/>
      <c r="L1310" s="170">
        <v>44809</v>
      </c>
      <c r="M1310" s="116">
        <v>596.35</v>
      </c>
      <c r="N1310" s="116">
        <v>604.20000000000005</v>
      </c>
      <c r="O1310" s="116">
        <v>595.29999999999995</v>
      </c>
      <c r="P1310" s="116">
        <v>600.54999999999995</v>
      </c>
      <c r="Q1310" s="116">
        <v>596.35</v>
      </c>
      <c r="R1310">
        <v>67965</v>
      </c>
    </row>
    <row r="1311" spans="1:18" x14ac:dyDescent="0.25">
      <c r="A1311" s="170">
        <v>44810</v>
      </c>
      <c r="B1311" s="116">
        <v>600.4</v>
      </c>
      <c r="C1311" s="116">
        <v>589.6</v>
      </c>
      <c r="D1311" s="116">
        <v>586.35</v>
      </c>
      <c r="E1311" s="116">
        <v>599.25</v>
      </c>
      <c r="F1311" s="116">
        <v>589.6</v>
      </c>
      <c r="G1311">
        <v>21297</v>
      </c>
      <c r="H1311" s="116"/>
      <c r="I1311" s="116"/>
      <c r="L1311" s="170">
        <v>44810</v>
      </c>
      <c r="M1311" s="116">
        <v>589.85</v>
      </c>
      <c r="N1311" s="116">
        <v>601.5</v>
      </c>
      <c r="O1311" s="116">
        <v>586.35</v>
      </c>
      <c r="P1311" s="116">
        <v>599.35</v>
      </c>
      <c r="Q1311" s="116">
        <v>589.85</v>
      </c>
      <c r="R1311">
        <v>164121</v>
      </c>
    </row>
    <row r="1312" spans="1:18" x14ac:dyDescent="0.25">
      <c r="A1312" s="170">
        <v>44811</v>
      </c>
      <c r="B1312" s="116">
        <v>594.65</v>
      </c>
      <c r="C1312" s="116">
        <v>585.75</v>
      </c>
      <c r="D1312" s="116">
        <v>582.35</v>
      </c>
      <c r="E1312" s="116">
        <v>591.95000000000005</v>
      </c>
      <c r="F1312" s="116">
        <v>585.75</v>
      </c>
      <c r="G1312">
        <v>18563</v>
      </c>
      <c r="H1312" s="116"/>
      <c r="I1312" s="116"/>
      <c r="L1312" s="170">
        <v>44811</v>
      </c>
      <c r="M1312" s="116">
        <v>586.1</v>
      </c>
      <c r="N1312" s="116">
        <v>594.45000000000005</v>
      </c>
      <c r="O1312" s="116">
        <v>581.65</v>
      </c>
      <c r="P1312" s="116">
        <v>590</v>
      </c>
      <c r="Q1312" s="116">
        <v>586.1</v>
      </c>
      <c r="R1312">
        <v>176812</v>
      </c>
    </row>
    <row r="1313" spans="1:18" x14ac:dyDescent="0.25">
      <c r="A1313" s="170">
        <v>44812</v>
      </c>
      <c r="B1313" s="116">
        <v>603.65</v>
      </c>
      <c r="C1313" s="116">
        <v>601.70000000000005</v>
      </c>
      <c r="D1313" s="116">
        <v>583.79999999999995</v>
      </c>
      <c r="E1313" s="116">
        <v>586</v>
      </c>
      <c r="F1313" s="116">
        <v>601.70000000000005</v>
      </c>
      <c r="G1313">
        <v>9852</v>
      </c>
      <c r="H1313" s="116"/>
      <c r="I1313" s="116"/>
      <c r="L1313" s="170">
        <v>44812</v>
      </c>
      <c r="M1313" s="116">
        <v>601.9</v>
      </c>
      <c r="N1313" s="116">
        <v>603.95000000000005</v>
      </c>
      <c r="O1313" s="116">
        <v>583.29999999999995</v>
      </c>
      <c r="P1313" s="116">
        <v>588</v>
      </c>
      <c r="Q1313" s="116">
        <v>601.9</v>
      </c>
      <c r="R1313">
        <v>119911</v>
      </c>
    </row>
    <row r="1314" spans="1:18" x14ac:dyDescent="0.25">
      <c r="A1314" s="170">
        <v>44813</v>
      </c>
      <c r="B1314" s="116">
        <v>609.9</v>
      </c>
      <c r="C1314" s="116">
        <v>587.54999999999995</v>
      </c>
      <c r="D1314" s="116">
        <v>585.04999999999995</v>
      </c>
      <c r="E1314" s="116">
        <v>609.9</v>
      </c>
      <c r="F1314" s="116">
        <v>587.54999999999995</v>
      </c>
      <c r="G1314">
        <v>5123</v>
      </c>
      <c r="H1314" s="116"/>
      <c r="I1314" s="116"/>
      <c r="L1314" s="170">
        <v>44813</v>
      </c>
      <c r="M1314" s="116">
        <v>587</v>
      </c>
      <c r="N1314" s="116">
        <v>605</v>
      </c>
      <c r="O1314" s="116">
        <v>585</v>
      </c>
      <c r="P1314" s="116">
        <v>602</v>
      </c>
      <c r="Q1314" s="116">
        <v>587</v>
      </c>
      <c r="R1314">
        <v>104347</v>
      </c>
    </row>
    <row r="1315" spans="1:18" x14ac:dyDescent="0.25">
      <c r="A1315" s="170">
        <v>44816</v>
      </c>
      <c r="B1315" s="116">
        <v>595.6</v>
      </c>
      <c r="C1315" s="116">
        <v>591.25</v>
      </c>
      <c r="D1315" s="116">
        <v>585</v>
      </c>
      <c r="E1315" s="116">
        <v>585</v>
      </c>
      <c r="F1315" s="116">
        <v>591.25</v>
      </c>
      <c r="G1315">
        <v>19056</v>
      </c>
      <c r="H1315" s="116"/>
      <c r="I1315" s="116"/>
      <c r="L1315" s="170">
        <v>44816</v>
      </c>
      <c r="M1315" s="116">
        <v>592.29999999999995</v>
      </c>
      <c r="N1315" s="116">
        <v>595.95000000000005</v>
      </c>
      <c r="O1315" s="116">
        <v>588.5</v>
      </c>
      <c r="P1315" s="116">
        <v>589.95000000000005</v>
      </c>
      <c r="Q1315" s="116">
        <v>592.29999999999995</v>
      </c>
      <c r="R1315">
        <v>72755</v>
      </c>
    </row>
    <row r="1316" spans="1:18" x14ac:dyDescent="0.25">
      <c r="A1316" s="170">
        <v>44817</v>
      </c>
      <c r="B1316" s="116">
        <v>625</v>
      </c>
      <c r="C1316" s="116">
        <v>620.4</v>
      </c>
      <c r="D1316" s="116">
        <v>595.75</v>
      </c>
      <c r="E1316" s="116">
        <v>595.75</v>
      </c>
      <c r="F1316" s="116">
        <v>620.4</v>
      </c>
      <c r="G1316">
        <v>48036</v>
      </c>
      <c r="H1316" s="116"/>
      <c r="I1316" s="116"/>
      <c r="L1316" s="170">
        <v>44817</v>
      </c>
      <c r="M1316" s="116">
        <v>621.79999999999995</v>
      </c>
      <c r="N1316" s="116">
        <v>625</v>
      </c>
      <c r="O1316" s="116">
        <v>596</v>
      </c>
      <c r="P1316" s="116">
        <v>596</v>
      </c>
      <c r="Q1316" s="116">
        <v>621.79999999999995</v>
      </c>
      <c r="R1316">
        <v>506300</v>
      </c>
    </row>
    <row r="1317" spans="1:18" x14ac:dyDescent="0.25">
      <c r="A1317" s="170">
        <v>44818</v>
      </c>
      <c r="B1317" s="116">
        <v>651.45000000000005</v>
      </c>
      <c r="C1317" s="116">
        <v>642.04999999999995</v>
      </c>
      <c r="D1317" s="116">
        <v>614.75</v>
      </c>
      <c r="E1317" s="116">
        <v>617</v>
      </c>
      <c r="F1317" s="116">
        <v>642.04999999999995</v>
      </c>
      <c r="G1317">
        <v>46392</v>
      </c>
      <c r="H1317" s="116"/>
      <c r="I1317" s="116"/>
      <c r="L1317" s="170">
        <v>44818</v>
      </c>
      <c r="M1317" s="116">
        <v>642</v>
      </c>
      <c r="N1317" s="116">
        <v>651.54999999999995</v>
      </c>
      <c r="O1317" s="116">
        <v>615.1</v>
      </c>
      <c r="P1317" s="116">
        <v>615.70000000000005</v>
      </c>
      <c r="Q1317" s="116">
        <v>642</v>
      </c>
      <c r="R1317">
        <v>742945</v>
      </c>
    </row>
    <row r="1318" spans="1:18" x14ac:dyDescent="0.25">
      <c r="A1318" s="170">
        <v>44819</v>
      </c>
      <c r="B1318" s="116">
        <v>673.7</v>
      </c>
      <c r="C1318" s="116">
        <v>645.25</v>
      </c>
      <c r="D1318" s="116">
        <v>639</v>
      </c>
      <c r="E1318" s="116">
        <v>650</v>
      </c>
      <c r="F1318" s="116">
        <v>645.25</v>
      </c>
      <c r="G1318">
        <v>58207</v>
      </c>
      <c r="H1318" s="116"/>
      <c r="I1318" s="116"/>
      <c r="L1318" s="170">
        <v>44819</v>
      </c>
      <c r="M1318" s="116">
        <v>644.9</v>
      </c>
      <c r="N1318" s="116">
        <v>673.9</v>
      </c>
      <c r="O1318" s="116">
        <v>641</v>
      </c>
      <c r="P1318" s="116">
        <v>648.9</v>
      </c>
      <c r="Q1318" s="116">
        <v>644.9</v>
      </c>
      <c r="R1318">
        <v>480019</v>
      </c>
    </row>
    <row r="1319" spans="1:18" x14ac:dyDescent="0.25">
      <c r="A1319" s="170">
        <v>44820</v>
      </c>
      <c r="B1319" s="116">
        <v>662.35</v>
      </c>
      <c r="C1319" s="116">
        <v>642.35</v>
      </c>
      <c r="D1319" s="116">
        <v>631.79999999999995</v>
      </c>
      <c r="E1319" s="116">
        <v>649.9</v>
      </c>
      <c r="F1319" s="116">
        <v>642.35</v>
      </c>
      <c r="G1319">
        <v>47080</v>
      </c>
      <c r="H1319" s="116"/>
      <c r="I1319" s="116"/>
      <c r="L1319" s="170">
        <v>44820</v>
      </c>
      <c r="M1319" s="116">
        <v>642.35</v>
      </c>
      <c r="N1319" s="116">
        <v>662.95</v>
      </c>
      <c r="O1319" s="116">
        <v>632</v>
      </c>
      <c r="P1319" s="116">
        <v>647.4</v>
      </c>
      <c r="Q1319" s="116">
        <v>642.35</v>
      </c>
      <c r="R1319">
        <v>321015</v>
      </c>
    </row>
    <row r="1320" spans="1:18" x14ac:dyDescent="0.25">
      <c r="A1320" s="170">
        <v>44823</v>
      </c>
      <c r="B1320" s="116">
        <v>651.95000000000005</v>
      </c>
      <c r="C1320" s="116">
        <v>639.4</v>
      </c>
      <c r="D1320" s="116">
        <v>628</v>
      </c>
      <c r="E1320" s="116">
        <v>643</v>
      </c>
      <c r="F1320" s="116">
        <v>639.4</v>
      </c>
      <c r="G1320">
        <v>40082</v>
      </c>
      <c r="H1320" s="116"/>
      <c r="I1320" s="116"/>
      <c r="L1320" s="170">
        <v>44823</v>
      </c>
      <c r="M1320" s="116">
        <v>639</v>
      </c>
      <c r="N1320" s="116">
        <v>651.79999999999995</v>
      </c>
      <c r="O1320" s="116">
        <v>627.65</v>
      </c>
      <c r="P1320" s="116">
        <v>646.9</v>
      </c>
      <c r="Q1320" s="116">
        <v>639</v>
      </c>
      <c r="R1320">
        <v>332012</v>
      </c>
    </row>
    <row r="1321" spans="1:18" x14ac:dyDescent="0.25">
      <c r="A1321" s="170">
        <v>44824</v>
      </c>
      <c r="B1321" s="116">
        <v>650</v>
      </c>
      <c r="C1321" s="116">
        <v>640.35</v>
      </c>
      <c r="D1321" s="116">
        <v>634.15</v>
      </c>
      <c r="E1321" s="116">
        <v>648</v>
      </c>
      <c r="F1321" s="116">
        <v>640.35</v>
      </c>
      <c r="G1321">
        <v>18437</v>
      </c>
      <c r="H1321" s="116"/>
      <c r="I1321" s="116"/>
      <c r="L1321" s="170">
        <v>44824</v>
      </c>
      <c r="M1321" s="116">
        <v>640.70000000000005</v>
      </c>
      <c r="N1321" s="116">
        <v>649.15</v>
      </c>
      <c r="O1321" s="116">
        <v>634.04999999999995</v>
      </c>
      <c r="P1321" s="116">
        <v>645.79999999999995</v>
      </c>
      <c r="Q1321" s="116">
        <v>640.70000000000005</v>
      </c>
      <c r="R1321">
        <v>126508</v>
      </c>
    </row>
    <row r="1322" spans="1:18" x14ac:dyDescent="0.25">
      <c r="A1322" s="170">
        <v>44825</v>
      </c>
      <c r="B1322" s="116">
        <v>683.9</v>
      </c>
      <c r="C1322" s="116">
        <v>662.05</v>
      </c>
      <c r="D1322" s="116">
        <v>640.70000000000005</v>
      </c>
      <c r="E1322" s="116">
        <v>643.75</v>
      </c>
      <c r="F1322" s="116">
        <v>662.05</v>
      </c>
      <c r="G1322">
        <v>55905</v>
      </c>
      <c r="H1322" s="116"/>
      <c r="I1322" s="116"/>
      <c r="L1322" s="170">
        <v>44825</v>
      </c>
      <c r="M1322" s="116">
        <v>661.4</v>
      </c>
      <c r="N1322" s="116">
        <v>684</v>
      </c>
      <c r="O1322" s="116">
        <v>640.04999999999995</v>
      </c>
      <c r="P1322" s="116">
        <v>642</v>
      </c>
      <c r="Q1322" s="116">
        <v>661.4</v>
      </c>
      <c r="R1322">
        <v>823095</v>
      </c>
    </row>
    <row r="1323" spans="1:18" x14ac:dyDescent="0.25">
      <c r="A1323" s="170">
        <v>44826</v>
      </c>
      <c r="B1323" s="116">
        <v>661.4</v>
      </c>
      <c r="C1323" s="116">
        <v>645</v>
      </c>
      <c r="D1323" s="116">
        <v>640.5</v>
      </c>
      <c r="E1323" s="116">
        <v>655</v>
      </c>
      <c r="F1323" s="116">
        <v>645</v>
      </c>
      <c r="G1323">
        <v>22978</v>
      </c>
      <c r="H1323" s="116"/>
      <c r="I1323" s="116"/>
      <c r="L1323" s="170">
        <v>44826</v>
      </c>
      <c r="M1323" s="116">
        <v>646.29999999999995</v>
      </c>
      <c r="N1323" s="116">
        <v>662.5</v>
      </c>
      <c r="O1323" s="116">
        <v>641.20000000000005</v>
      </c>
      <c r="P1323" s="116">
        <v>657</v>
      </c>
      <c r="Q1323" s="116">
        <v>646.29999999999995</v>
      </c>
      <c r="R1323">
        <v>161744</v>
      </c>
    </row>
    <row r="1324" spans="1:18" x14ac:dyDescent="0.25">
      <c r="A1324" s="170">
        <v>44827</v>
      </c>
      <c r="B1324" s="116">
        <v>654.25</v>
      </c>
      <c r="C1324" s="116">
        <v>639.45000000000005</v>
      </c>
      <c r="D1324" s="116">
        <v>635.4</v>
      </c>
      <c r="E1324" s="116">
        <v>648.5</v>
      </c>
      <c r="F1324" s="116">
        <v>639.45000000000005</v>
      </c>
      <c r="G1324">
        <v>19100</v>
      </c>
      <c r="H1324" s="116"/>
      <c r="I1324" s="116"/>
      <c r="L1324" s="170">
        <v>44827</v>
      </c>
      <c r="M1324" s="116">
        <v>640.1</v>
      </c>
      <c r="N1324" s="116">
        <v>657.45</v>
      </c>
      <c r="O1324" s="116">
        <v>635</v>
      </c>
      <c r="P1324" s="116">
        <v>657.45</v>
      </c>
      <c r="Q1324" s="116">
        <v>640.1</v>
      </c>
      <c r="R1324">
        <v>209085</v>
      </c>
    </row>
    <row r="1325" spans="1:18" x14ac:dyDescent="0.25">
      <c r="A1325" s="170">
        <v>44830</v>
      </c>
      <c r="B1325" s="116">
        <v>632.95000000000005</v>
      </c>
      <c r="C1325" s="116">
        <v>600.20000000000005</v>
      </c>
      <c r="D1325" s="116">
        <v>595.5</v>
      </c>
      <c r="E1325" s="116">
        <v>630</v>
      </c>
      <c r="F1325" s="116">
        <v>600.20000000000005</v>
      </c>
      <c r="G1325">
        <v>27257</v>
      </c>
      <c r="H1325" s="116"/>
      <c r="I1325" s="116"/>
      <c r="L1325" s="170">
        <v>44830</v>
      </c>
      <c r="M1325" s="116">
        <v>598.9</v>
      </c>
      <c r="N1325" s="116">
        <v>635.35</v>
      </c>
      <c r="O1325" s="116">
        <v>595.4</v>
      </c>
      <c r="P1325" s="116">
        <v>635.35</v>
      </c>
      <c r="Q1325" s="116">
        <v>598.9</v>
      </c>
      <c r="R1325">
        <v>298204</v>
      </c>
    </row>
    <row r="1326" spans="1:18" x14ac:dyDescent="0.25">
      <c r="A1326" s="170">
        <v>44831</v>
      </c>
      <c r="B1326" s="116">
        <v>643.6</v>
      </c>
      <c r="C1326" s="116">
        <v>635.1</v>
      </c>
      <c r="D1326" s="116">
        <v>586.85</v>
      </c>
      <c r="E1326" s="116">
        <v>598.04999999999995</v>
      </c>
      <c r="F1326" s="116">
        <v>635.1</v>
      </c>
      <c r="G1326">
        <v>40653</v>
      </c>
      <c r="H1326" s="116"/>
      <c r="I1326" s="116"/>
      <c r="L1326" s="170">
        <v>44831</v>
      </c>
      <c r="M1326" s="116">
        <v>631.35</v>
      </c>
      <c r="N1326" s="116">
        <v>643.70000000000005</v>
      </c>
      <c r="O1326" s="116">
        <v>586.75</v>
      </c>
      <c r="P1326" s="116">
        <v>600</v>
      </c>
      <c r="Q1326" s="116">
        <v>631.35</v>
      </c>
      <c r="R1326">
        <v>271278</v>
      </c>
    </row>
    <row r="1327" spans="1:18" x14ac:dyDescent="0.25">
      <c r="A1327" s="170">
        <v>44832</v>
      </c>
      <c r="B1327" s="116">
        <v>635.04999999999995</v>
      </c>
      <c r="C1327" s="116">
        <v>612.4</v>
      </c>
      <c r="D1327" s="116">
        <v>609</v>
      </c>
      <c r="E1327" s="116">
        <v>632</v>
      </c>
      <c r="F1327" s="116">
        <v>612.4</v>
      </c>
      <c r="G1327">
        <v>40524</v>
      </c>
      <c r="H1327" s="116"/>
      <c r="I1327" s="116"/>
      <c r="L1327" s="170">
        <v>44832</v>
      </c>
      <c r="M1327" s="116">
        <v>614.95000000000005</v>
      </c>
      <c r="N1327" s="116">
        <v>635.04999999999995</v>
      </c>
      <c r="O1327" s="116">
        <v>610.5</v>
      </c>
      <c r="P1327" s="116">
        <v>630</v>
      </c>
      <c r="Q1327" s="116">
        <v>614.95000000000005</v>
      </c>
      <c r="R1327">
        <v>220265</v>
      </c>
    </row>
    <row r="1328" spans="1:18" x14ac:dyDescent="0.25">
      <c r="A1328" s="170">
        <v>44833</v>
      </c>
      <c r="B1328" s="116">
        <v>641</v>
      </c>
      <c r="C1328" s="116">
        <v>635.4</v>
      </c>
      <c r="D1328" s="116">
        <v>618.29999999999995</v>
      </c>
      <c r="E1328" s="116">
        <v>622.45000000000005</v>
      </c>
      <c r="F1328" s="116">
        <v>635.4</v>
      </c>
      <c r="G1328">
        <v>13512</v>
      </c>
      <c r="H1328" s="116"/>
      <c r="I1328" s="116"/>
      <c r="L1328" s="170">
        <v>44833</v>
      </c>
      <c r="M1328" s="116">
        <v>636.5</v>
      </c>
      <c r="N1328" s="116">
        <v>640.79999999999995</v>
      </c>
      <c r="O1328" s="116">
        <v>617</v>
      </c>
      <c r="P1328" s="116">
        <v>621.85</v>
      </c>
      <c r="Q1328" s="116">
        <v>636.5</v>
      </c>
      <c r="R1328">
        <v>135343</v>
      </c>
    </row>
    <row r="1329" spans="1:18" x14ac:dyDescent="0.25">
      <c r="A1329" s="170">
        <v>44834</v>
      </c>
      <c r="B1329" s="116">
        <v>645.45000000000005</v>
      </c>
      <c r="C1329" s="116">
        <v>641.54999999999995</v>
      </c>
      <c r="D1329" s="116">
        <v>623</v>
      </c>
      <c r="E1329" s="116">
        <v>639.1</v>
      </c>
      <c r="F1329" s="116">
        <v>641.54999999999995</v>
      </c>
      <c r="G1329">
        <v>10188</v>
      </c>
      <c r="H1329" s="116"/>
      <c r="I1329" s="116"/>
      <c r="L1329" s="170">
        <v>44834</v>
      </c>
      <c r="M1329" s="116">
        <v>642.15</v>
      </c>
      <c r="N1329" s="116">
        <v>645.79999999999995</v>
      </c>
      <c r="O1329" s="116">
        <v>623.15</v>
      </c>
      <c r="P1329" s="116">
        <v>639</v>
      </c>
      <c r="Q1329" s="116">
        <v>642.15</v>
      </c>
      <c r="R1329">
        <v>107940</v>
      </c>
    </row>
    <row r="1330" spans="1:18" x14ac:dyDescent="0.25">
      <c r="A1330" s="170">
        <v>44837</v>
      </c>
      <c r="B1330" s="116">
        <v>653.85</v>
      </c>
      <c r="C1330" s="116">
        <v>621.9</v>
      </c>
      <c r="D1330" s="116">
        <v>614.70000000000005</v>
      </c>
      <c r="E1330" s="116">
        <v>629.4</v>
      </c>
      <c r="F1330" s="116">
        <v>621.9</v>
      </c>
      <c r="G1330">
        <v>23126</v>
      </c>
      <c r="H1330" s="116"/>
      <c r="I1330" s="116"/>
      <c r="L1330" s="170">
        <v>44837</v>
      </c>
      <c r="M1330" s="116">
        <v>624.15</v>
      </c>
      <c r="N1330" s="116">
        <v>653.35</v>
      </c>
      <c r="O1330" s="116">
        <v>619.35</v>
      </c>
      <c r="P1330" s="116">
        <v>638</v>
      </c>
      <c r="Q1330" s="116">
        <v>624.15</v>
      </c>
      <c r="R1330">
        <v>176996</v>
      </c>
    </row>
    <row r="1331" spans="1:18" x14ac:dyDescent="0.25">
      <c r="A1331" s="170">
        <v>44838</v>
      </c>
      <c r="B1331" s="116">
        <v>656</v>
      </c>
      <c r="C1331" s="116">
        <v>649.6</v>
      </c>
      <c r="D1331" s="116">
        <v>631.65</v>
      </c>
      <c r="E1331" s="116">
        <v>634.95000000000005</v>
      </c>
      <c r="F1331" s="116">
        <v>649.6</v>
      </c>
      <c r="G1331">
        <v>11697</v>
      </c>
      <c r="H1331" s="116"/>
      <c r="I1331" s="116"/>
      <c r="L1331" s="170">
        <v>44838</v>
      </c>
      <c r="M1331" s="116">
        <v>649.70000000000005</v>
      </c>
      <c r="N1331" s="116">
        <v>656.45</v>
      </c>
      <c r="O1331" s="116">
        <v>632.04999999999995</v>
      </c>
      <c r="P1331" s="116">
        <v>632.04999999999995</v>
      </c>
      <c r="Q1331" s="116">
        <v>649.70000000000005</v>
      </c>
      <c r="R1331">
        <v>218295</v>
      </c>
    </row>
    <row r="1332" spans="1:18" x14ac:dyDescent="0.25">
      <c r="A1332" s="170">
        <v>44840</v>
      </c>
      <c r="B1332" s="116">
        <v>657</v>
      </c>
      <c r="C1332" s="116">
        <v>645.6</v>
      </c>
      <c r="D1332" s="116">
        <v>644</v>
      </c>
      <c r="E1332" s="116">
        <v>657</v>
      </c>
      <c r="F1332" s="116">
        <v>645.6</v>
      </c>
      <c r="G1332">
        <v>8943</v>
      </c>
      <c r="H1332" s="116"/>
      <c r="I1332" s="116"/>
      <c r="L1332" s="170">
        <v>44840</v>
      </c>
      <c r="M1332" s="116">
        <v>646.04999999999995</v>
      </c>
      <c r="N1332" s="116">
        <v>657</v>
      </c>
      <c r="O1332" s="116">
        <v>643.5</v>
      </c>
      <c r="P1332" s="116">
        <v>657</v>
      </c>
      <c r="Q1332" s="116">
        <v>646.04999999999995</v>
      </c>
      <c r="R1332">
        <v>125503</v>
      </c>
    </row>
    <row r="1333" spans="1:18" x14ac:dyDescent="0.25">
      <c r="A1333" s="170">
        <v>44841</v>
      </c>
      <c r="B1333" s="116">
        <v>669.5</v>
      </c>
      <c r="C1333" s="116">
        <v>664.65</v>
      </c>
      <c r="D1333" s="116">
        <v>639.70000000000005</v>
      </c>
      <c r="E1333" s="116">
        <v>640.04999999999995</v>
      </c>
      <c r="F1333" s="116">
        <v>664.65</v>
      </c>
      <c r="G1333">
        <v>14411</v>
      </c>
      <c r="H1333" s="116"/>
      <c r="I1333" s="116"/>
      <c r="L1333" s="170">
        <v>44841</v>
      </c>
      <c r="M1333" s="116">
        <v>666.25</v>
      </c>
      <c r="N1333" s="116">
        <v>669.4</v>
      </c>
      <c r="O1333" s="116">
        <v>639.4</v>
      </c>
      <c r="P1333" s="116">
        <v>647.85</v>
      </c>
      <c r="Q1333" s="116">
        <v>666.25</v>
      </c>
      <c r="R1333">
        <v>279285</v>
      </c>
    </row>
    <row r="1334" spans="1:18" x14ac:dyDescent="0.25">
      <c r="A1334" s="170">
        <v>44844</v>
      </c>
      <c r="B1334" s="116">
        <v>673.35</v>
      </c>
      <c r="C1334" s="116">
        <v>665.3</v>
      </c>
      <c r="D1334" s="116">
        <v>650.4</v>
      </c>
      <c r="E1334" s="116">
        <v>657.7</v>
      </c>
      <c r="F1334" s="116">
        <v>665.3</v>
      </c>
      <c r="G1334">
        <v>14953</v>
      </c>
      <c r="H1334" s="116"/>
      <c r="I1334" s="116"/>
      <c r="L1334" s="170">
        <v>44844</v>
      </c>
      <c r="M1334" s="116">
        <v>666.1</v>
      </c>
      <c r="N1334" s="116">
        <v>673.95</v>
      </c>
      <c r="O1334" s="116">
        <v>650.6</v>
      </c>
      <c r="P1334" s="116">
        <v>660</v>
      </c>
      <c r="Q1334" s="116">
        <v>666.1</v>
      </c>
      <c r="R1334">
        <v>223965</v>
      </c>
    </row>
    <row r="1335" spans="1:18" x14ac:dyDescent="0.25">
      <c r="A1335" s="170">
        <v>44845</v>
      </c>
      <c r="B1335" s="116">
        <v>673.15</v>
      </c>
      <c r="C1335" s="116">
        <v>649.85</v>
      </c>
      <c r="D1335" s="116">
        <v>637.65</v>
      </c>
      <c r="E1335" s="116">
        <v>673.15</v>
      </c>
      <c r="F1335" s="116">
        <v>649.85</v>
      </c>
      <c r="G1335">
        <v>25270</v>
      </c>
      <c r="H1335" s="116"/>
      <c r="I1335" s="116"/>
      <c r="L1335" s="170">
        <v>44845</v>
      </c>
      <c r="M1335" s="116">
        <v>649.45000000000005</v>
      </c>
      <c r="N1335" s="116">
        <v>669.9</v>
      </c>
      <c r="O1335" s="116">
        <v>642.65</v>
      </c>
      <c r="P1335" s="116">
        <v>669.9</v>
      </c>
      <c r="Q1335" s="116">
        <v>649.45000000000005</v>
      </c>
      <c r="R1335">
        <v>134025</v>
      </c>
    </row>
    <row r="1336" spans="1:18" x14ac:dyDescent="0.25">
      <c r="A1336" s="170">
        <v>44846</v>
      </c>
      <c r="B1336" s="116">
        <v>653.04999999999995</v>
      </c>
      <c r="C1336" s="116">
        <v>644.79999999999995</v>
      </c>
      <c r="D1336" s="116">
        <v>628.6</v>
      </c>
      <c r="E1336" s="116">
        <v>652.29999999999995</v>
      </c>
      <c r="F1336" s="116">
        <v>644.79999999999995</v>
      </c>
      <c r="G1336">
        <v>13840</v>
      </c>
      <c r="H1336" s="116"/>
      <c r="I1336" s="116"/>
      <c r="L1336" s="170">
        <v>44846</v>
      </c>
      <c r="M1336" s="116">
        <v>645.04999999999995</v>
      </c>
      <c r="N1336" s="116">
        <v>653.85</v>
      </c>
      <c r="O1336" s="116">
        <v>628.5</v>
      </c>
      <c r="P1336" s="116">
        <v>649.85</v>
      </c>
      <c r="Q1336" s="116">
        <v>645.04999999999995</v>
      </c>
      <c r="R1336">
        <v>123345</v>
      </c>
    </row>
    <row r="1337" spans="1:18" x14ac:dyDescent="0.25">
      <c r="A1337" s="170">
        <v>44847</v>
      </c>
      <c r="B1337" s="116">
        <v>646.35</v>
      </c>
      <c r="C1337" s="116">
        <v>636.15</v>
      </c>
      <c r="D1337" s="116">
        <v>632</v>
      </c>
      <c r="E1337" s="116">
        <v>646.35</v>
      </c>
      <c r="F1337" s="116">
        <v>636.15</v>
      </c>
      <c r="G1337">
        <v>9787</v>
      </c>
      <c r="H1337" s="116"/>
      <c r="I1337" s="116"/>
      <c r="L1337" s="170">
        <v>44847</v>
      </c>
      <c r="M1337" s="116">
        <v>634.65</v>
      </c>
      <c r="N1337" s="116">
        <v>647.5</v>
      </c>
      <c r="O1337" s="116">
        <v>628</v>
      </c>
      <c r="P1337" s="116">
        <v>647.5</v>
      </c>
      <c r="Q1337" s="116">
        <v>634.65</v>
      </c>
      <c r="R1337">
        <v>110846</v>
      </c>
    </row>
    <row r="1338" spans="1:18" x14ac:dyDescent="0.25">
      <c r="A1338" s="170">
        <v>44848</v>
      </c>
      <c r="B1338" s="116">
        <v>662</v>
      </c>
      <c r="C1338" s="116">
        <v>636.85</v>
      </c>
      <c r="D1338" s="116">
        <v>631.75</v>
      </c>
      <c r="E1338" s="116">
        <v>644.5</v>
      </c>
      <c r="F1338" s="116">
        <v>636.85</v>
      </c>
      <c r="G1338">
        <v>23507</v>
      </c>
      <c r="H1338" s="116"/>
      <c r="I1338" s="116"/>
      <c r="L1338" s="170">
        <v>44848</v>
      </c>
      <c r="M1338" s="116">
        <v>636.29999999999995</v>
      </c>
      <c r="N1338" s="116">
        <v>661.85</v>
      </c>
      <c r="O1338" s="116">
        <v>631.54999999999995</v>
      </c>
      <c r="P1338" s="116">
        <v>640.15</v>
      </c>
      <c r="Q1338" s="116">
        <v>636.29999999999995</v>
      </c>
      <c r="R1338">
        <v>278994</v>
      </c>
    </row>
    <row r="1339" spans="1:18" x14ac:dyDescent="0.25">
      <c r="A1339" s="170">
        <v>44851</v>
      </c>
      <c r="B1339" s="116">
        <v>645.6</v>
      </c>
      <c r="C1339" s="116">
        <v>639.9</v>
      </c>
      <c r="D1339" s="116">
        <v>629.79999999999995</v>
      </c>
      <c r="E1339" s="116">
        <v>631.54999999999995</v>
      </c>
      <c r="F1339" s="116">
        <v>639.9</v>
      </c>
      <c r="G1339">
        <v>9450</v>
      </c>
      <c r="H1339" s="116"/>
      <c r="I1339" s="116"/>
      <c r="L1339" s="170">
        <v>44851</v>
      </c>
      <c r="M1339" s="116">
        <v>641.29999999999995</v>
      </c>
      <c r="N1339" s="116">
        <v>646.35</v>
      </c>
      <c r="O1339" s="116">
        <v>630.5</v>
      </c>
      <c r="P1339" s="116">
        <v>631.1</v>
      </c>
      <c r="Q1339" s="116">
        <v>641.29999999999995</v>
      </c>
      <c r="R1339">
        <v>85739</v>
      </c>
    </row>
    <row r="1340" spans="1:18" x14ac:dyDescent="0.25">
      <c r="A1340" s="170">
        <v>44852</v>
      </c>
      <c r="B1340" s="116">
        <v>657.35</v>
      </c>
      <c r="C1340" s="116">
        <v>572.15</v>
      </c>
      <c r="D1340" s="116">
        <v>563.54999999999995</v>
      </c>
      <c r="E1340" s="116">
        <v>645.20000000000005</v>
      </c>
      <c r="F1340" s="116">
        <v>572.15</v>
      </c>
      <c r="G1340">
        <v>101976</v>
      </c>
      <c r="H1340" s="116"/>
      <c r="I1340" s="116"/>
      <c r="L1340" s="170">
        <v>44852</v>
      </c>
      <c r="M1340" s="116">
        <v>571.45000000000005</v>
      </c>
      <c r="N1340" s="116">
        <v>657.25</v>
      </c>
      <c r="O1340" s="116">
        <v>564</v>
      </c>
      <c r="P1340" s="116">
        <v>645.04999999999995</v>
      </c>
      <c r="Q1340" s="116">
        <v>571.45000000000005</v>
      </c>
      <c r="R1340">
        <v>1223265</v>
      </c>
    </row>
    <row r="1341" spans="1:18" x14ac:dyDescent="0.25">
      <c r="A1341" s="170">
        <v>44853</v>
      </c>
      <c r="B1341" s="116">
        <v>592.45000000000005</v>
      </c>
      <c r="C1341" s="116">
        <v>584.9</v>
      </c>
      <c r="D1341" s="116">
        <v>573.95000000000005</v>
      </c>
      <c r="E1341" s="116">
        <v>577</v>
      </c>
      <c r="F1341" s="116">
        <v>584.9</v>
      </c>
      <c r="G1341">
        <v>51229</v>
      </c>
      <c r="H1341" s="116"/>
      <c r="I1341" s="116"/>
      <c r="L1341" s="170">
        <v>44853</v>
      </c>
      <c r="M1341" s="116">
        <v>584.85</v>
      </c>
      <c r="N1341" s="116">
        <v>592.79999999999995</v>
      </c>
      <c r="O1341" s="116">
        <v>575.1</v>
      </c>
      <c r="P1341" s="116">
        <v>580</v>
      </c>
      <c r="Q1341" s="116">
        <v>584.85</v>
      </c>
      <c r="R1341">
        <v>427025</v>
      </c>
    </row>
    <row r="1342" spans="1:18" x14ac:dyDescent="0.25">
      <c r="A1342" s="170">
        <v>44854</v>
      </c>
      <c r="B1342" s="116">
        <v>590.04999999999995</v>
      </c>
      <c r="C1342" s="116">
        <v>584.54999999999995</v>
      </c>
      <c r="D1342" s="116">
        <v>581</v>
      </c>
      <c r="E1342" s="116">
        <v>589.65</v>
      </c>
      <c r="F1342" s="116">
        <v>584.54999999999995</v>
      </c>
      <c r="G1342">
        <v>19904</v>
      </c>
      <c r="H1342" s="116"/>
      <c r="I1342" s="116"/>
      <c r="L1342" s="170">
        <v>44854</v>
      </c>
      <c r="M1342" s="116">
        <v>585.1</v>
      </c>
      <c r="N1342" s="116">
        <v>590</v>
      </c>
      <c r="O1342" s="116">
        <v>581.1</v>
      </c>
      <c r="P1342" s="116">
        <v>584</v>
      </c>
      <c r="Q1342" s="116">
        <v>585.1</v>
      </c>
      <c r="R1342">
        <v>145772</v>
      </c>
    </row>
    <row r="1343" spans="1:18" x14ac:dyDescent="0.25">
      <c r="A1343" s="170">
        <v>44855</v>
      </c>
      <c r="B1343" s="116">
        <v>590</v>
      </c>
      <c r="C1343" s="116">
        <v>578.95000000000005</v>
      </c>
      <c r="D1343" s="116">
        <v>572.15</v>
      </c>
      <c r="E1343" s="116">
        <v>590</v>
      </c>
      <c r="F1343" s="116">
        <v>578.95000000000005</v>
      </c>
      <c r="G1343">
        <v>16272</v>
      </c>
      <c r="H1343" s="116"/>
      <c r="I1343" s="116"/>
      <c r="L1343" s="170">
        <v>44855</v>
      </c>
      <c r="M1343" s="116">
        <v>578</v>
      </c>
      <c r="N1343" s="116">
        <v>589.6</v>
      </c>
      <c r="O1343" s="116">
        <v>570</v>
      </c>
      <c r="P1343" s="116">
        <v>589.6</v>
      </c>
      <c r="Q1343" s="116">
        <v>578</v>
      </c>
      <c r="R1343">
        <v>168641</v>
      </c>
    </row>
    <row r="1344" spans="1:18" x14ac:dyDescent="0.25">
      <c r="A1344" s="170">
        <v>44858</v>
      </c>
      <c r="B1344" s="116">
        <v>584.85</v>
      </c>
      <c r="C1344" s="116">
        <v>578.6</v>
      </c>
      <c r="D1344" s="116">
        <v>572.75</v>
      </c>
      <c r="E1344" s="116">
        <v>572.75</v>
      </c>
      <c r="F1344" s="116">
        <v>578.6</v>
      </c>
      <c r="G1344">
        <v>4853</v>
      </c>
      <c r="H1344" s="116"/>
      <c r="I1344" s="116"/>
      <c r="L1344" s="170">
        <v>44858</v>
      </c>
      <c r="M1344" s="116">
        <v>578.95000000000005</v>
      </c>
      <c r="N1344" s="116">
        <v>583.70000000000005</v>
      </c>
      <c r="O1344" s="116">
        <v>577.25</v>
      </c>
      <c r="P1344" s="116">
        <v>579.79999999999995</v>
      </c>
      <c r="Q1344" s="116">
        <v>578.95000000000005</v>
      </c>
      <c r="R1344">
        <v>28262</v>
      </c>
    </row>
    <row r="1345" spans="1:18" x14ac:dyDescent="0.25">
      <c r="A1345" s="170">
        <v>44859</v>
      </c>
      <c r="B1345" s="116">
        <v>580.15</v>
      </c>
      <c r="C1345" s="116">
        <v>568.54999999999995</v>
      </c>
      <c r="D1345" s="116">
        <v>565.85</v>
      </c>
      <c r="E1345" s="116">
        <v>580.15</v>
      </c>
      <c r="F1345" s="116">
        <v>568.54999999999995</v>
      </c>
      <c r="G1345">
        <v>8372</v>
      </c>
      <c r="H1345" s="116"/>
      <c r="I1345" s="116"/>
      <c r="L1345" s="170">
        <v>44859</v>
      </c>
      <c r="M1345" s="116">
        <v>568.15</v>
      </c>
      <c r="N1345" s="116">
        <v>579.79999999999995</v>
      </c>
      <c r="O1345" s="116">
        <v>565</v>
      </c>
      <c r="P1345" s="116">
        <v>579.75</v>
      </c>
      <c r="Q1345" s="116">
        <v>568.15</v>
      </c>
      <c r="R1345">
        <v>151653</v>
      </c>
    </row>
    <row r="1346" spans="1:18" x14ac:dyDescent="0.25">
      <c r="A1346" s="170">
        <v>44861</v>
      </c>
      <c r="B1346" s="116">
        <v>576.45000000000005</v>
      </c>
      <c r="C1346" s="116">
        <v>571.85</v>
      </c>
      <c r="D1346" s="116">
        <v>564.29999999999995</v>
      </c>
      <c r="E1346" s="116">
        <v>564.29999999999995</v>
      </c>
      <c r="F1346" s="116">
        <v>571.85</v>
      </c>
      <c r="G1346">
        <v>9189</v>
      </c>
      <c r="H1346" s="116"/>
      <c r="I1346" s="116"/>
      <c r="L1346" s="170">
        <v>44861</v>
      </c>
      <c r="M1346" s="116">
        <v>572.75</v>
      </c>
      <c r="N1346" s="116">
        <v>579.79999999999995</v>
      </c>
      <c r="O1346" s="116">
        <v>568.15</v>
      </c>
      <c r="P1346" s="116">
        <v>568.15</v>
      </c>
      <c r="Q1346" s="116">
        <v>572.75</v>
      </c>
      <c r="R1346">
        <v>49718</v>
      </c>
    </row>
    <row r="1347" spans="1:18" x14ac:dyDescent="0.25">
      <c r="A1347" s="170">
        <v>44862</v>
      </c>
      <c r="B1347" s="116">
        <v>581.54999999999995</v>
      </c>
      <c r="C1347" s="116">
        <v>565.25</v>
      </c>
      <c r="D1347" s="116">
        <v>560.20000000000005</v>
      </c>
      <c r="E1347" s="116">
        <v>572</v>
      </c>
      <c r="F1347" s="116">
        <v>565.25</v>
      </c>
      <c r="G1347">
        <v>13175</v>
      </c>
      <c r="H1347" s="116"/>
      <c r="I1347" s="116"/>
      <c r="L1347" s="170">
        <v>44862</v>
      </c>
      <c r="M1347" s="116">
        <v>564.20000000000005</v>
      </c>
      <c r="N1347" s="116">
        <v>581.95000000000005</v>
      </c>
      <c r="O1347" s="116">
        <v>560</v>
      </c>
      <c r="P1347" s="116">
        <v>573</v>
      </c>
      <c r="Q1347" s="116">
        <v>564.20000000000005</v>
      </c>
      <c r="R1347">
        <v>205824</v>
      </c>
    </row>
    <row r="1348" spans="1:18" x14ac:dyDescent="0.25">
      <c r="A1348" s="170">
        <v>44865</v>
      </c>
      <c r="B1348" s="116">
        <v>594.9</v>
      </c>
      <c r="C1348" s="116">
        <v>589.6</v>
      </c>
      <c r="D1348" s="116">
        <v>563</v>
      </c>
      <c r="E1348" s="116">
        <v>563</v>
      </c>
      <c r="F1348" s="116">
        <v>589.6</v>
      </c>
      <c r="G1348">
        <v>15600</v>
      </c>
      <c r="H1348" s="116"/>
      <c r="I1348" s="116"/>
      <c r="L1348" s="170">
        <v>44865</v>
      </c>
      <c r="M1348" s="116">
        <v>589.5</v>
      </c>
      <c r="N1348" s="116">
        <v>594.4</v>
      </c>
      <c r="O1348" s="116">
        <v>562.65</v>
      </c>
      <c r="P1348" s="116">
        <v>566.35</v>
      </c>
      <c r="Q1348" s="116">
        <v>589.5</v>
      </c>
      <c r="R1348">
        <v>181149</v>
      </c>
    </row>
    <row r="1349" spans="1:18" x14ac:dyDescent="0.25">
      <c r="A1349" s="170">
        <v>44866</v>
      </c>
      <c r="B1349" s="116">
        <v>599.15</v>
      </c>
      <c r="C1349" s="116">
        <v>593.95000000000005</v>
      </c>
      <c r="D1349" s="116">
        <v>582.54999999999995</v>
      </c>
      <c r="E1349" s="116">
        <v>599.15</v>
      </c>
      <c r="F1349" s="116">
        <v>593.95000000000005</v>
      </c>
      <c r="G1349">
        <v>14904</v>
      </c>
      <c r="H1349" s="116"/>
      <c r="I1349" s="116"/>
      <c r="L1349" s="170">
        <v>44866</v>
      </c>
      <c r="M1349" s="116">
        <v>594.45000000000005</v>
      </c>
      <c r="N1349" s="116">
        <v>596.85</v>
      </c>
      <c r="O1349" s="116">
        <v>582.70000000000005</v>
      </c>
      <c r="P1349" s="116">
        <v>595</v>
      </c>
      <c r="Q1349" s="116">
        <v>594.45000000000005</v>
      </c>
      <c r="R1349">
        <v>131520</v>
      </c>
    </row>
    <row r="1350" spans="1:18" x14ac:dyDescent="0.25">
      <c r="A1350" s="170">
        <v>44867</v>
      </c>
      <c r="B1350" s="116">
        <v>606.1</v>
      </c>
      <c r="C1350" s="116">
        <v>597</v>
      </c>
      <c r="D1350" s="116">
        <v>587.70000000000005</v>
      </c>
      <c r="E1350" s="116">
        <v>594</v>
      </c>
      <c r="F1350" s="116">
        <v>597</v>
      </c>
      <c r="G1350">
        <v>6656</v>
      </c>
      <c r="H1350" s="116"/>
      <c r="I1350" s="116"/>
      <c r="L1350" s="170">
        <v>44867</v>
      </c>
      <c r="M1350" s="116">
        <v>596.20000000000005</v>
      </c>
      <c r="N1350" s="116">
        <v>606.95000000000005</v>
      </c>
      <c r="O1350" s="116">
        <v>587.5</v>
      </c>
      <c r="P1350" s="116">
        <v>592.29999999999995</v>
      </c>
      <c r="Q1350" s="116">
        <v>596.20000000000005</v>
      </c>
      <c r="R1350">
        <v>148415</v>
      </c>
    </row>
    <row r="1351" spans="1:18" x14ac:dyDescent="0.25">
      <c r="A1351" s="170">
        <v>44868</v>
      </c>
      <c r="B1351" s="116">
        <v>601.20000000000005</v>
      </c>
      <c r="C1351" s="116">
        <v>594.45000000000005</v>
      </c>
      <c r="D1351" s="116">
        <v>591.6</v>
      </c>
      <c r="E1351" s="116">
        <v>593.65</v>
      </c>
      <c r="F1351" s="116">
        <v>594.45000000000005</v>
      </c>
      <c r="G1351">
        <v>3431</v>
      </c>
      <c r="H1351" s="116"/>
      <c r="I1351" s="116"/>
      <c r="L1351" s="170">
        <v>44868</v>
      </c>
      <c r="M1351" s="116">
        <v>595.6</v>
      </c>
      <c r="N1351" s="116">
        <v>600.79999999999995</v>
      </c>
      <c r="O1351" s="116">
        <v>590.95000000000005</v>
      </c>
      <c r="P1351" s="116">
        <v>596.20000000000005</v>
      </c>
      <c r="Q1351" s="116">
        <v>595.6</v>
      </c>
      <c r="R1351">
        <v>61336</v>
      </c>
    </row>
    <row r="1352" spans="1:18" x14ac:dyDescent="0.25">
      <c r="A1352" s="170">
        <v>44869</v>
      </c>
      <c r="B1352" s="116">
        <v>615.95000000000005</v>
      </c>
      <c r="C1352" s="116">
        <v>613.54999999999995</v>
      </c>
      <c r="D1352" s="116">
        <v>595.4</v>
      </c>
      <c r="E1352" s="116">
        <v>597.04999999999995</v>
      </c>
      <c r="F1352" s="116">
        <v>613.54999999999995</v>
      </c>
      <c r="G1352">
        <v>9008</v>
      </c>
      <c r="H1352" s="116"/>
      <c r="I1352" s="116"/>
      <c r="L1352" s="170">
        <v>44869</v>
      </c>
      <c r="M1352" s="116">
        <v>613.35</v>
      </c>
      <c r="N1352" s="116">
        <v>616</v>
      </c>
      <c r="O1352" s="116">
        <v>595.04999999999995</v>
      </c>
      <c r="P1352" s="116">
        <v>598</v>
      </c>
      <c r="Q1352" s="116">
        <v>613.35</v>
      </c>
      <c r="R1352">
        <v>183698</v>
      </c>
    </row>
    <row r="1353" spans="1:18" x14ac:dyDescent="0.25">
      <c r="A1353" s="170">
        <v>44872</v>
      </c>
      <c r="B1353" s="116">
        <v>617</v>
      </c>
      <c r="C1353" s="116">
        <v>611.15</v>
      </c>
      <c r="D1353" s="116">
        <v>598</v>
      </c>
      <c r="E1353" s="116">
        <v>610.45000000000005</v>
      </c>
      <c r="F1353" s="116">
        <v>611.15</v>
      </c>
      <c r="G1353">
        <v>12505</v>
      </c>
      <c r="H1353" s="116"/>
      <c r="I1353" s="116"/>
      <c r="L1353" s="170">
        <v>44872</v>
      </c>
      <c r="M1353" s="116">
        <v>611.20000000000005</v>
      </c>
      <c r="N1353" s="116">
        <v>616.85</v>
      </c>
      <c r="O1353" s="116">
        <v>597.75</v>
      </c>
      <c r="P1353" s="116">
        <v>616.85</v>
      </c>
      <c r="Q1353" s="116">
        <v>611.20000000000005</v>
      </c>
      <c r="R1353">
        <v>127801</v>
      </c>
    </row>
    <row r="1354" spans="1:18" x14ac:dyDescent="0.25">
      <c r="A1354" s="170">
        <v>44874</v>
      </c>
      <c r="B1354" s="116">
        <v>631.79999999999995</v>
      </c>
      <c r="C1354" s="116">
        <v>621.45000000000005</v>
      </c>
      <c r="D1354" s="116">
        <v>616.20000000000005</v>
      </c>
      <c r="E1354" s="116">
        <v>620.85</v>
      </c>
      <c r="F1354" s="116">
        <v>621.45000000000005</v>
      </c>
      <c r="G1354">
        <v>8259</v>
      </c>
      <c r="H1354" s="116"/>
      <c r="I1354" s="116"/>
      <c r="L1354" s="170">
        <v>44874</v>
      </c>
      <c r="M1354" s="116">
        <v>622.65</v>
      </c>
      <c r="N1354" s="116">
        <v>631.95000000000005</v>
      </c>
      <c r="O1354" s="116">
        <v>616</v>
      </c>
      <c r="P1354" s="116">
        <v>618.29999999999995</v>
      </c>
      <c r="Q1354" s="116">
        <v>622.65</v>
      </c>
      <c r="R1354">
        <v>180542</v>
      </c>
    </row>
    <row r="1355" spans="1:18" x14ac:dyDescent="0.25">
      <c r="A1355" s="170">
        <v>44875</v>
      </c>
      <c r="B1355" s="116">
        <v>634.35</v>
      </c>
      <c r="C1355" s="116">
        <v>624.54999999999995</v>
      </c>
      <c r="D1355" s="116">
        <v>618.15</v>
      </c>
      <c r="E1355" s="116">
        <v>619.54999999999995</v>
      </c>
      <c r="F1355" s="116">
        <v>624.54999999999995</v>
      </c>
      <c r="G1355">
        <v>9433</v>
      </c>
      <c r="H1355" s="116"/>
      <c r="I1355" s="116"/>
      <c r="L1355" s="170">
        <v>44875</v>
      </c>
      <c r="M1355" s="116">
        <v>625.1</v>
      </c>
      <c r="N1355" s="116">
        <v>634.85</v>
      </c>
      <c r="O1355" s="116">
        <v>617.25</v>
      </c>
      <c r="P1355" s="116">
        <v>621</v>
      </c>
      <c r="Q1355" s="116">
        <v>625.1</v>
      </c>
      <c r="R1355">
        <v>201773</v>
      </c>
    </row>
    <row r="1356" spans="1:18" x14ac:dyDescent="0.25">
      <c r="A1356" s="170">
        <v>44876</v>
      </c>
      <c r="B1356" s="116">
        <v>637.45000000000005</v>
      </c>
      <c r="C1356" s="116">
        <v>627.54999999999995</v>
      </c>
      <c r="D1356" s="116">
        <v>624.79999999999995</v>
      </c>
      <c r="E1356" s="116">
        <v>632.70000000000005</v>
      </c>
      <c r="F1356" s="116">
        <v>627.54999999999995</v>
      </c>
      <c r="G1356">
        <v>4905</v>
      </c>
      <c r="H1356" s="116"/>
      <c r="I1356" s="116"/>
      <c r="L1356" s="170">
        <v>44876</v>
      </c>
      <c r="M1356" s="116">
        <v>628.45000000000005</v>
      </c>
      <c r="N1356" s="116">
        <v>639</v>
      </c>
      <c r="O1356" s="116">
        <v>625.04999999999995</v>
      </c>
      <c r="P1356" s="116">
        <v>634</v>
      </c>
      <c r="Q1356" s="116">
        <v>628.45000000000005</v>
      </c>
      <c r="R1356">
        <v>105683</v>
      </c>
    </row>
    <row r="1357" spans="1:18" x14ac:dyDescent="0.25">
      <c r="A1357" s="170">
        <v>44879</v>
      </c>
      <c r="B1357" s="116">
        <v>632.65</v>
      </c>
      <c r="C1357" s="116">
        <v>625.5</v>
      </c>
      <c r="D1357" s="116">
        <v>619.35</v>
      </c>
      <c r="E1357" s="116">
        <v>622.04999999999995</v>
      </c>
      <c r="F1357" s="116">
        <v>625.5</v>
      </c>
      <c r="G1357">
        <v>8180</v>
      </c>
      <c r="H1357" s="116"/>
      <c r="I1357" s="116"/>
      <c r="L1357" s="170">
        <v>44879</v>
      </c>
      <c r="M1357" s="116">
        <v>622.65</v>
      </c>
      <c r="N1357" s="116">
        <v>633.29999999999995</v>
      </c>
      <c r="O1357" s="116">
        <v>615.85</v>
      </c>
      <c r="P1357" s="116">
        <v>631.6</v>
      </c>
      <c r="Q1357" s="116">
        <v>622.65</v>
      </c>
      <c r="R1357">
        <v>98701</v>
      </c>
    </row>
    <row r="1358" spans="1:18" x14ac:dyDescent="0.25">
      <c r="A1358" s="170">
        <v>44880</v>
      </c>
      <c r="B1358" s="116">
        <v>632</v>
      </c>
      <c r="C1358" s="116">
        <v>629.5</v>
      </c>
      <c r="D1358" s="116">
        <v>619</v>
      </c>
      <c r="E1358" s="116">
        <v>619.35</v>
      </c>
      <c r="F1358" s="116">
        <v>629.5</v>
      </c>
      <c r="G1358">
        <v>5035</v>
      </c>
      <c r="H1358" s="116"/>
      <c r="I1358" s="116"/>
      <c r="L1358" s="170">
        <v>44880</v>
      </c>
      <c r="M1358" s="116">
        <v>629.5</v>
      </c>
      <c r="N1358" s="116">
        <v>631</v>
      </c>
      <c r="O1358" s="116">
        <v>618.15</v>
      </c>
      <c r="P1358" s="116">
        <v>622</v>
      </c>
      <c r="Q1358" s="116">
        <v>629.5</v>
      </c>
      <c r="R1358">
        <v>42771</v>
      </c>
    </row>
    <row r="1359" spans="1:18" x14ac:dyDescent="0.25">
      <c r="A1359" s="170">
        <v>44881</v>
      </c>
      <c r="B1359" s="116">
        <v>633.04999999999995</v>
      </c>
      <c r="C1359" s="116">
        <v>630.6</v>
      </c>
      <c r="D1359" s="116">
        <v>617.04999999999995</v>
      </c>
      <c r="E1359" s="116">
        <v>617.04999999999995</v>
      </c>
      <c r="F1359" s="116">
        <v>630.6</v>
      </c>
      <c r="G1359">
        <v>6496</v>
      </c>
      <c r="H1359" s="116"/>
      <c r="I1359" s="116"/>
      <c r="L1359" s="170">
        <v>44881</v>
      </c>
      <c r="M1359" s="116">
        <v>631.29999999999995</v>
      </c>
      <c r="N1359" s="116">
        <v>634</v>
      </c>
      <c r="O1359" s="116">
        <v>622.85</v>
      </c>
      <c r="P1359" s="116">
        <v>623.20000000000005</v>
      </c>
      <c r="Q1359" s="116">
        <v>631.29999999999995</v>
      </c>
      <c r="R1359">
        <v>73843</v>
      </c>
    </row>
    <row r="1360" spans="1:18" x14ac:dyDescent="0.25">
      <c r="A1360" s="170">
        <v>44882</v>
      </c>
      <c r="B1360" s="116">
        <v>631.1</v>
      </c>
      <c r="C1360" s="116">
        <v>627.70000000000005</v>
      </c>
      <c r="D1360" s="116">
        <v>619.25</v>
      </c>
      <c r="E1360" s="116">
        <v>631.1</v>
      </c>
      <c r="F1360" s="116">
        <v>627.70000000000005</v>
      </c>
      <c r="G1360">
        <v>5502</v>
      </c>
      <c r="H1360" s="116"/>
      <c r="I1360" s="116"/>
      <c r="L1360" s="170">
        <v>44882</v>
      </c>
      <c r="M1360" s="116">
        <v>626.79999999999995</v>
      </c>
      <c r="N1360" s="116">
        <v>633</v>
      </c>
      <c r="O1360" s="116">
        <v>620</v>
      </c>
      <c r="P1360" s="116">
        <v>633</v>
      </c>
      <c r="Q1360" s="116">
        <v>626.79999999999995</v>
      </c>
      <c r="R1360">
        <v>56649</v>
      </c>
    </row>
    <row r="1361" spans="1:18" x14ac:dyDescent="0.25">
      <c r="A1361" s="170">
        <v>44883</v>
      </c>
      <c r="B1361" s="116">
        <v>632</v>
      </c>
      <c r="C1361" s="116">
        <v>624.95000000000005</v>
      </c>
      <c r="D1361" s="116">
        <v>617</v>
      </c>
      <c r="E1361" s="116">
        <v>632</v>
      </c>
      <c r="F1361" s="116">
        <v>624.95000000000005</v>
      </c>
      <c r="G1361">
        <v>9652</v>
      </c>
      <c r="H1361" s="116"/>
      <c r="I1361" s="116"/>
      <c r="L1361" s="170">
        <v>44883</v>
      </c>
      <c r="M1361" s="116">
        <v>624.85</v>
      </c>
      <c r="N1361" s="116">
        <v>629.9</v>
      </c>
      <c r="O1361" s="116">
        <v>617.04999999999995</v>
      </c>
      <c r="P1361" s="116">
        <v>629.9</v>
      </c>
      <c r="Q1361" s="116">
        <v>624.85</v>
      </c>
      <c r="R1361">
        <v>95773</v>
      </c>
    </row>
    <row r="1362" spans="1:18" x14ac:dyDescent="0.25">
      <c r="A1362" s="170">
        <v>44886</v>
      </c>
      <c r="B1362" s="116">
        <v>629.54999999999995</v>
      </c>
      <c r="C1362" s="116">
        <v>627.04999999999995</v>
      </c>
      <c r="D1362" s="116">
        <v>616</v>
      </c>
      <c r="E1362" s="116">
        <v>616</v>
      </c>
      <c r="F1362" s="116">
        <v>627.04999999999995</v>
      </c>
      <c r="G1362">
        <v>6760</v>
      </c>
      <c r="H1362" s="116"/>
      <c r="I1362" s="116"/>
      <c r="L1362" s="170">
        <v>44886</v>
      </c>
      <c r="M1362" s="116">
        <v>626.1</v>
      </c>
      <c r="N1362" s="116">
        <v>630</v>
      </c>
      <c r="O1362" s="116">
        <v>617.70000000000005</v>
      </c>
      <c r="P1362" s="116">
        <v>628</v>
      </c>
      <c r="Q1362" s="116">
        <v>626.1</v>
      </c>
      <c r="R1362">
        <v>68341</v>
      </c>
    </row>
    <row r="1363" spans="1:18" x14ac:dyDescent="0.25">
      <c r="A1363" s="170">
        <v>44887</v>
      </c>
      <c r="B1363" s="116">
        <v>629.54999999999995</v>
      </c>
      <c r="C1363" s="116">
        <v>625.85</v>
      </c>
      <c r="D1363" s="116">
        <v>616</v>
      </c>
      <c r="E1363" s="116">
        <v>616</v>
      </c>
      <c r="F1363" s="116">
        <v>625.85</v>
      </c>
      <c r="G1363">
        <v>4205</v>
      </c>
      <c r="H1363" s="116"/>
      <c r="I1363" s="116"/>
      <c r="L1363" s="170">
        <v>44887</v>
      </c>
      <c r="M1363" s="116">
        <v>625.65</v>
      </c>
      <c r="N1363" s="116">
        <v>629.9</v>
      </c>
      <c r="O1363" s="116">
        <v>618</v>
      </c>
      <c r="P1363" s="116">
        <v>629</v>
      </c>
      <c r="Q1363" s="116">
        <v>625.65</v>
      </c>
      <c r="R1363">
        <v>48353</v>
      </c>
    </row>
    <row r="1364" spans="1:18" x14ac:dyDescent="0.25">
      <c r="A1364" s="170">
        <v>44888</v>
      </c>
      <c r="B1364" s="116">
        <v>629.29999999999995</v>
      </c>
      <c r="C1364" s="116">
        <v>623.45000000000005</v>
      </c>
      <c r="D1364" s="116">
        <v>615.04999999999995</v>
      </c>
      <c r="E1364" s="116">
        <v>615.04999999999995</v>
      </c>
      <c r="F1364" s="116">
        <v>623.45000000000005</v>
      </c>
      <c r="G1364">
        <v>3165</v>
      </c>
      <c r="H1364" s="116"/>
      <c r="I1364" s="116"/>
      <c r="L1364" s="170">
        <v>44888</v>
      </c>
      <c r="M1364" s="116">
        <v>625.35</v>
      </c>
      <c r="N1364" s="116">
        <v>630</v>
      </c>
      <c r="O1364" s="116">
        <v>623.20000000000005</v>
      </c>
      <c r="P1364" s="116">
        <v>624</v>
      </c>
      <c r="Q1364" s="116">
        <v>625.35</v>
      </c>
      <c r="R1364">
        <v>24441</v>
      </c>
    </row>
    <row r="1365" spans="1:18" x14ac:dyDescent="0.25">
      <c r="A1365" s="170">
        <v>44889</v>
      </c>
      <c r="B1365" s="116">
        <v>643</v>
      </c>
      <c r="C1365" s="116">
        <v>634.35</v>
      </c>
      <c r="D1365" s="116">
        <v>625.75</v>
      </c>
      <c r="E1365" s="116">
        <v>626.20000000000005</v>
      </c>
      <c r="F1365" s="116">
        <v>634.35</v>
      </c>
      <c r="G1365">
        <v>3986</v>
      </c>
      <c r="H1365" s="116"/>
      <c r="I1365" s="116"/>
      <c r="L1365" s="170">
        <v>44889</v>
      </c>
      <c r="M1365" s="116">
        <v>633.79999999999995</v>
      </c>
      <c r="N1365" s="116">
        <v>643</v>
      </c>
      <c r="O1365" s="116">
        <v>625</v>
      </c>
      <c r="P1365" s="116">
        <v>628.5</v>
      </c>
      <c r="Q1365" s="116">
        <v>633.79999999999995</v>
      </c>
      <c r="R1365">
        <v>118130</v>
      </c>
    </row>
    <row r="1366" spans="1:18" x14ac:dyDescent="0.25">
      <c r="A1366" s="170">
        <v>44890</v>
      </c>
      <c r="B1366" s="116">
        <v>641.54999999999995</v>
      </c>
      <c r="C1366" s="116">
        <v>628.6</v>
      </c>
      <c r="D1366" s="116">
        <v>626.5</v>
      </c>
      <c r="E1366" s="116">
        <v>640</v>
      </c>
      <c r="F1366" s="116">
        <v>628.6</v>
      </c>
      <c r="G1366">
        <v>7017</v>
      </c>
      <c r="H1366" s="116"/>
      <c r="I1366" s="116"/>
      <c r="L1366" s="170">
        <v>44890</v>
      </c>
      <c r="M1366" s="116">
        <v>628.70000000000005</v>
      </c>
      <c r="N1366" s="116">
        <v>642.15</v>
      </c>
      <c r="O1366" s="116">
        <v>626</v>
      </c>
      <c r="P1366" s="116">
        <v>640</v>
      </c>
      <c r="Q1366" s="116">
        <v>628.70000000000005</v>
      </c>
      <c r="R1366">
        <v>42617</v>
      </c>
    </row>
    <row r="1367" spans="1:18" x14ac:dyDescent="0.25">
      <c r="A1367" s="170">
        <v>44893</v>
      </c>
      <c r="B1367" s="116">
        <v>629.4</v>
      </c>
      <c r="C1367" s="116">
        <v>626.70000000000005</v>
      </c>
      <c r="D1367" s="116">
        <v>617</v>
      </c>
      <c r="E1367" s="116">
        <v>617</v>
      </c>
      <c r="F1367" s="116">
        <v>626.70000000000005</v>
      </c>
      <c r="G1367">
        <v>6392</v>
      </c>
      <c r="H1367" s="116"/>
      <c r="I1367" s="116"/>
      <c r="L1367" s="170">
        <v>44893</v>
      </c>
      <c r="M1367" s="116">
        <v>626.20000000000005</v>
      </c>
      <c r="N1367" s="116">
        <v>631.85</v>
      </c>
      <c r="O1367" s="116">
        <v>621.35</v>
      </c>
      <c r="P1367" s="116">
        <v>631.85</v>
      </c>
      <c r="Q1367" s="116">
        <v>626.20000000000005</v>
      </c>
      <c r="R1367">
        <v>44996</v>
      </c>
    </row>
    <row r="1368" spans="1:18" x14ac:dyDescent="0.25">
      <c r="A1368" s="170">
        <v>44894</v>
      </c>
      <c r="B1368" s="116">
        <v>647.54999999999995</v>
      </c>
      <c r="C1368" s="116">
        <v>632.65</v>
      </c>
      <c r="D1368" s="116">
        <v>627</v>
      </c>
      <c r="E1368" s="116">
        <v>633.15</v>
      </c>
      <c r="F1368" s="116">
        <v>632.65</v>
      </c>
      <c r="G1368">
        <v>15697</v>
      </c>
      <c r="H1368" s="116"/>
      <c r="I1368" s="116"/>
      <c r="L1368" s="170">
        <v>44894</v>
      </c>
      <c r="M1368" s="116">
        <v>631.5</v>
      </c>
      <c r="N1368" s="116">
        <v>648</v>
      </c>
      <c r="O1368" s="116">
        <v>626.15</v>
      </c>
      <c r="P1368" s="116">
        <v>628</v>
      </c>
      <c r="Q1368" s="116">
        <v>631.5</v>
      </c>
      <c r="R1368">
        <v>186439</v>
      </c>
    </row>
    <row r="1369" spans="1:18" x14ac:dyDescent="0.25">
      <c r="A1369" s="170">
        <v>44895</v>
      </c>
      <c r="B1369" s="116">
        <v>644.65</v>
      </c>
      <c r="C1369" s="116">
        <v>639.35</v>
      </c>
      <c r="D1369" s="116">
        <v>632.9</v>
      </c>
      <c r="E1369" s="116">
        <v>634.1</v>
      </c>
      <c r="F1369" s="116">
        <v>639.35</v>
      </c>
      <c r="G1369">
        <v>13067</v>
      </c>
      <c r="H1369" s="116"/>
      <c r="I1369" s="116"/>
      <c r="L1369" s="170">
        <v>44895</v>
      </c>
      <c r="M1369" s="116">
        <v>639.45000000000005</v>
      </c>
      <c r="N1369" s="116">
        <v>644.5</v>
      </c>
      <c r="O1369" s="116">
        <v>631.6</v>
      </c>
      <c r="P1369" s="116">
        <v>634.45000000000005</v>
      </c>
      <c r="Q1369" s="116">
        <v>639.45000000000005</v>
      </c>
      <c r="R1369">
        <v>76024</v>
      </c>
    </row>
    <row r="1370" spans="1:18" x14ac:dyDescent="0.25">
      <c r="A1370" s="170">
        <v>44896</v>
      </c>
      <c r="B1370" s="116">
        <v>649.9</v>
      </c>
      <c r="C1370" s="116">
        <v>637.1</v>
      </c>
      <c r="D1370" s="116">
        <v>633.54999999999995</v>
      </c>
      <c r="E1370" s="116">
        <v>649.9</v>
      </c>
      <c r="F1370" s="116">
        <v>637.1</v>
      </c>
      <c r="G1370">
        <v>2466</v>
      </c>
      <c r="H1370" s="116"/>
      <c r="I1370" s="116"/>
      <c r="L1370" s="170">
        <v>44896</v>
      </c>
      <c r="M1370" s="116">
        <v>637.79999999999995</v>
      </c>
      <c r="N1370" s="116">
        <v>643.95000000000005</v>
      </c>
      <c r="O1370" s="116">
        <v>633</v>
      </c>
      <c r="P1370" s="116">
        <v>642.29999999999995</v>
      </c>
      <c r="Q1370" s="116">
        <v>637.79999999999995</v>
      </c>
      <c r="R1370">
        <v>55161</v>
      </c>
    </row>
    <row r="1371" spans="1:18" x14ac:dyDescent="0.25">
      <c r="A1371" s="170">
        <v>44897</v>
      </c>
      <c r="B1371" s="116">
        <v>641.95000000000005</v>
      </c>
      <c r="C1371" s="116">
        <v>636.4</v>
      </c>
      <c r="D1371" s="116">
        <v>629.70000000000005</v>
      </c>
      <c r="E1371" s="116">
        <v>640</v>
      </c>
      <c r="F1371" s="116">
        <v>636.4</v>
      </c>
      <c r="G1371">
        <v>1845</v>
      </c>
      <c r="H1371" s="116"/>
      <c r="I1371" s="116"/>
      <c r="L1371" s="170">
        <v>44897</v>
      </c>
      <c r="M1371" s="116">
        <v>636.85</v>
      </c>
      <c r="N1371" s="116">
        <v>642</v>
      </c>
      <c r="O1371" s="116">
        <v>629.25</v>
      </c>
      <c r="P1371" s="116">
        <v>640</v>
      </c>
      <c r="Q1371" s="116">
        <v>636.85</v>
      </c>
      <c r="R1371">
        <v>40814</v>
      </c>
    </row>
    <row r="1372" spans="1:18" x14ac:dyDescent="0.25">
      <c r="A1372" s="170">
        <v>44900</v>
      </c>
      <c r="B1372" s="116">
        <v>650</v>
      </c>
      <c r="C1372" s="116">
        <v>634.6</v>
      </c>
      <c r="D1372" s="116">
        <v>630.04999999999995</v>
      </c>
      <c r="E1372" s="116">
        <v>636</v>
      </c>
      <c r="F1372" s="116">
        <v>634.6</v>
      </c>
      <c r="G1372">
        <v>5579</v>
      </c>
      <c r="H1372" s="116"/>
      <c r="I1372" s="116"/>
      <c r="L1372" s="170">
        <v>44900</v>
      </c>
      <c r="M1372" s="116">
        <v>634.9</v>
      </c>
      <c r="N1372" s="116">
        <v>650</v>
      </c>
      <c r="O1372" s="116">
        <v>630.04999999999995</v>
      </c>
      <c r="P1372" s="116">
        <v>634.5</v>
      </c>
      <c r="Q1372" s="116">
        <v>634.9</v>
      </c>
      <c r="R1372">
        <v>127798</v>
      </c>
    </row>
    <row r="1373" spans="1:18" x14ac:dyDescent="0.25">
      <c r="A1373" s="170">
        <v>44901</v>
      </c>
      <c r="B1373" s="116">
        <v>649.1</v>
      </c>
      <c r="C1373" s="116">
        <v>633.9</v>
      </c>
      <c r="D1373" s="116">
        <v>631.65</v>
      </c>
      <c r="E1373" s="116">
        <v>634.6</v>
      </c>
      <c r="F1373" s="116">
        <v>633.9</v>
      </c>
      <c r="G1373">
        <v>3740</v>
      </c>
      <c r="H1373" s="116"/>
      <c r="I1373" s="116"/>
      <c r="L1373" s="170">
        <v>44901</v>
      </c>
      <c r="M1373" s="116">
        <v>634.54999999999995</v>
      </c>
      <c r="N1373" s="116">
        <v>649</v>
      </c>
      <c r="O1373" s="116">
        <v>631.79999999999995</v>
      </c>
      <c r="P1373" s="116">
        <v>633.45000000000005</v>
      </c>
      <c r="Q1373" s="116">
        <v>634.54999999999995</v>
      </c>
      <c r="R1373">
        <v>101394</v>
      </c>
    </row>
    <row r="1374" spans="1:18" x14ac:dyDescent="0.25">
      <c r="A1374" s="170">
        <v>44902</v>
      </c>
      <c r="B1374" s="116">
        <v>647.9</v>
      </c>
      <c r="C1374" s="116">
        <v>641.9</v>
      </c>
      <c r="D1374" s="116">
        <v>636.1</v>
      </c>
      <c r="E1374" s="116">
        <v>638.45000000000005</v>
      </c>
      <c r="F1374" s="116">
        <v>641.9</v>
      </c>
      <c r="G1374">
        <v>3713</v>
      </c>
      <c r="H1374" s="116"/>
      <c r="I1374" s="116"/>
      <c r="L1374" s="170">
        <v>44902</v>
      </c>
      <c r="M1374" s="116">
        <v>642.20000000000005</v>
      </c>
      <c r="N1374" s="116">
        <v>647.29999999999995</v>
      </c>
      <c r="O1374" s="116">
        <v>635.35</v>
      </c>
      <c r="P1374" s="116">
        <v>635.35</v>
      </c>
      <c r="Q1374" s="116">
        <v>642.20000000000005</v>
      </c>
      <c r="R1374">
        <v>95793</v>
      </c>
    </row>
    <row r="1375" spans="1:18" x14ac:dyDescent="0.25">
      <c r="A1375" s="170">
        <v>44903</v>
      </c>
      <c r="B1375" s="116">
        <v>653</v>
      </c>
      <c r="C1375" s="116">
        <v>643.15</v>
      </c>
      <c r="D1375" s="116">
        <v>640</v>
      </c>
      <c r="E1375" s="116">
        <v>644.70000000000005</v>
      </c>
      <c r="F1375" s="116">
        <v>643.15</v>
      </c>
      <c r="G1375">
        <v>6339</v>
      </c>
      <c r="H1375" s="116"/>
      <c r="I1375" s="116"/>
      <c r="L1375" s="170">
        <v>44903</v>
      </c>
      <c r="M1375" s="116">
        <v>643.5</v>
      </c>
      <c r="N1375" s="116">
        <v>653.79999999999995</v>
      </c>
      <c r="O1375" s="116">
        <v>640</v>
      </c>
      <c r="P1375" s="116">
        <v>646</v>
      </c>
      <c r="Q1375" s="116">
        <v>643.5</v>
      </c>
      <c r="R1375">
        <v>91164</v>
      </c>
    </row>
    <row r="1376" spans="1:18" x14ac:dyDescent="0.25">
      <c r="A1376" s="170">
        <v>44904</v>
      </c>
      <c r="B1376" s="116">
        <v>678.6</v>
      </c>
      <c r="C1376" s="116">
        <v>665.8</v>
      </c>
      <c r="D1376" s="116">
        <v>639.6</v>
      </c>
      <c r="E1376" s="116">
        <v>643.4</v>
      </c>
      <c r="F1376" s="116">
        <v>665.8</v>
      </c>
      <c r="G1376">
        <v>31553</v>
      </c>
      <c r="H1376" s="116"/>
      <c r="I1376" s="116"/>
      <c r="L1376" s="170">
        <v>44904</v>
      </c>
      <c r="M1376" s="116">
        <v>661.85</v>
      </c>
      <c r="N1376" s="116">
        <v>672</v>
      </c>
      <c r="O1376" s="116">
        <v>635.04999999999995</v>
      </c>
      <c r="P1376" s="116">
        <v>641</v>
      </c>
      <c r="Q1376" s="116">
        <v>661.85</v>
      </c>
      <c r="R1376">
        <v>450790</v>
      </c>
    </row>
    <row r="1377" spans="1:18" x14ac:dyDescent="0.25">
      <c r="A1377" s="170">
        <v>44907</v>
      </c>
      <c r="B1377" s="116">
        <v>718</v>
      </c>
      <c r="C1377" s="116">
        <v>706.6</v>
      </c>
      <c r="D1377" s="116">
        <v>666.5</v>
      </c>
      <c r="E1377" s="116">
        <v>670</v>
      </c>
      <c r="F1377" s="116">
        <v>706.6</v>
      </c>
      <c r="G1377">
        <v>121738</v>
      </c>
      <c r="H1377" s="116"/>
      <c r="I1377" s="116"/>
      <c r="L1377" s="170">
        <v>44907</v>
      </c>
      <c r="M1377" s="116">
        <v>707.3</v>
      </c>
      <c r="N1377" s="116">
        <v>718</v>
      </c>
      <c r="O1377" s="116">
        <v>666.1</v>
      </c>
      <c r="P1377" s="116">
        <v>670</v>
      </c>
      <c r="Q1377" s="116">
        <v>707.3</v>
      </c>
      <c r="R1377">
        <v>2184998</v>
      </c>
    </row>
    <row r="1378" spans="1:18" x14ac:dyDescent="0.25">
      <c r="A1378" s="170">
        <v>44908</v>
      </c>
      <c r="B1378" s="116">
        <v>724</v>
      </c>
      <c r="C1378" s="116">
        <v>703.05</v>
      </c>
      <c r="D1378" s="116">
        <v>700.2</v>
      </c>
      <c r="E1378" s="116">
        <v>711.15</v>
      </c>
      <c r="F1378" s="116">
        <v>703.05</v>
      </c>
      <c r="G1378">
        <v>35366</v>
      </c>
      <c r="H1378" s="116"/>
      <c r="I1378" s="116"/>
      <c r="L1378" s="170">
        <v>44908</v>
      </c>
      <c r="M1378" s="116">
        <v>704.3</v>
      </c>
      <c r="N1378" s="116">
        <v>724.65</v>
      </c>
      <c r="O1378" s="116">
        <v>700.35</v>
      </c>
      <c r="P1378" s="116">
        <v>715</v>
      </c>
      <c r="Q1378" s="116">
        <v>704.3</v>
      </c>
      <c r="R1378">
        <v>672930</v>
      </c>
    </row>
    <row r="1379" spans="1:18" x14ac:dyDescent="0.25">
      <c r="A1379" s="170">
        <v>44909</v>
      </c>
      <c r="B1379" s="116">
        <v>706.45</v>
      </c>
      <c r="C1379" s="116">
        <v>685.1</v>
      </c>
      <c r="D1379" s="116">
        <v>677.15</v>
      </c>
      <c r="E1379" s="116">
        <v>703.1</v>
      </c>
      <c r="F1379" s="116">
        <v>685.1</v>
      </c>
      <c r="G1379">
        <v>13926</v>
      </c>
      <c r="H1379" s="116"/>
      <c r="I1379" s="116"/>
      <c r="L1379" s="170">
        <v>44909</v>
      </c>
      <c r="M1379" s="116">
        <v>688.75</v>
      </c>
      <c r="N1379" s="116">
        <v>706.95</v>
      </c>
      <c r="O1379" s="116">
        <v>677.7</v>
      </c>
      <c r="P1379" s="116">
        <v>704.3</v>
      </c>
      <c r="Q1379" s="116">
        <v>688.75</v>
      </c>
      <c r="R1379">
        <v>292378</v>
      </c>
    </row>
    <row r="1380" spans="1:18" x14ac:dyDescent="0.25">
      <c r="A1380" s="170">
        <v>44910</v>
      </c>
      <c r="B1380" s="116">
        <v>701.5</v>
      </c>
      <c r="C1380" s="116">
        <v>677.2</v>
      </c>
      <c r="D1380" s="116">
        <v>670.6</v>
      </c>
      <c r="E1380" s="116">
        <v>699.6</v>
      </c>
      <c r="F1380" s="116">
        <v>677.2</v>
      </c>
      <c r="G1380">
        <v>8016</v>
      </c>
      <c r="H1380" s="116"/>
      <c r="I1380" s="116"/>
      <c r="L1380" s="170">
        <v>44910</v>
      </c>
      <c r="M1380" s="116">
        <v>676.5</v>
      </c>
      <c r="N1380" s="116">
        <v>702.8</v>
      </c>
      <c r="O1380" s="116">
        <v>670.25</v>
      </c>
      <c r="P1380" s="116">
        <v>695.6</v>
      </c>
      <c r="Q1380" s="116">
        <v>676.5</v>
      </c>
      <c r="R1380">
        <v>156132</v>
      </c>
    </row>
    <row r="1381" spans="1:18" x14ac:dyDescent="0.25">
      <c r="A1381" s="170">
        <v>44911</v>
      </c>
      <c r="B1381" s="116">
        <v>698.6</v>
      </c>
      <c r="C1381" s="116">
        <v>676.15</v>
      </c>
      <c r="D1381" s="116">
        <v>668.75</v>
      </c>
      <c r="E1381" s="116">
        <v>677.6</v>
      </c>
      <c r="F1381" s="116">
        <v>676.15</v>
      </c>
      <c r="G1381">
        <v>44552</v>
      </c>
      <c r="H1381" s="116"/>
      <c r="I1381" s="116"/>
      <c r="L1381" s="170">
        <v>44911</v>
      </c>
      <c r="M1381" s="116">
        <v>677</v>
      </c>
      <c r="N1381" s="116">
        <v>698.95</v>
      </c>
      <c r="O1381" s="116">
        <v>669.05</v>
      </c>
      <c r="P1381" s="116">
        <v>680</v>
      </c>
      <c r="Q1381" s="116">
        <v>677</v>
      </c>
      <c r="R1381">
        <v>194097</v>
      </c>
    </row>
    <row r="1382" spans="1:18" x14ac:dyDescent="0.25">
      <c r="A1382" s="170">
        <v>44914</v>
      </c>
      <c r="B1382" s="116">
        <v>690.45</v>
      </c>
      <c r="C1382" s="116">
        <v>676.8</v>
      </c>
      <c r="D1382" s="116">
        <v>670.65</v>
      </c>
      <c r="E1382" s="116">
        <v>676.15</v>
      </c>
      <c r="F1382" s="116">
        <v>676.8</v>
      </c>
      <c r="G1382">
        <v>4812</v>
      </c>
      <c r="H1382" s="116"/>
      <c r="I1382" s="116"/>
      <c r="L1382" s="170">
        <v>44914</v>
      </c>
      <c r="M1382" s="116">
        <v>677.1</v>
      </c>
      <c r="N1382" s="116">
        <v>690.6</v>
      </c>
      <c r="O1382" s="116">
        <v>671</v>
      </c>
      <c r="P1382" s="116">
        <v>678</v>
      </c>
      <c r="Q1382" s="116">
        <v>677.1</v>
      </c>
      <c r="R1382">
        <v>102281</v>
      </c>
    </row>
    <row r="1383" spans="1:18" x14ac:dyDescent="0.25">
      <c r="A1383" s="170">
        <v>44915</v>
      </c>
      <c r="B1383" s="116">
        <v>746.5</v>
      </c>
      <c r="C1383" s="116">
        <v>715.85</v>
      </c>
      <c r="D1383" s="116">
        <v>672.05</v>
      </c>
      <c r="E1383" s="116">
        <v>672.05</v>
      </c>
      <c r="F1383" s="116">
        <v>715.85</v>
      </c>
      <c r="G1383">
        <v>84984</v>
      </c>
      <c r="H1383" s="116"/>
      <c r="I1383" s="116"/>
      <c r="L1383" s="170">
        <v>44915</v>
      </c>
      <c r="M1383" s="116">
        <v>716.5</v>
      </c>
      <c r="N1383" s="116">
        <v>746.65</v>
      </c>
      <c r="O1383" s="116">
        <v>678</v>
      </c>
      <c r="P1383" s="116">
        <v>679.75</v>
      </c>
      <c r="Q1383" s="116">
        <v>716.5</v>
      </c>
      <c r="R1383">
        <v>2594997</v>
      </c>
    </row>
    <row r="1384" spans="1:18" x14ac:dyDescent="0.25">
      <c r="A1384" s="170">
        <v>44916</v>
      </c>
      <c r="B1384" s="116">
        <v>734</v>
      </c>
      <c r="C1384" s="116">
        <v>684.95</v>
      </c>
      <c r="D1384" s="116">
        <v>679.15</v>
      </c>
      <c r="E1384" s="116">
        <v>722.95</v>
      </c>
      <c r="F1384" s="116">
        <v>684.95</v>
      </c>
      <c r="G1384">
        <v>27577</v>
      </c>
      <c r="H1384" s="116"/>
      <c r="I1384" s="116"/>
      <c r="L1384" s="170">
        <v>44916</v>
      </c>
      <c r="M1384" s="116">
        <v>684.55</v>
      </c>
      <c r="N1384" s="116">
        <v>734.2</v>
      </c>
      <c r="O1384" s="116">
        <v>677</v>
      </c>
      <c r="P1384" s="116">
        <v>719</v>
      </c>
      <c r="Q1384" s="116">
        <v>684.55</v>
      </c>
      <c r="R1384">
        <v>435209</v>
      </c>
    </row>
    <row r="1385" spans="1:18" x14ac:dyDescent="0.25">
      <c r="A1385" s="170">
        <v>44917</v>
      </c>
      <c r="B1385" s="116">
        <v>699.95</v>
      </c>
      <c r="C1385" s="116">
        <v>690.85</v>
      </c>
      <c r="D1385" s="116">
        <v>665.3</v>
      </c>
      <c r="E1385" s="116">
        <v>688</v>
      </c>
      <c r="F1385" s="116">
        <v>690.85</v>
      </c>
      <c r="G1385">
        <v>39032</v>
      </c>
      <c r="H1385" s="116"/>
      <c r="I1385" s="116"/>
      <c r="L1385" s="170">
        <v>44917</v>
      </c>
      <c r="M1385" s="116">
        <v>689.95</v>
      </c>
      <c r="N1385" s="116">
        <v>699</v>
      </c>
      <c r="O1385" s="116">
        <v>665.2</v>
      </c>
      <c r="P1385" s="116">
        <v>694.15</v>
      </c>
      <c r="Q1385" s="116">
        <v>689.95</v>
      </c>
      <c r="R1385">
        <v>289086</v>
      </c>
    </row>
    <row r="1386" spans="1:18" x14ac:dyDescent="0.25">
      <c r="A1386" s="170">
        <v>44918</v>
      </c>
      <c r="B1386" s="116">
        <v>687.85</v>
      </c>
      <c r="C1386" s="116">
        <v>651.04999999999995</v>
      </c>
      <c r="D1386" s="116">
        <v>640.54999999999995</v>
      </c>
      <c r="E1386" s="116">
        <v>676.15</v>
      </c>
      <c r="F1386" s="116">
        <v>651.04999999999995</v>
      </c>
      <c r="G1386">
        <v>34186</v>
      </c>
      <c r="H1386" s="116"/>
      <c r="I1386" s="116"/>
      <c r="L1386" s="170">
        <v>44918</v>
      </c>
      <c r="M1386" s="116">
        <v>651.65</v>
      </c>
      <c r="N1386" s="116">
        <v>688.95</v>
      </c>
      <c r="O1386" s="116">
        <v>641.35</v>
      </c>
      <c r="P1386" s="116">
        <v>688.95</v>
      </c>
      <c r="Q1386" s="116">
        <v>651.65</v>
      </c>
      <c r="R1386">
        <v>288007</v>
      </c>
    </row>
    <row r="1387" spans="1:18" x14ac:dyDescent="0.25">
      <c r="A1387" s="170">
        <v>44921</v>
      </c>
      <c r="B1387" s="116">
        <v>679.2</v>
      </c>
      <c r="C1387" s="116">
        <v>671.8</v>
      </c>
      <c r="D1387" s="116">
        <v>644.45000000000005</v>
      </c>
      <c r="E1387" s="116">
        <v>651.04999999999995</v>
      </c>
      <c r="F1387" s="116">
        <v>671.8</v>
      </c>
      <c r="G1387">
        <v>9321</v>
      </c>
      <c r="H1387" s="116"/>
      <c r="I1387" s="116"/>
      <c r="L1387" s="170">
        <v>44921</v>
      </c>
      <c r="M1387" s="116">
        <v>671.3</v>
      </c>
      <c r="N1387" s="116">
        <v>679.8</v>
      </c>
      <c r="O1387" s="116">
        <v>644.15</v>
      </c>
      <c r="P1387" s="116">
        <v>655</v>
      </c>
      <c r="Q1387" s="116">
        <v>671.3</v>
      </c>
      <c r="R1387">
        <v>152264</v>
      </c>
    </row>
    <row r="1388" spans="1:18" x14ac:dyDescent="0.25">
      <c r="A1388" s="170">
        <v>44922</v>
      </c>
      <c r="B1388" s="116">
        <v>684</v>
      </c>
      <c r="C1388" s="116">
        <v>679.45</v>
      </c>
      <c r="D1388" s="116">
        <v>666.45</v>
      </c>
      <c r="E1388" s="116">
        <v>675.45</v>
      </c>
      <c r="F1388" s="116">
        <v>679.45</v>
      </c>
      <c r="G1388">
        <v>10248</v>
      </c>
      <c r="H1388" s="116"/>
      <c r="I1388" s="116"/>
      <c r="L1388" s="170">
        <v>44922</v>
      </c>
      <c r="M1388" s="116">
        <v>681.2</v>
      </c>
      <c r="N1388" s="116">
        <v>684.9</v>
      </c>
      <c r="O1388" s="116">
        <v>666.45</v>
      </c>
      <c r="P1388" s="116">
        <v>676</v>
      </c>
      <c r="Q1388" s="116">
        <v>681.2</v>
      </c>
      <c r="R1388">
        <v>96547</v>
      </c>
    </row>
    <row r="1389" spans="1:18" x14ac:dyDescent="0.25">
      <c r="A1389" s="170">
        <v>44923</v>
      </c>
      <c r="B1389" s="116">
        <v>699.55</v>
      </c>
      <c r="C1389" s="116">
        <v>692.9</v>
      </c>
      <c r="D1389" s="116">
        <v>672.7</v>
      </c>
      <c r="E1389" s="116">
        <v>681.25</v>
      </c>
      <c r="F1389" s="116">
        <v>692.9</v>
      </c>
      <c r="G1389">
        <v>8299</v>
      </c>
      <c r="H1389" s="116"/>
      <c r="I1389" s="116"/>
      <c r="L1389" s="170">
        <v>44923</v>
      </c>
      <c r="M1389" s="116">
        <v>692.45</v>
      </c>
      <c r="N1389" s="116">
        <v>699.95</v>
      </c>
      <c r="O1389" s="116">
        <v>672.95</v>
      </c>
      <c r="P1389" s="116">
        <v>684.7</v>
      </c>
      <c r="Q1389" s="116">
        <v>692.45</v>
      </c>
      <c r="R1389">
        <v>158713</v>
      </c>
    </row>
    <row r="1390" spans="1:18" x14ac:dyDescent="0.25">
      <c r="A1390" s="170">
        <v>44924</v>
      </c>
      <c r="B1390" s="116">
        <v>697.95</v>
      </c>
      <c r="C1390" s="116">
        <v>688.9</v>
      </c>
      <c r="D1390" s="116">
        <v>675</v>
      </c>
      <c r="E1390" s="116">
        <v>692.5</v>
      </c>
      <c r="F1390" s="116">
        <v>688.9</v>
      </c>
      <c r="G1390">
        <v>14561</v>
      </c>
      <c r="H1390" s="116"/>
      <c r="I1390" s="116"/>
      <c r="L1390" s="170">
        <v>44924</v>
      </c>
      <c r="M1390" s="116">
        <v>689.25</v>
      </c>
      <c r="N1390" s="116">
        <v>698</v>
      </c>
      <c r="O1390" s="116">
        <v>674.85</v>
      </c>
      <c r="P1390" s="116">
        <v>695.4</v>
      </c>
      <c r="Q1390" s="116">
        <v>689.25</v>
      </c>
      <c r="R1390">
        <v>144939</v>
      </c>
    </row>
    <row r="1391" spans="1:18" x14ac:dyDescent="0.25">
      <c r="A1391" s="170">
        <v>44925</v>
      </c>
      <c r="B1391" s="116">
        <v>712.35</v>
      </c>
      <c r="C1391" s="116">
        <v>699.35</v>
      </c>
      <c r="D1391" s="116">
        <v>684.75</v>
      </c>
      <c r="E1391" s="116">
        <v>692.05</v>
      </c>
      <c r="F1391" s="116">
        <v>699.35</v>
      </c>
      <c r="G1391">
        <v>7390</v>
      </c>
      <c r="H1391" s="116"/>
      <c r="I1391" s="116"/>
      <c r="L1391" s="170">
        <v>44925</v>
      </c>
      <c r="M1391" s="116">
        <v>700.3</v>
      </c>
      <c r="N1391" s="116">
        <v>713.05</v>
      </c>
      <c r="O1391" s="116">
        <v>684.95</v>
      </c>
      <c r="P1391" s="116">
        <v>691.95</v>
      </c>
      <c r="Q1391" s="116">
        <v>700.3</v>
      </c>
      <c r="R1391">
        <v>165338</v>
      </c>
    </row>
    <row r="1392" spans="1:18" x14ac:dyDescent="0.25">
      <c r="A1392" s="170">
        <v>44928</v>
      </c>
      <c r="B1392" s="116">
        <v>717.25</v>
      </c>
      <c r="C1392" s="116">
        <v>708.5</v>
      </c>
      <c r="D1392" s="116">
        <v>700.85</v>
      </c>
      <c r="E1392" s="116">
        <v>714.35</v>
      </c>
      <c r="F1392" s="116">
        <v>708.5</v>
      </c>
      <c r="G1392">
        <v>4677</v>
      </c>
      <c r="H1392" s="116"/>
      <c r="I1392" s="116"/>
      <c r="L1392" s="170">
        <v>44928</v>
      </c>
      <c r="M1392" s="116">
        <v>707.55</v>
      </c>
      <c r="N1392" s="116">
        <v>717.9</v>
      </c>
      <c r="O1392" s="116">
        <v>700</v>
      </c>
      <c r="P1392" s="116">
        <v>702.3</v>
      </c>
      <c r="Q1392" s="116">
        <v>707.55</v>
      </c>
      <c r="R1392">
        <v>96811</v>
      </c>
    </row>
    <row r="1393" spans="1:18" x14ac:dyDescent="0.25">
      <c r="A1393" s="170">
        <v>44929</v>
      </c>
      <c r="B1393" s="116">
        <v>747.4</v>
      </c>
      <c r="C1393" s="116">
        <v>717.35</v>
      </c>
      <c r="D1393" s="116">
        <v>711</v>
      </c>
      <c r="E1393" s="116">
        <v>747</v>
      </c>
      <c r="F1393" s="116">
        <v>717.35</v>
      </c>
      <c r="G1393">
        <v>40925</v>
      </c>
      <c r="H1393" s="116"/>
      <c r="I1393" s="116"/>
      <c r="L1393" s="170">
        <v>44929</v>
      </c>
      <c r="M1393" s="116">
        <v>716.35</v>
      </c>
      <c r="N1393" s="116">
        <v>747.55</v>
      </c>
      <c r="O1393" s="116">
        <v>710.1</v>
      </c>
      <c r="P1393" s="116">
        <v>744</v>
      </c>
      <c r="Q1393" s="116">
        <v>716.35</v>
      </c>
      <c r="R1393">
        <v>704309</v>
      </c>
    </row>
    <row r="1394" spans="1:18" x14ac:dyDescent="0.25">
      <c r="A1394" s="170">
        <v>44930</v>
      </c>
      <c r="B1394" s="116">
        <v>749.5</v>
      </c>
      <c r="C1394" s="116">
        <v>739.8</v>
      </c>
      <c r="D1394" s="116">
        <v>710</v>
      </c>
      <c r="E1394" s="116">
        <v>715</v>
      </c>
      <c r="F1394" s="116">
        <v>739.8</v>
      </c>
      <c r="G1394">
        <v>52420</v>
      </c>
      <c r="H1394" s="116"/>
      <c r="I1394" s="116"/>
      <c r="L1394" s="170">
        <v>44930</v>
      </c>
      <c r="M1394" s="116">
        <v>740.75</v>
      </c>
      <c r="N1394" s="116">
        <v>749.1</v>
      </c>
      <c r="O1394" s="116">
        <v>710</v>
      </c>
      <c r="P1394" s="116">
        <v>715.65</v>
      </c>
      <c r="Q1394" s="116">
        <v>740.75</v>
      </c>
      <c r="R1394">
        <v>536752</v>
      </c>
    </row>
    <row r="1395" spans="1:18" x14ac:dyDescent="0.25">
      <c r="A1395" s="170">
        <v>44931</v>
      </c>
      <c r="B1395" s="116">
        <v>755.9</v>
      </c>
      <c r="C1395" s="116">
        <v>749.9</v>
      </c>
      <c r="D1395" s="116">
        <v>735.5</v>
      </c>
      <c r="E1395" s="116">
        <v>747.65</v>
      </c>
      <c r="F1395" s="116">
        <v>749.9</v>
      </c>
      <c r="G1395">
        <v>20579</v>
      </c>
      <c r="H1395" s="116"/>
      <c r="I1395" s="116"/>
      <c r="L1395" s="170">
        <v>44931</v>
      </c>
      <c r="M1395" s="116">
        <v>750.3</v>
      </c>
      <c r="N1395" s="116">
        <v>757</v>
      </c>
      <c r="O1395" s="116">
        <v>734.6</v>
      </c>
      <c r="P1395" s="116">
        <v>747</v>
      </c>
      <c r="Q1395" s="116">
        <v>750.3</v>
      </c>
      <c r="R1395">
        <v>462573</v>
      </c>
    </row>
    <row r="1396" spans="1:18" x14ac:dyDescent="0.25">
      <c r="A1396" s="170">
        <v>44932</v>
      </c>
      <c r="B1396" s="116">
        <v>775.55</v>
      </c>
      <c r="C1396" s="116">
        <v>742.8</v>
      </c>
      <c r="D1396" s="116">
        <v>735</v>
      </c>
      <c r="E1396" s="116">
        <v>750.35</v>
      </c>
      <c r="F1396" s="116">
        <v>742.8</v>
      </c>
      <c r="G1396">
        <v>23664</v>
      </c>
      <c r="H1396" s="116"/>
      <c r="I1396" s="116"/>
      <c r="L1396" s="170">
        <v>44932</v>
      </c>
      <c r="M1396" s="116">
        <v>742.35</v>
      </c>
      <c r="N1396" s="116">
        <v>776</v>
      </c>
      <c r="O1396" s="116">
        <v>735</v>
      </c>
      <c r="P1396" s="116">
        <v>750.3</v>
      </c>
      <c r="Q1396" s="116">
        <v>742.35</v>
      </c>
      <c r="R1396">
        <v>675522</v>
      </c>
    </row>
    <row r="1397" spans="1:18" x14ac:dyDescent="0.25">
      <c r="A1397" s="170">
        <v>44935</v>
      </c>
      <c r="B1397" s="116">
        <v>774.25</v>
      </c>
      <c r="C1397" s="116">
        <v>768.6</v>
      </c>
      <c r="D1397" s="116">
        <v>746.05</v>
      </c>
      <c r="E1397" s="116">
        <v>746.05</v>
      </c>
      <c r="F1397" s="116">
        <v>768.6</v>
      </c>
      <c r="G1397">
        <v>37113</v>
      </c>
      <c r="H1397" s="116"/>
      <c r="I1397" s="116"/>
      <c r="L1397" s="170">
        <v>44935</v>
      </c>
      <c r="M1397" s="116">
        <v>769.15</v>
      </c>
      <c r="N1397" s="116">
        <v>774.05</v>
      </c>
      <c r="O1397" s="116">
        <v>752.05</v>
      </c>
      <c r="P1397" s="116">
        <v>756.9</v>
      </c>
      <c r="Q1397" s="116">
        <v>769.15</v>
      </c>
      <c r="R1397">
        <v>317043</v>
      </c>
    </row>
    <row r="1398" spans="1:18" x14ac:dyDescent="0.25">
      <c r="A1398" s="170">
        <v>44936</v>
      </c>
      <c r="B1398" s="116">
        <v>769.1</v>
      </c>
      <c r="C1398" s="116">
        <v>736.55</v>
      </c>
      <c r="D1398" s="116">
        <v>732.1</v>
      </c>
      <c r="E1398" s="116">
        <v>768</v>
      </c>
      <c r="F1398" s="116">
        <v>736.55</v>
      </c>
      <c r="G1398">
        <v>17347</v>
      </c>
      <c r="H1398" s="116"/>
      <c r="I1398" s="116"/>
      <c r="L1398" s="170">
        <v>44936</v>
      </c>
      <c r="M1398" s="116">
        <v>735.1</v>
      </c>
      <c r="N1398" s="116">
        <v>769.9</v>
      </c>
      <c r="O1398" s="116">
        <v>731.15</v>
      </c>
      <c r="P1398" s="116">
        <v>766.9</v>
      </c>
      <c r="Q1398" s="116">
        <v>735.1</v>
      </c>
      <c r="R1398">
        <v>306198</v>
      </c>
    </row>
    <row r="1399" spans="1:18" x14ac:dyDescent="0.25">
      <c r="A1399" s="170">
        <v>44937</v>
      </c>
      <c r="B1399" s="116">
        <v>745.45</v>
      </c>
      <c r="C1399" s="116">
        <v>714.35</v>
      </c>
      <c r="D1399" s="116">
        <v>712.2</v>
      </c>
      <c r="E1399" s="116">
        <v>736.55</v>
      </c>
      <c r="F1399" s="116">
        <v>714.35</v>
      </c>
      <c r="G1399">
        <v>24901</v>
      </c>
      <c r="H1399" s="116"/>
      <c r="I1399" s="116"/>
      <c r="L1399" s="170">
        <v>44937</v>
      </c>
      <c r="M1399" s="116">
        <v>714.8</v>
      </c>
      <c r="N1399" s="116">
        <v>746.15</v>
      </c>
      <c r="O1399" s="116">
        <v>711.05</v>
      </c>
      <c r="P1399" s="116">
        <v>738.5</v>
      </c>
      <c r="Q1399" s="116">
        <v>714.8</v>
      </c>
      <c r="R1399">
        <v>223844</v>
      </c>
    </row>
    <row r="1400" spans="1:18" x14ac:dyDescent="0.25">
      <c r="A1400" s="170">
        <v>44938</v>
      </c>
      <c r="B1400" s="116">
        <v>724.15</v>
      </c>
      <c r="C1400" s="116">
        <v>717.65</v>
      </c>
      <c r="D1400" s="116">
        <v>704</v>
      </c>
      <c r="E1400" s="116">
        <v>719.95</v>
      </c>
      <c r="F1400" s="116">
        <v>717.65</v>
      </c>
      <c r="G1400">
        <v>24284</v>
      </c>
      <c r="H1400" s="116"/>
      <c r="I1400" s="116"/>
      <c r="L1400" s="170">
        <v>44938</v>
      </c>
      <c r="M1400" s="116">
        <v>716.4</v>
      </c>
      <c r="N1400" s="116">
        <v>724.6</v>
      </c>
      <c r="O1400" s="116">
        <v>703.35</v>
      </c>
      <c r="P1400" s="116">
        <v>716.05</v>
      </c>
      <c r="Q1400" s="116">
        <v>716.4</v>
      </c>
      <c r="R1400">
        <v>208731</v>
      </c>
    </row>
    <row r="1401" spans="1:18" x14ac:dyDescent="0.25">
      <c r="A1401" s="170">
        <v>44939</v>
      </c>
      <c r="B1401" s="116">
        <v>718.55</v>
      </c>
      <c r="C1401" s="116">
        <v>713.45</v>
      </c>
      <c r="D1401" s="116">
        <v>709.85</v>
      </c>
      <c r="E1401" s="116">
        <v>716.15</v>
      </c>
      <c r="F1401" s="116">
        <v>713.45</v>
      </c>
      <c r="G1401">
        <v>9799</v>
      </c>
      <c r="H1401" s="116"/>
      <c r="I1401" s="116"/>
      <c r="L1401" s="170">
        <v>44939</v>
      </c>
      <c r="M1401" s="116">
        <v>713.3</v>
      </c>
      <c r="N1401" s="116">
        <v>720.5</v>
      </c>
      <c r="O1401" s="116">
        <v>710</v>
      </c>
      <c r="P1401" s="116">
        <v>716.4</v>
      </c>
      <c r="Q1401" s="116">
        <v>713.3</v>
      </c>
      <c r="R1401">
        <v>87095</v>
      </c>
    </row>
    <row r="1402" spans="1:18" x14ac:dyDescent="0.25">
      <c r="A1402" s="170">
        <v>44942</v>
      </c>
      <c r="B1402" s="116">
        <v>727.75</v>
      </c>
      <c r="C1402" s="116">
        <v>721.8</v>
      </c>
      <c r="D1402" s="116">
        <v>714.35</v>
      </c>
      <c r="E1402" s="116">
        <v>715.9</v>
      </c>
      <c r="F1402" s="116">
        <v>721.8</v>
      </c>
      <c r="G1402">
        <v>9932</v>
      </c>
      <c r="H1402" s="116"/>
      <c r="I1402" s="116"/>
      <c r="L1402" s="170">
        <v>44942</v>
      </c>
      <c r="M1402" s="116">
        <v>721.4</v>
      </c>
      <c r="N1402" s="116">
        <v>727.5</v>
      </c>
      <c r="O1402" s="116">
        <v>714.7</v>
      </c>
      <c r="P1402" s="116">
        <v>715.8</v>
      </c>
      <c r="Q1402" s="116">
        <v>721.4</v>
      </c>
      <c r="R1402">
        <v>84949</v>
      </c>
    </row>
    <row r="1403" spans="1:18" x14ac:dyDescent="0.25">
      <c r="A1403" s="170">
        <v>44943</v>
      </c>
      <c r="B1403" s="116">
        <v>723.5</v>
      </c>
      <c r="C1403" s="116">
        <v>713.95</v>
      </c>
      <c r="D1403" s="116">
        <v>711.7</v>
      </c>
      <c r="E1403" s="116">
        <v>720.05</v>
      </c>
      <c r="F1403" s="116">
        <v>713.95</v>
      </c>
      <c r="G1403">
        <v>7248</v>
      </c>
      <c r="H1403" s="116"/>
      <c r="I1403" s="116"/>
      <c r="L1403" s="170">
        <v>44943</v>
      </c>
      <c r="M1403" s="116">
        <v>714.05</v>
      </c>
      <c r="N1403" s="116">
        <v>724.15</v>
      </c>
      <c r="O1403" s="116">
        <v>711.1</v>
      </c>
      <c r="P1403" s="116">
        <v>723.9</v>
      </c>
      <c r="Q1403" s="116">
        <v>714.05</v>
      </c>
      <c r="R1403">
        <v>69035</v>
      </c>
    </row>
    <row r="1404" spans="1:18" x14ac:dyDescent="0.25">
      <c r="A1404" s="170">
        <v>44944</v>
      </c>
      <c r="B1404" s="116">
        <v>719.3</v>
      </c>
      <c r="C1404" s="116">
        <v>698.35</v>
      </c>
      <c r="D1404" s="116">
        <v>677.75</v>
      </c>
      <c r="E1404" s="116">
        <v>716</v>
      </c>
      <c r="F1404" s="116">
        <v>698.35</v>
      </c>
      <c r="G1404">
        <v>52752</v>
      </c>
      <c r="H1404" s="116"/>
      <c r="I1404" s="116"/>
      <c r="L1404" s="170">
        <v>44944</v>
      </c>
      <c r="M1404" s="116">
        <v>698.3</v>
      </c>
      <c r="N1404" s="116">
        <v>719.6</v>
      </c>
      <c r="O1404" s="116">
        <v>676</v>
      </c>
      <c r="P1404" s="116">
        <v>716</v>
      </c>
      <c r="Q1404" s="116">
        <v>698.3</v>
      </c>
      <c r="R1404">
        <v>849031</v>
      </c>
    </row>
    <row r="1405" spans="1:18" x14ac:dyDescent="0.25">
      <c r="A1405" s="170">
        <v>44945</v>
      </c>
      <c r="B1405" s="116">
        <v>699.5</v>
      </c>
      <c r="C1405" s="116">
        <v>690.25</v>
      </c>
      <c r="D1405" s="116">
        <v>681</v>
      </c>
      <c r="E1405" s="116">
        <v>686.5</v>
      </c>
      <c r="F1405" s="116">
        <v>690.25</v>
      </c>
      <c r="G1405">
        <v>23523</v>
      </c>
      <c r="H1405" s="116"/>
      <c r="I1405" s="116"/>
      <c r="L1405" s="170">
        <v>44945</v>
      </c>
      <c r="M1405" s="116">
        <v>691.4</v>
      </c>
      <c r="N1405" s="116">
        <v>700.5</v>
      </c>
      <c r="O1405" s="116">
        <v>681</v>
      </c>
      <c r="P1405" s="116">
        <v>689</v>
      </c>
      <c r="Q1405" s="116">
        <v>691.4</v>
      </c>
      <c r="R1405">
        <v>205391</v>
      </c>
    </row>
    <row r="1406" spans="1:18" x14ac:dyDescent="0.25">
      <c r="A1406" s="170">
        <v>44946</v>
      </c>
      <c r="B1406" s="116">
        <v>724</v>
      </c>
      <c r="C1406" s="116">
        <v>720.6</v>
      </c>
      <c r="D1406" s="116">
        <v>690.3</v>
      </c>
      <c r="E1406" s="116">
        <v>691</v>
      </c>
      <c r="F1406" s="116">
        <v>720.6</v>
      </c>
      <c r="G1406">
        <v>24138</v>
      </c>
      <c r="H1406" s="116"/>
      <c r="I1406" s="116"/>
      <c r="L1406" s="170">
        <v>44946</v>
      </c>
      <c r="M1406" s="116">
        <v>719.6</v>
      </c>
      <c r="N1406" s="116">
        <v>725</v>
      </c>
      <c r="O1406" s="116">
        <v>690.45</v>
      </c>
      <c r="P1406" s="116">
        <v>694.45</v>
      </c>
      <c r="Q1406" s="116">
        <v>719.6</v>
      </c>
      <c r="R1406">
        <v>465556</v>
      </c>
    </row>
    <row r="1407" spans="1:18" x14ac:dyDescent="0.25">
      <c r="A1407" s="170">
        <v>44949</v>
      </c>
      <c r="B1407" s="116">
        <v>733.6</v>
      </c>
      <c r="C1407" s="116">
        <v>720.75</v>
      </c>
      <c r="D1407" s="116">
        <v>715.15</v>
      </c>
      <c r="E1407" s="116">
        <v>725</v>
      </c>
      <c r="F1407" s="116">
        <v>720.75</v>
      </c>
      <c r="G1407">
        <v>19229</v>
      </c>
      <c r="H1407" s="116"/>
      <c r="I1407" s="116"/>
      <c r="L1407" s="170">
        <v>44949</v>
      </c>
      <c r="M1407" s="116">
        <v>720.95</v>
      </c>
      <c r="N1407" s="116">
        <v>732.5</v>
      </c>
      <c r="O1407" s="116">
        <v>715.9</v>
      </c>
      <c r="P1407" s="116">
        <v>724</v>
      </c>
      <c r="Q1407" s="116">
        <v>720.95</v>
      </c>
      <c r="R1407">
        <v>151416</v>
      </c>
    </row>
    <row r="1408" spans="1:18" x14ac:dyDescent="0.25">
      <c r="A1408" s="170">
        <v>44950</v>
      </c>
      <c r="B1408" s="116">
        <v>731.95</v>
      </c>
      <c r="C1408" s="116">
        <v>702.95</v>
      </c>
      <c r="D1408" s="116">
        <v>696.7</v>
      </c>
      <c r="E1408" s="116">
        <v>731.95</v>
      </c>
      <c r="F1408" s="116">
        <v>702.95</v>
      </c>
      <c r="G1408">
        <v>5877</v>
      </c>
      <c r="H1408" s="116"/>
      <c r="I1408" s="116"/>
      <c r="L1408" s="170">
        <v>44950</v>
      </c>
      <c r="M1408" s="116">
        <v>702.45</v>
      </c>
      <c r="N1408" s="116">
        <v>727.95</v>
      </c>
      <c r="O1408" s="116">
        <v>697</v>
      </c>
      <c r="P1408" s="116">
        <v>726.3</v>
      </c>
      <c r="Q1408" s="116">
        <v>702.45</v>
      </c>
      <c r="R1408">
        <v>80080</v>
      </c>
    </row>
    <row r="1409" spans="1:18" x14ac:dyDescent="0.25">
      <c r="A1409" s="170">
        <v>44951</v>
      </c>
      <c r="B1409" s="116">
        <v>706.75</v>
      </c>
      <c r="C1409" s="116">
        <v>697.9</v>
      </c>
      <c r="D1409" s="116">
        <v>688.05</v>
      </c>
      <c r="E1409" s="116">
        <v>700.05</v>
      </c>
      <c r="F1409" s="116">
        <v>697.9</v>
      </c>
      <c r="G1409">
        <v>11832</v>
      </c>
      <c r="H1409" s="116"/>
      <c r="I1409" s="116"/>
      <c r="L1409" s="170">
        <v>44951</v>
      </c>
      <c r="M1409" s="116">
        <v>697.15</v>
      </c>
      <c r="N1409" s="116">
        <v>712.35</v>
      </c>
      <c r="O1409" s="116">
        <v>688</v>
      </c>
      <c r="P1409" s="116">
        <v>703.95</v>
      </c>
      <c r="Q1409" s="116">
        <v>697.15</v>
      </c>
      <c r="R1409">
        <v>93246</v>
      </c>
    </row>
    <row r="1410" spans="1:18" x14ac:dyDescent="0.25">
      <c r="A1410" s="170">
        <v>44953</v>
      </c>
      <c r="B1410" s="116">
        <v>717.8</v>
      </c>
      <c r="C1410" s="116">
        <v>683.2</v>
      </c>
      <c r="D1410" s="116">
        <v>678.95</v>
      </c>
      <c r="E1410" s="116">
        <v>717.8</v>
      </c>
      <c r="F1410" s="116">
        <v>683.2</v>
      </c>
      <c r="G1410">
        <v>19808</v>
      </c>
      <c r="H1410" s="116"/>
      <c r="I1410" s="116"/>
      <c r="L1410" s="170">
        <v>44953</v>
      </c>
      <c r="M1410" s="116">
        <v>683.4</v>
      </c>
      <c r="N1410" s="116">
        <v>704.65</v>
      </c>
      <c r="O1410" s="116">
        <v>678.3</v>
      </c>
      <c r="P1410" s="116">
        <v>700.65</v>
      </c>
      <c r="Q1410" s="116">
        <v>683.4</v>
      </c>
      <c r="R1410">
        <v>96282</v>
      </c>
    </row>
    <row r="1411" spans="1:18" x14ac:dyDescent="0.25">
      <c r="A1411" s="170">
        <v>44956</v>
      </c>
      <c r="B1411" s="116">
        <v>706.5</v>
      </c>
      <c r="C1411" s="116">
        <v>703.35</v>
      </c>
      <c r="D1411" s="116">
        <v>670.05</v>
      </c>
      <c r="E1411" s="116">
        <v>670.05</v>
      </c>
      <c r="F1411" s="116">
        <v>703.35</v>
      </c>
      <c r="G1411">
        <v>9107</v>
      </c>
      <c r="H1411" s="116"/>
      <c r="I1411" s="116"/>
      <c r="L1411" s="170">
        <v>44956</v>
      </c>
      <c r="M1411" s="116">
        <v>701.35</v>
      </c>
      <c r="N1411" s="116">
        <v>707</v>
      </c>
      <c r="O1411" s="116">
        <v>677</v>
      </c>
      <c r="P1411" s="116">
        <v>677</v>
      </c>
      <c r="Q1411" s="116">
        <v>701.35</v>
      </c>
      <c r="R1411">
        <v>109935</v>
      </c>
    </row>
    <row r="1412" spans="1:18" x14ac:dyDescent="0.25">
      <c r="A1412" s="170">
        <v>44957</v>
      </c>
      <c r="B1412" s="116">
        <v>711.85</v>
      </c>
      <c r="C1412" s="116">
        <v>707.6</v>
      </c>
      <c r="D1412" s="116">
        <v>693</v>
      </c>
      <c r="E1412" s="116">
        <v>705</v>
      </c>
      <c r="F1412" s="116">
        <v>707.6</v>
      </c>
      <c r="G1412">
        <v>10229</v>
      </c>
      <c r="H1412" s="116"/>
      <c r="I1412" s="116"/>
      <c r="L1412" s="170">
        <v>44957</v>
      </c>
      <c r="M1412" s="116">
        <v>707.05</v>
      </c>
      <c r="N1412" s="116">
        <v>712</v>
      </c>
      <c r="O1412" s="116">
        <v>696.25</v>
      </c>
      <c r="P1412" s="116">
        <v>705.65</v>
      </c>
      <c r="Q1412" s="116">
        <v>707.05</v>
      </c>
      <c r="R1412">
        <v>72415</v>
      </c>
    </row>
    <row r="1413" spans="1:18" x14ac:dyDescent="0.25">
      <c r="A1413" s="170">
        <v>44958</v>
      </c>
      <c r="B1413" s="116">
        <v>718.5</v>
      </c>
      <c r="C1413" s="116">
        <v>686.15</v>
      </c>
      <c r="D1413" s="116">
        <v>675.05</v>
      </c>
      <c r="E1413" s="116">
        <v>711.7</v>
      </c>
      <c r="F1413" s="116">
        <v>686.15</v>
      </c>
      <c r="G1413">
        <v>11417</v>
      </c>
      <c r="H1413" s="116"/>
      <c r="I1413" s="116"/>
      <c r="L1413" s="170">
        <v>44958</v>
      </c>
      <c r="M1413" s="116">
        <v>686.4</v>
      </c>
      <c r="N1413" s="116">
        <v>719.8</v>
      </c>
      <c r="O1413" s="116">
        <v>675.05</v>
      </c>
      <c r="P1413" s="116">
        <v>712</v>
      </c>
      <c r="Q1413" s="116">
        <v>686.4</v>
      </c>
      <c r="R1413">
        <v>78160</v>
      </c>
    </row>
    <row r="1414" spans="1:18" x14ac:dyDescent="0.25">
      <c r="A1414" s="170">
        <v>44959</v>
      </c>
      <c r="B1414" s="116">
        <v>703.75</v>
      </c>
      <c r="C1414" s="116">
        <v>688.85</v>
      </c>
      <c r="D1414" s="116">
        <v>672.05</v>
      </c>
      <c r="E1414" s="116">
        <v>672.05</v>
      </c>
      <c r="F1414" s="116">
        <v>688.85</v>
      </c>
      <c r="G1414">
        <v>1814</v>
      </c>
      <c r="H1414" s="116"/>
      <c r="I1414" s="116"/>
      <c r="L1414" s="170">
        <v>44959</v>
      </c>
      <c r="M1414" s="116">
        <v>689</v>
      </c>
      <c r="N1414" s="116">
        <v>704.1</v>
      </c>
      <c r="O1414" s="116">
        <v>683.15</v>
      </c>
      <c r="P1414" s="116">
        <v>687</v>
      </c>
      <c r="Q1414" s="116">
        <v>689</v>
      </c>
      <c r="R1414">
        <v>51109</v>
      </c>
    </row>
    <row r="1415" spans="1:18" x14ac:dyDescent="0.25">
      <c r="A1415" s="170">
        <v>44960</v>
      </c>
      <c r="B1415" s="116">
        <v>694.15</v>
      </c>
      <c r="C1415" s="116">
        <v>683.8</v>
      </c>
      <c r="D1415" s="116">
        <v>673.55</v>
      </c>
      <c r="E1415" s="116">
        <v>688.85</v>
      </c>
      <c r="F1415" s="116">
        <v>683.8</v>
      </c>
      <c r="G1415">
        <v>6210</v>
      </c>
      <c r="H1415" s="116"/>
      <c r="I1415" s="116"/>
      <c r="L1415" s="170">
        <v>44960</v>
      </c>
      <c r="M1415" s="116">
        <v>684.25</v>
      </c>
      <c r="N1415" s="116">
        <v>699.9</v>
      </c>
      <c r="O1415" s="116">
        <v>676.1</v>
      </c>
      <c r="P1415" s="116">
        <v>692.45</v>
      </c>
      <c r="Q1415" s="116">
        <v>684.25</v>
      </c>
      <c r="R1415">
        <v>55573</v>
      </c>
    </row>
    <row r="1416" spans="1:18" x14ac:dyDescent="0.25">
      <c r="A1416" s="170">
        <v>44963</v>
      </c>
      <c r="B1416" s="116">
        <v>700.85</v>
      </c>
      <c r="C1416" s="116">
        <v>690.5</v>
      </c>
      <c r="D1416" s="116">
        <v>670.6</v>
      </c>
      <c r="E1416" s="116">
        <v>670.6</v>
      </c>
      <c r="F1416" s="116">
        <v>690.5</v>
      </c>
      <c r="G1416">
        <v>4640</v>
      </c>
      <c r="H1416" s="116"/>
      <c r="I1416" s="116"/>
      <c r="L1416" s="170">
        <v>44963</v>
      </c>
      <c r="M1416" s="116">
        <v>691.9</v>
      </c>
      <c r="N1416" s="116">
        <v>703</v>
      </c>
      <c r="O1416" s="116">
        <v>680.2</v>
      </c>
      <c r="P1416" s="116">
        <v>681</v>
      </c>
      <c r="Q1416" s="116">
        <v>691.9</v>
      </c>
      <c r="R1416">
        <v>68046</v>
      </c>
    </row>
    <row r="1417" spans="1:18" x14ac:dyDescent="0.25">
      <c r="A1417" s="170">
        <v>44964</v>
      </c>
      <c r="B1417" s="116">
        <v>702.1</v>
      </c>
      <c r="C1417" s="116">
        <v>689.7</v>
      </c>
      <c r="D1417" s="116">
        <v>687.3</v>
      </c>
      <c r="E1417" s="116">
        <v>693.4</v>
      </c>
      <c r="F1417" s="116">
        <v>689.7</v>
      </c>
      <c r="G1417">
        <v>2018</v>
      </c>
      <c r="H1417" s="116"/>
      <c r="I1417" s="116"/>
      <c r="L1417" s="170">
        <v>44964</v>
      </c>
      <c r="M1417" s="116">
        <v>689.5</v>
      </c>
      <c r="N1417" s="116">
        <v>703.75</v>
      </c>
      <c r="O1417" s="116">
        <v>685.9</v>
      </c>
      <c r="P1417" s="116">
        <v>695</v>
      </c>
      <c r="Q1417" s="116">
        <v>689.5</v>
      </c>
      <c r="R1417">
        <v>49897</v>
      </c>
    </row>
    <row r="1418" spans="1:18" x14ac:dyDescent="0.25">
      <c r="A1418" s="170">
        <v>44965</v>
      </c>
      <c r="B1418" s="116">
        <v>699.1</v>
      </c>
      <c r="C1418" s="116">
        <v>694.65</v>
      </c>
      <c r="D1418" s="116">
        <v>688.05</v>
      </c>
      <c r="E1418" s="116">
        <v>688.05</v>
      </c>
      <c r="F1418" s="116">
        <v>694.65</v>
      </c>
      <c r="G1418">
        <v>10173</v>
      </c>
      <c r="H1418" s="116"/>
      <c r="I1418" s="116"/>
      <c r="L1418" s="170">
        <v>44965</v>
      </c>
      <c r="M1418" s="116">
        <v>693.65</v>
      </c>
      <c r="N1418" s="116">
        <v>699.2</v>
      </c>
      <c r="O1418" s="116">
        <v>690</v>
      </c>
      <c r="P1418" s="116">
        <v>693.85</v>
      </c>
      <c r="Q1418" s="116">
        <v>693.65</v>
      </c>
      <c r="R1418">
        <v>43163</v>
      </c>
    </row>
    <row r="1419" spans="1:18" x14ac:dyDescent="0.25">
      <c r="A1419" s="170">
        <v>44966</v>
      </c>
      <c r="B1419" s="116">
        <v>703.1</v>
      </c>
      <c r="C1419" s="116">
        <v>695.05</v>
      </c>
      <c r="D1419" s="116">
        <v>678.95</v>
      </c>
      <c r="E1419" s="116">
        <v>678.95</v>
      </c>
      <c r="F1419" s="116">
        <v>695.05</v>
      </c>
      <c r="G1419">
        <v>6323</v>
      </c>
      <c r="H1419" s="116"/>
      <c r="I1419" s="116"/>
      <c r="L1419" s="170">
        <v>44966</v>
      </c>
      <c r="M1419" s="116">
        <v>695.25</v>
      </c>
      <c r="N1419" s="116">
        <v>702.7</v>
      </c>
      <c r="O1419" s="116">
        <v>690.95</v>
      </c>
      <c r="P1419" s="116">
        <v>694.7</v>
      </c>
      <c r="Q1419" s="116">
        <v>695.25</v>
      </c>
      <c r="R1419">
        <v>38814</v>
      </c>
    </row>
    <row r="1420" spans="1:18" x14ac:dyDescent="0.25">
      <c r="A1420" s="170">
        <v>44967</v>
      </c>
      <c r="B1420" s="116">
        <v>696.95</v>
      </c>
      <c r="C1420" s="116">
        <v>683.5</v>
      </c>
      <c r="D1420" s="116">
        <v>664.6</v>
      </c>
      <c r="E1420" s="116">
        <v>696.95</v>
      </c>
      <c r="F1420" s="116">
        <v>683.5</v>
      </c>
      <c r="G1420">
        <v>10964</v>
      </c>
      <c r="H1420" s="116"/>
      <c r="I1420" s="116"/>
      <c r="L1420" s="170">
        <v>44967</v>
      </c>
      <c r="M1420" s="116">
        <v>683.75</v>
      </c>
      <c r="N1420" s="116">
        <v>695.35</v>
      </c>
      <c r="O1420" s="116">
        <v>664.15</v>
      </c>
      <c r="P1420" s="116">
        <v>694.55</v>
      </c>
      <c r="Q1420" s="116">
        <v>683.75</v>
      </c>
      <c r="R1420">
        <v>200058</v>
      </c>
    </row>
    <row r="1421" spans="1:18" x14ac:dyDescent="0.25">
      <c r="A1421" s="170">
        <v>44970</v>
      </c>
      <c r="B1421" s="116">
        <v>697.85</v>
      </c>
      <c r="C1421" s="116">
        <v>678.1</v>
      </c>
      <c r="D1421" s="116">
        <v>670.1</v>
      </c>
      <c r="E1421" s="116">
        <v>670.1</v>
      </c>
      <c r="F1421" s="116">
        <v>678.1</v>
      </c>
      <c r="G1421">
        <v>1688</v>
      </c>
      <c r="H1421" s="116"/>
      <c r="I1421" s="116"/>
      <c r="L1421" s="170">
        <v>44970</v>
      </c>
      <c r="M1421" s="116">
        <v>679.3</v>
      </c>
      <c r="N1421" s="116">
        <v>698.15</v>
      </c>
      <c r="O1421" s="116">
        <v>676</v>
      </c>
      <c r="P1421" s="116">
        <v>680</v>
      </c>
      <c r="Q1421" s="116">
        <v>679.3</v>
      </c>
      <c r="R1421">
        <v>47075</v>
      </c>
    </row>
    <row r="1422" spans="1:18" x14ac:dyDescent="0.25">
      <c r="A1422" s="170">
        <v>44971</v>
      </c>
      <c r="B1422" s="116">
        <v>681.25</v>
      </c>
      <c r="C1422" s="116">
        <v>670.75</v>
      </c>
      <c r="D1422" s="116">
        <v>668</v>
      </c>
      <c r="E1422" s="116">
        <v>680.2</v>
      </c>
      <c r="F1422" s="116">
        <v>670.75</v>
      </c>
      <c r="G1422">
        <v>2377</v>
      </c>
      <c r="H1422" s="116"/>
      <c r="I1422" s="116"/>
      <c r="L1422" s="170">
        <v>44971</v>
      </c>
      <c r="M1422" s="116">
        <v>672.1</v>
      </c>
      <c r="N1422" s="116">
        <v>682.3</v>
      </c>
      <c r="O1422" s="116">
        <v>669</v>
      </c>
      <c r="P1422" s="116">
        <v>680</v>
      </c>
      <c r="Q1422" s="116">
        <v>672.1</v>
      </c>
      <c r="R1422">
        <v>24468</v>
      </c>
    </row>
    <row r="1423" spans="1:18" x14ac:dyDescent="0.25">
      <c r="A1423" s="170">
        <v>44972</v>
      </c>
      <c r="B1423" s="116">
        <v>677</v>
      </c>
      <c r="C1423" s="116">
        <v>673.1</v>
      </c>
      <c r="D1423" s="116">
        <v>669.75</v>
      </c>
      <c r="E1423" s="116">
        <v>672.05</v>
      </c>
      <c r="F1423" s="116">
        <v>673.1</v>
      </c>
      <c r="G1423">
        <v>1606</v>
      </c>
      <c r="H1423" s="116"/>
      <c r="I1423" s="116"/>
      <c r="L1423" s="170">
        <v>44972</v>
      </c>
      <c r="M1423" s="116">
        <v>674.3</v>
      </c>
      <c r="N1423" s="116">
        <v>677</v>
      </c>
      <c r="O1423" s="116">
        <v>668.75</v>
      </c>
      <c r="P1423" s="116">
        <v>670.85</v>
      </c>
      <c r="Q1423" s="116">
        <v>674.3</v>
      </c>
      <c r="R1423">
        <v>111524</v>
      </c>
    </row>
    <row r="1424" spans="1:18" x14ac:dyDescent="0.25">
      <c r="A1424" s="170">
        <v>44973</v>
      </c>
      <c r="B1424" s="116">
        <v>686.3</v>
      </c>
      <c r="C1424" s="116">
        <v>680.05</v>
      </c>
      <c r="D1424" s="116">
        <v>656.3</v>
      </c>
      <c r="E1424" s="116">
        <v>670.05</v>
      </c>
      <c r="F1424" s="116">
        <v>680.05</v>
      </c>
      <c r="G1424">
        <v>4111</v>
      </c>
      <c r="H1424" s="116"/>
      <c r="I1424" s="116"/>
      <c r="L1424" s="170">
        <v>44973</v>
      </c>
      <c r="M1424" s="116">
        <v>681</v>
      </c>
      <c r="N1424" s="116">
        <v>687</v>
      </c>
      <c r="O1424" s="116">
        <v>656.65</v>
      </c>
      <c r="P1424" s="116">
        <v>674.3</v>
      </c>
      <c r="Q1424" s="116">
        <v>681</v>
      </c>
      <c r="R1424">
        <v>120894</v>
      </c>
    </row>
    <row r="1425" spans="1:18" x14ac:dyDescent="0.25">
      <c r="A1425" s="170">
        <v>44974</v>
      </c>
      <c r="B1425" s="116">
        <v>690.55</v>
      </c>
      <c r="C1425" s="116">
        <v>682.55</v>
      </c>
      <c r="D1425" s="116">
        <v>672</v>
      </c>
      <c r="E1425" s="116">
        <v>679.15</v>
      </c>
      <c r="F1425" s="116">
        <v>682.55</v>
      </c>
      <c r="G1425">
        <v>3879</v>
      </c>
      <c r="H1425" s="116"/>
      <c r="I1425" s="116"/>
      <c r="L1425" s="170">
        <v>44974</v>
      </c>
      <c r="M1425" s="116">
        <v>681.5</v>
      </c>
      <c r="N1425" s="116">
        <v>690.6</v>
      </c>
      <c r="O1425" s="116">
        <v>671.4</v>
      </c>
      <c r="P1425" s="116">
        <v>680.95</v>
      </c>
      <c r="Q1425" s="116">
        <v>681.5</v>
      </c>
      <c r="R1425">
        <v>59187</v>
      </c>
    </row>
    <row r="1426" spans="1:18" x14ac:dyDescent="0.25">
      <c r="A1426" s="170">
        <v>44977</v>
      </c>
      <c r="B1426" s="116">
        <v>684.6</v>
      </c>
      <c r="C1426" s="116">
        <v>670.9</v>
      </c>
      <c r="D1426" s="116">
        <v>664.1</v>
      </c>
      <c r="E1426" s="116">
        <v>664.1</v>
      </c>
      <c r="F1426" s="116">
        <v>670.9</v>
      </c>
      <c r="G1426">
        <v>10412</v>
      </c>
      <c r="H1426" s="116"/>
      <c r="I1426" s="116"/>
      <c r="L1426" s="170">
        <v>44977</v>
      </c>
      <c r="M1426" s="116">
        <v>672.6</v>
      </c>
      <c r="N1426" s="116">
        <v>684.85</v>
      </c>
      <c r="O1426" s="116">
        <v>666.35</v>
      </c>
      <c r="P1426" s="116">
        <v>681.5</v>
      </c>
      <c r="Q1426" s="116">
        <v>672.6</v>
      </c>
      <c r="R1426">
        <v>40519</v>
      </c>
    </row>
    <row r="1427" spans="1:18" x14ac:dyDescent="0.25">
      <c r="A1427" s="170">
        <v>44978</v>
      </c>
      <c r="B1427" s="116">
        <v>694.5</v>
      </c>
      <c r="C1427" s="116">
        <v>691.15</v>
      </c>
      <c r="D1427" s="116">
        <v>665.05</v>
      </c>
      <c r="E1427" s="116">
        <v>665.05</v>
      </c>
      <c r="F1427" s="116">
        <v>691.15</v>
      </c>
      <c r="G1427">
        <v>10146</v>
      </c>
      <c r="H1427" s="116"/>
      <c r="I1427" s="116"/>
      <c r="L1427" s="170">
        <v>44978</v>
      </c>
      <c r="M1427" s="116">
        <v>689.7</v>
      </c>
      <c r="N1427" s="116">
        <v>693</v>
      </c>
      <c r="O1427" s="116">
        <v>665.55</v>
      </c>
      <c r="P1427" s="116">
        <v>669.95</v>
      </c>
      <c r="Q1427" s="116">
        <v>689.7</v>
      </c>
      <c r="R1427">
        <v>111949</v>
      </c>
    </row>
    <row r="1428" spans="1:18" x14ac:dyDescent="0.25">
      <c r="A1428" s="170">
        <v>44979</v>
      </c>
      <c r="B1428" s="116">
        <v>690.7</v>
      </c>
      <c r="C1428" s="116">
        <v>668.7</v>
      </c>
      <c r="D1428" s="116">
        <v>666.6</v>
      </c>
      <c r="E1428" s="116">
        <v>685.05</v>
      </c>
      <c r="F1428" s="116">
        <v>668.7</v>
      </c>
      <c r="G1428">
        <v>12111</v>
      </c>
      <c r="H1428" s="116"/>
      <c r="I1428" s="116"/>
      <c r="L1428" s="170">
        <v>44979</v>
      </c>
      <c r="M1428" s="116">
        <v>669.35</v>
      </c>
      <c r="N1428" s="116">
        <v>692.95</v>
      </c>
      <c r="O1428" s="116">
        <v>666.25</v>
      </c>
      <c r="P1428" s="116">
        <v>690</v>
      </c>
      <c r="Q1428" s="116">
        <v>669.35</v>
      </c>
      <c r="R1428">
        <v>77552</v>
      </c>
    </row>
    <row r="1429" spans="1:18" x14ac:dyDescent="0.25">
      <c r="A1429" s="170">
        <v>44980</v>
      </c>
      <c r="B1429" s="116">
        <v>674.75</v>
      </c>
      <c r="C1429" s="116">
        <v>666.7</v>
      </c>
      <c r="D1429" s="116">
        <v>660.85</v>
      </c>
      <c r="E1429" s="116">
        <v>671.1</v>
      </c>
      <c r="F1429" s="116">
        <v>666.7</v>
      </c>
      <c r="G1429">
        <v>5031</v>
      </c>
      <c r="H1429" s="116"/>
      <c r="I1429" s="116"/>
      <c r="L1429" s="170">
        <v>44980</v>
      </c>
      <c r="M1429" s="116">
        <v>667.4</v>
      </c>
      <c r="N1429" s="116">
        <v>675</v>
      </c>
      <c r="O1429" s="116">
        <v>661</v>
      </c>
      <c r="P1429" s="116">
        <v>672</v>
      </c>
      <c r="Q1429" s="116">
        <v>667.4</v>
      </c>
      <c r="R1429">
        <v>49015</v>
      </c>
    </row>
    <row r="1430" spans="1:18" x14ac:dyDescent="0.25">
      <c r="A1430" s="170">
        <v>44981</v>
      </c>
      <c r="B1430" s="116">
        <v>681</v>
      </c>
      <c r="C1430" s="116">
        <v>670.95</v>
      </c>
      <c r="D1430" s="116">
        <v>669.7</v>
      </c>
      <c r="E1430" s="116">
        <v>669.7</v>
      </c>
      <c r="F1430" s="116">
        <v>670.95</v>
      </c>
      <c r="G1430">
        <v>2477</v>
      </c>
      <c r="H1430" s="116"/>
      <c r="I1430" s="116"/>
      <c r="L1430" s="170">
        <v>44981</v>
      </c>
      <c r="M1430" s="116">
        <v>672.2</v>
      </c>
      <c r="N1430" s="116">
        <v>685</v>
      </c>
      <c r="O1430" s="116">
        <v>668.05</v>
      </c>
      <c r="P1430" s="116">
        <v>668.05</v>
      </c>
      <c r="Q1430" s="116">
        <v>672.2</v>
      </c>
      <c r="R1430">
        <v>34963</v>
      </c>
    </row>
    <row r="1431" spans="1:18" x14ac:dyDescent="0.25">
      <c r="A1431" s="170">
        <v>44984</v>
      </c>
      <c r="B1431" s="116">
        <v>674</v>
      </c>
      <c r="C1431" s="116">
        <v>661.9</v>
      </c>
      <c r="D1431" s="116">
        <v>654.04999999999995</v>
      </c>
      <c r="E1431" s="116">
        <v>654.04999999999995</v>
      </c>
      <c r="F1431" s="116">
        <v>661.9</v>
      </c>
      <c r="G1431">
        <v>3030</v>
      </c>
      <c r="H1431" s="116"/>
      <c r="I1431" s="116"/>
      <c r="L1431" s="170">
        <v>44984</v>
      </c>
      <c r="M1431" s="116">
        <v>662.1</v>
      </c>
      <c r="N1431" s="116">
        <v>674.8</v>
      </c>
      <c r="O1431" s="116">
        <v>659.1</v>
      </c>
      <c r="P1431" s="116">
        <v>670</v>
      </c>
      <c r="Q1431" s="116">
        <v>662.1</v>
      </c>
      <c r="R1431">
        <v>37204</v>
      </c>
    </row>
    <row r="1432" spans="1:18" x14ac:dyDescent="0.25">
      <c r="A1432" s="170">
        <v>44985</v>
      </c>
      <c r="B1432" s="116">
        <v>675</v>
      </c>
      <c r="C1432" s="116">
        <v>670.05</v>
      </c>
      <c r="D1432" s="116">
        <v>655</v>
      </c>
      <c r="E1432" s="116">
        <v>655</v>
      </c>
      <c r="F1432" s="116">
        <v>670.05</v>
      </c>
      <c r="G1432">
        <v>2885</v>
      </c>
      <c r="H1432" s="116"/>
      <c r="I1432" s="116"/>
      <c r="L1432" s="170">
        <v>44985</v>
      </c>
      <c r="M1432" s="116">
        <v>668.75</v>
      </c>
      <c r="N1432" s="116">
        <v>675</v>
      </c>
      <c r="O1432" s="116">
        <v>655.1</v>
      </c>
      <c r="P1432" s="116">
        <v>664.5</v>
      </c>
      <c r="Q1432" s="116">
        <v>668.75</v>
      </c>
      <c r="R1432">
        <v>83976</v>
      </c>
    </row>
    <row r="1433" spans="1:18" x14ac:dyDescent="0.25">
      <c r="A1433" s="170">
        <v>44986</v>
      </c>
      <c r="B1433" s="116">
        <v>683.75</v>
      </c>
      <c r="C1433" s="116">
        <v>679.7</v>
      </c>
      <c r="D1433" s="116">
        <v>668.55</v>
      </c>
      <c r="E1433" s="116">
        <v>670.55</v>
      </c>
      <c r="F1433" s="116">
        <v>679.7</v>
      </c>
      <c r="G1433">
        <v>4859</v>
      </c>
      <c r="H1433" s="116"/>
      <c r="I1433" s="116"/>
      <c r="L1433" s="170">
        <v>44986</v>
      </c>
      <c r="M1433" s="116">
        <v>679.1</v>
      </c>
      <c r="N1433" s="116">
        <v>683.9</v>
      </c>
      <c r="O1433" s="116">
        <v>668.45</v>
      </c>
      <c r="P1433" s="116">
        <v>669</v>
      </c>
      <c r="Q1433" s="116">
        <v>679.1</v>
      </c>
      <c r="R1433">
        <v>40210</v>
      </c>
    </row>
    <row r="1434" spans="1:18" x14ac:dyDescent="0.25">
      <c r="A1434" s="170">
        <v>44987</v>
      </c>
      <c r="B1434" s="116">
        <v>683.95</v>
      </c>
      <c r="C1434" s="116">
        <v>671.45</v>
      </c>
      <c r="D1434" s="116">
        <v>667.1</v>
      </c>
      <c r="E1434" s="116">
        <v>678.05</v>
      </c>
      <c r="F1434" s="116">
        <v>671.45</v>
      </c>
      <c r="G1434">
        <v>4749</v>
      </c>
      <c r="H1434" s="116"/>
      <c r="I1434" s="116"/>
      <c r="L1434" s="170">
        <v>44987</v>
      </c>
      <c r="M1434" s="116">
        <v>670</v>
      </c>
      <c r="N1434" s="116">
        <v>685</v>
      </c>
      <c r="O1434" s="116">
        <v>667</v>
      </c>
      <c r="P1434" s="116">
        <v>680.95</v>
      </c>
      <c r="Q1434" s="116">
        <v>670</v>
      </c>
      <c r="R1434">
        <v>39202</v>
      </c>
    </row>
    <row r="1435" spans="1:18" x14ac:dyDescent="0.25">
      <c r="A1435" s="170">
        <v>44988</v>
      </c>
      <c r="B1435" s="116">
        <v>678.55</v>
      </c>
      <c r="C1435" s="116">
        <v>673.55</v>
      </c>
      <c r="D1435" s="116">
        <v>671.05</v>
      </c>
      <c r="E1435" s="116">
        <v>671.45</v>
      </c>
      <c r="F1435" s="116">
        <v>673.55</v>
      </c>
      <c r="G1435">
        <v>4046</v>
      </c>
      <c r="H1435" s="116"/>
      <c r="I1435" s="116"/>
      <c r="L1435" s="170">
        <v>44988</v>
      </c>
      <c r="M1435" s="116">
        <v>673.55</v>
      </c>
      <c r="N1435" s="116">
        <v>681.8</v>
      </c>
      <c r="O1435" s="116">
        <v>670</v>
      </c>
      <c r="P1435" s="116">
        <v>673.4</v>
      </c>
      <c r="Q1435" s="116">
        <v>673.55</v>
      </c>
      <c r="R1435">
        <v>31598</v>
      </c>
    </row>
    <row r="1436" spans="1:18" x14ac:dyDescent="0.25">
      <c r="A1436" s="170">
        <v>44991</v>
      </c>
      <c r="B1436" s="116">
        <v>689.65</v>
      </c>
      <c r="C1436" s="116">
        <v>681.35</v>
      </c>
      <c r="D1436" s="116">
        <v>666.05</v>
      </c>
      <c r="E1436" s="116">
        <v>666.05</v>
      </c>
      <c r="F1436" s="116">
        <v>681.35</v>
      </c>
      <c r="G1436">
        <v>4006</v>
      </c>
      <c r="H1436" s="116"/>
      <c r="I1436" s="116"/>
      <c r="L1436" s="170">
        <v>44991</v>
      </c>
      <c r="M1436" s="116">
        <v>681.75</v>
      </c>
      <c r="N1436" s="116">
        <v>690.3</v>
      </c>
      <c r="O1436" s="116">
        <v>675.05</v>
      </c>
      <c r="P1436" s="116">
        <v>676.9</v>
      </c>
      <c r="Q1436" s="116">
        <v>681.75</v>
      </c>
      <c r="R1436">
        <v>46676</v>
      </c>
    </row>
    <row r="1437" spans="1:18" x14ac:dyDescent="0.25">
      <c r="A1437" s="170">
        <v>44993</v>
      </c>
      <c r="B1437" s="116">
        <v>693.7</v>
      </c>
      <c r="C1437" s="116">
        <v>690.65</v>
      </c>
      <c r="D1437" s="116">
        <v>679.85</v>
      </c>
      <c r="E1437" s="116">
        <v>693.7</v>
      </c>
      <c r="F1437" s="116">
        <v>690.65</v>
      </c>
      <c r="G1437">
        <v>1510</v>
      </c>
      <c r="H1437" s="116"/>
      <c r="I1437" s="116"/>
      <c r="L1437" s="170">
        <v>44993</v>
      </c>
      <c r="M1437" s="116">
        <v>690.9</v>
      </c>
      <c r="N1437" s="116">
        <v>693.3</v>
      </c>
      <c r="O1437" s="116">
        <v>679.05</v>
      </c>
      <c r="P1437" s="116">
        <v>681.2</v>
      </c>
      <c r="Q1437" s="116">
        <v>690.9</v>
      </c>
      <c r="R1437">
        <v>52644</v>
      </c>
    </row>
    <row r="1438" spans="1:18" x14ac:dyDescent="0.25">
      <c r="A1438" s="170">
        <v>44994</v>
      </c>
      <c r="B1438" s="116">
        <v>715.45</v>
      </c>
      <c r="C1438" s="116">
        <v>711.1</v>
      </c>
      <c r="D1438" s="116">
        <v>691.95</v>
      </c>
      <c r="E1438" s="116">
        <v>691.95</v>
      </c>
      <c r="F1438" s="116">
        <v>711.1</v>
      </c>
      <c r="G1438">
        <v>3941</v>
      </c>
      <c r="H1438" s="116"/>
      <c r="I1438" s="116"/>
      <c r="L1438" s="170">
        <v>44994</v>
      </c>
      <c r="M1438" s="116">
        <v>710.7</v>
      </c>
      <c r="N1438" s="116">
        <v>716</v>
      </c>
      <c r="O1438" s="116">
        <v>692.3</v>
      </c>
      <c r="P1438" s="116">
        <v>694</v>
      </c>
      <c r="Q1438" s="116">
        <v>710.7</v>
      </c>
      <c r="R1438">
        <v>164262</v>
      </c>
    </row>
    <row r="1439" spans="1:18" x14ac:dyDescent="0.25">
      <c r="A1439" s="170">
        <v>44995</v>
      </c>
      <c r="B1439" s="116">
        <v>714</v>
      </c>
      <c r="C1439" s="116">
        <v>689.5</v>
      </c>
      <c r="D1439" s="116">
        <v>682.8</v>
      </c>
      <c r="E1439" s="116">
        <v>711.05</v>
      </c>
      <c r="F1439" s="116">
        <v>689.5</v>
      </c>
      <c r="G1439">
        <v>7911</v>
      </c>
      <c r="H1439" s="116"/>
      <c r="I1439" s="116"/>
      <c r="L1439" s="170">
        <v>44995</v>
      </c>
      <c r="M1439" s="116">
        <v>688.1</v>
      </c>
      <c r="N1439" s="116">
        <v>715</v>
      </c>
      <c r="O1439" s="116">
        <v>682</v>
      </c>
      <c r="P1439" s="116">
        <v>715</v>
      </c>
      <c r="Q1439" s="116">
        <v>688.1</v>
      </c>
      <c r="R1439">
        <v>89000</v>
      </c>
    </row>
    <row r="1440" spans="1:18" x14ac:dyDescent="0.25">
      <c r="A1440" s="170">
        <v>44998</v>
      </c>
      <c r="B1440" s="116">
        <v>690</v>
      </c>
      <c r="C1440" s="116">
        <v>672.15</v>
      </c>
      <c r="D1440" s="116">
        <v>668.75</v>
      </c>
      <c r="E1440" s="116">
        <v>690</v>
      </c>
      <c r="F1440" s="116">
        <v>672.15</v>
      </c>
      <c r="G1440">
        <v>9344</v>
      </c>
      <c r="H1440" s="116"/>
      <c r="I1440" s="116"/>
      <c r="L1440" s="170">
        <v>44998</v>
      </c>
      <c r="M1440" s="116">
        <v>673.7</v>
      </c>
      <c r="N1440" s="116">
        <v>691.55</v>
      </c>
      <c r="O1440" s="116">
        <v>670.1</v>
      </c>
      <c r="P1440" s="116">
        <v>688.05</v>
      </c>
      <c r="Q1440" s="116">
        <v>673.7</v>
      </c>
      <c r="R1440">
        <v>42221</v>
      </c>
    </row>
    <row r="1441" spans="1:18" x14ac:dyDescent="0.25">
      <c r="A1441" s="170">
        <v>44999</v>
      </c>
      <c r="B1441" s="116">
        <v>683.05</v>
      </c>
      <c r="C1441" s="116">
        <v>663.8</v>
      </c>
      <c r="D1441" s="116">
        <v>661.1</v>
      </c>
      <c r="E1441" s="116">
        <v>672.15</v>
      </c>
      <c r="F1441" s="116">
        <v>663.8</v>
      </c>
      <c r="G1441">
        <v>2591</v>
      </c>
      <c r="H1441" s="116"/>
      <c r="I1441" s="116"/>
      <c r="L1441" s="170">
        <v>44999</v>
      </c>
      <c r="M1441" s="116">
        <v>663</v>
      </c>
      <c r="N1441" s="116">
        <v>682.55</v>
      </c>
      <c r="O1441" s="116">
        <v>660.55</v>
      </c>
      <c r="P1441" s="116">
        <v>679.85</v>
      </c>
      <c r="Q1441" s="116">
        <v>663</v>
      </c>
      <c r="R1441">
        <v>36968</v>
      </c>
    </row>
    <row r="1442" spans="1:18" x14ac:dyDescent="0.25">
      <c r="A1442" s="170">
        <v>45000</v>
      </c>
      <c r="B1442" s="116">
        <v>678.75</v>
      </c>
      <c r="C1442" s="116">
        <v>663</v>
      </c>
      <c r="D1442" s="116">
        <v>657.7</v>
      </c>
      <c r="E1442" s="116">
        <v>670.85</v>
      </c>
      <c r="F1442" s="116">
        <v>663</v>
      </c>
      <c r="G1442">
        <v>2882</v>
      </c>
      <c r="H1442" s="116"/>
      <c r="I1442" s="116"/>
      <c r="L1442" s="170">
        <v>45000</v>
      </c>
      <c r="M1442" s="116">
        <v>663.3</v>
      </c>
      <c r="N1442" s="116">
        <v>679.45</v>
      </c>
      <c r="O1442" s="116">
        <v>660.1</v>
      </c>
      <c r="P1442" s="116">
        <v>669</v>
      </c>
      <c r="Q1442" s="116">
        <v>663.3</v>
      </c>
      <c r="R1442">
        <v>42897</v>
      </c>
    </row>
    <row r="1443" spans="1:18" x14ac:dyDescent="0.25">
      <c r="A1443" s="170">
        <v>45001</v>
      </c>
      <c r="B1443" s="116">
        <v>669</v>
      </c>
      <c r="C1443" s="116">
        <v>665.3</v>
      </c>
      <c r="D1443" s="116">
        <v>652.15</v>
      </c>
      <c r="E1443" s="116">
        <v>662.15</v>
      </c>
      <c r="F1443" s="116">
        <v>665.3</v>
      </c>
      <c r="G1443">
        <v>2532</v>
      </c>
      <c r="H1443" s="116"/>
      <c r="I1443" s="116"/>
      <c r="L1443" s="170">
        <v>45001</v>
      </c>
      <c r="M1443" s="116">
        <v>665.6</v>
      </c>
      <c r="N1443" s="116">
        <v>672.4</v>
      </c>
      <c r="O1443" s="116">
        <v>652.1</v>
      </c>
      <c r="P1443" s="116">
        <v>661.5</v>
      </c>
      <c r="Q1443" s="116">
        <v>665.6</v>
      </c>
      <c r="R1443">
        <v>107568</v>
      </c>
    </row>
    <row r="1444" spans="1:18" x14ac:dyDescent="0.25">
      <c r="A1444" s="170">
        <v>45002</v>
      </c>
      <c r="B1444" s="116">
        <v>673.45</v>
      </c>
      <c r="C1444" s="116">
        <v>665.95</v>
      </c>
      <c r="D1444" s="116">
        <v>655.95</v>
      </c>
      <c r="E1444" s="116">
        <v>670.25</v>
      </c>
      <c r="F1444" s="116">
        <v>665.95</v>
      </c>
      <c r="G1444">
        <v>11935</v>
      </c>
      <c r="H1444" s="116"/>
      <c r="I1444" s="116"/>
      <c r="L1444" s="170">
        <v>45002</v>
      </c>
      <c r="M1444" s="116">
        <v>667.35</v>
      </c>
      <c r="N1444" s="116">
        <v>675.05</v>
      </c>
      <c r="O1444" s="116">
        <v>665</v>
      </c>
      <c r="P1444" s="116">
        <v>672</v>
      </c>
      <c r="Q1444" s="116">
        <v>667.35</v>
      </c>
      <c r="R1444">
        <v>23213</v>
      </c>
    </row>
    <row r="1445" spans="1:18" x14ac:dyDescent="0.25">
      <c r="A1445" s="170">
        <v>45005</v>
      </c>
      <c r="B1445" s="116">
        <v>670.95</v>
      </c>
      <c r="C1445" s="116">
        <v>663.7</v>
      </c>
      <c r="D1445" s="116">
        <v>654</v>
      </c>
      <c r="E1445" s="116">
        <v>654</v>
      </c>
      <c r="F1445" s="116">
        <v>663.7</v>
      </c>
      <c r="G1445">
        <v>2562</v>
      </c>
      <c r="H1445" s="116"/>
      <c r="I1445" s="116"/>
      <c r="L1445" s="170">
        <v>45005</v>
      </c>
      <c r="M1445" s="116">
        <v>665.5</v>
      </c>
      <c r="N1445" s="116">
        <v>671.05</v>
      </c>
      <c r="O1445" s="116">
        <v>652</v>
      </c>
      <c r="P1445" s="116">
        <v>652</v>
      </c>
      <c r="Q1445" s="116">
        <v>665.5</v>
      </c>
      <c r="R1445">
        <v>34273</v>
      </c>
    </row>
    <row r="1446" spans="1:18" x14ac:dyDescent="0.25">
      <c r="A1446" s="170">
        <v>45006</v>
      </c>
      <c r="B1446" s="116">
        <v>679.15</v>
      </c>
      <c r="C1446" s="116">
        <v>664.85</v>
      </c>
      <c r="D1446" s="116">
        <v>664.5</v>
      </c>
      <c r="E1446" s="116">
        <v>669.05</v>
      </c>
      <c r="F1446" s="116">
        <v>664.85</v>
      </c>
      <c r="G1446">
        <v>10689</v>
      </c>
      <c r="H1446" s="116"/>
      <c r="I1446" s="116"/>
      <c r="L1446" s="170">
        <v>45006</v>
      </c>
      <c r="M1446" s="116">
        <v>665.7</v>
      </c>
      <c r="N1446" s="116">
        <v>679</v>
      </c>
      <c r="O1446" s="116">
        <v>665</v>
      </c>
      <c r="P1446" s="116">
        <v>669.95</v>
      </c>
      <c r="Q1446" s="116">
        <v>665.7</v>
      </c>
      <c r="R1446">
        <v>50899</v>
      </c>
    </row>
    <row r="1447" spans="1:18" x14ac:dyDescent="0.25">
      <c r="A1447" s="170">
        <v>45007</v>
      </c>
      <c r="B1447" s="116">
        <v>677.45</v>
      </c>
      <c r="C1447" s="116">
        <v>666.6</v>
      </c>
      <c r="D1447" s="116">
        <v>664.35</v>
      </c>
      <c r="E1447" s="116">
        <v>669.4</v>
      </c>
      <c r="F1447" s="116">
        <v>666.6</v>
      </c>
      <c r="G1447">
        <v>5819</v>
      </c>
      <c r="H1447" s="116"/>
      <c r="I1447" s="116"/>
      <c r="L1447" s="170">
        <v>45007</v>
      </c>
      <c r="M1447" s="116">
        <v>670.55</v>
      </c>
      <c r="N1447" s="116">
        <v>678</v>
      </c>
      <c r="O1447" s="116">
        <v>665.75</v>
      </c>
      <c r="P1447" s="116">
        <v>669.05</v>
      </c>
      <c r="Q1447" s="116">
        <v>670.55</v>
      </c>
      <c r="R1447">
        <v>41311</v>
      </c>
    </row>
    <row r="1448" spans="1:18" x14ac:dyDescent="0.25">
      <c r="A1448" s="170">
        <v>45008</v>
      </c>
      <c r="B1448" s="116">
        <v>677</v>
      </c>
      <c r="C1448" s="116">
        <v>668.75</v>
      </c>
      <c r="D1448" s="116">
        <v>657.15</v>
      </c>
      <c r="E1448" s="116">
        <v>657.15</v>
      </c>
      <c r="F1448" s="116">
        <v>668.75</v>
      </c>
      <c r="G1448">
        <v>13854</v>
      </c>
      <c r="H1448" s="116"/>
      <c r="I1448" s="116"/>
      <c r="L1448" s="170">
        <v>45008</v>
      </c>
      <c r="M1448" s="116">
        <v>669.35</v>
      </c>
      <c r="N1448" s="116">
        <v>677</v>
      </c>
      <c r="O1448" s="116">
        <v>664.25</v>
      </c>
      <c r="P1448" s="116">
        <v>675</v>
      </c>
      <c r="Q1448" s="116">
        <v>669.35</v>
      </c>
      <c r="R1448">
        <v>65823</v>
      </c>
    </row>
    <row r="1449" spans="1:18" x14ac:dyDescent="0.25">
      <c r="A1449" s="170">
        <v>45009</v>
      </c>
      <c r="B1449" s="116">
        <v>673.9</v>
      </c>
      <c r="C1449" s="116">
        <v>667.85</v>
      </c>
      <c r="D1449" s="116">
        <v>665</v>
      </c>
      <c r="E1449" s="116">
        <v>667.95</v>
      </c>
      <c r="F1449" s="116">
        <v>667.85</v>
      </c>
      <c r="G1449">
        <v>2866</v>
      </c>
      <c r="H1449" s="116"/>
      <c r="I1449" s="116"/>
      <c r="L1449" s="170">
        <v>45009</v>
      </c>
      <c r="M1449" s="116">
        <v>666.95</v>
      </c>
      <c r="N1449" s="116">
        <v>673.6</v>
      </c>
      <c r="O1449" s="116">
        <v>665</v>
      </c>
      <c r="P1449" s="116">
        <v>665</v>
      </c>
      <c r="Q1449" s="116">
        <v>666.95</v>
      </c>
      <c r="R1449">
        <v>44146</v>
      </c>
    </row>
    <row r="1450" spans="1:18" x14ac:dyDescent="0.25">
      <c r="A1450" s="170">
        <v>45012</v>
      </c>
      <c r="B1450" s="116">
        <v>679</v>
      </c>
      <c r="C1450" s="116">
        <v>672.7</v>
      </c>
      <c r="D1450" s="116">
        <v>665</v>
      </c>
      <c r="E1450" s="116">
        <v>665</v>
      </c>
      <c r="F1450" s="116">
        <v>672.7</v>
      </c>
      <c r="G1450">
        <v>7928</v>
      </c>
      <c r="H1450" s="116"/>
      <c r="I1450" s="116"/>
      <c r="L1450" s="170">
        <v>45012</v>
      </c>
      <c r="M1450" s="116">
        <v>673.35</v>
      </c>
      <c r="N1450" s="116">
        <v>678.9</v>
      </c>
      <c r="O1450" s="116">
        <v>667.15</v>
      </c>
      <c r="P1450" s="116">
        <v>672</v>
      </c>
      <c r="Q1450" s="116">
        <v>673.35</v>
      </c>
      <c r="R1450">
        <v>51051</v>
      </c>
    </row>
    <row r="1451" spans="1:18" x14ac:dyDescent="0.25">
      <c r="A1451" s="170">
        <v>45013</v>
      </c>
      <c r="B1451" s="116">
        <v>679</v>
      </c>
      <c r="C1451" s="116">
        <v>674.05</v>
      </c>
      <c r="D1451" s="116">
        <v>665.15</v>
      </c>
      <c r="E1451" s="116">
        <v>674.25</v>
      </c>
      <c r="F1451" s="116">
        <v>674.05</v>
      </c>
      <c r="G1451">
        <v>5500</v>
      </c>
      <c r="H1451" s="116"/>
      <c r="I1451" s="116"/>
      <c r="L1451" s="170">
        <v>45013</v>
      </c>
      <c r="M1451" s="116">
        <v>673.95</v>
      </c>
      <c r="N1451" s="116">
        <v>679.8</v>
      </c>
      <c r="O1451" s="116">
        <v>665</v>
      </c>
      <c r="P1451" s="116">
        <v>674.65</v>
      </c>
      <c r="Q1451" s="116">
        <v>673.95</v>
      </c>
      <c r="R1451">
        <v>55435</v>
      </c>
    </row>
    <row r="1452" spans="1:18" x14ac:dyDescent="0.25">
      <c r="A1452" s="170">
        <v>45014</v>
      </c>
      <c r="B1452" s="116">
        <v>678.8</v>
      </c>
      <c r="C1452" s="116">
        <v>669.45</v>
      </c>
      <c r="D1452" s="116">
        <v>665.95</v>
      </c>
      <c r="E1452" s="116">
        <v>675.25</v>
      </c>
      <c r="F1452" s="116">
        <v>669.45</v>
      </c>
      <c r="G1452">
        <v>4358</v>
      </c>
      <c r="H1452" s="116"/>
      <c r="I1452" s="116"/>
      <c r="L1452" s="170">
        <v>45014</v>
      </c>
      <c r="M1452" s="116">
        <v>671.05</v>
      </c>
      <c r="N1452" s="116">
        <v>679</v>
      </c>
      <c r="O1452" s="116">
        <v>667.8</v>
      </c>
      <c r="P1452" s="116">
        <v>675</v>
      </c>
      <c r="Q1452" s="116">
        <v>671.05</v>
      </c>
      <c r="R1452">
        <v>104345</v>
      </c>
    </row>
    <row r="1453" spans="1:18" x14ac:dyDescent="0.25">
      <c r="A1453" s="170">
        <v>45016</v>
      </c>
      <c r="B1453" s="116">
        <v>688.75</v>
      </c>
      <c r="C1453" s="116">
        <v>671.4</v>
      </c>
      <c r="D1453" s="116">
        <v>670</v>
      </c>
      <c r="E1453" s="116">
        <v>676.2</v>
      </c>
      <c r="F1453" s="116">
        <v>671.4</v>
      </c>
      <c r="G1453">
        <v>3027</v>
      </c>
      <c r="H1453" s="116"/>
      <c r="I1453" s="116"/>
      <c r="L1453" s="170">
        <v>45016</v>
      </c>
      <c r="M1453" s="116">
        <v>670.9</v>
      </c>
      <c r="N1453" s="116">
        <v>689.15</v>
      </c>
      <c r="O1453" s="116">
        <v>670</v>
      </c>
      <c r="P1453" s="116">
        <v>670.05</v>
      </c>
      <c r="Q1453" s="116">
        <v>670.9</v>
      </c>
      <c r="R1453">
        <v>62660</v>
      </c>
    </row>
    <row r="1454" spans="1:18" x14ac:dyDescent="0.25">
      <c r="A1454" s="170">
        <v>45019</v>
      </c>
      <c r="B1454" s="116">
        <v>687.95</v>
      </c>
      <c r="C1454" s="116">
        <v>673.65</v>
      </c>
      <c r="D1454" s="116">
        <v>670.05</v>
      </c>
      <c r="E1454" s="116">
        <v>687.95</v>
      </c>
      <c r="F1454" s="116">
        <v>673.65</v>
      </c>
      <c r="G1454">
        <v>2916</v>
      </c>
      <c r="H1454" s="116"/>
      <c r="I1454" s="116"/>
      <c r="L1454" s="170">
        <v>45019</v>
      </c>
      <c r="M1454" s="116">
        <v>674.5</v>
      </c>
      <c r="N1454" s="116">
        <v>683</v>
      </c>
      <c r="O1454" s="116">
        <v>670.1</v>
      </c>
      <c r="P1454" s="116">
        <v>674</v>
      </c>
      <c r="Q1454" s="116">
        <v>674.5</v>
      </c>
      <c r="R1454">
        <v>75131</v>
      </c>
    </row>
    <row r="1455" spans="1:18" x14ac:dyDescent="0.25">
      <c r="A1455" s="170">
        <v>45021</v>
      </c>
      <c r="B1455" s="116">
        <v>687.95</v>
      </c>
      <c r="C1455" s="116">
        <v>671</v>
      </c>
      <c r="D1455" s="116">
        <v>669.7</v>
      </c>
      <c r="E1455" s="116">
        <v>687.95</v>
      </c>
      <c r="F1455" s="116">
        <v>671</v>
      </c>
      <c r="G1455">
        <v>1595</v>
      </c>
      <c r="H1455" s="116"/>
      <c r="I1455" s="116"/>
      <c r="L1455" s="170">
        <v>45021</v>
      </c>
      <c r="M1455" s="116">
        <v>671.55</v>
      </c>
      <c r="N1455" s="116">
        <v>680.85</v>
      </c>
      <c r="O1455" s="116">
        <v>670.1</v>
      </c>
      <c r="P1455" s="116">
        <v>678</v>
      </c>
      <c r="Q1455" s="116">
        <v>671.55</v>
      </c>
      <c r="R1455">
        <v>29426</v>
      </c>
    </row>
    <row r="1456" spans="1:18" x14ac:dyDescent="0.25">
      <c r="A1456" s="170">
        <v>45022</v>
      </c>
      <c r="B1456" s="116">
        <v>679.6</v>
      </c>
      <c r="C1456" s="116">
        <v>679.55</v>
      </c>
      <c r="D1456" s="116">
        <v>671.5</v>
      </c>
      <c r="E1456" s="116">
        <v>674.05</v>
      </c>
      <c r="F1456" s="116">
        <v>679.55</v>
      </c>
      <c r="G1456">
        <v>1302</v>
      </c>
      <c r="H1456" s="116"/>
      <c r="I1456" s="116"/>
      <c r="L1456" s="170">
        <v>45022</v>
      </c>
      <c r="M1456" s="116">
        <v>677.15</v>
      </c>
      <c r="N1456" s="116">
        <v>679.5</v>
      </c>
      <c r="O1456" s="116">
        <v>670.6</v>
      </c>
      <c r="P1456" s="116">
        <v>674.95</v>
      </c>
      <c r="Q1456" s="116">
        <v>677.15</v>
      </c>
      <c r="R1456">
        <v>30874</v>
      </c>
    </row>
    <row r="1457" spans="1:18" x14ac:dyDescent="0.25">
      <c r="A1457" s="170">
        <v>45026</v>
      </c>
      <c r="B1457" s="116">
        <v>678</v>
      </c>
      <c r="C1457" s="116">
        <v>677.05</v>
      </c>
      <c r="D1457" s="116">
        <v>670.05</v>
      </c>
      <c r="E1457" s="116">
        <v>674.8</v>
      </c>
      <c r="F1457" s="116">
        <v>677.05</v>
      </c>
      <c r="G1457">
        <v>6011</v>
      </c>
      <c r="H1457" s="116"/>
      <c r="I1457" s="116"/>
      <c r="L1457" s="170">
        <v>45026</v>
      </c>
      <c r="M1457" s="116">
        <v>677.05</v>
      </c>
      <c r="N1457" s="116">
        <v>679</v>
      </c>
      <c r="O1457" s="116">
        <v>670.1</v>
      </c>
      <c r="P1457" s="116">
        <v>676.15</v>
      </c>
      <c r="Q1457" s="116">
        <v>677.05</v>
      </c>
      <c r="R1457">
        <v>47499</v>
      </c>
    </row>
    <row r="1458" spans="1:18" x14ac:dyDescent="0.25">
      <c r="A1458" s="170">
        <v>45027</v>
      </c>
      <c r="B1458" s="116">
        <v>702.55</v>
      </c>
      <c r="C1458" s="116">
        <v>685.85</v>
      </c>
      <c r="D1458" s="116">
        <v>675.45</v>
      </c>
      <c r="E1458" s="116">
        <v>675.45</v>
      </c>
      <c r="F1458" s="116">
        <v>685.85</v>
      </c>
      <c r="G1458">
        <v>10175</v>
      </c>
      <c r="H1458" s="116"/>
      <c r="I1458" s="116"/>
      <c r="L1458" s="170">
        <v>45027</v>
      </c>
      <c r="M1458" s="116">
        <v>685.85</v>
      </c>
      <c r="N1458" s="116">
        <v>704</v>
      </c>
      <c r="O1458" s="116">
        <v>677</v>
      </c>
      <c r="P1458" s="116">
        <v>677.05</v>
      </c>
      <c r="Q1458" s="116">
        <v>685.85</v>
      </c>
      <c r="R1458">
        <v>273851</v>
      </c>
    </row>
    <row r="1459" spans="1:18" x14ac:dyDescent="0.25">
      <c r="A1459" s="170">
        <v>45028</v>
      </c>
      <c r="B1459" s="116">
        <v>702.35</v>
      </c>
      <c r="C1459" s="116">
        <v>696.1</v>
      </c>
      <c r="D1459" s="116">
        <v>681.8</v>
      </c>
      <c r="E1459" s="116">
        <v>688.9</v>
      </c>
      <c r="F1459" s="116">
        <v>696.1</v>
      </c>
      <c r="G1459">
        <v>8363</v>
      </c>
      <c r="H1459" s="116"/>
      <c r="I1459" s="116"/>
      <c r="L1459" s="170">
        <v>45028</v>
      </c>
      <c r="M1459" s="116">
        <v>696.2</v>
      </c>
      <c r="N1459" s="116">
        <v>702.1</v>
      </c>
      <c r="O1459" s="116">
        <v>681.85</v>
      </c>
      <c r="P1459" s="116">
        <v>688.9</v>
      </c>
      <c r="Q1459" s="116">
        <v>696.2</v>
      </c>
      <c r="R1459">
        <v>71446</v>
      </c>
    </row>
    <row r="1460" spans="1:18" x14ac:dyDescent="0.25">
      <c r="A1460" s="170">
        <v>45029</v>
      </c>
      <c r="B1460" s="116">
        <v>699.45</v>
      </c>
      <c r="C1460" s="116">
        <v>688.2</v>
      </c>
      <c r="D1460" s="116">
        <v>681.55</v>
      </c>
      <c r="E1460" s="116">
        <v>697.05</v>
      </c>
      <c r="F1460" s="116">
        <v>688.2</v>
      </c>
      <c r="G1460">
        <v>1612</v>
      </c>
      <c r="H1460" s="116"/>
      <c r="I1460" s="116"/>
      <c r="L1460" s="170">
        <v>45029</v>
      </c>
      <c r="M1460" s="116">
        <v>684.3</v>
      </c>
      <c r="N1460" s="116">
        <v>699.9</v>
      </c>
      <c r="O1460" s="116">
        <v>682</v>
      </c>
      <c r="P1460" s="116">
        <v>698</v>
      </c>
      <c r="Q1460" s="116">
        <v>684.3</v>
      </c>
      <c r="R1460">
        <v>55766</v>
      </c>
    </row>
    <row r="1461" spans="1:18" x14ac:dyDescent="0.25">
      <c r="A1461" s="170">
        <v>45033</v>
      </c>
      <c r="B1461" s="116">
        <v>689</v>
      </c>
      <c r="C1461" s="116">
        <v>671.4</v>
      </c>
      <c r="D1461" s="116">
        <v>670.1</v>
      </c>
      <c r="E1461" s="116">
        <v>689</v>
      </c>
      <c r="F1461" s="116">
        <v>671.4</v>
      </c>
      <c r="G1461">
        <v>8355</v>
      </c>
      <c r="H1461" s="116"/>
      <c r="I1461" s="116"/>
      <c r="L1461" s="170">
        <v>45033</v>
      </c>
      <c r="M1461" s="116">
        <v>671.75</v>
      </c>
      <c r="N1461" s="116">
        <v>689.7</v>
      </c>
      <c r="O1461" s="116">
        <v>670.1</v>
      </c>
      <c r="P1461" s="116">
        <v>689.45</v>
      </c>
      <c r="Q1461" s="116">
        <v>671.75</v>
      </c>
      <c r="R1461">
        <v>58260</v>
      </c>
    </row>
    <row r="1462" spans="1:18" x14ac:dyDescent="0.25">
      <c r="A1462" s="170">
        <v>45034</v>
      </c>
      <c r="B1462" s="116">
        <v>674.75</v>
      </c>
      <c r="C1462" s="116">
        <v>668.6</v>
      </c>
      <c r="D1462" s="116">
        <v>666.35</v>
      </c>
      <c r="E1462" s="116">
        <v>672.75</v>
      </c>
      <c r="F1462" s="116">
        <v>668.6</v>
      </c>
      <c r="G1462">
        <v>1383</v>
      </c>
      <c r="H1462" s="116"/>
      <c r="I1462" s="116"/>
      <c r="L1462" s="170">
        <v>45034</v>
      </c>
      <c r="M1462" s="116">
        <v>670.15</v>
      </c>
      <c r="N1462" s="116">
        <v>676.55</v>
      </c>
      <c r="O1462" s="116">
        <v>667</v>
      </c>
      <c r="P1462" s="116">
        <v>675.4</v>
      </c>
      <c r="Q1462" s="116">
        <v>670.15</v>
      </c>
      <c r="R1462">
        <v>45965</v>
      </c>
    </row>
    <row r="1463" spans="1:18" x14ac:dyDescent="0.25">
      <c r="A1463" s="170">
        <v>45035</v>
      </c>
      <c r="B1463" s="116">
        <v>675</v>
      </c>
      <c r="C1463" s="116">
        <v>667.65</v>
      </c>
      <c r="D1463" s="116">
        <v>664</v>
      </c>
      <c r="E1463" s="116">
        <v>673.9</v>
      </c>
      <c r="F1463" s="116">
        <v>667.65</v>
      </c>
      <c r="G1463">
        <v>2672</v>
      </c>
      <c r="H1463" s="116"/>
      <c r="I1463" s="116"/>
      <c r="L1463" s="170">
        <v>45035</v>
      </c>
      <c r="M1463" s="116">
        <v>669.2</v>
      </c>
      <c r="N1463" s="116">
        <v>675.5</v>
      </c>
      <c r="O1463" s="116">
        <v>664.4</v>
      </c>
      <c r="P1463" s="116">
        <v>675</v>
      </c>
      <c r="Q1463" s="116">
        <v>669.2</v>
      </c>
      <c r="R1463">
        <v>39013</v>
      </c>
    </row>
    <row r="1464" spans="1:18" x14ac:dyDescent="0.25">
      <c r="A1464" s="170">
        <v>45036</v>
      </c>
      <c r="B1464" s="116">
        <v>680.9</v>
      </c>
      <c r="C1464" s="116">
        <v>668.35</v>
      </c>
      <c r="D1464" s="116">
        <v>666.75</v>
      </c>
      <c r="E1464" s="116">
        <v>672.35</v>
      </c>
      <c r="F1464" s="116">
        <v>668.35</v>
      </c>
      <c r="G1464">
        <v>1664</v>
      </c>
      <c r="H1464" s="116"/>
      <c r="I1464" s="116"/>
      <c r="L1464" s="170">
        <v>45036</v>
      </c>
      <c r="M1464" s="116">
        <v>669.8</v>
      </c>
      <c r="N1464" s="116">
        <v>682</v>
      </c>
      <c r="O1464" s="116">
        <v>666.55</v>
      </c>
      <c r="P1464" s="116">
        <v>673.2</v>
      </c>
      <c r="Q1464" s="116">
        <v>669.8</v>
      </c>
      <c r="R1464">
        <v>46452</v>
      </c>
    </row>
    <row r="1465" spans="1:18" x14ac:dyDescent="0.25">
      <c r="A1465" s="170">
        <v>45037</v>
      </c>
      <c r="B1465" s="116">
        <v>679.95</v>
      </c>
      <c r="C1465" s="116">
        <v>676.75</v>
      </c>
      <c r="D1465" s="116">
        <v>670.15</v>
      </c>
      <c r="E1465" s="116">
        <v>672.75</v>
      </c>
      <c r="F1465" s="116">
        <v>676.75</v>
      </c>
      <c r="G1465">
        <v>1957</v>
      </c>
      <c r="H1465" s="116"/>
      <c r="I1465" s="116"/>
      <c r="L1465" s="170">
        <v>45037</v>
      </c>
      <c r="M1465" s="116">
        <v>674.6</v>
      </c>
      <c r="N1465" s="116">
        <v>680</v>
      </c>
      <c r="O1465" s="116">
        <v>670.05</v>
      </c>
      <c r="P1465" s="116">
        <v>672</v>
      </c>
      <c r="Q1465" s="116">
        <v>674.6</v>
      </c>
      <c r="R1465">
        <v>31040</v>
      </c>
    </row>
    <row r="1466" spans="1:18" x14ac:dyDescent="0.25">
      <c r="A1466" s="170">
        <v>45040</v>
      </c>
      <c r="B1466" s="116">
        <v>688</v>
      </c>
      <c r="C1466" s="116">
        <v>684.15</v>
      </c>
      <c r="D1466" s="116">
        <v>674.3</v>
      </c>
      <c r="E1466" s="116">
        <v>676.75</v>
      </c>
      <c r="F1466" s="116">
        <v>684.15</v>
      </c>
      <c r="G1466">
        <v>5537</v>
      </c>
      <c r="H1466" s="116"/>
      <c r="I1466" s="116"/>
      <c r="L1466" s="170">
        <v>45040</v>
      </c>
      <c r="M1466" s="116">
        <v>682</v>
      </c>
      <c r="N1466" s="116">
        <v>688.8</v>
      </c>
      <c r="O1466" s="116">
        <v>672.3</v>
      </c>
      <c r="P1466" s="116">
        <v>675</v>
      </c>
      <c r="Q1466" s="116">
        <v>682</v>
      </c>
      <c r="R1466">
        <v>49588</v>
      </c>
    </row>
    <row r="1467" spans="1:18" x14ac:dyDescent="0.25">
      <c r="A1467" s="170">
        <v>45041</v>
      </c>
      <c r="B1467" s="116">
        <v>684.45</v>
      </c>
      <c r="C1467" s="116">
        <v>668</v>
      </c>
      <c r="D1467" s="116">
        <v>666.8</v>
      </c>
      <c r="E1467" s="116">
        <v>682.4</v>
      </c>
      <c r="F1467" s="116">
        <v>668</v>
      </c>
      <c r="G1467">
        <v>18239</v>
      </c>
      <c r="H1467" s="116"/>
      <c r="I1467" s="116"/>
      <c r="L1467" s="170">
        <v>45041</v>
      </c>
      <c r="M1467" s="116">
        <v>668.55</v>
      </c>
      <c r="N1467" s="116">
        <v>684.9</v>
      </c>
      <c r="O1467" s="116">
        <v>667</v>
      </c>
      <c r="P1467" s="116">
        <v>684.9</v>
      </c>
      <c r="Q1467" s="116">
        <v>668.55</v>
      </c>
      <c r="R1467">
        <v>51623</v>
      </c>
    </row>
    <row r="1468" spans="1:18" x14ac:dyDescent="0.25">
      <c r="A1468" s="170">
        <v>45042</v>
      </c>
      <c r="B1468" s="116">
        <v>680</v>
      </c>
      <c r="C1468" s="116">
        <v>673.55</v>
      </c>
      <c r="D1468" s="116">
        <v>666.7</v>
      </c>
      <c r="E1468" s="116">
        <v>668.05</v>
      </c>
      <c r="F1468" s="116">
        <v>673.55</v>
      </c>
      <c r="G1468">
        <v>3297</v>
      </c>
      <c r="H1468" s="116"/>
      <c r="I1468" s="116"/>
      <c r="L1468" s="170">
        <v>45042</v>
      </c>
      <c r="M1468" s="116">
        <v>675.05</v>
      </c>
      <c r="N1468" s="116">
        <v>681</v>
      </c>
      <c r="O1468" s="116">
        <v>666.1</v>
      </c>
      <c r="P1468" s="116">
        <v>670.9</v>
      </c>
      <c r="Q1468" s="116">
        <v>675.05</v>
      </c>
      <c r="R1468">
        <v>33464</v>
      </c>
    </row>
    <row r="1469" spans="1:18" x14ac:dyDescent="0.25">
      <c r="A1469" s="170">
        <v>45043</v>
      </c>
      <c r="B1469" s="116">
        <v>686</v>
      </c>
      <c r="C1469" s="116">
        <v>681.3</v>
      </c>
      <c r="D1469" s="116">
        <v>667</v>
      </c>
      <c r="E1469" s="116">
        <v>667</v>
      </c>
      <c r="F1469" s="116">
        <v>681.3</v>
      </c>
      <c r="G1469">
        <v>3056</v>
      </c>
      <c r="H1469" s="116"/>
      <c r="I1469" s="116"/>
      <c r="L1469" s="170">
        <v>45043</v>
      </c>
      <c r="M1469" s="116">
        <v>680.55</v>
      </c>
      <c r="N1469" s="116">
        <v>686.4</v>
      </c>
      <c r="O1469" s="116">
        <v>673.5</v>
      </c>
      <c r="P1469" s="116">
        <v>676</v>
      </c>
      <c r="Q1469" s="116">
        <v>680.55</v>
      </c>
      <c r="R1469">
        <v>38477</v>
      </c>
    </row>
    <row r="1470" spans="1:18" x14ac:dyDescent="0.25">
      <c r="A1470" s="170">
        <v>45044</v>
      </c>
      <c r="B1470" s="116">
        <v>694.25</v>
      </c>
      <c r="C1470" s="116">
        <v>689.1</v>
      </c>
      <c r="D1470" s="116">
        <v>681.45</v>
      </c>
      <c r="E1470" s="116">
        <v>681.45</v>
      </c>
      <c r="F1470" s="116">
        <v>689.1</v>
      </c>
      <c r="G1470">
        <v>4679</v>
      </c>
      <c r="H1470" s="116"/>
      <c r="I1470" s="116"/>
      <c r="L1470" s="170">
        <v>45044</v>
      </c>
      <c r="M1470" s="116">
        <v>691.05</v>
      </c>
      <c r="N1470" s="116">
        <v>694.45</v>
      </c>
      <c r="O1470" s="116">
        <v>681.85</v>
      </c>
      <c r="P1470" s="116">
        <v>684</v>
      </c>
      <c r="Q1470" s="116">
        <v>691.05</v>
      </c>
      <c r="R1470">
        <v>60044</v>
      </c>
    </row>
    <row r="1471" spans="1:18" x14ac:dyDescent="0.25">
      <c r="A1471" s="170">
        <v>45048</v>
      </c>
      <c r="B1471" s="116">
        <v>710.4</v>
      </c>
      <c r="C1471" s="116">
        <v>695.45</v>
      </c>
      <c r="D1471" s="116">
        <v>692.25</v>
      </c>
      <c r="E1471" s="116">
        <v>692.25</v>
      </c>
      <c r="F1471" s="116">
        <v>695.45</v>
      </c>
      <c r="G1471">
        <v>6320</v>
      </c>
      <c r="H1471" s="116"/>
      <c r="I1471" s="116"/>
      <c r="L1471" s="170">
        <v>45048</v>
      </c>
      <c r="M1471" s="116">
        <v>696.3</v>
      </c>
      <c r="N1471" s="116">
        <v>706.5</v>
      </c>
      <c r="O1471" s="116">
        <v>691.6</v>
      </c>
      <c r="P1471" s="116">
        <v>697</v>
      </c>
      <c r="Q1471" s="116">
        <v>696.3</v>
      </c>
      <c r="R1471">
        <v>104574</v>
      </c>
    </row>
    <row r="1472" spans="1:18" x14ac:dyDescent="0.25">
      <c r="A1472" s="170">
        <v>45049</v>
      </c>
      <c r="B1472" s="116">
        <v>733</v>
      </c>
      <c r="C1472" s="116">
        <v>729.2</v>
      </c>
      <c r="D1472" s="116">
        <v>699.9</v>
      </c>
      <c r="E1472" s="116">
        <v>702.65</v>
      </c>
      <c r="F1472" s="116">
        <v>729.2</v>
      </c>
      <c r="G1472">
        <v>15410</v>
      </c>
      <c r="H1472" s="116"/>
      <c r="I1472" s="116"/>
      <c r="L1472" s="170">
        <v>45049</v>
      </c>
      <c r="M1472" s="116">
        <v>728.25</v>
      </c>
      <c r="N1472" s="116">
        <v>733.95</v>
      </c>
      <c r="O1472" s="116">
        <v>698.45</v>
      </c>
      <c r="P1472" s="116">
        <v>702</v>
      </c>
      <c r="Q1472" s="116">
        <v>728.25</v>
      </c>
      <c r="R1472">
        <v>320723</v>
      </c>
    </row>
    <row r="1473" spans="1:18" x14ac:dyDescent="0.25">
      <c r="A1473" s="170">
        <v>45050</v>
      </c>
      <c r="B1473" s="116">
        <v>737.95</v>
      </c>
      <c r="C1473" s="116">
        <v>730.05</v>
      </c>
      <c r="D1473" s="116">
        <v>722.2</v>
      </c>
      <c r="E1473" s="116">
        <v>737.95</v>
      </c>
      <c r="F1473" s="116">
        <v>730.05</v>
      </c>
      <c r="G1473">
        <v>8586</v>
      </c>
      <c r="H1473" s="116"/>
      <c r="I1473" s="116"/>
      <c r="L1473" s="170">
        <v>45050</v>
      </c>
      <c r="M1473" s="116">
        <v>730.2</v>
      </c>
      <c r="N1473" s="116">
        <v>738</v>
      </c>
      <c r="O1473" s="116">
        <v>721.8</v>
      </c>
      <c r="P1473" s="116">
        <v>734</v>
      </c>
      <c r="Q1473" s="116">
        <v>730.2</v>
      </c>
      <c r="R1473">
        <v>107516</v>
      </c>
    </row>
    <row r="1474" spans="1:18" x14ac:dyDescent="0.25">
      <c r="A1474" s="170">
        <v>45051</v>
      </c>
      <c r="B1474" s="116">
        <v>743</v>
      </c>
      <c r="C1474" s="116">
        <v>739.95</v>
      </c>
      <c r="D1474" s="116">
        <v>720.05</v>
      </c>
      <c r="E1474" s="116">
        <v>720.05</v>
      </c>
      <c r="F1474" s="116">
        <v>739.95</v>
      </c>
      <c r="G1474">
        <v>3663</v>
      </c>
      <c r="H1474" s="116"/>
      <c r="I1474" s="116"/>
      <c r="L1474" s="170">
        <v>45051</v>
      </c>
      <c r="M1474" s="116">
        <v>740.55</v>
      </c>
      <c r="N1474" s="116">
        <v>746.9</v>
      </c>
      <c r="O1474" s="116">
        <v>723.65</v>
      </c>
      <c r="P1474" s="116">
        <v>730</v>
      </c>
      <c r="Q1474" s="116">
        <v>740.55</v>
      </c>
      <c r="R1474">
        <v>140307</v>
      </c>
    </row>
    <row r="1475" spans="1:18" x14ac:dyDescent="0.25">
      <c r="A1475" s="170">
        <v>45054</v>
      </c>
      <c r="B1475" s="116">
        <v>748.9</v>
      </c>
      <c r="C1475" s="116">
        <v>744.15</v>
      </c>
      <c r="D1475" s="116">
        <v>735.9</v>
      </c>
      <c r="E1475" s="116">
        <v>741</v>
      </c>
      <c r="F1475" s="116">
        <v>744.15</v>
      </c>
      <c r="G1475">
        <v>1884</v>
      </c>
      <c r="H1475" s="116"/>
      <c r="I1475" s="116"/>
      <c r="L1475" s="170">
        <v>45054</v>
      </c>
      <c r="M1475" s="116">
        <v>745.35</v>
      </c>
      <c r="N1475" s="116">
        <v>750</v>
      </c>
      <c r="O1475" s="116">
        <v>726.3</v>
      </c>
      <c r="P1475" s="116">
        <v>740</v>
      </c>
      <c r="Q1475" s="116">
        <v>745.35</v>
      </c>
      <c r="R1475">
        <v>115242</v>
      </c>
    </row>
    <row r="1476" spans="1:18" x14ac:dyDescent="0.25">
      <c r="A1476" s="170">
        <v>45055</v>
      </c>
      <c r="B1476" s="116">
        <v>753.45</v>
      </c>
      <c r="C1476" s="116">
        <v>737.25</v>
      </c>
      <c r="D1476" s="116">
        <v>731.05</v>
      </c>
      <c r="E1476" s="116">
        <v>732.05</v>
      </c>
      <c r="F1476" s="116">
        <v>737.25</v>
      </c>
      <c r="G1476">
        <v>1493</v>
      </c>
      <c r="H1476" s="116"/>
      <c r="I1476" s="116"/>
      <c r="L1476" s="170">
        <v>45055</v>
      </c>
      <c r="M1476" s="116">
        <v>736.4</v>
      </c>
      <c r="N1476" s="116">
        <v>754.4</v>
      </c>
      <c r="O1476" s="116">
        <v>731.15</v>
      </c>
      <c r="P1476" s="116">
        <v>749</v>
      </c>
      <c r="Q1476" s="116">
        <v>736.4</v>
      </c>
      <c r="R1476">
        <v>73472</v>
      </c>
    </row>
    <row r="1477" spans="1:18" x14ac:dyDescent="0.25">
      <c r="A1477" s="170">
        <v>45056</v>
      </c>
      <c r="B1477" s="116">
        <v>743.5</v>
      </c>
      <c r="C1477" s="116">
        <v>738.2</v>
      </c>
      <c r="D1477" s="116">
        <v>732.9</v>
      </c>
      <c r="E1477" s="116">
        <v>743</v>
      </c>
      <c r="F1477" s="116">
        <v>738.2</v>
      </c>
      <c r="G1477">
        <v>22611</v>
      </c>
      <c r="H1477" s="116"/>
      <c r="I1477" s="116"/>
      <c r="L1477" s="170">
        <v>45056</v>
      </c>
      <c r="M1477" s="116">
        <v>740.25</v>
      </c>
      <c r="N1477" s="116">
        <v>743.5</v>
      </c>
      <c r="O1477" s="116">
        <v>732.95</v>
      </c>
      <c r="P1477" s="116">
        <v>739.9</v>
      </c>
      <c r="Q1477" s="116">
        <v>740.25</v>
      </c>
      <c r="R1477">
        <v>47587</v>
      </c>
    </row>
    <row r="1478" spans="1:18" x14ac:dyDescent="0.25">
      <c r="A1478" s="170">
        <v>45057</v>
      </c>
      <c r="B1478" s="116">
        <v>755.35</v>
      </c>
      <c r="C1478" s="116">
        <v>740.8</v>
      </c>
      <c r="D1478" s="116">
        <v>735.3</v>
      </c>
      <c r="E1478" s="116">
        <v>739</v>
      </c>
      <c r="F1478" s="116">
        <v>740.8</v>
      </c>
      <c r="G1478">
        <v>1921</v>
      </c>
      <c r="H1478" s="116"/>
      <c r="I1478" s="116"/>
      <c r="L1478" s="170">
        <v>45057</v>
      </c>
      <c r="M1478" s="116">
        <v>744.5</v>
      </c>
      <c r="N1478" s="116">
        <v>754.85</v>
      </c>
      <c r="O1478" s="116">
        <v>737</v>
      </c>
      <c r="P1478" s="116">
        <v>740</v>
      </c>
      <c r="Q1478" s="116">
        <v>744.5</v>
      </c>
      <c r="R1478">
        <v>48004</v>
      </c>
    </row>
    <row r="1479" spans="1:18" x14ac:dyDescent="0.25">
      <c r="A1479" s="170">
        <v>45058</v>
      </c>
      <c r="B1479" s="116">
        <v>758.95</v>
      </c>
      <c r="C1479" s="116">
        <v>746.05</v>
      </c>
      <c r="D1479" s="116">
        <v>740.45</v>
      </c>
      <c r="E1479" s="116">
        <v>742.15</v>
      </c>
      <c r="F1479" s="116">
        <v>746.05</v>
      </c>
      <c r="G1479">
        <v>15475</v>
      </c>
      <c r="H1479" s="116"/>
      <c r="I1479" s="116"/>
      <c r="L1479" s="170">
        <v>45058</v>
      </c>
      <c r="M1479" s="116">
        <v>746.15</v>
      </c>
      <c r="N1479" s="116">
        <v>761</v>
      </c>
      <c r="O1479" s="116">
        <v>740</v>
      </c>
      <c r="P1479" s="116">
        <v>744</v>
      </c>
      <c r="Q1479" s="116">
        <v>746.15</v>
      </c>
      <c r="R1479">
        <v>62666</v>
      </c>
    </row>
    <row r="1480" spans="1:18" x14ac:dyDescent="0.25">
      <c r="A1480" s="170">
        <v>45061</v>
      </c>
      <c r="B1480" s="116">
        <v>758.65</v>
      </c>
      <c r="C1480" s="116">
        <v>747.85</v>
      </c>
      <c r="D1480" s="116">
        <v>742.8</v>
      </c>
      <c r="E1480" s="116">
        <v>754.5</v>
      </c>
      <c r="F1480" s="116">
        <v>747.85</v>
      </c>
      <c r="G1480">
        <v>9542</v>
      </c>
      <c r="H1480" s="116"/>
      <c r="I1480" s="116"/>
      <c r="L1480" s="170">
        <v>45061</v>
      </c>
      <c r="M1480" s="116">
        <v>747.6</v>
      </c>
      <c r="N1480" s="116">
        <v>760</v>
      </c>
      <c r="O1480" s="116">
        <v>742.9</v>
      </c>
      <c r="P1480" s="116">
        <v>748</v>
      </c>
      <c r="Q1480" s="116">
        <v>747.6</v>
      </c>
      <c r="R1480">
        <v>125779</v>
      </c>
    </row>
    <row r="1481" spans="1:18" x14ac:dyDescent="0.25">
      <c r="A1481" s="170">
        <v>45062</v>
      </c>
      <c r="B1481" s="116">
        <v>754.95</v>
      </c>
      <c r="C1481" s="116">
        <v>734.25</v>
      </c>
      <c r="D1481" s="116">
        <v>732.05</v>
      </c>
      <c r="E1481" s="116">
        <v>754.95</v>
      </c>
      <c r="F1481" s="116">
        <v>734.25</v>
      </c>
      <c r="G1481">
        <v>17332</v>
      </c>
      <c r="H1481" s="116"/>
      <c r="I1481" s="116"/>
      <c r="L1481" s="170">
        <v>45062</v>
      </c>
      <c r="M1481" s="116">
        <v>734.5</v>
      </c>
      <c r="N1481" s="116">
        <v>753.55</v>
      </c>
      <c r="O1481" s="116">
        <v>732.5</v>
      </c>
      <c r="P1481" s="116">
        <v>753</v>
      </c>
      <c r="Q1481" s="116">
        <v>734.5</v>
      </c>
      <c r="R1481">
        <v>64016</v>
      </c>
    </row>
    <row r="1482" spans="1:18" x14ac:dyDescent="0.25">
      <c r="A1482" s="170">
        <v>45063</v>
      </c>
      <c r="B1482" s="116">
        <v>750.85</v>
      </c>
      <c r="C1482" s="116">
        <v>708.4</v>
      </c>
      <c r="D1482" s="116">
        <v>701.3</v>
      </c>
      <c r="E1482" s="116">
        <v>734.2</v>
      </c>
      <c r="F1482" s="116">
        <v>708.4</v>
      </c>
      <c r="G1482">
        <v>26835</v>
      </c>
      <c r="H1482" s="116"/>
      <c r="I1482" s="116"/>
      <c r="L1482" s="170">
        <v>45063</v>
      </c>
      <c r="M1482" s="116">
        <v>708.05</v>
      </c>
      <c r="N1482" s="116">
        <v>751</v>
      </c>
      <c r="O1482" s="116">
        <v>702.65</v>
      </c>
      <c r="P1482" s="116">
        <v>734.5</v>
      </c>
      <c r="Q1482" s="116">
        <v>708.05</v>
      </c>
      <c r="R1482">
        <v>273432</v>
      </c>
    </row>
    <row r="1483" spans="1:18" x14ac:dyDescent="0.25">
      <c r="A1483" s="170">
        <v>45064</v>
      </c>
      <c r="B1483" s="116">
        <v>719.05</v>
      </c>
      <c r="C1483" s="116">
        <v>702.65</v>
      </c>
      <c r="D1483" s="116">
        <v>673</v>
      </c>
      <c r="E1483" s="116">
        <v>708</v>
      </c>
      <c r="F1483" s="116">
        <v>702.65</v>
      </c>
      <c r="G1483">
        <v>60213</v>
      </c>
      <c r="H1483" s="116"/>
      <c r="I1483" s="116"/>
      <c r="L1483" s="170">
        <v>45064</v>
      </c>
      <c r="M1483" s="116">
        <v>702.85</v>
      </c>
      <c r="N1483" s="116">
        <v>719</v>
      </c>
      <c r="O1483" s="116">
        <v>673</v>
      </c>
      <c r="P1483" s="116">
        <v>708.7</v>
      </c>
      <c r="Q1483" s="116">
        <v>702.85</v>
      </c>
      <c r="R1483">
        <v>615277</v>
      </c>
    </row>
    <row r="1484" spans="1:18" x14ac:dyDescent="0.25">
      <c r="A1484" s="170">
        <v>45065</v>
      </c>
      <c r="B1484" s="116">
        <v>709.15</v>
      </c>
      <c r="C1484" s="116">
        <v>704.65</v>
      </c>
      <c r="D1484" s="116">
        <v>700.45</v>
      </c>
      <c r="E1484" s="116">
        <v>704.35</v>
      </c>
      <c r="F1484" s="116">
        <v>704.65</v>
      </c>
      <c r="G1484">
        <v>3026</v>
      </c>
      <c r="H1484" s="116"/>
      <c r="I1484" s="116"/>
      <c r="L1484" s="170">
        <v>45065</v>
      </c>
      <c r="M1484" s="116">
        <v>703.05</v>
      </c>
      <c r="N1484" s="116">
        <v>709.7</v>
      </c>
      <c r="O1484" s="116">
        <v>695</v>
      </c>
      <c r="P1484" s="116">
        <v>708.5</v>
      </c>
      <c r="Q1484" s="116">
        <v>703.05</v>
      </c>
      <c r="R1484">
        <v>76096</v>
      </c>
    </row>
    <row r="1485" spans="1:18" x14ac:dyDescent="0.25">
      <c r="A1485" s="170">
        <v>45068</v>
      </c>
      <c r="B1485" s="116">
        <v>715</v>
      </c>
      <c r="C1485" s="116">
        <v>698.45</v>
      </c>
      <c r="D1485" s="116">
        <v>687.3</v>
      </c>
      <c r="E1485" s="116">
        <v>705</v>
      </c>
      <c r="F1485" s="116">
        <v>698.45</v>
      </c>
      <c r="G1485">
        <v>11878</v>
      </c>
      <c r="H1485" s="116"/>
      <c r="I1485" s="116"/>
      <c r="L1485" s="170">
        <v>45068</v>
      </c>
      <c r="M1485" s="116">
        <v>700</v>
      </c>
      <c r="N1485" s="116">
        <v>716</v>
      </c>
      <c r="O1485" s="116">
        <v>687.35</v>
      </c>
      <c r="P1485" s="116">
        <v>704.75</v>
      </c>
      <c r="Q1485" s="116">
        <v>700</v>
      </c>
      <c r="R1485">
        <v>168240</v>
      </c>
    </row>
    <row r="1486" spans="1:18" x14ac:dyDescent="0.25">
      <c r="A1486" s="170">
        <v>45069</v>
      </c>
      <c r="B1486" s="116">
        <v>709</v>
      </c>
      <c r="C1486" s="116">
        <v>696.25</v>
      </c>
      <c r="D1486" s="116">
        <v>691.05</v>
      </c>
      <c r="E1486" s="116">
        <v>691.05</v>
      </c>
      <c r="F1486" s="116">
        <v>696.25</v>
      </c>
      <c r="G1486">
        <v>13724</v>
      </c>
      <c r="H1486" s="116"/>
      <c r="I1486" s="116"/>
      <c r="L1486" s="170">
        <v>45069</v>
      </c>
      <c r="M1486" s="116">
        <v>696.5</v>
      </c>
      <c r="N1486" s="116">
        <v>709.9</v>
      </c>
      <c r="O1486" s="116">
        <v>695.2</v>
      </c>
      <c r="P1486" s="116">
        <v>700</v>
      </c>
      <c r="Q1486" s="116">
        <v>696.5</v>
      </c>
      <c r="R1486">
        <v>72471</v>
      </c>
    </row>
    <row r="1487" spans="1:18" x14ac:dyDescent="0.25">
      <c r="A1487" s="170">
        <v>45070</v>
      </c>
      <c r="B1487" s="116">
        <v>723.7</v>
      </c>
      <c r="C1487" s="116">
        <v>718.55</v>
      </c>
      <c r="D1487" s="116">
        <v>695.15</v>
      </c>
      <c r="E1487" s="116">
        <v>697.15</v>
      </c>
      <c r="F1487" s="116">
        <v>718.55</v>
      </c>
      <c r="G1487">
        <v>20904</v>
      </c>
      <c r="H1487" s="116"/>
      <c r="I1487" s="116"/>
      <c r="L1487" s="170">
        <v>45070</v>
      </c>
      <c r="M1487" s="116">
        <v>720.2</v>
      </c>
      <c r="N1487" s="116">
        <v>725</v>
      </c>
      <c r="O1487" s="116">
        <v>694.4</v>
      </c>
      <c r="P1487" s="116">
        <v>697</v>
      </c>
      <c r="Q1487" s="116">
        <v>720.2</v>
      </c>
      <c r="R1487">
        <v>109003</v>
      </c>
    </row>
    <row r="1488" spans="1:18" x14ac:dyDescent="0.25">
      <c r="A1488" s="170">
        <v>45071</v>
      </c>
      <c r="B1488" s="116">
        <v>748.65</v>
      </c>
      <c r="C1488" s="116">
        <v>724.85</v>
      </c>
      <c r="D1488" s="116">
        <v>712.4</v>
      </c>
      <c r="E1488" s="116">
        <v>724.2</v>
      </c>
      <c r="F1488" s="116">
        <v>724.85</v>
      </c>
      <c r="G1488">
        <v>22821</v>
      </c>
      <c r="H1488" s="116"/>
      <c r="I1488" s="116"/>
      <c r="L1488" s="170">
        <v>45071</v>
      </c>
      <c r="M1488" s="116">
        <v>721.55</v>
      </c>
      <c r="N1488" s="116">
        <v>748.85</v>
      </c>
      <c r="O1488" s="116">
        <v>712.95</v>
      </c>
      <c r="P1488" s="116">
        <v>728</v>
      </c>
      <c r="Q1488" s="116">
        <v>721.55</v>
      </c>
      <c r="R1488">
        <v>112508</v>
      </c>
    </row>
    <row r="1489" spans="1:18" x14ac:dyDescent="0.25">
      <c r="A1489" s="170">
        <v>45072</v>
      </c>
      <c r="B1489" s="116">
        <v>759.15</v>
      </c>
      <c r="C1489" s="116">
        <v>736.6</v>
      </c>
      <c r="D1489" s="116">
        <v>721.85</v>
      </c>
      <c r="E1489" s="116">
        <v>721.85</v>
      </c>
      <c r="F1489" s="116">
        <v>736.6</v>
      </c>
      <c r="G1489">
        <v>15228</v>
      </c>
      <c r="H1489" s="116"/>
      <c r="I1489" s="116"/>
      <c r="L1489" s="170">
        <v>45072</v>
      </c>
      <c r="M1489" s="116">
        <v>737.3</v>
      </c>
      <c r="N1489" s="116">
        <v>759.7</v>
      </c>
      <c r="O1489" s="116">
        <v>721.05</v>
      </c>
      <c r="P1489" s="116">
        <v>723</v>
      </c>
      <c r="Q1489" s="116">
        <v>737.3</v>
      </c>
      <c r="R1489">
        <v>157261</v>
      </c>
    </row>
    <row r="1490" spans="1:18" x14ac:dyDescent="0.25">
      <c r="A1490" s="170">
        <v>45075</v>
      </c>
      <c r="B1490" s="116">
        <v>746.35</v>
      </c>
      <c r="C1490" s="116">
        <v>740.55</v>
      </c>
      <c r="D1490" s="116">
        <v>731.55</v>
      </c>
      <c r="E1490" s="116">
        <v>731.55</v>
      </c>
      <c r="F1490" s="116">
        <v>740.55</v>
      </c>
      <c r="G1490">
        <v>3679</v>
      </c>
      <c r="H1490" s="116"/>
      <c r="I1490" s="116"/>
      <c r="L1490" s="170">
        <v>45075</v>
      </c>
      <c r="M1490" s="116">
        <v>740.35</v>
      </c>
      <c r="N1490" s="116">
        <v>747.1</v>
      </c>
      <c r="O1490" s="116">
        <v>732</v>
      </c>
      <c r="P1490" s="116">
        <v>741.9</v>
      </c>
      <c r="Q1490" s="116">
        <v>740.35</v>
      </c>
      <c r="R1490">
        <v>57102</v>
      </c>
    </row>
    <row r="1491" spans="1:18" x14ac:dyDescent="0.25">
      <c r="A1491" s="170">
        <v>45076</v>
      </c>
      <c r="B1491" s="116">
        <v>743.95</v>
      </c>
      <c r="C1491" s="116">
        <v>710.1</v>
      </c>
      <c r="D1491" s="116">
        <v>700.1</v>
      </c>
      <c r="E1491" s="116">
        <v>700.1</v>
      </c>
      <c r="F1491" s="116">
        <v>710.1</v>
      </c>
      <c r="G1491">
        <v>9828</v>
      </c>
      <c r="H1491" s="116"/>
      <c r="I1491" s="116"/>
      <c r="L1491" s="170">
        <v>45076</v>
      </c>
      <c r="M1491" s="116">
        <v>709.9</v>
      </c>
      <c r="N1491" s="116">
        <v>744</v>
      </c>
      <c r="O1491" s="116">
        <v>706.2</v>
      </c>
      <c r="P1491" s="116">
        <v>735.95</v>
      </c>
      <c r="Q1491" s="116">
        <v>709.9</v>
      </c>
      <c r="R1491">
        <v>140984</v>
      </c>
    </row>
    <row r="1492" spans="1:18" x14ac:dyDescent="0.25">
      <c r="A1492" s="170">
        <v>45077</v>
      </c>
      <c r="B1492" s="116">
        <v>719.95</v>
      </c>
      <c r="C1492" s="116">
        <v>717.2</v>
      </c>
      <c r="D1492" s="116">
        <v>704.9</v>
      </c>
      <c r="E1492" s="116">
        <v>708.6</v>
      </c>
      <c r="F1492" s="116">
        <v>717.2</v>
      </c>
      <c r="G1492">
        <v>12445</v>
      </c>
      <c r="H1492" s="116"/>
      <c r="I1492" s="116"/>
      <c r="L1492" s="170">
        <v>45077</v>
      </c>
      <c r="M1492" s="116">
        <v>717.15</v>
      </c>
      <c r="N1492" s="116">
        <v>720</v>
      </c>
      <c r="O1492" s="116">
        <v>705.1</v>
      </c>
      <c r="P1492" s="116">
        <v>716.05</v>
      </c>
      <c r="Q1492" s="116">
        <v>717.15</v>
      </c>
      <c r="R1492">
        <v>52248</v>
      </c>
    </row>
    <row r="1493" spans="1:18" x14ac:dyDescent="0.25">
      <c r="A1493" s="170">
        <v>45078</v>
      </c>
      <c r="B1493" s="116">
        <v>726.75</v>
      </c>
      <c r="C1493" s="116">
        <v>718.9</v>
      </c>
      <c r="D1493" s="116">
        <v>717.8</v>
      </c>
      <c r="E1493" s="116">
        <v>722.9</v>
      </c>
      <c r="F1493" s="116">
        <v>718.9</v>
      </c>
      <c r="G1493">
        <v>8342</v>
      </c>
      <c r="H1493" s="116"/>
      <c r="I1493" s="116"/>
      <c r="L1493" s="170">
        <v>45078</v>
      </c>
      <c r="M1493" s="116">
        <v>719.25</v>
      </c>
      <c r="N1493" s="116">
        <v>726.75</v>
      </c>
      <c r="O1493" s="116">
        <v>716.25</v>
      </c>
      <c r="P1493" s="116">
        <v>722.3</v>
      </c>
      <c r="Q1493" s="116">
        <v>719.25</v>
      </c>
      <c r="R1493">
        <v>30669</v>
      </c>
    </row>
    <row r="1494" spans="1:18" x14ac:dyDescent="0.25">
      <c r="A1494" s="170">
        <v>45079</v>
      </c>
      <c r="B1494" s="116">
        <v>732.35</v>
      </c>
      <c r="C1494" s="116">
        <v>724.75</v>
      </c>
      <c r="D1494" s="116">
        <v>718</v>
      </c>
      <c r="E1494" s="116">
        <v>718</v>
      </c>
      <c r="F1494" s="116">
        <v>724.75</v>
      </c>
      <c r="G1494">
        <v>1075</v>
      </c>
      <c r="H1494" s="116"/>
      <c r="I1494" s="116"/>
      <c r="L1494" s="170">
        <v>45079</v>
      </c>
      <c r="M1494" s="116">
        <v>723.85</v>
      </c>
      <c r="N1494" s="116">
        <v>732.8</v>
      </c>
      <c r="O1494" s="116">
        <v>719.9</v>
      </c>
      <c r="P1494" s="116">
        <v>719.9</v>
      </c>
      <c r="Q1494" s="116">
        <v>723.85</v>
      </c>
      <c r="R1494">
        <v>29998</v>
      </c>
    </row>
    <row r="1495" spans="1:18" x14ac:dyDescent="0.25">
      <c r="A1495" s="170">
        <v>45082</v>
      </c>
      <c r="B1495" s="116">
        <v>774.3</v>
      </c>
      <c r="C1495" s="116">
        <v>766.4</v>
      </c>
      <c r="D1495" s="116">
        <v>729.4</v>
      </c>
      <c r="E1495" s="116">
        <v>729.4</v>
      </c>
      <c r="F1495" s="116">
        <v>766.4</v>
      </c>
      <c r="G1495">
        <v>25104</v>
      </c>
      <c r="H1495" s="116"/>
      <c r="I1495" s="116"/>
      <c r="L1495" s="170">
        <v>45082</v>
      </c>
      <c r="M1495" s="116">
        <v>767.25</v>
      </c>
      <c r="N1495" s="116">
        <v>774.5</v>
      </c>
      <c r="O1495" s="116">
        <v>727.65</v>
      </c>
      <c r="P1495" s="116">
        <v>730</v>
      </c>
      <c r="Q1495" s="116">
        <v>767.25</v>
      </c>
      <c r="R1495">
        <v>356665</v>
      </c>
    </row>
    <row r="1496" spans="1:18" x14ac:dyDescent="0.25">
      <c r="A1496" s="170">
        <v>45083</v>
      </c>
      <c r="B1496" s="116">
        <v>784.15</v>
      </c>
      <c r="C1496" s="116">
        <v>766.95</v>
      </c>
      <c r="D1496" s="116">
        <v>761.7</v>
      </c>
      <c r="E1496" s="116">
        <v>779</v>
      </c>
      <c r="F1496" s="116">
        <v>766.95</v>
      </c>
      <c r="G1496">
        <v>6858</v>
      </c>
      <c r="H1496" s="116"/>
      <c r="I1496" s="116"/>
      <c r="L1496" s="170">
        <v>45083</v>
      </c>
      <c r="M1496" s="116">
        <v>766.15</v>
      </c>
      <c r="N1496" s="116">
        <v>781</v>
      </c>
      <c r="O1496" s="116">
        <v>760.8</v>
      </c>
      <c r="P1496" s="116">
        <v>778</v>
      </c>
      <c r="Q1496" s="116">
        <v>766.15</v>
      </c>
      <c r="R1496">
        <v>114655</v>
      </c>
    </row>
    <row r="1497" spans="1:18" x14ac:dyDescent="0.25">
      <c r="A1497" s="170">
        <v>45084</v>
      </c>
      <c r="B1497" s="116">
        <v>774.8</v>
      </c>
      <c r="C1497" s="116">
        <v>755.8</v>
      </c>
      <c r="D1497" s="116">
        <v>749.45</v>
      </c>
      <c r="E1497" s="116">
        <v>767</v>
      </c>
      <c r="F1497" s="116">
        <v>755.8</v>
      </c>
      <c r="G1497">
        <v>15101</v>
      </c>
      <c r="H1497" s="116"/>
      <c r="I1497" s="116"/>
      <c r="L1497" s="170">
        <v>45084</v>
      </c>
      <c r="M1497" s="116">
        <v>755.95</v>
      </c>
      <c r="N1497" s="116">
        <v>775</v>
      </c>
      <c r="O1497" s="116">
        <v>750</v>
      </c>
      <c r="P1497" s="116">
        <v>770</v>
      </c>
      <c r="Q1497" s="116">
        <v>755.95</v>
      </c>
      <c r="R1497">
        <v>96876</v>
      </c>
    </row>
    <row r="1498" spans="1:18" x14ac:dyDescent="0.25">
      <c r="A1498" s="170">
        <v>45085</v>
      </c>
      <c r="B1498" s="116">
        <v>773.95</v>
      </c>
      <c r="C1498" s="116">
        <v>752.6</v>
      </c>
      <c r="D1498" s="116">
        <v>746.8</v>
      </c>
      <c r="E1498" s="116">
        <v>755.05</v>
      </c>
      <c r="F1498" s="116">
        <v>752.6</v>
      </c>
      <c r="G1498">
        <v>7432</v>
      </c>
      <c r="H1498" s="116"/>
      <c r="I1498" s="116"/>
      <c r="L1498" s="170">
        <v>45085</v>
      </c>
      <c r="M1498" s="116">
        <v>752.55</v>
      </c>
      <c r="N1498" s="116">
        <v>774</v>
      </c>
      <c r="O1498" s="116">
        <v>746</v>
      </c>
      <c r="P1498" s="116">
        <v>759.65</v>
      </c>
      <c r="Q1498" s="116">
        <v>752.55</v>
      </c>
      <c r="R1498">
        <v>100929</v>
      </c>
    </row>
    <row r="1499" spans="1:18" x14ac:dyDescent="0.25">
      <c r="A1499" s="170">
        <v>45086</v>
      </c>
      <c r="B1499" s="116">
        <v>759.9</v>
      </c>
      <c r="C1499" s="116">
        <v>743</v>
      </c>
      <c r="D1499" s="116">
        <v>734.9</v>
      </c>
      <c r="E1499" s="116">
        <v>751.2</v>
      </c>
      <c r="F1499" s="116">
        <v>743</v>
      </c>
      <c r="G1499">
        <v>10701</v>
      </c>
      <c r="H1499" s="116"/>
      <c r="I1499" s="116"/>
      <c r="L1499" s="170">
        <v>45086</v>
      </c>
      <c r="M1499" s="116">
        <v>743.1</v>
      </c>
      <c r="N1499" s="116">
        <v>760</v>
      </c>
      <c r="O1499" s="116">
        <v>735.8</v>
      </c>
      <c r="P1499" s="116">
        <v>754.8</v>
      </c>
      <c r="Q1499" s="116">
        <v>743.1</v>
      </c>
      <c r="R1499">
        <v>76250</v>
      </c>
    </row>
    <row r="1500" spans="1:18" x14ac:dyDescent="0.25">
      <c r="A1500" s="170">
        <v>45089</v>
      </c>
      <c r="B1500" s="116">
        <v>755.05</v>
      </c>
      <c r="C1500" s="116">
        <v>744.15</v>
      </c>
      <c r="D1500" s="116">
        <v>741.4</v>
      </c>
      <c r="E1500" s="116">
        <v>749.65</v>
      </c>
      <c r="F1500" s="116">
        <v>744.15</v>
      </c>
      <c r="G1500">
        <v>14253</v>
      </c>
      <c r="H1500" s="116"/>
      <c r="I1500" s="116"/>
      <c r="L1500" s="170">
        <v>45089</v>
      </c>
      <c r="M1500" s="116">
        <v>742.45</v>
      </c>
      <c r="N1500" s="116">
        <v>763.3</v>
      </c>
      <c r="O1500" s="116">
        <v>740</v>
      </c>
      <c r="P1500" s="116">
        <v>747</v>
      </c>
      <c r="Q1500" s="116">
        <v>742.45</v>
      </c>
      <c r="R1500">
        <v>38887</v>
      </c>
    </row>
    <row r="1501" spans="1:18" x14ac:dyDescent="0.25">
      <c r="A1501" s="170">
        <v>45090</v>
      </c>
      <c r="B1501" s="116">
        <v>750</v>
      </c>
      <c r="C1501" s="116">
        <v>740.35</v>
      </c>
      <c r="D1501" s="116">
        <v>737.85</v>
      </c>
      <c r="E1501" s="116">
        <v>747.05</v>
      </c>
      <c r="F1501" s="116">
        <v>740.35</v>
      </c>
      <c r="G1501">
        <v>6140</v>
      </c>
      <c r="H1501" s="116"/>
      <c r="I1501" s="116"/>
      <c r="L1501" s="170">
        <v>45090</v>
      </c>
      <c r="M1501" s="116">
        <v>741.75</v>
      </c>
      <c r="N1501" s="116">
        <v>750</v>
      </c>
      <c r="O1501" s="116">
        <v>740</v>
      </c>
      <c r="P1501" s="116">
        <v>742.45</v>
      </c>
      <c r="Q1501" s="116">
        <v>741.75</v>
      </c>
      <c r="R1501">
        <v>45182</v>
      </c>
    </row>
    <row r="1502" spans="1:18" x14ac:dyDescent="0.25">
      <c r="A1502" s="170">
        <v>45091</v>
      </c>
      <c r="B1502" s="116">
        <v>764.35</v>
      </c>
      <c r="C1502" s="116">
        <v>754.45</v>
      </c>
      <c r="D1502" s="116">
        <v>744.9</v>
      </c>
      <c r="E1502" s="116">
        <v>744.9</v>
      </c>
      <c r="F1502" s="116">
        <v>754.45</v>
      </c>
      <c r="G1502">
        <v>6163</v>
      </c>
      <c r="H1502" s="116"/>
      <c r="I1502" s="116"/>
      <c r="L1502" s="170">
        <v>45091</v>
      </c>
      <c r="M1502" s="116">
        <v>753.9</v>
      </c>
      <c r="N1502" s="116">
        <v>764.9</v>
      </c>
      <c r="O1502" s="116">
        <v>744.25</v>
      </c>
      <c r="P1502" s="116">
        <v>745.5</v>
      </c>
      <c r="Q1502" s="116">
        <v>753.9</v>
      </c>
      <c r="R1502">
        <v>90286</v>
      </c>
    </row>
    <row r="1503" spans="1:18" x14ac:dyDescent="0.25">
      <c r="A1503" s="170">
        <v>45092</v>
      </c>
      <c r="B1503" s="116">
        <v>758</v>
      </c>
      <c r="C1503" s="116">
        <v>746.75</v>
      </c>
      <c r="D1503" s="116">
        <v>741.8</v>
      </c>
      <c r="E1503" s="116">
        <v>752.05</v>
      </c>
      <c r="F1503" s="116">
        <v>746.75</v>
      </c>
      <c r="G1503">
        <v>9343</v>
      </c>
      <c r="H1503" s="116"/>
      <c r="I1503" s="116"/>
      <c r="L1503" s="170">
        <v>45092</v>
      </c>
      <c r="M1503" s="116">
        <v>746.65</v>
      </c>
      <c r="N1503" s="116">
        <v>759.8</v>
      </c>
      <c r="O1503" s="116">
        <v>742.15</v>
      </c>
      <c r="P1503" s="116">
        <v>757</v>
      </c>
      <c r="Q1503" s="116">
        <v>746.65</v>
      </c>
      <c r="R1503">
        <v>35954</v>
      </c>
    </row>
    <row r="1504" spans="1:18" x14ac:dyDescent="0.25">
      <c r="A1504" s="170">
        <v>45093</v>
      </c>
      <c r="B1504" s="116">
        <v>764</v>
      </c>
      <c r="C1504" s="116">
        <v>747.5</v>
      </c>
      <c r="D1504" s="116">
        <v>741</v>
      </c>
      <c r="E1504" s="116">
        <v>764</v>
      </c>
      <c r="F1504" s="116">
        <v>747.5</v>
      </c>
      <c r="G1504">
        <v>6569</v>
      </c>
      <c r="H1504" s="116"/>
      <c r="I1504" s="116"/>
      <c r="L1504" s="170">
        <v>45093</v>
      </c>
      <c r="M1504" s="116">
        <v>746.85</v>
      </c>
      <c r="N1504" s="116">
        <v>758.8</v>
      </c>
      <c r="O1504" s="116">
        <v>741</v>
      </c>
      <c r="P1504" s="116">
        <v>750.4</v>
      </c>
      <c r="Q1504" s="116">
        <v>746.85</v>
      </c>
      <c r="R1504">
        <v>42274</v>
      </c>
    </row>
    <row r="1505" spans="1:18" x14ac:dyDescent="0.25">
      <c r="A1505" s="170">
        <v>45096</v>
      </c>
      <c r="B1505" s="116">
        <v>755</v>
      </c>
      <c r="C1505" s="116">
        <v>743.6</v>
      </c>
      <c r="D1505" s="116">
        <v>740.3</v>
      </c>
      <c r="E1505" s="116">
        <v>745</v>
      </c>
      <c r="F1505" s="116">
        <v>743.6</v>
      </c>
      <c r="G1505">
        <v>3741</v>
      </c>
      <c r="H1505" s="116"/>
      <c r="I1505" s="116"/>
      <c r="L1505" s="170">
        <v>45096</v>
      </c>
      <c r="M1505" s="116">
        <v>745.15</v>
      </c>
      <c r="N1505" s="116">
        <v>754.8</v>
      </c>
      <c r="O1505" s="116">
        <v>742.05</v>
      </c>
      <c r="P1505" s="116">
        <v>748.95</v>
      </c>
      <c r="Q1505" s="116">
        <v>745.15</v>
      </c>
      <c r="R1505">
        <v>29321</v>
      </c>
    </row>
    <row r="1506" spans="1:18" x14ac:dyDescent="0.25">
      <c r="A1506" s="170">
        <v>45097</v>
      </c>
      <c r="B1506" s="116">
        <v>777</v>
      </c>
      <c r="C1506" s="116">
        <v>773.7</v>
      </c>
      <c r="D1506" s="116">
        <v>742.45</v>
      </c>
      <c r="E1506" s="116">
        <v>745.8</v>
      </c>
      <c r="F1506" s="116">
        <v>773.7</v>
      </c>
      <c r="G1506">
        <v>9634</v>
      </c>
      <c r="H1506" s="116"/>
      <c r="I1506" s="116"/>
      <c r="L1506" s="170">
        <v>45097</v>
      </c>
      <c r="M1506" s="116">
        <v>773.2</v>
      </c>
      <c r="N1506" s="116">
        <v>778</v>
      </c>
      <c r="O1506" s="116">
        <v>742.5</v>
      </c>
      <c r="P1506" s="116">
        <v>749</v>
      </c>
      <c r="Q1506" s="116">
        <v>773.2</v>
      </c>
      <c r="R1506">
        <v>198244</v>
      </c>
    </row>
    <row r="1507" spans="1:18" x14ac:dyDescent="0.25">
      <c r="A1507" s="170">
        <v>45098</v>
      </c>
      <c r="B1507" s="116">
        <v>798</v>
      </c>
      <c r="C1507" s="116">
        <v>771.65</v>
      </c>
      <c r="D1507" s="116">
        <v>764.5</v>
      </c>
      <c r="E1507" s="116">
        <v>773.7</v>
      </c>
      <c r="F1507" s="116">
        <v>771.65</v>
      </c>
      <c r="G1507">
        <v>29218</v>
      </c>
      <c r="H1507" s="116"/>
      <c r="I1507" s="116"/>
      <c r="L1507" s="170">
        <v>45098</v>
      </c>
      <c r="M1507" s="116">
        <v>771.4</v>
      </c>
      <c r="N1507" s="116">
        <v>798.6</v>
      </c>
      <c r="O1507" s="116">
        <v>764</v>
      </c>
      <c r="P1507" s="116">
        <v>775</v>
      </c>
      <c r="Q1507" s="116">
        <v>771.4</v>
      </c>
      <c r="R1507">
        <v>383222</v>
      </c>
    </row>
    <row r="1508" spans="1:18" x14ac:dyDescent="0.25">
      <c r="A1508" s="170">
        <v>45099</v>
      </c>
      <c r="B1508" s="116">
        <v>785</v>
      </c>
      <c r="C1508" s="116">
        <v>769.6</v>
      </c>
      <c r="D1508" s="116">
        <v>758.9</v>
      </c>
      <c r="E1508" s="116">
        <v>771.65</v>
      </c>
      <c r="F1508" s="116">
        <v>769.6</v>
      </c>
      <c r="G1508">
        <v>10383</v>
      </c>
      <c r="H1508" s="116"/>
      <c r="I1508" s="116"/>
      <c r="L1508" s="170">
        <v>45099</v>
      </c>
      <c r="M1508" s="116">
        <v>769.3</v>
      </c>
      <c r="N1508" s="116">
        <v>785</v>
      </c>
      <c r="O1508" s="116">
        <v>759</v>
      </c>
      <c r="P1508" s="116">
        <v>775</v>
      </c>
      <c r="Q1508" s="116">
        <v>769.3</v>
      </c>
      <c r="R1508">
        <v>80848</v>
      </c>
    </row>
    <row r="1509" spans="1:18" x14ac:dyDescent="0.25">
      <c r="A1509" s="170">
        <v>45100</v>
      </c>
      <c r="B1509" s="116">
        <v>785.1</v>
      </c>
      <c r="C1509" s="116">
        <v>767.65</v>
      </c>
      <c r="D1509" s="116">
        <v>757.5</v>
      </c>
      <c r="E1509" s="116">
        <v>760.05</v>
      </c>
      <c r="F1509" s="116">
        <v>767.65</v>
      </c>
      <c r="G1509">
        <v>23440</v>
      </c>
      <c r="H1509" s="116"/>
      <c r="I1509" s="116"/>
      <c r="L1509" s="170">
        <v>45100</v>
      </c>
      <c r="M1509" s="116">
        <v>768.35</v>
      </c>
      <c r="N1509" s="116">
        <v>785</v>
      </c>
      <c r="O1509" s="116">
        <v>758</v>
      </c>
      <c r="P1509" s="116">
        <v>768.8</v>
      </c>
      <c r="Q1509" s="116">
        <v>768.35</v>
      </c>
      <c r="R1509">
        <v>83670</v>
      </c>
    </row>
    <row r="1510" spans="1:18" x14ac:dyDescent="0.25">
      <c r="A1510" s="170">
        <v>45103</v>
      </c>
      <c r="B1510" s="116">
        <v>785.85</v>
      </c>
      <c r="C1510" s="116">
        <v>753.9</v>
      </c>
      <c r="D1510" s="116">
        <v>747.15</v>
      </c>
      <c r="E1510" s="116">
        <v>785.85</v>
      </c>
      <c r="F1510" s="116">
        <v>753.9</v>
      </c>
      <c r="G1510">
        <v>6172</v>
      </c>
      <c r="H1510" s="116"/>
      <c r="I1510" s="116"/>
      <c r="L1510" s="170">
        <v>45103</v>
      </c>
      <c r="M1510" s="116">
        <v>757.7</v>
      </c>
      <c r="N1510" s="116">
        <v>785</v>
      </c>
      <c r="O1510" s="116">
        <v>746.6</v>
      </c>
      <c r="P1510" s="116">
        <v>770</v>
      </c>
      <c r="Q1510" s="116">
        <v>757.7</v>
      </c>
      <c r="R1510">
        <v>111508</v>
      </c>
    </row>
    <row r="1511" spans="1:18" x14ac:dyDescent="0.25">
      <c r="A1511" s="170">
        <v>45104</v>
      </c>
      <c r="B1511" s="116">
        <v>753</v>
      </c>
      <c r="C1511" s="116">
        <v>729.6</v>
      </c>
      <c r="D1511" s="116">
        <v>722.3</v>
      </c>
      <c r="E1511" s="116">
        <v>748.85</v>
      </c>
      <c r="F1511" s="116">
        <v>729.6</v>
      </c>
      <c r="G1511">
        <v>10702</v>
      </c>
      <c r="H1511" s="116"/>
      <c r="I1511" s="116"/>
      <c r="L1511" s="170">
        <v>45104</v>
      </c>
      <c r="M1511" s="116">
        <v>729.2</v>
      </c>
      <c r="N1511" s="116">
        <v>755</v>
      </c>
      <c r="O1511" s="116">
        <v>722.5</v>
      </c>
      <c r="P1511" s="116">
        <v>750.25</v>
      </c>
      <c r="Q1511" s="116">
        <v>729.2</v>
      </c>
      <c r="R1511">
        <v>257268</v>
      </c>
    </row>
    <row r="1512" spans="1:18" x14ac:dyDescent="0.25">
      <c r="A1512" s="170">
        <v>45105</v>
      </c>
      <c r="B1512" s="116">
        <v>735.95</v>
      </c>
      <c r="C1512" s="116">
        <v>713.65</v>
      </c>
      <c r="D1512" s="116">
        <v>705.85</v>
      </c>
      <c r="E1512" s="116">
        <v>735.95</v>
      </c>
      <c r="F1512" s="116">
        <v>713.65</v>
      </c>
      <c r="G1512">
        <v>13506</v>
      </c>
      <c r="H1512" s="116"/>
      <c r="I1512" s="116"/>
      <c r="L1512" s="170">
        <v>45105</v>
      </c>
      <c r="M1512" s="116">
        <v>714.1</v>
      </c>
      <c r="N1512" s="116">
        <v>737</v>
      </c>
      <c r="O1512" s="116">
        <v>710</v>
      </c>
      <c r="P1512" s="116">
        <v>729.05</v>
      </c>
      <c r="Q1512" s="116">
        <v>714.1</v>
      </c>
      <c r="R1512">
        <v>110548</v>
      </c>
    </row>
    <row r="1513" spans="1:18" x14ac:dyDescent="0.25">
      <c r="A1513" s="170">
        <v>45107</v>
      </c>
      <c r="B1513" s="116">
        <v>729.95</v>
      </c>
      <c r="C1513" s="116">
        <v>713.25</v>
      </c>
      <c r="D1513" s="116">
        <v>708.75</v>
      </c>
      <c r="E1513" s="116">
        <v>719.65</v>
      </c>
      <c r="F1513" s="116">
        <v>713.25</v>
      </c>
      <c r="G1513">
        <v>5507</v>
      </c>
      <c r="H1513" s="116"/>
      <c r="I1513" s="116"/>
      <c r="L1513" s="170">
        <v>45107</v>
      </c>
      <c r="M1513" s="116">
        <v>713.35</v>
      </c>
      <c r="N1513" s="116">
        <v>731.3</v>
      </c>
      <c r="O1513" s="116">
        <v>708.05</v>
      </c>
      <c r="P1513" s="116">
        <v>725</v>
      </c>
      <c r="Q1513" s="116">
        <v>713.35</v>
      </c>
      <c r="R1513">
        <v>113062</v>
      </c>
    </row>
    <row r="1514" spans="1:18" x14ac:dyDescent="0.25">
      <c r="A1514" s="170">
        <v>45110</v>
      </c>
      <c r="B1514" s="116">
        <v>729.1</v>
      </c>
      <c r="C1514" s="116">
        <v>717.55</v>
      </c>
      <c r="D1514" s="116">
        <v>708.05</v>
      </c>
      <c r="E1514" s="116">
        <v>711.9</v>
      </c>
      <c r="F1514" s="116">
        <v>717.55</v>
      </c>
      <c r="G1514">
        <v>8120</v>
      </c>
      <c r="H1514" s="116"/>
      <c r="I1514" s="116"/>
      <c r="L1514" s="170">
        <v>45110</v>
      </c>
      <c r="M1514" s="116">
        <v>718.15</v>
      </c>
      <c r="N1514" s="116">
        <v>729.95</v>
      </c>
      <c r="O1514" s="116">
        <v>711.2</v>
      </c>
      <c r="P1514" s="116">
        <v>718.9</v>
      </c>
      <c r="Q1514" s="116">
        <v>718.15</v>
      </c>
      <c r="R1514">
        <v>94728</v>
      </c>
    </row>
    <row r="1515" spans="1:18" x14ac:dyDescent="0.25">
      <c r="A1515" s="170">
        <v>45111</v>
      </c>
      <c r="B1515" s="116">
        <v>727.35</v>
      </c>
      <c r="C1515" s="116">
        <v>721.5</v>
      </c>
      <c r="D1515" s="116">
        <v>714.7</v>
      </c>
      <c r="E1515" s="116">
        <v>724</v>
      </c>
      <c r="F1515" s="116">
        <v>721.5</v>
      </c>
      <c r="G1515">
        <v>3336</v>
      </c>
      <c r="H1515" s="116"/>
      <c r="I1515" s="116"/>
      <c r="L1515" s="170">
        <v>45111</v>
      </c>
      <c r="M1515" s="116">
        <v>721.15</v>
      </c>
      <c r="N1515" s="116">
        <v>728</v>
      </c>
      <c r="O1515" s="116">
        <v>715.05</v>
      </c>
      <c r="P1515" s="116">
        <v>718.45</v>
      </c>
      <c r="Q1515" s="116">
        <v>721.15</v>
      </c>
      <c r="R1515">
        <v>54647</v>
      </c>
    </row>
    <row r="1516" spans="1:18" x14ac:dyDescent="0.25">
      <c r="A1516" s="170">
        <v>45112</v>
      </c>
      <c r="B1516" s="116">
        <v>730.5</v>
      </c>
      <c r="C1516" s="116">
        <v>723.45</v>
      </c>
      <c r="D1516" s="116">
        <v>721</v>
      </c>
      <c r="E1516" s="116">
        <v>721.5</v>
      </c>
      <c r="F1516" s="116">
        <v>723.45</v>
      </c>
      <c r="G1516">
        <v>6969</v>
      </c>
      <c r="H1516" s="116"/>
      <c r="I1516" s="116"/>
      <c r="L1516" s="170">
        <v>45112</v>
      </c>
      <c r="M1516" s="116">
        <v>724.2</v>
      </c>
      <c r="N1516" s="116">
        <v>730.5</v>
      </c>
      <c r="O1516" s="116">
        <v>715</v>
      </c>
      <c r="P1516" s="116">
        <v>726.6</v>
      </c>
      <c r="Q1516" s="116">
        <v>724.2</v>
      </c>
      <c r="R1516">
        <v>60226</v>
      </c>
    </row>
    <row r="1517" spans="1:18" x14ac:dyDescent="0.25">
      <c r="A1517" s="170">
        <v>45113</v>
      </c>
      <c r="B1517" s="116">
        <v>737.95</v>
      </c>
      <c r="C1517" s="116">
        <v>725</v>
      </c>
      <c r="D1517" s="116">
        <v>722.45</v>
      </c>
      <c r="E1517" s="116">
        <v>725</v>
      </c>
      <c r="F1517" s="116">
        <v>725</v>
      </c>
      <c r="G1517">
        <v>5721</v>
      </c>
      <c r="H1517" s="116"/>
      <c r="I1517" s="116"/>
      <c r="L1517" s="170">
        <v>45113</v>
      </c>
      <c r="M1517" s="116">
        <v>724.8</v>
      </c>
      <c r="N1517" s="116">
        <v>737.2</v>
      </c>
      <c r="O1517" s="116">
        <v>722.7</v>
      </c>
      <c r="P1517" s="116">
        <v>727.45</v>
      </c>
      <c r="Q1517" s="116">
        <v>724.8</v>
      </c>
      <c r="R1517">
        <v>86417</v>
      </c>
    </row>
    <row r="1518" spans="1:18" x14ac:dyDescent="0.25">
      <c r="A1518" s="170">
        <v>45114</v>
      </c>
      <c r="B1518" s="116">
        <v>734.3</v>
      </c>
      <c r="C1518" s="116">
        <v>715.45</v>
      </c>
      <c r="D1518" s="116">
        <v>711.15</v>
      </c>
      <c r="E1518" s="116">
        <v>723.35</v>
      </c>
      <c r="F1518" s="116">
        <v>715.45</v>
      </c>
      <c r="G1518">
        <v>7716</v>
      </c>
      <c r="H1518" s="116"/>
      <c r="I1518" s="116"/>
      <c r="L1518" s="170">
        <v>45114</v>
      </c>
      <c r="M1518" s="116">
        <v>715.3</v>
      </c>
      <c r="N1518" s="116">
        <v>733.15</v>
      </c>
      <c r="O1518" s="116">
        <v>711.1</v>
      </c>
      <c r="P1518" s="116">
        <v>724.8</v>
      </c>
      <c r="Q1518" s="116">
        <v>715.3</v>
      </c>
      <c r="R1518">
        <v>74452</v>
      </c>
    </row>
    <row r="1519" spans="1:18" x14ac:dyDescent="0.25">
      <c r="A1519" s="170">
        <v>45117</v>
      </c>
      <c r="B1519" s="116">
        <v>727.55</v>
      </c>
      <c r="C1519" s="116">
        <v>719.85</v>
      </c>
      <c r="D1519" s="116">
        <v>712.45</v>
      </c>
      <c r="E1519" s="116">
        <v>727.55</v>
      </c>
      <c r="F1519" s="116">
        <v>719.85</v>
      </c>
      <c r="G1519">
        <v>9480</v>
      </c>
      <c r="H1519" s="116"/>
      <c r="I1519" s="116"/>
      <c r="L1519" s="170">
        <v>45117</v>
      </c>
      <c r="M1519" s="116">
        <v>723.3</v>
      </c>
      <c r="N1519" s="116">
        <v>726.55</v>
      </c>
      <c r="O1519" s="116">
        <v>712.25</v>
      </c>
      <c r="P1519" s="116">
        <v>719.9</v>
      </c>
      <c r="Q1519" s="116">
        <v>723.3</v>
      </c>
      <c r="R1519">
        <v>62244</v>
      </c>
    </row>
    <row r="1520" spans="1:18" x14ac:dyDescent="0.25">
      <c r="A1520" s="170">
        <v>45118</v>
      </c>
      <c r="B1520" s="116">
        <v>732.55</v>
      </c>
      <c r="C1520" s="116">
        <v>730.1</v>
      </c>
      <c r="D1520" s="116">
        <v>706.15</v>
      </c>
      <c r="E1520" s="116">
        <v>706.15</v>
      </c>
      <c r="F1520" s="116">
        <v>730.1</v>
      </c>
      <c r="G1520">
        <v>4697</v>
      </c>
      <c r="H1520" s="116"/>
      <c r="I1520" s="116"/>
      <c r="L1520" s="170">
        <v>45118</v>
      </c>
      <c r="M1520" s="116">
        <v>730.75</v>
      </c>
      <c r="N1520" s="116">
        <v>733.05</v>
      </c>
      <c r="O1520" s="116">
        <v>717.2</v>
      </c>
      <c r="P1520" s="116">
        <v>719.9</v>
      </c>
      <c r="Q1520" s="116">
        <v>730.75</v>
      </c>
      <c r="R1520">
        <v>59314</v>
      </c>
    </row>
    <row r="1521" spans="1:18" x14ac:dyDescent="0.25">
      <c r="A1521" s="170">
        <v>45119</v>
      </c>
      <c r="B1521" s="116">
        <v>743.7</v>
      </c>
      <c r="C1521" s="116">
        <v>727.4</v>
      </c>
      <c r="D1521" s="116">
        <v>725.75</v>
      </c>
      <c r="E1521" s="116">
        <v>743.7</v>
      </c>
      <c r="F1521" s="116">
        <v>727.4</v>
      </c>
      <c r="G1521">
        <v>1852</v>
      </c>
      <c r="H1521" s="116"/>
      <c r="I1521" s="116"/>
      <c r="L1521" s="170">
        <v>45119</v>
      </c>
      <c r="M1521" s="116">
        <v>728.15</v>
      </c>
      <c r="N1521" s="116">
        <v>742.8</v>
      </c>
      <c r="O1521" s="116">
        <v>725.8</v>
      </c>
      <c r="P1521" s="116">
        <v>730.75</v>
      </c>
      <c r="Q1521" s="116">
        <v>728.15</v>
      </c>
      <c r="R1521">
        <v>115104</v>
      </c>
    </row>
    <row r="1522" spans="1:18" x14ac:dyDescent="0.25">
      <c r="A1522" s="170">
        <v>45120</v>
      </c>
      <c r="B1522" s="116">
        <v>744.9</v>
      </c>
      <c r="C1522" s="116">
        <v>716.9</v>
      </c>
      <c r="D1522" s="116">
        <v>712.65</v>
      </c>
      <c r="E1522" s="116">
        <v>744.9</v>
      </c>
      <c r="F1522" s="116">
        <v>716.9</v>
      </c>
      <c r="G1522">
        <v>1876</v>
      </c>
      <c r="H1522" s="116"/>
      <c r="I1522" s="116"/>
      <c r="L1522" s="170">
        <v>45120</v>
      </c>
      <c r="M1522" s="116">
        <v>716.55</v>
      </c>
      <c r="N1522" s="116">
        <v>738.85</v>
      </c>
      <c r="O1522" s="116">
        <v>710.95</v>
      </c>
      <c r="P1522" s="116">
        <v>731.8</v>
      </c>
      <c r="Q1522" s="116">
        <v>716.55</v>
      </c>
      <c r="R1522">
        <v>76666</v>
      </c>
    </row>
    <row r="1523" spans="1:18" x14ac:dyDescent="0.25">
      <c r="A1523" s="170">
        <v>45121</v>
      </c>
      <c r="B1523" s="116">
        <v>722.6</v>
      </c>
      <c r="C1523" s="116">
        <v>716.45</v>
      </c>
      <c r="D1523" s="116">
        <v>713.1</v>
      </c>
      <c r="E1523" s="116">
        <v>719.05</v>
      </c>
      <c r="F1523" s="116">
        <v>716.45</v>
      </c>
      <c r="G1523">
        <v>3732</v>
      </c>
      <c r="H1523" s="116"/>
      <c r="I1523" s="116"/>
      <c r="L1523" s="170">
        <v>45121</v>
      </c>
      <c r="M1523" s="116">
        <v>716.8</v>
      </c>
      <c r="N1523" s="116">
        <v>722.8</v>
      </c>
      <c r="O1523" s="116">
        <v>713.5</v>
      </c>
      <c r="P1523" s="116">
        <v>722</v>
      </c>
      <c r="Q1523" s="116">
        <v>716.8</v>
      </c>
      <c r="R1523">
        <v>37561</v>
      </c>
    </row>
    <row r="1524" spans="1:18" x14ac:dyDescent="0.25">
      <c r="A1524" s="170">
        <v>45124</v>
      </c>
      <c r="B1524" s="116">
        <v>729.95</v>
      </c>
      <c r="C1524" s="116">
        <v>718.45</v>
      </c>
      <c r="D1524" s="116">
        <v>714.6</v>
      </c>
      <c r="E1524" s="116">
        <v>729.9</v>
      </c>
      <c r="F1524" s="116">
        <v>718.45</v>
      </c>
      <c r="G1524">
        <v>2085</v>
      </c>
      <c r="H1524" s="116"/>
      <c r="I1524" s="116"/>
      <c r="L1524" s="170">
        <v>45124</v>
      </c>
      <c r="M1524" s="116">
        <v>718.4</v>
      </c>
      <c r="N1524" s="116">
        <v>733.6</v>
      </c>
      <c r="O1524" s="116">
        <v>716.55</v>
      </c>
      <c r="P1524" s="116">
        <v>720.4</v>
      </c>
      <c r="Q1524" s="116">
        <v>718.4</v>
      </c>
      <c r="R1524">
        <v>37706</v>
      </c>
    </row>
    <row r="1525" spans="1:18" x14ac:dyDescent="0.25">
      <c r="A1525" s="170">
        <v>45125</v>
      </c>
      <c r="B1525" s="116">
        <v>724.1</v>
      </c>
      <c r="C1525" s="116">
        <v>719.7</v>
      </c>
      <c r="D1525" s="116">
        <v>711.75</v>
      </c>
      <c r="E1525" s="116">
        <v>722.5</v>
      </c>
      <c r="F1525" s="116">
        <v>719.7</v>
      </c>
      <c r="G1525">
        <v>3967</v>
      </c>
      <c r="H1525" s="116"/>
      <c r="I1525" s="116"/>
      <c r="L1525" s="170">
        <v>45125</v>
      </c>
      <c r="M1525" s="116">
        <v>719.6</v>
      </c>
      <c r="N1525" s="116">
        <v>725</v>
      </c>
      <c r="O1525" s="116">
        <v>711.2</v>
      </c>
      <c r="P1525" s="116">
        <v>724</v>
      </c>
      <c r="Q1525" s="116">
        <v>719.6</v>
      </c>
      <c r="R1525">
        <v>38860</v>
      </c>
    </row>
    <row r="1526" spans="1:18" x14ac:dyDescent="0.25">
      <c r="A1526" s="170">
        <v>45126</v>
      </c>
      <c r="B1526" s="116">
        <v>730</v>
      </c>
      <c r="C1526" s="116">
        <v>716.55</v>
      </c>
      <c r="D1526" s="116">
        <v>713.35</v>
      </c>
      <c r="E1526" s="116">
        <v>714</v>
      </c>
      <c r="F1526" s="116">
        <v>716.55</v>
      </c>
      <c r="G1526">
        <v>6706</v>
      </c>
      <c r="H1526" s="116"/>
      <c r="I1526" s="116"/>
      <c r="L1526" s="170">
        <v>45126</v>
      </c>
      <c r="M1526" s="116">
        <v>716.2</v>
      </c>
      <c r="N1526" s="116">
        <v>730</v>
      </c>
      <c r="O1526" s="116">
        <v>713</v>
      </c>
      <c r="P1526" s="116">
        <v>724.95</v>
      </c>
      <c r="Q1526" s="116">
        <v>716.2</v>
      </c>
      <c r="R1526">
        <v>66359</v>
      </c>
    </row>
    <row r="1527" spans="1:18" x14ac:dyDescent="0.25">
      <c r="A1527" s="170">
        <v>45127</v>
      </c>
      <c r="B1527" s="116">
        <v>743</v>
      </c>
      <c r="C1527" s="116">
        <v>735.8</v>
      </c>
      <c r="D1527" s="116">
        <v>721.45</v>
      </c>
      <c r="E1527" s="116">
        <v>727.45</v>
      </c>
      <c r="F1527" s="116">
        <v>735.8</v>
      </c>
      <c r="G1527">
        <v>10424</v>
      </c>
      <c r="H1527" s="116"/>
      <c r="I1527" s="116"/>
      <c r="L1527" s="170">
        <v>45127</v>
      </c>
      <c r="M1527" s="116">
        <v>735.9</v>
      </c>
      <c r="N1527" s="116">
        <v>744.05</v>
      </c>
      <c r="O1527" s="116">
        <v>721</v>
      </c>
      <c r="P1527" s="116">
        <v>721.8</v>
      </c>
      <c r="Q1527" s="116">
        <v>735.9</v>
      </c>
      <c r="R1527">
        <v>120048</v>
      </c>
    </row>
    <row r="1528" spans="1:18" x14ac:dyDescent="0.25">
      <c r="A1528" s="170">
        <v>45128</v>
      </c>
      <c r="B1528" s="116">
        <v>740.95</v>
      </c>
      <c r="C1528" s="116">
        <v>734.15</v>
      </c>
      <c r="D1528" s="116">
        <v>730.2</v>
      </c>
      <c r="E1528" s="116">
        <v>731.85</v>
      </c>
      <c r="F1528" s="116">
        <v>734.15</v>
      </c>
      <c r="G1528">
        <v>1474</v>
      </c>
      <c r="H1528" s="116"/>
      <c r="I1528" s="116"/>
      <c r="L1528" s="170">
        <v>45128</v>
      </c>
      <c r="M1528" s="116">
        <v>733.8</v>
      </c>
      <c r="N1528" s="116">
        <v>742.35</v>
      </c>
      <c r="O1528" s="116">
        <v>729.35</v>
      </c>
      <c r="P1528" s="116">
        <v>735.9</v>
      </c>
      <c r="Q1528" s="116">
        <v>733.8</v>
      </c>
      <c r="R1528">
        <v>53264</v>
      </c>
    </row>
    <row r="1529" spans="1:18" x14ac:dyDescent="0.25">
      <c r="A1529" s="170">
        <v>45131</v>
      </c>
      <c r="B1529" s="116">
        <v>749.4</v>
      </c>
      <c r="C1529" s="116">
        <v>743.05</v>
      </c>
      <c r="D1529" s="116">
        <v>722.2</v>
      </c>
      <c r="E1529" s="116">
        <v>722.2</v>
      </c>
      <c r="F1529" s="116">
        <v>743.05</v>
      </c>
      <c r="G1529">
        <v>9156</v>
      </c>
      <c r="H1529" s="116"/>
      <c r="I1529" s="116"/>
      <c r="L1529" s="170">
        <v>45131</v>
      </c>
      <c r="M1529" s="116">
        <v>743.05</v>
      </c>
      <c r="N1529" s="116">
        <v>748.9</v>
      </c>
      <c r="O1529" s="116">
        <v>725.55</v>
      </c>
      <c r="P1529" s="116">
        <v>737</v>
      </c>
      <c r="Q1529" s="116">
        <v>743.05</v>
      </c>
      <c r="R1529">
        <v>89876</v>
      </c>
    </row>
    <row r="1530" spans="1:18" x14ac:dyDescent="0.25">
      <c r="A1530" s="170">
        <v>45132</v>
      </c>
      <c r="B1530" s="116">
        <v>752</v>
      </c>
      <c r="C1530" s="116">
        <v>740.8</v>
      </c>
      <c r="D1530" s="116">
        <v>737.3</v>
      </c>
      <c r="E1530" s="116">
        <v>747</v>
      </c>
      <c r="F1530" s="116">
        <v>740.8</v>
      </c>
      <c r="G1530">
        <v>5123</v>
      </c>
      <c r="H1530" s="116"/>
      <c r="I1530" s="116"/>
      <c r="L1530" s="170">
        <v>45132</v>
      </c>
      <c r="M1530" s="116">
        <v>741.25</v>
      </c>
      <c r="N1530" s="116">
        <v>752.9</v>
      </c>
      <c r="O1530" s="116">
        <v>737.5</v>
      </c>
      <c r="P1530" s="116">
        <v>743.1</v>
      </c>
      <c r="Q1530" s="116">
        <v>741.25</v>
      </c>
      <c r="R1530">
        <v>48366</v>
      </c>
    </row>
    <row r="1531" spans="1:18" x14ac:dyDescent="0.25">
      <c r="A1531" s="170">
        <v>45133</v>
      </c>
      <c r="B1531" s="116">
        <v>751.1</v>
      </c>
      <c r="C1531" s="116">
        <v>732.25</v>
      </c>
      <c r="D1531" s="116">
        <v>728.05</v>
      </c>
      <c r="E1531" s="116">
        <v>728.05</v>
      </c>
      <c r="F1531" s="116">
        <v>732.25</v>
      </c>
      <c r="G1531">
        <v>2144</v>
      </c>
      <c r="H1531" s="116"/>
      <c r="I1531" s="116"/>
      <c r="L1531" s="170">
        <v>45133</v>
      </c>
      <c r="M1531" s="116">
        <v>731.4</v>
      </c>
      <c r="N1531" s="116">
        <v>751.05</v>
      </c>
      <c r="O1531" s="116">
        <v>730</v>
      </c>
      <c r="P1531" s="116">
        <v>741.25</v>
      </c>
      <c r="Q1531" s="116">
        <v>731.4</v>
      </c>
      <c r="R1531">
        <v>117297</v>
      </c>
    </row>
    <row r="1532" spans="1:18" x14ac:dyDescent="0.25">
      <c r="A1532" s="170">
        <v>45134</v>
      </c>
      <c r="B1532" s="116">
        <v>758.15</v>
      </c>
      <c r="C1532" s="116">
        <v>737.45</v>
      </c>
      <c r="D1532" s="116">
        <v>726.6</v>
      </c>
      <c r="E1532" s="116">
        <v>729.95</v>
      </c>
      <c r="F1532" s="116">
        <v>737.45</v>
      </c>
      <c r="G1532">
        <v>27517</v>
      </c>
      <c r="H1532" s="116"/>
      <c r="I1532" s="116"/>
      <c r="L1532" s="170">
        <v>45134</v>
      </c>
      <c r="M1532" s="116">
        <v>737.15</v>
      </c>
      <c r="N1532" s="116">
        <v>759.95</v>
      </c>
      <c r="O1532" s="116">
        <v>727.95</v>
      </c>
      <c r="P1532" s="116">
        <v>730.05</v>
      </c>
      <c r="Q1532" s="116">
        <v>737.15</v>
      </c>
      <c r="R1532">
        <v>384049</v>
      </c>
    </row>
    <row r="1533" spans="1:18" x14ac:dyDescent="0.25">
      <c r="A1533" s="170">
        <v>45135</v>
      </c>
      <c r="B1533" s="116">
        <v>785.55</v>
      </c>
      <c r="C1533" s="116">
        <v>780</v>
      </c>
      <c r="D1533" s="116">
        <v>736.05</v>
      </c>
      <c r="E1533" s="116">
        <v>740.8</v>
      </c>
      <c r="F1533" s="116">
        <v>780</v>
      </c>
      <c r="G1533">
        <v>44929</v>
      </c>
      <c r="H1533" s="116"/>
      <c r="I1533" s="116"/>
      <c r="L1533" s="170">
        <v>45135</v>
      </c>
      <c r="M1533" s="116">
        <v>777.6</v>
      </c>
      <c r="N1533" s="116">
        <v>785</v>
      </c>
      <c r="O1533" s="116">
        <v>735</v>
      </c>
      <c r="P1533" s="116">
        <v>739.7</v>
      </c>
      <c r="Q1533" s="116">
        <v>777.6</v>
      </c>
      <c r="R1533">
        <v>524151</v>
      </c>
    </row>
    <row r="1534" spans="1:18" x14ac:dyDescent="0.25">
      <c r="A1534" s="170">
        <v>45138</v>
      </c>
      <c r="B1534" s="116">
        <v>801</v>
      </c>
      <c r="C1534" s="116">
        <v>795.1</v>
      </c>
      <c r="D1534" s="116">
        <v>783.2</v>
      </c>
      <c r="E1534" s="116">
        <v>799.95</v>
      </c>
      <c r="F1534" s="116">
        <v>795.1</v>
      </c>
      <c r="G1534">
        <v>33327</v>
      </c>
      <c r="H1534" s="116"/>
      <c r="I1534" s="116"/>
      <c r="L1534" s="170">
        <v>45138</v>
      </c>
      <c r="M1534" s="116">
        <v>796.25</v>
      </c>
      <c r="N1534" s="116">
        <v>800</v>
      </c>
      <c r="O1534" s="116">
        <v>785.55</v>
      </c>
      <c r="P1534" s="116">
        <v>795</v>
      </c>
      <c r="Q1534" s="116">
        <v>796.25</v>
      </c>
      <c r="R1534">
        <v>405982</v>
      </c>
    </row>
    <row r="1535" spans="1:18" x14ac:dyDescent="0.25">
      <c r="A1535" s="170">
        <v>45139</v>
      </c>
      <c r="B1535" s="116">
        <v>802.2</v>
      </c>
      <c r="C1535" s="116">
        <v>794.25</v>
      </c>
      <c r="D1535" s="116">
        <v>790.5</v>
      </c>
      <c r="E1535" s="116">
        <v>802.2</v>
      </c>
      <c r="F1535" s="116">
        <v>794.25</v>
      </c>
      <c r="G1535">
        <v>6665</v>
      </c>
      <c r="H1535" s="116"/>
      <c r="I1535" s="116"/>
      <c r="L1535" s="170">
        <v>45139</v>
      </c>
      <c r="M1535" s="116">
        <v>794.55</v>
      </c>
      <c r="N1535" s="116">
        <v>801.75</v>
      </c>
      <c r="O1535" s="116">
        <v>790.4</v>
      </c>
      <c r="P1535" s="116">
        <v>801.75</v>
      </c>
      <c r="Q1535" s="116">
        <v>794.55</v>
      </c>
      <c r="R1535">
        <v>136440</v>
      </c>
    </row>
    <row r="1536" spans="1:18" x14ac:dyDescent="0.25">
      <c r="A1536" s="170">
        <v>45140</v>
      </c>
      <c r="B1536" s="116">
        <v>795</v>
      </c>
      <c r="C1536" s="116">
        <v>764</v>
      </c>
      <c r="D1536" s="116">
        <v>753.05</v>
      </c>
      <c r="E1536" s="116">
        <v>792.55</v>
      </c>
      <c r="F1536" s="116">
        <v>764</v>
      </c>
      <c r="G1536">
        <v>13883</v>
      </c>
      <c r="H1536" s="116"/>
      <c r="I1536" s="116"/>
      <c r="L1536" s="170">
        <v>45140</v>
      </c>
      <c r="M1536" s="116">
        <v>768.8</v>
      </c>
      <c r="N1536" s="116">
        <v>799.75</v>
      </c>
      <c r="O1536" s="116">
        <v>756</v>
      </c>
      <c r="P1536" s="116">
        <v>799.75</v>
      </c>
      <c r="Q1536" s="116">
        <v>768.8</v>
      </c>
      <c r="R1536">
        <v>120281</v>
      </c>
    </row>
    <row r="1537" spans="1:18" x14ac:dyDescent="0.25">
      <c r="A1537" s="170">
        <v>45141</v>
      </c>
      <c r="B1537" s="116">
        <v>800</v>
      </c>
      <c r="C1537" s="116">
        <v>799.15</v>
      </c>
      <c r="D1537" s="116">
        <v>764.15</v>
      </c>
      <c r="E1537" s="116">
        <v>770</v>
      </c>
      <c r="F1537" s="116">
        <v>799.15</v>
      </c>
      <c r="G1537">
        <v>8680</v>
      </c>
      <c r="H1537" s="116"/>
      <c r="I1537" s="116"/>
      <c r="L1537" s="170">
        <v>45141</v>
      </c>
      <c r="M1537" s="116">
        <v>799.25</v>
      </c>
      <c r="N1537" s="116">
        <v>800</v>
      </c>
      <c r="O1537" s="116">
        <v>763.1</v>
      </c>
      <c r="P1537" s="116">
        <v>770</v>
      </c>
      <c r="Q1537" s="116">
        <v>799.25</v>
      </c>
      <c r="R1537">
        <v>173018</v>
      </c>
    </row>
    <row r="1538" spans="1:18" x14ac:dyDescent="0.25">
      <c r="A1538" s="170">
        <v>45142</v>
      </c>
      <c r="B1538" s="116">
        <v>800.95</v>
      </c>
      <c r="C1538" s="116">
        <v>781.1</v>
      </c>
      <c r="D1538" s="116">
        <v>777.55</v>
      </c>
      <c r="E1538" s="116">
        <v>799</v>
      </c>
      <c r="F1538" s="116">
        <v>781.1</v>
      </c>
      <c r="G1538">
        <v>7625</v>
      </c>
      <c r="H1538" s="116"/>
      <c r="I1538" s="116"/>
      <c r="L1538" s="170">
        <v>45142</v>
      </c>
      <c r="M1538" s="116">
        <v>780.6</v>
      </c>
      <c r="N1538" s="116">
        <v>800.05</v>
      </c>
      <c r="O1538" s="116">
        <v>777.1</v>
      </c>
      <c r="P1538" s="116">
        <v>800</v>
      </c>
      <c r="Q1538" s="116">
        <v>780.6</v>
      </c>
      <c r="R1538">
        <v>85214</v>
      </c>
    </row>
    <row r="1539" spans="1:18" x14ac:dyDescent="0.25">
      <c r="A1539" s="170">
        <v>45145</v>
      </c>
      <c r="B1539" s="116">
        <v>821</v>
      </c>
      <c r="C1539" s="116">
        <v>807.2</v>
      </c>
      <c r="D1539" s="116">
        <v>781.2</v>
      </c>
      <c r="E1539" s="116">
        <v>781.2</v>
      </c>
      <c r="F1539" s="116">
        <v>807.2</v>
      </c>
      <c r="G1539">
        <v>23024</v>
      </c>
      <c r="H1539" s="116"/>
      <c r="I1539" s="116"/>
      <c r="L1539" s="170">
        <v>45145</v>
      </c>
      <c r="M1539" s="116">
        <v>807.15</v>
      </c>
      <c r="N1539" s="116">
        <v>821</v>
      </c>
      <c r="O1539" s="116">
        <v>785</v>
      </c>
      <c r="P1539" s="116">
        <v>785</v>
      </c>
      <c r="Q1539" s="116">
        <v>807.15</v>
      </c>
      <c r="R1539">
        <v>330784</v>
      </c>
    </row>
    <row r="1540" spans="1:18" x14ac:dyDescent="0.25">
      <c r="A1540" s="170">
        <v>45146</v>
      </c>
      <c r="B1540" s="116">
        <v>817.15</v>
      </c>
      <c r="C1540" s="116">
        <v>791.4</v>
      </c>
      <c r="D1540" s="116">
        <v>784</v>
      </c>
      <c r="E1540" s="116">
        <v>800.7</v>
      </c>
      <c r="F1540" s="116">
        <v>791.4</v>
      </c>
      <c r="G1540">
        <v>8598</v>
      </c>
      <c r="H1540" s="116"/>
      <c r="I1540" s="116"/>
      <c r="L1540" s="170">
        <v>45146</v>
      </c>
      <c r="M1540" s="116">
        <v>790.8</v>
      </c>
      <c r="N1540" s="116">
        <v>817.7</v>
      </c>
      <c r="O1540" s="116">
        <v>785</v>
      </c>
      <c r="P1540" s="116">
        <v>813</v>
      </c>
      <c r="Q1540" s="116">
        <v>790.8</v>
      </c>
      <c r="R1540">
        <v>97574</v>
      </c>
    </row>
    <row r="1541" spans="1:18" x14ac:dyDescent="0.25">
      <c r="A1541" s="170">
        <v>45147</v>
      </c>
      <c r="B1541" s="116">
        <v>811.95</v>
      </c>
      <c r="C1541" s="116">
        <v>799.3</v>
      </c>
      <c r="D1541" s="116">
        <v>787.35</v>
      </c>
      <c r="E1541" s="116">
        <v>811.95</v>
      </c>
      <c r="F1541" s="116">
        <v>799.3</v>
      </c>
      <c r="G1541">
        <v>7995</v>
      </c>
      <c r="H1541" s="116"/>
      <c r="I1541" s="116"/>
      <c r="L1541" s="170">
        <v>45147</v>
      </c>
      <c r="M1541" s="116">
        <v>799.95</v>
      </c>
      <c r="N1541" s="116">
        <v>809</v>
      </c>
      <c r="O1541" s="116">
        <v>792.55</v>
      </c>
      <c r="P1541" s="116">
        <v>797.35</v>
      </c>
      <c r="Q1541" s="116">
        <v>799.95</v>
      </c>
      <c r="R1541">
        <v>75956</v>
      </c>
    </row>
    <row r="1542" spans="1:18" x14ac:dyDescent="0.25">
      <c r="A1542" s="170">
        <v>45148</v>
      </c>
      <c r="B1542" s="116">
        <v>815.3</v>
      </c>
      <c r="C1542" s="116">
        <v>799.8</v>
      </c>
      <c r="D1542" s="116">
        <v>794.5</v>
      </c>
      <c r="E1542" s="116">
        <v>815.3</v>
      </c>
      <c r="F1542" s="116">
        <v>799.8</v>
      </c>
      <c r="G1542">
        <v>2517</v>
      </c>
      <c r="H1542" s="116"/>
      <c r="I1542" s="116"/>
      <c r="L1542" s="170">
        <v>45148</v>
      </c>
      <c r="M1542" s="116">
        <v>799.5</v>
      </c>
      <c r="N1542" s="116">
        <v>811</v>
      </c>
      <c r="O1542" s="116">
        <v>794</v>
      </c>
      <c r="P1542" s="116">
        <v>803</v>
      </c>
      <c r="Q1542" s="116">
        <v>799.5</v>
      </c>
      <c r="R1542">
        <v>58997</v>
      </c>
    </row>
    <row r="1543" spans="1:18" x14ac:dyDescent="0.25">
      <c r="A1543" s="170">
        <v>45149</v>
      </c>
      <c r="B1543" s="116">
        <v>807.2</v>
      </c>
      <c r="C1543" s="116">
        <v>799.75</v>
      </c>
      <c r="D1543" s="116">
        <v>791.1</v>
      </c>
      <c r="E1543" s="116">
        <v>791.1</v>
      </c>
      <c r="F1543" s="116">
        <v>799.75</v>
      </c>
      <c r="G1543">
        <v>7840</v>
      </c>
      <c r="H1543" s="116"/>
      <c r="I1543" s="116"/>
      <c r="L1543" s="170">
        <v>45149</v>
      </c>
      <c r="M1543" s="116">
        <v>798.65</v>
      </c>
      <c r="N1543" s="116">
        <v>808</v>
      </c>
      <c r="O1543" s="116">
        <v>794</v>
      </c>
      <c r="P1543" s="116">
        <v>799</v>
      </c>
      <c r="Q1543" s="116">
        <v>798.65</v>
      </c>
      <c r="R1543">
        <v>48275</v>
      </c>
    </row>
    <row r="1544" spans="1:18" x14ac:dyDescent="0.25">
      <c r="A1544" s="170">
        <v>45152</v>
      </c>
      <c r="B1544" s="116">
        <v>822</v>
      </c>
      <c r="C1544" s="116">
        <v>803.55</v>
      </c>
      <c r="D1544" s="116">
        <v>792</v>
      </c>
      <c r="E1544" s="116">
        <v>805.65</v>
      </c>
      <c r="F1544" s="116">
        <v>803.55</v>
      </c>
      <c r="G1544">
        <v>23836</v>
      </c>
      <c r="H1544" s="116"/>
      <c r="I1544" s="116"/>
      <c r="L1544" s="170">
        <v>45152</v>
      </c>
      <c r="M1544" s="116">
        <v>802.2</v>
      </c>
      <c r="N1544" s="116">
        <v>822</v>
      </c>
      <c r="O1544" s="116">
        <v>792.05</v>
      </c>
      <c r="P1544" s="116">
        <v>806</v>
      </c>
      <c r="Q1544" s="116">
        <v>802.2</v>
      </c>
      <c r="R1544">
        <v>121426</v>
      </c>
    </row>
    <row r="1545" spans="1:18" x14ac:dyDescent="0.25">
      <c r="A1545" s="170">
        <v>45154</v>
      </c>
      <c r="B1545" s="116">
        <v>813.95</v>
      </c>
      <c r="C1545" s="116">
        <v>798.55</v>
      </c>
      <c r="D1545" s="116">
        <v>791.65</v>
      </c>
      <c r="E1545" s="116">
        <v>800</v>
      </c>
      <c r="F1545" s="116">
        <v>798.55</v>
      </c>
      <c r="G1545">
        <v>26768</v>
      </c>
      <c r="H1545" s="116"/>
      <c r="I1545" s="116"/>
      <c r="L1545" s="170">
        <v>45154</v>
      </c>
      <c r="M1545" s="116">
        <v>799.6</v>
      </c>
      <c r="N1545" s="116">
        <v>815</v>
      </c>
      <c r="O1545" s="116">
        <v>792</v>
      </c>
      <c r="P1545" s="116">
        <v>801.95</v>
      </c>
      <c r="Q1545" s="116">
        <v>799.6</v>
      </c>
      <c r="R1545">
        <v>82537</v>
      </c>
    </row>
    <row r="1546" spans="1:18" x14ac:dyDescent="0.25">
      <c r="A1546" s="170">
        <v>45155</v>
      </c>
      <c r="B1546" s="116">
        <v>808.15</v>
      </c>
      <c r="C1546" s="116">
        <v>792.75</v>
      </c>
      <c r="D1546" s="116">
        <v>791.35</v>
      </c>
      <c r="E1546" s="116">
        <v>800</v>
      </c>
      <c r="F1546" s="116">
        <v>792.75</v>
      </c>
      <c r="G1546">
        <v>1795</v>
      </c>
      <c r="H1546" s="116"/>
      <c r="I1546" s="116"/>
      <c r="L1546" s="170">
        <v>45155</v>
      </c>
      <c r="M1546" s="116">
        <v>795.15</v>
      </c>
      <c r="N1546" s="116">
        <v>808.95</v>
      </c>
      <c r="O1546" s="116">
        <v>791.1</v>
      </c>
      <c r="P1546" s="116">
        <v>799</v>
      </c>
      <c r="Q1546" s="116">
        <v>795.15</v>
      </c>
      <c r="R1546">
        <v>46909</v>
      </c>
    </row>
    <row r="1547" spans="1:18" x14ac:dyDescent="0.25">
      <c r="A1547" s="170">
        <v>45156</v>
      </c>
      <c r="B1547" s="116">
        <v>807.85</v>
      </c>
      <c r="C1547" s="116">
        <v>789.7</v>
      </c>
      <c r="D1547" s="116">
        <v>778.95</v>
      </c>
      <c r="E1547" s="116">
        <v>793.75</v>
      </c>
      <c r="F1547" s="116">
        <v>789.7</v>
      </c>
      <c r="G1547">
        <v>33678</v>
      </c>
      <c r="H1547" s="116"/>
      <c r="I1547" s="116"/>
      <c r="L1547" s="170">
        <v>45156</v>
      </c>
      <c r="M1547" s="116">
        <v>788.3</v>
      </c>
      <c r="N1547" s="116">
        <v>807.1</v>
      </c>
      <c r="O1547" s="116">
        <v>774.1</v>
      </c>
      <c r="P1547" s="116">
        <v>799.1</v>
      </c>
      <c r="Q1547" s="116">
        <v>788.3</v>
      </c>
      <c r="R1547">
        <v>75848</v>
      </c>
    </row>
    <row r="1548" spans="1:18" x14ac:dyDescent="0.25">
      <c r="A1548" s="170">
        <v>45159</v>
      </c>
      <c r="B1548" s="116">
        <v>807.65</v>
      </c>
      <c r="C1548" s="116">
        <v>793.85</v>
      </c>
      <c r="D1548" s="116">
        <v>780.25</v>
      </c>
      <c r="E1548" s="116">
        <v>780.25</v>
      </c>
      <c r="F1548" s="116">
        <v>793.85</v>
      </c>
      <c r="G1548">
        <v>16982</v>
      </c>
      <c r="H1548" s="116"/>
      <c r="I1548" s="116"/>
      <c r="L1548" s="170">
        <v>45159</v>
      </c>
      <c r="M1548" s="116">
        <v>794.45</v>
      </c>
      <c r="N1548" s="116">
        <v>807.65</v>
      </c>
      <c r="O1548" s="116">
        <v>790</v>
      </c>
      <c r="P1548" s="116">
        <v>790</v>
      </c>
      <c r="Q1548" s="116">
        <v>794.45</v>
      </c>
      <c r="R1548">
        <v>59709</v>
      </c>
    </row>
    <row r="1549" spans="1:18" x14ac:dyDescent="0.25">
      <c r="A1549" s="170">
        <v>45160</v>
      </c>
      <c r="B1549" s="116">
        <v>802.5</v>
      </c>
      <c r="C1549" s="116">
        <v>795.85</v>
      </c>
      <c r="D1549" s="116">
        <v>791.85</v>
      </c>
      <c r="E1549" s="116">
        <v>798.55</v>
      </c>
      <c r="F1549" s="116">
        <v>795.85</v>
      </c>
      <c r="G1549">
        <v>11418</v>
      </c>
      <c r="H1549" s="116"/>
      <c r="I1549" s="116"/>
      <c r="L1549" s="170">
        <v>45160</v>
      </c>
      <c r="M1549" s="116">
        <v>795.9</v>
      </c>
      <c r="N1549" s="116">
        <v>804</v>
      </c>
      <c r="O1549" s="116">
        <v>791.15</v>
      </c>
      <c r="P1549" s="116">
        <v>798.45</v>
      </c>
      <c r="Q1549" s="116">
        <v>795.9</v>
      </c>
      <c r="R1549">
        <v>41213</v>
      </c>
    </row>
    <row r="1550" spans="1:18" x14ac:dyDescent="0.25">
      <c r="A1550" s="170">
        <v>45161</v>
      </c>
      <c r="B1550" s="116">
        <v>846</v>
      </c>
      <c r="C1550" s="116">
        <v>820.65</v>
      </c>
      <c r="D1550" s="116">
        <v>801.05</v>
      </c>
      <c r="E1550" s="116">
        <v>801.1</v>
      </c>
      <c r="F1550" s="116">
        <v>820.65</v>
      </c>
      <c r="G1550">
        <v>12598</v>
      </c>
      <c r="H1550" s="116"/>
      <c r="I1550" s="116"/>
      <c r="L1550" s="170">
        <v>45161</v>
      </c>
      <c r="M1550" s="116">
        <v>820.4</v>
      </c>
      <c r="N1550" s="116">
        <v>846</v>
      </c>
      <c r="O1550" s="116">
        <v>799.9</v>
      </c>
      <c r="P1550" s="116">
        <v>799.9</v>
      </c>
      <c r="Q1550" s="116">
        <v>820.4</v>
      </c>
      <c r="R1550">
        <v>372220</v>
      </c>
    </row>
    <row r="1551" spans="1:18" x14ac:dyDescent="0.25">
      <c r="A1551" s="170">
        <v>45162</v>
      </c>
      <c r="B1551" s="116">
        <v>829.25</v>
      </c>
      <c r="C1551" s="116">
        <v>809.95</v>
      </c>
      <c r="D1551" s="116">
        <v>806</v>
      </c>
      <c r="E1551" s="116">
        <v>818.5</v>
      </c>
      <c r="F1551" s="116">
        <v>809.95</v>
      </c>
      <c r="G1551">
        <v>33847</v>
      </c>
      <c r="H1551" s="116"/>
      <c r="I1551" s="116"/>
      <c r="L1551" s="170">
        <v>45162</v>
      </c>
      <c r="M1551" s="116">
        <v>810.15</v>
      </c>
      <c r="N1551" s="116">
        <v>828.7</v>
      </c>
      <c r="O1551" s="116">
        <v>806</v>
      </c>
      <c r="P1551" s="116">
        <v>828.7</v>
      </c>
      <c r="Q1551" s="116">
        <v>810.15</v>
      </c>
      <c r="R1551">
        <v>79642</v>
      </c>
    </row>
    <row r="1552" spans="1:18" x14ac:dyDescent="0.25">
      <c r="A1552" s="170">
        <v>45163</v>
      </c>
      <c r="B1552" s="116">
        <v>809.9</v>
      </c>
      <c r="C1552" s="116">
        <v>806.2</v>
      </c>
      <c r="D1552" s="116">
        <v>796.2</v>
      </c>
      <c r="E1552" s="116">
        <v>808.65</v>
      </c>
      <c r="F1552" s="116">
        <v>806.2</v>
      </c>
      <c r="G1552">
        <v>3743</v>
      </c>
      <c r="H1552" s="116"/>
      <c r="I1552" s="116"/>
      <c r="L1552" s="170">
        <v>45163</v>
      </c>
      <c r="M1552" s="116">
        <v>806.35</v>
      </c>
      <c r="N1552" s="116">
        <v>814.85</v>
      </c>
      <c r="O1552" s="116">
        <v>795.2</v>
      </c>
      <c r="P1552" s="116">
        <v>810</v>
      </c>
      <c r="Q1552" s="116">
        <v>806.35</v>
      </c>
      <c r="R1552">
        <v>52182</v>
      </c>
    </row>
    <row r="1553" spans="1:18" x14ac:dyDescent="0.25">
      <c r="A1553" s="170">
        <v>45166</v>
      </c>
      <c r="B1553" s="116">
        <v>811.2</v>
      </c>
      <c r="C1553" s="116">
        <v>804.55</v>
      </c>
      <c r="D1553" s="116">
        <v>798.25</v>
      </c>
      <c r="E1553" s="116">
        <v>801.05</v>
      </c>
      <c r="F1553" s="116">
        <v>804.55</v>
      </c>
      <c r="G1553">
        <v>1144</v>
      </c>
      <c r="H1553" s="116"/>
      <c r="I1553" s="116"/>
      <c r="L1553" s="170">
        <v>45166</v>
      </c>
      <c r="M1553" s="116">
        <v>804.75</v>
      </c>
      <c r="N1553" s="116">
        <v>818</v>
      </c>
      <c r="O1553" s="116">
        <v>798</v>
      </c>
      <c r="P1553" s="116">
        <v>810.5</v>
      </c>
      <c r="Q1553" s="116">
        <v>804.75</v>
      </c>
      <c r="R1553">
        <v>32900</v>
      </c>
    </row>
    <row r="1554" spans="1:18" x14ac:dyDescent="0.25">
      <c r="A1554" s="170">
        <v>45167</v>
      </c>
      <c r="B1554" s="116">
        <v>832.9</v>
      </c>
      <c r="C1554" s="116">
        <v>799.35</v>
      </c>
      <c r="D1554" s="116">
        <v>795</v>
      </c>
      <c r="E1554" s="116">
        <v>804.75</v>
      </c>
      <c r="F1554" s="116">
        <v>799.35</v>
      </c>
      <c r="G1554">
        <v>9535</v>
      </c>
      <c r="H1554" s="116"/>
      <c r="I1554" s="116"/>
      <c r="L1554" s="170">
        <v>45167</v>
      </c>
      <c r="M1554" s="116">
        <v>799.35</v>
      </c>
      <c r="N1554" s="116">
        <v>833</v>
      </c>
      <c r="O1554" s="116">
        <v>793.1</v>
      </c>
      <c r="P1554" s="116">
        <v>807.9</v>
      </c>
      <c r="Q1554" s="116">
        <v>799.35</v>
      </c>
      <c r="R1554">
        <v>266640</v>
      </c>
    </row>
    <row r="1555" spans="1:18" x14ac:dyDescent="0.25">
      <c r="A1555" s="170">
        <v>45168</v>
      </c>
      <c r="B1555" s="116">
        <v>829.45</v>
      </c>
      <c r="C1555" s="116">
        <v>820.3</v>
      </c>
      <c r="D1555" s="116">
        <v>802.3</v>
      </c>
      <c r="E1555" s="116">
        <v>802.3</v>
      </c>
      <c r="F1555" s="116">
        <v>820.3</v>
      </c>
      <c r="G1555">
        <v>8170</v>
      </c>
      <c r="H1555" s="116"/>
      <c r="I1555" s="116"/>
      <c r="L1555" s="170">
        <v>45168</v>
      </c>
      <c r="M1555" s="116">
        <v>819.55</v>
      </c>
      <c r="N1555" s="116">
        <v>830</v>
      </c>
      <c r="O1555" s="116">
        <v>805</v>
      </c>
      <c r="P1555" s="116">
        <v>806</v>
      </c>
      <c r="Q1555" s="116">
        <v>819.55</v>
      </c>
      <c r="R1555">
        <v>110187</v>
      </c>
    </row>
    <row r="1556" spans="1:18" x14ac:dyDescent="0.25">
      <c r="A1556" s="170">
        <v>45169</v>
      </c>
      <c r="B1556" s="116">
        <v>827.45</v>
      </c>
      <c r="C1556" s="116">
        <v>817.8</v>
      </c>
      <c r="D1556" s="116">
        <v>808.8</v>
      </c>
      <c r="E1556" s="116">
        <v>822</v>
      </c>
      <c r="F1556" s="116">
        <v>817.8</v>
      </c>
      <c r="G1556">
        <v>6004</v>
      </c>
      <c r="H1556" s="116"/>
      <c r="I1556" s="116"/>
      <c r="L1556" s="170">
        <v>45169</v>
      </c>
      <c r="M1556" s="116">
        <v>818.75</v>
      </c>
      <c r="N1556" s="116">
        <v>827.35</v>
      </c>
      <c r="O1556" s="116">
        <v>809.7</v>
      </c>
      <c r="P1556" s="116">
        <v>824.75</v>
      </c>
      <c r="Q1556" s="116">
        <v>818.75</v>
      </c>
      <c r="R1556">
        <v>42794</v>
      </c>
    </row>
    <row r="1557" spans="1:18" x14ac:dyDescent="0.25">
      <c r="A1557" s="170">
        <v>45170</v>
      </c>
      <c r="B1557" s="116">
        <v>829.45</v>
      </c>
      <c r="C1557" s="116">
        <v>818</v>
      </c>
      <c r="D1557" s="116">
        <v>812.95</v>
      </c>
      <c r="E1557" s="116">
        <v>829.45</v>
      </c>
      <c r="F1557" s="116">
        <v>818</v>
      </c>
      <c r="G1557">
        <v>2508</v>
      </c>
      <c r="H1557" s="116"/>
      <c r="I1557" s="116"/>
      <c r="L1557" s="170">
        <v>45170</v>
      </c>
      <c r="M1557" s="116">
        <v>817.8</v>
      </c>
      <c r="N1557" s="116">
        <v>825.3</v>
      </c>
      <c r="O1557" s="116">
        <v>812.55</v>
      </c>
      <c r="P1557" s="116">
        <v>822.85</v>
      </c>
      <c r="Q1557" s="116">
        <v>817.8</v>
      </c>
      <c r="R1557">
        <v>46638</v>
      </c>
    </row>
    <row r="1558" spans="1:18" x14ac:dyDescent="0.25">
      <c r="A1558" s="170">
        <v>45173</v>
      </c>
      <c r="B1558" s="116">
        <v>828</v>
      </c>
      <c r="C1558" s="116">
        <v>806.65</v>
      </c>
      <c r="D1558" s="116">
        <v>802</v>
      </c>
      <c r="E1558" s="116">
        <v>802</v>
      </c>
      <c r="F1558" s="116">
        <v>806.65</v>
      </c>
      <c r="G1558">
        <v>23644</v>
      </c>
      <c r="H1558" s="116"/>
      <c r="I1558" s="116"/>
      <c r="L1558" s="170">
        <v>45173</v>
      </c>
      <c r="M1558" s="116">
        <v>807.4</v>
      </c>
      <c r="N1558" s="116">
        <v>828.75</v>
      </c>
      <c r="O1558" s="116">
        <v>802.05</v>
      </c>
      <c r="P1558" s="116">
        <v>817.8</v>
      </c>
      <c r="Q1558" s="116">
        <v>807.4</v>
      </c>
      <c r="R1558">
        <v>70177</v>
      </c>
    </row>
    <row r="1559" spans="1:18" x14ac:dyDescent="0.25">
      <c r="A1559" s="170">
        <v>45174</v>
      </c>
      <c r="B1559" s="116">
        <v>824.3</v>
      </c>
      <c r="C1559" s="116">
        <v>816.25</v>
      </c>
      <c r="D1559" s="116">
        <v>808.3</v>
      </c>
      <c r="E1559" s="116">
        <v>816.1</v>
      </c>
      <c r="F1559" s="116">
        <v>816.25</v>
      </c>
      <c r="G1559">
        <v>2085</v>
      </c>
      <c r="H1559" s="116"/>
      <c r="I1559" s="116"/>
      <c r="L1559" s="170">
        <v>45174</v>
      </c>
      <c r="M1559" s="116">
        <v>817.85</v>
      </c>
      <c r="N1559" s="116">
        <v>825</v>
      </c>
      <c r="O1559" s="116">
        <v>808</v>
      </c>
      <c r="P1559" s="116">
        <v>813.25</v>
      </c>
      <c r="Q1559" s="116">
        <v>817.85</v>
      </c>
      <c r="R1559">
        <v>62063</v>
      </c>
    </row>
    <row r="1560" spans="1:18" x14ac:dyDescent="0.25">
      <c r="A1560" s="170">
        <v>45175</v>
      </c>
      <c r="B1560" s="116">
        <v>821.35</v>
      </c>
      <c r="C1560" s="116">
        <v>815.2</v>
      </c>
      <c r="D1560" s="116">
        <v>811.2</v>
      </c>
      <c r="E1560" s="116">
        <v>820</v>
      </c>
      <c r="F1560" s="116">
        <v>815.2</v>
      </c>
      <c r="G1560">
        <v>1978</v>
      </c>
      <c r="H1560" s="116"/>
      <c r="I1560" s="116"/>
      <c r="L1560" s="170">
        <v>45175</v>
      </c>
      <c r="M1560" s="116">
        <v>814.85</v>
      </c>
      <c r="N1560" s="116">
        <v>823.5</v>
      </c>
      <c r="O1560" s="116">
        <v>812</v>
      </c>
      <c r="P1560" s="116">
        <v>818</v>
      </c>
      <c r="Q1560" s="116">
        <v>814.85</v>
      </c>
      <c r="R1560">
        <v>50982</v>
      </c>
    </row>
    <row r="1561" spans="1:18" x14ac:dyDescent="0.25">
      <c r="A1561" s="170">
        <v>45176</v>
      </c>
      <c r="B1561" s="116">
        <v>825</v>
      </c>
      <c r="C1561" s="116">
        <v>823.05</v>
      </c>
      <c r="D1561" s="116">
        <v>802.05</v>
      </c>
      <c r="E1561" s="116">
        <v>802.05</v>
      </c>
      <c r="F1561" s="116">
        <v>823.05</v>
      </c>
      <c r="G1561">
        <v>5016</v>
      </c>
      <c r="H1561" s="116"/>
      <c r="I1561" s="116"/>
      <c r="L1561" s="170">
        <v>45176</v>
      </c>
      <c r="M1561" s="116">
        <v>821.65</v>
      </c>
      <c r="N1561" s="116">
        <v>825.25</v>
      </c>
      <c r="O1561" s="116">
        <v>810</v>
      </c>
      <c r="P1561" s="116">
        <v>810</v>
      </c>
      <c r="Q1561" s="116">
        <v>821.65</v>
      </c>
      <c r="R1561">
        <v>78128</v>
      </c>
    </row>
    <row r="1562" spans="1:18" x14ac:dyDescent="0.25">
      <c r="A1562" s="170">
        <v>45177</v>
      </c>
      <c r="B1562" s="116">
        <v>839.65</v>
      </c>
      <c r="C1562" s="116">
        <v>815.9</v>
      </c>
      <c r="D1562" s="116">
        <v>808.75</v>
      </c>
      <c r="E1562" s="116">
        <v>811.05</v>
      </c>
      <c r="F1562" s="116">
        <v>815.9</v>
      </c>
      <c r="G1562">
        <v>9762</v>
      </c>
      <c r="H1562" s="116"/>
      <c r="I1562" s="116"/>
      <c r="L1562" s="170">
        <v>45177</v>
      </c>
      <c r="M1562" s="116">
        <v>819.2</v>
      </c>
      <c r="N1562" s="116">
        <v>839</v>
      </c>
      <c r="O1562" s="116">
        <v>817</v>
      </c>
      <c r="P1562" s="116">
        <v>825</v>
      </c>
      <c r="Q1562" s="116">
        <v>819.2</v>
      </c>
      <c r="R1562">
        <v>73373</v>
      </c>
    </row>
    <row r="1563" spans="1:18" x14ac:dyDescent="0.25">
      <c r="A1563" s="170">
        <v>45180</v>
      </c>
      <c r="B1563" s="116">
        <v>831.1</v>
      </c>
      <c r="C1563" s="116">
        <v>821.6</v>
      </c>
      <c r="D1563" s="116">
        <v>815.9</v>
      </c>
      <c r="E1563" s="116">
        <v>815.9</v>
      </c>
      <c r="F1563" s="116">
        <v>821.6</v>
      </c>
      <c r="G1563">
        <v>20692</v>
      </c>
      <c r="H1563" s="116"/>
      <c r="I1563" s="116"/>
      <c r="L1563" s="170">
        <v>45180</v>
      </c>
      <c r="M1563" s="116">
        <v>820.35</v>
      </c>
      <c r="N1563" s="116">
        <v>838.9</v>
      </c>
      <c r="O1563" s="116">
        <v>818</v>
      </c>
      <c r="P1563" s="116">
        <v>838.85</v>
      </c>
      <c r="Q1563" s="116">
        <v>820.35</v>
      </c>
      <c r="R1563">
        <v>65471</v>
      </c>
    </row>
    <row r="1564" spans="1:18" x14ac:dyDescent="0.25">
      <c r="A1564" s="170">
        <v>45181</v>
      </c>
      <c r="B1564" s="116">
        <v>826.05</v>
      </c>
      <c r="C1564" s="116">
        <v>797.3</v>
      </c>
      <c r="D1564" s="116">
        <v>785.25</v>
      </c>
      <c r="E1564" s="116">
        <v>822</v>
      </c>
      <c r="F1564" s="116">
        <v>797.3</v>
      </c>
      <c r="G1564">
        <v>24480</v>
      </c>
      <c r="H1564" s="116"/>
      <c r="I1564" s="116"/>
      <c r="L1564" s="170">
        <v>45181</v>
      </c>
      <c r="M1564" s="116">
        <v>799.2</v>
      </c>
      <c r="N1564" s="116">
        <v>826.75</v>
      </c>
      <c r="O1564" s="116">
        <v>786.1</v>
      </c>
      <c r="P1564" s="116">
        <v>826.7</v>
      </c>
      <c r="Q1564" s="116">
        <v>799.2</v>
      </c>
      <c r="R1564">
        <v>117488</v>
      </c>
    </row>
    <row r="1565" spans="1:18" x14ac:dyDescent="0.25">
      <c r="A1565" s="170">
        <v>45182</v>
      </c>
      <c r="B1565" s="116">
        <v>806.35</v>
      </c>
      <c r="C1565" s="116">
        <v>796.05</v>
      </c>
      <c r="D1565" s="116">
        <v>787</v>
      </c>
      <c r="E1565" s="116">
        <v>795.95</v>
      </c>
      <c r="F1565" s="116">
        <v>796.05</v>
      </c>
      <c r="G1565">
        <v>11417</v>
      </c>
      <c r="H1565" s="116"/>
      <c r="I1565" s="116"/>
      <c r="L1565" s="170">
        <v>45182</v>
      </c>
      <c r="M1565" s="116">
        <v>797</v>
      </c>
      <c r="N1565" s="116">
        <v>807.4</v>
      </c>
      <c r="O1565" s="116">
        <v>786</v>
      </c>
      <c r="P1565" s="116">
        <v>796.5</v>
      </c>
      <c r="Q1565" s="116">
        <v>797</v>
      </c>
      <c r="R1565">
        <v>42501</v>
      </c>
    </row>
    <row r="1566" spans="1:18" x14ac:dyDescent="0.25">
      <c r="A1566" s="170">
        <v>45183</v>
      </c>
      <c r="B1566" s="116">
        <v>812</v>
      </c>
      <c r="C1566" s="116">
        <v>801.95</v>
      </c>
      <c r="D1566" s="116">
        <v>799.25</v>
      </c>
      <c r="E1566" s="116">
        <v>812</v>
      </c>
      <c r="F1566" s="116">
        <v>801.95</v>
      </c>
      <c r="G1566">
        <v>12061</v>
      </c>
      <c r="H1566" s="116"/>
      <c r="I1566" s="116"/>
      <c r="L1566" s="170">
        <v>45183</v>
      </c>
      <c r="M1566" s="116">
        <v>802.5</v>
      </c>
      <c r="N1566" s="116">
        <v>810</v>
      </c>
      <c r="O1566" s="116">
        <v>797.2</v>
      </c>
      <c r="P1566" s="116">
        <v>801</v>
      </c>
      <c r="Q1566" s="116">
        <v>802.5</v>
      </c>
      <c r="R1566">
        <v>45577</v>
      </c>
    </row>
    <row r="1567" spans="1:18" x14ac:dyDescent="0.25">
      <c r="A1567" s="170">
        <v>45184</v>
      </c>
      <c r="B1567" s="116">
        <v>835.55</v>
      </c>
      <c r="C1567" s="116">
        <v>808.25</v>
      </c>
      <c r="D1567" s="116">
        <v>802.5</v>
      </c>
      <c r="E1567" s="116">
        <v>814.95</v>
      </c>
      <c r="F1567" s="116">
        <v>808.25</v>
      </c>
      <c r="G1567">
        <v>18610</v>
      </c>
      <c r="H1567" s="116"/>
      <c r="I1567" s="116"/>
      <c r="L1567" s="170">
        <v>45184</v>
      </c>
      <c r="M1567" s="116">
        <v>808.95</v>
      </c>
      <c r="N1567" s="116">
        <v>835</v>
      </c>
      <c r="O1567" s="116">
        <v>801.75</v>
      </c>
      <c r="P1567" s="116">
        <v>810</v>
      </c>
      <c r="Q1567" s="116">
        <v>808.95</v>
      </c>
      <c r="R1567">
        <v>83224</v>
      </c>
    </row>
    <row r="1568" spans="1:18" x14ac:dyDescent="0.25">
      <c r="A1568" s="170">
        <v>45187</v>
      </c>
      <c r="B1568" s="116">
        <v>813.9</v>
      </c>
      <c r="C1568" s="116">
        <v>808.95</v>
      </c>
      <c r="D1568" s="116">
        <v>802.4</v>
      </c>
      <c r="E1568" s="116">
        <v>812</v>
      </c>
      <c r="F1568" s="116">
        <v>808.95</v>
      </c>
      <c r="G1568">
        <v>2328</v>
      </c>
      <c r="H1568" s="116"/>
      <c r="I1568" s="116"/>
      <c r="L1568" s="170">
        <v>45187</v>
      </c>
      <c r="M1568" s="116">
        <v>808.85</v>
      </c>
      <c r="N1568" s="116">
        <v>815</v>
      </c>
      <c r="O1568" s="116">
        <v>802</v>
      </c>
      <c r="P1568" s="116">
        <v>813</v>
      </c>
      <c r="Q1568" s="116">
        <v>808.85</v>
      </c>
      <c r="R1568">
        <v>29005</v>
      </c>
    </row>
    <row r="1569" spans="1:18" x14ac:dyDescent="0.25">
      <c r="A1569" s="170">
        <v>45189</v>
      </c>
      <c r="B1569" s="116">
        <v>810</v>
      </c>
      <c r="C1569" s="116">
        <v>797.85</v>
      </c>
      <c r="D1569" s="116">
        <v>792.55</v>
      </c>
      <c r="E1569" s="116">
        <v>810</v>
      </c>
      <c r="F1569" s="116">
        <v>797.85</v>
      </c>
      <c r="G1569">
        <v>10025</v>
      </c>
      <c r="H1569" s="116"/>
      <c r="I1569" s="116"/>
      <c r="L1569" s="170">
        <v>45189</v>
      </c>
      <c r="M1569" s="116">
        <v>797.5</v>
      </c>
      <c r="N1569" s="116">
        <v>810.95</v>
      </c>
      <c r="O1569" s="116">
        <v>793</v>
      </c>
      <c r="P1569" s="116">
        <v>810.95</v>
      </c>
      <c r="Q1569" s="116">
        <v>797.5</v>
      </c>
      <c r="R1569">
        <v>39358</v>
      </c>
    </row>
    <row r="1570" spans="1:18" x14ac:dyDescent="0.25">
      <c r="A1570" s="170">
        <v>45190</v>
      </c>
      <c r="B1570" s="116">
        <v>798</v>
      </c>
      <c r="C1570" s="116">
        <v>786.8</v>
      </c>
      <c r="D1570" s="116">
        <v>781.4</v>
      </c>
      <c r="E1570" s="116">
        <v>787.15</v>
      </c>
      <c r="F1570" s="116">
        <v>786.8</v>
      </c>
      <c r="G1570">
        <v>6484</v>
      </c>
      <c r="H1570" s="116"/>
      <c r="I1570" s="116"/>
      <c r="L1570" s="170">
        <v>45190</v>
      </c>
      <c r="M1570" s="116">
        <v>787.55</v>
      </c>
      <c r="N1570" s="116">
        <v>801.45</v>
      </c>
      <c r="O1570" s="116">
        <v>781.5</v>
      </c>
      <c r="P1570" s="116">
        <v>792</v>
      </c>
      <c r="Q1570" s="116">
        <v>787.55</v>
      </c>
      <c r="R1570">
        <v>51235</v>
      </c>
    </row>
    <row r="1571" spans="1:18" x14ac:dyDescent="0.25">
      <c r="A1571" s="170">
        <v>45191</v>
      </c>
      <c r="B1571" s="116">
        <v>809.95</v>
      </c>
      <c r="C1571" s="116">
        <v>792.05</v>
      </c>
      <c r="D1571" s="116">
        <v>785.6</v>
      </c>
      <c r="E1571" s="116">
        <v>809.95</v>
      </c>
      <c r="F1571" s="116">
        <v>792.05</v>
      </c>
      <c r="G1571">
        <v>3955</v>
      </c>
      <c r="H1571" s="116"/>
      <c r="I1571" s="116"/>
      <c r="L1571" s="170">
        <v>45191</v>
      </c>
      <c r="M1571" s="116">
        <v>792.15</v>
      </c>
      <c r="N1571" s="116">
        <v>799.95</v>
      </c>
      <c r="O1571" s="116">
        <v>785</v>
      </c>
      <c r="P1571" s="116">
        <v>788.2</v>
      </c>
      <c r="Q1571" s="116">
        <v>792.15</v>
      </c>
      <c r="R1571">
        <v>44989</v>
      </c>
    </row>
    <row r="1572" spans="1:18" x14ac:dyDescent="0.25">
      <c r="A1572" s="170">
        <v>45194</v>
      </c>
      <c r="B1572" s="116">
        <v>800.65</v>
      </c>
      <c r="C1572" s="116">
        <v>796.65</v>
      </c>
      <c r="D1572" s="116">
        <v>790.3</v>
      </c>
      <c r="E1572" s="116">
        <v>792.05</v>
      </c>
      <c r="F1572" s="116">
        <v>796.65</v>
      </c>
      <c r="G1572">
        <v>5262</v>
      </c>
      <c r="H1572" s="116"/>
      <c r="I1572" s="116"/>
      <c r="L1572" s="170">
        <v>45194</v>
      </c>
      <c r="M1572" s="116">
        <v>796.75</v>
      </c>
      <c r="N1572" s="116">
        <v>803.9</v>
      </c>
      <c r="O1572" s="116">
        <v>791.1</v>
      </c>
      <c r="P1572" s="116">
        <v>796.7</v>
      </c>
      <c r="Q1572" s="116">
        <v>796.75</v>
      </c>
      <c r="R1572">
        <v>30748</v>
      </c>
    </row>
    <row r="1573" spans="1:18" x14ac:dyDescent="0.25">
      <c r="A1573" s="170">
        <v>45195</v>
      </c>
      <c r="B1573" s="116">
        <v>802.45</v>
      </c>
      <c r="C1573" s="116">
        <v>796.25</v>
      </c>
      <c r="D1573" s="116">
        <v>792.5</v>
      </c>
      <c r="E1573" s="116">
        <v>800.05</v>
      </c>
      <c r="F1573" s="116">
        <v>796.25</v>
      </c>
      <c r="G1573">
        <v>2218</v>
      </c>
      <c r="H1573" s="116"/>
      <c r="I1573" s="116"/>
      <c r="L1573" s="170">
        <v>45195</v>
      </c>
      <c r="M1573" s="116">
        <v>797.35</v>
      </c>
      <c r="N1573" s="116">
        <v>804.35</v>
      </c>
      <c r="O1573" s="116">
        <v>792.35</v>
      </c>
      <c r="P1573" s="116">
        <v>800</v>
      </c>
      <c r="Q1573" s="116">
        <v>797.35</v>
      </c>
      <c r="R1573">
        <v>25997</v>
      </c>
    </row>
    <row r="1574" spans="1:18" x14ac:dyDescent="0.25">
      <c r="A1574" s="170">
        <v>45196</v>
      </c>
      <c r="B1574" s="116">
        <v>806</v>
      </c>
      <c r="C1574" s="116">
        <v>797.15</v>
      </c>
      <c r="D1574" s="116">
        <v>794.05</v>
      </c>
      <c r="E1574" s="116">
        <v>794.95</v>
      </c>
      <c r="F1574" s="116">
        <v>797.15</v>
      </c>
      <c r="G1574">
        <v>4535</v>
      </c>
      <c r="H1574" s="116"/>
      <c r="I1574" s="116"/>
      <c r="L1574" s="170">
        <v>45196</v>
      </c>
      <c r="M1574" s="116">
        <v>798.75</v>
      </c>
      <c r="N1574" s="116">
        <v>803.3</v>
      </c>
      <c r="O1574" s="116">
        <v>794</v>
      </c>
      <c r="P1574" s="116">
        <v>797.1</v>
      </c>
      <c r="Q1574" s="116">
        <v>798.75</v>
      </c>
      <c r="R1574">
        <v>49070</v>
      </c>
    </row>
    <row r="1575" spans="1:18" x14ac:dyDescent="0.25">
      <c r="A1575" s="170">
        <v>45197</v>
      </c>
      <c r="B1575" s="116">
        <v>816.2</v>
      </c>
      <c r="C1575" s="116">
        <v>794.95</v>
      </c>
      <c r="D1575" s="116">
        <v>792.55</v>
      </c>
      <c r="E1575" s="116">
        <v>816.2</v>
      </c>
      <c r="F1575" s="116">
        <v>794.95</v>
      </c>
      <c r="G1575">
        <v>1641</v>
      </c>
      <c r="H1575" s="116"/>
      <c r="I1575" s="116"/>
      <c r="L1575" s="170">
        <v>45197</v>
      </c>
      <c r="M1575" s="116">
        <v>792.3</v>
      </c>
      <c r="N1575" s="116">
        <v>812.95</v>
      </c>
      <c r="O1575" s="116">
        <v>789.95</v>
      </c>
      <c r="P1575" s="116">
        <v>802.75</v>
      </c>
      <c r="Q1575" s="116">
        <v>792.3</v>
      </c>
      <c r="R1575">
        <v>40443</v>
      </c>
    </row>
    <row r="1576" spans="1:18" x14ac:dyDescent="0.25">
      <c r="A1576" s="170">
        <v>45198</v>
      </c>
      <c r="B1576" s="116">
        <v>806</v>
      </c>
      <c r="C1576" s="116">
        <v>797.45</v>
      </c>
      <c r="D1576" s="116">
        <v>794.4</v>
      </c>
      <c r="E1576" s="116">
        <v>797</v>
      </c>
      <c r="F1576" s="116">
        <v>797.45</v>
      </c>
      <c r="G1576">
        <v>3722</v>
      </c>
      <c r="H1576" s="116"/>
      <c r="I1576" s="116"/>
      <c r="L1576" s="170">
        <v>45198</v>
      </c>
      <c r="M1576" s="116">
        <v>797.95</v>
      </c>
      <c r="N1576" s="116">
        <v>806.3</v>
      </c>
      <c r="O1576" s="116">
        <v>792.35</v>
      </c>
      <c r="P1576" s="116">
        <v>796.7</v>
      </c>
      <c r="Q1576" s="116">
        <v>797.95</v>
      </c>
      <c r="R1576">
        <v>26775</v>
      </c>
    </row>
    <row r="1577" spans="1:18" x14ac:dyDescent="0.25">
      <c r="A1577" s="170">
        <v>45202</v>
      </c>
      <c r="B1577" s="116">
        <v>804.35</v>
      </c>
      <c r="C1577" s="116">
        <v>791.75</v>
      </c>
      <c r="D1577" s="116">
        <v>786.65</v>
      </c>
      <c r="E1577" s="116">
        <v>804.35</v>
      </c>
      <c r="F1577" s="116">
        <v>791.75</v>
      </c>
      <c r="G1577">
        <v>1358</v>
      </c>
      <c r="H1577" s="116"/>
      <c r="I1577" s="116"/>
      <c r="L1577" s="170">
        <v>45202</v>
      </c>
      <c r="M1577" s="116">
        <v>791.1</v>
      </c>
      <c r="N1577" s="116">
        <v>803.7</v>
      </c>
      <c r="O1577" s="116">
        <v>786.2</v>
      </c>
      <c r="P1577" s="116">
        <v>796.75</v>
      </c>
      <c r="Q1577" s="116">
        <v>791.1</v>
      </c>
      <c r="R1577">
        <v>31382</v>
      </c>
    </row>
    <row r="1578" spans="1:18" x14ac:dyDescent="0.25">
      <c r="A1578" s="170">
        <v>45203</v>
      </c>
      <c r="B1578" s="116">
        <v>800.45</v>
      </c>
      <c r="C1578" s="116">
        <v>790.4</v>
      </c>
      <c r="D1578" s="116">
        <v>785</v>
      </c>
      <c r="E1578" s="116">
        <v>793.1</v>
      </c>
      <c r="F1578" s="116">
        <v>790.4</v>
      </c>
      <c r="G1578">
        <v>7358</v>
      </c>
      <c r="H1578" s="116"/>
      <c r="I1578" s="116"/>
      <c r="L1578" s="170">
        <v>45203</v>
      </c>
      <c r="M1578" s="116">
        <v>791.2</v>
      </c>
      <c r="N1578" s="116">
        <v>799.95</v>
      </c>
      <c r="O1578" s="116">
        <v>785</v>
      </c>
      <c r="P1578" s="116">
        <v>796</v>
      </c>
      <c r="Q1578" s="116">
        <v>791.2</v>
      </c>
      <c r="R1578">
        <v>44149</v>
      </c>
    </row>
    <row r="1579" spans="1:18" x14ac:dyDescent="0.25">
      <c r="A1579" s="170">
        <v>45204</v>
      </c>
      <c r="B1579" s="116">
        <v>802.35</v>
      </c>
      <c r="C1579" s="116">
        <v>785.7</v>
      </c>
      <c r="D1579" s="116">
        <v>775</v>
      </c>
      <c r="E1579" s="116">
        <v>792.2</v>
      </c>
      <c r="F1579" s="116">
        <v>785.7</v>
      </c>
      <c r="G1579">
        <v>3059</v>
      </c>
      <c r="H1579" s="116"/>
      <c r="I1579" s="116"/>
      <c r="L1579" s="170">
        <v>45204</v>
      </c>
      <c r="M1579" s="116">
        <v>784.05</v>
      </c>
      <c r="N1579" s="116">
        <v>802.05</v>
      </c>
      <c r="O1579" s="116">
        <v>774.4</v>
      </c>
      <c r="P1579" s="116">
        <v>793.05</v>
      </c>
      <c r="Q1579" s="116">
        <v>784.05</v>
      </c>
      <c r="R1579">
        <v>58980</v>
      </c>
    </row>
    <row r="1580" spans="1:18" x14ac:dyDescent="0.25">
      <c r="A1580" s="170">
        <v>45205</v>
      </c>
      <c r="B1580" s="116">
        <v>790.9</v>
      </c>
      <c r="C1580" s="116">
        <v>784.2</v>
      </c>
      <c r="D1580" s="116">
        <v>770.1</v>
      </c>
      <c r="E1580" s="116">
        <v>785.6</v>
      </c>
      <c r="F1580" s="116">
        <v>784.2</v>
      </c>
      <c r="G1580">
        <v>6948</v>
      </c>
      <c r="H1580" s="116"/>
      <c r="I1580" s="116"/>
      <c r="L1580" s="170">
        <v>45205</v>
      </c>
      <c r="M1580" s="116">
        <v>784.7</v>
      </c>
      <c r="N1580" s="116">
        <v>792.95</v>
      </c>
      <c r="O1580" s="116">
        <v>770.45</v>
      </c>
      <c r="P1580" s="116">
        <v>788</v>
      </c>
      <c r="Q1580" s="116">
        <v>784.7</v>
      </c>
      <c r="R1580">
        <v>50611</v>
      </c>
    </row>
    <row r="1581" spans="1:18" x14ac:dyDescent="0.25">
      <c r="A1581" s="170">
        <v>45208</v>
      </c>
      <c r="B1581" s="116">
        <v>789.55</v>
      </c>
      <c r="C1581" s="116">
        <v>772.8</v>
      </c>
      <c r="D1581" s="116">
        <v>756.3</v>
      </c>
      <c r="E1581" s="116">
        <v>756.3</v>
      </c>
      <c r="F1581" s="116">
        <v>772.8</v>
      </c>
      <c r="G1581">
        <v>9556</v>
      </c>
      <c r="H1581" s="116"/>
      <c r="I1581" s="116"/>
      <c r="L1581" s="170">
        <v>45208</v>
      </c>
      <c r="M1581" s="116">
        <v>772.35</v>
      </c>
      <c r="N1581" s="116">
        <v>790.8</v>
      </c>
      <c r="O1581" s="116">
        <v>761.55</v>
      </c>
      <c r="P1581" s="116">
        <v>779</v>
      </c>
      <c r="Q1581" s="116">
        <v>772.35</v>
      </c>
      <c r="R1581">
        <v>65963</v>
      </c>
    </row>
    <row r="1582" spans="1:18" x14ac:dyDescent="0.25">
      <c r="A1582" s="170">
        <v>45209</v>
      </c>
      <c r="B1582" s="116">
        <v>784.45</v>
      </c>
      <c r="C1582" s="116">
        <v>775.4</v>
      </c>
      <c r="D1582" s="116">
        <v>767.05</v>
      </c>
      <c r="E1582" s="116">
        <v>767.05</v>
      </c>
      <c r="F1582" s="116">
        <v>775.4</v>
      </c>
      <c r="G1582">
        <v>3650</v>
      </c>
      <c r="H1582" s="116"/>
      <c r="I1582" s="116"/>
      <c r="L1582" s="170">
        <v>45209</v>
      </c>
      <c r="M1582" s="116">
        <v>774.5</v>
      </c>
      <c r="N1582" s="116">
        <v>784.75</v>
      </c>
      <c r="O1582" s="116">
        <v>768</v>
      </c>
      <c r="P1582" s="116">
        <v>776.2</v>
      </c>
      <c r="Q1582" s="116">
        <v>774.5</v>
      </c>
      <c r="R1582">
        <v>51577</v>
      </c>
    </row>
    <row r="1583" spans="1:18" x14ac:dyDescent="0.25">
      <c r="A1583" s="170">
        <v>45210</v>
      </c>
      <c r="B1583" s="116">
        <v>783.9</v>
      </c>
      <c r="C1583" s="116">
        <v>771.9</v>
      </c>
      <c r="D1583" s="116">
        <v>768.05</v>
      </c>
      <c r="E1583" s="116">
        <v>768.05</v>
      </c>
      <c r="F1583" s="116">
        <v>771.9</v>
      </c>
      <c r="G1583">
        <v>3911</v>
      </c>
      <c r="H1583" s="116"/>
      <c r="I1583" s="116"/>
      <c r="L1583" s="170">
        <v>45210</v>
      </c>
      <c r="M1583" s="116">
        <v>774</v>
      </c>
      <c r="N1583" s="116">
        <v>782.65</v>
      </c>
      <c r="O1583" s="116">
        <v>769.4</v>
      </c>
      <c r="P1583" s="116">
        <v>778.9</v>
      </c>
      <c r="Q1583" s="116">
        <v>774</v>
      </c>
      <c r="R1583">
        <v>74779</v>
      </c>
    </row>
    <row r="1584" spans="1:18" x14ac:dyDescent="0.25">
      <c r="A1584" s="170">
        <v>45211</v>
      </c>
      <c r="B1584" s="116">
        <v>788.7</v>
      </c>
      <c r="C1584" s="116">
        <v>770.15</v>
      </c>
      <c r="D1584" s="116">
        <v>765.6</v>
      </c>
      <c r="E1584" s="116">
        <v>788.7</v>
      </c>
      <c r="F1584" s="116">
        <v>770.15</v>
      </c>
      <c r="G1584">
        <v>1198</v>
      </c>
      <c r="H1584" s="116"/>
      <c r="I1584" s="116"/>
      <c r="L1584" s="170">
        <v>45211</v>
      </c>
      <c r="M1584" s="116">
        <v>770.2</v>
      </c>
      <c r="N1584" s="116">
        <v>780.05</v>
      </c>
      <c r="O1584" s="116">
        <v>766</v>
      </c>
      <c r="P1584" s="116">
        <v>777.9</v>
      </c>
      <c r="Q1584" s="116">
        <v>770.2</v>
      </c>
      <c r="R1584">
        <v>31184</v>
      </c>
    </row>
    <row r="1585" spans="1:18" x14ac:dyDescent="0.25">
      <c r="A1585" s="170">
        <v>45212</v>
      </c>
      <c r="B1585" s="116">
        <v>781.1</v>
      </c>
      <c r="C1585" s="116">
        <v>766.45</v>
      </c>
      <c r="D1585" s="116">
        <v>765.3</v>
      </c>
      <c r="E1585" s="116">
        <v>770</v>
      </c>
      <c r="F1585" s="116">
        <v>766.45</v>
      </c>
      <c r="G1585">
        <v>2200</v>
      </c>
      <c r="H1585" s="116"/>
      <c r="I1585" s="116"/>
      <c r="L1585" s="170">
        <v>45212</v>
      </c>
      <c r="M1585" s="116">
        <v>767.6</v>
      </c>
      <c r="N1585" s="116">
        <v>782</v>
      </c>
      <c r="O1585" s="116">
        <v>766</v>
      </c>
      <c r="P1585" s="116">
        <v>774</v>
      </c>
      <c r="Q1585" s="116">
        <v>767.6</v>
      </c>
      <c r="R1585">
        <v>43458</v>
      </c>
    </row>
    <row r="1586" spans="1:18" x14ac:dyDescent="0.25">
      <c r="A1586" s="170">
        <v>45215</v>
      </c>
      <c r="B1586" s="116">
        <v>773.05</v>
      </c>
      <c r="C1586" s="116">
        <v>760.4</v>
      </c>
      <c r="D1586" s="116">
        <v>756.05</v>
      </c>
      <c r="E1586" s="116">
        <v>756.05</v>
      </c>
      <c r="F1586" s="116">
        <v>760.4</v>
      </c>
      <c r="G1586">
        <v>2974</v>
      </c>
      <c r="H1586" s="116"/>
      <c r="I1586" s="116"/>
      <c r="L1586" s="170">
        <v>45215</v>
      </c>
      <c r="M1586" s="116">
        <v>759.8</v>
      </c>
      <c r="N1586" s="116">
        <v>773.95</v>
      </c>
      <c r="O1586" s="116">
        <v>757</v>
      </c>
      <c r="P1586" s="116">
        <v>767</v>
      </c>
      <c r="Q1586" s="116">
        <v>759.8</v>
      </c>
      <c r="R1586">
        <v>72170</v>
      </c>
    </row>
    <row r="1587" spans="1:18" x14ac:dyDescent="0.25">
      <c r="A1587" s="170">
        <v>45216</v>
      </c>
      <c r="B1587" s="116">
        <v>777.95</v>
      </c>
      <c r="C1587" s="116">
        <v>769.5</v>
      </c>
      <c r="D1587" s="116">
        <v>763</v>
      </c>
      <c r="E1587" s="116">
        <v>765</v>
      </c>
      <c r="F1587" s="116">
        <v>769.5</v>
      </c>
      <c r="G1587">
        <v>3853</v>
      </c>
      <c r="H1587" s="116"/>
      <c r="I1587" s="116"/>
      <c r="L1587" s="170">
        <v>45216</v>
      </c>
      <c r="M1587" s="116">
        <v>769.55</v>
      </c>
      <c r="N1587" s="116">
        <v>778.7</v>
      </c>
      <c r="O1587" s="116">
        <v>762.35</v>
      </c>
      <c r="P1587" s="116">
        <v>765.95</v>
      </c>
      <c r="Q1587" s="116">
        <v>769.55</v>
      </c>
      <c r="R1587">
        <v>34508</v>
      </c>
    </row>
    <row r="1588" spans="1:18" x14ac:dyDescent="0.25">
      <c r="A1588" s="170">
        <v>45217</v>
      </c>
      <c r="B1588" s="116">
        <v>773.5</v>
      </c>
      <c r="C1588" s="116">
        <v>763.75</v>
      </c>
      <c r="D1588" s="116">
        <v>760.55</v>
      </c>
      <c r="E1588" s="116">
        <v>772.85</v>
      </c>
      <c r="F1588" s="116">
        <v>763.75</v>
      </c>
      <c r="G1588">
        <v>3637</v>
      </c>
      <c r="H1588" s="116"/>
      <c r="I1588" s="116"/>
      <c r="L1588" s="170">
        <v>45217</v>
      </c>
      <c r="M1588" s="116">
        <v>766.2</v>
      </c>
      <c r="N1588" s="116">
        <v>775.3</v>
      </c>
      <c r="O1588" s="116">
        <v>760.1</v>
      </c>
      <c r="P1588" s="116">
        <v>772.5</v>
      </c>
      <c r="Q1588" s="116">
        <v>766.2</v>
      </c>
      <c r="R1588">
        <v>40770</v>
      </c>
    </row>
    <row r="1589" spans="1:18" x14ac:dyDescent="0.25">
      <c r="A1589" s="170">
        <v>45218</v>
      </c>
      <c r="B1589" s="116">
        <v>784.05</v>
      </c>
      <c r="C1589" s="116">
        <v>780.2</v>
      </c>
      <c r="D1589" s="116">
        <v>766.4</v>
      </c>
      <c r="E1589" s="116">
        <v>779.05</v>
      </c>
      <c r="F1589" s="116">
        <v>780.2</v>
      </c>
      <c r="G1589">
        <v>3560</v>
      </c>
      <c r="H1589" s="116"/>
      <c r="I1589" s="116"/>
      <c r="L1589" s="170">
        <v>45218</v>
      </c>
      <c r="M1589" s="116">
        <v>779.85</v>
      </c>
      <c r="N1589" s="116">
        <v>786</v>
      </c>
      <c r="O1589" s="116">
        <v>760</v>
      </c>
      <c r="P1589" s="116">
        <v>760</v>
      </c>
      <c r="Q1589" s="116">
        <v>779.85</v>
      </c>
      <c r="R1589">
        <v>68621</v>
      </c>
    </row>
    <row r="1590" spans="1:18" x14ac:dyDescent="0.25">
      <c r="A1590" s="170">
        <v>45219</v>
      </c>
      <c r="B1590" s="116">
        <v>783.95</v>
      </c>
      <c r="C1590" s="116">
        <v>763.25</v>
      </c>
      <c r="D1590" s="116">
        <v>756.9</v>
      </c>
      <c r="E1590" s="116">
        <v>781.8</v>
      </c>
      <c r="F1590" s="116">
        <v>763.25</v>
      </c>
      <c r="G1590">
        <v>6241</v>
      </c>
      <c r="H1590" s="116"/>
      <c r="I1590" s="116"/>
      <c r="L1590" s="170">
        <v>45219</v>
      </c>
      <c r="M1590" s="116">
        <v>762.7</v>
      </c>
      <c r="N1590" s="116">
        <v>785.7</v>
      </c>
      <c r="O1590" s="116">
        <v>760.1</v>
      </c>
      <c r="P1590" s="116">
        <v>779.6</v>
      </c>
      <c r="Q1590" s="116">
        <v>762.7</v>
      </c>
      <c r="R1590">
        <v>58130</v>
      </c>
    </row>
    <row r="1591" spans="1:18" x14ac:dyDescent="0.25">
      <c r="A1591" s="170">
        <v>45222</v>
      </c>
      <c r="B1591" s="116">
        <v>763</v>
      </c>
      <c r="C1591" s="116">
        <v>741.55</v>
      </c>
      <c r="D1591" s="116">
        <v>738</v>
      </c>
      <c r="E1591" s="116">
        <v>762.65</v>
      </c>
      <c r="F1591" s="116">
        <v>741.55</v>
      </c>
      <c r="G1591">
        <v>11283</v>
      </c>
      <c r="H1591" s="116"/>
      <c r="I1591" s="116"/>
      <c r="L1591" s="170">
        <v>45222</v>
      </c>
      <c r="M1591" s="116">
        <v>742.05</v>
      </c>
      <c r="N1591" s="116">
        <v>767.8</v>
      </c>
      <c r="O1591" s="116">
        <v>737.15</v>
      </c>
      <c r="P1591" s="116">
        <v>756.6</v>
      </c>
      <c r="Q1591" s="116">
        <v>742.05</v>
      </c>
      <c r="R1591">
        <v>86307</v>
      </c>
    </row>
    <row r="1592" spans="1:18" x14ac:dyDescent="0.25">
      <c r="A1592" s="170">
        <v>45224</v>
      </c>
      <c r="B1592" s="116">
        <v>756.4</v>
      </c>
      <c r="C1592" s="116">
        <v>715.55</v>
      </c>
      <c r="D1592" s="116">
        <v>705.8</v>
      </c>
      <c r="E1592" s="116">
        <v>756.4</v>
      </c>
      <c r="F1592" s="116">
        <v>715.55</v>
      </c>
      <c r="G1592">
        <v>3809</v>
      </c>
      <c r="H1592" s="116"/>
      <c r="I1592" s="116"/>
      <c r="L1592" s="170">
        <v>45224</v>
      </c>
      <c r="M1592" s="116">
        <v>713.75</v>
      </c>
      <c r="N1592" s="116">
        <v>757</v>
      </c>
      <c r="O1592" s="116">
        <v>703.1</v>
      </c>
      <c r="P1592" s="116">
        <v>749.45</v>
      </c>
      <c r="Q1592" s="116">
        <v>713.75</v>
      </c>
      <c r="R1592">
        <v>120474</v>
      </c>
    </row>
    <row r="1593" spans="1:18" x14ac:dyDescent="0.25">
      <c r="A1593" s="170">
        <v>45225</v>
      </c>
      <c r="B1593" s="116">
        <v>719</v>
      </c>
      <c r="C1593" s="116">
        <v>712.85</v>
      </c>
      <c r="D1593" s="116">
        <v>686.55</v>
      </c>
      <c r="E1593" s="116">
        <v>703.75</v>
      </c>
      <c r="F1593" s="116">
        <v>712.85</v>
      </c>
      <c r="G1593">
        <v>10214</v>
      </c>
      <c r="H1593" s="116"/>
      <c r="I1593" s="116"/>
      <c r="L1593" s="170">
        <v>45225</v>
      </c>
      <c r="M1593" s="116">
        <v>711.85</v>
      </c>
      <c r="N1593" s="116">
        <v>724.9</v>
      </c>
      <c r="O1593" s="116">
        <v>681.25</v>
      </c>
      <c r="P1593" s="116">
        <v>708.7</v>
      </c>
      <c r="Q1593" s="116">
        <v>711.85</v>
      </c>
      <c r="R1593">
        <v>94821</v>
      </c>
    </row>
    <row r="1594" spans="1:18" x14ac:dyDescent="0.25">
      <c r="A1594" s="170">
        <v>45226</v>
      </c>
      <c r="B1594" s="116">
        <v>732.9</v>
      </c>
      <c r="C1594" s="116">
        <v>731.05</v>
      </c>
      <c r="D1594" s="116">
        <v>710.95</v>
      </c>
      <c r="E1594" s="116">
        <v>712</v>
      </c>
      <c r="F1594" s="116">
        <v>731.05</v>
      </c>
      <c r="G1594">
        <v>7519</v>
      </c>
      <c r="H1594" s="116"/>
      <c r="I1594" s="116"/>
      <c r="L1594" s="170">
        <v>45226</v>
      </c>
      <c r="M1594" s="116">
        <v>731.2</v>
      </c>
      <c r="N1594" s="116">
        <v>734</v>
      </c>
      <c r="O1594" s="116">
        <v>705.2</v>
      </c>
      <c r="P1594" s="116">
        <v>711</v>
      </c>
      <c r="Q1594" s="116">
        <v>731.2</v>
      </c>
      <c r="R1594">
        <v>43118</v>
      </c>
    </row>
    <row r="1595" spans="1:18" x14ac:dyDescent="0.25">
      <c r="A1595" s="170">
        <v>45229</v>
      </c>
      <c r="B1595" s="116">
        <v>738.9</v>
      </c>
      <c r="C1595" s="116">
        <v>720.65</v>
      </c>
      <c r="D1595" s="116">
        <v>719.1</v>
      </c>
      <c r="E1595" s="116">
        <v>733</v>
      </c>
      <c r="F1595" s="116">
        <v>720.65</v>
      </c>
      <c r="G1595">
        <v>6514</v>
      </c>
      <c r="H1595" s="116"/>
      <c r="I1595" s="116"/>
      <c r="L1595" s="170">
        <v>45229</v>
      </c>
      <c r="M1595" s="116">
        <v>720</v>
      </c>
      <c r="N1595" s="116">
        <v>743</v>
      </c>
      <c r="O1595" s="116">
        <v>718</v>
      </c>
      <c r="P1595" s="116">
        <v>731.25</v>
      </c>
      <c r="Q1595" s="116">
        <v>720</v>
      </c>
      <c r="R1595">
        <v>72560</v>
      </c>
    </row>
    <row r="1596" spans="1:18" x14ac:dyDescent="0.25">
      <c r="A1596" s="170">
        <v>45230</v>
      </c>
      <c r="B1596" s="116">
        <v>765.25</v>
      </c>
      <c r="C1596" s="116">
        <v>752.75</v>
      </c>
      <c r="D1596" s="116">
        <v>731.25</v>
      </c>
      <c r="E1596" s="116">
        <v>739</v>
      </c>
      <c r="F1596" s="116">
        <v>752.75</v>
      </c>
      <c r="G1596">
        <v>20409</v>
      </c>
      <c r="H1596" s="116"/>
      <c r="I1596" s="116"/>
      <c r="L1596" s="170">
        <v>45230</v>
      </c>
      <c r="M1596" s="116">
        <v>753.7</v>
      </c>
      <c r="N1596" s="116">
        <v>766.85</v>
      </c>
      <c r="O1596" s="116">
        <v>730</v>
      </c>
      <c r="P1596" s="116">
        <v>730.8</v>
      </c>
      <c r="Q1596" s="116">
        <v>753.7</v>
      </c>
      <c r="R1596">
        <v>174244</v>
      </c>
    </row>
    <row r="1597" spans="1:18" x14ac:dyDescent="0.25">
      <c r="A1597" s="170">
        <v>45231</v>
      </c>
      <c r="B1597" s="116">
        <v>748.8</v>
      </c>
      <c r="C1597" s="116">
        <v>731</v>
      </c>
      <c r="D1597" s="116">
        <v>728</v>
      </c>
      <c r="E1597" s="116">
        <v>745.55</v>
      </c>
      <c r="F1597" s="116">
        <v>731</v>
      </c>
      <c r="G1597">
        <v>4794</v>
      </c>
      <c r="H1597" s="116"/>
      <c r="I1597" s="116"/>
      <c r="L1597" s="170">
        <v>45231</v>
      </c>
      <c r="M1597" s="116">
        <v>729.15</v>
      </c>
      <c r="N1597" s="116">
        <v>753.5</v>
      </c>
      <c r="O1597" s="116">
        <v>725.4</v>
      </c>
      <c r="P1597" s="116">
        <v>753</v>
      </c>
      <c r="Q1597" s="116">
        <v>729.15</v>
      </c>
      <c r="R1597">
        <v>98586</v>
      </c>
    </row>
    <row r="1598" spans="1:18" x14ac:dyDescent="0.25">
      <c r="A1598" s="170">
        <v>45232</v>
      </c>
      <c r="B1598" s="116">
        <v>784.7</v>
      </c>
      <c r="C1598" s="116">
        <v>770.65</v>
      </c>
      <c r="D1598" s="116">
        <v>745.65</v>
      </c>
      <c r="E1598" s="116">
        <v>745.65</v>
      </c>
      <c r="F1598" s="116">
        <v>770.65</v>
      </c>
      <c r="G1598">
        <v>19712</v>
      </c>
      <c r="H1598" s="116"/>
      <c r="I1598" s="116"/>
      <c r="L1598" s="170">
        <v>45232</v>
      </c>
      <c r="M1598" s="116">
        <v>771</v>
      </c>
      <c r="N1598" s="116">
        <v>784</v>
      </c>
      <c r="O1598" s="116">
        <v>737</v>
      </c>
      <c r="P1598" s="116">
        <v>737</v>
      </c>
      <c r="Q1598" s="116">
        <v>771</v>
      </c>
      <c r="R1598">
        <v>444626</v>
      </c>
    </row>
    <row r="1599" spans="1:18" x14ac:dyDescent="0.25">
      <c r="A1599" s="170">
        <v>45233</v>
      </c>
      <c r="B1599" s="116">
        <v>792</v>
      </c>
      <c r="C1599" s="116">
        <v>784</v>
      </c>
      <c r="D1599" s="116">
        <v>761.75</v>
      </c>
      <c r="E1599" s="116">
        <v>779.9</v>
      </c>
      <c r="F1599" s="116">
        <v>784</v>
      </c>
      <c r="G1599">
        <v>4766</v>
      </c>
      <c r="H1599" s="116"/>
      <c r="I1599" s="116"/>
      <c r="L1599" s="170">
        <v>45233</v>
      </c>
      <c r="M1599" s="116">
        <v>782.85</v>
      </c>
      <c r="N1599" s="116">
        <v>790.9</v>
      </c>
      <c r="O1599" s="116">
        <v>762.05</v>
      </c>
      <c r="P1599" s="116">
        <v>776.5</v>
      </c>
      <c r="Q1599" s="116">
        <v>782.85</v>
      </c>
      <c r="R1599">
        <v>164514</v>
      </c>
    </row>
    <row r="1600" spans="1:18" x14ac:dyDescent="0.25">
      <c r="A1600" s="170">
        <v>45236</v>
      </c>
      <c r="B1600" s="116">
        <v>799.1</v>
      </c>
      <c r="C1600" s="116">
        <v>781.35</v>
      </c>
      <c r="D1600" s="116">
        <v>769.05</v>
      </c>
      <c r="E1600" s="116">
        <v>796</v>
      </c>
      <c r="F1600" s="116">
        <v>781.35</v>
      </c>
      <c r="G1600">
        <v>16523</v>
      </c>
      <c r="H1600" s="116"/>
      <c r="I1600" s="116"/>
      <c r="L1600" s="170">
        <v>45236</v>
      </c>
      <c r="M1600" s="116">
        <v>780.25</v>
      </c>
      <c r="N1600" s="116">
        <v>799.5</v>
      </c>
      <c r="O1600" s="116">
        <v>772</v>
      </c>
      <c r="P1600" s="116">
        <v>798</v>
      </c>
      <c r="Q1600" s="116">
        <v>780.25</v>
      </c>
      <c r="R1600">
        <v>207913</v>
      </c>
    </row>
    <row r="1601" spans="1:18" x14ac:dyDescent="0.25">
      <c r="A1601" s="170">
        <v>45237</v>
      </c>
      <c r="B1601" s="116">
        <v>790</v>
      </c>
      <c r="C1601" s="116">
        <v>779.65</v>
      </c>
      <c r="D1601" s="116">
        <v>775.75</v>
      </c>
      <c r="E1601" s="116">
        <v>790</v>
      </c>
      <c r="F1601" s="116">
        <v>779.65</v>
      </c>
      <c r="G1601">
        <v>7213</v>
      </c>
      <c r="H1601" s="116"/>
      <c r="I1601" s="116"/>
      <c r="L1601" s="170">
        <v>45237</v>
      </c>
      <c r="M1601" s="116">
        <v>779.1</v>
      </c>
      <c r="N1601" s="116">
        <v>789.75</v>
      </c>
      <c r="O1601" s="116">
        <v>776.2</v>
      </c>
      <c r="P1601" s="116">
        <v>781.2</v>
      </c>
      <c r="Q1601" s="116">
        <v>779.1</v>
      </c>
      <c r="R1601">
        <v>47924</v>
      </c>
    </row>
    <row r="1602" spans="1:18" x14ac:dyDescent="0.25">
      <c r="A1602" s="170">
        <v>45238</v>
      </c>
      <c r="B1602" s="116">
        <v>799.95</v>
      </c>
      <c r="C1602" s="116">
        <v>776.9</v>
      </c>
      <c r="D1602" s="116">
        <v>770.55</v>
      </c>
      <c r="E1602" s="116">
        <v>799.95</v>
      </c>
      <c r="F1602" s="116">
        <v>776.9</v>
      </c>
      <c r="G1602">
        <v>6936</v>
      </c>
      <c r="H1602" s="116"/>
      <c r="I1602" s="116"/>
      <c r="L1602" s="170">
        <v>45238</v>
      </c>
      <c r="M1602" s="116">
        <v>777</v>
      </c>
      <c r="N1602" s="116">
        <v>789</v>
      </c>
      <c r="O1602" s="116">
        <v>770.1</v>
      </c>
      <c r="P1602" s="116">
        <v>785.2</v>
      </c>
      <c r="Q1602" s="116">
        <v>777</v>
      </c>
      <c r="R1602">
        <v>49836</v>
      </c>
    </row>
    <row r="1603" spans="1:18" x14ac:dyDescent="0.25">
      <c r="A1603" s="170">
        <v>45239</v>
      </c>
      <c r="B1603" s="116">
        <v>787.15</v>
      </c>
      <c r="C1603" s="116">
        <v>780.35</v>
      </c>
      <c r="D1603" s="116">
        <v>772.85</v>
      </c>
      <c r="E1603" s="116">
        <v>777.4</v>
      </c>
      <c r="F1603" s="116">
        <v>780.35</v>
      </c>
      <c r="G1603">
        <v>2397</v>
      </c>
      <c r="H1603" s="116"/>
      <c r="I1603" s="116"/>
      <c r="L1603" s="170">
        <v>45239</v>
      </c>
      <c r="M1603" s="116">
        <v>779.4</v>
      </c>
      <c r="N1603" s="116">
        <v>787.9</v>
      </c>
      <c r="O1603" s="116">
        <v>772.1</v>
      </c>
      <c r="P1603" s="116">
        <v>780.65</v>
      </c>
      <c r="Q1603" s="116">
        <v>779.4</v>
      </c>
      <c r="R1603">
        <v>58690</v>
      </c>
    </row>
    <row r="1604" spans="1:18" x14ac:dyDescent="0.25">
      <c r="A1604" s="170">
        <v>45240</v>
      </c>
      <c r="B1604" s="116">
        <v>793.95</v>
      </c>
      <c r="C1604" s="116">
        <v>778.85</v>
      </c>
      <c r="D1604" s="116">
        <v>773</v>
      </c>
      <c r="E1604" s="116">
        <v>793.95</v>
      </c>
      <c r="F1604" s="116">
        <v>778.85</v>
      </c>
      <c r="G1604">
        <v>4552</v>
      </c>
      <c r="H1604" s="116"/>
      <c r="I1604" s="116"/>
      <c r="L1604" s="170">
        <v>45240</v>
      </c>
      <c r="M1604" s="116">
        <v>778.6</v>
      </c>
      <c r="N1604" s="116">
        <v>787</v>
      </c>
      <c r="O1604" s="116">
        <v>772.5</v>
      </c>
      <c r="P1604" s="116">
        <v>782.85</v>
      </c>
      <c r="Q1604" s="116">
        <v>778.6</v>
      </c>
      <c r="R1604">
        <v>36224</v>
      </c>
    </row>
    <row r="1605" spans="1:18" x14ac:dyDescent="0.25">
      <c r="A1605" s="170">
        <v>45242</v>
      </c>
      <c r="B1605" s="116">
        <v>794.45</v>
      </c>
      <c r="C1605" s="116">
        <v>789.05</v>
      </c>
      <c r="D1605" s="116">
        <v>782.65</v>
      </c>
      <c r="E1605" s="116">
        <v>794.45</v>
      </c>
      <c r="F1605" s="116">
        <v>789.05</v>
      </c>
      <c r="G1605">
        <v>5182</v>
      </c>
      <c r="H1605" s="116"/>
      <c r="I1605" s="116"/>
      <c r="L1605" s="170">
        <v>45242</v>
      </c>
      <c r="M1605" s="116">
        <v>788.85</v>
      </c>
      <c r="N1605" s="116">
        <v>793.9</v>
      </c>
      <c r="O1605" s="116">
        <v>781.1</v>
      </c>
      <c r="P1605" s="116">
        <v>783.9</v>
      </c>
      <c r="Q1605" s="116">
        <v>788.85</v>
      </c>
      <c r="R1605">
        <v>25810</v>
      </c>
    </row>
    <row r="1606" spans="1:18" x14ac:dyDescent="0.25">
      <c r="A1606" s="170">
        <v>45243</v>
      </c>
      <c r="B1606" s="116">
        <v>801.95</v>
      </c>
      <c r="C1606" s="116">
        <v>794.9</v>
      </c>
      <c r="D1606" s="116">
        <v>788.95</v>
      </c>
      <c r="E1606" s="116">
        <v>790.3</v>
      </c>
      <c r="F1606" s="116">
        <v>794.9</v>
      </c>
      <c r="G1606">
        <v>16831</v>
      </c>
      <c r="H1606" s="116"/>
      <c r="I1606" s="116"/>
      <c r="L1606" s="170">
        <v>45243</v>
      </c>
      <c r="M1606" s="116">
        <v>792.6</v>
      </c>
      <c r="N1606" s="116">
        <v>801.9</v>
      </c>
      <c r="O1606" s="116">
        <v>780.05</v>
      </c>
      <c r="P1606" s="116">
        <v>780.05</v>
      </c>
      <c r="Q1606" s="116">
        <v>792.6</v>
      </c>
      <c r="R1606">
        <v>97675</v>
      </c>
    </row>
    <row r="1607" spans="1:18" x14ac:dyDescent="0.25">
      <c r="A1607" s="170">
        <v>45245</v>
      </c>
      <c r="B1607" s="116">
        <v>815</v>
      </c>
      <c r="C1607" s="116">
        <v>790.2</v>
      </c>
      <c r="D1607" s="116">
        <v>783</v>
      </c>
      <c r="E1607" s="116">
        <v>815</v>
      </c>
      <c r="F1607" s="116">
        <v>790.2</v>
      </c>
      <c r="G1607">
        <v>4578</v>
      </c>
      <c r="H1607" s="116"/>
      <c r="I1607" s="116"/>
      <c r="L1607" s="170">
        <v>45245</v>
      </c>
      <c r="M1607" s="116">
        <v>789.95</v>
      </c>
      <c r="N1607" s="116">
        <v>807</v>
      </c>
      <c r="O1607" s="116">
        <v>783.1</v>
      </c>
      <c r="P1607" s="116">
        <v>804.9</v>
      </c>
      <c r="Q1607" s="116">
        <v>789.95</v>
      </c>
      <c r="R1607">
        <v>42251</v>
      </c>
    </row>
    <row r="1608" spans="1:18" x14ac:dyDescent="0.25">
      <c r="A1608" s="170">
        <v>45246</v>
      </c>
      <c r="B1608" s="116">
        <v>794.75</v>
      </c>
      <c r="C1608" s="116">
        <v>788.35</v>
      </c>
      <c r="D1608" s="116">
        <v>780.85</v>
      </c>
      <c r="E1608" s="116">
        <v>789.5</v>
      </c>
      <c r="F1608" s="116">
        <v>788.35</v>
      </c>
      <c r="G1608">
        <v>4164</v>
      </c>
      <c r="H1608" s="116"/>
      <c r="I1608" s="116"/>
      <c r="L1608" s="170">
        <v>45246</v>
      </c>
      <c r="M1608" s="116">
        <v>789.6</v>
      </c>
      <c r="N1608" s="116">
        <v>794.7</v>
      </c>
      <c r="O1608" s="116">
        <v>785.15</v>
      </c>
      <c r="P1608" s="116">
        <v>793.35</v>
      </c>
      <c r="Q1608" s="116">
        <v>789.6</v>
      </c>
      <c r="R1608">
        <v>27603</v>
      </c>
    </row>
    <row r="1609" spans="1:18" x14ac:dyDescent="0.25">
      <c r="A1609" s="170">
        <v>45247</v>
      </c>
      <c r="B1609" s="116">
        <v>801.25</v>
      </c>
      <c r="C1609" s="116">
        <v>779.9</v>
      </c>
      <c r="D1609" s="116">
        <v>777.25</v>
      </c>
      <c r="E1609" s="116">
        <v>801.25</v>
      </c>
      <c r="F1609" s="116">
        <v>779.9</v>
      </c>
      <c r="G1609">
        <v>1630</v>
      </c>
      <c r="H1609" s="116"/>
      <c r="I1609" s="116"/>
      <c r="L1609" s="170">
        <v>45247</v>
      </c>
      <c r="M1609" s="116">
        <v>778.65</v>
      </c>
      <c r="N1609" s="116">
        <v>795.55</v>
      </c>
      <c r="O1609" s="116">
        <v>776.95</v>
      </c>
      <c r="P1609" s="116">
        <v>790</v>
      </c>
      <c r="Q1609" s="116">
        <v>778.65</v>
      </c>
      <c r="R1609">
        <v>42146</v>
      </c>
    </row>
    <row r="1610" spans="1:18" x14ac:dyDescent="0.25">
      <c r="A1610" s="170">
        <v>45250</v>
      </c>
      <c r="B1610" s="116">
        <v>784.3</v>
      </c>
      <c r="C1610" s="116">
        <v>772.85</v>
      </c>
      <c r="D1610" s="116">
        <v>764.15</v>
      </c>
      <c r="E1610" s="116">
        <v>773</v>
      </c>
      <c r="F1610" s="116">
        <v>772.85</v>
      </c>
      <c r="G1610">
        <v>5170</v>
      </c>
      <c r="H1610" s="116"/>
      <c r="I1610" s="116"/>
      <c r="L1610" s="170">
        <v>45250</v>
      </c>
      <c r="M1610" s="116">
        <v>771.95</v>
      </c>
      <c r="N1610" s="116">
        <v>785.05</v>
      </c>
      <c r="O1610" s="116">
        <v>763.1</v>
      </c>
      <c r="P1610" s="116">
        <v>778.65</v>
      </c>
      <c r="Q1610" s="116">
        <v>771.95</v>
      </c>
      <c r="R1610">
        <v>53581</v>
      </c>
    </row>
    <row r="1611" spans="1:18" x14ac:dyDescent="0.25">
      <c r="A1611" s="170">
        <v>45251</v>
      </c>
      <c r="B1611" s="116">
        <v>783.45</v>
      </c>
      <c r="C1611" s="116">
        <v>775.75</v>
      </c>
      <c r="D1611" s="116">
        <v>768</v>
      </c>
      <c r="E1611" s="116">
        <v>775</v>
      </c>
      <c r="F1611" s="116">
        <v>775.75</v>
      </c>
      <c r="G1611">
        <v>3337</v>
      </c>
      <c r="H1611" s="116"/>
      <c r="I1611" s="116"/>
      <c r="L1611" s="170">
        <v>45251</v>
      </c>
      <c r="M1611" s="116">
        <v>776.5</v>
      </c>
      <c r="N1611" s="116">
        <v>784.25</v>
      </c>
      <c r="O1611" s="116">
        <v>772.25</v>
      </c>
      <c r="P1611" s="116">
        <v>775.8</v>
      </c>
      <c r="Q1611" s="116">
        <v>776.5</v>
      </c>
      <c r="R1611">
        <v>28278</v>
      </c>
    </row>
    <row r="1612" spans="1:18" x14ac:dyDescent="0.25">
      <c r="A1612" s="170">
        <v>45252</v>
      </c>
      <c r="B1612" s="116">
        <v>787.95</v>
      </c>
      <c r="C1612" s="116">
        <v>774.25</v>
      </c>
      <c r="D1612" s="116">
        <v>772</v>
      </c>
      <c r="E1612" s="116">
        <v>784.95</v>
      </c>
      <c r="F1612" s="116">
        <v>774.25</v>
      </c>
      <c r="G1612">
        <v>4329</v>
      </c>
      <c r="H1612" s="116"/>
      <c r="I1612" s="116"/>
      <c r="L1612" s="170">
        <v>45252</v>
      </c>
      <c r="M1612" s="116">
        <v>774.9</v>
      </c>
      <c r="N1612" s="116">
        <v>789</v>
      </c>
      <c r="O1612" s="116">
        <v>770</v>
      </c>
      <c r="P1612" s="116">
        <v>785</v>
      </c>
      <c r="Q1612" s="116">
        <v>774.9</v>
      </c>
      <c r="R1612">
        <v>47948</v>
      </c>
    </row>
    <row r="1613" spans="1:18" x14ac:dyDescent="0.25">
      <c r="A1613" s="170">
        <v>45253</v>
      </c>
      <c r="B1613" s="116">
        <v>779.75</v>
      </c>
      <c r="C1613" s="116">
        <v>770.55</v>
      </c>
      <c r="D1613" s="116">
        <v>765</v>
      </c>
      <c r="E1613" s="116">
        <v>779.75</v>
      </c>
      <c r="F1613" s="116">
        <v>770.55</v>
      </c>
      <c r="G1613">
        <v>984</v>
      </c>
      <c r="H1613" s="116"/>
      <c r="I1613" s="116"/>
      <c r="L1613" s="170">
        <v>45253</v>
      </c>
      <c r="M1613" s="116">
        <v>768.25</v>
      </c>
      <c r="N1613" s="116">
        <v>779.95</v>
      </c>
      <c r="O1613" s="116">
        <v>763.5</v>
      </c>
      <c r="P1613" s="116">
        <v>779.5</v>
      </c>
      <c r="Q1613" s="116">
        <v>768.25</v>
      </c>
      <c r="R1613">
        <v>45584</v>
      </c>
    </row>
    <row r="1614" spans="1:18" x14ac:dyDescent="0.25">
      <c r="A1614" s="170">
        <v>45254</v>
      </c>
      <c r="B1614" s="116">
        <v>774.65</v>
      </c>
      <c r="C1614" s="116">
        <v>756.3</v>
      </c>
      <c r="D1614" s="116">
        <v>754.6</v>
      </c>
      <c r="E1614" s="116">
        <v>770.55</v>
      </c>
      <c r="F1614" s="116">
        <v>756.3</v>
      </c>
      <c r="G1614">
        <v>6610</v>
      </c>
      <c r="H1614" s="116"/>
      <c r="I1614" s="116"/>
      <c r="L1614" s="170">
        <v>45254</v>
      </c>
      <c r="M1614" s="116">
        <v>757.45</v>
      </c>
      <c r="N1614" s="116">
        <v>774.45</v>
      </c>
      <c r="O1614" s="116">
        <v>756</v>
      </c>
      <c r="P1614" s="116">
        <v>769.05</v>
      </c>
      <c r="Q1614" s="116">
        <v>757.45</v>
      </c>
      <c r="R1614">
        <v>56354</v>
      </c>
    </row>
    <row r="1615" spans="1:18" x14ac:dyDescent="0.25">
      <c r="A1615" s="170">
        <v>45258</v>
      </c>
      <c r="B1615" s="116">
        <v>759.4</v>
      </c>
      <c r="C1615" s="116">
        <v>750.75</v>
      </c>
      <c r="D1615" s="116">
        <v>748</v>
      </c>
      <c r="E1615" s="116">
        <v>755.25</v>
      </c>
      <c r="F1615" s="116">
        <v>750.75</v>
      </c>
      <c r="G1615">
        <v>1974</v>
      </c>
      <c r="H1615" s="116"/>
      <c r="I1615" s="116"/>
      <c r="L1615" s="170">
        <v>45258</v>
      </c>
      <c r="M1615" s="116">
        <v>750.55</v>
      </c>
      <c r="N1615" s="116">
        <v>765.3</v>
      </c>
      <c r="O1615" s="116">
        <v>747</v>
      </c>
      <c r="P1615" s="116">
        <v>757.45</v>
      </c>
      <c r="Q1615" s="116">
        <v>750.55</v>
      </c>
      <c r="R1615">
        <v>71103</v>
      </c>
    </row>
    <row r="1616" spans="1:18" x14ac:dyDescent="0.25">
      <c r="A1616" s="170">
        <v>45259</v>
      </c>
      <c r="B1616" s="116">
        <v>766.95</v>
      </c>
      <c r="C1616" s="116">
        <v>756.75</v>
      </c>
      <c r="D1616" s="116">
        <v>750.1</v>
      </c>
      <c r="E1616" s="116">
        <v>750.1</v>
      </c>
      <c r="F1616" s="116">
        <v>756.75</v>
      </c>
      <c r="G1616">
        <v>4243</v>
      </c>
      <c r="H1616" s="116"/>
      <c r="I1616" s="116"/>
      <c r="L1616" s="170">
        <v>45259</v>
      </c>
      <c r="M1616" s="116">
        <v>756.65</v>
      </c>
      <c r="N1616" s="116">
        <v>766.4</v>
      </c>
      <c r="O1616" s="116">
        <v>751</v>
      </c>
      <c r="P1616" s="116">
        <v>751</v>
      </c>
      <c r="Q1616" s="116">
        <v>756.65</v>
      </c>
      <c r="R1616">
        <v>44069</v>
      </c>
    </row>
    <row r="1617" spans="1:18" x14ac:dyDescent="0.25">
      <c r="A1617" s="170">
        <v>45260</v>
      </c>
      <c r="B1617" s="116">
        <v>776.85</v>
      </c>
      <c r="C1617" s="116">
        <v>750.5</v>
      </c>
      <c r="D1617" s="116">
        <v>748.5</v>
      </c>
      <c r="E1617" s="116">
        <v>776.85</v>
      </c>
      <c r="F1617" s="116">
        <v>750.5</v>
      </c>
      <c r="G1617">
        <v>5437</v>
      </c>
      <c r="H1617" s="116"/>
      <c r="I1617" s="116"/>
      <c r="L1617" s="170">
        <v>45260</v>
      </c>
      <c r="M1617" s="116">
        <v>749.65</v>
      </c>
      <c r="N1617" s="116">
        <v>760.1</v>
      </c>
      <c r="O1617" s="116">
        <v>748</v>
      </c>
      <c r="P1617" s="116">
        <v>760</v>
      </c>
      <c r="Q1617" s="116">
        <v>749.65</v>
      </c>
      <c r="R1617">
        <v>61535</v>
      </c>
    </row>
    <row r="1618" spans="1:18" x14ac:dyDescent="0.25">
      <c r="A1618" s="170">
        <v>45261</v>
      </c>
      <c r="B1618" s="116">
        <v>782.45</v>
      </c>
      <c r="C1618" s="116">
        <v>775.35</v>
      </c>
      <c r="D1618" s="116">
        <v>753</v>
      </c>
      <c r="E1618" s="116">
        <v>776.9</v>
      </c>
      <c r="F1618" s="116">
        <v>775.35</v>
      </c>
      <c r="G1618">
        <v>6722</v>
      </c>
      <c r="H1618" s="116"/>
      <c r="I1618" s="116"/>
      <c r="L1618" s="170">
        <v>45261</v>
      </c>
      <c r="M1618" s="116">
        <v>774.85</v>
      </c>
      <c r="N1618" s="116">
        <v>782.7</v>
      </c>
      <c r="O1618" s="116">
        <v>752.1</v>
      </c>
      <c r="P1618" s="116">
        <v>753.5</v>
      </c>
      <c r="Q1618" s="116">
        <v>774.85</v>
      </c>
      <c r="R1618">
        <v>134837</v>
      </c>
    </row>
    <row r="1619" spans="1:18" x14ac:dyDescent="0.25">
      <c r="A1619" s="170">
        <v>45264</v>
      </c>
      <c r="B1619" s="116">
        <v>794.95</v>
      </c>
      <c r="C1619" s="116">
        <v>783.55</v>
      </c>
      <c r="D1619" s="116">
        <v>772.05</v>
      </c>
      <c r="E1619" s="116">
        <v>794.95</v>
      </c>
      <c r="F1619" s="116">
        <v>783.55</v>
      </c>
      <c r="G1619">
        <v>10583</v>
      </c>
      <c r="H1619" s="116"/>
      <c r="I1619" s="116"/>
      <c r="L1619" s="170">
        <v>45264</v>
      </c>
      <c r="M1619" s="116">
        <v>783.7</v>
      </c>
      <c r="N1619" s="116">
        <v>795</v>
      </c>
      <c r="O1619" s="116">
        <v>773.1</v>
      </c>
      <c r="P1619" s="116">
        <v>787.9</v>
      </c>
      <c r="Q1619" s="116">
        <v>783.7</v>
      </c>
      <c r="R1619">
        <v>68324</v>
      </c>
    </row>
    <row r="1620" spans="1:18" x14ac:dyDescent="0.25">
      <c r="A1620" s="170">
        <v>45265</v>
      </c>
      <c r="B1620" s="116">
        <v>782.25</v>
      </c>
      <c r="C1620" s="116">
        <v>770.15</v>
      </c>
      <c r="D1620" s="116">
        <v>767</v>
      </c>
      <c r="E1620" s="116">
        <v>779.3</v>
      </c>
      <c r="F1620" s="116">
        <v>770.15</v>
      </c>
      <c r="G1620">
        <v>5094</v>
      </c>
      <c r="H1620" s="116"/>
      <c r="I1620" s="116"/>
      <c r="L1620" s="170">
        <v>45265</v>
      </c>
      <c r="M1620" s="116">
        <v>769.35</v>
      </c>
      <c r="N1620" s="116">
        <v>786</v>
      </c>
      <c r="O1620" s="116">
        <v>765.15</v>
      </c>
      <c r="P1620" s="116">
        <v>785</v>
      </c>
      <c r="Q1620" s="116">
        <v>769.35</v>
      </c>
      <c r="R1620">
        <v>74508</v>
      </c>
    </row>
    <row r="1621" spans="1:18" x14ac:dyDescent="0.25">
      <c r="A1621" s="170">
        <v>45266</v>
      </c>
      <c r="B1621" s="116">
        <v>786.95</v>
      </c>
      <c r="C1621" s="116">
        <v>773.7</v>
      </c>
      <c r="D1621" s="116">
        <v>761.05</v>
      </c>
      <c r="E1621" s="116">
        <v>763</v>
      </c>
      <c r="F1621" s="116">
        <v>773.7</v>
      </c>
      <c r="G1621">
        <v>15254</v>
      </c>
      <c r="H1621" s="116"/>
      <c r="I1621" s="116"/>
      <c r="L1621" s="170">
        <v>45266</v>
      </c>
      <c r="M1621" s="116">
        <v>770.5</v>
      </c>
      <c r="N1621" s="116">
        <v>785</v>
      </c>
      <c r="O1621" s="116">
        <v>762.5</v>
      </c>
      <c r="P1621" s="116">
        <v>769</v>
      </c>
      <c r="Q1621" s="116">
        <v>770.5</v>
      </c>
      <c r="R1621">
        <v>151544</v>
      </c>
    </row>
    <row r="1622" spans="1:18" x14ac:dyDescent="0.25">
      <c r="A1622" s="170">
        <v>45267</v>
      </c>
      <c r="B1622" s="116">
        <v>786.85</v>
      </c>
      <c r="C1622" s="116">
        <v>779.15</v>
      </c>
      <c r="D1622" s="116">
        <v>759.95</v>
      </c>
      <c r="E1622" s="116">
        <v>773.9</v>
      </c>
      <c r="F1622" s="116">
        <v>779.15</v>
      </c>
      <c r="G1622">
        <v>14598</v>
      </c>
      <c r="H1622" s="116"/>
      <c r="I1622" s="116"/>
      <c r="L1622" s="170">
        <v>45267</v>
      </c>
      <c r="M1622" s="116">
        <v>779.05</v>
      </c>
      <c r="N1622" s="116">
        <v>787</v>
      </c>
      <c r="O1622" s="116">
        <v>761.1</v>
      </c>
      <c r="P1622" s="116">
        <v>770.5</v>
      </c>
      <c r="Q1622" s="116">
        <v>779.05</v>
      </c>
      <c r="R1622">
        <v>280987</v>
      </c>
    </row>
    <row r="1623" spans="1:18" x14ac:dyDescent="0.25">
      <c r="A1623" s="170">
        <v>45268</v>
      </c>
      <c r="B1623" s="116">
        <v>785.05</v>
      </c>
      <c r="C1623" s="116">
        <v>768.95</v>
      </c>
      <c r="D1623" s="116">
        <v>764.45</v>
      </c>
      <c r="E1623" s="116">
        <v>785</v>
      </c>
      <c r="F1623" s="116">
        <v>768.95</v>
      </c>
      <c r="G1623">
        <v>37995</v>
      </c>
      <c r="H1623" s="116"/>
      <c r="I1623" s="116"/>
      <c r="L1623" s="170">
        <v>45268</v>
      </c>
      <c r="M1623" s="116">
        <v>769.2</v>
      </c>
      <c r="N1623" s="116">
        <v>785</v>
      </c>
      <c r="O1623" s="116">
        <v>764.05</v>
      </c>
      <c r="P1623" s="116">
        <v>785</v>
      </c>
      <c r="Q1623" s="116">
        <v>769.2</v>
      </c>
      <c r="R1623">
        <v>158319</v>
      </c>
    </row>
    <row r="1624" spans="1:18" x14ac:dyDescent="0.25">
      <c r="A1624" s="170">
        <v>45271</v>
      </c>
      <c r="B1624" s="116">
        <v>785</v>
      </c>
      <c r="C1624" s="116">
        <v>774.85</v>
      </c>
      <c r="D1624" s="116">
        <v>771.8</v>
      </c>
      <c r="E1624" s="116">
        <v>782.9</v>
      </c>
      <c r="F1624" s="116">
        <v>774.85</v>
      </c>
      <c r="G1624">
        <v>14054</v>
      </c>
      <c r="H1624" s="116"/>
      <c r="I1624" s="116"/>
      <c r="L1624" s="170">
        <v>45271</v>
      </c>
      <c r="M1624" s="116">
        <v>775.1</v>
      </c>
      <c r="N1624" s="116">
        <v>783</v>
      </c>
      <c r="O1624" s="116">
        <v>771.15</v>
      </c>
      <c r="P1624" s="116">
        <v>781</v>
      </c>
      <c r="Q1624" s="116">
        <v>775.1</v>
      </c>
      <c r="R1624">
        <v>131801</v>
      </c>
    </row>
    <row r="1625" spans="1:18" x14ac:dyDescent="0.25">
      <c r="A1625" s="170">
        <v>45272</v>
      </c>
      <c r="B1625" s="116">
        <v>782.3</v>
      </c>
      <c r="C1625" s="116">
        <v>765.15</v>
      </c>
      <c r="D1625" s="116">
        <v>763</v>
      </c>
      <c r="E1625" s="116">
        <v>780.25</v>
      </c>
      <c r="F1625" s="116">
        <v>765.15</v>
      </c>
      <c r="G1625">
        <v>3756</v>
      </c>
      <c r="H1625" s="116"/>
      <c r="I1625" s="116"/>
      <c r="L1625" s="170">
        <v>45272</v>
      </c>
      <c r="M1625" s="116">
        <v>765.2</v>
      </c>
      <c r="N1625" s="116">
        <v>783.5</v>
      </c>
      <c r="O1625" s="116">
        <v>762.65</v>
      </c>
      <c r="P1625" s="116">
        <v>781.1</v>
      </c>
      <c r="Q1625" s="116">
        <v>765.2</v>
      </c>
      <c r="R1625">
        <v>80315</v>
      </c>
    </row>
    <row r="1626" spans="1:18" x14ac:dyDescent="0.25">
      <c r="A1626" s="170">
        <v>45273</v>
      </c>
      <c r="B1626" s="116">
        <v>776</v>
      </c>
      <c r="C1626" s="116">
        <v>773.55</v>
      </c>
      <c r="D1626" s="116">
        <v>761.3</v>
      </c>
      <c r="E1626" s="116">
        <v>773</v>
      </c>
      <c r="F1626" s="116">
        <v>773.55</v>
      </c>
      <c r="G1626">
        <v>5666</v>
      </c>
      <c r="H1626" s="116"/>
      <c r="I1626" s="116"/>
      <c r="L1626" s="170">
        <v>45273</v>
      </c>
      <c r="M1626" s="116">
        <v>773.7</v>
      </c>
      <c r="N1626" s="116">
        <v>775.5</v>
      </c>
      <c r="O1626" s="116">
        <v>761.05</v>
      </c>
      <c r="P1626" s="116">
        <v>769</v>
      </c>
      <c r="Q1626" s="116">
        <v>773.7</v>
      </c>
      <c r="R1626">
        <v>56444</v>
      </c>
    </row>
    <row r="1627" spans="1:18" x14ac:dyDescent="0.25">
      <c r="A1627" s="170">
        <v>45274</v>
      </c>
      <c r="B1627" s="116">
        <v>781.1</v>
      </c>
      <c r="C1627" s="116">
        <v>774.95</v>
      </c>
      <c r="D1627" s="116">
        <v>762.7</v>
      </c>
      <c r="E1627" s="116">
        <v>776.15</v>
      </c>
      <c r="F1627" s="116">
        <v>774.95</v>
      </c>
      <c r="G1627">
        <v>7329</v>
      </c>
      <c r="H1627" s="116"/>
      <c r="I1627" s="116"/>
      <c r="L1627" s="170">
        <v>45274</v>
      </c>
      <c r="M1627" s="116">
        <v>776.05</v>
      </c>
      <c r="N1627" s="116">
        <v>779.85</v>
      </c>
      <c r="O1627" s="116">
        <v>763</v>
      </c>
      <c r="P1627" s="116">
        <v>776.95</v>
      </c>
      <c r="Q1627" s="116">
        <v>776.05</v>
      </c>
      <c r="R1627">
        <v>133635</v>
      </c>
    </row>
    <row r="1628" spans="1:18" x14ac:dyDescent="0.25">
      <c r="A1628" s="170">
        <v>45275</v>
      </c>
      <c r="B1628" s="116">
        <v>780</v>
      </c>
      <c r="C1628" s="116">
        <v>756.15</v>
      </c>
      <c r="D1628" s="116">
        <v>740.95</v>
      </c>
      <c r="E1628" s="116">
        <v>780</v>
      </c>
      <c r="F1628" s="116">
        <v>756.15</v>
      </c>
      <c r="G1628">
        <v>15351</v>
      </c>
      <c r="H1628" s="116"/>
      <c r="I1628" s="116"/>
      <c r="L1628" s="170">
        <v>45275</v>
      </c>
      <c r="M1628" s="116">
        <v>756.7</v>
      </c>
      <c r="N1628" s="116">
        <v>779.5</v>
      </c>
      <c r="O1628" s="116">
        <v>734.3</v>
      </c>
      <c r="P1628" s="116">
        <v>779.5</v>
      </c>
      <c r="Q1628" s="116">
        <v>756.7</v>
      </c>
      <c r="R1628">
        <v>198416</v>
      </c>
    </row>
    <row r="1629" spans="1:18" x14ac:dyDescent="0.25">
      <c r="A1629" s="170">
        <v>45278</v>
      </c>
      <c r="B1629" s="116">
        <v>769.95</v>
      </c>
      <c r="C1629" s="116">
        <v>745.65</v>
      </c>
      <c r="D1629" s="116">
        <v>744</v>
      </c>
      <c r="E1629" s="116">
        <v>769.95</v>
      </c>
      <c r="F1629" s="116">
        <v>745.65</v>
      </c>
      <c r="G1629">
        <v>12203</v>
      </c>
      <c r="H1629" s="116"/>
      <c r="I1629" s="116"/>
      <c r="L1629" s="170">
        <v>45278</v>
      </c>
      <c r="M1629" s="116">
        <v>746.2</v>
      </c>
      <c r="N1629" s="116">
        <v>764.9</v>
      </c>
      <c r="O1629" s="116">
        <v>744</v>
      </c>
      <c r="P1629" s="116">
        <v>764.9</v>
      </c>
      <c r="Q1629" s="116">
        <v>746.2</v>
      </c>
      <c r="R1629">
        <v>138922</v>
      </c>
    </row>
    <row r="1630" spans="1:18" x14ac:dyDescent="0.25">
      <c r="A1630" s="170">
        <v>45279</v>
      </c>
      <c r="B1630" s="116">
        <v>757</v>
      </c>
      <c r="C1630" s="116">
        <v>753.75</v>
      </c>
      <c r="D1630" s="116">
        <v>730</v>
      </c>
      <c r="E1630" s="116">
        <v>746.05</v>
      </c>
      <c r="F1630" s="116">
        <v>753.75</v>
      </c>
      <c r="G1630">
        <v>17644</v>
      </c>
      <c r="H1630" s="116"/>
      <c r="I1630" s="116"/>
      <c r="L1630" s="170">
        <v>45279</v>
      </c>
      <c r="M1630" s="116">
        <v>753.95</v>
      </c>
      <c r="N1630" s="116">
        <v>758.35</v>
      </c>
      <c r="O1630" s="116">
        <v>730</v>
      </c>
      <c r="P1630" s="116">
        <v>746.5</v>
      </c>
      <c r="Q1630" s="116">
        <v>753.95</v>
      </c>
      <c r="R1630">
        <v>177062</v>
      </c>
    </row>
    <row r="1631" spans="1:18" x14ac:dyDescent="0.25">
      <c r="A1631" s="170">
        <v>45280</v>
      </c>
      <c r="B1631" s="116">
        <v>768.75</v>
      </c>
      <c r="C1631" s="116">
        <v>748.4</v>
      </c>
      <c r="D1631" s="116">
        <v>740</v>
      </c>
      <c r="E1631" s="116">
        <v>752.9</v>
      </c>
      <c r="F1631" s="116">
        <v>748.4</v>
      </c>
      <c r="G1631">
        <v>6710</v>
      </c>
      <c r="H1631" s="116"/>
      <c r="I1631" s="116"/>
      <c r="L1631" s="170">
        <v>45280</v>
      </c>
      <c r="M1631" s="116">
        <v>747.9</v>
      </c>
      <c r="N1631" s="116">
        <v>768.7</v>
      </c>
      <c r="O1631" s="116">
        <v>735</v>
      </c>
      <c r="P1631" s="116">
        <v>754</v>
      </c>
      <c r="Q1631" s="116">
        <v>747.9</v>
      </c>
      <c r="R1631">
        <v>129249</v>
      </c>
    </row>
    <row r="1632" spans="1:18" x14ac:dyDescent="0.25">
      <c r="A1632" s="170">
        <v>45281</v>
      </c>
      <c r="B1632" s="116">
        <v>763.3</v>
      </c>
      <c r="C1632" s="116">
        <v>762.05</v>
      </c>
      <c r="D1632" s="116">
        <v>734.65</v>
      </c>
      <c r="E1632" s="116">
        <v>739.2</v>
      </c>
      <c r="F1632" s="116">
        <v>762.05</v>
      </c>
      <c r="G1632">
        <v>11566</v>
      </c>
      <c r="H1632" s="116"/>
      <c r="I1632" s="116"/>
      <c r="L1632" s="170">
        <v>45281</v>
      </c>
      <c r="M1632" s="116">
        <v>762.25</v>
      </c>
      <c r="N1632" s="116">
        <v>765</v>
      </c>
      <c r="O1632" s="116">
        <v>734.35</v>
      </c>
      <c r="P1632" s="116">
        <v>740</v>
      </c>
      <c r="Q1632" s="116">
        <v>762.25</v>
      </c>
      <c r="R1632">
        <v>88035</v>
      </c>
    </row>
    <row r="1633" spans="1:18" x14ac:dyDescent="0.25">
      <c r="A1633" s="170">
        <v>45282</v>
      </c>
      <c r="B1633" s="116">
        <v>771.15</v>
      </c>
      <c r="C1633" s="116">
        <v>764.6</v>
      </c>
      <c r="D1633" s="116">
        <v>748</v>
      </c>
      <c r="E1633" s="116">
        <v>761.5</v>
      </c>
      <c r="F1633" s="116">
        <v>764.6</v>
      </c>
      <c r="G1633">
        <v>12224</v>
      </c>
      <c r="H1633" s="116"/>
      <c r="I1633" s="116"/>
      <c r="L1633" s="170">
        <v>45282</v>
      </c>
      <c r="M1633" s="116">
        <v>764.2</v>
      </c>
      <c r="N1633" s="116">
        <v>772</v>
      </c>
      <c r="O1633" s="116">
        <v>746.45</v>
      </c>
      <c r="P1633" s="116">
        <v>762.25</v>
      </c>
      <c r="Q1633" s="116">
        <v>764.2</v>
      </c>
      <c r="R1633">
        <v>191717</v>
      </c>
    </row>
    <row r="1634" spans="1:18" x14ac:dyDescent="0.25">
      <c r="A1634" s="170">
        <v>45286</v>
      </c>
      <c r="B1634" s="116">
        <v>774.8</v>
      </c>
      <c r="C1634" s="116">
        <v>768.4</v>
      </c>
      <c r="D1634" s="116">
        <v>762.5</v>
      </c>
      <c r="E1634" s="116">
        <v>770.85</v>
      </c>
      <c r="F1634" s="116">
        <v>768.4</v>
      </c>
      <c r="G1634">
        <v>10668</v>
      </c>
      <c r="H1634" s="116"/>
      <c r="I1634" s="116"/>
      <c r="L1634" s="170">
        <v>45286</v>
      </c>
      <c r="M1634" s="116">
        <v>768.55</v>
      </c>
      <c r="N1634" s="116">
        <v>774.9</v>
      </c>
      <c r="O1634" s="116">
        <v>762</v>
      </c>
      <c r="P1634" s="116">
        <v>770</v>
      </c>
      <c r="Q1634" s="116">
        <v>768.55</v>
      </c>
      <c r="R1634">
        <v>74887</v>
      </c>
    </row>
    <row r="1635" spans="1:18" x14ac:dyDescent="0.25">
      <c r="A1635" s="170">
        <v>45287</v>
      </c>
      <c r="B1635" s="116">
        <v>778.25</v>
      </c>
      <c r="C1635" s="116">
        <v>770.65</v>
      </c>
      <c r="D1635" s="116">
        <v>766.9</v>
      </c>
      <c r="E1635" s="116">
        <v>774.85</v>
      </c>
      <c r="F1635" s="116">
        <v>770.65</v>
      </c>
      <c r="G1635">
        <v>4329</v>
      </c>
      <c r="H1635" s="116"/>
      <c r="I1635" s="116"/>
      <c r="L1635" s="170">
        <v>45287</v>
      </c>
      <c r="M1635" s="116">
        <v>771.9</v>
      </c>
      <c r="N1635" s="116">
        <v>777.7</v>
      </c>
      <c r="O1635" s="116">
        <v>767.05</v>
      </c>
      <c r="P1635" s="116">
        <v>774</v>
      </c>
      <c r="Q1635" s="116">
        <v>771.9</v>
      </c>
      <c r="R1635">
        <v>62204</v>
      </c>
    </row>
    <row r="1636" spans="1:18" x14ac:dyDescent="0.25">
      <c r="A1636" s="170">
        <v>45288</v>
      </c>
      <c r="B1636" s="116">
        <v>773.75</v>
      </c>
      <c r="C1636" s="116">
        <v>768.75</v>
      </c>
      <c r="D1636" s="116">
        <v>763.95</v>
      </c>
      <c r="E1636" s="116">
        <v>765.15</v>
      </c>
      <c r="F1636" s="116">
        <v>768.75</v>
      </c>
      <c r="G1636">
        <v>2808</v>
      </c>
      <c r="H1636" s="116"/>
      <c r="I1636" s="116"/>
      <c r="L1636" s="170">
        <v>45288</v>
      </c>
      <c r="M1636" s="116">
        <v>768.1</v>
      </c>
      <c r="N1636" s="116">
        <v>775.95</v>
      </c>
      <c r="O1636" s="116">
        <v>762.4</v>
      </c>
      <c r="P1636" s="116">
        <v>775</v>
      </c>
      <c r="Q1636" s="116">
        <v>768.1</v>
      </c>
      <c r="R1636">
        <v>72021</v>
      </c>
    </row>
    <row r="1637" spans="1:18" x14ac:dyDescent="0.25">
      <c r="A1637" s="170">
        <v>45289</v>
      </c>
      <c r="B1637" s="116">
        <v>773</v>
      </c>
      <c r="C1637" s="116">
        <v>768.05</v>
      </c>
      <c r="D1637" s="116">
        <v>759.95</v>
      </c>
      <c r="E1637" s="116">
        <v>770.45</v>
      </c>
      <c r="F1637" s="116">
        <v>768.05</v>
      </c>
      <c r="G1637">
        <v>9066</v>
      </c>
      <c r="H1637" s="116"/>
      <c r="I1637" s="116"/>
      <c r="L1637" s="170">
        <v>45289</v>
      </c>
      <c r="M1637" s="116">
        <v>766.5</v>
      </c>
      <c r="N1637" s="116">
        <v>772.95</v>
      </c>
      <c r="O1637" s="116">
        <v>759.15</v>
      </c>
      <c r="P1637" s="116">
        <v>771</v>
      </c>
      <c r="Q1637" s="116">
        <v>766.5</v>
      </c>
      <c r="R1637">
        <v>76598</v>
      </c>
    </row>
    <row r="1638" spans="1:18" x14ac:dyDescent="0.25">
      <c r="A1638" s="170">
        <v>45292</v>
      </c>
      <c r="B1638" s="116">
        <v>772.05</v>
      </c>
      <c r="C1638" s="116">
        <v>766.9</v>
      </c>
      <c r="D1638" s="116">
        <v>761.55</v>
      </c>
      <c r="E1638" s="116">
        <v>766.6</v>
      </c>
      <c r="F1638" s="116">
        <v>766.9</v>
      </c>
      <c r="G1638">
        <v>5358</v>
      </c>
      <c r="H1638" s="116"/>
      <c r="I1638" s="116"/>
      <c r="L1638" s="170">
        <v>45292</v>
      </c>
      <c r="M1638" s="116">
        <v>766.2</v>
      </c>
      <c r="N1638" s="116">
        <v>774.9</v>
      </c>
      <c r="O1638" s="116">
        <v>762</v>
      </c>
      <c r="P1638" s="116">
        <v>774.9</v>
      </c>
      <c r="Q1638" s="116">
        <v>766.2</v>
      </c>
      <c r="R1638">
        <v>38836</v>
      </c>
    </row>
    <row r="1639" spans="1:18" x14ac:dyDescent="0.25">
      <c r="A1639" s="170">
        <v>45293</v>
      </c>
      <c r="B1639" s="116">
        <v>771</v>
      </c>
      <c r="C1639" s="116">
        <v>761.5</v>
      </c>
      <c r="D1639" s="116">
        <v>760</v>
      </c>
      <c r="E1639" s="116">
        <v>767.05</v>
      </c>
      <c r="F1639" s="116">
        <v>761.5</v>
      </c>
      <c r="G1639">
        <v>8453</v>
      </c>
      <c r="H1639" s="116"/>
      <c r="I1639" s="116"/>
      <c r="L1639" s="170">
        <v>45293</v>
      </c>
      <c r="M1639" s="116">
        <v>762.15</v>
      </c>
      <c r="N1639" s="116">
        <v>772.2</v>
      </c>
      <c r="O1639" s="116">
        <v>756</v>
      </c>
      <c r="P1639" s="116">
        <v>770.05</v>
      </c>
      <c r="Q1639" s="116">
        <v>762.15</v>
      </c>
      <c r="R1639">
        <v>69657</v>
      </c>
    </row>
    <row r="1640" spans="1:18" x14ac:dyDescent="0.25">
      <c r="A1640" s="170">
        <v>45294</v>
      </c>
      <c r="B1640" s="116">
        <v>769.95</v>
      </c>
      <c r="C1640" s="116">
        <v>761.45</v>
      </c>
      <c r="D1640" s="116">
        <v>758</v>
      </c>
      <c r="E1640" s="116">
        <v>769.95</v>
      </c>
      <c r="F1640" s="116">
        <v>761.45</v>
      </c>
      <c r="G1640">
        <v>2767</v>
      </c>
      <c r="H1640" s="116"/>
      <c r="I1640" s="116"/>
      <c r="L1640" s="170">
        <v>45294</v>
      </c>
      <c r="M1640" s="116">
        <v>761.6</v>
      </c>
      <c r="N1640" s="116">
        <v>767.95</v>
      </c>
      <c r="O1640" s="116">
        <v>757.35</v>
      </c>
      <c r="P1640" s="116">
        <v>766</v>
      </c>
      <c r="Q1640" s="116">
        <v>761.6</v>
      </c>
      <c r="R1640">
        <v>36773</v>
      </c>
    </row>
    <row r="1641" spans="1:18" x14ac:dyDescent="0.25">
      <c r="A1641" s="170">
        <v>45295</v>
      </c>
      <c r="B1641" s="116">
        <v>754.8</v>
      </c>
      <c r="C1641" s="116">
        <v>738.3</v>
      </c>
      <c r="D1641" s="116">
        <v>728</v>
      </c>
      <c r="E1641" s="116">
        <v>754.8</v>
      </c>
      <c r="F1641" s="116">
        <v>738.3</v>
      </c>
      <c r="G1641">
        <v>13074</v>
      </c>
      <c r="H1641" s="116"/>
      <c r="I1641" s="116"/>
      <c r="L1641" s="170">
        <v>45295</v>
      </c>
      <c r="M1641" s="116">
        <v>738.55</v>
      </c>
      <c r="N1641" s="116">
        <v>748.95</v>
      </c>
      <c r="O1641" s="116">
        <v>726.1</v>
      </c>
      <c r="P1641" s="116">
        <v>746.45</v>
      </c>
      <c r="Q1641" s="116">
        <v>738.55</v>
      </c>
      <c r="R1641">
        <v>455704</v>
      </c>
    </row>
    <row r="1642" spans="1:18" x14ac:dyDescent="0.25">
      <c r="A1642" s="170">
        <v>45296</v>
      </c>
      <c r="B1642" s="116">
        <v>744.6</v>
      </c>
      <c r="C1642" s="116">
        <v>735</v>
      </c>
      <c r="D1642" s="116">
        <v>732.8</v>
      </c>
      <c r="E1642" s="116">
        <v>738.45</v>
      </c>
      <c r="F1642" s="116">
        <v>735</v>
      </c>
      <c r="G1642">
        <v>14809</v>
      </c>
      <c r="H1642" s="116"/>
      <c r="I1642" s="116"/>
      <c r="L1642" s="170">
        <v>45296</v>
      </c>
      <c r="M1642" s="116">
        <v>735.95</v>
      </c>
      <c r="N1642" s="116">
        <v>745.5</v>
      </c>
      <c r="O1642" s="116">
        <v>733.25</v>
      </c>
      <c r="P1642" s="116">
        <v>744.4</v>
      </c>
      <c r="Q1642" s="116">
        <v>735.95</v>
      </c>
      <c r="R1642">
        <v>120162</v>
      </c>
    </row>
    <row r="1643" spans="1:18" x14ac:dyDescent="0.25">
      <c r="A1643" s="170">
        <v>45299</v>
      </c>
      <c r="B1643" s="116">
        <v>744.8</v>
      </c>
      <c r="C1643" s="116">
        <v>740.5</v>
      </c>
      <c r="D1643" s="116">
        <v>728.15</v>
      </c>
      <c r="E1643" s="116">
        <v>740</v>
      </c>
      <c r="F1643" s="116">
        <v>740.5</v>
      </c>
      <c r="G1643">
        <v>5019</v>
      </c>
      <c r="H1643" s="116"/>
      <c r="I1643" s="116"/>
      <c r="L1643" s="170">
        <v>45299</v>
      </c>
      <c r="M1643" s="116">
        <v>740.6</v>
      </c>
      <c r="N1643" s="116">
        <v>744.9</v>
      </c>
      <c r="O1643" s="116">
        <v>728.05</v>
      </c>
      <c r="P1643" s="116">
        <v>738</v>
      </c>
      <c r="Q1643" s="116">
        <v>740.6</v>
      </c>
      <c r="R1643">
        <v>88183</v>
      </c>
    </row>
    <row r="1644" spans="1:18" x14ac:dyDescent="0.25">
      <c r="A1644" s="170">
        <v>45300</v>
      </c>
      <c r="B1644" s="116">
        <v>751</v>
      </c>
      <c r="C1644" s="116">
        <v>748.85</v>
      </c>
      <c r="D1644" s="116">
        <v>734.7</v>
      </c>
      <c r="E1644" s="116">
        <v>741</v>
      </c>
      <c r="F1644" s="116">
        <v>748.85</v>
      </c>
      <c r="G1644">
        <v>4893</v>
      </c>
      <c r="H1644" s="116"/>
      <c r="I1644" s="116"/>
      <c r="L1644" s="170">
        <v>45300</v>
      </c>
      <c r="M1644" s="116">
        <v>749.05</v>
      </c>
      <c r="N1644" s="116">
        <v>752</v>
      </c>
      <c r="O1644" s="116">
        <v>734.6</v>
      </c>
      <c r="P1644" s="116">
        <v>740</v>
      </c>
      <c r="Q1644" s="116">
        <v>749.05</v>
      </c>
      <c r="R1644">
        <v>102387</v>
      </c>
    </row>
    <row r="1645" spans="1:18" x14ac:dyDescent="0.25">
      <c r="A1645" s="170">
        <v>45301</v>
      </c>
      <c r="B1645" s="116">
        <v>755.95</v>
      </c>
      <c r="C1645" s="116">
        <v>743.2</v>
      </c>
      <c r="D1645" s="116">
        <v>736.1</v>
      </c>
      <c r="E1645" s="116">
        <v>746.85</v>
      </c>
      <c r="F1645" s="116">
        <v>743.2</v>
      </c>
      <c r="G1645">
        <v>3732</v>
      </c>
      <c r="H1645" s="116"/>
      <c r="I1645" s="116"/>
      <c r="L1645" s="170">
        <v>45301</v>
      </c>
      <c r="M1645" s="116">
        <v>741.05</v>
      </c>
      <c r="N1645" s="116">
        <v>756.5</v>
      </c>
      <c r="O1645" s="116">
        <v>736.05</v>
      </c>
      <c r="P1645" s="116">
        <v>746.05</v>
      </c>
      <c r="Q1645" s="116">
        <v>741.05</v>
      </c>
      <c r="R1645">
        <v>76816</v>
      </c>
    </row>
    <row r="1646" spans="1:18" x14ac:dyDescent="0.25">
      <c r="A1646" s="170">
        <v>45302</v>
      </c>
      <c r="B1646" s="116">
        <v>751.95</v>
      </c>
      <c r="C1646" s="116">
        <v>747.2</v>
      </c>
      <c r="D1646" s="116">
        <v>740.3</v>
      </c>
      <c r="E1646" s="116">
        <v>741.2</v>
      </c>
      <c r="F1646" s="116">
        <v>747.2</v>
      </c>
      <c r="G1646">
        <v>10717</v>
      </c>
      <c r="H1646" s="116"/>
      <c r="I1646" s="116"/>
      <c r="L1646" s="170">
        <v>45302</v>
      </c>
      <c r="M1646" s="116">
        <v>745.2</v>
      </c>
      <c r="N1646" s="116">
        <v>752.45</v>
      </c>
      <c r="O1646" s="116">
        <v>742</v>
      </c>
      <c r="P1646" s="116">
        <v>742</v>
      </c>
      <c r="Q1646" s="116">
        <v>745.2</v>
      </c>
      <c r="R1646">
        <v>66819</v>
      </c>
    </row>
    <row r="1647" spans="1:18" x14ac:dyDescent="0.25">
      <c r="A1647" s="170">
        <v>45303</v>
      </c>
      <c r="B1647" s="116">
        <v>755.05</v>
      </c>
      <c r="C1647" s="116">
        <v>750.15</v>
      </c>
      <c r="D1647" s="116">
        <v>742.05</v>
      </c>
      <c r="E1647" s="116">
        <v>742.05</v>
      </c>
      <c r="F1647" s="116">
        <v>750.15</v>
      </c>
      <c r="G1647">
        <v>9195</v>
      </c>
      <c r="H1647" s="116"/>
      <c r="I1647" s="116"/>
      <c r="L1647" s="170">
        <v>45303</v>
      </c>
      <c r="M1647" s="116">
        <v>750.15</v>
      </c>
      <c r="N1647" s="116">
        <v>755.9</v>
      </c>
      <c r="O1647" s="116">
        <v>744.2</v>
      </c>
      <c r="P1647" s="116">
        <v>748.95</v>
      </c>
      <c r="Q1647" s="116">
        <v>750.15</v>
      </c>
      <c r="R1647">
        <v>56523</v>
      </c>
    </row>
    <row r="1648" spans="1:18" x14ac:dyDescent="0.25">
      <c r="A1648" s="170">
        <v>45306</v>
      </c>
      <c r="B1648" s="116">
        <v>760</v>
      </c>
      <c r="C1648" s="116">
        <v>747.8</v>
      </c>
      <c r="D1648" s="116">
        <v>738</v>
      </c>
      <c r="E1648" s="116">
        <v>751.3</v>
      </c>
      <c r="F1648" s="116">
        <v>747.8</v>
      </c>
      <c r="G1648">
        <v>13801</v>
      </c>
      <c r="H1648" s="116"/>
      <c r="I1648" s="116"/>
      <c r="L1648" s="170">
        <v>45306</v>
      </c>
      <c r="M1648" s="116">
        <v>745.95</v>
      </c>
      <c r="N1648" s="116">
        <v>756</v>
      </c>
      <c r="O1648" s="116">
        <v>737.05</v>
      </c>
      <c r="P1648" s="116">
        <v>756</v>
      </c>
      <c r="Q1648" s="116">
        <v>745.95</v>
      </c>
      <c r="R1648">
        <v>82772</v>
      </c>
    </row>
    <row r="1649" spans="1:18" x14ac:dyDescent="0.25">
      <c r="A1649" s="170">
        <v>45307</v>
      </c>
      <c r="B1649" s="116">
        <v>751</v>
      </c>
      <c r="C1649" s="116">
        <v>742.4</v>
      </c>
      <c r="D1649" s="116">
        <v>736.8</v>
      </c>
      <c r="E1649" s="116">
        <v>751</v>
      </c>
      <c r="F1649" s="116">
        <v>742.4</v>
      </c>
      <c r="G1649">
        <v>6924</v>
      </c>
      <c r="H1649" s="116"/>
      <c r="I1649" s="116"/>
      <c r="L1649" s="170">
        <v>45307</v>
      </c>
      <c r="M1649" s="116">
        <v>742.15</v>
      </c>
      <c r="N1649" s="116">
        <v>750.5</v>
      </c>
      <c r="O1649" s="116">
        <v>736</v>
      </c>
      <c r="P1649" s="116">
        <v>743</v>
      </c>
      <c r="Q1649" s="116">
        <v>742.15</v>
      </c>
      <c r="R1649">
        <v>74005</v>
      </c>
    </row>
    <row r="1650" spans="1:18" x14ac:dyDescent="0.25">
      <c r="A1650" s="170">
        <v>45308</v>
      </c>
      <c r="B1650" s="116">
        <v>764</v>
      </c>
      <c r="C1650" s="116">
        <v>738.45</v>
      </c>
      <c r="D1650" s="116">
        <v>735.45</v>
      </c>
      <c r="E1650" s="116">
        <v>740</v>
      </c>
      <c r="F1650" s="116">
        <v>738.45</v>
      </c>
      <c r="G1650">
        <v>25538</v>
      </c>
      <c r="H1650" s="116"/>
      <c r="I1650" s="116"/>
      <c r="L1650" s="170">
        <v>45308</v>
      </c>
      <c r="M1650" s="116">
        <v>738.25</v>
      </c>
      <c r="N1650" s="116">
        <v>765</v>
      </c>
      <c r="O1650" s="116">
        <v>735.65</v>
      </c>
      <c r="P1650" s="116">
        <v>741</v>
      </c>
      <c r="Q1650" s="116">
        <v>738.25</v>
      </c>
      <c r="R1650">
        <v>327260</v>
      </c>
    </row>
    <row r="1651" spans="1:18" x14ac:dyDescent="0.25">
      <c r="A1651" s="170">
        <v>45309</v>
      </c>
      <c r="B1651" s="116">
        <v>769.05</v>
      </c>
      <c r="C1651" s="116">
        <v>761.55</v>
      </c>
      <c r="D1651" s="116">
        <v>721.05</v>
      </c>
      <c r="E1651" s="116">
        <v>745</v>
      </c>
      <c r="F1651" s="116">
        <v>761.55</v>
      </c>
      <c r="G1651">
        <v>34880</v>
      </c>
      <c r="H1651" s="116"/>
      <c r="I1651" s="116"/>
      <c r="L1651" s="170">
        <v>45309</v>
      </c>
      <c r="M1651" s="116">
        <v>761.7</v>
      </c>
      <c r="N1651" s="116">
        <v>767.25</v>
      </c>
      <c r="O1651" s="116">
        <v>726</v>
      </c>
      <c r="P1651" s="116">
        <v>743</v>
      </c>
      <c r="Q1651" s="116">
        <v>761.7</v>
      </c>
      <c r="R1651">
        <v>326141</v>
      </c>
    </row>
    <row r="1652" spans="1:18" x14ac:dyDescent="0.25">
      <c r="A1652" s="170">
        <v>45310</v>
      </c>
      <c r="B1652" s="116">
        <v>768.9</v>
      </c>
      <c r="C1652" s="116">
        <v>757.3</v>
      </c>
      <c r="D1652" s="116">
        <v>753.45</v>
      </c>
      <c r="E1652" s="116">
        <v>765.15</v>
      </c>
      <c r="F1652" s="116">
        <v>757.3</v>
      </c>
      <c r="G1652">
        <v>6909</v>
      </c>
      <c r="H1652" s="116"/>
      <c r="I1652" s="116"/>
      <c r="L1652" s="170">
        <v>45310</v>
      </c>
      <c r="M1652" s="116">
        <v>757.3</v>
      </c>
      <c r="N1652" s="116">
        <v>769.05</v>
      </c>
      <c r="O1652" s="116">
        <v>753</v>
      </c>
      <c r="P1652" s="116">
        <v>766</v>
      </c>
      <c r="Q1652" s="116">
        <v>757.3</v>
      </c>
      <c r="R1652">
        <v>105460</v>
      </c>
    </row>
    <row r="1653" spans="1:18" x14ac:dyDescent="0.25">
      <c r="A1653" s="170">
        <v>45311</v>
      </c>
      <c r="B1653" s="116">
        <v>772</v>
      </c>
      <c r="C1653" s="116">
        <v>760.65</v>
      </c>
      <c r="D1653" s="116">
        <v>751.1</v>
      </c>
      <c r="E1653" s="116">
        <v>757.05</v>
      </c>
      <c r="F1653" s="116">
        <v>760.65</v>
      </c>
      <c r="G1653">
        <v>7348</v>
      </c>
      <c r="H1653" s="116"/>
      <c r="I1653" s="116"/>
      <c r="L1653" s="170">
        <v>45311</v>
      </c>
      <c r="M1653" s="116">
        <v>761.25</v>
      </c>
      <c r="N1653" s="116">
        <v>768</v>
      </c>
      <c r="O1653" s="116">
        <v>752.6</v>
      </c>
      <c r="P1653" s="116">
        <v>759.95</v>
      </c>
      <c r="Q1653" s="116">
        <v>761.25</v>
      </c>
      <c r="R1653">
        <v>43167</v>
      </c>
    </row>
    <row r="1654" spans="1:18" x14ac:dyDescent="0.25">
      <c r="A1654" s="170">
        <v>45314</v>
      </c>
      <c r="B1654" s="116">
        <v>788.65</v>
      </c>
      <c r="C1654" s="116">
        <v>754.35</v>
      </c>
      <c r="D1654" s="116">
        <v>747.75</v>
      </c>
      <c r="E1654" s="116">
        <v>764.05</v>
      </c>
      <c r="F1654" s="116">
        <v>754.35</v>
      </c>
      <c r="G1654">
        <v>15583</v>
      </c>
      <c r="H1654" s="116"/>
      <c r="I1654" s="116"/>
      <c r="L1654" s="170">
        <v>45314</v>
      </c>
      <c r="M1654" s="116">
        <v>755.8</v>
      </c>
      <c r="N1654" s="116">
        <v>789.3</v>
      </c>
      <c r="O1654" s="116">
        <v>745.2</v>
      </c>
      <c r="P1654" s="116">
        <v>764</v>
      </c>
      <c r="Q1654" s="116">
        <v>755.8</v>
      </c>
      <c r="R1654">
        <v>362647</v>
      </c>
    </row>
    <row r="1655" spans="1:18" x14ac:dyDescent="0.25">
      <c r="A1655" s="170">
        <v>45315</v>
      </c>
      <c r="B1655" s="116">
        <v>769.35</v>
      </c>
      <c r="C1655" s="116">
        <v>746.55</v>
      </c>
      <c r="D1655" s="116">
        <v>740</v>
      </c>
      <c r="E1655" s="116">
        <v>769.35</v>
      </c>
      <c r="F1655" s="116">
        <v>746.55</v>
      </c>
      <c r="G1655">
        <v>6560</v>
      </c>
      <c r="H1655" s="116"/>
      <c r="I1655" s="116"/>
      <c r="L1655" s="170">
        <v>45315</v>
      </c>
      <c r="M1655" s="116">
        <v>746.35</v>
      </c>
      <c r="N1655" s="116">
        <v>758</v>
      </c>
      <c r="O1655" s="116">
        <v>738.05</v>
      </c>
      <c r="P1655" s="116">
        <v>753.55</v>
      </c>
      <c r="Q1655" s="116">
        <v>746.35</v>
      </c>
      <c r="R1655">
        <v>99834</v>
      </c>
    </row>
    <row r="1656" spans="1:18" x14ac:dyDescent="0.25">
      <c r="A1656" s="170">
        <v>45316</v>
      </c>
      <c r="B1656" s="116">
        <v>752.25</v>
      </c>
      <c r="C1656" s="116">
        <v>743</v>
      </c>
      <c r="D1656" s="116">
        <v>740.85</v>
      </c>
      <c r="E1656" s="116">
        <v>745.35</v>
      </c>
      <c r="F1656" s="116">
        <v>743</v>
      </c>
      <c r="G1656">
        <v>4166</v>
      </c>
      <c r="H1656" s="116"/>
      <c r="I1656" s="116"/>
      <c r="L1656" s="170">
        <v>45316</v>
      </c>
      <c r="M1656" s="116">
        <v>743.45</v>
      </c>
      <c r="N1656" s="116">
        <v>752.2</v>
      </c>
      <c r="O1656" s="116">
        <v>741.05</v>
      </c>
      <c r="P1656" s="116">
        <v>746.35</v>
      </c>
      <c r="Q1656" s="116">
        <v>743.45</v>
      </c>
      <c r="R1656">
        <v>33082</v>
      </c>
    </row>
    <row r="1657" spans="1:18" x14ac:dyDescent="0.25">
      <c r="A1657" s="170">
        <v>45320</v>
      </c>
      <c r="B1657" s="116">
        <v>775.1</v>
      </c>
      <c r="C1657" s="116">
        <v>766.5</v>
      </c>
      <c r="D1657" s="116">
        <v>738.15</v>
      </c>
      <c r="E1657" s="116">
        <v>738.15</v>
      </c>
      <c r="F1657" s="116">
        <v>766.5</v>
      </c>
      <c r="G1657">
        <v>3589</v>
      </c>
      <c r="H1657" s="116"/>
      <c r="I1657" s="116"/>
      <c r="L1657" s="170">
        <v>45320</v>
      </c>
      <c r="M1657" s="116">
        <v>765.4</v>
      </c>
      <c r="N1657" s="116">
        <v>777.95</v>
      </c>
      <c r="O1657" s="116">
        <v>741.45</v>
      </c>
      <c r="P1657" s="116">
        <v>743.45</v>
      </c>
      <c r="Q1657" s="116">
        <v>765.4</v>
      </c>
      <c r="R1657">
        <v>106502</v>
      </c>
    </row>
    <row r="1658" spans="1:18" x14ac:dyDescent="0.25">
      <c r="A1658" s="170">
        <v>45321</v>
      </c>
      <c r="B1658" s="116">
        <v>770.2</v>
      </c>
      <c r="C1658" s="116">
        <v>761</v>
      </c>
      <c r="D1658" s="116">
        <v>756.95</v>
      </c>
      <c r="E1658" s="116">
        <v>770.2</v>
      </c>
      <c r="F1658" s="116">
        <v>761</v>
      </c>
      <c r="G1658">
        <v>4130</v>
      </c>
      <c r="H1658" s="116"/>
      <c r="I1658" s="116"/>
      <c r="L1658" s="170">
        <v>45321</v>
      </c>
      <c r="M1658" s="116">
        <v>760.6</v>
      </c>
      <c r="N1658" s="116">
        <v>769.3</v>
      </c>
      <c r="O1658" s="116">
        <v>748.1</v>
      </c>
      <c r="P1658" s="116">
        <v>769.25</v>
      </c>
      <c r="Q1658" s="116">
        <v>760.6</v>
      </c>
      <c r="R1658">
        <v>54122</v>
      </c>
    </row>
    <row r="1659" spans="1:18" x14ac:dyDescent="0.25">
      <c r="A1659" s="170">
        <v>45322</v>
      </c>
      <c r="B1659" s="116">
        <v>766.15</v>
      </c>
      <c r="C1659" s="116">
        <v>748.6</v>
      </c>
      <c r="D1659" s="116">
        <v>744.8</v>
      </c>
      <c r="E1659" s="116">
        <v>766.15</v>
      </c>
      <c r="F1659" s="116">
        <v>748.6</v>
      </c>
      <c r="G1659">
        <v>9570</v>
      </c>
      <c r="H1659" s="116"/>
      <c r="I1659" s="116"/>
      <c r="L1659" s="170">
        <v>45322</v>
      </c>
      <c r="M1659" s="116">
        <v>749.45</v>
      </c>
      <c r="N1659" s="116">
        <v>763.95</v>
      </c>
      <c r="O1659" s="116">
        <v>745.45</v>
      </c>
      <c r="P1659" s="116">
        <v>760.05</v>
      </c>
      <c r="Q1659" s="116">
        <v>749.45</v>
      </c>
      <c r="R1659">
        <v>85128</v>
      </c>
    </row>
    <row r="1660" spans="1:18" x14ac:dyDescent="0.25">
      <c r="A1660" s="170">
        <v>45323</v>
      </c>
      <c r="B1660" s="116">
        <v>773.4</v>
      </c>
      <c r="C1660" s="116">
        <v>760.4</v>
      </c>
      <c r="D1660" s="116">
        <v>749.8</v>
      </c>
      <c r="E1660" s="116">
        <v>750</v>
      </c>
      <c r="F1660" s="116">
        <v>760.4</v>
      </c>
      <c r="G1660">
        <v>5700</v>
      </c>
      <c r="H1660" s="116"/>
      <c r="I1660" s="116"/>
      <c r="L1660" s="170">
        <v>45323</v>
      </c>
      <c r="M1660" s="116">
        <v>759.75</v>
      </c>
      <c r="N1660" s="116">
        <v>772.35</v>
      </c>
      <c r="O1660" s="116">
        <v>750.05</v>
      </c>
      <c r="P1660" s="116">
        <v>750.15</v>
      </c>
      <c r="Q1660" s="116">
        <v>759.75</v>
      </c>
      <c r="R1660">
        <v>102095</v>
      </c>
    </row>
    <row r="1661" spans="1:18" x14ac:dyDescent="0.25">
      <c r="A1661" s="170">
        <v>45324</v>
      </c>
      <c r="B1661" s="116">
        <v>782.5</v>
      </c>
      <c r="C1661" s="116">
        <v>771.3</v>
      </c>
      <c r="D1661" s="116">
        <v>762.8</v>
      </c>
      <c r="E1661" s="116">
        <v>762.8</v>
      </c>
      <c r="F1661" s="116">
        <v>771.3</v>
      </c>
      <c r="G1661">
        <v>9798</v>
      </c>
      <c r="H1661" s="116"/>
      <c r="I1661" s="116"/>
      <c r="L1661" s="170">
        <v>45324</v>
      </c>
      <c r="M1661" s="116">
        <v>771.4</v>
      </c>
      <c r="N1661" s="116">
        <v>782.5</v>
      </c>
      <c r="O1661" s="116">
        <v>766</v>
      </c>
      <c r="P1661" s="116">
        <v>770</v>
      </c>
      <c r="Q1661" s="116">
        <v>771.4</v>
      </c>
      <c r="R1661">
        <v>136958</v>
      </c>
    </row>
    <row r="1662" spans="1:18" x14ac:dyDescent="0.25">
      <c r="A1662" s="170">
        <v>45327</v>
      </c>
      <c r="B1662" s="116">
        <v>780.85</v>
      </c>
      <c r="C1662" s="116">
        <v>763.15</v>
      </c>
      <c r="D1662" s="116">
        <v>761.05</v>
      </c>
      <c r="E1662" s="116">
        <v>775.55</v>
      </c>
      <c r="F1662" s="116">
        <v>763.15</v>
      </c>
      <c r="G1662">
        <v>4241</v>
      </c>
      <c r="H1662" s="116"/>
      <c r="I1662" s="116"/>
      <c r="L1662" s="170">
        <v>45327</v>
      </c>
      <c r="M1662" s="116">
        <v>764.4</v>
      </c>
      <c r="N1662" s="116">
        <v>779.5</v>
      </c>
      <c r="O1662" s="116">
        <v>760.8</v>
      </c>
      <c r="P1662" s="116">
        <v>777.7</v>
      </c>
      <c r="Q1662" s="116">
        <v>764.4</v>
      </c>
      <c r="R1662">
        <v>74273</v>
      </c>
    </row>
    <row r="1663" spans="1:18" x14ac:dyDescent="0.25">
      <c r="A1663" s="170">
        <v>45328</v>
      </c>
      <c r="B1663" s="116">
        <v>787.95</v>
      </c>
      <c r="C1663" s="116">
        <v>771.75</v>
      </c>
      <c r="D1663" s="116">
        <v>765.55</v>
      </c>
      <c r="E1663" s="116">
        <v>787.95</v>
      </c>
      <c r="F1663" s="116">
        <v>771.75</v>
      </c>
      <c r="G1663">
        <v>6035</v>
      </c>
      <c r="H1663" s="116"/>
      <c r="I1663" s="116"/>
      <c r="L1663" s="170">
        <v>45328</v>
      </c>
      <c r="M1663" s="116">
        <v>772.45</v>
      </c>
      <c r="N1663" s="116">
        <v>777.1</v>
      </c>
      <c r="O1663" s="116">
        <v>765.55</v>
      </c>
      <c r="P1663" s="116">
        <v>770.05</v>
      </c>
      <c r="Q1663" s="116">
        <v>772.45</v>
      </c>
      <c r="R1663">
        <v>70882</v>
      </c>
    </row>
    <row r="1664" spans="1:18" x14ac:dyDescent="0.25">
      <c r="A1664" s="170">
        <v>45329</v>
      </c>
      <c r="B1664" s="116">
        <v>783.25</v>
      </c>
      <c r="C1664" s="116">
        <v>777.65</v>
      </c>
      <c r="D1664" s="116">
        <v>771.05</v>
      </c>
      <c r="E1664" s="116">
        <v>779.75</v>
      </c>
      <c r="F1664" s="116">
        <v>777.65</v>
      </c>
      <c r="G1664">
        <v>3473</v>
      </c>
      <c r="H1664" s="116"/>
      <c r="I1664" s="116"/>
      <c r="L1664" s="170">
        <v>45329</v>
      </c>
      <c r="M1664" s="116">
        <v>777.75</v>
      </c>
      <c r="N1664" s="116">
        <v>782.4</v>
      </c>
      <c r="O1664" s="116">
        <v>771.1</v>
      </c>
      <c r="P1664" s="116">
        <v>778.2</v>
      </c>
      <c r="Q1664" s="116">
        <v>777.75</v>
      </c>
      <c r="R1664">
        <v>72332</v>
      </c>
    </row>
    <row r="1665" spans="1:18" x14ac:dyDescent="0.25">
      <c r="A1665" s="170">
        <v>45330</v>
      </c>
      <c r="B1665" s="116">
        <v>809.95</v>
      </c>
      <c r="C1665" s="116">
        <v>788.25</v>
      </c>
      <c r="D1665" s="116">
        <v>781</v>
      </c>
      <c r="E1665" s="116">
        <v>809.95</v>
      </c>
      <c r="F1665" s="116">
        <v>788.25</v>
      </c>
      <c r="G1665">
        <v>16235</v>
      </c>
      <c r="H1665" s="116"/>
      <c r="I1665" s="116"/>
      <c r="L1665" s="170">
        <v>45330</v>
      </c>
      <c r="M1665" s="116">
        <v>786.25</v>
      </c>
      <c r="N1665" s="116">
        <v>803.8</v>
      </c>
      <c r="O1665" s="116">
        <v>771.65</v>
      </c>
      <c r="P1665" s="116">
        <v>793.35</v>
      </c>
      <c r="Q1665" s="116">
        <v>786.25</v>
      </c>
      <c r="R1665">
        <v>224506</v>
      </c>
    </row>
    <row r="1666" spans="1:18" x14ac:dyDescent="0.25">
      <c r="A1666" s="170">
        <v>45331</v>
      </c>
      <c r="B1666" s="116">
        <v>799.7</v>
      </c>
      <c r="C1666" s="116">
        <v>738.05</v>
      </c>
      <c r="D1666" s="116">
        <v>729.25</v>
      </c>
      <c r="E1666" s="116">
        <v>780.15</v>
      </c>
      <c r="F1666" s="116">
        <v>738.05</v>
      </c>
      <c r="G1666">
        <v>29714</v>
      </c>
      <c r="H1666" s="116"/>
      <c r="I1666" s="116"/>
      <c r="L1666" s="170">
        <v>45331</v>
      </c>
      <c r="M1666" s="116">
        <v>736.85</v>
      </c>
      <c r="N1666" s="116">
        <v>798.7</v>
      </c>
      <c r="O1666" s="116">
        <v>728.75</v>
      </c>
      <c r="P1666" s="116">
        <v>790.55</v>
      </c>
      <c r="Q1666" s="116">
        <v>736.85</v>
      </c>
      <c r="R1666">
        <v>346716</v>
      </c>
    </row>
    <row r="1667" spans="1:18" x14ac:dyDescent="0.25">
      <c r="A1667" s="170">
        <v>45334</v>
      </c>
      <c r="B1667" s="116">
        <v>741.35</v>
      </c>
      <c r="C1667" s="116">
        <v>695.8</v>
      </c>
      <c r="D1667" s="116">
        <v>686.1</v>
      </c>
      <c r="E1667" s="116">
        <v>737.1</v>
      </c>
      <c r="F1667" s="116">
        <v>695.8</v>
      </c>
      <c r="G1667">
        <v>25004</v>
      </c>
      <c r="H1667" s="116"/>
      <c r="I1667" s="116"/>
      <c r="L1667" s="170">
        <v>45334</v>
      </c>
      <c r="M1667" s="116">
        <v>697.35</v>
      </c>
      <c r="N1667" s="116">
        <v>750</v>
      </c>
      <c r="O1667" s="116">
        <v>692.3</v>
      </c>
      <c r="P1667" s="116">
        <v>740</v>
      </c>
      <c r="Q1667" s="116">
        <v>697.35</v>
      </c>
      <c r="R1667">
        <v>228337</v>
      </c>
    </row>
    <row r="1668" spans="1:18" x14ac:dyDescent="0.25">
      <c r="A1668" s="170">
        <v>45335</v>
      </c>
      <c r="B1668" s="116">
        <v>724.55</v>
      </c>
      <c r="C1668" s="116">
        <v>704.15</v>
      </c>
      <c r="D1668" s="116">
        <v>678.95</v>
      </c>
      <c r="E1668" s="116">
        <v>724.55</v>
      </c>
      <c r="F1668" s="116">
        <v>704.15</v>
      </c>
      <c r="G1668">
        <v>5928</v>
      </c>
      <c r="H1668" s="116"/>
      <c r="I1668" s="116"/>
      <c r="L1668" s="170">
        <v>45335</v>
      </c>
      <c r="M1668" s="116">
        <v>706.4</v>
      </c>
      <c r="N1668" s="116">
        <v>712.05</v>
      </c>
      <c r="O1668" s="116">
        <v>677.7</v>
      </c>
      <c r="P1668" s="116">
        <v>710.3</v>
      </c>
      <c r="Q1668" s="116">
        <v>706.4</v>
      </c>
      <c r="R1668">
        <v>105272</v>
      </c>
    </row>
    <row r="1669" spans="1:18" x14ac:dyDescent="0.25">
      <c r="A1669" s="170">
        <v>45336</v>
      </c>
      <c r="B1669" s="116">
        <v>717.95</v>
      </c>
      <c r="C1669" s="116">
        <v>715.25</v>
      </c>
      <c r="D1669" s="116">
        <v>696.05</v>
      </c>
      <c r="E1669" s="116">
        <v>696.05</v>
      </c>
      <c r="F1669" s="116">
        <v>715.25</v>
      </c>
      <c r="G1669">
        <v>3599</v>
      </c>
      <c r="H1669" s="116"/>
      <c r="I1669" s="116"/>
      <c r="L1669" s="170">
        <v>45336</v>
      </c>
      <c r="M1669" s="116">
        <v>716.15</v>
      </c>
      <c r="N1669" s="116">
        <v>718.25</v>
      </c>
      <c r="O1669" s="116">
        <v>697.85</v>
      </c>
      <c r="P1669" s="116">
        <v>701</v>
      </c>
      <c r="Q1669" s="116">
        <v>716.15</v>
      </c>
      <c r="R1669">
        <v>59433</v>
      </c>
    </row>
    <row r="1670" spans="1:18" x14ac:dyDescent="0.25">
      <c r="A1670" s="170">
        <v>45337</v>
      </c>
      <c r="B1670" s="116">
        <v>746.5</v>
      </c>
      <c r="C1670" s="116">
        <v>731.25</v>
      </c>
      <c r="D1670" s="116">
        <v>720.75</v>
      </c>
      <c r="E1670" s="116">
        <v>725.95</v>
      </c>
      <c r="F1670" s="116">
        <v>731.25</v>
      </c>
      <c r="G1670">
        <v>11401</v>
      </c>
      <c r="H1670" s="116"/>
      <c r="I1670" s="116"/>
      <c r="L1670" s="170">
        <v>45337</v>
      </c>
      <c r="M1670" s="116">
        <v>730.95</v>
      </c>
      <c r="N1670" s="116">
        <v>748.15</v>
      </c>
      <c r="O1670" s="116">
        <v>719.5</v>
      </c>
      <c r="P1670" s="116">
        <v>725</v>
      </c>
      <c r="Q1670" s="116">
        <v>730.95</v>
      </c>
      <c r="R1670">
        <v>267294</v>
      </c>
    </row>
    <row r="1671" spans="1:18" x14ac:dyDescent="0.25">
      <c r="A1671" s="170">
        <v>45338</v>
      </c>
      <c r="B1671" s="116">
        <v>747.5</v>
      </c>
      <c r="C1671" s="116">
        <v>735.2</v>
      </c>
      <c r="D1671" s="116">
        <v>730.05</v>
      </c>
      <c r="E1671" s="116">
        <v>745.8</v>
      </c>
      <c r="F1671" s="116">
        <v>735.2</v>
      </c>
      <c r="G1671">
        <v>8130</v>
      </c>
      <c r="H1671" s="116"/>
      <c r="I1671" s="116"/>
      <c r="L1671" s="170">
        <v>45338</v>
      </c>
      <c r="M1671" s="116">
        <v>734.9</v>
      </c>
      <c r="N1671" s="116">
        <v>749.9</v>
      </c>
      <c r="O1671" s="116">
        <v>729.65</v>
      </c>
      <c r="P1671" s="116">
        <v>743.35</v>
      </c>
      <c r="Q1671" s="116">
        <v>734.9</v>
      </c>
      <c r="R1671">
        <v>91714</v>
      </c>
    </row>
    <row r="1672" spans="1:18" x14ac:dyDescent="0.25">
      <c r="A1672" s="170">
        <v>45341</v>
      </c>
      <c r="B1672" s="116">
        <v>743</v>
      </c>
      <c r="C1672" s="116">
        <v>710.25</v>
      </c>
      <c r="D1672" s="116">
        <v>708.5</v>
      </c>
      <c r="E1672" s="116">
        <v>739.7</v>
      </c>
      <c r="F1672" s="116">
        <v>710.25</v>
      </c>
      <c r="G1672">
        <v>16683</v>
      </c>
      <c r="H1672" s="116"/>
      <c r="I1672" s="116"/>
      <c r="L1672" s="170">
        <v>45341</v>
      </c>
      <c r="M1672" s="116">
        <v>710</v>
      </c>
      <c r="N1672" s="116">
        <v>744.9</v>
      </c>
      <c r="O1672" s="116">
        <v>707.7</v>
      </c>
      <c r="P1672" s="116">
        <v>742.9</v>
      </c>
      <c r="Q1672" s="116">
        <v>710</v>
      </c>
      <c r="R1672">
        <v>113028</v>
      </c>
    </row>
    <row r="1673" spans="1:18" x14ac:dyDescent="0.25">
      <c r="A1673" s="170">
        <v>45342</v>
      </c>
      <c r="B1673" s="116">
        <v>735.5</v>
      </c>
      <c r="C1673" s="116">
        <v>721.5</v>
      </c>
      <c r="D1673" s="116">
        <v>718.7</v>
      </c>
      <c r="E1673" s="116">
        <v>727.65</v>
      </c>
      <c r="F1673" s="116">
        <v>721.5</v>
      </c>
      <c r="G1673">
        <v>7579</v>
      </c>
      <c r="H1673" s="116"/>
      <c r="I1673" s="116"/>
      <c r="L1673" s="170">
        <v>45342</v>
      </c>
      <c r="M1673" s="116">
        <v>721.1</v>
      </c>
      <c r="N1673" s="116">
        <v>735.85</v>
      </c>
      <c r="O1673" s="116">
        <v>715</v>
      </c>
      <c r="P1673" s="116">
        <v>722</v>
      </c>
      <c r="Q1673" s="116">
        <v>721.1</v>
      </c>
      <c r="R1673">
        <v>139160</v>
      </c>
    </row>
    <row r="1674" spans="1:18" x14ac:dyDescent="0.25">
      <c r="A1674" s="170">
        <v>45343</v>
      </c>
      <c r="B1674" s="116">
        <v>729.95</v>
      </c>
      <c r="C1674" s="116">
        <v>709.55</v>
      </c>
      <c r="D1674" s="116">
        <v>705.55</v>
      </c>
      <c r="E1674" s="116">
        <v>729.95</v>
      </c>
      <c r="F1674" s="116">
        <v>709.55</v>
      </c>
      <c r="G1674">
        <v>7551</v>
      </c>
      <c r="H1674" s="116"/>
      <c r="I1674" s="116"/>
      <c r="L1674" s="170">
        <v>45343</v>
      </c>
      <c r="M1674" s="116">
        <v>709.05</v>
      </c>
      <c r="N1674" s="116">
        <v>729.95</v>
      </c>
      <c r="O1674" s="116">
        <v>704.9</v>
      </c>
      <c r="P1674" s="116">
        <v>725.9</v>
      </c>
      <c r="Q1674" s="116">
        <v>709.05</v>
      </c>
      <c r="R1674">
        <v>94887</v>
      </c>
    </row>
    <row r="1675" spans="1:18" x14ac:dyDescent="0.25">
      <c r="A1675" s="170">
        <v>45344</v>
      </c>
      <c r="B1675" s="116">
        <v>717.9</v>
      </c>
      <c r="C1675" s="116">
        <v>700.8</v>
      </c>
      <c r="D1675" s="116">
        <v>698</v>
      </c>
      <c r="E1675" s="116">
        <v>717.9</v>
      </c>
      <c r="F1675" s="116">
        <v>700.8</v>
      </c>
      <c r="G1675">
        <v>9980</v>
      </c>
      <c r="H1675" s="116"/>
      <c r="I1675" s="116"/>
      <c r="L1675" s="170">
        <v>45344</v>
      </c>
      <c r="M1675" s="116">
        <v>699.95</v>
      </c>
      <c r="N1675" s="116">
        <v>714.95</v>
      </c>
      <c r="O1675" s="116">
        <v>697.95</v>
      </c>
      <c r="P1675" s="116">
        <v>714.7</v>
      </c>
      <c r="Q1675" s="116">
        <v>699.95</v>
      </c>
      <c r="R1675">
        <v>111618</v>
      </c>
    </row>
    <row r="1676" spans="1:18" x14ac:dyDescent="0.25">
      <c r="A1676" s="170">
        <v>45345</v>
      </c>
      <c r="B1676" s="116">
        <v>709.15</v>
      </c>
      <c r="C1676" s="116">
        <v>699.55</v>
      </c>
      <c r="D1676" s="116">
        <v>695.55</v>
      </c>
      <c r="E1676" s="116">
        <v>702.5</v>
      </c>
      <c r="F1676" s="116">
        <v>699.55</v>
      </c>
      <c r="G1676">
        <v>8808</v>
      </c>
      <c r="H1676" s="116"/>
      <c r="I1676" s="116"/>
      <c r="L1676" s="170">
        <v>45345</v>
      </c>
      <c r="M1676" s="116">
        <v>699.8</v>
      </c>
      <c r="N1676" s="116">
        <v>708.4</v>
      </c>
      <c r="O1676" s="116">
        <v>696</v>
      </c>
      <c r="P1676" s="116">
        <v>703.4</v>
      </c>
      <c r="Q1676" s="116">
        <v>699.8</v>
      </c>
      <c r="R1676">
        <v>80323</v>
      </c>
    </row>
    <row r="1677" spans="1:18" x14ac:dyDescent="0.25">
      <c r="A1677" s="170">
        <v>45348</v>
      </c>
      <c r="B1677" s="116">
        <v>701.45</v>
      </c>
      <c r="C1677" s="116">
        <v>688.85</v>
      </c>
      <c r="D1677" s="116">
        <v>685</v>
      </c>
      <c r="E1677" s="116">
        <v>696.9</v>
      </c>
      <c r="F1677" s="116">
        <v>688.85</v>
      </c>
      <c r="G1677">
        <v>21298</v>
      </c>
      <c r="H1677" s="116"/>
      <c r="I1677" s="116"/>
      <c r="L1677" s="170">
        <v>45348</v>
      </c>
      <c r="M1677" s="116">
        <v>691.65</v>
      </c>
      <c r="N1677" s="116">
        <v>703.3</v>
      </c>
      <c r="O1677" s="116">
        <v>685.25</v>
      </c>
      <c r="P1677" s="116">
        <v>694.75</v>
      </c>
      <c r="Q1677" s="116">
        <v>691.65</v>
      </c>
      <c r="R1677">
        <v>90127</v>
      </c>
    </row>
    <row r="1678" spans="1:18" x14ac:dyDescent="0.25">
      <c r="A1678" s="170">
        <v>45349</v>
      </c>
      <c r="B1678" s="116">
        <v>700.35</v>
      </c>
      <c r="C1678" s="116">
        <v>691.55</v>
      </c>
      <c r="D1678" s="116">
        <v>688.2</v>
      </c>
      <c r="E1678" s="116">
        <v>696.25</v>
      </c>
      <c r="F1678" s="116">
        <v>691.55</v>
      </c>
      <c r="G1678">
        <v>2275</v>
      </c>
      <c r="H1678" s="116"/>
      <c r="I1678" s="116"/>
      <c r="L1678" s="170">
        <v>45349</v>
      </c>
      <c r="M1678" s="116">
        <v>691.95</v>
      </c>
      <c r="N1678" s="116">
        <v>700</v>
      </c>
      <c r="O1678" s="116">
        <v>686.85</v>
      </c>
      <c r="P1678" s="116">
        <v>692.9</v>
      </c>
      <c r="Q1678" s="116">
        <v>691.95</v>
      </c>
      <c r="R1678">
        <v>49547</v>
      </c>
    </row>
    <row r="1679" spans="1:18" x14ac:dyDescent="0.25">
      <c r="A1679" s="170">
        <v>45350</v>
      </c>
      <c r="B1679" s="116">
        <v>699</v>
      </c>
      <c r="C1679" s="116">
        <v>690.45</v>
      </c>
      <c r="D1679" s="116">
        <v>685.95</v>
      </c>
      <c r="E1679" s="116">
        <v>694.7</v>
      </c>
      <c r="F1679" s="116">
        <v>690.45</v>
      </c>
      <c r="G1679">
        <v>3444</v>
      </c>
      <c r="H1679" s="116"/>
      <c r="I1679" s="116"/>
      <c r="L1679" s="170">
        <v>45350</v>
      </c>
      <c r="M1679" s="116">
        <v>689.6</v>
      </c>
      <c r="N1679" s="116">
        <v>699.5</v>
      </c>
      <c r="O1679" s="116">
        <v>686.5</v>
      </c>
      <c r="P1679" s="116">
        <v>694.45</v>
      </c>
      <c r="Q1679" s="116">
        <v>689.6</v>
      </c>
      <c r="R1679">
        <v>57190</v>
      </c>
    </row>
    <row r="1680" spans="1:18" x14ac:dyDescent="0.25">
      <c r="A1680" s="170">
        <v>45351</v>
      </c>
      <c r="B1680" s="116">
        <v>695.6</v>
      </c>
      <c r="C1680" s="116">
        <v>691.3</v>
      </c>
      <c r="D1680" s="116">
        <v>686.3</v>
      </c>
      <c r="E1680" s="116">
        <v>692.65</v>
      </c>
      <c r="F1680" s="116">
        <v>691.3</v>
      </c>
      <c r="G1680">
        <v>5443</v>
      </c>
      <c r="H1680" s="116"/>
      <c r="I1680" s="116"/>
      <c r="L1680" s="170">
        <v>45351</v>
      </c>
      <c r="M1680" s="116">
        <v>692.25</v>
      </c>
      <c r="N1680" s="116">
        <v>695.05</v>
      </c>
      <c r="O1680" s="116">
        <v>687.05</v>
      </c>
      <c r="P1680" s="116">
        <v>691</v>
      </c>
      <c r="Q1680" s="116">
        <v>692.25</v>
      </c>
      <c r="R1680">
        <v>41378</v>
      </c>
    </row>
    <row r="1681" spans="1:18" x14ac:dyDescent="0.25">
      <c r="A1681" s="170">
        <v>45352</v>
      </c>
      <c r="B1681" s="116">
        <v>709.95</v>
      </c>
      <c r="C1681" s="116">
        <v>697.9</v>
      </c>
      <c r="D1681" s="116">
        <v>693.95</v>
      </c>
      <c r="E1681" s="116">
        <v>709.95</v>
      </c>
      <c r="F1681" s="116">
        <v>697.9</v>
      </c>
      <c r="G1681">
        <v>2436</v>
      </c>
      <c r="H1681" s="116"/>
      <c r="I1681" s="116"/>
      <c r="L1681" s="170">
        <v>45352</v>
      </c>
      <c r="M1681" s="116">
        <v>697.55</v>
      </c>
      <c r="N1681" s="116">
        <v>702</v>
      </c>
      <c r="O1681" s="116">
        <v>693.25</v>
      </c>
      <c r="P1681" s="116">
        <v>699</v>
      </c>
      <c r="Q1681" s="116">
        <v>697.55</v>
      </c>
      <c r="R1681">
        <v>33409</v>
      </c>
    </row>
    <row r="1682" spans="1:18" x14ac:dyDescent="0.25">
      <c r="A1682" s="170">
        <v>45353</v>
      </c>
      <c r="B1682" s="116">
        <v>713.2</v>
      </c>
      <c r="C1682" s="116">
        <v>711.3</v>
      </c>
      <c r="D1682" s="116">
        <v>693.65</v>
      </c>
      <c r="E1682" s="116">
        <v>702</v>
      </c>
      <c r="F1682" s="116">
        <v>711.3</v>
      </c>
      <c r="G1682">
        <v>3693</v>
      </c>
      <c r="H1682" s="116"/>
      <c r="I1682" s="116"/>
      <c r="L1682" s="170">
        <v>45353</v>
      </c>
      <c r="M1682" s="116">
        <v>711.8</v>
      </c>
      <c r="N1682" s="116">
        <v>716</v>
      </c>
      <c r="O1682" s="116">
        <v>696</v>
      </c>
      <c r="P1682" s="116">
        <v>702.45</v>
      </c>
      <c r="Q1682" s="116">
        <v>711.8</v>
      </c>
      <c r="R1682">
        <v>27957</v>
      </c>
    </row>
    <row r="1683" spans="1:18" x14ac:dyDescent="0.25">
      <c r="A1683" s="170">
        <v>45355</v>
      </c>
      <c r="B1683" s="116">
        <v>729.5</v>
      </c>
      <c r="C1683" s="116">
        <v>686.5</v>
      </c>
      <c r="D1683" s="116">
        <v>681.55</v>
      </c>
      <c r="E1683" s="116">
        <v>726.8</v>
      </c>
      <c r="F1683" s="116">
        <v>686.5</v>
      </c>
      <c r="G1683">
        <v>13047</v>
      </c>
      <c r="H1683" s="116"/>
      <c r="I1683" s="116"/>
      <c r="L1683" s="170">
        <v>45355</v>
      </c>
      <c r="M1683" s="116">
        <v>685.8</v>
      </c>
      <c r="N1683" s="116">
        <v>729.85</v>
      </c>
      <c r="O1683" s="116">
        <v>680.25</v>
      </c>
      <c r="P1683" s="116">
        <v>724.95</v>
      </c>
      <c r="Q1683" s="116">
        <v>685.8</v>
      </c>
      <c r="R1683">
        <v>336843</v>
      </c>
    </row>
    <row r="1684" spans="1:18" x14ac:dyDescent="0.25">
      <c r="A1684" s="170">
        <v>45356</v>
      </c>
      <c r="B1684" s="116">
        <v>707.95</v>
      </c>
      <c r="C1684" s="116">
        <v>676.15</v>
      </c>
      <c r="D1684" s="116">
        <v>674</v>
      </c>
      <c r="E1684" s="116">
        <v>707.95</v>
      </c>
      <c r="F1684" s="116">
        <v>676.15</v>
      </c>
      <c r="G1684">
        <v>12488</v>
      </c>
      <c r="H1684" s="116"/>
      <c r="I1684" s="116"/>
      <c r="L1684" s="170">
        <v>45356</v>
      </c>
      <c r="M1684" s="116">
        <v>676.5</v>
      </c>
      <c r="N1684" s="116">
        <v>694.7</v>
      </c>
      <c r="O1684" s="116">
        <v>674</v>
      </c>
      <c r="P1684" s="116">
        <v>688.15</v>
      </c>
      <c r="Q1684" s="116">
        <v>676.5</v>
      </c>
      <c r="R1684">
        <v>95569</v>
      </c>
    </row>
    <row r="1685" spans="1:18" x14ac:dyDescent="0.25">
      <c r="A1685" s="170">
        <v>45357</v>
      </c>
      <c r="B1685" s="116">
        <v>687.15</v>
      </c>
      <c r="C1685" s="116">
        <v>660.05</v>
      </c>
      <c r="D1685" s="116">
        <v>652.29999999999995</v>
      </c>
      <c r="E1685" s="116">
        <v>687.15</v>
      </c>
      <c r="F1685" s="116">
        <v>660.05</v>
      </c>
      <c r="G1685">
        <v>4400</v>
      </c>
      <c r="H1685" s="116"/>
      <c r="I1685" s="116"/>
      <c r="L1685" s="170">
        <v>45357</v>
      </c>
      <c r="M1685" s="116">
        <v>659.7</v>
      </c>
      <c r="N1685" s="116">
        <v>678.4</v>
      </c>
      <c r="O1685" s="116">
        <v>652.5</v>
      </c>
      <c r="P1685" s="116">
        <v>676.5</v>
      </c>
      <c r="Q1685" s="116">
        <v>659.7</v>
      </c>
      <c r="R1685">
        <v>124212</v>
      </c>
    </row>
    <row r="1686" spans="1:18" x14ac:dyDescent="0.25">
      <c r="A1686" s="170">
        <v>45358</v>
      </c>
      <c r="B1686" s="116">
        <v>679.85</v>
      </c>
      <c r="C1686" s="116">
        <v>666.75</v>
      </c>
      <c r="D1686" s="116">
        <v>660.1</v>
      </c>
      <c r="E1686" s="116">
        <v>660.1</v>
      </c>
      <c r="F1686" s="116">
        <v>666.75</v>
      </c>
      <c r="G1686">
        <v>15087</v>
      </c>
      <c r="H1686" s="116"/>
      <c r="I1686" s="116"/>
      <c r="L1686" s="170">
        <v>45358</v>
      </c>
      <c r="M1686" s="116">
        <v>665.6</v>
      </c>
      <c r="N1686" s="116">
        <v>680.65</v>
      </c>
      <c r="O1686" s="116">
        <v>661.25</v>
      </c>
      <c r="P1686" s="116">
        <v>665</v>
      </c>
      <c r="Q1686" s="116">
        <v>665.6</v>
      </c>
      <c r="R1686">
        <v>64017</v>
      </c>
    </row>
    <row r="1687" spans="1:18" x14ac:dyDescent="0.25">
      <c r="A1687" s="170">
        <v>45362</v>
      </c>
      <c r="B1687" s="116">
        <v>669</v>
      </c>
      <c r="C1687" s="116">
        <v>643.70000000000005</v>
      </c>
      <c r="D1687" s="116">
        <v>637.75</v>
      </c>
      <c r="E1687" s="116">
        <v>667.8</v>
      </c>
      <c r="F1687" s="116">
        <v>643.70000000000005</v>
      </c>
      <c r="G1687">
        <v>22089</v>
      </c>
      <c r="H1687" s="116"/>
      <c r="I1687" s="116"/>
      <c r="L1687" s="170">
        <v>45362</v>
      </c>
      <c r="M1687" s="116">
        <v>644.15</v>
      </c>
      <c r="N1687" s="116">
        <v>674</v>
      </c>
      <c r="O1687" s="116">
        <v>636.95000000000005</v>
      </c>
      <c r="P1687" s="116">
        <v>674</v>
      </c>
      <c r="Q1687" s="116">
        <v>644.15</v>
      </c>
      <c r="R1687">
        <v>228312</v>
      </c>
    </row>
    <row r="1688" spans="1:18" x14ac:dyDescent="0.25">
      <c r="A1688" s="170">
        <v>45363</v>
      </c>
      <c r="B1688" s="116">
        <v>659.95</v>
      </c>
      <c r="C1688" s="116">
        <v>626.85</v>
      </c>
      <c r="D1688" s="116">
        <v>621.70000000000005</v>
      </c>
      <c r="E1688" s="116">
        <v>659.1</v>
      </c>
      <c r="F1688" s="116">
        <v>626.85</v>
      </c>
      <c r="G1688">
        <v>10858</v>
      </c>
      <c r="H1688" s="116"/>
      <c r="I1688" s="116"/>
      <c r="L1688" s="170">
        <v>45363</v>
      </c>
      <c r="M1688" s="116">
        <v>626.20000000000005</v>
      </c>
      <c r="N1688" s="116">
        <v>659.95</v>
      </c>
      <c r="O1688" s="116">
        <v>622</v>
      </c>
      <c r="P1688" s="116">
        <v>659.95</v>
      </c>
      <c r="Q1688" s="116">
        <v>626.20000000000005</v>
      </c>
      <c r="R1688">
        <v>199381</v>
      </c>
    </row>
    <row r="1689" spans="1:18" x14ac:dyDescent="0.25">
      <c r="A1689" s="170">
        <v>45364</v>
      </c>
      <c r="B1689" s="116">
        <v>637.9</v>
      </c>
      <c r="C1689" s="116">
        <v>605.35</v>
      </c>
      <c r="D1689" s="116">
        <v>600</v>
      </c>
      <c r="E1689" s="116">
        <v>637.9</v>
      </c>
      <c r="F1689" s="116">
        <v>605.35</v>
      </c>
      <c r="G1689">
        <v>25996</v>
      </c>
      <c r="H1689" s="116"/>
      <c r="I1689" s="116"/>
      <c r="L1689" s="170">
        <v>45364</v>
      </c>
      <c r="M1689" s="116">
        <v>605.20000000000005</v>
      </c>
      <c r="N1689" s="116">
        <v>632.35</v>
      </c>
      <c r="O1689" s="116">
        <v>602.04999999999995</v>
      </c>
      <c r="P1689" s="116">
        <v>629.35</v>
      </c>
      <c r="Q1689" s="116">
        <v>605.20000000000005</v>
      </c>
      <c r="R1689">
        <v>137808</v>
      </c>
    </row>
    <row r="1690" spans="1:18" x14ac:dyDescent="0.25">
      <c r="A1690" s="170">
        <v>45365</v>
      </c>
      <c r="B1690" s="116">
        <v>618.6</v>
      </c>
      <c r="C1690" s="116">
        <v>614.45000000000005</v>
      </c>
      <c r="D1690" s="116">
        <v>600.9</v>
      </c>
      <c r="E1690" s="116">
        <v>601.04999999999995</v>
      </c>
      <c r="F1690" s="116">
        <v>614.45000000000005</v>
      </c>
      <c r="G1690">
        <v>21803</v>
      </c>
      <c r="H1690" s="116"/>
      <c r="I1690" s="116"/>
      <c r="L1690" s="170">
        <v>45365</v>
      </c>
      <c r="M1690" s="116">
        <v>614.25</v>
      </c>
      <c r="N1690" s="116">
        <v>618.29999999999995</v>
      </c>
      <c r="O1690" s="116">
        <v>599.9</v>
      </c>
      <c r="P1690" s="116">
        <v>608.25</v>
      </c>
      <c r="Q1690" s="116">
        <v>614.25</v>
      </c>
      <c r="R1690">
        <v>139004</v>
      </c>
    </row>
    <row r="1691" spans="1:18" x14ac:dyDescent="0.25">
      <c r="A1691" s="170">
        <v>45366</v>
      </c>
      <c r="B1691" s="116">
        <v>629.15</v>
      </c>
      <c r="C1691" s="116">
        <v>611.85</v>
      </c>
      <c r="D1691" s="116">
        <v>610</v>
      </c>
      <c r="E1691" s="116">
        <v>627.95000000000005</v>
      </c>
      <c r="F1691" s="116">
        <v>611.85</v>
      </c>
      <c r="G1691">
        <v>7329</v>
      </c>
      <c r="H1691" s="116"/>
      <c r="I1691" s="116"/>
      <c r="L1691" s="170">
        <v>45366</v>
      </c>
      <c r="M1691" s="116">
        <v>611.85</v>
      </c>
      <c r="N1691" s="116">
        <v>629.9</v>
      </c>
      <c r="O1691" s="116">
        <v>610</v>
      </c>
      <c r="P1691" s="116">
        <v>623</v>
      </c>
      <c r="Q1691" s="116">
        <v>611.85</v>
      </c>
      <c r="R1691">
        <v>58808</v>
      </c>
    </row>
    <row r="1692" spans="1:18" x14ac:dyDescent="0.25">
      <c r="A1692" s="170">
        <v>45369</v>
      </c>
      <c r="B1692" s="116">
        <v>619.9</v>
      </c>
      <c r="C1692" s="116">
        <v>612.70000000000005</v>
      </c>
      <c r="D1692" s="116">
        <v>607</v>
      </c>
      <c r="E1692" s="116">
        <v>614.6</v>
      </c>
      <c r="F1692" s="116">
        <v>612.70000000000005</v>
      </c>
      <c r="G1692">
        <v>8246</v>
      </c>
      <c r="H1692" s="116"/>
      <c r="I1692" s="116"/>
      <c r="L1692" s="170">
        <v>45369</v>
      </c>
      <c r="M1692" s="116">
        <v>613.25</v>
      </c>
      <c r="N1692" s="116">
        <v>619.9</v>
      </c>
      <c r="O1692" s="116">
        <v>607.29999999999995</v>
      </c>
      <c r="P1692" s="116">
        <v>611.9</v>
      </c>
      <c r="Q1692" s="116">
        <v>613.25</v>
      </c>
      <c r="R1692">
        <v>89326</v>
      </c>
    </row>
    <row r="1693" spans="1:18" x14ac:dyDescent="0.25">
      <c r="A1693" s="170">
        <v>45370</v>
      </c>
      <c r="B1693" s="116">
        <v>624</v>
      </c>
      <c r="C1693" s="116">
        <v>611.15</v>
      </c>
      <c r="D1693" s="116">
        <v>605.75</v>
      </c>
      <c r="E1693" s="116">
        <v>615</v>
      </c>
      <c r="F1693" s="116">
        <v>611.15</v>
      </c>
      <c r="G1693">
        <v>5540</v>
      </c>
      <c r="H1693" s="116"/>
      <c r="I1693" s="116"/>
      <c r="L1693" s="170">
        <v>45370</v>
      </c>
      <c r="M1693" s="116">
        <v>609.85</v>
      </c>
      <c r="N1693" s="116">
        <v>624.65</v>
      </c>
      <c r="O1693" s="116">
        <v>604.29999999999995</v>
      </c>
      <c r="P1693" s="116">
        <v>618.04999999999995</v>
      </c>
      <c r="Q1693" s="116">
        <v>609.85</v>
      </c>
      <c r="R1693">
        <v>58741</v>
      </c>
    </row>
    <row r="1694" spans="1:18" x14ac:dyDescent="0.25">
      <c r="A1694" s="170">
        <v>45371</v>
      </c>
      <c r="B1694" s="116">
        <v>616.35</v>
      </c>
      <c r="C1694" s="116">
        <v>607.29999999999995</v>
      </c>
      <c r="D1694" s="116">
        <v>598</v>
      </c>
      <c r="E1694" s="116">
        <v>604.04999999999995</v>
      </c>
      <c r="F1694" s="116">
        <v>607.29999999999995</v>
      </c>
      <c r="G1694">
        <v>18450</v>
      </c>
      <c r="H1694" s="116"/>
      <c r="I1694" s="116"/>
      <c r="L1694" s="170">
        <v>45371</v>
      </c>
      <c r="M1694" s="116">
        <v>606.6</v>
      </c>
      <c r="N1694" s="116">
        <v>617.95000000000005</v>
      </c>
      <c r="O1694" s="116">
        <v>600.25</v>
      </c>
      <c r="P1694" s="116">
        <v>612.9</v>
      </c>
      <c r="Q1694" s="116">
        <v>606.6</v>
      </c>
      <c r="R1694">
        <v>103408</v>
      </c>
    </row>
    <row r="1695" spans="1:18" x14ac:dyDescent="0.25">
      <c r="A1695" s="170">
        <v>45372</v>
      </c>
      <c r="B1695" s="116">
        <v>636.75</v>
      </c>
      <c r="C1695" s="116">
        <v>631</v>
      </c>
      <c r="D1695" s="116">
        <v>610.45000000000005</v>
      </c>
      <c r="E1695" s="116">
        <v>610.45000000000005</v>
      </c>
      <c r="F1695" s="116">
        <v>631</v>
      </c>
      <c r="G1695">
        <v>19549</v>
      </c>
      <c r="H1695" s="116"/>
      <c r="I1695" s="116"/>
      <c r="L1695" s="170">
        <v>45372</v>
      </c>
      <c r="M1695" s="116">
        <v>632.45000000000005</v>
      </c>
      <c r="N1695" s="116">
        <v>637.45000000000005</v>
      </c>
      <c r="O1695" s="116">
        <v>611.35</v>
      </c>
      <c r="P1695" s="116">
        <v>611.35</v>
      </c>
      <c r="Q1695" s="116">
        <v>632.45000000000005</v>
      </c>
      <c r="R1695">
        <v>84911</v>
      </c>
    </row>
    <row r="1696" spans="1:18" x14ac:dyDescent="0.25">
      <c r="A1696" s="170">
        <v>45373</v>
      </c>
      <c r="B1696" s="116">
        <v>658.4</v>
      </c>
      <c r="C1696" s="116">
        <v>657</v>
      </c>
      <c r="D1696" s="116">
        <v>623.04999999999995</v>
      </c>
      <c r="E1696" s="116">
        <v>623.04999999999995</v>
      </c>
      <c r="F1696" s="116">
        <v>657</v>
      </c>
      <c r="G1696">
        <v>5723</v>
      </c>
      <c r="H1696" s="116"/>
      <c r="I1696" s="116"/>
      <c r="L1696" s="170">
        <v>45373</v>
      </c>
      <c r="M1696" s="116">
        <v>655.85</v>
      </c>
      <c r="N1696" s="116">
        <v>661.55</v>
      </c>
      <c r="O1696" s="116">
        <v>624</v>
      </c>
      <c r="P1696" s="116">
        <v>632.45000000000005</v>
      </c>
      <c r="Q1696" s="116">
        <v>655.85</v>
      </c>
      <c r="R1696">
        <v>101148</v>
      </c>
    </row>
    <row r="1697" spans="1:18" x14ac:dyDescent="0.25">
      <c r="A1697" s="170">
        <v>45377</v>
      </c>
      <c r="B1697" s="116">
        <v>679.25</v>
      </c>
      <c r="C1697" s="116">
        <v>668.4</v>
      </c>
      <c r="D1697" s="116">
        <v>632.65</v>
      </c>
      <c r="E1697" s="116">
        <v>632.65</v>
      </c>
      <c r="F1697" s="116">
        <v>668.4</v>
      </c>
      <c r="G1697">
        <v>18462</v>
      </c>
      <c r="H1697" s="116"/>
      <c r="I1697" s="116"/>
      <c r="L1697" s="170">
        <v>45377</v>
      </c>
      <c r="M1697" s="116">
        <v>667.05</v>
      </c>
      <c r="N1697" s="116">
        <v>680</v>
      </c>
      <c r="O1697" s="116">
        <v>650.20000000000005</v>
      </c>
      <c r="P1697" s="116">
        <v>659.95</v>
      </c>
      <c r="Q1697" s="116">
        <v>667.05</v>
      </c>
      <c r="R1697">
        <v>145278</v>
      </c>
    </row>
    <row r="1698" spans="1:18" x14ac:dyDescent="0.25">
      <c r="A1698" s="170">
        <v>45378</v>
      </c>
      <c r="B1698" s="116">
        <v>679.25</v>
      </c>
      <c r="C1698" s="116">
        <v>673.65</v>
      </c>
      <c r="D1698" s="116">
        <v>669.65</v>
      </c>
      <c r="E1698" s="116">
        <v>674.05</v>
      </c>
      <c r="F1698" s="116">
        <v>673.65</v>
      </c>
      <c r="G1698">
        <v>18597</v>
      </c>
      <c r="H1698" s="116"/>
      <c r="I1698" s="116"/>
      <c r="L1698" s="170">
        <v>45378</v>
      </c>
      <c r="M1698" s="116">
        <v>673.5</v>
      </c>
      <c r="N1698" s="116">
        <v>679</v>
      </c>
      <c r="O1698" s="116">
        <v>667.1</v>
      </c>
      <c r="P1698" s="116">
        <v>667.1</v>
      </c>
      <c r="Q1698" s="116">
        <v>673.5</v>
      </c>
      <c r="R1698">
        <v>112162</v>
      </c>
    </row>
    <row r="1699" spans="1:18" x14ac:dyDescent="0.25">
      <c r="A1699" s="170">
        <v>45379</v>
      </c>
      <c r="B1699" s="116">
        <v>690.95</v>
      </c>
      <c r="C1699" s="116">
        <v>686.1</v>
      </c>
      <c r="D1699" s="116">
        <v>675.25</v>
      </c>
      <c r="E1699" s="116">
        <v>675.25</v>
      </c>
      <c r="F1699" s="116">
        <v>686.1</v>
      </c>
      <c r="G1699">
        <v>118540</v>
      </c>
      <c r="H1699" s="116"/>
      <c r="I1699" s="116"/>
      <c r="L1699" s="170">
        <v>45379</v>
      </c>
      <c r="M1699" s="116">
        <v>687.9</v>
      </c>
      <c r="N1699" s="116">
        <v>691.2</v>
      </c>
      <c r="O1699" s="116">
        <v>675</v>
      </c>
      <c r="P1699" s="116">
        <v>676.9</v>
      </c>
      <c r="Q1699" s="116">
        <v>687.9</v>
      </c>
      <c r="R1699">
        <v>207513</v>
      </c>
    </row>
    <row r="1700" spans="1:18" x14ac:dyDescent="0.25">
      <c r="A1700" s="170">
        <v>45383</v>
      </c>
      <c r="B1700" s="116">
        <v>719</v>
      </c>
      <c r="C1700" s="116">
        <v>714.6</v>
      </c>
      <c r="D1700" s="116">
        <v>687.35</v>
      </c>
      <c r="E1700" s="116">
        <v>687.35</v>
      </c>
      <c r="F1700" s="116">
        <v>714.6</v>
      </c>
      <c r="G1700">
        <v>10930</v>
      </c>
      <c r="H1700" s="116"/>
      <c r="I1700" s="116"/>
      <c r="L1700" s="170">
        <v>45383</v>
      </c>
      <c r="M1700" s="116">
        <v>713.55</v>
      </c>
      <c r="N1700" s="116">
        <v>720</v>
      </c>
      <c r="O1700" s="116">
        <v>686.55</v>
      </c>
      <c r="P1700" s="116">
        <v>686.55</v>
      </c>
      <c r="Q1700" s="116">
        <v>713.55</v>
      </c>
      <c r="R1700">
        <v>203144</v>
      </c>
    </row>
    <row r="1701" spans="1:18" x14ac:dyDescent="0.25">
      <c r="A1701" s="170">
        <v>45384</v>
      </c>
      <c r="B1701" s="116">
        <v>731.15</v>
      </c>
      <c r="C1701" s="116">
        <v>722.55</v>
      </c>
      <c r="D1701" s="116">
        <v>709.25</v>
      </c>
      <c r="E1701" s="116">
        <v>712.95</v>
      </c>
      <c r="F1701" s="116">
        <v>722.55</v>
      </c>
      <c r="G1701">
        <v>16538</v>
      </c>
      <c r="H1701" s="116"/>
      <c r="I1701" s="116"/>
      <c r="L1701" s="170">
        <v>45384</v>
      </c>
      <c r="M1701" s="116">
        <v>723.4</v>
      </c>
      <c r="N1701" s="116">
        <v>731.3</v>
      </c>
      <c r="O1701" s="116">
        <v>709.05</v>
      </c>
      <c r="P1701" s="116">
        <v>712.6</v>
      </c>
      <c r="Q1701" s="116">
        <v>723.4</v>
      </c>
      <c r="R1701">
        <v>138481</v>
      </c>
    </row>
    <row r="1702" spans="1:18" x14ac:dyDescent="0.25">
      <c r="A1702" s="170">
        <v>45385</v>
      </c>
      <c r="B1702" s="116">
        <v>738.35</v>
      </c>
      <c r="C1702" s="116">
        <v>736.35</v>
      </c>
      <c r="D1702" s="116">
        <v>720</v>
      </c>
      <c r="E1702" s="116">
        <v>732.85</v>
      </c>
      <c r="F1702" s="116">
        <v>736.35</v>
      </c>
      <c r="G1702">
        <v>3430</v>
      </c>
      <c r="H1702" s="116"/>
      <c r="I1702" s="116"/>
      <c r="L1702" s="170">
        <v>45385</v>
      </c>
      <c r="M1702" s="116">
        <v>737.15</v>
      </c>
      <c r="N1702" s="116">
        <v>738.5</v>
      </c>
      <c r="O1702" s="116">
        <v>719.95</v>
      </c>
      <c r="P1702" s="116">
        <v>720.05</v>
      </c>
      <c r="Q1702" s="116">
        <v>737.15</v>
      </c>
      <c r="R1702">
        <v>69034</v>
      </c>
    </row>
    <row r="1703" spans="1:18" x14ac:dyDescent="0.25">
      <c r="A1703" s="170">
        <v>45386</v>
      </c>
      <c r="B1703" s="116">
        <v>742.95</v>
      </c>
      <c r="C1703" s="116">
        <v>730.8</v>
      </c>
      <c r="D1703" s="116">
        <v>726.05</v>
      </c>
      <c r="E1703" s="116">
        <v>742.95</v>
      </c>
      <c r="F1703" s="116">
        <v>730.8</v>
      </c>
      <c r="G1703">
        <v>5893</v>
      </c>
      <c r="H1703" s="116"/>
      <c r="I1703" s="116"/>
      <c r="L1703" s="170">
        <v>45386</v>
      </c>
      <c r="M1703" s="116">
        <v>730.6</v>
      </c>
      <c r="N1703" s="116">
        <v>741.2</v>
      </c>
      <c r="O1703" s="116">
        <v>726.1</v>
      </c>
      <c r="P1703" s="116">
        <v>740.9</v>
      </c>
      <c r="Q1703" s="116">
        <v>730.6</v>
      </c>
      <c r="R1703">
        <v>84941</v>
      </c>
    </row>
    <row r="1704" spans="1:18" x14ac:dyDescent="0.25">
      <c r="A1704" s="170">
        <v>45387</v>
      </c>
      <c r="B1704" s="116">
        <v>735.1</v>
      </c>
      <c r="C1704" s="116">
        <v>728.95</v>
      </c>
      <c r="D1704" s="116">
        <v>717.6</v>
      </c>
      <c r="E1704" s="116">
        <v>731.15</v>
      </c>
      <c r="F1704" s="116">
        <v>728.95</v>
      </c>
      <c r="G1704">
        <v>5191</v>
      </c>
      <c r="H1704" s="116"/>
      <c r="I1704" s="116"/>
      <c r="L1704" s="170">
        <v>45387</v>
      </c>
      <c r="M1704" s="116">
        <v>729.7</v>
      </c>
      <c r="N1704" s="116">
        <v>735.95</v>
      </c>
      <c r="O1704" s="116">
        <v>722.55</v>
      </c>
      <c r="P1704" s="116">
        <v>731.9</v>
      </c>
      <c r="Q1704" s="116">
        <v>729.7</v>
      </c>
      <c r="R1704">
        <v>82257</v>
      </c>
    </row>
    <row r="1705" spans="1:18" x14ac:dyDescent="0.25">
      <c r="A1705" s="170">
        <v>45390</v>
      </c>
      <c r="B1705" s="116">
        <v>738.95</v>
      </c>
      <c r="C1705" s="116">
        <v>731.9</v>
      </c>
      <c r="D1705" s="116">
        <v>725.25</v>
      </c>
      <c r="E1705" s="116">
        <v>738.95</v>
      </c>
      <c r="F1705" s="116">
        <v>731.9</v>
      </c>
      <c r="G1705">
        <v>3713</v>
      </c>
      <c r="H1705" s="116"/>
      <c r="I1705" s="116"/>
      <c r="L1705" s="170">
        <v>45390</v>
      </c>
      <c r="M1705" s="116">
        <v>731.9</v>
      </c>
      <c r="N1705" s="116">
        <v>739</v>
      </c>
      <c r="O1705" s="116">
        <v>725</v>
      </c>
      <c r="P1705" s="116">
        <v>735</v>
      </c>
      <c r="Q1705" s="116">
        <v>731.9</v>
      </c>
      <c r="R1705">
        <v>65001</v>
      </c>
    </row>
    <row r="1706" spans="1:18" x14ac:dyDescent="0.25">
      <c r="A1706" s="170">
        <v>45391</v>
      </c>
      <c r="B1706" s="116">
        <v>744</v>
      </c>
      <c r="C1706" s="116">
        <v>728.9</v>
      </c>
      <c r="D1706" s="116">
        <v>719.25</v>
      </c>
      <c r="E1706" s="116">
        <v>719.25</v>
      </c>
      <c r="F1706" s="116">
        <v>728.9</v>
      </c>
      <c r="G1706">
        <v>7610</v>
      </c>
      <c r="H1706" s="116"/>
      <c r="I1706" s="116"/>
      <c r="L1706" s="170">
        <v>45391</v>
      </c>
      <c r="M1706" s="116">
        <v>727.85</v>
      </c>
      <c r="N1706" s="116">
        <v>744.9</v>
      </c>
      <c r="O1706" s="116">
        <v>723.05</v>
      </c>
      <c r="P1706" s="116">
        <v>737.35</v>
      </c>
      <c r="Q1706" s="116">
        <v>727.85</v>
      </c>
      <c r="R1706">
        <v>68620</v>
      </c>
    </row>
    <row r="1707" spans="1:18" x14ac:dyDescent="0.25">
      <c r="A1707" s="170">
        <v>45392</v>
      </c>
      <c r="B1707" s="116">
        <v>730.1</v>
      </c>
      <c r="C1707" s="116">
        <v>726.5</v>
      </c>
      <c r="D1707" s="116">
        <v>720.2</v>
      </c>
      <c r="E1707" s="116">
        <v>729.1</v>
      </c>
      <c r="F1707" s="116">
        <v>726.5</v>
      </c>
      <c r="G1707">
        <v>7209</v>
      </c>
      <c r="H1707" s="116"/>
      <c r="I1707" s="116"/>
      <c r="L1707" s="170">
        <v>45392</v>
      </c>
      <c r="M1707" s="116">
        <v>726.15</v>
      </c>
      <c r="N1707" s="116">
        <v>731.5</v>
      </c>
      <c r="O1707" s="116">
        <v>720.05</v>
      </c>
      <c r="P1707" s="116">
        <v>729.95</v>
      </c>
      <c r="Q1707" s="116">
        <v>726.15</v>
      </c>
      <c r="R1707">
        <v>36554</v>
      </c>
    </row>
    <row r="1708" spans="1:18" x14ac:dyDescent="0.25">
      <c r="A1708" s="170">
        <v>45394</v>
      </c>
      <c r="B1708" s="116">
        <v>694</v>
      </c>
      <c r="C1708" s="116">
        <v>673.15</v>
      </c>
      <c r="D1708" s="116">
        <v>652.70000000000005</v>
      </c>
      <c r="E1708" s="116">
        <v>692.4</v>
      </c>
      <c r="F1708" s="116">
        <v>673.15</v>
      </c>
      <c r="G1708">
        <v>55610</v>
      </c>
      <c r="H1708" s="116"/>
      <c r="I1708" s="116"/>
      <c r="L1708" s="170">
        <v>45394</v>
      </c>
      <c r="M1708" s="116">
        <v>673.4</v>
      </c>
      <c r="N1708" s="116">
        <v>690</v>
      </c>
      <c r="O1708" s="116">
        <v>652.6</v>
      </c>
      <c r="P1708" s="116">
        <v>690</v>
      </c>
      <c r="Q1708" s="116">
        <v>673.4</v>
      </c>
      <c r="R1708">
        <v>667002</v>
      </c>
    </row>
    <row r="1709" spans="1:18" x14ac:dyDescent="0.25">
      <c r="A1709" s="170">
        <v>45397</v>
      </c>
      <c r="B1709" s="116">
        <v>665</v>
      </c>
      <c r="C1709" s="116">
        <v>646.29999999999995</v>
      </c>
      <c r="D1709" s="116">
        <v>639.45000000000005</v>
      </c>
      <c r="E1709" s="116">
        <v>662.8</v>
      </c>
      <c r="F1709" s="116">
        <v>646.29999999999995</v>
      </c>
      <c r="G1709">
        <v>12423</v>
      </c>
      <c r="H1709" s="116"/>
      <c r="I1709" s="116"/>
      <c r="L1709" s="170">
        <v>45397</v>
      </c>
      <c r="M1709" s="116">
        <v>645.4</v>
      </c>
      <c r="N1709" s="116">
        <v>666.7</v>
      </c>
      <c r="O1709" s="116">
        <v>640</v>
      </c>
      <c r="P1709" s="116">
        <v>666.7</v>
      </c>
      <c r="Q1709" s="116">
        <v>645.4</v>
      </c>
      <c r="R1709">
        <v>332039</v>
      </c>
    </row>
    <row r="1710" spans="1:18" x14ac:dyDescent="0.25">
      <c r="A1710" s="170">
        <v>45398</v>
      </c>
      <c r="B1710" s="116">
        <v>666.15</v>
      </c>
      <c r="C1710" s="116">
        <v>654.45000000000005</v>
      </c>
      <c r="D1710" s="116">
        <v>639.79999999999995</v>
      </c>
      <c r="E1710" s="116">
        <v>639.79999999999995</v>
      </c>
      <c r="F1710" s="116">
        <v>654.45000000000005</v>
      </c>
      <c r="G1710">
        <v>18752</v>
      </c>
      <c r="H1710" s="116"/>
      <c r="I1710" s="116"/>
      <c r="L1710" s="170">
        <v>45398</v>
      </c>
      <c r="M1710" s="116">
        <v>656.25</v>
      </c>
      <c r="N1710" s="116">
        <v>667.1</v>
      </c>
      <c r="O1710" s="116">
        <v>640</v>
      </c>
      <c r="P1710" s="116">
        <v>643.70000000000005</v>
      </c>
      <c r="Q1710" s="116">
        <v>656.25</v>
      </c>
      <c r="R1710">
        <v>134564</v>
      </c>
    </row>
    <row r="1711" spans="1:18" x14ac:dyDescent="0.25">
      <c r="A1711" s="170">
        <v>45400</v>
      </c>
      <c r="B1711" s="116">
        <v>692.3</v>
      </c>
      <c r="C1711" s="116">
        <v>674.15</v>
      </c>
      <c r="D1711" s="116">
        <v>660.5</v>
      </c>
      <c r="E1711" s="116">
        <v>666.05</v>
      </c>
      <c r="F1711" s="116">
        <v>674.15</v>
      </c>
      <c r="G1711">
        <v>19830</v>
      </c>
      <c r="H1711" s="116"/>
      <c r="I1711" s="116"/>
      <c r="L1711" s="170">
        <v>45400</v>
      </c>
      <c r="M1711" s="116">
        <v>673.4</v>
      </c>
      <c r="N1711" s="116">
        <v>692</v>
      </c>
      <c r="O1711" s="116">
        <v>658.05</v>
      </c>
      <c r="P1711" s="116">
        <v>658.05</v>
      </c>
      <c r="Q1711" s="116">
        <v>673.4</v>
      </c>
      <c r="R1711">
        <v>350616</v>
      </c>
    </row>
    <row r="1712" spans="1:18" x14ac:dyDescent="0.25">
      <c r="A1712" s="170">
        <v>45401</v>
      </c>
      <c r="B1712" s="116">
        <v>687.6</v>
      </c>
      <c r="C1712" s="116">
        <v>679.3</v>
      </c>
      <c r="D1712" s="116">
        <v>667.55</v>
      </c>
      <c r="E1712" s="116">
        <v>685.25</v>
      </c>
      <c r="F1712" s="116">
        <v>679.3</v>
      </c>
      <c r="G1712">
        <v>45962</v>
      </c>
      <c r="H1712" s="116"/>
      <c r="I1712" s="116"/>
      <c r="L1712" s="170">
        <v>45401</v>
      </c>
      <c r="M1712" s="116">
        <v>679.65</v>
      </c>
      <c r="N1712" s="116">
        <v>687</v>
      </c>
      <c r="O1712" s="116">
        <v>660.1</v>
      </c>
      <c r="P1712" s="116">
        <v>660.1</v>
      </c>
      <c r="Q1712" s="116">
        <v>679.65</v>
      </c>
      <c r="R1712">
        <v>234320</v>
      </c>
    </row>
    <row r="1713" spans="1:18" x14ac:dyDescent="0.25">
      <c r="A1713" s="170">
        <v>45404</v>
      </c>
      <c r="B1713" s="116">
        <v>708</v>
      </c>
      <c r="C1713" s="116">
        <v>691.25</v>
      </c>
      <c r="D1713" s="116">
        <v>684.6</v>
      </c>
      <c r="E1713" s="116">
        <v>699.2</v>
      </c>
      <c r="F1713" s="116">
        <v>691.25</v>
      </c>
      <c r="G1713">
        <v>28884</v>
      </c>
      <c r="H1713" s="116"/>
      <c r="I1713" s="116"/>
      <c r="L1713" s="170">
        <v>45404</v>
      </c>
      <c r="M1713" s="116">
        <v>689.25</v>
      </c>
      <c r="N1713" s="116">
        <v>709</v>
      </c>
      <c r="O1713" s="116">
        <v>678.05</v>
      </c>
      <c r="P1713" s="116">
        <v>700</v>
      </c>
      <c r="Q1713" s="116">
        <v>689.25</v>
      </c>
      <c r="R1713">
        <v>475920</v>
      </c>
    </row>
    <row r="1714" spans="1:18" x14ac:dyDescent="0.25">
      <c r="A1714" s="170">
        <v>45405</v>
      </c>
      <c r="B1714" s="116">
        <v>719.4</v>
      </c>
      <c r="C1714" s="116">
        <v>698.2</v>
      </c>
      <c r="D1714" s="116">
        <v>696.05</v>
      </c>
      <c r="E1714" s="116">
        <v>696.15</v>
      </c>
      <c r="F1714" s="116">
        <v>698.2</v>
      </c>
      <c r="G1714">
        <v>37719</v>
      </c>
      <c r="H1714" s="116"/>
      <c r="I1714" s="116"/>
      <c r="L1714" s="170">
        <v>45405</v>
      </c>
      <c r="M1714" s="116">
        <v>697.55</v>
      </c>
      <c r="N1714" s="116">
        <v>719.85</v>
      </c>
      <c r="O1714" s="116">
        <v>696</v>
      </c>
      <c r="P1714" s="116">
        <v>698</v>
      </c>
      <c r="Q1714" s="116">
        <v>697.55</v>
      </c>
      <c r="R1714">
        <v>590222</v>
      </c>
    </row>
    <row r="1715" spans="1:18" x14ac:dyDescent="0.25">
      <c r="A1715" s="170">
        <v>45406</v>
      </c>
      <c r="B1715" s="116">
        <v>708.05</v>
      </c>
      <c r="C1715" s="116">
        <v>694.55</v>
      </c>
      <c r="D1715" s="116">
        <v>693.5</v>
      </c>
      <c r="E1715" s="116">
        <v>708.05</v>
      </c>
      <c r="F1715" s="116">
        <v>694.55</v>
      </c>
      <c r="G1715">
        <v>10464</v>
      </c>
      <c r="H1715" s="116"/>
      <c r="I1715" s="116"/>
      <c r="L1715" s="170">
        <v>45406</v>
      </c>
      <c r="M1715" s="116">
        <v>695.15</v>
      </c>
      <c r="N1715" s="116">
        <v>708</v>
      </c>
      <c r="O1715" s="116">
        <v>693.2</v>
      </c>
      <c r="P1715" s="116">
        <v>703.05</v>
      </c>
      <c r="Q1715" s="116">
        <v>695.15</v>
      </c>
      <c r="R1715">
        <v>75778</v>
      </c>
    </row>
    <row r="1716" spans="1:18" x14ac:dyDescent="0.25">
      <c r="A1716" s="170">
        <v>45407</v>
      </c>
      <c r="B1716" s="116">
        <v>700.1</v>
      </c>
      <c r="C1716" s="116">
        <v>693.05</v>
      </c>
      <c r="D1716" s="116">
        <v>684.15</v>
      </c>
      <c r="E1716" s="116">
        <v>692.25</v>
      </c>
      <c r="F1716" s="116">
        <v>693.05</v>
      </c>
      <c r="G1716">
        <v>10858</v>
      </c>
      <c r="H1716" s="116"/>
      <c r="I1716" s="116"/>
      <c r="L1716" s="170">
        <v>45407</v>
      </c>
      <c r="M1716" s="116">
        <v>695.25</v>
      </c>
      <c r="N1716" s="116">
        <v>700.8</v>
      </c>
      <c r="O1716" s="116">
        <v>684.4</v>
      </c>
      <c r="P1716" s="116">
        <v>697.7</v>
      </c>
      <c r="Q1716" s="116">
        <v>695.25</v>
      </c>
      <c r="R1716">
        <v>201455</v>
      </c>
    </row>
    <row r="1717" spans="1:18" x14ac:dyDescent="0.25">
      <c r="A1717" s="170">
        <v>45408</v>
      </c>
      <c r="B1717" s="116">
        <v>715.5</v>
      </c>
      <c r="C1717" s="116">
        <v>681.6</v>
      </c>
      <c r="D1717" s="116">
        <v>676.55</v>
      </c>
      <c r="E1717" s="116">
        <v>701.45</v>
      </c>
      <c r="F1717" s="116">
        <v>681.6</v>
      </c>
      <c r="G1717">
        <v>11714</v>
      </c>
      <c r="H1717" s="116"/>
      <c r="I1717" s="116"/>
      <c r="L1717" s="170">
        <v>45408</v>
      </c>
      <c r="M1717" s="116">
        <v>682</v>
      </c>
      <c r="N1717" s="116">
        <v>715</v>
      </c>
      <c r="O1717" s="116">
        <v>676.35</v>
      </c>
      <c r="P1717" s="116">
        <v>699.9</v>
      </c>
      <c r="Q1717" s="116">
        <v>682</v>
      </c>
      <c r="R1717">
        <v>280741</v>
      </c>
    </row>
    <row r="1718" spans="1:18" x14ac:dyDescent="0.25">
      <c r="A1718" s="170">
        <v>45411</v>
      </c>
      <c r="B1718" s="116">
        <v>683.55</v>
      </c>
      <c r="C1718" s="116">
        <v>675.35</v>
      </c>
      <c r="D1718" s="116">
        <v>673</v>
      </c>
      <c r="E1718" s="116">
        <v>682.45</v>
      </c>
      <c r="F1718" s="116">
        <v>675.35</v>
      </c>
      <c r="G1718">
        <v>3638</v>
      </c>
      <c r="H1718" s="116"/>
      <c r="I1718" s="116"/>
      <c r="L1718" s="170">
        <v>45411</v>
      </c>
      <c r="M1718" s="116">
        <v>675.05</v>
      </c>
      <c r="N1718" s="116">
        <v>685.35</v>
      </c>
      <c r="O1718" s="116">
        <v>672.5</v>
      </c>
      <c r="P1718" s="116">
        <v>683.2</v>
      </c>
      <c r="Q1718" s="116">
        <v>675.05</v>
      </c>
      <c r="R1718">
        <v>73971</v>
      </c>
    </row>
    <row r="1719" spans="1:18" x14ac:dyDescent="0.25">
      <c r="A1719" s="170">
        <v>45412</v>
      </c>
      <c r="B1719" s="116">
        <v>679.95</v>
      </c>
      <c r="C1719" s="116">
        <v>675.05</v>
      </c>
      <c r="D1719" s="116">
        <v>670.85</v>
      </c>
      <c r="E1719" s="116">
        <v>678.7</v>
      </c>
      <c r="F1719" s="116">
        <v>675.05</v>
      </c>
      <c r="G1719">
        <v>12299</v>
      </c>
      <c r="H1719" s="116"/>
      <c r="I1719" s="116"/>
      <c r="L1719" s="170">
        <v>45412</v>
      </c>
      <c r="M1719" s="116">
        <v>675.1</v>
      </c>
      <c r="N1719" s="116">
        <v>679.95</v>
      </c>
      <c r="O1719" s="116">
        <v>671</v>
      </c>
      <c r="P1719" s="116">
        <v>679.7</v>
      </c>
      <c r="Q1719" s="116">
        <v>675.1</v>
      </c>
      <c r="R1719">
        <v>247357</v>
      </c>
    </row>
    <row r="1720" spans="1:18" x14ac:dyDescent="0.25">
      <c r="A1720" s="170">
        <v>45414</v>
      </c>
      <c r="B1720" s="116">
        <v>684.55</v>
      </c>
      <c r="C1720" s="116">
        <v>671.65</v>
      </c>
      <c r="D1720" s="116">
        <v>668</v>
      </c>
      <c r="E1720" s="116">
        <v>684.55</v>
      </c>
      <c r="F1720" s="116">
        <v>671.65</v>
      </c>
      <c r="G1720">
        <v>5191</v>
      </c>
      <c r="H1720" s="116"/>
      <c r="I1720" s="116"/>
      <c r="L1720" s="170">
        <v>45414</v>
      </c>
      <c r="M1720" s="116">
        <v>672.85</v>
      </c>
      <c r="N1720" s="116">
        <v>682.45</v>
      </c>
      <c r="O1720" s="116">
        <v>667.1</v>
      </c>
      <c r="P1720" s="116">
        <v>679</v>
      </c>
      <c r="Q1720" s="116">
        <v>672.85</v>
      </c>
      <c r="R1720">
        <v>59201</v>
      </c>
    </row>
    <row r="1721" spans="1:18" x14ac:dyDescent="0.25">
      <c r="A1721" s="170">
        <v>45415</v>
      </c>
      <c r="B1721" s="116">
        <v>682.7</v>
      </c>
      <c r="C1721" s="116">
        <v>675.6</v>
      </c>
      <c r="D1721" s="116">
        <v>665.85</v>
      </c>
      <c r="E1721" s="116">
        <v>665.85</v>
      </c>
      <c r="F1721" s="116">
        <v>675.6</v>
      </c>
      <c r="G1721">
        <v>5145</v>
      </c>
      <c r="H1721" s="116"/>
      <c r="I1721" s="116"/>
      <c r="L1721" s="170">
        <v>45415</v>
      </c>
      <c r="M1721" s="116">
        <v>672.9</v>
      </c>
      <c r="N1721" s="116">
        <v>681.45</v>
      </c>
      <c r="O1721" s="116">
        <v>667.8</v>
      </c>
      <c r="P1721" s="116">
        <v>674</v>
      </c>
      <c r="Q1721" s="116">
        <v>672.9</v>
      </c>
      <c r="R1721">
        <v>69980</v>
      </c>
    </row>
    <row r="1722" spans="1:18" x14ac:dyDescent="0.25">
      <c r="A1722" s="170">
        <v>45418</v>
      </c>
      <c r="B1722" s="116">
        <v>681.9</v>
      </c>
      <c r="C1722" s="116">
        <v>661.8</v>
      </c>
      <c r="D1722" s="116">
        <v>660.05</v>
      </c>
      <c r="E1722" s="116">
        <v>670.05</v>
      </c>
      <c r="F1722" s="116">
        <v>661.8</v>
      </c>
      <c r="G1722">
        <v>8740</v>
      </c>
      <c r="H1722" s="116"/>
      <c r="I1722" s="116"/>
      <c r="L1722" s="170">
        <v>45418</v>
      </c>
      <c r="M1722" s="116">
        <v>662.1</v>
      </c>
      <c r="N1722" s="116">
        <v>682.3</v>
      </c>
      <c r="O1722" s="116">
        <v>660</v>
      </c>
      <c r="P1722" s="116">
        <v>676.3</v>
      </c>
      <c r="Q1722" s="116">
        <v>662.1</v>
      </c>
      <c r="R1722">
        <v>87593</v>
      </c>
    </row>
    <row r="1723" spans="1:18" x14ac:dyDescent="0.25">
      <c r="A1723" s="170">
        <v>45419</v>
      </c>
      <c r="B1723" s="116">
        <v>662.75</v>
      </c>
      <c r="C1723" s="116">
        <v>654</v>
      </c>
      <c r="D1723" s="116">
        <v>652.75</v>
      </c>
      <c r="E1723" s="116">
        <v>661.35</v>
      </c>
      <c r="F1723" s="116">
        <v>654</v>
      </c>
      <c r="G1723">
        <v>2159</v>
      </c>
      <c r="H1723" s="116"/>
      <c r="I1723" s="116"/>
      <c r="L1723" s="170">
        <v>45419</v>
      </c>
      <c r="M1723" s="116">
        <v>655.1</v>
      </c>
      <c r="N1723" s="116">
        <v>665.45</v>
      </c>
      <c r="O1723" s="116">
        <v>652.65</v>
      </c>
      <c r="P1723" s="116">
        <v>662.05</v>
      </c>
      <c r="Q1723" s="116">
        <v>655.1</v>
      </c>
      <c r="R1723">
        <v>46438</v>
      </c>
    </row>
    <row r="1724" spans="1:18" x14ac:dyDescent="0.25">
      <c r="A1724" s="170">
        <v>45420</v>
      </c>
      <c r="B1724" s="116">
        <v>659.05</v>
      </c>
      <c r="C1724" s="116">
        <v>652.1</v>
      </c>
      <c r="D1724" s="116">
        <v>650</v>
      </c>
      <c r="E1724" s="116">
        <v>655.15</v>
      </c>
      <c r="F1724" s="116">
        <v>652.1</v>
      </c>
      <c r="G1724">
        <v>3397</v>
      </c>
      <c r="H1724" s="116"/>
      <c r="I1724" s="116"/>
      <c r="L1724" s="170">
        <v>45420</v>
      </c>
      <c r="M1724" s="116">
        <v>651.04999999999995</v>
      </c>
      <c r="N1724" s="116">
        <v>657.95</v>
      </c>
      <c r="O1724" s="116">
        <v>649.75</v>
      </c>
      <c r="P1724" s="116">
        <v>655.95</v>
      </c>
      <c r="Q1724" s="116">
        <v>651.04999999999995</v>
      </c>
      <c r="R1724">
        <v>40112</v>
      </c>
    </row>
    <row r="1725" spans="1:18" x14ac:dyDescent="0.25">
      <c r="A1725" s="170">
        <v>45421</v>
      </c>
      <c r="B1725" s="116">
        <v>652.54999999999995</v>
      </c>
      <c r="C1725" s="116">
        <v>638.85</v>
      </c>
      <c r="D1725" s="116">
        <v>635.1</v>
      </c>
      <c r="E1725" s="116">
        <v>652.54999999999995</v>
      </c>
      <c r="F1725" s="116">
        <v>638.85</v>
      </c>
      <c r="G1725">
        <v>6850</v>
      </c>
      <c r="H1725" s="116"/>
      <c r="I1725" s="116"/>
      <c r="L1725" s="170">
        <v>45421</v>
      </c>
      <c r="M1725" s="116">
        <v>638.5</v>
      </c>
      <c r="N1725" s="116">
        <v>652.4</v>
      </c>
      <c r="O1725" s="116">
        <v>635</v>
      </c>
      <c r="P1725" s="116">
        <v>651.04999999999995</v>
      </c>
      <c r="Q1725" s="116">
        <v>638.5</v>
      </c>
      <c r="R1725">
        <v>54887</v>
      </c>
    </row>
    <row r="1726" spans="1:18" x14ac:dyDescent="0.25">
      <c r="A1726" s="170">
        <v>45422</v>
      </c>
      <c r="B1726" s="116">
        <v>641.04999999999995</v>
      </c>
      <c r="C1726" s="116">
        <v>635.95000000000005</v>
      </c>
      <c r="D1726" s="116">
        <v>624.85</v>
      </c>
      <c r="E1726" s="116">
        <v>641.04999999999995</v>
      </c>
      <c r="F1726" s="116">
        <v>635.95000000000005</v>
      </c>
      <c r="G1726">
        <v>13637</v>
      </c>
      <c r="H1726" s="116"/>
      <c r="I1726" s="116"/>
      <c r="L1726" s="170">
        <v>45422</v>
      </c>
      <c r="M1726" s="116">
        <v>636.5</v>
      </c>
      <c r="N1726" s="116">
        <v>648</v>
      </c>
      <c r="O1726" s="116">
        <v>625</v>
      </c>
      <c r="P1726" s="116">
        <v>648</v>
      </c>
      <c r="Q1726" s="116">
        <v>636.5</v>
      </c>
      <c r="R1726">
        <v>82407</v>
      </c>
    </row>
    <row r="1727" spans="1:18" x14ac:dyDescent="0.25">
      <c r="A1727" s="170">
        <v>45425</v>
      </c>
      <c r="B1727" s="116">
        <v>641.54999999999995</v>
      </c>
      <c r="C1727" s="116">
        <v>634.9</v>
      </c>
      <c r="D1727" s="116">
        <v>631.79999999999995</v>
      </c>
      <c r="E1727" s="116">
        <v>636</v>
      </c>
      <c r="F1727" s="116">
        <v>634.9</v>
      </c>
      <c r="G1727">
        <v>1748</v>
      </c>
      <c r="H1727" s="116"/>
      <c r="I1727" s="116"/>
      <c r="L1727" s="170">
        <v>45425</v>
      </c>
      <c r="M1727" s="116">
        <v>635</v>
      </c>
      <c r="N1727" s="116">
        <v>644.45000000000005</v>
      </c>
      <c r="O1727" s="116">
        <v>630.54999999999995</v>
      </c>
      <c r="P1727" s="116">
        <v>636.75</v>
      </c>
      <c r="Q1727" s="116">
        <v>635</v>
      </c>
      <c r="R1727">
        <v>61090</v>
      </c>
    </row>
    <row r="1728" spans="1:18" x14ac:dyDescent="0.25">
      <c r="A1728" s="170">
        <v>45426</v>
      </c>
      <c r="B1728" s="116">
        <v>647.6</v>
      </c>
      <c r="C1728" s="116">
        <v>637.75</v>
      </c>
      <c r="D1728" s="116">
        <v>627.95000000000005</v>
      </c>
      <c r="E1728" s="116">
        <v>647.6</v>
      </c>
      <c r="F1728" s="116">
        <v>637.75</v>
      </c>
      <c r="G1728">
        <v>5170</v>
      </c>
      <c r="H1728" s="116"/>
      <c r="I1728" s="116"/>
      <c r="L1728" s="170">
        <v>45426</v>
      </c>
      <c r="M1728" s="116">
        <v>638</v>
      </c>
      <c r="N1728" s="116">
        <v>643.6</v>
      </c>
      <c r="O1728" s="116">
        <v>627</v>
      </c>
      <c r="P1728" s="116">
        <v>636.45000000000005</v>
      </c>
      <c r="Q1728" s="116">
        <v>638</v>
      </c>
      <c r="R1728">
        <v>64951</v>
      </c>
    </row>
    <row r="1729" spans="1:18" x14ac:dyDescent="0.25">
      <c r="A1729" s="170">
        <v>45427</v>
      </c>
      <c r="B1729" s="116">
        <v>657.35</v>
      </c>
      <c r="C1729" s="116">
        <v>647.65</v>
      </c>
      <c r="D1729" s="116">
        <v>642.45000000000005</v>
      </c>
      <c r="E1729" s="116">
        <v>642.45000000000005</v>
      </c>
      <c r="F1729" s="116">
        <v>647.65</v>
      </c>
      <c r="G1729">
        <v>4041</v>
      </c>
      <c r="H1729" s="116"/>
      <c r="I1729" s="116"/>
      <c r="L1729" s="170">
        <v>45427</v>
      </c>
      <c r="M1729" s="116">
        <v>648.6</v>
      </c>
      <c r="N1729" s="116">
        <v>655</v>
      </c>
      <c r="O1729" s="116">
        <v>643</v>
      </c>
      <c r="P1729" s="116">
        <v>643</v>
      </c>
      <c r="Q1729" s="116">
        <v>648.6</v>
      </c>
      <c r="R1729">
        <v>42919</v>
      </c>
    </row>
    <row r="1730" spans="1:18" x14ac:dyDescent="0.25">
      <c r="A1730" s="170">
        <v>45428</v>
      </c>
      <c r="B1730" s="116">
        <v>686.95</v>
      </c>
      <c r="C1730" s="116">
        <v>681.8</v>
      </c>
      <c r="D1730" s="116">
        <v>642.04999999999995</v>
      </c>
      <c r="E1730" s="116">
        <v>642.04999999999995</v>
      </c>
      <c r="F1730" s="116">
        <v>681.8</v>
      </c>
      <c r="G1730">
        <v>8960</v>
      </c>
      <c r="H1730" s="116"/>
      <c r="I1730" s="116"/>
      <c r="L1730" s="170">
        <v>45428</v>
      </c>
      <c r="M1730" s="116">
        <v>680.75</v>
      </c>
      <c r="N1730" s="116">
        <v>687.8</v>
      </c>
      <c r="O1730" s="116">
        <v>657.5</v>
      </c>
      <c r="P1730" s="116">
        <v>665</v>
      </c>
      <c r="Q1730" s="116">
        <v>680.75</v>
      </c>
      <c r="R1730">
        <v>316215</v>
      </c>
    </row>
    <row r="1731" spans="1:18" x14ac:dyDescent="0.25">
      <c r="A1731" s="170">
        <v>45429</v>
      </c>
      <c r="B1731" s="116">
        <v>695</v>
      </c>
      <c r="C1731" s="116">
        <v>687.8</v>
      </c>
      <c r="D1731" s="116">
        <v>679</v>
      </c>
      <c r="E1731" s="116">
        <v>679</v>
      </c>
      <c r="F1731" s="116">
        <v>687.8</v>
      </c>
      <c r="G1731">
        <v>9159</v>
      </c>
      <c r="H1731" s="116"/>
      <c r="I1731" s="116"/>
      <c r="L1731" s="170">
        <v>45429</v>
      </c>
      <c r="M1731" s="116">
        <v>688.65</v>
      </c>
      <c r="N1731" s="116">
        <v>695.05</v>
      </c>
      <c r="O1731" s="116">
        <v>682.2</v>
      </c>
      <c r="P1731" s="116">
        <v>687.6</v>
      </c>
      <c r="Q1731" s="116">
        <v>688.65</v>
      </c>
      <c r="R1731">
        <v>103707</v>
      </c>
    </row>
    <row r="1732" spans="1:18" x14ac:dyDescent="0.25">
      <c r="A1732" s="170">
        <v>45430</v>
      </c>
      <c r="B1732" s="116">
        <v>699.45</v>
      </c>
      <c r="C1732" s="116">
        <v>685.4</v>
      </c>
      <c r="D1732" s="116">
        <v>682.25</v>
      </c>
      <c r="E1732" s="116">
        <v>699.45</v>
      </c>
      <c r="F1732" s="116">
        <v>685.4</v>
      </c>
      <c r="G1732">
        <v>149</v>
      </c>
      <c r="H1732" s="116"/>
      <c r="I1732" s="116"/>
      <c r="L1732" s="170">
        <v>45430</v>
      </c>
      <c r="M1732" s="116">
        <v>685.1</v>
      </c>
      <c r="N1732" s="116">
        <v>694</v>
      </c>
      <c r="O1732" s="116">
        <v>681.25</v>
      </c>
      <c r="P1732" s="116">
        <v>688.65</v>
      </c>
      <c r="Q1732" s="116">
        <v>685.1</v>
      </c>
      <c r="R1732">
        <v>13900</v>
      </c>
    </row>
    <row r="1733" spans="1:18" x14ac:dyDescent="0.25">
      <c r="A1733" s="170">
        <v>45433</v>
      </c>
      <c r="B1733" s="116">
        <v>694</v>
      </c>
      <c r="C1733" s="116">
        <v>670.4</v>
      </c>
      <c r="D1733" s="116">
        <v>668</v>
      </c>
      <c r="E1733" s="116">
        <v>685.4</v>
      </c>
      <c r="F1733" s="116">
        <v>670.4</v>
      </c>
      <c r="G1733">
        <v>10089</v>
      </c>
      <c r="H1733" s="116"/>
      <c r="I1733" s="116"/>
      <c r="L1733" s="170">
        <v>45433</v>
      </c>
      <c r="M1733" s="116">
        <v>671.6</v>
      </c>
      <c r="N1733" s="116">
        <v>695</v>
      </c>
      <c r="O1733" s="116">
        <v>666</v>
      </c>
      <c r="P1733" s="116">
        <v>687.5</v>
      </c>
      <c r="Q1733" s="116">
        <v>671.6</v>
      </c>
      <c r="R1733">
        <v>78256</v>
      </c>
    </row>
    <row r="1734" spans="1:18" x14ac:dyDescent="0.25">
      <c r="A1734" s="170">
        <v>45434</v>
      </c>
      <c r="B1734" s="116">
        <v>698.1</v>
      </c>
      <c r="C1734" s="116">
        <v>686.9</v>
      </c>
      <c r="D1734" s="116">
        <v>670</v>
      </c>
      <c r="E1734" s="116">
        <v>679.95</v>
      </c>
      <c r="F1734" s="116">
        <v>686.9</v>
      </c>
      <c r="G1734">
        <v>2860</v>
      </c>
      <c r="H1734" s="116"/>
      <c r="I1734" s="116"/>
      <c r="L1734" s="170">
        <v>45434</v>
      </c>
      <c r="M1734" s="116">
        <v>688</v>
      </c>
      <c r="N1734" s="116">
        <v>698.35</v>
      </c>
      <c r="O1734" s="116">
        <v>669.3</v>
      </c>
      <c r="P1734" s="116">
        <v>672.45</v>
      </c>
      <c r="Q1734" s="116">
        <v>688</v>
      </c>
      <c r="R1734">
        <v>91351</v>
      </c>
    </row>
    <row r="1735" spans="1:18" x14ac:dyDescent="0.25">
      <c r="A1735" s="170">
        <v>45435</v>
      </c>
      <c r="B1735" s="116">
        <v>700.65</v>
      </c>
      <c r="C1735" s="116">
        <v>685.5</v>
      </c>
      <c r="D1735" s="116">
        <v>679.9</v>
      </c>
      <c r="E1735" s="116">
        <v>700.65</v>
      </c>
      <c r="F1735" s="116">
        <v>685.5</v>
      </c>
      <c r="G1735">
        <v>4115</v>
      </c>
      <c r="H1735" s="116"/>
      <c r="I1735" s="116"/>
      <c r="L1735" s="170">
        <v>45435</v>
      </c>
      <c r="M1735" s="116">
        <v>685.5</v>
      </c>
      <c r="N1735" s="116">
        <v>694</v>
      </c>
      <c r="O1735" s="116">
        <v>679</v>
      </c>
      <c r="P1735" s="116">
        <v>688</v>
      </c>
      <c r="Q1735" s="116">
        <v>685.5</v>
      </c>
      <c r="R1735">
        <v>43626</v>
      </c>
    </row>
    <row r="1736" spans="1:18" x14ac:dyDescent="0.25">
      <c r="A1736" s="170">
        <v>45436</v>
      </c>
      <c r="B1736" s="116">
        <v>692</v>
      </c>
      <c r="C1736" s="116">
        <v>667.9</v>
      </c>
      <c r="D1736" s="116">
        <v>656.2</v>
      </c>
      <c r="E1736" s="116">
        <v>671.8</v>
      </c>
      <c r="F1736" s="116">
        <v>667.9</v>
      </c>
      <c r="G1736">
        <v>47961</v>
      </c>
      <c r="H1736" s="116"/>
      <c r="I1736" s="116"/>
      <c r="L1736" s="170">
        <v>45436</v>
      </c>
      <c r="M1736" s="116">
        <v>669.25</v>
      </c>
      <c r="N1736" s="116">
        <v>693</v>
      </c>
      <c r="O1736" s="116">
        <v>655.1</v>
      </c>
      <c r="P1736" s="116">
        <v>680.8</v>
      </c>
      <c r="Q1736" s="116">
        <v>669.25</v>
      </c>
      <c r="R1736">
        <v>708800</v>
      </c>
    </row>
    <row r="1737" spans="1:18" x14ac:dyDescent="0.25">
      <c r="A1737" s="170">
        <v>45439</v>
      </c>
      <c r="B1737" s="116">
        <v>654.54999999999995</v>
      </c>
      <c r="C1737" s="116">
        <v>645.1</v>
      </c>
      <c r="D1737" s="116">
        <v>639</v>
      </c>
      <c r="E1737" s="116">
        <v>649.1</v>
      </c>
      <c r="F1737" s="116">
        <v>645.1</v>
      </c>
      <c r="G1737">
        <v>5530</v>
      </c>
      <c r="H1737" s="116"/>
      <c r="I1737" s="116"/>
      <c r="L1737" s="170">
        <v>45439</v>
      </c>
      <c r="M1737" s="116">
        <v>645.65</v>
      </c>
      <c r="N1737" s="116">
        <v>659.8</v>
      </c>
      <c r="O1737" s="116">
        <v>639.04999999999995</v>
      </c>
      <c r="P1737" s="116">
        <v>645</v>
      </c>
      <c r="Q1737" s="116">
        <v>645.65</v>
      </c>
      <c r="R1737">
        <v>299492</v>
      </c>
    </row>
    <row r="1738" spans="1:18" x14ac:dyDescent="0.25">
      <c r="A1738" s="170">
        <v>45440</v>
      </c>
      <c r="B1738" s="116">
        <v>651.45000000000005</v>
      </c>
      <c r="C1738" s="116">
        <v>646</v>
      </c>
      <c r="D1738" s="116">
        <v>637.79999999999995</v>
      </c>
      <c r="E1738" s="116">
        <v>645</v>
      </c>
      <c r="F1738" s="116">
        <v>646</v>
      </c>
      <c r="G1738">
        <v>4858</v>
      </c>
      <c r="H1738" s="116"/>
      <c r="I1738" s="116"/>
      <c r="L1738" s="170">
        <v>45440</v>
      </c>
      <c r="M1738" s="116">
        <v>644.25</v>
      </c>
      <c r="N1738" s="116">
        <v>652</v>
      </c>
      <c r="O1738" s="116">
        <v>637.75</v>
      </c>
      <c r="P1738" s="116">
        <v>644</v>
      </c>
      <c r="Q1738" s="116">
        <v>644.25</v>
      </c>
      <c r="R1738">
        <v>84874</v>
      </c>
    </row>
    <row r="1739" spans="1:18" x14ac:dyDescent="0.25">
      <c r="A1739" s="170">
        <v>45441</v>
      </c>
      <c r="B1739" s="116">
        <v>654.9</v>
      </c>
      <c r="C1739" s="116">
        <v>638.75</v>
      </c>
      <c r="D1739" s="116">
        <v>637</v>
      </c>
      <c r="E1739" s="116">
        <v>654.9</v>
      </c>
      <c r="F1739" s="116">
        <v>638.75</v>
      </c>
      <c r="G1739">
        <v>4492</v>
      </c>
      <c r="H1739" s="116"/>
      <c r="I1739" s="116"/>
      <c r="L1739" s="170">
        <v>45441</v>
      </c>
      <c r="M1739" s="116">
        <v>639.5</v>
      </c>
      <c r="N1739" s="116">
        <v>644.25</v>
      </c>
      <c r="O1739" s="116">
        <v>637.65</v>
      </c>
      <c r="P1739" s="116">
        <v>644.25</v>
      </c>
      <c r="Q1739" s="116">
        <v>639.5</v>
      </c>
      <c r="R1739">
        <v>22532</v>
      </c>
    </row>
    <row r="1740" spans="1:18" x14ac:dyDescent="0.25">
      <c r="A1740" s="170">
        <v>45442</v>
      </c>
      <c r="B1740" s="116">
        <v>643.1</v>
      </c>
      <c r="C1740" s="116">
        <v>642</v>
      </c>
      <c r="D1740" s="116">
        <v>639</v>
      </c>
      <c r="E1740" s="116">
        <v>640.45000000000005</v>
      </c>
      <c r="F1740" s="116">
        <v>642</v>
      </c>
      <c r="G1740">
        <v>1160</v>
      </c>
      <c r="H1740" s="116"/>
      <c r="I1740" s="116"/>
      <c r="L1740" s="170">
        <v>45442</v>
      </c>
      <c r="M1740" s="116">
        <v>641.54999999999995</v>
      </c>
      <c r="N1740" s="116">
        <v>643.29999999999995</v>
      </c>
      <c r="O1740" s="116">
        <v>638</v>
      </c>
      <c r="P1740" s="116">
        <v>639.5</v>
      </c>
      <c r="Q1740" s="116">
        <v>641.54999999999995</v>
      </c>
      <c r="R1740">
        <v>39335</v>
      </c>
    </row>
    <row r="1741" spans="1:18" x14ac:dyDescent="0.25">
      <c r="A1741" s="170">
        <v>45443</v>
      </c>
      <c r="B1741" s="116">
        <v>651.95000000000005</v>
      </c>
      <c r="C1741" s="116">
        <v>645</v>
      </c>
      <c r="D1741" s="116">
        <v>641.04999999999995</v>
      </c>
      <c r="E1741" s="116">
        <v>642</v>
      </c>
      <c r="F1741" s="116">
        <v>645</v>
      </c>
      <c r="G1741">
        <v>7861</v>
      </c>
      <c r="H1741" s="116"/>
      <c r="I1741" s="116"/>
      <c r="L1741" s="170">
        <v>45443</v>
      </c>
      <c r="M1741" s="116">
        <v>646.04999999999995</v>
      </c>
      <c r="N1741" s="116">
        <v>652</v>
      </c>
      <c r="O1741" s="116">
        <v>641.1</v>
      </c>
      <c r="P1741" s="116">
        <v>641.5</v>
      </c>
      <c r="Q1741" s="116">
        <v>646.04999999999995</v>
      </c>
      <c r="R1741">
        <v>44870</v>
      </c>
    </row>
    <row r="1742" spans="1:18" x14ac:dyDescent="0.25">
      <c r="A1742" s="170">
        <v>45446</v>
      </c>
      <c r="B1742" s="116">
        <v>714.95</v>
      </c>
      <c r="C1742" s="116">
        <v>670.8</v>
      </c>
      <c r="D1742" s="116">
        <v>655.20000000000005</v>
      </c>
      <c r="E1742" s="116">
        <v>714.95</v>
      </c>
      <c r="F1742" s="116">
        <v>670.8</v>
      </c>
      <c r="G1742">
        <v>5786</v>
      </c>
      <c r="H1742" s="116"/>
      <c r="I1742" s="116"/>
      <c r="L1742" s="170">
        <v>45446</v>
      </c>
      <c r="M1742" s="116">
        <v>671.3</v>
      </c>
      <c r="N1742" s="116">
        <v>678</v>
      </c>
      <c r="O1742" s="116">
        <v>654.04999999999995</v>
      </c>
      <c r="P1742" s="116">
        <v>678</v>
      </c>
      <c r="Q1742" s="116">
        <v>671.3</v>
      </c>
      <c r="R1742">
        <v>100877</v>
      </c>
    </row>
    <row r="1743" spans="1:18" x14ac:dyDescent="0.25">
      <c r="A1743" s="170">
        <v>45447</v>
      </c>
      <c r="B1743" s="116">
        <v>680</v>
      </c>
      <c r="C1743" s="116">
        <v>611.5</v>
      </c>
      <c r="D1743" s="116">
        <v>603.54999999999995</v>
      </c>
      <c r="E1743" s="116">
        <v>680</v>
      </c>
      <c r="F1743" s="116">
        <v>611.5</v>
      </c>
      <c r="G1743">
        <v>4026</v>
      </c>
      <c r="H1743" s="116"/>
      <c r="I1743" s="116"/>
      <c r="L1743" s="170">
        <v>45447</v>
      </c>
      <c r="M1743" s="116">
        <v>610.9</v>
      </c>
      <c r="N1743" s="116">
        <v>671.1</v>
      </c>
      <c r="O1743" s="116">
        <v>602</v>
      </c>
      <c r="P1743" s="116">
        <v>671.1</v>
      </c>
      <c r="Q1743" s="116">
        <v>610.9</v>
      </c>
      <c r="R1743">
        <v>152044</v>
      </c>
    </row>
    <row r="1744" spans="1:18" x14ac:dyDescent="0.25">
      <c r="A1744" s="170">
        <v>45448</v>
      </c>
      <c r="B1744" s="116">
        <v>624</v>
      </c>
      <c r="C1744" s="116">
        <v>622.95000000000005</v>
      </c>
      <c r="D1744" s="116">
        <v>599.25</v>
      </c>
      <c r="E1744" s="116">
        <v>601.04999999999995</v>
      </c>
      <c r="F1744" s="116">
        <v>622.95000000000005</v>
      </c>
      <c r="G1744">
        <v>8666</v>
      </c>
      <c r="H1744" s="116"/>
      <c r="I1744" s="116"/>
      <c r="L1744" s="170">
        <v>45448</v>
      </c>
      <c r="M1744" s="116">
        <v>622.1</v>
      </c>
      <c r="N1744" s="116">
        <v>624.9</v>
      </c>
      <c r="O1744" s="116">
        <v>600</v>
      </c>
      <c r="P1744" s="116">
        <v>610.9</v>
      </c>
      <c r="Q1744" s="116">
        <v>622.1</v>
      </c>
      <c r="R1744">
        <v>98233</v>
      </c>
    </row>
    <row r="1745" spans="1:18" x14ac:dyDescent="0.25">
      <c r="A1745" s="170">
        <v>45449</v>
      </c>
      <c r="B1745" s="116">
        <v>656.9</v>
      </c>
      <c r="C1745" s="116">
        <v>641.35</v>
      </c>
      <c r="D1745" s="116">
        <v>620</v>
      </c>
      <c r="E1745" s="116">
        <v>622.25</v>
      </c>
      <c r="F1745" s="116">
        <v>641.35</v>
      </c>
      <c r="G1745">
        <v>9118</v>
      </c>
      <c r="H1745" s="116"/>
      <c r="I1745" s="116"/>
      <c r="L1745" s="170">
        <v>45449</v>
      </c>
      <c r="M1745" s="116">
        <v>641.29999999999995</v>
      </c>
      <c r="N1745" s="116">
        <v>657.3</v>
      </c>
      <c r="O1745" s="116">
        <v>616.85</v>
      </c>
      <c r="P1745" s="116">
        <v>616.85</v>
      </c>
      <c r="Q1745" s="116">
        <v>641.29999999999995</v>
      </c>
      <c r="R1745">
        <v>158449</v>
      </c>
    </row>
    <row r="1746" spans="1:18" x14ac:dyDescent="0.25">
      <c r="A1746" s="170">
        <v>45450</v>
      </c>
      <c r="B1746" s="116">
        <v>674.8</v>
      </c>
      <c r="C1746" s="116">
        <v>663.2</v>
      </c>
      <c r="D1746" s="116">
        <v>646.15</v>
      </c>
      <c r="E1746" s="116">
        <v>647.9</v>
      </c>
      <c r="F1746" s="116">
        <v>663.2</v>
      </c>
      <c r="G1746">
        <v>13085</v>
      </c>
      <c r="H1746" s="116"/>
      <c r="I1746" s="116"/>
      <c r="L1746" s="170">
        <v>45450</v>
      </c>
      <c r="M1746" s="116">
        <v>663.85</v>
      </c>
      <c r="N1746" s="116">
        <v>675</v>
      </c>
      <c r="O1746" s="116">
        <v>640.9</v>
      </c>
      <c r="P1746" s="116">
        <v>642.9</v>
      </c>
      <c r="Q1746" s="116">
        <v>663.85</v>
      </c>
      <c r="R1746">
        <v>144989</v>
      </c>
    </row>
    <row r="1747" spans="1:18" x14ac:dyDescent="0.25">
      <c r="A1747" s="170">
        <v>45453</v>
      </c>
      <c r="B1747" s="116">
        <v>675.45</v>
      </c>
      <c r="C1747" s="116">
        <v>670</v>
      </c>
      <c r="D1747" s="116">
        <v>657.65</v>
      </c>
      <c r="E1747" s="116">
        <v>665.6</v>
      </c>
      <c r="F1747" s="116">
        <v>670</v>
      </c>
      <c r="G1747">
        <v>5304</v>
      </c>
      <c r="H1747" s="116"/>
      <c r="I1747" s="116"/>
      <c r="L1747" s="170">
        <v>45453</v>
      </c>
      <c r="M1747" s="116">
        <v>670.5</v>
      </c>
      <c r="N1747" s="116">
        <v>676.95</v>
      </c>
      <c r="O1747" s="116">
        <v>657.8</v>
      </c>
      <c r="P1747" s="116">
        <v>673.7</v>
      </c>
      <c r="Q1747" s="116">
        <v>670.5</v>
      </c>
      <c r="R1747">
        <v>104763</v>
      </c>
    </row>
    <row r="1748" spans="1:18" x14ac:dyDescent="0.25">
      <c r="A1748" s="170">
        <v>45454</v>
      </c>
      <c r="B1748" s="116">
        <v>680.6</v>
      </c>
      <c r="C1748" s="116">
        <v>667.05</v>
      </c>
      <c r="D1748" s="116">
        <v>665.9</v>
      </c>
      <c r="E1748" s="116">
        <v>670</v>
      </c>
      <c r="F1748" s="116">
        <v>667.05</v>
      </c>
      <c r="G1748">
        <v>2658</v>
      </c>
      <c r="H1748" s="116"/>
      <c r="I1748" s="116"/>
      <c r="L1748" s="170">
        <v>45454</v>
      </c>
      <c r="M1748" s="116">
        <v>667.5</v>
      </c>
      <c r="N1748" s="116">
        <v>681.9</v>
      </c>
      <c r="O1748" s="116">
        <v>665</v>
      </c>
      <c r="P1748" s="116">
        <v>675.55</v>
      </c>
      <c r="Q1748" s="116">
        <v>667.5</v>
      </c>
      <c r="R1748">
        <v>286181</v>
      </c>
    </row>
    <row r="1749" spans="1:18" x14ac:dyDescent="0.25">
      <c r="A1749" s="170">
        <v>45455</v>
      </c>
      <c r="B1749" s="116">
        <v>670.3</v>
      </c>
      <c r="C1749" s="116">
        <v>668.5</v>
      </c>
      <c r="D1749" s="116">
        <v>663</v>
      </c>
      <c r="E1749" s="116">
        <v>667</v>
      </c>
      <c r="F1749" s="116">
        <v>668.5</v>
      </c>
      <c r="G1749">
        <v>2991</v>
      </c>
      <c r="H1749" s="116"/>
      <c r="I1749" s="116"/>
      <c r="L1749" s="170">
        <v>45455</v>
      </c>
      <c r="M1749" s="116">
        <v>668.2</v>
      </c>
      <c r="N1749" s="116">
        <v>670.45</v>
      </c>
      <c r="O1749" s="116">
        <v>661.25</v>
      </c>
      <c r="P1749" s="116">
        <v>661.25</v>
      </c>
      <c r="Q1749" s="116">
        <v>668.2</v>
      </c>
      <c r="R1749">
        <v>101150</v>
      </c>
    </row>
    <row r="1750" spans="1:18" x14ac:dyDescent="0.25">
      <c r="A1750" s="170">
        <v>45456</v>
      </c>
      <c r="B1750" s="116">
        <v>671.95</v>
      </c>
      <c r="C1750" s="116">
        <v>661</v>
      </c>
      <c r="D1750" s="116">
        <v>658.15</v>
      </c>
      <c r="E1750" s="116">
        <v>670.05</v>
      </c>
      <c r="F1750" s="116">
        <v>661</v>
      </c>
      <c r="G1750">
        <v>8868</v>
      </c>
      <c r="H1750" s="116"/>
      <c r="I1750" s="116"/>
      <c r="L1750" s="170">
        <v>45456</v>
      </c>
      <c r="M1750" s="116">
        <v>661</v>
      </c>
      <c r="N1750" s="116">
        <v>673.5</v>
      </c>
      <c r="O1750" s="116">
        <v>658.25</v>
      </c>
      <c r="P1750" s="116">
        <v>673.5</v>
      </c>
      <c r="Q1750" s="116">
        <v>661</v>
      </c>
      <c r="R1750">
        <v>53436</v>
      </c>
    </row>
    <row r="1751" spans="1:18" x14ac:dyDescent="0.25">
      <c r="A1751" s="170">
        <v>45457</v>
      </c>
      <c r="B1751" s="116">
        <v>669.25</v>
      </c>
      <c r="C1751" s="116">
        <v>660.2</v>
      </c>
      <c r="D1751" s="116">
        <v>657.5</v>
      </c>
      <c r="E1751" s="116">
        <v>661</v>
      </c>
      <c r="F1751" s="116">
        <v>660.2</v>
      </c>
      <c r="G1751">
        <v>5361</v>
      </c>
      <c r="H1751" s="116"/>
      <c r="I1751" s="116"/>
      <c r="L1751" s="170">
        <v>45457</v>
      </c>
      <c r="M1751" s="116">
        <v>660.2</v>
      </c>
      <c r="N1751" s="116">
        <v>669.45</v>
      </c>
      <c r="O1751" s="116">
        <v>658.05</v>
      </c>
      <c r="P1751" s="116">
        <v>663.45</v>
      </c>
      <c r="Q1751" s="116">
        <v>660.2</v>
      </c>
      <c r="R1751">
        <v>47722</v>
      </c>
    </row>
    <row r="1752" spans="1:18" x14ac:dyDescent="0.25">
      <c r="A1752" s="170">
        <v>45461</v>
      </c>
      <c r="B1752" s="116">
        <v>669</v>
      </c>
      <c r="C1752" s="116">
        <v>666.15</v>
      </c>
      <c r="D1752" s="116">
        <v>660</v>
      </c>
      <c r="E1752" s="116">
        <v>660.2</v>
      </c>
      <c r="F1752" s="116">
        <v>666.15</v>
      </c>
      <c r="G1752">
        <v>8104</v>
      </c>
      <c r="H1752" s="116"/>
      <c r="I1752" s="116"/>
      <c r="L1752" s="170">
        <v>45461</v>
      </c>
      <c r="M1752" s="116">
        <v>665.45</v>
      </c>
      <c r="N1752" s="116">
        <v>669.3</v>
      </c>
      <c r="O1752" s="116">
        <v>660</v>
      </c>
      <c r="P1752" s="116">
        <v>662.35</v>
      </c>
      <c r="Q1752" s="116">
        <v>665.45</v>
      </c>
      <c r="R1752">
        <v>45830</v>
      </c>
    </row>
    <row r="1753" spans="1:18" x14ac:dyDescent="0.25">
      <c r="A1753" s="170">
        <v>45462</v>
      </c>
      <c r="B1753" s="116">
        <v>669.1</v>
      </c>
      <c r="C1753" s="116">
        <v>654.70000000000005</v>
      </c>
      <c r="D1753" s="116">
        <v>652.65</v>
      </c>
      <c r="E1753" s="116">
        <v>668.1</v>
      </c>
      <c r="F1753" s="116">
        <v>654.70000000000005</v>
      </c>
      <c r="G1753">
        <v>8184</v>
      </c>
      <c r="H1753" s="116"/>
      <c r="I1753" s="116"/>
      <c r="L1753" s="170">
        <v>45462</v>
      </c>
      <c r="M1753" s="116">
        <v>655.5</v>
      </c>
      <c r="N1753" s="116">
        <v>668.95</v>
      </c>
      <c r="O1753" s="116">
        <v>653.15</v>
      </c>
      <c r="P1753" s="116">
        <v>668.25</v>
      </c>
      <c r="Q1753" s="116">
        <v>655.5</v>
      </c>
      <c r="R1753">
        <v>36309</v>
      </c>
    </row>
    <row r="1754" spans="1:18" x14ac:dyDescent="0.25">
      <c r="A1754" s="170">
        <v>45463</v>
      </c>
      <c r="B1754" s="116">
        <v>666.8</v>
      </c>
      <c r="C1754" s="116">
        <v>656.2</v>
      </c>
      <c r="D1754" s="116">
        <v>651.95000000000005</v>
      </c>
      <c r="E1754" s="116">
        <v>665</v>
      </c>
      <c r="F1754" s="116">
        <v>656.2</v>
      </c>
      <c r="G1754">
        <v>5036</v>
      </c>
      <c r="H1754" s="116"/>
      <c r="I1754" s="116"/>
      <c r="L1754" s="170">
        <v>45463</v>
      </c>
      <c r="M1754" s="116">
        <v>659.25</v>
      </c>
      <c r="N1754" s="116">
        <v>666.8</v>
      </c>
      <c r="O1754" s="116">
        <v>651.5</v>
      </c>
      <c r="P1754" s="116">
        <v>655.5</v>
      </c>
      <c r="Q1754" s="116">
        <v>659.25</v>
      </c>
      <c r="R1754">
        <v>184152</v>
      </c>
    </row>
    <row r="1755" spans="1:18" x14ac:dyDescent="0.25">
      <c r="A1755" s="170">
        <v>45464</v>
      </c>
      <c r="B1755" s="116">
        <v>680</v>
      </c>
      <c r="C1755" s="116">
        <v>647.1</v>
      </c>
      <c r="D1755" s="116">
        <v>644</v>
      </c>
      <c r="E1755" s="116">
        <v>680</v>
      </c>
      <c r="F1755" s="116">
        <v>647.1</v>
      </c>
      <c r="G1755">
        <v>2057</v>
      </c>
      <c r="H1755" s="116"/>
      <c r="I1755" s="116"/>
      <c r="L1755" s="170">
        <v>45464</v>
      </c>
      <c r="M1755" s="116">
        <v>646.70000000000005</v>
      </c>
      <c r="N1755" s="116">
        <v>666.45</v>
      </c>
      <c r="O1755" s="116">
        <v>643.15</v>
      </c>
      <c r="P1755" s="116">
        <v>662.05</v>
      </c>
      <c r="Q1755" s="116">
        <v>646.70000000000005</v>
      </c>
      <c r="R1755">
        <v>185104</v>
      </c>
    </row>
    <row r="1756" spans="1:18" x14ac:dyDescent="0.25">
      <c r="A1756" s="170">
        <v>45467</v>
      </c>
      <c r="B1756" s="116">
        <v>657.35</v>
      </c>
      <c r="C1756" s="116">
        <v>650.20000000000005</v>
      </c>
      <c r="D1756" s="116">
        <v>647</v>
      </c>
      <c r="E1756" s="116">
        <v>647</v>
      </c>
      <c r="F1756" s="116">
        <v>650.20000000000005</v>
      </c>
      <c r="G1756">
        <v>7478</v>
      </c>
      <c r="H1756" s="116"/>
      <c r="I1756" s="116"/>
      <c r="L1756" s="170">
        <v>45467</v>
      </c>
      <c r="M1756" s="116">
        <v>650.79999999999995</v>
      </c>
      <c r="N1756" s="116">
        <v>657.6</v>
      </c>
      <c r="O1756" s="116">
        <v>648</v>
      </c>
      <c r="P1756" s="116">
        <v>653.15</v>
      </c>
      <c r="Q1756" s="116">
        <v>650.79999999999995</v>
      </c>
      <c r="R1756">
        <v>32459</v>
      </c>
    </row>
    <row r="1757" spans="1:18" x14ac:dyDescent="0.25">
      <c r="A1757" s="170">
        <v>45468</v>
      </c>
      <c r="B1757" s="116">
        <v>675</v>
      </c>
      <c r="C1757" s="116">
        <v>667.65</v>
      </c>
      <c r="D1757" s="116">
        <v>647.20000000000005</v>
      </c>
      <c r="E1757" s="116">
        <v>660.3</v>
      </c>
      <c r="F1757" s="116">
        <v>667.65</v>
      </c>
      <c r="G1757">
        <v>7263</v>
      </c>
      <c r="H1757" s="116"/>
      <c r="I1757" s="116"/>
      <c r="L1757" s="170">
        <v>45468</v>
      </c>
      <c r="M1757" s="116">
        <v>667.3</v>
      </c>
      <c r="N1757" s="116">
        <v>676.95</v>
      </c>
      <c r="O1757" s="116">
        <v>647.25</v>
      </c>
      <c r="P1757" s="116">
        <v>659.85</v>
      </c>
      <c r="Q1757" s="116">
        <v>667.3</v>
      </c>
      <c r="R1757">
        <v>257168</v>
      </c>
    </row>
    <row r="1758" spans="1:18" x14ac:dyDescent="0.25">
      <c r="A1758" s="170">
        <v>45469</v>
      </c>
      <c r="B1758" s="116">
        <v>686</v>
      </c>
      <c r="C1758" s="116">
        <v>674.6</v>
      </c>
      <c r="D1758" s="116">
        <v>667</v>
      </c>
      <c r="E1758" s="116">
        <v>686</v>
      </c>
      <c r="F1758" s="116">
        <v>674.6</v>
      </c>
      <c r="G1758">
        <v>11816</v>
      </c>
      <c r="H1758" s="116"/>
      <c r="I1758" s="116"/>
      <c r="L1758" s="170">
        <v>45469</v>
      </c>
      <c r="M1758" s="116">
        <v>675.25</v>
      </c>
      <c r="N1758" s="116">
        <v>680</v>
      </c>
      <c r="O1758" s="116">
        <v>667.3</v>
      </c>
      <c r="P1758" s="116">
        <v>667.3</v>
      </c>
      <c r="Q1758" s="116">
        <v>675.25</v>
      </c>
      <c r="R1758">
        <v>134298</v>
      </c>
    </row>
    <row r="1759" spans="1:18" x14ac:dyDescent="0.25">
      <c r="A1759" s="170">
        <v>45470</v>
      </c>
      <c r="B1759" s="116">
        <v>687.85</v>
      </c>
      <c r="C1759" s="116">
        <v>679.4</v>
      </c>
      <c r="D1759" s="116">
        <v>671.3</v>
      </c>
      <c r="E1759" s="116">
        <v>679.25</v>
      </c>
      <c r="F1759" s="116">
        <v>679.4</v>
      </c>
      <c r="G1759">
        <v>4996</v>
      </c>
      <c r="H1759" s="116"/>
      <c r="I1759" s="116"/>
      <c r="L1759" s="170">
        <v>45470</v>
      </c>
      <c r="M1759" s="116">
        <v>679.95</v>
      </c>
      <c r="N1759" s="116">
        <v>687.75</v>
      </c>
      <c r="O1759" s="116">
        <v>671.05</v>
      </c>
      <c r="P1759" s="116">
        <v>675.25</v>
      </c>
      <c r="Q1759" s="116">
        <v>679.95</v>
      </c>
      <c r="R1759">
        <v>110142</v>
      </c>
    </row>
    <row r="1760" spans="1:18" x14ac:dyDescent="0.25">
      <c r="A1760" s="170">
        <v>45471</v>
      </c>
      <c r="B1760" s="116">
        <v>690.25</v>
      </c>
      <c r="C1760" s="116">
        <v>684.15</v>
      </c>
      <c r="D1760" s="116">
        <v>679.1</v>
      </c>
      <c r="E1760" s="116">
        <v>682.95</v>
      </c>
      <c r="F1760" s="116">
        <v>684.15</v>
      </c>
      <c r="G1760">
        <v>6150</v>
      </c>
      <c r="H1760" s="116"/>
      <c r="I1760" s="116"/>
      <c r="L1760" s="170">
        <v>45471</v>
      </c>
      <c r="M1760" s="116">
        <v>685.7</v>
      </c>
      <c r="N1760" s="116">
        <v>690.3</v>
      </c>
      <c r="O1760" s="116">
        <v>678.6</v>
      </c>
      <c r="P1760" s="116">
        <v>687.85</v>
      </c>
      <c r="Q1760" s="116">
        <v>685.7</v>
      </c>
      <c r="R1760">
        <v>235605</v>
      </c>
    </row>
    <row r="1761" spans="1:18" x14ac:dyDescent="0.25">
      <c r="A1761" s="170">
        <v>45474</v>
      </c>
      <c r="B1761" s="116">
        <v>697.8</v>
      </c>
      <c r="C1761" s="116">
        <v>689.6</v>
      </c>
      <c r="D1761" s="116">
        <v>681.15</v>
      </c>
      <c r="E1761" s="116">
        <v>689.55</v>
      </c>
      <c r="F1761" s="116">
        <v>689.6</v>
      </c>
      <c r="G1761">
        <v>3358</v>
      </c>
      <c r="H1761" s="116"/>
      <c r="I1761" s="116"/>
      <c r="L1761" s="170">
        <v>45474</v>
      </c>
      <c r="M1761" s="116">
        <v>691.25</v>
      </c>
      <c r="N1761" s="116">
        <v>697.85</v>
      </c>
      <c r="O1761" s="116">
        <v>680.8</v>
      </c>
      <c r="P1761" s="116">
        <v>685.7</v>
      </c>
      <c r="Q1761" s="116">
        <v>691.25</v>
      </c>
      <c r="R1761">
        <v>101950</v>
      </c>
    </row>
    <row r="1762" spans="1:18" x14ac:dyDescent="0.25">
      <c r="A1762" s="170">
        <v>45475</v>
      </c>
      <c r="B1762" s="116">
        <v>699.55</v>
      </c>
      <c r="C1762" s="116">
        <v>691.8</v>
      </c>
      <c r="D1762" s="116">
        <v>672.45</v>
      </c>
      <c r="E1762" s="116">
        <v>699.55</v>
      </c>
      <c r="F1762" s="116">
        <v>691.8</v>
      </c>
      <c r="G1762">
        <v>4822</v>
      </c>
      <c r="H1762" s="116"/>
      <c r="I1762" s="116"/>
      <c r="L1762" s="170">
        <v>45475</v>
      </c>
      <c r="M1762" s="116">
        <v>690.7</v>
      </c>
      <c r="N1762" s="116">
        <v>696.8</v>
      </c>
      <c r="O1762" s="116">
        <v>672.05</v>
      </c>
      <c r="P1762" s="116">
        <v>696.8</v>
      </c>
      <c r="Q1762" s="116">
        <v>690.7</v>
      </c>
      <c r="R1762">
        <v>106344</v>
      </c>
    </row>
    <row r="1763" spans="1:18" x14ac:dyDescent="0.25">
      <c r="A1763" s="170">
        <v>45476</v>
      </c>
      <c r="B1763" s="116">
        <v>691.8</v>
      </c>
      <c r="C1763" s="116">
        <v>679.4</v>
      </c>
      <c r="D1763" s="116">
        <v>660</v>
      </c>
      <c r="E1763" s="116">
        <v>691.8</v>
      </c>
      <c r="F1763" s="116">
        <v>679.4</v>
      </c>
      <c r="G1763">
        <v>9234</v>
      </c>
      <c r="H1763" s="116"/>
      <c r="I1763" s="116"/>
      <c r="L1763" s="170">
        <v>45476</v>
      </c>
      <c r="M1763" s="116">
        <v>680.6</v>
      </c>
      <c r="N1763" s="116">
        <v>694.95</v>
      </c>
      <c r="O1763" s="116">
        <v>659.95</v>
      </c>
      <c r="P1763" s="116">
        <v>694.95</v>
      </c>
      <c r="Q1763" s="116">
        <v>680.6</v>
      </c>
      <c r="R1763">
        <v>227822</v>
      </c>
    </row>
    <row r="1764" spans="1:18" x14ac:dyDescent="0.25">
      <c r="A1764" s="170">
        <v>45477</v>
      </c>
      <c r="B1764" s="116">
        <v>691</v>
      </c>
      <c r="C1764" s="116">
        <v>682.65</v>
      </c>
      <c r="D1764" s="116">
        <v>678.15</v>
      </c>
      <c r="E1764" s="116">
        <v>691</v>
      </c>
      <c r="F1764" s="116">
        <v>682.65</v>
      </c>
      <c r="G1764">
        <v>2942</v>
      </c>
      <c r="H1764" s="116"/>
      <c r="I1764" s="116"/>
      <c r="L1764" s="170">
        <v>45477</v>
      </c>
      <c r="M1764" s="116">
        <v>682.65</v>
      </c>
      <c r="N1764" s="116">
        <v>690</v>
      </c>
      <c r="O1764" s="116">
        <v>677.55</v>
      </c>
      <c r="P1764" s="116">
        <v>680.6</v>
      </c>
      <c r="Q1764" s="116">
        <v>682.65</v>
      </c>
      <c r="R1764">
        <v>162204</v>
      </c>
    </row>
    <row r="1765" spans="1:18" x14ac:dyDescent="0.25">
      <c r="A1765" s="170">
        <v>45478</v>
      </c>
      <c r="B1765" s="116">
        <v>695.75</v>
      </c>
      <c r="C1765" s="116">
        <v>680.1</v>
      </c>
      <c r="D1765" s="116">
        <v>674.1</v>
      </c>
      <c r="E1765" s="116">
        <v>691.4</v>
      </c>
      <c r="F1765" s="116">
        <v>680.1</v>
      </c>
      <c r="G1765">
        <v>8467</v>
      </c>
      <c r="H1765" s="116"/>
      <c r="I1765" s="116"/>
      <c r="L1765" s="170">
        <v>45478</v>
      </c>
      <c r="M1765" s="116">
        <v>680.85</v>
      </c>
      <c r="N1765" s="116">
        <v>686</v>
      </c>
      <c r="O1765" s="116">
        <v>672.75</v>
      </c>
      <c r="P1765" s="116">
        <v>682.65</v>
      </c>
      <c r="Q1765" s="116">
        <v>680.85</v>
      </c>
      <c r="R1765">
        <v>69757</v>
      </c>
    </row>
    <row r="1766" spans="1:18" x14ac:dyDescent="0.25">
      <c r="A1766" s="170">
        <v>45481</v>
      </c>
      <c r="B1766" s="116">
        <v>709.5</v>
      </c>
      <c r="C1766" s="116">
        <v>698.9</v>
      </c>
      <c r="D1766" s="116">
        <v>681</v>
      </c>
      <c r="E1766" s="116">
        <v>681</v>
      </c>
      <c r="F1766" s="116">
        <v>698.9</v>
      </c>
      <c r="G1766">
        <v>8998</v>
      </c>
      <c r="H1766" s="116"/>
      <c r="I1766" s="116"/>
      <c r="L1766" s="170">
        <v>45481</v>
      </c>
      <c r="M1766" s="116">
        <v>699.45</v>
      </c>
      <c r="N1766" s="116">
        <v>709.5</v>
      </c>
      <c r="O1766" s="116">
        <v>679.95</v>
      </c>
      <c r="P1766" s="116">
        <v>680.85</v>
      </c>
      <c r="Q1766" s="116">
        <v>699.45</v>
      </c>
      <c r="R1766">
        <v>178676</v>
      </c>
    </row>
    <row r="1767" spans="1:18" x14ac:dyDescent="0.25">
      <c r="A1767" s="170">
        <v>45482</v>
      </c>
      <c r="B1767" s="116">
        <v>707.4</v>
      </c>
      <c r="C1767" s="116">
        <v>700.8</v>
      </c>
      <c r="D1767" s="116">
        <v>694.2</v>
      </c>
      <c r="E1767" s="116">
        <v>702</v>
      </c>
      <c r="F1767" s="116">
        <v>700.8</v>
      </c>
      <c r="G1767">
        <v>10962</v>
      </c>
      <c r="H1767" s="116"/>
      <c r="I1767" s="116"/>
      <c r="L1767" s="170">
        <v>45482</v>
      </c>
      <c r="M1767" s="116">
        <v>700.8</v>
      </c>
      <c r="N1767" s="116">
        <v>709.65</v>
      </c>
      <c r="O1767" s="116">
        <v>692.4</v>
      </c>
      <c r="P1767" s="116">
        <v>705</v>
      </c>
      <c r="Q1767" s="116">
        <v>700.8</v>
      </c>
      <c r="R1767">
        <v>195571</v>
      </c>
    </row>
    <row r="1768" spans="1:18" x14ac:dyDescent="0.25">
      <c r="A1768" s="170">
        <v>45483</v>
      </c>
      <c r="B1768" s="116">
        <v>700.05</v>
      </c>
      <c r="C1768" s="116">
        <v>694.25</v>
      </c>
      <c r="D1768" s="116">
        <v>678.5</v>
      </c>
      <c r="E1768" s="116">
        <v>695.85</v>
      </c>
      <c r="F1768" s="116">
        <v>694.25</v>
      </c>
      <c r="G1768">
        <v>6580</v>
      </c>
      <c r="H1768" s="116"/>
      <c r="I1768" s="116"/>
      <c r="L1768" s="170">
        <v>45483</v>
      </c>
      <c r="M1768" s="116">
        <v>693.6</v>
      </c>
      <c r="N1768" s="116">
        <v>700.35</v>
      </c>
      <c r="O1768" s="116">
        <v>678.35</v>
      </c>
      <c r="P1768" s="116">
        <v>696.95</v>
      </c>
      <c r="Q1768" s="116">
        <v>693.6</v>
      </c>
      <c r="R1768">
        <v>46016</v>
      </c>
    </row>
    <row r="1769" spans="1:18" x14ac:dyDescent="0.25">
      <c r="A1769" s="170">
        <v>45484</v>
      </c>
      <c r="B1769" s="116">
        <v>708.35</v>
      </c>
      <c r="C1769" s="116">
        <v>704.15</v>
      </c>
      <c r="D1769" s="116">
        <v>696.65</v>
      </c>
      <c r="E1769" s="116">
        <v>708.35</v>
      </c>
      <c r="F1769" s="116">
        <v>704.15</v>
      </c>
      <c r="G1769">
        <v>11876</v>
      </c>
      <c r="H1769" s="116"/>
      <c r="I1769" s="116"/>
      <c r="L1769" s="170">
        <v>45484</v>
      </c>
      <c r="M1769" s="116">
        <v>705.35</v>
      </c>
      <c r="N1769" s="116">
        <v>708</v>
      </c>
      <c r="O1769" s="116">
        <v>695.1</v>
      </c>
      <c r="P1769" s="116">
        <v>698.5</v>
      </c>
      <c r="Q1769" s="116">
        <v>705.35</v>
      </c>
      <c r="R1769">
        <v>73725</v>
      </c>
    </row>
    <row r="1770" spans="1:18" x14ac:dyDescent="0.25">
      <c r="A1770" s="170">
        <v>45485</v>
      </c>
      <c r="B1770" s="116">
        <v>715</v>
      </c>
      <c r="C1770" s="116">
        <v>691.05</v>
      </c>
      <c r="D1770" s="116">
        <v>690</v>
      </c>
      <c r="E1770" s="116">
        <v>715</v>
      </c>
      <c r="F1770" s="116">
        <v>691.05</v>
      </c>
      <c r="G1770">
        <v>974</v>
      </c>
      <c r="H1770" s="116"/>
      <c r="I1770" s="116"/>
      <c r="L1770" s="170">
        <v>45485</v>
      </c>
      <c r="M1770" s="116">
        <v>691.3</v>
      </c>
      <c r="N1770" s="116">
        <v>706.05</v>
      </c>
      <c r="O1770" s="116">
        <v>689.2</v>
      </c>
      <c r="P1770" s="116">
        <v>705</v>
      </c>
      <c r="Q1770" s="116">
        <v>691.3</v>
      </c>
      <c r="R1770">
        <v>55962</v>
      </c>
    </row>
    <row r="1771" spans="1:18" x14ac:dyDescent="0.25">
      <c r="A1771" s="170">
        <v>45488</v>
      </c>
      <c r="B1771" s="116">
        <v>692.45</v>
      </c>
      <c r="C1771" s="116">
        <v>683.05</v>
      </c>
      <c r="D1771" s="116">
        <v>678.95</v>
      </c>
      <c r="E1771" s="116">
        <v>691.95</v>
      </c>
      <c r="F1771" s="116">
        <v>683.05</v>
      </c>
      <c r="G1771">
        <v>5293</v>
      </c>
      <c r="H1771" s="116"/>
      <c r="I1771" s="116"/>
      <c r="L1771" s="170">
        <v>45488</v>
      </c>
      <c r="M1771" s="116">
        <v>683.7</v>
      </c>
      <c r="N1771" s="116">
        <v>694.75</v>
      </c>
      <c r="O1771" s="116">
        <v>677.9</v>
      </c>
      <c r="P1771" s="116">
        <v>691.65</v>
      </c>
      <c r="Q1771" s="116">
        <v>683.7</v>
      </c>
      <c r="R1771">
        <v>56955</v>
      </c>
    </row>
    <row r="1772" spans="1:18" x14ac:dyDescent="0.25">
      <c r="A1772" s="170">
        <v>45489</v>
      </c>
      <c r="B1772" s="116">
        <v>689.2</v>
      </c>
      <c r="C1772" s="116">
        <v>682.35</v>
      </c>
      <c r="D1772" s="116">
        <v>678.05</v>
      </c>
      <c r="E1772" s="116">
        <v>683.05</v>
      </c>
      <c r="F1772" s="116">
        <v>682.35</v>
      </c>
      <c r="G1772">
        <v>1429</v>
      </c>
      <c r="H1772" s="116"/>
      <c r="I1772" s="116"/>
      <c r="L1772" s="170">
        <v>45489</v>
      </c>
      <c r="M1772" s="116">
        <v>682.85</v>
      </c>
      <c r="N1772" s="116">
        <v>688.8</v>
      </c>
      <c r="O1772" s="116">
        <v>679</v>
      </c>
      <c r="P1772" s="116">
        <v>687</v>
      </c>
      <c r="Q1772" s="116">
        <v>682.85</v>
      </c>
      <c r="R1772">
        <v>25054</v>
      </c>
    </row>
    <row r="1773" spans="1:18" x14ac:dyDescent="0.25">
      <c r="A1773" s="170">
        <v>45491</v>
      </c>
      <c r="B1773" s="116">
        <v>688.05</v>
      </c>
      <c r="C1773" s="116">
        <v>683.8</v>
      </c>
      <c r="D1773" s="116">
        <v>672.65</v>
      </c>
      <c r="E1773" s="116">
        <v>680</v>
      </c>
      <c r="F1773" s="116">
        <v>683.8</v>
      </c>
      <c r="G1773">
        <v>2178</v>
      </c>
      <c r="H1773" s="116"/>
      <c r="I1773" s="116"/>
      <c r="L1773" s="170">
        <v>45491</v>
      </c>
      <c r="M1773" s="116">
        <v>684.15</v>
      </c>
      <c r="N1773" s="116">
        <v>690</v>
      </c>
      <c r="O1773" s="116">
        <v>672.5</v>
      </c>
      <c r="P1773" s="116">
        <v>683</v>
      </c>
      <c r="Q1773" s="116">
        <v>684.15</v>
      </c>
      <c r="R1773">
        <v>31581</v>
      </c>
    </row>
    <row r="1774" spans="1:18" x14ac:dyDescent="0.25">
      <c r="A1774" s="170">
        <v>45492</v>
      </c>
      <c r="B1774" s="116">
        <v>685.05</v>
      </c>
      <c r="C1774" s="116">
        <v>661.4</v>
      </c>
      <c r="D1774" s="116">
        <v>655.6</v>
      </c>
      <c r="E1774" s="116">
        <v>685</v>
      </c>
      <c r="F1774" s="116">
        <v>661.4</v>
      </c>
      <c r="G1774">
        <v>2659</v>
      </c>
      <c r="H1774" s="116"/>
      <c r="I1774" s="116"/>
      <c r="L1774" s="170">
        <v>45492</v>
      </c>
      <c r="M1774" s="116">
        <v>662.15</v>
      </c>
      <c r="N1774" s="116">
        <v>685.85</v>
      </c>
      <c r="O1774" s="116">
        <v>655.5</v>
      </c>
      <c r="P1774" s="116">
        <v>680.15</v>
      </c>
      <c r="Q1774" s="116">
        <v>662.15</v>
      </c>
      <c r="R1774">
        <v>44073</v>
      </c>
    </row>
    <row r="1775" spans="1:18" x14ac:dyDescent="0.25">
      <c r="A1775" s="170">
        <v>45495</v>
      </c>
      <c r="B1775" s="116">
        <v>684.2</v>
      </c>
      <c r="C1775" s="116">
        <v>678</v>
      </c>
      <c r="D1775" s="116">
        <v>653.85</v>
      </c>
      <c r="E1775" s="116">
        <v>661</v>
      </c>
      <c r="F1775" s="116">
        <v>678</v>
      </c>
      <c r="G1775">
        <v>3581</v>
      </c>
      <c r="H1775" s="116"/>
      <c r="I1775" s="116"/>
      <c r="L1775" s="170">
        <v>45495</v>
      </c>
      <c r="M1775" s="116">
        <v>677.2</v>
      </c>
      <c r="N1775" s="116">
        <v>685</v>
      </c>
      <c r="O1775" s="116">
        <v>652.54999999999995</v>
      </c>
      <c r="P1775" s="116">
        <v>662</v>
      </c>
      <c r="Q1775" s="116">
        <v>677.2</v>
      </c>
      <c r="R1775">
        <v>58978</v>
      </c>
    </row>
    <row r="1776" spans="1:18" x14ac:dyDescent="0.25">
      <c r="A1776" s="170">
        <v>45496</v>
      </c>
      <c r="B1776" s="116">
        <v>698.95</v>
      </c>
      <c r="C1776" s="116">
        <v>680.05</v>
      </c>
      <c r="D1776" s="116">
        <v>674</v>
      </c>
      <c r="E1776" s="116">
        <v>680</v>
      </c>
      <c r="F1776" s="116">
        <v>680.05</v>
      </c>
      <c r="G1776">
        <v>7841</v>
      </c>
      <c r="H1776" s="116"/>
      <c r="I1776" s="116"/>
      <c r="L1776" s="170">
        <v>45496</v>
      </c>
      <c r="M1776" s="116">
        <v>681.95</v>
      </c>
      <c r="N1776" s="116">
        <v>699</v>
      </c>
      <c r="O1776" s="116">
        <v>670.95</v>
      </c>
      <c r="P1776" s="116">
        <v>682</v>
      </c>
      <c r="Q1776" s="116">
        <v>681.95</v>
      </c>
      <c r="R1776">
        <v>110499</v>
      </c>
    </row>
    <row r="1777" spans="1:18" x14ac:dyDescent="0.25">
      <c r="A1777" s="170">
        <v>45497</v>
      </c>
      <c r="B1777" s="116">
        <v>692.9</v>
      </c>
      <c r="C1777" s="116">
        <v>685.3</v>
      </c>
      <c r="D1777" s="116">
        <v>681.95</v>
      </c>
      <c r="E1777" s="116">
        <v>687</v>
      </c>
      <c r="F1777" s="116">
        <v>685.3</v>
      </c>
      <c r="G1777">
        <v>775</v>
      </c>
      <c r="H1777" s="116"/>
      <c r="I1777" s="116"/>
      <c r="L1777" s="170">
        <v>45497</v>
      </c>
      <c r="M1777" s="116">
        <v>682.2</v>
      </c>
      <c r="N1777" s="116">
        <v>694</v>
      </c>
      <c r="O1777" s="116">
        <v>680.05</v>
      </c>
      <c r="P1777" s="116">
        <v>682.7</v>
      </c>
      <c r="Q1777" s="116">
        <v>682.2</v>
      </c>
      <c r="R1777">
        <v>161221</v>
      </c>
    </row>
    <row r="1778" spans="1:18" x14ac:dyDescent="0.25">
      <c r="A1778" s="170">
        <v>45498</v>
      </c>
      <c r="B1778" s="116">
        <v>685.65</v>
      </c>
      <c r="C1778" s="116">
        <v>675.5</v>
      </c>
      <c r="D1778" s="116">
        <v>671.6</v>
      </c>
      <c r="E1778" s="116">
        <v>671.6</v>
      </c>
      <c r="F1778" s="116">
        <v>675.5</v>
      </c>
      <c r="G1778">
        <v>2121</v>
      </c>
      <c r="H1778" s="116"/>
      <c r="I1778" s="116"/>
      <c r="L1778" s="170">
        <v>45498</v>
      </c>
      <c r="M1778" s="116">
        <v>675.45</v>
      </c>
      <c r="N1778" s="116">
        <v>687.55</v>
      </c>
      <c r="O1778" s="116">
        <v>672.05</v>
      </c>
      <c r="P1778" s="116">
        <v>675</v>
      </c>
      <c r="Q1778" s="116">
        <v>675.45</v>
      </c>
      <c r="R1778">
        <v>228134</v>
      </c>
    </row>
    <row r="1779" spans="1:18" x14ac:dyDescent="0.25">
      <c r="A1779" s="170">
        <v>45499</v>
      </c>
      <c r="B1779" s="116">
        <v>695.1</v>
      </c>
      <c r="C1779" s="116">
        <v>684.85</v>
      </c>
      <c r="D1779" s="116">
        <v>680.85</v>
      </c>
      <c r="E1779" s="116">
        <v>689.05</v>
      </c>
      <c r="F1779" s="116">
        <v>684.85</v>
      </c>
      <c r="G1779">
        <v>10008</v>
      </c>
      <c r="H1779" s="116"/>
      <c r="I1779" s="116"/>
      <c r="L1779" s="170">
        <v>45499</v>
      </c>
      <c r="M1779" s="116">
        <v>685.25</v>
      </c>
      <c r="N1779" s="116">
        <v>695</v>
      </c>
      <c r="O1779" s="116">
        <v>680.65</v>
      </c>
      <c r="P1779" s="116">
        <v>680.7</v>
      </c>
      <c r="Q1779" s="116">
        <v>685.25</v>
      </c>
      <c r="R1779">
        <v>75733</v>
      </c>
    </row>
    <row r="1780" spans="1:18" x14ac:dyDescent="0.25">
      <c r="A1780" s="170">
        <v>45502</v>
      </c>
      <c r="B1780" s="116">
        <v>698.95</v>
      </c>
      <c r="C1780" s="116">
        <v>682.8</v>
      </c>
      <c r="D1780" s="116">
        <v>681.75</v>
      </c>
      <c r="E1780" s="116">
        <v>690.05</v>
      </c>
      <c r="F1780" s="116">
        <v>682.8</v>
      </c>
      <c r="G1780">
        <v>2916</v>
      </c>
      <c r="H1780" s="116"/>
      <c r="I1780" s="116"/>
      <c r="L1780" s="170">
        <v>45502</v>
      </c>
      <c r="M1780" s="116">
        <v>683.6</v>
      </c>
      <c r="N1780" s="116">
        <v>699</v>
      </c>
      <c r="O1780" s="116">
        <v>681.75</v>
      </c>
      <c r="P1780" s="116">
        <v>690</v>
      </c>
      <c r="Q1780" s="116">
        <v>683.6</v>
      </c>
      <c r="R1780">
        <v>80917</v>
      </c>
    </row>
    <row r="1781" spans="1:18" x14ac:dyDescent="0.25">
      <c r="A1781" s="170">
        <v>45503</v>
      </c>
      <c r="B1781" s="116">
        <v>695</v>
      </c>
      <c r="C1781" s="116">
        <v>689.05</v>
      </c>
      <c r="D1781" s="116">
        <v>685.6</v>
      </c>
      <c r="E1781" s="116">
        <v>685.6</v>
      </c>
      <c r="F1781" s="116">
        <v>689.05</v>
      </c>
      <c r="G1781">
        <v>3594</v>
      </c>
      <c r="H1781" s="116"/>
      <c r="I1781" s="116"/>
      <c r="L1781" s="170">
        <v>45503</v>
      </c>
      <c r="M1781" s="116">
        <v>688.9</v>
      </c>
      <c r="N1781" s="116">
        <v>695</v>
      </c>
      <c r="O1781" s="116">
        <v>683.55</v>
      </c>
      <c r="P1781" s="116">
        <v>687</v>
      </c>
      <c r="Q1781" s="116">
        <v>688.9</v>
      </c>
      <c r="R1781">
        <v>46385</v>
      </c>
    </row>
    <row r="1782" spans="1:18" x14ac:dyDescent="0.25">
      <c r="A1782" s="170">
        <v>45504</v>
      </c>
      <c r="B1782" s="116">
        <v>696</v>
      </c>
      <c r="C1782" s="116">
        <v>682.75</v>
      </c>
      <c r="D1782" s="116">
        <v>677.15</v>
      </c>
      <c r="E1782" s="116">
        <v>696</v>
      </c>
      <c r="F1782" s="116">
        <v>682.75</v>
      </c>
      <c r="G1782">
        <v>4629</v>
      </c>
      <c r="H1782" s="116"/>
      <c r="I1782" s="116"/>
      <c r="L1782" s="170">
        <v>45504</v>
      </c>
      <c r="M1782" s="116">
        <v>682.15</v>
      </c>
      <c r="N1782" s="116">
        <v>692.4</v>
      </c>
      <c r="O1782" s="116">
        <v>677.25</v>
      </c>
      <c r="P1782" s="116">
        <v>690</v>
      </c>
      <c r="Q1782" s="116">
        <v>682.15</v>
      </c>
      <c r="R1782">
        <v>50240</v>
      </c>
    </row>
    <row r="1783" spans="1:18" x14ac:dyDescent="0.25">
      <c r="A1783" s="170">
        <v>45505</v>
      </c>
      <c r="B1783" s="116">
        <v>720</v>
      </c>
      <c r="C1783" s="116">
        <v>713.85</v>
      </c>
      <c r="D1783" s="116">
        <v>682.7</v>
      </c>
      <c r="E1783" s="116">
        <v>682.7</v>
      </c>
      <c r="F1783" s="116">
        <v>713.85</v>
      </c>
      <c r="G1783">
        <v>18134</v>
      </c>
      <c r="H1783" s="116"/>
      <c r="I1783" s="116"/>
      <c r="L1783" s="170">
        <v>45505</v>
      </c>
      <c r="M1783" s="116">
        <v>713.45</v>
      </c>
      <c r="N1783" s="116">
        <v>720.8</v>
      </c>
      <c r="O1783" s="116">
        <v>681.2</v>
      </c>
      <c r="P1783" s="116">
        <v>684.9</v>
      </c>
      <c r="Q1783" s="116">
        <v>713.45</v>
      </c>
      <c r="R1783">
        <v>238521</v>
      </c>
    </row>
    <row r="1784" spans="1:18" x14ac:dyDescent="0.25">
      <c r="A1784" s="170">
        <v>45506</v>
      </c>
      <c r="B1784" s="116">
        <v>745</v>
      </c>
      <c r="C1784" s="116">
        <v>727.2</v>
      </c>
      <c r="D1784" s="116">
        <v>693</v>
      </c>
      <c r="E1784" s="116">
        <v>713.05</v>
      </c>
      <c r="F1784" s="116">
        <v>727.2</v>
      </c>
      <c r="G1784">
        <v>41409</v>
      </c>
      <c r="H1784" s="116"/>
      <c r="I1784" s="116"/>
      <c r="L1784" s="170">
        <v>45506</v>
      </c>
      <c r="M1784" s="116">
        <v>726.75</v>
      </c>
      <c r="N1784" s="116">
        <v>745.75</v>
      </c>
      <c r="O1784" s="116">
        <v>691.1</v>
      </c>
      <c r="P1784" s="116">
        <v>713.45</v>
      </c>
      <c r="Q1784" s="116">
        <v>726.75</v>
      </c>
      <c r="R1784">
        <v>661939</v>
      </c>
    </row>
    <row r="1785" spans="1:18" x14ac:dyDescent="0.25">
      <c r="A1785" s="170">
        <v>45509</v>
      </c>
      <c r="B1785" s="116">
        <v>710.2</v>
      </c>
      <c r="C1785" s="116">
        <v>668.6</v>
      </c>
      <c r="D1785" s="116">
        <v>662.9</v>
      </c>
      <c r="E1785" s="116">
        <v>707</v>
      </c>
      <c r="F1785" s="116">
        <v>668.6</v>
      </c>
      <c r="G1785">
        <v>28130</v>
      </c>
      <c r="H1785" s="116"/>
      <c r="I1785" s="116"/>
      <c r="L1785" s="170">
        <v>45509</v>
      </c>
      <c r="M1785" s="116">
        <v>670.95</v>
      </c>
      <c r="N1785" s="116">
        <v>714.95</v>
      </c>
      <c r="O1785" s="116">
        <v>663.35</v>
      </c>
      <c r="P1785" s="116">
        <v>714.95</v>
      </c>
      <c r="Q1785" s="116">
        <v>670.95</v>
      </c>
      <c r="R1785">
        <v>214102</v>
      </c>
    </row>
    <row r="1786" spans="1:18" x14ac:dyDescent="0.25">
      <c r="A1786" s="170">
        <v>45510</v>
      </c>
      <c r="B1786" s="116">
        <v>686.45</v>
      </c>
      <c r="C1786" s="116">
        <v>658.6</v>
      </c>
      <c r="D1786" s="116">
        <v>656</v>
      </c>
      <c r="E1786" s="116">
        <v>665.2</v>
      </c>
      <c r="F1786" s="116">
        <v>658.6</v>
      </c>
      <c r="G1786">
        <v>5327</v>
      </c>
      <c r="H1786" s="116"/>
      <c r="I1786" s="116"/>
      <c r="L1786" s="170">
        <v>45510</v>
      </c>
      <c r="M1786" s="116">
        <v>659.55</v>
      </c>
      <c r="N1786" s="116">
        <v>688.8</v>
      </c>
      <c r="O1786" s="116">
        <v>655.1</v>
      </c>
      <c r="P1786" s="116">
        <v>671</v>
      </c>
      <c r="Q1786" s="116">
        <v>659.55</v>
      </c>
      <c r="R1786">
        <v>78403</v>
      </c>
    </row>
    <row r="1787" spans="1:18" x14ac:dyDescent="0.25">
      <c r="A1787" s="170">
        <v>45511</v>
      </c>
      <c r="B1787" s="116">
        <v>683.1</v>
      </c>
      <c r="C1787" s="116">
        <v>680.2</v>
      </c>
      <c r="D1787" s="116">
        <v>667.75</v>
      </c>
      <c r="E1787" s="116">
        <v>667.8</v>
      </c>
      <c r="F1787" s="116">
        <v>680.2</v>
      </c>
      <c r="G1787">
        <v>2392</v>
      </c>
      <c r="H1787" s="116"/>
      <c r="I1787" s="116"/>
      <c r="L1787" s="170">
        <v>45511</v>
      </c>
      <c r="M1787" s="116">
        <v>680.4</v>
      </c>
      <c r="N1787" s="116">
        <v>683.35</v>
      </c>
      <c r="O1787" s="116">
        <v>662.35</v>
      </c>
      <c r="P1787" s="116">
        <v>662.35</v>
      </c>
      <c r="Q1787" s="116">
        <v>680.4</v>
      </c>
      <c r="R1787">
        <v>59105</v>
      </c>
    </row>
    <row r="1788" spans="1:18" x14ac:dyDescent="0.25">
      <c r="A1788" s="170">
        <v>45512</v>
      </c>
      <c r="B1788" s="116">
        <v>693.8</v>
      </c>
      <c r="C1788" s="116">
        <v>672.75</v>
      </c>
      <c r="D1788" s="116">
        <v>670.8</v>
      </c>
      <c r="E1788" s="116">
        <v>693.8</v>
      </c>
      <c r="F1788" s="116">
        <v>672.75</v>
      </c>
      <c r="G1788">
        <v>846</v>
      </c>
      <c r="H1788" s="116"/>
      <c r="I1788" s="116"/>
      <c r="L1788" s="170">
        <v>45512</v>
      </c>
      <c r="M1788" s="116">
        <v>672.8</v>
      </c>
      <c r="N1788" s="116">
        <v>685</v>
      </c>
      <c r="O1788" s="116">
        <v>670.65</v>
      </c>
      <c r="P1788" s="116">
        <v>680.4</v>
      </c>
      <c r="Q1788" s="116">
        <v>672.8</v>
      </c>
      <c r="R1788">
        <v>16609</v>
      </c>
    </row>
    <row r="1789" spans="1:18" x14ac:dyDescent="0.25">
      <c r="A1789" s="170">
        <v>45513</v>
      </c>
      <c r="B1789" s="116">
        <v>688.6</v>
      </c>
      <c r="C1789" s="116">
        <v>685.1</v>
      </c>
      <c r="D1789" s="116">
        <v>679.65</v>
      </c>
      <c r="E1789" s="116">
        <v>683</v>
      </c>
      <c r="F1789" s="116">
        <v>685.1</v>
      </c>
      <c r="G1789">
        <v>964</v>
      </c>
      <c r="H1789" s="116"/>
      <c r="I1789" s="116"/>
      <c r="L1789" s="170">
        <v>45513</v>
      </c>
      <c r="M1789" s="116">
        <v>686</v>
      </c>
      <c r="N1789" s="116">
        <v>688</v>
      </c>
      <c r="O1789" s="116">
        <v>676</v>
      </c>
      <c r="P1789" s="116">
        <v>688</v>
      </c>
      <c r="Q1789" s="116">
        <v>686</v>
      </c>
      <c r="R1789">
        <v>33494</v>
      </c>
    </row>
    <row r="1790" spans="1:18" x14ac:dyDescent="0.25">
      <c r="A1790" s="170">
        <v>45516</v>
      </c>
      <c r="B1790" s="116">
        <v>717.95</v>
      </c>
      <c r="C1790" s="116">
        <v>707.1</v>
      </c>
      <c r="D1790" s="116">
        <v>675</v>
      </c>
      <c r="E1790" s="116">
        <v>685</v>
      </c>
      <c r="F1790" s="116">
        <v>707.1</v>
      </c>
      <c r="G1790">
        <v>7223</v>
      </c>
      <c r="H1790" s="116"/>
      <c r="I1790" s="116"/>
      <c r="L1790" s="170">
        <v>45516</v>
      </c>
      <c r="M1790" s="116">
        <v>704.95</v>
      </c>
      <c r="N1790" s="116">
        <v>718.8</v>
      </c>
      <c r="O1790" s="116">
        <v>674.05</v>
      </c>
      <c r="P1790" s="116">
        <v>686</v>
      </c>
      <c r="Q1790" s="116">
        <v>704.95</v>
      </c>
      <c r="R1790">
        <v>209178</v>
      </c>
    </row>
    <row r="1791" spans="1:18" x14ac:dyDescent="0.25">
      <c r="A1791" s="170">
        <v>45517</v>
      </c>
      <c r="B1791" s="116">
        <v>712.6</v>
      </c>
      <c r="C1791" s="116">
        <v>689.85</v>
      </c>
      <c r="D1791" s="116">
        <v>686.1</v>
      </c>
      <c r="E1791" s="116">
        <v>706.9</v>
      </c>
      <c r="F1791" s="116">
        <v>689.85</v>
      </c>
      <c r="G1791">
        <v>6196</v>
      </c>
      <c r="H1791" s="116"/>
      <c r="I1791" s="116"/>
      <c r="L1791" s="170">
        <v>45517</v>
      </c>
      <c r="M1791" s="116">
        <v>691.55</v>
      </c>
      <c r="N1791" s="116">
        <v>712.5</v>
      </c>
      <c r="O1791" s="116">
        <v>686.3</v>
      </c>
      <c r="P1791" s="116">
        <v>700</v>
      </c>
      <c r="Q1791" s="116">
        <v>691.55</v>
      </c>
      <c r="R1791">
        <v>105776</v>
      </c>
    </row>
    <row r="1792" spans="1:18" x14ac:dyDescent="0.25">
      <c r="A1792" s="170">
        <v>45518</v>
      </c>
      <c r="B1792" s="116">
        <v>713.5</v>
      </c>
      <c r="C1792" s="116">
        <v>678</v>
      </c>
      <c r="D1792" s="116">
        <v>658.7</v>
      </c>
      <c r="E1792" s="116">
        <v>703.2</v>
      </c>
      <c r="F1792" s="116">
        <v>678</v>
      </c>
      <c r="G1792">
        <v>16118</v>
      </c>
      <c r="H1792" s="116"/>
      <c r="I1792" s="116"/>
      <c r="L1792" s="170">
        <v>45518</v>
      </c>
      <c r="M1792" s="116">
        <v>675.4</v>
      </c>
      <c r="N1792" s="116">
        <v>713.05</v>
      </c>
      <c r="O1792" s="116">
        <v>656.95</v>
      </c>
      <c r="P1792" s="116">
        <v>698.35</v>
      </c>
      <c r="Q1792" s="116">
        <v>675.4</v>
      </c>
      <c r="R1792">
        <v>464836</v>
      </c>
    </row>
    <row r="1793" spans="1:18" x14ac:dyDescent="0.25">
      <c r="A1793" s="170">
        <v>45520</v>
      </c>
      <c r="B1793" s="116">
        <v>684.7</v>
      </c>
      <c r="C1793" s="116">
        <v>676.8</v>
      </c>
      <c r="D1793" s="116">
        <v>672.25</v>
      </c>
      <c r="E1793" s="116">
        <v>678</v>
      </c>
      <c r="F1793" s="116">
        <v>676.8</v>
      </c>
      <c r="G1793">
        <v>5968</v>
      </c>
      <c r="H1793" s="116"/>
      <c r="I1793" s="116"/>
      <c r="L1793" s="170">
        <v>45520</v>
      </c>
      <c r="M1793" s="116">
        <v>675.4</v>
      </c>
      <c r="N1793" s="116">
        <v>685.8</v>
      </c>
      <c r="O1793" s="116">
        <v>670.25</v>
      </c>
      <c r="P1793" s="116">
        <v>678.65</v>
      </c>
      <c r="Q1793" s="116">
        <v>675.4</v>
      </c>
      <c r="R1793">
        <v>68862</v>
      </c>
    </row>
    <row r="1794" spans="1:18" x14ac:dyDescent="0.25">
      <c r="A1794" s="170">
        <v>45523</v>
      </c>
      <c r="B1794" s="116">
        <v>683.45</v>
      </c>
      <c r="C1794" s="116">
        <v>678.2</v>
      </c>
      <c r="D1794" s="116">
        <v>669.95</v>
      </c>
      <c r="E1794" s="116">
        <v>670</v>
      </c>
      <c r="F1794" s="116">
        <v>678.2</v>
      </c>
      <c r="G1794">
        <v>6537</v>
      </c>
      <c r="H1794" s="116"/>
      <c r="I1794" s="116"/>
      <c r="L1794" s="170">
        <v>45523</v>
      </c>
      <c r="M1794" s="116">
        <v>678.85</v>
      </c>
      <c r="N1794" s="116">
        <v>683.9</v>
      </c>
      <c r="O1794" s="116">
        <v>669.8</v>
      </c>
      <c r="P1794" s="116">
        <v>677.5</v>
      </c>
      <c r="Q1794" s="116">
        <v>678.85</v>
      </c>
      <c r="R1794">
        <v>68242</v>
      </c>
    </row>
    <row r="1795" spans="1:18" x14ac:dyDescent="0.25">
      <c r="A1795" s="170">
        <v>45524</v>
      </c>
      <c r="B1795" s="116">
        <v>690.45</v>
      </c>
      <c r="C1795" s="116">
        <v>681.15</v>
      </c>
      <c r="D1795" s="116">
        <v>672</v>
      </c>
      <c r="E1795" s="116">
        <v>672</v>
      </c>
      <c r="F1795" s="116">
        <v>681.15</v>
      </c>
      <c r="G1795">
        <v>1265</v>
      </c>
      <c r="H1795" s="116"/>
      <c r="I1795" s="116"/>
      <c r="L1795" s="170">
        <v>45524</v>
      </c>
      <c r="M1795" s="116">
        <v>681.05</v>
      </c>
      <c r="N1795" s="116">
        <v>691.35</v>
      </c>
      <c r="O1795" s="116">
        <v>675.3</v>
      </c>
      <c r="P1795" s="116">
        <v>678.85</v>
      </c>
      <c r="Q1795" s="116">
        <v>681.05</v>
      </c>
      <c r="R1795">
        <v>39313</v>
      </c>
    </row>
    <row r="1796" spans="1:18" x14ac:dyDescent="0.25">
      <c r="A1796" s="170">
        <v>45525</v>
      </c>
      <c r="B1796" s="116">
        <v>690.85</v>
      </c>
      <c r="C1796" s="116">
        <v>685.25</v>
      </c>
      <c r="D1796" s="116">
        <v>682</v>
      </c>
      <c r="E1796" s="116">
        <v>683</v>
      </c>
      <c r="F1796" s="116">
        <v>685.25</v>
      </c>
      <c r="G1796">
        <v>3611</v>
      </c>
      <c r="H1796" s="116"/>
      <c r="I1796" s="116"/>
      <c r="L1796" s="170">
        <v>45525</v>
      </c>
      <c r="M1796" s="116">
        <v>685.95</v>
      </c>
      <c r="N1796" s="116">
        <v>700</v>
      </c>
      <c r="O1796" s="116">
        <v>681.55</v>
      </c>
      <c r="P1796" s="116">
        <v>686.2</v>
      </c>
      <c r="Q1796" s="116">
        <v>685.95</v>
      </c>
      <c r="R1796">
        <v>34312</v>
      </c>
    </row>
    <row r="1797" spans="1:18" x14ac:dyDescent="0.25">
      <c r="A1797" s="170">
        <v>45526</v>
      </c>
      <c r="B1797" s="116">
        <v>700</v>
      </c>
      <c r="C1797" s="116">
        <v>685.65</v>
      </c>
      <c r="D1797" s="116">
        <v>684</v>
      </c>
      <c r="E1797" s="116">
        <v>700</v>
      </c>
      <c r="F1797" s="116">
        <v>685.65</v>
      </c>
      <c r="G1797">
        <v>1848</v>
      </c>
      <c r="H1797" s="116"/>
      <c r="I1797" s="116"/>
      <c r="L1797" s="170">
        <v>45526</v>
      </c>
      <c r="M1797" s="116">
        <v>685.55</v>
      </c>
      <c r="N1797" s="116">
        <v>693.2</v>
      </c>
      <c r="O1797" s="116">
        <v>683</v>
      </c>
      <c r="P1797" s="116">
        <v>683</v>
      </c>
      <c r="Q1797" s="116">
        <v>685.55</v>
      </c>
      <c r="R1797">
        <v>26373</v>
      </c>
    </row>
    <row r="1798" spans="1:18" x14ac:dyDescent="0.25">
      <c r="A1798" s="170">
        <v>45527</v>
      </c>
      <c r="B1798" s="116">
        <v>690</v>
      </c>
      <c r="C1798" s="116">
        <v>680.3</v>
      </c>
      <c r="D1798" s="116">
        <v>676</v>
      </c>
      <c r="E1798" s="116">
        <v>690</v>
      </c>
      <c r="F1798" s="116">
        <v>680.3</v>
      </c>
      <c r="G1798">
        <v>3562</v>
      </c>
      <c r="H1798" s="116"/>
      <c r="I1798" s="116"/>
      <c r="L1798" s="170">
        <v>45527</v>
      </c>
      <c r="M1798" s="116">
        <v>679.1</v>
      </c>
      <c r="N1798" s="116">
        <v>689</v>
      </c>
      <c r="O1798" s="116">
        <v>675</v>
      </c>
      <c r="P1798" s="116">
        <v>689</v>
      </c>
      <c r="Q1798" s="116">
        <v>679.1</v>
      </c>
      <c r="R1798">
        <v>42363</v>
      </c>
    </row>
    <row r="1799" spans="1:18" x14ac:dyDescent="0.25">
      <c r="A1799" s="170">
        <v>45530</v>
      </c>
      <c r="B1799" s="116">
        <v>685.95</v>
      </c>
      <c r="C1799" s="116">
        <v>675.5</v>
      </c>
      <c r="D1799" s="116">
        <v>672</v>
      </c>
      <c r="E1799" s="116">
        <v>685.95</v>
      </c>
      <c r="F1799" s="116">
        <v>675.5</v>
      </c>
      <c r="G1799">
        <v>6732</v>
      </c>
      <c r="H1799" s="116"/>
      <c r="I1799" s="116"/>
      <c r="L1799" s="170">
        <v>45530</v>
      </c>
      <c r="M1799" s="116">
        <v>675</v>
      </c>
      <c r="N1799" s="116">
        <v>686</v>
      </c>
      <c r="O1799" s="116">
        <v>672</v>
      </c>
      <c r="P1799" s="116">
        <v>682.5</v>
      </c>
      <c r="Q1799" s="116">
        <v>675</v>
      </c>
      <c r="R1799">
        <v>44746</v>
      </c>
    </row>
    <row r="1800" spans="1:18" x14ac:dyDescent="0.25">
      <c r="A1800" s="170">
        <v>45531</v>
      </c>
      <c r="B1800" s="116">
        <v>701.1</v>
      </c>
      <c r="C1800" s="116">
        <v>691.75</v>
      </c>
      <c r="D1800" s="116">
        <v>671.75</v>
      </c>
      <c r="E1800" s="116">
        <v>671.75</v>
      </c>
      <c r="F1800" s="116">
        <v>691.75</v>
      </c>
      <c r="G1800">
        <v>10996</v>
      </c>
      <c r="H1800" s="116"/>
      <c r="I1800" s="116"/>
      <c r="L1800" s="170">
        <v>45531</v>
      </c>
      <c r="M1800" s="116">
        <v>693.75</v>
      </c>
      <c r="N1800" s="116">
        <v>702.35</v>
      </c>
      <c r="O1800" s="116">
        <v>673.8</v>
      </c>
      <c r="P1800" s="116">
        <v>677.9</v>
      </c>
      <c r="Q1800" s="116">
        <v>693.75</v>
      </c>
      <c r="R1800">
        <v>68834</v>
      </c>
    </row>
    <row r="1801" spans="1:18" x14ac:dyDescent="0.25">
      <c r="A1801" s="170">
        <v>45532</v>
      </c>
      <c r="B1801" s="116">
        <v>709</v>
      </c>
      <c r="C1801" s="116">
        <v>689</v>
      </c>
      <c r="D1801" s="116">
        <v>685.05</v>
      </c>
      <c r="E1801" s="116">
        <v>702.95</v>
      </c>
      <c r="F1801" s="116">
        <v>689</v>
      </c>
      <c r="G1801">
        <v>1964</v>
      </c>
      <c r="H1801" s="116"/>
      <c r="I1801" s="116"/>
      <c r="L1801" s="170">
        <v>45532</v>
      </c>
      <c r="M1801" s="116">
        <v>690</v>
      </c>
      <c r="N1801" s="116">
        <v>708.5</v>
      </c>
      <c r="O1801" s="116">
        <v>685.3</v>
      </c>
      <c r="P1801" s="116">
        <v>699.25</v>
      </c>
      <c r="Q1801" s="116">
        <v>690</v>
      </c>
      <c r="R1801">
        <v>64423</v>
      </c>
    </row>
    <row r="1802" spans="1:18" x14ac:dyDescent="0.25">
      <c r="A1802" s="170">
        <v>45533</v>
      </c>
      <c r="B1802" s="116">
        <v>702.8</v>
      </c>
      <c r="C1802" s="116">
        <v>678.35</v>
      </c>
      <c r="D1802" s="116">
        <v>676.3</v>
      </c>
      <c r="E1802" s="116">
        <v>702.8</v>
      </c>
      <c r="F1802" s="116">
        <v>678.35</v>
      </c>
      <c r="G1802">
        <v>1359</v>
      </c>
      <c r="H1802" s="116"/>
      <c r="I1802" s="116"/>
      <c r="L1802" s="170">
        <v>45533</v>
      </c>
      <c r="M1802" s="116">
        <v>679</v>
      </c>
      <c r="N1802" s="116">
        <v>692.75</v>
      </c>
      <c r="O1802" s="116">
        <v>676.1</v>
      </c>
      <c r="P1802" s="116">
        <v>690.1</v>
      </c>
      <c r="Q1802" s="116">
        <v>679</v>
      </c>
      <c r="R1802">
        <v>80370</v>
      </c>
    </row>
    <row r="1803" spans="1:18" x14ac:dyDescent="0.25">
      <c r="A1803" s="170">
        <v>45534</v>
      </c>
      <c r="B1803" s="116">
        <v>689.55</v>
      </c>
      <c r="C1803" s="116">
        <v>683.75</v>
      </c>
      <c r="D1803" s="116">
        <v>680</v>
      </c>
      <c r="E1803" s="116">
        <v>682</v>
      </c>
      <c r="F1803" s="116">
        <v>683.75</v>
      </c>
      <c r="G1803">
        <v>1130</v>
      </c>
      <c r="H1803" s="116"/>
      <c r="I1803" s="116"/>
      <c r="L1803" s="170">
        <v>45534</v>
      </c>
      <c r="M1803" s="116">
        <v>683.05</v>
      </c>
      <c r="N1803" s="116">
        <v>691</v>
      </c>
      <c r="O1803" s="116">
        <v>674.15</v>
      </c>
      <c r="P1803" s="116">
        <v>674.15</v>
      </c>
      <c r="Q1803" s="116">
        <v>683.05</v>
      </c>
      <c r="R1803">
        <v>110651</v>
      </c>
    </row>
    <row r="1804" spans="1:18" x14ac:dyDescent="0.25">
      <c r="A1804" s="170">
        <v>45537</v>
      </c>
      <c r="B1804" s="116">
        <v>689.95</v>
      </c>
      <c r="C1804" s="116">
        <v>675.2</v>
      </c>
      <c r="D1804" s="116">
        <v>672.35</v>
      </c>
      <c r="E1804" s="116">
        <v>689.95</v>
      </c>
      <c r="F1804" s="116">
        <v>675.2</v>
      </c>
      <c r="G1804">
        <v>6490</v>
      </c>
      <c r="H1804" s="116"/>
      <c r="I1804" s="116"/>
      <c r="L1804" s="170">
        <v>45537</v>
      </c>
      <c r="M1804" s="116">
        <v>674.3</v>
      </c>
      <c r="N1804" s="116">
        <v>689.45</v>
      </c>
      <c r="O1804" s="116">
        <v>672</v>
      </c>
      <c r="P1804" s="116">
        <v>685.45</v>
      </c>
      <c r="Q1804" s="116">
        <v>674.3</v>
      </c>
      <c r="R1804">
        <v>49693</v>
      </c>
    </row>
    <row r="1805" spans="1:18" x14ac:dyDescent="0.25">
      <c r="A1805" s="170">
        <v>45538</v>
      </c>
      <c r="B1805" s="116">
        <v>682</v>
      </c>
      <c r="C1805" s="116">
        <v>674.35</v>
      </c>
      <c r="D1805" s="116">
        <v>670.45</v>
      </c>
      <c r="E1805" s="116">
        <v>682</v>
      </c>
      <c r="F1805" s="116">
        <v>674.35</v>
      </c>
      <c r="G1805">
        <v>4072</v>
      </c>
      <c r="H1805" s="116"/>
      <c r="I1805" s="116"/>
      <c r="L1805" s="170">
        <v>45538</v>
      </c>
      <c r="M1805" s="116">
        <v>676.75</v>
      </c>
      <c r="N1805" s="116">
        <v>684.7</v>
      </c>
      <c r="O1805" s="116">
        <v>672.05</v>
      </c>
      <c r="P1805" s="116">
        <v>675</v>
      </c>
      <c r="Q1805" s="116">
        <v>676.75</v>
      </c>
      <c r="R1805">
        <v>38976</v>
      </c>
    </row>
    <row r="1806" spans="1:18" x14ac:dyDescent="0.25">
      <c r="A1806" s="170">
        <v>45539</v>
      </c>
      <c r="B1806" s="116">
        <v>679.25</v>
      </c>
      <c r="C1806" s="116">
        <v>672.2</v>
      </c>
      <c r="D1806" s="116">
        <v>669.35</v>
      </c>
      <c r="E1806" s="116">
        <v>679.25</v>
      </c>
      <c r="F1806" s="116">
        <v>672.2</v>
      </c>
      <c r="G1806">
        <v>2245</v>
      </c>
      <c r="H1806" s="116"/>
      <c r="I1806" s="116"/>
      <c r="L1806" s="170">
        <v>45539</v>
      </c>
      <c r="M1806" s="116">
        <v>671.5</v>
      </c>
      <c r="N1806" s="116">
        <v>676.35</v>
      </c>
      <c r="O1806" s="116">
        <v>670</v>
      </c>
      <c r="P1806" s="116">
        <v>674</v>
      </c>
      <c r="Q1806" s="116">
        <v>671.5</v>
      </c>
      <c r="R1806">
        <v>31605</v>
      </c>
    </row>
    <row r="1807" spans="1:18" x14ac:dyDescent="0.25">
      <c r="A1807" s="170">
        <v>45540</v>
      </c>
      <c r="B1807" s="116">
        <v>683.95</v>
      </c>
      <c r="C1807" s="116">
        <v>671.85</v>
      </c>
      <c r="D1807" s="116">
        <v>670.35</v>
      </c>
      <c r="E1807" s="116">
        <v>683.95</v>
      </c>
      <c r="F1807" s="116">
        <v>671.85</v>
      </c>
      <c r="G1807">
        <v>2201</v>
      </c>
      <c r="H1807" s="116"/>
      <c r="I1807" s="116"/>
      <c r="L1807" s="170">
        <v>45540</v>
      </c>
      <c r="M1807" s="116">
        <v>672.25</v>
      </c>
      <c r="N1807" s="116">
        <v>678.3</v>
      </c>
      <c r="O1807" s="116">
        <v>670.3</v>
      </c>
      <c r="P1807" s="116">
        <v>674.9</v>
      </c>
      <c r="Q1807" s="116">
        <v>672.25</v>
      </c>
      <c r="R1807">
        <v>15533</v>
      </c>
    </row>
    <row r="1808" spans="1:18" x14ac:dyDescent="0.25">
      <c r="A1808" s="170">
        <v>45541</v>
      </c>
      <c r="B1808" s="116">
        <v>687.85</v>
      </c>
      <c r="C1808" s="116">
        <v>677.1</v>
      </c>
      <c r="D1808" s="116">
        <v>668</v>
      </c>
      <c r="E1808" s="116">
        <v>668</v>
      </c>
      <c r="F1808" s="116">
        <v>677.1</v>
      </c>
      <c r="G1808">
        <v>3360</v>
      </c>
      <c r="H1808" s="116"/>
      <c r="I1808" s="116"/>
      <c r="L1808" s="170">
        <v>45541</v>
      </c>
      <c r="M1808" s="116">
        <v>676.95</v>
      </c>
      <c r="N1808" s="116">
        <v>687.45</v>
      </c>
      <c r="O1808" s="116">
        <v>671.1</v>
      </c>
      <c r="P1808" s="116">
        <v>671.1</v>
      </c>
      <c r="Q1808" s="116">
        <v>676.95</v>
      </c>
      <c r="R1808">
        <v>55442</v>
      </c>
    </row>
    <row r="1809" spans="1:18" x14ac:dyDescent="0.25">
      <c r="A1809" s="170">
        <v>45544</v>
      </c>
      <c r="B1809" s="116">
        <v>677.1</v>
      </c>
      <c r="C1809" s="116">
        <v>664.95</v>
      </c>
      <c r="D1809" s="116">
        <v>661.85</v>
      </c>
      <c r="E1809" s="116">
        <v>663</v>
      </c>
      <c r="F1809" s="116">
        <v>664.95</v>
      </c>
      <c r="G1809">
        <v>3368</v>
      </c>
      <c r="H1809" s="116"/>
      <c r="I1809" s="116"/>
      <c r="L1809" s="170">
        <v>45544</v>
      </c>
      <c r="M1809" s="116">
        <v>665.7</v>
      </c>
      <c r="N1809" s="116">
        <v>677.45</v>
      </c>
      <c r="O1809" s="116">
        <v>661</v>
      </c>
      <c r="P1809" s="116">
        <v>672</v>
      </c>
      <c r="Q1809" s="116">
        <v>665.7</v>
      </c>
      <c r="R1809">
        <v>20150</v>
      </c>
    </row>
    <row r="1810" spans="1:18" x14ac:dyDescent="0.25">
      <c r="A1810" s="170">
        <v>45545</v>
      </c>
      <c r="B1810" s="116">
        <v>675.7</v>
      </c>
      <c r="C1810" s="116">
        <v>669.75</v>
      </c>
      <c r="D1810" s="116">
        <v>666.4</v>
      </c>
      <c r="E1810" s="116">
        <v>668.15</v>
      </c>
      <c r="F1810" s="116">
        <v>669.75</v>
      </c>
      <c r="G1810">
        <v>1765</v>
      </c>
      <c r="H1810" s="116"/>
      <c r="I1810" s="116"/>
      <c r="L1810" s="170">
        <v>45545</v>
      </c>
      <c r="M1810" s="116">
        <v>670</v>
      </c>
      <c r="N1810" s="116">
        <v>677.75</v>
      </c>
      <c r="O1810" s="116">
        <v>665.8</v>
      </c>
      <c r="P1810" s="116">
        <v>665.8</v>
      </c>
      <c r="Q1810" s="116">
        <v>670</v>
      </c>
      <c r="R1810">
        <v>20486</v>
      </c>
    </row>
    <row r="1811" spans="1:18" x14ac:dyDescent="0.25">
      <c r="A1811" s="170">
        <v>45546</v>
      </c>
      <c r="B1811" s="116">
        <v>685.7</v>
      </c>
      <c r="C1811" s="116">
        <v>661.35</v>
      </c>
      <c r="D1811" s="116">
        <v>660.8</v>
      </c>
      <c r="E1811" s="116">
        <v>685.7</v>
      </c>
      <c r="F1811" s="116">
        <v>661.35</v>
      </c>
      <c r="G1811">
        <v>1015</v>
      </c>
      <c r="H1811" s="116"/>
      <c r="I1811" s="116"/>
      <c r="L1811" s="170">
        <v>45546</v>
      </c>
      <c r="M1811" s="116">
        <v>661.65</v>
      </c>
      <c r="N1811" s="116">
        <v>675.45</v>
      </c>
      <c r="O1811" s="116">
        <v>660.95</v>
      </c>
      <c r="P1811" s="116">
        <v>673.1</v>
      </c>
      <c r="Q1811" s="116">
        <v>661.65</v>
      </c>
      <c r="R1811">
        <v>22328</v>
      </c>
    </row>
    <row r="1812" spans="1:18" x14ac:dyDescent="0.25">
      <c r="A1812" s="170">
        <v>45547</v>
      </c>
      <c r="B1812" s="116">
        <v>680</v>
      </c>
      <c r="C1812" s="116">
        <v>672.75</v>
      </c>
      <c r="D1812" s="116">
        <v>663.75</v>
      </c>
      <c r="E1812" s="116">
        <v>674.6</v>
      </c>
      <c r="F1812" s="116">
        <v>672.75</v>
      </c>
      <c r="G1812">
        <v>3345</v>
      </c>
      <c r="H1812" s="116"/>
      <c r="I1812" s="116"/>
      <c r="L1812" s="170">
        <v>45547</v>
      </c>
      <c r="M1812" s="116">
        <v>672.95</v>
      </c>
      <c r="N1812" s="116">
        <v>679.5</v>
      </c>
      <c r="O1812" s="116">
        <v>662</v>
      </c>
      <c r="P1812" s="116">
        <v>663.85</v>
      </c>
      <c r="Q1812" s="116">
        <v>672.95</v>
      </c>
      <c r="R1812">
        <v>37145</v>
      </c>
    </row>
    <row r="1813" spans="1:18" x14ac:dyDescent="0.25">
      <c r="A1813" s="170">
        <v>45548</v>
      </c>
      <c r="B1813" s="116">
        <v>708</v>
      </c>
      <c r="C1813" s="116">
        <v>701.85</v>
      </c>
      <c r="D1813" s="116">
        <v>666.3</v>
      </c>
      <c r="E1813" s="116">
        <v>670</v>
      </c>
      <c r="F1813" s="116">
        <v>701.85</v>
      </c>
      <c r="G1813">
        <v>6465</v>
      </c>
      <c r="H1813" s="116"/>
      <c r="I1813" s="116"/>
      <c r="L1813" s="170">
        <v>45548</v>
      </c>
      <c r="M1813" s="116">
        <v>705.5</v>
      </c>
      <c r="N1813" s="116">
        <v>710</v>
      </c>
      <c r="O1813" s="116">
        <v>665.95</v>
      </c>
      <c r="P1813" s="116">
        <v>672.95</v>
      </c>
      <c r="Q1813" s="116">
        <v>705.5</v>
      </c>
      <c r="R1813">
        <v>206240</v>
      </c>
    </row>
    <row r="1814" spans="1:18" x14ac:dyDescent="0.25">
      <c r="A1814" s="170">
        <v>45551</v>
      </c>
      <c r="B1814" s="116">
        <v>720.65</v>
      </c>
      <c r="C1814" s="116">
        <v>696.55</v>
      </c>
      <c r="D1814" s="116">
        <v>685.7</v>
      </c>
      <c r="E1814" s="116">
        <v>704.95</v>
      </c>
      <c r="F1814" s="116">
        <v>696.55</v>
      </c>
      <c r="G1814">
        <v>5622</v>
      </c>
      <c r="H1814" s="116"/>
      <c r="I1814" s="116"/>
      <c r="L1814" s="170">
        <v>45551</v>
      </c>
      <c r="M1814" s="116">
        <v>695.8</v>
      </c>
      <c r="N1814" s="116">
        <v>720</v>
      </c>
      <c r="O1814" s="116">
        <v>685.15</v>
      </c>
      <c r="P1814" s="116">
        <v>702.5</v>
      </c>
      <c r="Q1814" s="116">
        <v>695.8</v>
      </c>
      <c r="R1814">
        <v>137294</v>
      </c>
    </row>
    <row r="1815" spans="1:18" x14ac:dyDescent="0.25">
      <c r="A1815" s="170">
        <v>45552</v>
      </c>
      <c r="B1815" s="116">
        <v>708</v>
      </c>
      <c r="C1815" s="116">
        <v>687.3</v>
      </c>
      <c r="D1815" s="116">
        <v>686.4</v>
      </c>
      <c r="E1815" s="116">
        <v>708</v>
      </c>
      <c r="F1815" s="116">
        <v>687.3</v>
      </c>
      <c r="G1815">
        <v>3813</v>
      </c>
      <c r="H1815" s="116"/>
      <c r="I1815" s="116"/>
      <c r="L1815" s="170">
        <v>45552</v>
      </c>
      <c r="M1815" s="116">
        <v>688.25</v>
      </c>
      <c r="N1815" s="116">
        <v>704</v>
      </c>
      <c r="O1815" s="116">
        <v>685.2</v>
      </c>
      <c r="P1815" s="116">
        <v>696.5</v>
      </c>
      <c r="Q1815" s="116">
        <v>688.25</v>
      </c>
      <c r="R1815">
        <v>34252</v>
      </c>
    </row>
    <row r="1816" spans="1:18" x14ac:dyDescent="0.25">
      <c r="A1816" s="170">
        <v>45553</v>
      </c>
      <c r="B1816" s="116">
        <v>700</v>
      </c>
      <c r="C1816" s="116">
        <v>680.7</v>
      </c>
      <c r="D1816" s="116">
        <v>676.9</v>
      </c>
      <c r="E1816" s="116">
        <v>700</v>
      </c>
      <c r="F1816" s="116">
        <v>680.7</v>
      </c>
      <c r="G1816">
        <v>1068</v>
      </c>
      <c r="H1816" s="116"/>
      <c r="I1816" s="116"/>
      <c r="L1816" s="170">
        <v>45553</v>
      </c>
      <c r="M1816" s="116">
        <v>681.45</v>
      </c>
      <c r="N1816" s="116">
        <v>691.15</v>
      </c>
      <c r="O1816" s="116">
        <v>677.7</v>
      </c>
      <c r="P1816" s="116">
        <v>688.25</v>
      </c>
      <c r="Q1816" s="116">
        <v>681.45</v>
      </c>
      <c r="R1816">
        <v>45115</v>
      </c>
    </row>
    <row r="1817" spans="1:18" x14ac:dyDescent="0.25">
      <c r="A1817" s="170">
        <v>45554</v>
      </c>
      <c r="B1817" s="116">
        <v>697</v>
      </c>
      <c r="C1817" s="116">
        <v>671.85</v>
      </c>
      <c r="D1817" s="116">
        <v>669.4</v>
      </c>
      <c r="E1817" s="116">
        <v>697</v>
      </c>
      <c r="F1817" s="116">
        <v>671.85</v>
      </c>
      <c r="G1817">
        <v>845</v>
      </c>
      <c r="H1817" s="116"/>
      <c r="I1817" s="116"/>
      <c r="L1817" s="170">
        <v>45554</v>
      </c>
      <c r="M1817" s="116">
        <v>672.3</v>
      </c>
      <c r="N1817" s="116">
        <v>690.9</v>
      </c>
      <c r="O1817" s="116">
        <v>669</v>
      </c>
      <c r="P1817" s="116">
        <v>684</v>
      </c>
      <c r="Q1817" s="116">
        <v>672.3</v>
      </c>
      <c r="R1817">
        <v>34220</v>
      </c>
    </row>
    <row r="1818" spans="1:18" x14ac:dyDescent="0.25">
      <c r="A1818" s="170">
        <v>45555</v>
      </c>
      <c r="B1818" s="116">
        <v>680.05</v>
      </c>
      <c r="C1818" s="116">
        <v>674.45</v>
      </c>
      <c r="D1818" s="116">
        <v>668.45</v>
      </c>
      <c r="E1818" s="116">
        <v>679.45</v>
      </c>
      <c r="F1818" s="116">
        <v>674.45</v>
      </c>
      <c r="G1818">
        <v>1591</v>
      </c>
      <c r="H1818" s="116"/>
      <c r="I1818" s="116"/>
      <c r="L1818" s="170">
        <v>45555</v>
      </c>
      <c r="M1818" s="116">
        <v>673.4</v>
      </c>
      <c r="N1818" s="116">
        <v>682.3</v>
      </c>
      <c r="O1818" s="116">
        <v>667.55</v>
      </c>
      <c r="P1818" s="116">
        <v>674.85</v>
      </c>
      <c r="Q1818" s="116">
        <v>673.4</v>
      </c>
      <c r="R1818">
        <v>39148</v>
      </c>
    </row>
    <row r="1819" spans="1:18" x14ac:dyDescent="0.25">
      <c r="A1819" s="170">
        <v>45558</v>
      </c>
      <c r="B1819" s="116">
        <v>708.9</v>
      </c>
      <c r="C1819" s="116">
        <v>688.65</v>
      </c>
      <c r="D1819" s="116">
        <v>673.7</v>
      </c>
      <c r="E1819" s="116">
        <v>679.85</v>
      </c>
      <c r="F1819" s="116">
        <v>688.65</v>
      </c>
      <c r="G1819">
        <v>19562</v>
      </c>
      <c r="H1819" s="116"/>
      <c r="I1819" s="116"/>
      <c r="L1819" s="170">
        <v>45558</v>
      </c>
      <c r="M1819" s="116">
        <v>688.5</v>
      </c>
      <c r="N1819" s="116">
        <v>709.4</v>
      </c>
      <c r="O1819" s="116">
        <v>674.25</v>
      </c>
      <c r="P1819" s="116">
        <v>675.4</v>
      </c>
      <c r="Q1819" s="116">
        <v>688.5</v>
      </c>
      <c r="R1819">
        <v>292219</v>
      </c>
    </row>
    <row r="1820" spans="1:18" x14ac:dyDescent="0.25">
      <c r="A1820" s="170">
        <v>45559</v>
      </c>
      <c r="B1820" s="116">
        <v>701.15</v>
      </c>
      <c r="C1820" s="116">
        <v>676.05</v>
      </c>
      <c r="D1820" s="116">
        <v>674.2</v>
      </c>
      <c r="E1820" s="116">
        <v>701.15</v>
      </c>
      <c r="F1820" s="116">
        <v>676.05</v>
      </c>
      <c r="G1820">
        <v>9689</v>
      </c>
      <c r="H1820" s="116"/>
      <c r="I1820" s="116"/>
      <c r="L1820" s="170">
        <v>45559</v>
      </c>
      <c r="M1820" s="116">
        <v>675.75</v>
      </c>
      <c r="N1820" s="116">
        <v>697</v>
      </c>
      <c r="O1820" s="116">
        <v>672.1</v>
      </c>
      <c r="P1820" s="116">
        <v>696.5</v>
      </c>
      <c r="Q1820" s="116">
        <v>675.75</v>
      </c>
      <c r="R1820">
        <v>98238</v>
      </c>
    </row>
    <row r="1821" spans="1:18" x14ac:dyDescent="0.25">
      <c r="A1821" s="170">
        <v>45560</v>
      </c>
      <c r="B1821" s="116">
        <v>685</v>
      </c>
      <c r="C1821" s="116">
        <v>669</v>
      </c>
      <c r="D1821" s="116">
        <v>662.85</v>
      </c>
      <c r="E1821" s="116">
        <v>685</v>
      </c>
      <c r="F1821" s="116">
        <v>669</v>
      </c>
      <c r="G1821">
        <v>10022</v>
      </c>
      <c r="H1821" s="116"/>
      <c r="I1821" s="116"/>
      <c r="L1821" s="170">
        <v>45560</v>
      </c>
      <c r="M1821" s="116">
        <v>666.85</v>
      </c>
      <c r="N1821" s="116">
        <v>680.55</v>
      </c>
      <c r="O1821" s="116">
        <v>656.25</v>
      </c>
      <c r="P1821" s="116">
        <v>679.15</v>
      </c>
      <c r="Q1821" s="116">
        <v>666.85</v>
      </c>
      <c r="R1821">
        <v>64249</v>
      </c>
    </row>
    <row r="1822" spans="1:18" x14ac:dyDescent="0.25">
      <c r="A1822" s="170">
        <v>45561</v>
      </c>
      <c r="B1822" s="116">
        <v>674.95</v>
      </c>
      <c r="C1822" s="116">
        <v>668</v>
      </c>
      <c r="D1822" s="116">
        <v>665</v>
      </c>
      <c r="E1822" s="116">
        <v>674.95</v>
      </c>
      <c r="F1822" s="116">
        <v>668</v>
      </c>
      <c r="G1822">
        <v>4232</v>
      </c>
      <c r="H1822" s="116"/>
      <c r="I1822" s="116"/>
      <c r="L1822" s="170">
        <v>45561</v>
      </c>
      <c r="M1822" s="116">
        <v>668.1</v>
      </c>
      <c r="N1822" s="116">
        <v>674.45</v>
      </c>
      <c r="O1822" s="116">
        <v>665.05</v>
      </c>
      <c r="P1822" s="116">
        <v>669.85</v>
      </c>
      <c r="Q1822" s="116">
        <v>668.1</v>
      </c>
      <c r="R1822">
        <v>33465</v>
      </c>
    </row>
    <row r="1823" spans="1:18" x14ac:dyDescent="0.25">
      <c r="A1823" s="170">
        <v>45562</v>
      </c>
      <c r="B1823" s="116">
        <v>670.8</v>
      </c>
      <c r="C1823" s="116">
        <v>652.5</v>
      </c>
      <c r="D1823" s="116">
        <v>647.5</v>
      </c>
      <c r="E1823" s="116">
        <v>670.8</v>
      </c>
      <c r="F1823" s="116">
        <v>652.5</v>
      </c>
      <c r="G1823">
        <v>4035</v>
      </c>
      <c r="H1823" s="116"/>
      <c r="I1823" s="116"/>
      <c r="L1823" s="170">
        <v>45562</v>
      </c>
      <c r="M1823" s="116">
        <v>651.6</v>
      </c>
      <c r="N1823" s="116">
        <v>672.85</v>
      </c>
      <c r="O1823" s="116">
        <v>646.95000000000005</v>
      </c>
      <c r="P1823" s="116">
        <v>672.85</v>
      </c>
      <c r="Q1823" s="116">
        <v>651.6</v>
      </c>
      <c r="R1823">
        <v>108960</v>
      </c>
    </row>
    <row r="1824" spans="1:18" x14ac:dyDescent="0.25">
      <c r="A1824" s="170">
        <v>45565</v>
      </c>
      <c r="B1824" s="116">
        <v>658.4</v>
      </c>
      <c r="C1824" s="116">
        <v>652.54999999999995</v>
      </c>
      <c r="D1824" s="116">
        <v>648.5</v>
      </c>
      <c r="E1824" s="116">
        <v>648.5</v>
      </c>
      <c r="F1824" s="116">
        <v>652.54999999999995</v>
      </c>
      <c r="G1824">
        <v>3186</v>
      </c>
      <c r="H1824" s="116"/>
      <c r="I1824" s="116"/>
      <c r="L1824" s="170">
        <v>45565</v>
      </c>
      <c r="M1824" s="116">
        <v>652.6</v>
      </c>
      <c r="N1824" s="116">
        <v>658.35</v>
      </c>
      <c r="O1824" s="116">
        <v>649.54999999999995</v>
      </c>
      <c r="P1824" s="116">
        <v>652.79999999999995</v>
      </c>
      <c r="Q1824" s="116">
        <v>652.6</v>
      </c>
      <c r="R1824">
        <v>41833</v>
      </c>
    </row>
    <row r="1825" spans="1:18" x14ac:dyDescent="0.25">
      <c r="A1825" s="170">
        <v>45566</v>
      </c>
      <c r="B1825" s="116">
        <v>660.85</v>
      </c>
      <c r="C1825" s="116">
        <v>658.2</v>
      </c>
      <c r="D1825" s="116">
        <v>651</v>
      </c>
      <c r="E1825" s="116">
        <v>653.9</v>
      </c>
      <c r="F1825" s="116">
        <v>658.2</v>
      </c>
      <c r="G1825">
        <v>2994</v>
      </c>
      <c r="H1825" s="116"/>
      <c r="I1825" s="116"/>
      <c r="L1825" s="170">
        <v>45566</v>
      </c>
      <c r="M1825" s="116">
        <v>656.55</v>
      </c>
      <c r="N1825" s="116">
        <v>659.9</v>
      </c>
      <c r="O1825" s="116">
        <v>650</v>
      </c>
      <c r="P1825" s="116">
        <v>654.85</v>
      </c>
      <c r="Q1825" s="116">
        <v>656.55</v>
      </c>
      <c r="R1825">
        <v>47258</v>
      </c>
    </row>
    <row r="1826" spans="1:18" x14ac:dyDescent="0.25">
      <c r="A1826" s="170">
        <v>45568</v>
      </c>
      <c r="B1826" s="116">
        <v>655.95</v>
      </c>
      <c r="C1826" s="116">
        <v>645.45000000000005</v>
      </c>
      <c r="D1826" s="116">
        <v>638</v>
      </c>
      <c r="E1826" s="116">
        <v>651.04999999999995</v>
      </c>
      <c r="F1826" s="116">
        <v>645.45000000000005</v>
      </c>
      <c r="G1826">
        <v>10331</v>
      </c>
      <c r="H1826" s="116"/>
      <c r="I1826" s="116"/>
      <c r="L1826" s="170">
        <v>45568</v>
      </c>
      <c r="M1826" s="116">
        <v>643.70000000000005</v>
      </c>
      <c r="N1826" s="116">
        <v>656.55</v>
      </c>
      <c r="O1826" s="116">
        <v>635.54999999999995</v>
      </c>
      <c r="P1826" s="116">
        <v>652.5</v>
      </c>
      <c r="Q1826" s="116">
        <v>643.70000000000005</v>
      </c>
      <c r="R1826">
        <v>59717</v>
      </c>
    </row>
    <row r="1827" spans="1:18" x14ac:dyDescent="0.25">
      <c r="A1827" s="170">
        <v>45569</v>
      </c>
      <c r="B1827" s="116">
        <v>655</v>
      </c>
      <c r="C1827" s="116">
        <v>645.65</v>
      </c>
      <c r="D1827" s="116">
        <v>638</v>
      </c>
      <c r="E1827" s="116">
        <v>642</v>
      </c>
      <c r="F1827" s="116">
        <v>645.65</v>
      </c>
      <c r="G1827">
        <v>5654</v>
      </c>
      <c r="H1827" s="116"/>
      <c r="I1827" s="116"/>
      <c r="L1827" s="170">
        <v>45569</v>
      </c>
      <c r="M1827" s="116">
        <v>645.79999999999995</v>
      </c>
      <c r="N1827" s="116">
        <v>654.95000000000005</v>
      </c>
      <c r="O1827" s="116">
        <v>637.1</v>
      </c>
      <c r="P1827" s="116">
        <v>637.1</v>
      </c>
      <c r="Q1827" s="116">
        <v>645.79999999999995</v>
      </c>
      <c r="R1827">
        <v>52591</v>
      </c>
    </row>
    <row r="1828" spans="1:18" x14ac:dyDescent="0.25">
      <c r="A1828" s="170">
        <v>45572</v>
      </c>
      <c r="B1828" s="116">
        <v>652</v>
      </c>
      <c r="C1828" s="116">
        <v>632.35</v>
      </c>
      <c r="D1828" s="116">
        <v>625.65</v>
      </c>
      <c r="E1828" s="116">
        <v>652</v>
      </c>
      <c r="F1828" s="116">
        <v>632.35</v>
      </c>
      <c r="G1828">
        <v>3765</v>
      </c>
      <c r="H1828" s="116"/>
      <c r="I1828" s="116"/>
      <c r="L1828" s="170">
        <v>45572</v>
      </c>
      <c r="M1828" s="116">
        <v>631.9</v>
      </c>
      <c r="N1828" s="116">
        <v>651.20000000000005</v>
      </c>
      <c r="O1828" s="116">
        <v>625.04999999999995</v>
      </c>
      <c r="P1828" s="116">
        <v>649.04999999999995</v>
      </c>
      <c r="Q1828" s="116">
        <v>631.9</v>
      </c>
      <c r="R1828">
        <v>69877</v>
      </c>
    </row>
    <row r="1829" spans="1:18" x14ac:dyDescent="0.25">
      <c r="A1829" s="170">
        <v>45573</v>
      </c>
      <c r="B1829" s="116">
        <v>667</v>
      </c>
      <c r="C1829" s="116">
        <v>661</v>
      </c>
      <c r="D1829" s="116">
        <v>630.6</v>
      </c>
      <c r="E1829" s="116">
        <v>633</v>
      </c>
      <c r="F1829" s="116">
        <v>661</v>
      </c>
      <c r="G1829">
        <v>8794</v>
      </c>
      <c r="H1829" s="116"/>
      <c r="I1829" s="116"/>
      <c r="L1829" s="170">
        <v>45573</v>
      </c>
      <c r="M1829" s="116">
        <v>659.85</v>
      </c>
      <c r="N1829" s="116">
        <v>669</v>
      </c>
      <c r="O1829" s="116">
        <v>632</v>
      </c>
      <c r="P1829" s="116">
        <v>633.75</v>
      </c>
      <c r="Q1829" s="116">
        <v>659.85</v>
      </c>
      <c r="R1829">
        <v>119958</v>
      </c>
    </row>
    <row r="1830" spans="1:18" x14ac:dyDescent="0.25">
      <c r="A1830" s="170">
        <v>45574</v>
      </c>
      <c r="B1830" s="116">
        <v>669.75</v>
      </c>
      <c r="C1830" s="116">
        <v>659.5</v>
      </c>
      <c r="D1830" s="116">
        <v>657</v>
      </c>
      <c r="E1830" s="116">
        <v>661.45</v>
      </c>
      <c r="F1830" s="116">
        <v>659.5</v>
      </c>
      <c r="G1830">
        <v>5142</v>
      </c>
      <c r="H1830" s="116"/>
      <c r="I1830" s="116"/>
      <c r="L1830" s="170">
        <v>45574</v>
      </c>
      <c r="M1830" s="116">
        <v>659.3</v>
      </c>
      <c r="N1830" s="116">
        <v>669.95</v>
      </c>
      <c r="O1830" s="116">
        <v>654</v>
      </c>
      <c r="P1830" s="116">
        <v>664.2</v>
      </c>
      <c r="Q1830" s="116">
        <v>659.3</v>
      </c>
      <c r="R1830">
        <v>45501</v>
      </c>
    </row>
    <row r="1831" spans="1:18" x14ac:dyDescent="0.25">
      <c r="A1831" s="170">
        <v>45575</v>
      </c>
      <c r="B1831" s="116">
        <v>673</v>
      </c>
      <c r="C1831" s="116">
        <v>663.6</v>
      </c>
      <c r="D1831" s="116">
        <v>658.5</v>
      </c>
      <c r="E1831" s="116">
        <v>660</v>
      </c>
      <c r="F1831" s="116">
        <v>663.6</v>
      </c>
      <c r="G1831">
        <v>5246</v>
      </c>
      <c r="H1831" s="116"/>
      <c r="I1831" s="116"/>
      <c r="L1831" s="170">
        <v>45575</v>
      </c>
      <c r="M1831" s="116">
        <v>665</v>
      </c>
      <c r="N1831" s="116">
        <v>672.95</v>
      </c>
      <c r="O1831" s="116">
        <v>653.29999999999995</v>
      </c>
      <c r="P1831" s="116">
        <v>653.29999999999995</v>
      </c>
      <c r="Q1831" s="116">
        <v>665</v>
      </c>
      <c r="R1831">
        <v>28825</v>
      </c>
    </row>
    <row r="1832" spans="1:18" x14ac:dyDescent="0.25">
      <c r="A1832" s="170">
        <v>45576</v>
      </c>
      <c r="B1832" s="116">
        <v>664.6</v>
      </c>
      <c r="C1832" s="116">
        <v>659.6</v>
      </c>
      <c r="D1832" s="116">
        <v>655.04999999999995</v>
      </c>
      <c r="E1832" s="116">
        <v>664</v>
      </c>
      <c r="F1832" s="116">
        <v>659.6</v>
      </c>
      <c r="G1832">
        <v>493</v>
      </c>
      <c r="H1832" s="116"/>
      <c r="I1832" s="116"/>
      <c r="L1832" s="170">
        <v>45576</v>
      </c>
      <c r="M1832" s="116">
        <v>659.55</v>
      </c>
      <c r="N1832" s="116">
        <v>665</v>
      </c>
      <c r="O1832" s="116">
        <v>655.04999999999995</v>
      </c>
      <c r="P1832" s="116">
        <v>665</v>
      </c>
      <c r="Q1832" s="116">
        <v>659.55</v>
      </c>
      <c r="R1832">
        <v>12369</v>
      </c>
    </row>
    <row r="1833" spans="1:18" x14ac:dyDescent="0.25">
      <c r="A1833" s="170">
        <v>45579</v>
      </c>
      <c r="B1833" s="116">
        <v>664</v>
      </c>
      <c r="C1833" s="116">
        <v>647.9</v>
      </c>
      <c r="D1833" s="116">
        <v>645</v>
      </c>
      <c r="E1833" s="116">
        <v>654.04999999999995</v>
      </c>
      <c r="F1833" s="116">
        <v>647.9</v>
      </c>
      <c r="G1833">
        <v>4537</v>
      </c>
      <c r="H1833" s="116"/>
      <c r="I1833" s="116"/>
      <c r="L1833" s="170">
        <v>45579</v>
      </c>
      <c r="M1833" s="116">
        <v>647.85</v>
      </c>
      <c r="N1833" s="116">
        <v>664.8</v>
      </c>
      <c r="O1833" s="116">
        <v>644.5</v>
      </c>
      <c r="P1833" s="116">
        <v>659.55</v>
      </c>
      <c r="Q1833" s="116">
        <v>647.85</v>
      </c>
      <c r="R1833">
        <v>30891</v>
      </c>
    </row>
    <row r="1834" spans="1:18" x14ac:dyDescent="0.25">
      <c r="A1834" s="170">
        <v>45580</v>
      </c>
      <c r="B1834" s="116">
        <v>653.5</v>
      </c>
      <c r="C1834" s="116">
        <v>644.5</v>
      </c>
      <c r="D1834" s="116">
        <v>640.54999999999995</v>
      </c>
      <c r="E1834" s="116">
        <v>650</v>
      </c>
      <c r="F1834" s="116">
        <v>644.5</v>
      </c>
      <c r="G1834">
        <v>2708</v>
      </c>
      <c r="H1834" s="116"/>
      <c r="I1834" s="116"/>
      <c r="L1834" s="170">
        <v>45580</v>
      </c>
      <c r="M1834" s="116">
        <v>644.54999999999995</v>
      </c>
      <c r="N1834" s="116">
        <v>653.5</v>
      </c>
      <c r="O1834" s="116">
        <v>640</v>
      </c>
      <c r="P1834" s="116">
        <v>651.29999999999995</v>
      </c>
      <c r="Q1834" s="116">
        <v>644.54999999999995</v>
      </c>
      <c r="R1834">
        <v>14882</v>
      </c>
    </row>
    <row r="1835" spans="1:18" x14ac:dyDescent="0.25">
      <c r="A1835" s="170">
        <v>45581</v>
      </c>
      <c r="B1835" s="116">
        <v>643.1</v>
      </c>
      <c r="C1835" s="116">
        <v>640.79999999999995</v>
      </c>
      <c r="D1835" s="116">
        <v>638.45000000000005</v>
      </c>
      <c r="E1835" s="116">
        <v>642.29999999999995</v>
      </c>
      <c r="F1835" s="116">
        <v>640.79999999999995</v>
      </c>
      <c r="G1835">
        <v>1243</v>
      </c>
      <c r="H1835" s="116"/>
      <c r="I1835" s="116"/>
      <c r="L1835" s="170">
        <v>45581</v>
      </c>
      <c r="M1835" s="116">
        <v>641.35</v>
      </c>
      <c r="N1835" s="116">
        <v>645</v>
      </c>
      <c r="O1835" s="116">
        <v>639</v>
      </c>
      <c r="P1835" s="116">
        <v>645</v>
      </c>
      <c r="Q1835" s="116">
        <v>641.35</v>
      </c>
      <c r="R1835">
        <v>15692</v>
      </c>
    </row>
    <row r="1836" spans="1:18" x14ac:dyDescent="0.25">
      <c r="A1836" s="170">
        <v>45582</v>
      </c>
      <c r="B1836" s="116">
        <v>650.5</v>
      </c>
      <c r="C1836" s="116">
        <v>645.54999999999995</v>
      </c>
      <c r="D1836" s="116">
        <v>638.5</v>
      </c>
      <c r="E1836" s="116">
        <v>642.25</v>
      </c>
      <c r="F1836" s="116">
        <v>645.54999999999995</v>
      </c>
      <c r="G1836">
        <v>1691</v>
      </c>
      <c r="H1836" s="116"/>
      <c r="I1836" s="116"/>
      <c r="L1836" s="170">
        <v>45582</v>
      </c>
      <c r="M1836" s="116">
        <v>647.25</v>
      </c>
      <c r="N1836" s="116">
        <v>655.95</v>
      </c>
      <c r="O1836" s="116">
        <v>637.65</v>
      </c>
      <c r="P1836" s="116">
        <v>641.35</v>
      </c>
      <c r="Q1836" s="116">
        <v>647.25</v>
      </c>
      <c r="R1836">
        <v>19570</v>
      </c>
    </row>
    <row r="1837" spans="1:18" x14ac:dyDescent="0.25">
      <c r="A1837" s="170">
        <v>45583</v>
      </c>
      <c r="B1837" s="116">
        <v>652.75</v>
      </c>
      <c r="C1837" s="116">
        <v>647.95000000000005</v>
      </c>
      <c r="D1837" s="116">
        <v>645.5</v>
      </c>
      <c r="E1837" s="116">
        <v>649</v>
      </c>
      <c r="F1837" s="116">
        <v>647.95000000000005</v>
      </c>
      <c r="G1837">
        <v>1128</v>
      </c>
      <c r="H1837" s="116"/>
      <c r="I1837" s="116"/>
      <c r="L1837" s="170">
        <v>45583</v>
      </c>
      <c r="M1837" s="116">
        <v>649.15</v>
      </c>
      <c r="N1837" s="116">
        <v>654</v>
      </c>
      <c r="O1837" s="116">
        <v>642.04999999999995</v>
      </c>
      <c r="P1837" s="116">
        <v>651.9</v>
      </c>
      <c r="Q1837" s="116">
        <v>649.15</v>
      </c>
      <c r="R1837">
        <v>24395</v>
      </c>
    </row>
    <row r="1838" spans="1:18" x14ac:dyDescent="0.25">
      <c r="A1838" s="170">
        <v>45586</v>
      </c>
      <c r="B1838" s="116">
        <v>654.9</v>
      </c>
      <c r="C1838" s="116">
        <v>634.45000000000005</v>
      </c>
      <c r="D1838" s="116">
        <v>631.79999999999995</v>
      </c>
      <c r="E1838" s="116">
        <v>643.35</v>
      </c>
      <c r="F1838" s="116">
        <v>634.45000000000005</v>
      </c>
      <c r="G1838">
        <v>1741</v>
      </c>
      <c r="H1838" s="116"/>
      <c r="I1838" s="116"/>
      <c r="L1838" s="170">
        <v>45586</v>
      </c>
      <c r="M1838" s="116">
        <v>633.85</v>
      </c>
      <c r="N1838" s="116">
        <v>655.45</v>
      </c>
      <c r="O1838" s="116">
        <v>631.04999999999995</v>
      </c>
      <c r="P1838" s="116">
        <v>654</v>
      </c>
      <c r="Q1838" s="116">
        <v>633.85</v>
      </c>
      <c r="R1838">
        <v>42768</v>
      </c>
    </row>
    <row r="1839" spans="1:18" x14ac:dyDescent="0.25">
      <c r="A1839" s="170">
        <v>45587</v>
      </c>
      <c r="B1839" s="116">
        <v>632.65</v>
      </c>
      <c r="C1839" s="116">
        <v>606</v>
      </c>
      <c r="D1839" s="116">
        <v>604.04999999999995</v>
      </c>
      <c r="E1839" s="116">
        <v>632</v>
      </c>
      <c r="F1839" s="116">
        <v>606</v>
      </c>
      <c r="G1839">
        <v>4976</v>
      </c>
      <c r="H1839" s="116"/>
      <c r="I1839" s="116"/>
      <c r="L1839" s="170">
        <v>45587</v>
      </c>
      <c r="M1839" s="116">
        <v>605.29999999999995</v>
      </c>
      <c r="N1839" s="116">
        <v>637.04999999999995</v>
      </c>
      <c r="O1839" s="116">
        <v>603.54999999999995</v>
      </c>
      <c r="P1839" s="116">
        <v>637.04999999999995</v>
      </c>
      <c r="Q1839" s="116">
        <v>605.29999999999995</v>
      </c>
      <c r="R1839">
        <v>39906</v>
      </c>
    </row>
    <row r="1840" spans="1:18" x14ac:dyDescent="0.25">
      <c r="A1840" s="170">
        <v>45588</v>
      </c>
      <c r="B1840" s="116">
        <v>619.4</v>
      </c>
      <c r="C1840" s="116">
        <v>594</v>
      </c>
      <c r="D1840" s="116">
        <v>589.4</v>
      </c>
      <c r="E1840" s="116">
        <v>606</v>
      </c>
      <c r="F1840" s="116">
        <v>594</v>
      </c>
      <c r="G1840">
        <v>5429</v>
      </c>
      <c r="H1840" s="116"/>
      <c r="I1840" s="116"/>
      <c r="L1840" s="170">
        <v>45588</v>
      </c>
      <c r="M1840" s="116">
        <v>593.95000000000005</v>
      </c>
      <c r="N1840" s="116">
        <v>619.54999999999995</v>
      </c>
      <c r="O1840" s="116">
        <v>589.85</v>
      </c>
      <c r="P1840" s="116">
        <v>608.35</v>
      </c>
      <c r="Q1840" s="116">
        <v>593.95000000000005</v>
      </c>
      <c r="R1840">
        <v>63348</v>
      </c>
    </row>
    <row r="1841" spans="1:18" x14ac:dyDescent="0.25">
      <c r="A1841" s="170">
        <v>45589</v>
      </c>
      <c r="B1841" s="116">
        <v>613.20000000000005</v>
      </c>
      <c r="C1841" s="116">
        <v>590.4</v>
      </c>
      <c r="D1841" s="116">
        <v>586.45000000000005</v>
      </c>
      <c r="E1841" s="116">
        <v>613.20000000000005</v>
      </c>
      <c r="F1841" s="116">
        <v>590.4</v>
      </c>
      <c r="G1841">
        <v>3509</v>
      </c>
      <c r="H1841" s="116"/>
      <c r="I1841" s="116"/>
      <c r="L1841" s="170">
        <v>45589</v>
      </c>
      <c r="M1841" s="116">
        <v>590.54999999999995</v>
      </c>
      <c r="N1841" s="116">
        <v>604</v>
      </c>
      <c r="O1841" s="116">
        <v>587.35</v>
      </c>
      <c r="P1841" s="116">
        <v>595</v>
      </c>
      <c r="Q1841" s="116">
        <v>590.54999999999995</v>
      </c>
      <c r="R1841">
        <v>45338</v>
      </c>
    </row>
    <row r="1842" spans="1:18" x14ac:dyDescent="0.25">
      <c r="A1842" s="170">
        <v>45590</v>
      </c>
      <c r="B1842" s="116">
        <v>623.5</v>
      </c>
      <c r="C1842" s="116">
        <v>600.04999999999995</v>
      </c>
      <c r="D1842" s="116">
        <v>566.5</v>
      </c>
      <c r="E1842" s="116">
        <v>591</v>
      </c>
      <c r="F1842" s="116">
        <v>600.04999999999995</v>
      </c>
      <c r="G1842">
        <v>19289</v>
      </c>
      <c r="H1842" s="116"/>
      <c r="I1842" s="116"/>
      <c r="L1842" s="170">
        <v>45590</v>
      </c>
      <c r="M1842" s="116">
        <v>601.4</v>
      </c>
      <c r="N1842" s="116">
        <v>626.95000000000005</v>
      </c>
      <c r="O1842" s="116">
        <v>565.4</v>
      </c>
      <c r="P1842" s="116">
        <v>590.79999999999995</v>
      </c>
      <c r="Q1842" s="116">
        <v>601.4</v>
      </c>
      <c r="R1842">
        <v>702966</v>
      </c>
    </row>
    <row r="1843" spans="1:18" x14ac:dyDescent="0.25">
      <c r="A1843" s="170">
        <v>45593</v>
      </c>
      <c r="B1843" s="116">
        <v>637</v>
      </c>
      <c r="C1843" s="116">
        <v>618.95000000000005</v>
      </c>
      <c r="D1843" s="116">
        <v>589.4</v>
      </c>
      <c r="E1843" s="116">
        <v>589.4</v>
      </c>
      <c r="F1843" s="116">
        <v>618.95000000000005</v>
      </c>
      <c r="G1843">
        <v>6730</v>
      </c>
      <c r="H1843" s="116"/>
      <c r="I1843" s="116"/>
      <c r="L1843" s="170">
        <v>45593</v>
      </c>
      <c r="M1843" s="116">
        <v>620.15</v>
      </c>
      <c r="N1843" s="116">
        <v>637.85</v>
      </c>
      <c r="O1843" s="116">
        <v>611</v>
      </c>
      <c r="P1843" s="116">
        <v>620</v>
      </c>
      <c r="Q1843" s="116">
        <v>620.15</v>
      </c>
      <c r="R1843">
        <v>320642</v>
      </c>
    </row>
    <row r="1844" spans="1:18" x14ac:dyDescent="0.25">
      <c r="A1844" s="170">
        <v>45594</v>
      </c>
      <c r="B1844" s="116">
        <v>629.79999999999995</v>
      </c>
      <c r="C1844" s="116">
        <v>612.79999999999995</v>
      </c>
      <c r="D1844" s="116">
        <v>599.20000000000005</v>
      </c>
      <c r="E1844" s="116">
        <v>629.79999999999995</v>
      </c>
      <c r="F1844" s="116">
        <v>612.79999999999995</v>
      </c>
      <c r="G1844">
        <v>3927</v>
      </c>
      <c r="H1844" s="116"/>
      <c r="I1844" s="116"/>
      <c r="L1844" s="170">
        <v>45594</v>
      </c>
      <c r="M1844" s="116">
        <v>613.04999999999995</v>
      </c>
      <c r="N1844" s="116">
        <v>626.29999999999995</v>
      </c>
      <c r="O1844" s="116">
        <v>598.45000000000005</v>
      </c>
      <c r="P1844" s="116">
        <v>620.20000000000005</v>
      </c>
      <c r="Q1844" s="116">
        <v>613.04999999999995</v>
      </c>
      <c r="R1844">
        <v>102686</v>
      </c>
    </row>
    <row r="1845" spans="1:18" x14ac:dyDescent="0.25">
      <c r="A1845" s="170">
        <v>45595</v>
      </c>
      <c r="B1845" s="116">
        <v>625.1</v>
      </c>
      <c r="C1845" s="116">
        <v>594.35</v>
      </c>
      <c r="D1845" s="116">
        <v>591.4</v>
      </c>
      <c r="E1845" s="116">
        <v>625.1</v>
      </c>
      <c r="F1845" s="116">
        <v>594.35</v>
      </c>
      <c r="G1845">
        <v>3837</v>
      </c>
      <c r="H1845" s="116"/>
      <c r="I1845" s="116"/>
      <c r="L1845" s="170">
        <v>45595</v>
      </c>
      <c r="M1845" s="116">
        <v>594.6</v>
      </c>
      <c r="N1845" s="116">
        <v>615.70000000000005</v>
      </c>
      <c r="O1845" s="116">
        <v>592.29999999999995</v>
      </c>
      <c r="P1845" s="116">
        <v>615</v>
      </c>
      <c r="Q1845" s="116">
        <v>594.6</v>
      </c>
      <c r="R1845">
        <v>130507</v>
      </c>
    </row>
    <row r="1846" spans="1:18" x14ac:dyDescent="0.25">
      <c r="A1846" s="170">
        <v>45596</v>
      </c>
      <c r="B1846" s="116">
        <v>605.9</v>
      </c>
      <c r="C1846" s="116">
        <v>603.4</v>
      </c>
      <c r="D1846" s="116">
        <v>592.5</v>
      </c>
      <c r="E1846" s="116">
        <v>594.35</v>
      </c>
      <c r="F1846" s="116">
        <v>603.4</v>
      </c>
      <c r="G1846">
        <v>4556</v>
      </c>
      <c r="H1846" s="116"/>
      <c r="I1846" s="116"/>
      <c r="L1846" s="170">
        <v>45596</v>
      </c>
      <c r="M1846" s="116">
        <v>601.75</v>
      </c>
      <c r="N1846" s="116">
        <v>605</v>
      </c>
      <c r="O1846" s="116">
        <v>592.5</v>
      </c>
      <c r="P1846" s="116">
        <v>594.6</v>
      </c>
      <c r="Q1846" s="116">
        <v>601.75</v>
      </c>
      <c r="R1846">
        <v>60320</v>
      </c>
    </row>
    <row r="1847" spans="1:18" x14ac:dyDescent="0.25">
      <c r="A1847" s="170">
        <v>45597</v>
      </c>
      <c r="B1847" s="116">
        <v>619</v>
      </c>
      <c r="C1847" s="116">
        <v>613.54999999999995</v>
      </c>
      <c r="D1847" s="116">
        <v>607</v>
      </c>
      <c r="E1847" s="116">
        <v>615</v>
      </c>
      <c r="F1847" s="116">
        <v>613.54999999999995</v>
      </c>
      <c r="G1847">
        <v>4969</v>
      </c>
      <c r="H1847" s="116"/>
      <c r="I1847" s="116"/>
      <c r="L1847" s="170">
        <v>45597</v>
      </c>
      <c r="M1847" s="116">
        <v>613.4</v>
      </c>
      <c r="N1847" s="116">
        <v>619.79999999999995</v>
      </c>
      <c r="O1847" s="116">
        <v>606.85</v>
      </c>
      <c r="P1847" s="116">
        <v>606.85</v>
      </c>
      <c r="Q1847" s="116">
        <v>613.4</v>
      </c>
      <c r="R1847">
        <v>34493</v>
      </c>
    </row>
    <row r="1848" spans="1:18" x14ac:dyDescent="0.25">
      <c r="A1848" s="170">
        <v>45600</v>
      </c>
      <c r="B1848" s="116">
        <v>614</v>
      </c>
      <c r="C1848" s="116">
        <v>608.1</v>
      </c>
      <c r="D1848" s="116">
        <v>599.9</v>
      </c>
      <c r="E1848" s="116">
        <v>613</v>
      </c>
      <c r="F1848" s="116">
        <v>608.1</v>
      </c>
      <c r="G1848">
        <v>8399</v>
      </c>
      <c r="H1848" s="116"/>
      <c r="I1848" s="116"/>
      <c r="L1848" s="170">
        <v>45600</v>
      </c>
      <c r="M1848" s="116">
        <v>608.45000000000005</v>
      </c>
      <c r="N1848" s="116">
        <v>615.15</v>
      </c>
      <c r="O1848" s="116">
        <v>599.20000000000005</v>
      </c>
      <c r="P1848" s="116">
        <v>615</v>
      </c>
      <c r="Q1848" s="116">
        <v>608.45000000000005</v>
      </c>
      <c r="R1848">
        <v>94980</v>
      </c>
    </row>
    <row r="1849" spans="1:18" x14ac:dyDescent="0.25">
      <c r="A1849" s="170">
        <v>45601</v>
      </c>
      <c r="B1849" s="116">
        <v>605.54999999999995</v>
      </c>
      <c r="C1849" s="116">
        <v>600.79999999999995</v>
      </c>
      <c r="D1849" s="116">
        <v>598.1</v>
      </c>
      <c r="E1849" s="116">
        <v>600.04999999999995</v>
      </c>
      <c r="F1849" s="116">
        <v>600.79999999999995</v>
      </c>
      <c r="G1849">
        <v>1391</v>
      </c>
      <c r="H1849" s="116"/>
      <c r="I1849" s="116"/>
      <c r="L1849" s="170">
        <v>45601</v>
      </c>
      <c r="M1849" s="116">
        <v>601.25</v>
      </c>
      <c r="N1849" s="116">
        <v>608.45000000000005</v>
      </c>
      <c r="O1849" s="116">
        <v>597.15</v>
      </c>
      <c r="P1849" s="116">
        <v>602</v>
      </c>
      <c r="Q1849" s="116">
        <v>601.25</v>
      </c>
      <c r="R1849">
        <v>81298</v>
      </c>
    </row>
    <row r="1850" spans="1:18" x14ac:dyDescent="0.25">
      <c r="A1850" s="170">
        <v>45602</v>
      </c>
      <c r="B1850" s="116">
        <v>616.45000000000005</v>
      </c>
      <c r="C1850" s="116">
        <v>612.75</v>
      </c>
      <c r="D1850" s="116">
        <v>592</v>
      </c>
      <c r="E1850" s="116">
        <v>592</v>
      </c>
      <c r="F1850" s="116">
        <v>612.75</v>
      </c>
      <c r="G1850">
        <v>2378</v>
      </c>
      <c r="H1850" s="116"/>
      <c r="I1850" s="116"/>
      <c r="L1850" s="170">
        <v>45602</v>
      </c>
      <c r="M1850" s="116">
        <v>612.75</v>
      </c>
      <c r="N1850" s="116">
        <v>615.95000000000005</v>
      </c>
      <c r="O1850" s="116">
        <v>595.95000000000005</v>
      </c>
      <c r="P1850" s="116">
        <v>602</v>
      </c>
      <c r="Q1850" s="116">
        <v>612.75</v>
      </c>
      <c r="R1850">
        <v>75861</v>
      </c>
    </row>
    <row r="1851" spans="1:18" x14ac:dyDescent="0.25">
      <c r="A1851" s="170">
        <v>45603</v>
      </c>
      <c r="B1851" s="116">
        <v>625</v>
      </c>
      <c r="C1851" s="116">
        <v>616.20000000000005</v>
      </c>
      <c r="D1851" s="116">
        <v>611.95000000000005</v>
      </c>
      <c r="E1851" s="116">
        <v>622.95000000000005</v>
      </c>
      <c r="F1851" s="116">
        <v>616.20000000000005</v>
      </c>
      <c r="G1851">
        <v>6988</v>
      </c>
      <c r="H1851" s="116"/>
      <c r="I1851" s="116"/>
      <c r="L1851" s="170">
        <v>45603</v>
      </c>
      <c r="M1851" s="116">
        <v>617.04999999999995</v>
      </c>
      <c r="N1851" s="116">
        <v>625.95000000000005</v>
      </c>
      <c r="O1851" s="116">
        <v>611.5</v>
      </c>
      <c r="P1851" s="116">
        <v>613.04999999999995</v>
      </c>
      <c r="Q1851" s="116">
        <v>617.04999999999995</v>
      </c>
      <c r="R1851">
        <v>87767</v>
      </c>
    </row>
    <row r="1852" spans="1:18" x14ac:dyDescent="0.25">
      <c r="A1852" s="170">
        <v>45604</v>
      </c>
      <c r="B1852" s="116">
        <v>658.65</v>
      </c>
      <c r="C1852" s="116">
        <v>635.25</v>
      </c>
      <c r="D1852" s="116">
        <v>607.15</v>
      </c>
      <c r="E1852" s="116">
        <v>627</v>
      </c>
      <c r="F1852" s="116">
        <v>635.25</v>
      </c>
      <c r="G1852">
        <v>5380</v>
      </c>
      <c r="H1852" s="116"/>
      <c r="I1852" s="116"/>
      <c r="L1852" s="170">
        <v>45604</v>
      </c>
      <c r="M1852" s="116">
        <v>636.25</v>
      </c>
      <c r="N1852" s="116">
        <v>659.95</v>
      </c>
      <c r="O1852" s="116">
        <v>604.35</v>
      </c>
      <c r="P1852" s="116">
        <v>617.04999999999995</v>
      </c>
      <c r="Q1852" s="116">
        <v>636.25</v>
      </c>
      <c r="R1852">
        <v>130163</v>
      </c>
    </row>
    <row r="1853" spans="1:18" x14ac:dyDescent="0.25">
      <c r="A1853" s="170">
        <v>45607</v>
      </c>
      <c r="B1853" s="116">
        <v>635.9</v>
      </c>
      <c r="C1853" s="116">
        <v>631.9</v>
      </c>
      <c r="D1853" s="116">
        <v>616.95000000000005</v>
      </c>
      <c r="E1853" s="116">
        <v>635.9</v>
      </c>
      <c r="F1853" s="116">
        <v>631.9</v>
      </c>
      <c r="G1853">
        <v>4157</v>
      </c>
      <c r="H1853" s="116"/>
      <c r="I1853" s="116"/>
      <c r="L1853" s="170">
        <v>45607</v>
      </c>
      <c r="M1853" s="116">
        <v>632.15</v>
      </c>
      <c r="N1853" s="116">
        <v>635.6</v>
      </c>
      <c r="O1853" s="116">
        <v>616</v>
      </c>
      <c r="P1853" s="116">
        <v>625</v>
      </c>
      <c r="Q1853" s="116">
        <v>632.15</v>
      </c>
      <c r="R1853">
        <v>123744</v>
      </c>
    </row>
    <row r="1854" spans="1:18" x14ac:dyDescent="0.25">
      <c r="A1854" s="170">
        <v>45608</v>
      </c>
      <c r="B1854" s="116">
        <v>645</v>
      </c>
      <c r="C1854" s="116">
        <v>624.5</v>
      </c>
      <c r="D1854" s="116">
        <v>621.9</v>
      </c>
      <c r="E1854" s="116">
        <v>645</v>
      </c>
      <c r="F1854" s="116">
        <v>624.5</v>
      </c>
      <c r="G1854">
        <v>3733</v>
      </c>
      <c r="H1854" s="116"/>
      <c r="I1854" s="116"/>
      <c r="L1854" s="170">
        <v>45608</v>
      </c>
      <c r="M1854" s="116">
        <v>624.04999999999995</v>
      </c>
      <c r="N1854" s="116">
        <v>636.1</v>
      </c>
      <c r="O1854" s="116">
        <v>621.9</v>
      </c>
      <c r="P1854" s="116">
        <v>633.1</v>
      </c>
      <c r="Q1854" s="116">
        <v>624.04999999999995</v>
      </c>
      <c r="R1854">
        <v>122753</v>
      </c>
    </row>
    <row r="1855" spans="1:18" x14ac:dyDescent="0.25">
      <c r="A1855" s="170">
        <v>45609</v>
      </c>
      <c r="B1855" s="116">
        <v>634.6</v>
      </c>
      <c r="C1855" s="116">
        <v>619.75</v>
      </c>
      <c r="D1855" s="116">
        <v>608.29999999999995</v>
      </c>
      <c r="E1855" s="116">
        <v>634</v>
      </c>
      <c r="F1855" s="116">
        <v>619.75</v>
      </c>
      <c r="G1855">
        <v>7658</v>
      </c>
      <c r="H1855" s="116"/>
      <c r="I1855" s="116"/>
      <c r="L1855" s="170">
        <v>45609</v>
      </c>
      <c r="M1855" s="116">
        <v>619.35</v>
      </c>
      <c r="N1855" s="116">
        <v>633.6</v>
      </c>
      <c r="O1855" s="116">
        <v>609.1</v>
      </c>
      <c r="P1855" s="116">
        <v>625.85</v>
      </c>
      <c r="Q1855" s="116">
        <v>619.35</v>
      </c>
      <c r="R1855">
        <v>189997</v>
      </c>
    </row>
    <row r="1856" spans="1:18" x14ac:dyDescent="0.25">
      <c r="A1856" s="170">
        <v>45610</v>
      </c>
      <c r="B1856" s="116">
        <v>631.6</v>
      </c>
      <c r="C1856" s="116">
        <v>616.95000000000005</v>
      </c>
      <c r="D1856" s="116">
        <v>616</v>
      </c>
      <c r="E1856" s="116">
        <v>617.4</v>
      </c>
      <c r="F1856" s="116">
        <v>616.95000000000005</v>
      </c>
      <c r="G1856">
        <v>4761</v>
      </c>
      <c r="H1856" s="116"/>
      <c r="I1856" s="116"/>
      <c r="L1856" s="170">
        <v>45610</v>
      </c>
      <c r="M1856" s="116">
        <v>617.75</v>
      </c>
      <c r="N1856" s="116">
        <v>632.20000000000005</v>
      </c>
      <c r="O1856" s="116">
        <v>615.45000000000005</v>
      </c>
      <c r="P1856" s="116">
        <v>622.45000000000005</v>
      </c>
      <c r="Q1856" s="116">
        <v>617.75</v>
      </c>
      <c r="R1856">
        <v>81654</v>
      </c>
    </row>
    <row r="1857" spans="1:18" x14ac:dyDescent="0.25">
      <c r="A1857" s="170">
        <v>45614</v>
      </c>
      <c r="B1857" s="116">
        <v>657.8</v>
      </c>
      <c r="C1857" s="116">
        <v>641.54999999999995</v>
      </c>
      <c r="D1857" s="116">
        <v>619.65</v>
      </c>
      <c r="E1857" s="116">
        <v>630.15</v>
      </c>
      <c r="F1857" s="116">
        <v>641.54999999999995</v>
      </c>
      <c r="G1857">
        <v>13130</v>
      </c>
      <c r="H1857" s="116"/>
      <c r="I1857" s="116"/>
      <c r="L1857" s="170">
        <v>45614</v>
      </c>
      <c r="M1857" s="116">
        <v>643.75</v>
      </c>
      <c r="N1857" s="116">
        <v>656.9</v>
      </c>
      <c r="O1857" s="116">
        <v>619.54999999999995</v>
      </c>
      <c r="P1857" s="116">
        <v>619.54999999999995</v>
      </c>
      <c r="Q1857" s="116">
        <v>643.75</v>
      </c>
      <c r="R1857">
        <v>334616</v>
      </c>
    </row>
    <row r="1858" spans="1:18" x14ac:dyDescent="0.25">
      <c r="A1858" s="170">
        <v>45615</v>
      </c>
      <c r="B1858" s="116">
        <v>734.75</v>
      </c>
      <c r="C1858" s="116">
        <v>671.75</v>
      </c>
      <c r="D1858" s="116">
        <v>647.95000000000005</v>
      </c>
      <c r="E1858" s="116">
        <v>659.65</v>
      </c>
      <c r="F1858" s="116">
        <v>671.75</v>
      </c>
      <c r="G1858">
        <v>80318</v>
      </c>
      <c r="H1858" s="116"/>
      <c r="I1858" s="116"/>
      <c r="L1858" s="170">
        <v>45615</v>
      </c>
      <c r="M1858" s="116">
        <v>672</v>
      </c>
      <c r="N1858" s="116">
        <v>734.95</v>
      </c>
      <c r="O1858" s="116">
        <v>647.65</v>
      </c>
      <c r="P1858" s="116">
        <v>649.4</v>
      </c>
      <c r="Q1858" s="116">
        <v>672</v>
      </c>
      <c r="R1858">
        <v>3418074</v>
      </c>
    </row>
    <row r="1859" spans="1:18" x14ac:dyDescent="0.25">
      <c r="A1859" s="170">
        <v>45617</v>
      </c>
      <c r="B1859" s="116">
        <v>648.9</v>
      </c>
      <c r="C1859" s="116">
        <v>609.35</v>
      </c>
      <c r="D1859" s="116">
        <v>606.5</v>
      </c>
      <c r="E1859" s="116">
        <v>648.9</v>
      </c>
      <c r="F1859" s="116">
        <v>609.35</v>
      </c>
      <c r="G1859">
        <v>83059</v>
      </c>
      <c r="H1859" s="116"/>
      <c r="I1859" s="116"/>
      <c r="L1859" s="170">
        <v>45617</v>
      </c>
      <c r="M1859" s="116">
        <v>609.54999999999995</v>
      </c>
      <c r="N1859" s="116">
        <v>638.95000000000005</v>
      </c>
      <c r="O1859" s="116">
        <v>605.6</v>
      </c>
      <c r="P1859" s="116">
        <v>638.95000000000005</v>
      </c>
      <c r="Q1859" s="116">
        <v>609.54999999999995</v>
      </c>
      <c r="R1859">
        <v>2483083</v>
      </c>
    </row>
    <row r="1860" spans="1:18" x14ac:dyDescent="0.25">
      <c r="A1860" s="170">
        <v>45618</v>
      </c>
      <c r="B1860" s="116">
        <v>625</v>
      </c>
      <c r="C1860" s="116">
        <v>614.35</v>
      </c>
      <c r="D1860" s="116">
        <v>605</v>
      </c>
      <c r="E1860" s="116">
        <v>606.95000000000005</v>
      </c>
      <c r="F1860" s="116">
        <v>614.35</v>
      </c>
      <c r="G1860">
        <v>20643</v>
      </c>
      <c r="H1860" s="116"/>
      <c r="I1860" s="116"/>
      <c r="L1860" s="170">
        <v>45618</v>
      </c>
      <c r="M1860" s="116">
        <v>613.85</v>
      </c>
      <c r="N1860" s="116">
        <v>626</v>
      </c>
      <c r="O1860" s="116">
        <v>602.1</v>
      </c>
      <c r="P1860" s="116">
        <v>609.70000000000005</v>
      </c>
      <c r="Q1860" s="116">
        <v>613.85</v>
      </c>
      <c r="R1860">
        <v>609374</v>
      </c>
    </row>
    <row r="1861" spans="1:18" x14ac:dyDescent="0.25">
      <c r="A1861" s="170">
        <v>45621</v>
      </c>
      <c r="B1861" s="116">
        <v>641.35</v>
      </c>
      <c r="C1861" s="116">
        <v>626.20000000000005</v>
      </c>
      <c r="D1861" s="116">
        <v>618</v>
      </c>
      <c r="E1861" s="116">
        <v>630</v>
      </c>
      <c r="F1861" s="116">
        <v>626.20000000000005</v>
      </c>
      <c r="G1861">
        <v>38558</v>
      </c>
      <c r="H1861" s="116"/>
      <c r="I1861" s="116"/>
      <c r="L1861" s="170">
        <v>45621</v>
      </c>
      <c r="M1861" s="116">
        <v>625.45000000000005</v>
      </c>
      <c r="N1861" s="116">
        <v>642.25</v>
      </c>
      <c r="O1861" s="116">
        <v>619.04999999999995</v>
      </c>
      <c r="P1861" s="116">
        <v>633.5</v>
      </c>
      <c r="Q1861" s="116">
        <v>625.45000000000005</v>
      </c>
      <c r="R1861">
        <v>585317</v>
      </c>
    </row>
    <row r="1862" spans="1:18" x14ac:dyDescent="0.25">
      <c r="A1862" s="170">
        <v>45622</v>
      </c>
      <c r="B1862" s="116">
        <v>635</v>
      </c>
      <c r="C1862" s="116">
        <v>621.6</v>
      </c>
      <c r="D1862" s="116">
        <v>617.04999999999995</v>
      </c>
      <c r="E1862" s="116">
        <v>635</v>
      </c>
      <c r="F1862" s="116">
        <v>621.6</v>
      </c>
      <c r="G1862">
        <v>25378</v>
      </c>
      <c r="H1862" s="116"/>
      <c r="I1862" s="116"/>
      <c r="L1862" s="170">
        <v>45622</v>
      </c>
      <c r="M1862" s="116">
        <v>620.65</v>
      </c>
      <c r="N1862" s="116">
        <v>634.6</v>
      </c>
      <c r="O1862" s="116">
        <v>617.4</v>
      </c>
      <c r="P1862" s="116">
        <v>625.6</v>
      </c>
      <c r="Q1862" s="116">
        <v>620.65</v>
      </c>
      <c r="R1862">
        <v>196617</v>
      </c>
    </row>
    <row r="1863" spans="1:18" x14ac:dyDescent="0.25">
      <c r="A1863" s="170">
        <v>45623</v>
      </c>
      <c r="B1863" s="116">
        <v>652</v>
      </c>
      <c r="C1863" s="116">
        <v>624.95000000000005</v>
      </c>
      <c r="D1863" s="116">
        <v>614.04999999999995</v>
      </c>
      <c r="E1863" s="116">
        <v>623.5</v>
      </c>
      <c r="F1863" s="116">
        <v>624.95000000000005</v>
      </c>
      <c r="G1863">
        <v>43686</v>
      </c>
      <c r="H1863" s="116"/>
      <c r="I1863" s="116"/>
      <c r="L1863" s="170">
        <v>45623</v>
      </c>
      <c r="M1863" s="116">
        <v>624.15</v>
      </c>
      <c r="N1863" s="116">
        <v>652</v>
      </c>
      <c r="O1863" s="116">
        <v>615</v>
      </c>
      <c r="P1863" s="116">
        <v>621</v>
      </c>
      <c r="Q1863" s="116">
        <v>624.15</v>
      </c>
      <c r="R1863">
        <v>965413</v>
      </c>
    </row>
    <row r="1864" spans="1:18" x14ac:dyDescent="0.25">
      <c r="A1864" s="170">
        <v>45624</v>
      </c>
      <c r="B1864" s="116">
        <v>656.8</v>
      </c>
      <c r="C1864" s="116">
        <v>650.15</v>
      </c>
      <c r="D1864" s="116">
        <v>628.1</v>
      </c>
      <c r="E1864" s="116">
        <v>630</v>
      </c>
      <c r="F1864" s="116">
        <v>650.15</v>
      </c>
      <c r="G1864">
        <v>27396</v>
      </c>
      <c r="H1864" s="116"/>
      <c r="I1864" s="116"/>
      <c r="L1864" s="170">
        <v>45624</v>
      </c>
      <c r="M1864" s="116">
        <v>650.1</v>
      </c>
      <c r="N1864" s="116">
        <v>656.55</v>
      </c>
      <c r="O1864" s="116">
        <v>625.04999999999995</v>
      </c>
      <c r="P1864" s="116">
        <v>625.04999999999995</v>
      </c>
      <c r="Q1864" s="116">
        <v>650.1</v>
      </c>
      <c r="R1864">
        <v>463105</v>
      </c>
    </row>
    <row r="1865" spans="1:18" x14ac:dyDescent="0.25">
      <c r="A1865" s="170">
        <v>45625</v>
      </c>
      <c r="B1865" s="116">
        <v>685.15</v>
      </c>
      <c r="C1865" s="116">
        <v>671</v>
      </c>
      <c r="D1865" s="116">
        <v>646.65</v>
      </c>
      <c r="E1865" s="116">
        <v>661.4</v>
      </c>
      <c r="F1865" s="116">
        <v>671</v>
      </c>
      <c r="G1865">
        <v>41857</v>
      </c>
      <c r="H1865" s="116"/>
      <c r="I1865" s="116"/>
      <c r="L1865" s="170">
        <v>45625</v>
      </c>
      <c r="M1865" s="116">
        <v>670.8</v>
      </c>
      <c r="N1865" s="116">
        <v>685</v>
      </c>
      <c r="O1865" s="116">
        <v>647.75</v>
      </c>
      <c r="P1865" s="116">
        <v>651.29999999999995</v>
      </c>
      <c r="Q1865" s="116">
        <v>670.8</v>
      </c>
      <c r="R1865">
        <v>884323</v>
      </c>
    </row>
    <row r="1866" spans="1:18" x14ac:dyDescent="0.25">
      <c r="A1866" s="170">
        <v>45628</v>
      </c>
      <c r="B1866" s="116">
        <v>676.95</v>
      </c>
      <c r="C1866" s="116">
        <v>645.15</v>
      </c>
      <c r="D1866" s="116">
        <v>640.35</v>
      </c>
      <c r="E1866" s="116">
        <v>676.95</v>
      </c>
      <c r="F1866" s="116">
        <v>645.15</v>
      </c>
      <c r="G1866">
        <v>22343</v>
      </c>
      <c r="H1866" s="116"/>
      <c r="I1866" s="116"/>
      <c r="L1866" s="170">
        <v>45628</v>
      </c>
      <c r="M1866" s="116">
        <v>645.54999999999995</v>
      </c>
      <c r="N1866" s="116">
        <v>670.8</v>
      </c>
      <c r="O1866" s="116">
        <v>640</v>
      </c>
      <c r="P1866" s="116">
        <v>670.8</v>
      </c>
      <c r="Q1866" s="116">
        <v>645.54999999999995</v>
      </c>
      <c r="R1866">
        <v>265707</v>
      </c>
    </row>
    <row r="1867" spans="1:18" x14ac:dyDescent="0.25">
      <c r="A1867" s="170">
        <v>45629</v>
      </c>
      <c r="B1867" s="116">
        <v>651.4</v>
      </c>
      <c r="C1867" s="116">
        <v>643.35</v>
      </c>
      <c r="D1867" s="116">
        <v>640.5</v>
      </c>
      <c r="E1867" s="116">
        <v>640.5</v>
      </c>
      <c r="F1867" s="116">
        <v>643.35</v>
      </c>
      <c r="G1867">
        <v>7580</v>
      </c>
      <c r="H1867" s="116"/>
      <c r="I1867" s="116"/>
      <c r="L1867" s="170">
        <v>45629</v>
      </c>
      <c r="M1867" s="116">
        <v>642.70000000000005</v>
      </c>
      <c r="N1867" s="116">
        <v>651.75</v>
      </c>
      <c r="O1867" s="116">
        <v>641</v>
      </c>
      <c r="P1867" s="116">
        <v>645</v>
      </c>
      <c r="Q1867" s="116">
        <v>642.70000000000005</v>
      </c>
      <c r="R1867">
        <v>132062</v>
      </c>
    </row>
    <row r="1868" spans="1:18" x14ac:dyDescent="0.25">
      <c r="A1868" s="170">
        <v>45630</v>
      </c>
      <c r="B1868" s="116">
        <v>650</v>
      </c>
      <c r="C1868" s="116">
        <v>644.25</v>
      </c>
      <c r="D1868" s="116">
        <v>637.54999999999995</v>
      </c>
      <c r="E1868" s="116">
        <v>650</v>
      </c>
      <c r="F1868" s="116">
        <v>644.25</v>
      </c>
      <c r="G1868">
        <v>11972</v>
      </c>
      <c r="H1868" s="116"/>
      <c r="I1868" s="116"/>
      <c r="L1868" s="170">
        <v>45630</v>
      </c>
      <c r="M1868" s="116">
        <v>644.9</v>
      </c>
      <c r="N1868" s="116">
        <v>648.95000000000005</v>
      </c>
      <c r="O1868" s="116">
        <v>638.04999999999995</v>
      </c>
      <c r="P1868" s="116">
        <v>640.04999999999995</v>
      </c>
      <c r="Q1868" s="116">
        <v>644.9</v>
      </c>
      <c r="R1868">
        <v>171937</v>
      </c>
    </row>
    <row r="1869" spans="1:18" x14ac:dyDescent="0.25">
      <c r="A1869" s="170">
        <v>45631</v>
      </c>
      <c r="B1869" s="116">
        <v>670.3</v>
      </c>
      <c r="C1869" s="116">
        <v>655.1</v>
      </c>
      <c r="D1869" s="116">
        <v>647.70000000000005</v>
      </c>
      <c r="E1869" s="116">
        <v>664.95</v>
      </c>
      <c r="F1869" s="116">
        <v>655.1</v>
      </c>
      <c r="G1869">
        <v>17270</v>
      </c>
      <c r="H1869" s="116"/>
      <c r="I1869" s="116"/>
      <c r="L1869" s="170">
        <v>45631</v>
      </c>
      <c r="M1869" s="116">
        <v>654.45000000000005</v>
      </c>
      <c r="N1869" s="116">
        <v>668.75</v>
      </c>
      <c r="O1869" s="116">
        <v>646.29999999999995</v>
      </c>
      <c r="P1869" s="116">
        <v>652.25</v>
      </c>
      <c r="Q1869" s="116">
        <v>654.45000000000005</v>
      </c>
      <c r="R1869">
        <v>407593</v>
      </c>
    </row>
    <row r="1870" spans="1:18" x14ac:dyDescent="0.25">
      <c r="A1870" s="170">
        <v>45632</v>
      </c>
      <c r="B1870" s="116">
        <v>670</v>
      </c>
      <c r="C1870" s="116">
        <v>665.25</v>
      </c>
      <c r="D1870" s="116">
        <v>642.04999999999995</v>
      </c>
      <c r="E1870" s="116">
        <v>642.04999999999995</v>
      </c>
      <c r="F1870" s="116">
        <v>665.25</v>
      </c>
      <c r="G1870">
        <v>17546</v>
      </c>
      <c r="H1870" s="116"/>
      <c r="I1870" s="116"/>
      <c r="L1870" s="170">
        <v>45632</v>
      </c>
      <c r="M1870" s="116">
        <v>664.85</v>
      </c>
      <c r="N1870" s="116">
        <v>670.1</v>
      </c>
      <c r="O1870" s="116">
        <v>654.1</v>
      </c>
      <c r="P1870" s="116">
        <v>656</v>
      </c>
      <c r="Q1870" s="116">
        <v>664.85</v>
      </c>
      <c r="R1870">
        <v>169504</v>
      </c>
    </row>
    <row r="1871" spans="1:18" x14ac:dyDescent="0.25">
      <c r="A1871" s="170">
        <v>45635</v>
      </c>
      <c r="B1871" s="116">
        <v>680.25</v>
      </c>
      <c r="C1871" s="116">
        <v>673.65</v>
      </c>
      <c r="D1871" s="116">
        <v>661</v>
      </c>
      <c r="E1871" s="116">
        <v>661</v>
      </c>
      <c r="F1871" s="116">
        <v>673.65</v>
      </c>
      <c r="G1871">
        <v>20503</v>
      </c>
      <c r="H1871" s="116"/>
      <c r="I1871" s="116"/>
      <c r="L1871" s="170">
        <v>45635</v>
      </c>
      <c r="M1871" s="116">
        <v>673.7</v>
      </c>
      <c r="N1871" s="116">
        <v>680</v>
      </c>
      <c r="O1871" s="116">
        <v>662.55</v>
      </c>
      <c r="P1871" s="116">
        <v>664.85</v>
      </c>
      <c r="Q1871" s="116">
        <v>673.7</v>
      </c>
      <c r="R1871">
        <v>196093</v>
      </c>
    </row>
    <row r="1872" spans="1:18" x14ac:dyDescent="0.25">
      <c r="A1872" s="170">
        <v>45636</v>
      </c>
      <c r="B1872" s="116">
        <v>687.45</v>
      </c>
      <c r="C1872" s="116">
        <v>654.20000000000005</v>
      </c>
      <c r="D1872" s="116">
        <v>650.9</v>
      </c>
      <c r="E1872" s="116">
        <v>679.25</v>
      </c>
      <c r="F1872" s="116">
        <v>654.20000000000005</v>
      </c>
      <c r="G1872">
        <v>10238</v>
      </c>
      <c r="H1872" s="116"/>
      <c r="I1872" s="116"/>
      <c r="L1872" s="170">
        <v>45636</v>
      </c>
      <c r="M1872" s="116">
        <v>652.85</v>
      </c>
      <c r="N1872" s="116">
        <v>688</v>
      </c>
      <c r="O1872" s="116">
        <v>650</v>
      </c>
      <c r="P1872" s="116">
        <v>680</v>
      </c>
      <c r="Q1872" s="116">
        <v>652.85</v>
      </c>
      <c r="R1872">
        <v>183946</v>
      </c>
    </row>
    <row r="1873" spans="1:18" x14ac:dyDescent="0.25">
      <c r="A1873" s="170">
        <v>45637</v>
      </c>
      <c r="B1873" s="116">
        <v>665</v>
      </c>
      <c r="C1873" s="116">
        <v>653.65</v>
      </c>
      <c r="D1873" s="116">
        <v>649</v>
      </c>
      <c r="E1873" s="116">
        <v>665</v>
      </c>
      <c r="F1873" s="116">
        <v>653.65</v>
      </c>
      <c r="G1873">
        <v>8564</v>
      </c>
      <c r="H1873" s="116"/>
      <c r="I1873" s="116"/>
      <c r="L1873" s="170">
        <v>45637</v>
      </c>
      <c r="M1873" s="116">
        <v>653.35</v>
      </c>
      <c r="N1873" s="116">
        <v>658.5</v>
      </c>
      <c r="O1873" s="116">
        <v>649.4</v>
      </c>
      <c r="P1873" s="116">
        <v>657.9</v>
      </c>
      <c r="Q1873" s="116">
        <v>653.35</v>
      </c>
      <c r="R1873">
        <v>74606</v>
      </c>
    </row>
    <row r="1874" spans="1:18" x14ac:dyDescent="0.25">
      <c r="A1874" s="170">
        <v>45638</v>
      </c>
      <c r="B1874" s="116">
        <v>668.75</v>
      </c>
      <c r="C1874" s="116">
        <v>664.55</v>
      </c>
      <c r="D1874" s="116">
        <v>645.1</v>
      </c>
      <c r="E1874" s="116">
        <v>664</v>
      </c>
      <c r="F1874" s="116">
        <v>664.55</v>
      </c>
      <c r="G1874">
        <v>18899</v>
      </c>
      <c r="H1874" s="116"/>
      <c r="I1874" s="116"/>
      <c r="L1874" s="170">
        <v>45638</v>
      </c>
      <c r="M1874" s="116">
        <v>665.1</v>
      </c>
      <c r="N1874" s="116">
        <v>668.95</v>
      </c>
      <c r="O1874" s="116">
        <v>645</v>
      </c>
      <c r="P1874" s="116">
        <v>655.95</v>
      </c>
      <c r="Q1874" s="116">
        <v>665.1</v>
      </c>
      <c r="R1874">
        <v>137189</v>
      </c>
    </row>
    <row r="1875" spans="1:18" x14ac:dyDescent="0.25">
      <c r="A1875" s="170">
        <v>45639</v>
      </c>
      <c r="B1875" s="116">
        <v>677.45</v>
      </c>
      <c r="C1875" s="116">
        <v>666.5</v>
      </c>
      <c r="D1875" s="116">
        <v>652.5</v>
      </c>
      <c r="E1875" s="116">
        <v>666.1</v>
      </c>
      <c r="F1875" s="116">
        <v>666.5</v>
      </c>
      <c r="G1875">
        <v>20499</v>
      </c>
      <c r="H1875" s="116"/>
      <c r="I1875" s="116"/>
      <c r="L1875" s="170">
        <v>45639</v>
      </c>
      <c r="M1875" s="116">
        <v>666.6</v>
      </c>
      <c r="N1875" s="116">
        <v>678</v>
      </c>
      <c r="O1875" s="116">
        <v>651.75</v>
      </c>
      <c r="P1875" s="116">
        <v>663.05</v>
      </c>
      <c r="Q1875" s="116">
        <v>666.6</v>
      </c>
      <c r="R1875">
        <v>185206</v>
      </c>
    </row>
    <row r="1876" spans="1:18" x14ac:dyDescent="0.25">
      <c r="A1876" s="170">
        <v>45642</v>
      </c>
      <c r="B1876" s="116">
        <v>688</v>
      </c>
      <c r="C1876" s="116">
        <v>683.65</v>
      </c>
      <c r="D1876" s="116">
        <v>660.05</v>
      </c>
      <c r="E1876" s="116">
        <v>679</v>
      </c>
      <c r="F1876" s="116">
        <v>683.65</v>
      </c>
      <c r="G1876">
        <v>14617</v>
      </c>
      <c r="H1876" s="116"/>
      <c r="I1876" s="116"/>
      <c r="L1876" s="170">
        <v>45642</v>
      </c>
      <c r="M1876" s="116">
        <v>681.7</v>
      </c>
      <c r="N1876" s="116">
        <v>689</v>
      </c>
      <c r="O1876" s="116">
        <v>664.05</v>
      </c>
      <c r="P1876" s="116">
        <v>669</v>
      </c>
      <c r="Q1876" s="116">
        <v>681.7</v>
      </c>
      <c r="R1876">
        <v>331839</v>
      </c>
    </row>
    <row r="1877" spans="1:18" x14ac:dyDescent="0.25">
      <c r="A1877" s="170">
        <v>45643</v>
      </c>
      <c r="B1877" s="116">
        <v>699.8</v>
      </c>
      <c r="C1877" s="116">
        <v>678.85</v>
      </c>
      <c r="D1877" s="116">
        <v>673.35</v>
      </c>
      <c r="E1877" s="116">
        <v>686.05</v>
      </c>
      <c r="F1877" s="116">
        <v>678.85</v>
      </c>
      <c r="G1877">
        <v>20374</v>
      </c>
      <c r="H1877" s="116"/>
      <c r="I1877" s="116"/>
      <c r="L1877" s="170">
        <v>45643</v>
      </c>
      <c r="M1877" s="116">
        <v>678.7</v>
      </c>
      <c r="N1877" s="116">
        <v>699</v>
      </c>
      <c r="O1877" s="116">
        <v>671.95</v>
      </c>
      <c r="P1877" s="116">
        <v>690</v>
      </c>
      <c r="Q1877" s="116">
        <v>678.7</v>
      </c>
      <c r="R1877">
        <v>407541</v>
      </c>
    </row>
    <row r="1878" spans="1:18" x14ac:dyDescent="0.25">
      <c r="A1878" s="170">
        <v>45644</v>
      </c>
      <c r="B1878" s="116">
        <v>694.05</v>
      </c>
      <c r="C1878" s="116">
        <v>686.25</v>
      </c>
      <c r="D1878" s="116">
        <v>667.5</v>
      </c>
      <c r="E1878" s="116">
        <v>667.5</v>
      </c>
      <c r="F1878" s="116">
        <v>686.25</v>
      </c>
      <c r="G1878">
        <v>17415</v>
      </c>
      <c r="H1878" s="116"/>
      <c r="I1878" s="116"/>
      <c r="L1878" s="170">
        <v>45644</v>
      </c>
      <c r="M1878" s="116">
        <v>687.85</v>
      </c>
      <c r="N1878" s="116">
        <v>694.75</v>
      </c>
      <c r="O1878" s="116">
        <v>678.2</v>
      </c>
      <c r="P1878" s="116">
        <v>680.05</v>
      </c>
      <c r="Q1878" s="116">
        <v>687.85</v>
      </c>
      <c r="R1878">
        <v>188653</v>
      </c>
    </row>
    <row r="1879" spans="1:18" x14ac:dyDescent="0.25">
      <c r="A1879" s="170">
        <v>45645</v>
      </c>
      <c r="B1879" s="116">
        <v>688.25</v>
      </c>
      <c r="C1879" s="116">
        <v>685.15</v>
      </c>
      <c r="D1879" s="116">
        <v>674.1</v>
      </c>
      <c r="E1879" s="116">
        <v>674.1</v>
      </c>
      <c r="F1879" s="116">
        <v>685.15</v>
      </c>
      <c r="G1879">
        <v>8526</v>
      </c>
      <c r="H1879" s="116"/>
      <c r="I1879" s="116"/>
      <c r="L1879" s="170">
        <v>45645</v>
      </c>
      <c r="M1879" s="116">
        <v>686.5</v>
      </c>
      <c r="N1879" s="116">
        <v>687.85</v>
      </c>
      <c r="O1879" s="116">
        <v>675.5</v>
      </c>
      <c r="P1879" s="116">
        <v>684</v>
      </c>
      <c r="Q1879" s="116">
        <v>686.5</v>
      </c>
      <c r="R1879">
        <v>210887</v>
      </c>
    </row>
    <row r="1880" spans="1:18" x14ac:dyDescent="0.25">
      <c r="A1880" s="170">
        <v>45646</v>
      </c>
      <c r="B1880" s="116">
        <v>699</v>
      </c>
      <c r="C1880" s="116">
        <v>679.8</v>
      </c>
      <c r="D1880" s="116">
        <v>674.9</v>
      </c>
      <c r="E1880" s="116">
        <v>685</v>
      </c>
      <c r="F1880" s="116">
        <v>679.8</v>
      </c>
      <c r="G1880">
        <v>13136</v>
      </c>
      <c r="H1880" s="116"/>
      <c r="I1880" s="116"/>
      <c r="L1880" s="170">
        <v>45646</v>
      </c>
      <c r="M1880" s="116">
        <v>680.05</v>
      </c>
      <c r="N1880" s="116">
        <v>699</v>
      </c>
      <c r="O1880" s="116">
        <v>675.05</v>
      </c>
      <c r="P1880" s="116">
        <v>685</v>
      </c>
      <c r="Q1880" s="116">
        <v>680.05</v>
      </c>
      <c r="R1880">
        <v>235444</v>
      </c>
    </row>
    <row r="1881" spans="1:18" x14ac:dyDescent="0.25">
      <c r="A1881" s="170">
        <v>45649</v>
      </c>
      <c r="B1881" s="116">
        <v>684.55</v>
      </c>
      <c r="C1881" s="116">
        <v>677.35</v>
      </c>
      <c r="D1881" s="116">
        <v>666.7</v>
      </c>
      <c r="E1881" s="116">
        <v>676.95</v>
      </c>
      <c r="F1881" s="116">
        <v>677.35</v>
      </c>
      <c r="G1881">
        <v>12591</v>
      </c>
      <c r="H1881" s="116"/>
      <c r="I1881" s="116"/>
      <c r="L1881" s="170">
        <v>45649</v>
      </c>
      <c r="M1881" s="116">
        <v>678.75</v>
      </c>
      <c r="N1881" s="116">
        <v>684.9</v>
      </c>
      <c r="O1881" s="116">
        <v>666.35</v>
      </c>
      <c r="P1881" s="116">
        <v>680.05</v>
      </c>
      <c r="Q1881" s="116">
        <v>678.75</v>
      </c>
      <c r="R1881">
        <v>124979</v>
      </c>
    </row>
    <row r="1882" spans="1:18" x14ac:dyDescent="0.25">
      <c r="A1882" s="170">
        <v>45650</v>
      </c>
      <c r="B1882" s="116">
        <v>686.8</v>
      </c>
      <c r="C1882" s="116">
        <v>673.05</v>
      </c>
      <c r="D1882" s="116">
        <v>670.05</v>
      </c>
      <c r="E1882" s="116">
        <v>670.05</v>
      </c>
      <c r="F1882" s="116">
        <v>673.05</v>
      </c>
      <c r="G1882">
        <v>5797</v>
      </c>
      <c r="H1882" s="116"/>
      <c r="I1882" s="116"/>
      <c r="L1882" s="170">
        <v>45650</v>
      </c>
      <c r="M1882" s="116">
        <v>673.25</v>
      </c>
      <c r="N1882" s="116">
        <v>687.55</v>
      </c>
      <c r="O1882" s="116">
        <v>670.85</v>
      </c>
      <c r="P1882" s="116">
        <v>678.75</v>
      </c>
      <c r="Q1882" s="116">
        <v>673.25</v>
      </c>
      <c r="R1882">
        <v>95818</v>
      </c>
    </row>
    <row r="1883" spans="1:18" x14ac:dyDescent="0.25">
      <c r="A1883" s="170">
        <v>45652</v>
      </c>
      <c r="B1883" s="116">
        <v>685.25</v>
      </c>
      <c r="C1883" s="116">
        <v>678.2</v>
      </c>
      <c r="D1883" s="116">
        <v>661.65</v>
      </c>
      <c r="E1883" s="116">
        <v>676.4</v>
      </c>
      <c r="F1883" s="116">
        <v>678.2</v>
      </c>
      <c r="G1883">
        <v>6220</v>
      </c>
      <c r="H1883" s="116"/>
      <c r="I1883" s="116"/>
      <c r="L1883" s="170">
        <v>45652</v>
      </c>
      <c r="M1883" s="116">
        <v>677.2</v>
      </c>
      <c r="N1883" s="116">
        <v>684.9</v>
      </c>
      <c r="O1883" s="116">
        <v>661.1</v>
      </c>
      <c r="P1883" s="116">
        <v>673.25</v>
      </c>
      <c r="Q1883" s="116">
        <v>677.2</v>
      </c>
      <c r="R1883">
        <v>155065</v>
      </c>
    </row>
    <row r="1884" spans="1:18" x14ac:dyDescent="0.25">
      <c r="A1884" s="170">
        <v>45653</v>
      </c>
      <c r="B1884" s="116">
        <v>683.35</v>
      </c>
      <c r="C1884" s="116">
        <v>670.65</v>
      </c>
      <c r="D1884" s="116">
        <v>669.15</v>
      </c>
      <c r="E1884" s="116">
        <v>683.35</v>
      </c>
      <c r="F1884" s="116">
        <v>670.65</v>
      </c>
      <c r="G1884">
        <v>14172</v>
      </c>
      <c r="H1884" s="116"/>
      <c r="I1884" s="116"/>
      <c r="L1884" s="170">
        <v>45653</v>
      </c>
      <c r="M1884" s="116">
        <v>672.8</v>
      </c>
      <c r="N1884" s="116">
        <v>683.55</v>
      </c>
      <c r="O1884" s="116">
        <v>670.15</v>
      </c>
      <c r="P1884" s="116">
        <v>680</v>
      </c>
      <c r="Q1884" s="116">
        <v>672.8</v>
      </c>
      <c r="R1884">
        <v>100273</v>
      </c>
    </row>
    <row r="1885" spans="1:18" x14ac:dyDescent="0.25">
      <c r="A1885" s="170">
        <v>45656</v>
      </c>
      <c r="B1885" s="116">
        <v>684.95</v>
      </c>
      <c r="C1885" s="116">
        <v>659.4</v>
      </c>
      <c r="D1885" s="116">
        <v>655.4</v>
      </c>
      <c r="E1885" s="116">
        <v>684.95</v>
      </c>
      <c r="F1885" s="116">
        <v>659.4</v>
      </c>
      <c r="G1885">
        <v>6665</v>
      </c>
      <c r="H1885" s="116"/>
      <c r="I1885" s="116"/>
      <c r="L1885" s="170">
        <v>45656</v>
      </c>
      <c r="M1885" s="116">
        <v>659.95</v>
      </c>
      <c r="N1885" s="116">
        <v>681</v>
      </c>
      <c r="O1885" s="116">
        <v>652</v>
      </c>
      <c r="P1885" s="116">
        <v>670</v>
      </c>
      <c r="Q1885" s="116">
        <v>659.95</v>
      </c>
      <c r="R1885">
        <v>117663</v>
      </c>
    </row>
    <row r="1886" spans="1:18" x14ac:dyDescent="0.25">
      <c r="A1886" s="170">
        <v>45657</v>
      </c>
      <c r="B1886" s="116">
        <v>658.15</v>
      </c>
      <c r="C1886" s="116">
        <v>649.79999999999995</v>
      </c>
      <c r="D1886" s="116">
        <v>635</v>
      </c>
      <c r="E1886" s="116">
        <v>648</v>
      </c>
      <c r="F1886" s="116">
        <v>649.79999999999995</v>
      </c>
      <c r="G1886">
        <v>7701</v>
      </c>
      <c r="H1886" s="116"/>
      <c r="I1886" s="116"/>
      <c r="L1886" s="170">
        <v>45657</v>
      </c>
      <c r="M1886" s="116">
        <v>649.20000000000005</v>
      </c>
      <c r="N1886" s="116">
        <v>659</v>
      </c>
      <c r="O1886" s="116">
        <v>634.29999999999995</v>
      </c>
      <c r="P1886" s="116">
        <v>648</v>
      </c>
      <c r="Q1886" s="116">
        <v>649.20000000000005</v>
      </c>
      <c r="R1886">
        <v>205036</v>
      </c>
    </row>
    <row r="1887" spans="1:18" x14ac:dyDescent="0.25">
      <c r="A1887" s="170">
        <v>45658</v>
      </c>
      <c r="B1887" s="116">
        <v>670.7</v>
      </c>
      <c r="C1887" s="116">
        <v>667.85</v>
      </c>
      <c r="D1887" s="116">
        <v>650</v>
      </c>
      <c r="E1887" s="116">
        <v>664.95</v>
      </c>
      <c r="F1887" s="116">
        <v>667.85</v>
      </c>
      <c r="G1887">
        <v>7572</v>
      </c>
      <c r="H1887" s="116"/>
      <c r="I1887" s="116"/>
      <c r="L1887" s="170">
        <v>45658</v>
      </c>
      <c r="M1887" s="116">
        <v>667.7</v>
      </c>
      <c r="N1887" s="116">
        <v>671.25</v>
      </c>
      <c r="O1887" s="116">
        <v>650.20000000000005</v>
      </c>
      <c r="P1887" s="116">
        <v>650.20000000000005</v>
      </c>
      <c r="Q1887" s="116">
        <v>667.7</v>
      </c>
      <c r="R1887">
        <v>104706</v>
      </c>
    </row>
    <row r="1888" spans="1:18" x14ac:dyDescent="0.25">
      <c r="A1888" s="170">
        <v>45659</v>
      </c>
      <c r="B1888" s="116">
        <v>683.65</v>
      </c>
      <c r="C1888" s="116">
        <v>678.35</v>
      </c>
      <c r="D1888" s="116">
        <v>668.05</v>
      </c>
      <c r="E1888" s="116">
        <v>668.75</v>
      </c>
      <c r="F1888" s="116">
        <v>678.35</v>
      </c>
      <c r="G1888">
        <v>9568</v>
      </c>
      <c r="H1888" s="116"/>
      <c r="I1888" s="116"/>
      <c r="L1888" s="170">
        <v>45659</v>
      </c>
      <c r="M1888" s="116">
        <v>679.15</v>
      </c>
      <c r="N1888" s="116">
        <v>682.95</v>
      </c>
      <c r="O1888" s="116">
        <v>667</v>
      </c>
      <c r="P1888" s="116">
        <v>670</v>
      </c>
      <c r="Q1888" s="116">
        <v>679.15</v>
      </c>
      <c r="R1888">
        <v>89790</v>
      </c>
    </row>
    <row r="1889" spans="1:18" x14ac:dyDescent="0.25">
      <c r="A1889" s="170">
        <v>45660</v>
      </c>
      <c r="B1889" s="116">
        <v>693.25</v>
      </c>
      <c r="C1889" s="116">
        <v>680.1</v>
      </c>
      <c r="D1889" s="116">
        <v>678.1</v>
      </c>
      <c r="E1889" s="116">
        <v>688.95</v>
      </c>
      <c r="F1889" s="116">
        <v>680.1</v>
      </c>
      <c r="G1889">
        <v>4519</v>
      </c>
      <c r="H1889" s="116"/>
      <c r="I1889" s="116"/>
      <c r="L1889" s="170">
        <v>45660</v>
      </c>
      <c r="M1889" s="116">
        <v>679.5</v>
      </c>
      <c r="N1889" s="116">
        <v>693</v>
      </c>
      <c r="O1889" s="116">
        <v>676.55</v>
      </c>
      <c r="P1889" s="116">
        <v>682</v>
      </c>
      <c r="Q1889" s="116">
        <v>679.5</v>
      </c>
      <c r="R1889">
        <v>245617</v>
      </c>
    </row>
    <row r="1890" spans="1:18" x14ac:dyDescent="0.25">
      <c r="A1890" s="170">
        <v>45663</v>
      </c>
      <c r="B1890" s="116">
        <v>681.65</v>
      </c>
      <c r="C1890" s="116">
        <v>668.35</v>
      </c>
      <c r="D1890" s="116">
        <v>660</v>
      </c>
      <c r="E1890" s="116">
        <v>677.5</v>
      </c>
      <c r="F1890" s="116">
        <v>668.35</v>
      </c>
      <c r="G1890">
        <v>8760</v>
      </c>
      <c r="H1890" s="116"/>
      <c r="I1890" s="116"/>
      <c r="L1890" s="170">
        <v>45663</v>
      </c>
      <c r="M1890" s="116">
        <v>666.65</v>
      </c>
      <c r="N1890" s="116">
        <v>682.3</v>
      </c>
      <c r="O1890" s="116">
        <v>660.15</v>
      </c>
      <c r="P1890" s="116">
        <v>680.8</v>
      </c>
      <c r="Q1890" s="116">
        <v>666.65</v>
      </c>
      <c r="R1890">
        <v>119972</v>
      </c>
    </row>
    <row r="1891" spans="1:18" x14ac:dyDescent="0.25">
      <c r="A1891" s="170">
        <v>45664</v>
      </c>
      <c r="B1891" s="116">
        <v>687.8</v>
      </c>
      <c r="C1891" s="116">
        <v>684.75</v>
      </c>
      <c r="D1891" s="116">
        <v>657.5</v>
      </c>
      <c r="E1891" s="116">
        <v>657.5</v>
      </c>
      <c r="F1891" s="116">
        <v>684.75</v>
      </c>
      <c r="G1891">
        <v>10335</v>
      </c>
      <c r="H1891" s="116"/>
      <c r="I1891" s="116"/>
      <c r="L1891" s="170">
        <v>45664</v>
      </c>
      <c r="M1891" s="116">
        <v>685.2</v>
      </c>
      <c r="N1891" s="116">
        <v>687.7</v>
      </c>
      <c r="O1891" s="116">
        <v>660</v>
      </c>
      <c r="P1891" s="116">
        <v>666.65</v>
      </c>
      <c r="Q1891" s="116">
        <v>685.2</v>
      </c>
      <c r="R1891">
        <v>134046</v>
      </c>
    </row>
    <row r="1892" spans="1:18" x14ac:dyDescent="0.25">
      <c r="A1892" s="170">
        <v>45665</v>
      </c>
      <c r="B1892" s="116">
        <v>685</v>
      </c>
      <c r="C1892" s="116">
        <v>673.3</v>
      </c>
      <c r="D1892" s="116">
        <v>665.45</v>
      </c>
      <c r="E1892" s="116">
        <v>685</v>
      </c>
      <c r="F1892" s="116">
        <v>673.3</v>
      </c>
      <c r="G1892">
        <v>2699</v>
      </c>
      <c r="H1892" s="116"/>
      <c r="I1892" s="116"/>
      <c r="L1892" s="170">
        <v>45665</v>
      </c>
      <c r="M1892" s="116">
        <v>671.6</v>
      </c>
      <c r="N1892" s="116">
        <v>680</v>
      </c>
      <c r="O1892" s="116">
        <v>665.25</v>
      </c>
      <c r="P1892" s="116">
        <v>680</v>
      </c>
      <c r="Q1892" s="116">
        <v>671.6</v>
      </c>
      <c r="R1892">
        <v>97718</v>
      </c>
    </row>
    <row r="1893" spans="1:18" x14ac:dyDescent="0.25">
      <c r="A1893" s="170">
        <v>45666</v>
      </c>
      <c r="B1893" s="116">
        <v>682.2</v>
      </c>
      <c r="C1893" s="116">
        <v>679.1</v>
      </c>
      <c r="D1893" s="116">
        <v>662.05</v>
      </c>
      <c r="E1893" s="116">
        <v>662.05</v>
      </c>
      <c r="F1893" s="116">
        <v>679.1</v>
      </c>
      <c r="G1893">
        <v>10597</v>
      </c>
      <c r="H1893" s="116"/>
      <c r="I1893" s="116"/>
      <c r="L1893" s="170">
        <v>45666</v>
      </c>
      <c r="M1893" s="116">
        <v>680.35</v>
      </c>
      <c r="N1893" s="116">
        <v>684.25</v>
      </c>
      <c r="O1893" s="116">
        <v>666</v>
      </c>
      <c r="P1893" s="116">
        <v>671</v>
      </c>
      <c r="Q1893" s="116">
        <v>680.35</v>
      </c>
      <c r="R1893">
        <v>162512</v>
      </c>
    </row>
    <row r="1894" spans="1:18" x14ac:dyDescent="0.25">
      <c r="A1894" s="170">
        <v>45667</v>
      </c>
      <c r="B1894" s="116">
        <v>685</v>
      </c>
      <c r="C1894" s="116">
        <v>654.4</v>
      </c>
      <c r="D1894" s="116">
        <v>652.1</v>
      </c>
      <c r="E1894" s="116">
        <v>685</v>
      </c>
      <c r="F1894" s="116">
        <v>654.4</v>
      </c>
      <c r="G1894">
        <v>2223</v>
      </c>
      <c r="H1894" s="116"/>
      <c r="I1894" s="116"/>
      <c r="L1894" s="170">
        <v>45667</v>
      </c>
      <c r="M1894" s="116">
        <v>654.6</v>
      </c>
      <c r="N1894" s="116">
        <v>678</v>
      </c>
      <c r="O1894" s="116">
        <v>651.6</v>
      </c>
      <c r="P1894" s="116">
        <v>678</v>
      </c>
      <c r="Q1894" s="116">
        <v>654.6</v>
      </c>
      <c r="R1894">
        <v>62676</v>
      </c>
    </row>
    <row r="1895" spans="1:18" x14ac:dyDescent="0.25">
      <c r="A1895" s="170">
        <v>45670</v>
      </c>
      <c r="B1895" s="116">
        <v>667.95</v>
      </c>
      <c r="C1895" s="116">
        <v>632.6</v>
      </c>
      <c r="D1895" s="116">
        <v>621.85</v>
      </c>
      <c r="E1895" s="116">
        <v>667.95</v>
      </c>
      <c r="F1895" s="116">
        <v>632.6</v>
      </c>
      <c r="G1895">
        <v>9764</v>
      </c>
      <c r="H1895" s="116"/>
      <c r="I1895" s="116"/>
      <c r="L1895" s="170">
        <v>45670</v>
      </c>
      <c r="M1895" s="116">
        <v>633.54999999999995</v>
      </c>
      <c r="N1895" s="116">
        <v>651.25</v>
      </c>
      <c r="O1895" s="116">
        <v>622.04999999999995</v>
      </c>
      <c r="P1895" s="116">
        <v>646.04999999999995</v>
      </c>
      <c r="Q1895" s="116">
        <v>633.54999999999995</v>
      </c>
      <c r="R1895">
        <v>112716</v>
      </c>
    </row>
    <row r="1896" spans="1:18" x14ac:dyDescent="0.25">
      <c r="A1896" s="170">
        <v>45671</v>
      </c>
      <c r="B1896" s="116">
        <v>655.95</v>
      </c>
      <c r="C1896" s="116">
        <v>650.29999999999995</v>
      </c>
      <c r="D1896" s="116">
        <v>623.04999999999995</v>
      </c>
      <c r="E1896" s="116">
        <v>623.04999999999995</v>
      </c>
      <c r="F1896" s="116">
        <v>650.29999999999995</v>
      </c>
      <c r="G1896">
        <v>1460</v>
      </c>
      <c r="H1896" s="116"/>
      <c r="I1896" s="116"/>
      <c r="L1896" s="170">
        <v>45671</v>
      </c>
      <c r="M1896" s="116">
        <v>650.4</v>
      </c>
      <c r="N1896" s="116">
        <v>657.45</v>
      </c>
      <c r="O1896" s="116">
        <v>634.54999999999995</v>
      </c>
      <c r="P1896" s="116">
        <v>635</v>
      </c>
      <c r="Q1896" s="116">
        <v>650.4</v>
      </c>
      <c r="R1896">
        <v>68521</v>
      </c>
    </row>
    <row r="1897" spans="1:18" x14ac:dyDescent="0.25">
      <c r="A1897" s="170">
        <v>45672</v>
      </c>
      <c r="B1897" s="116">
        <v>663.95</v>
      </c>
      <c r="C1897" s="116">
        <v>659.75</v>
      </c>
      <c r="D1897" s="116">
        <v>643.35</v>
      </c>
      <c r="E1897" s="116">
        <v>663.95</v>
      </c>
      <c r="F1897" s="116">
        <v>659.75</v>
      </c>
      <c r="G1897">
        <v>2739</v>
      </c>
      <c r="H1897" s="116"/>
      <c r="I1897" s="116"/>
      <c r="L1897" s="170">
        <v>45672</v>
      </c>
      <c r="M1897" s="116">
        <v>658.2</v>
      </c>
      <c r="N1897" s="116">
        <v>661.65</v>
      </c>
      <c r="O1897" s="116">
        <v>641.29999999999995</v>
      </c>
      <c r="P1897" s="116">
        <v>646.1</v>
      </c>
      <c r="Q1897" s="116">
        <v>658.2</v>
      </c>
      <c r="R1897">
        <v>67165</v>
      </c>
    </row>
    <row r="1898" spans="1:18" x14ac:dyDescent="0.25">
      <c r="A1898" s="170">
        <v>45673</v>
      </c>
      <c r="B1898" s="116">
        <v>678.35</v>
      </c>
      <c r="C1898" s="116">
        <v>657.75</v>
      </c>
      <c r="D1898" s="116">
        <v>653.95000000000005</v>
      </c>
      <c r="E1898" s="116">
        <v>678.35</v>
      </c>
      <c r="F1898" s="116">
        <v>657.75</v>
      </c>
      <c r="G1898">
        <v>1473</v>
      </c>
      <c r="H1898" s="116"/>
      <c r="I1898" s="116"/>
      <c r="L1898" s="170">
        <v>45673</v>
      </c>
      <c r="M1898" s="116">
        <v>657.3</v>
      </c>
      <c r="N1898" s="116">
        <v>670</v>
      </c>
      <c r="O1898" s="116">
        <v>653.95000000000005</v>
      </c>
      <c r="P1898" s="116">
        <v>670</v>
      </c>
      <c r="Q1898" s="116">
        <v>657.3</v>
      </c>
      <c r="R1898">
        <v>36348</v>
      </c>
    </row>
    <row r="1899" spans="1:18" x14ac:dyDescent="0.25">
      <c r="A1899" s="170">
        <v>45674</v>
      </c>
      <c r="B1899" s="116">
        <v>661</v>
      </c>
      <c r="C1899" s="116">
        <v>651.70000000000005</v>
      </c>
      <c r="D1899" s="116">
        <v>650.25</v>
      </c>
      <c r="E1899" s="116">
        <v>655.45</v>
      </c>
      <c r="F1899" s="116">
        <v>651.70000000000005</v>
      </c>
      <c r="G1899">
        <v>1807</v>
      </c>
      <c r="H1899" s="116"/>
      <c r="I1899" s="116"/>
      <c r="L1899" s="170">
        <v>45674</v>
      </c>
      <c r="M1899" s="116">
        <v>652.45000000000005</v>
      </c>
      <c r="N1899" s="116">
        <v>660.45</v>
      </c>
      <c r="O1899" s="116">
        <v>647.1</v>
      </c>
      <c r="P1899" s="116">
        <v>657</v>
      </c>
      <c r="Q1899" s="116">
        <v>652.45000000000005</v>
      </c>
      <c r="R1899">
        <v>34147</v>
      </c>
    </row>
    <row r="1900" spans="1:18" x14ac:dyDescent="0.25">
      <c r="A1900" s="170">
        <v>45677</v>
      </c>
      <c r="B1900" s="116">
        <v>651</v>
      </c>
      <c r="C1900" s="116">
        <v>646.15</v>
      </c>
      <c r="D1900" s="116">
        <v>641.6</v>
      </c>
      <c r="E1900" s="116">
        <v>648</v>
      </c>
      <c r="F1900" s="116">
        <v>646.15</v>
      </c>
      <c r="G1900">
        <v>2005</v>
      </c>
      <c r="H1900" s="116"/>
      <c r="I1900" s="116"/>
      <c r="L1900" s="170">
        <v>45677</v>
      </c>
      <c r="M1900" s="116">
        <v>647.20000000000005</v>
      </c>
      <c r="N1900" s="116">
        <v>651.95000000000005</v>
      </c>
      <c r="O1900" s="116">
        <v>641</v>
      </c>
      <c r="P1900" s="116">
        <v>646</v>
      </c>
      <c r="Q1900" s="116">
        <v>647.20000000000005</v>
      </c>
      <c r="R1900">
        <v>49975</v>
      </c>
    </row>
    <row r="1901" spans="1:18" x14ac:dyDescent="0.25">
      <c r="A1901" s="170">
        <v>45678</v>
      </c>
      <c r="B1901" s="116">
        <v>650</v>
      </c>
      <c r="C1901" s="116">
        <v>635.75</v>
      </c>
      <c r="D1901" s="116">
        <v>633</v>
      </c>
      <c r="E1901" s="116">
        <v>650</v>
      </c>
      <c r="F1901" s="116">
        <v>635.75</v>
      </c>
      <c r="G1901">
        <v>1077</v>
      </c>
      <c r="H1901" s="116"/>
      <c r="I1901" s="116"/>
      <c r="L1901" s="170">
        <v>45678</v>
      </c>
      <c r="M1901" s="116">
        <v>636.95000000000005</v>
      </c>
      <c r="N1901" s="116">
        <v>652.6</v>
      </c>
      <c r="O1901" s="116">
        <v>632.5</v>
      </c>
      <c r="P1901" s="116">
        <v>647</v>
      </c>
      <c r="Q1901" s="116">
        <v>636.95000000000005</v>
      </c>
      <c r="R1901">
        <v>85793</v>
      </c>
    </row>
    <row r="1902" spans="1:18" x14ac:dyDescent="0.25">
      <c r="A1902" s="170">
        <v>45679</v>
      </c>
      <c r="B1902" s="116">
        <v>678.75</v>
      </c>
      <c r="C1902" s="116">
        <v>652.85</v>
      </c>
      <c r="D1902" s="116">
        <v>625.9</v>
      </c>
      <c r="E1902" s="116">
        <v>628</v>
      </c>
      <c r="F1902" s="116">
        <v>652.85</v>
      </c>
      <c r="G1902">
        <v>4882</v>
      </c>
      <c r="H1902" s="116"/>
      <c r="I1902" s="116"/>
      <c r="L1902" s="170">
        <v>45679</v>
      </c>
      <c r="M1902" s="116">
        <v>653.95000000000005</v>
      </c>
      <c r="N1902" s="116">
        <v>679.3</v>
      </c>
      <c r="O1902" s="116">
        <v>625.04999999999995</v>
      </c>
      <c r="P1902" s="116">
        <v>635.1</v>
      </c>
      <c r="Q1902" s="116">
        <v>653.95000000000005</v>
      </c>
      <c r="R1902">
        <v>164335</v>
      </c>
    </row>
    <row r="1903" spans="1:18" x14ac:dyDescent="0.25">
      <c r="A1903" s="170">
        <v>45680</v>
      </c>
      <c r="B1903" s="116">
        <v>654.5</v>
      </c>
      <c r="C1903" s="116">
        <v>645.25</v>
      </c>
      <c r="D1903" s="116">
        <v>643.5</v>
      </c>
      <c r="E1903" s="116">
        <v>647.45000000000005</v>
      </c>
      <c r="F1903" s="116">
        <v>645.25</v>
      </c>
      <c r="G1903">
        <v>991</v>
      </c>
      <c r="H1903" s="116"/>
      <c r="I1903" s="116"/>
      <c r="L1903" s="170">
        <v>45680</v>
      </c>
      <c r="M1903" s="116">
        <v>644.70000000000005</v>
      </c>
      <c r="N1903" s="116">
        <v>656.95</v>
      </c>
      <c r="O1903" s="116">
        <v>642</v>
      </c>
      <c r="P1903" s="116">
        <v>648</v>
      </c>
      <c r="Q1903" s="116">
        <v>644.70000000000005</v>
      </c>
      <c r="R1903">
        <v>53934</v>
      </c>
    </row>
    <row r="1904" spans="1:18" x14ac:dyDescent="0.25">
      <c r="A1904" s="170">
        <v>45681</v>
      </c>
      <c r="B1904" s="116">
        <v>653.65</v>
      </c>
      <c r="C1904" s="116">
        <v>640.95000000000005</v>
      </c>
      <c r="D1904" s="116">
        <v>636.6</v>
      </c>
      <c r="E1904" s="116">
        <v>649</v>
      </c>
      <c r="F1904" s="116">
        <v>640.95000000000005</v>
      </c>
      <c r="G1904">
        <v>3184</v>
      </c>
      <c r="H1904" s="116"/>
      <c r="I1904" s="116"/>
      <c r="L1904" s="170">
        <v>45681</v>
      </c>
      <c r="M1904" s="116">
        <v>640.79999999999995</v>
      </c>
      <c r="N1904" s="116">
        <v>653.95000000000005</v>
      </c>
      <c r="O1904" s="116">
        <v>635.95000000000005</v>
      </c>
      <c r="P1904" s="116">
        <v>647.95000000000005</v>
      </c>
      <c r="Q1904" s="116">
        <v>640.79999999999995</v>
      </c>
      <c r="R1904">
        <v>46710</v>
      </c>
    </row>
    <row r="1905" spans="1:18" x14ac:dyDescent="0.25">
      <c r="A1905" s="170">
        <v>45684</v>
      </c>
      <c r="B1905" s="116">
        <v>635.75</v>
      </c>
      <c r="C1905" s="116">
        <v>626.70000000000005</v>
      </c>
      <c r="D1905" s="116">
        <v>613.65</v>
      </c>
      <c r="E1905" s="116">
        <v>635.04999999999995</v>
      </c>
      <c r="F1905" s="116">
        <v>626.70000000000005</v>
      </c>
      <c r="G1905">
        <v>4891</v>
      </c>
      <c r="H1905" s="116"/>
      <c r="I1905" s="116"/>
      <c r="L1905" s="170">
        <v>45684</v>
      </c>
      <c r="M1905" s="116">
        <v>627.5</v>
      </c>
      <c r="N1905" s="116">
        <v>637.95000000000005</v>
      </c>
      <c r="O1905" s="116">
        <v>615.04999999999995</v>
      </c>
      <c r="P1905" s="116">
        <v>636.15</v>
      </c>
      <c r="Q1905" s="116">
        <v>627.5</v>
      </c>
      <c r="R1905">
        <v>74482</v>
      </c>
    </row>
    <row r="1906" spans="1:18" x14ac:dyDescent="0.25">
      <c r="A1906" s="170">
        <v>45685</v>
      </c>
      <c r="B1906" s="116">
        <v>642.79999999999995</v>
      </c>
      <c r="C1906" s="116">
        <v>634.85</v>
      </c>
      <c r="D1906" s="116">
        <v>614.45000000000005</v>
      </c>
      <c r="E1906" s="116">
        <v>622</v>
      </c>
      <c r="F1906" s="116">
        <v>634.85</v>
      </c>
      <c r="G1906">
        <v>1972</v>
      </c>
      <c r="H1906" s="116"/>
      <c r="I1906" s="116"/>
      <c r="L1906" s="170">
        <v>45685</v>
      </c>
      <c r="M1906" s="116">
        <v>634.95000000000005</v>
      </c>
      <c r="N1906" s="116">
        <v>644.5</v>
      </c>
      <c r="O1906" s="116">
        <v>615.1</v>
      </c>
      <c r="P1906" s="116">
        <v>625.95000000000005</v>
      </c>
      <c r="Q1906" s="116">
        <v>634.95000000000005</v>
      </c>
      <c r="R1906">
        <v>95637</v>
      </c>
    </row>
    <row r="1907" spans="1:18" x14ac:dyDescent="0.25">
      <c r="A1907" s="170">
        <v>45686</v>
      </c>
      <c r="B1907" s="116">
        <v>644.25</v>
      </c>
      <c r="C1907" s="116">
        <v>635.75</v>
      </c>
      <c r="D1907" s="116">
        <v>631</v>
      </c>
      <c r="E1907" s="116">
        <v>638.95000000000005</v>
      </c>
      <c r="F1907" s="116">
        <v>635.75</v>
      </c>
      <c r="G1907">
        <v>849</v>
      </c>
      <c r="H1907" s="116"/>
      <c r="I1907" s="116"/>
      <c r="L1907" s="170">
        <v>45686</v>
      </c>
      <c r="M1907" s="116">
        <v>637.95000000000005</v>
      </c>
      <c r="N1907" s="116">
        <v>644.4</v>
      </c>
      <c r="O1907" s="116">
        <v>629.25</v>
      </c>
      <c r="P1907" s="116">
        <v>630.04999999999995</v>
      </c>
      <c r="Q1907" s="116">
        <v>637.95000000000005</v>
      </c>
      <c r="R1907">
        <v>38971</v>
      </c>
    </row>
    <row r="1908" spans="1:18" x14ac:dyDescent="0.25">
      <c r="A1908" s="170">
        <v>45687</v>
      </c>
      <c r="B1908" s="116">
        <v>648.5</v>
      </c>
      <c r="C1908" s="116">
        <v>636.9</v>
      </c>
      <c r="D1908" s="116">
        <v>634.54999999999995</v>
      </c>
      <c r="E1908" s="116">
        <v>648.5</v>
      </c>
      <c r="F1908" s="116">
        <v>636.9</v>
      </c>
      <c r="G1908">
        <v>2858</v>
      </c>
      <c r="H1908" s="116"/>
      <c r="I1908" s="116"/>
      <c r="L1908" s="170">
        <v>45687</v>
      </c>
      <c r="M1908" s="116">
        <v>636.75</v>
      </c>
      <c r="N1908" s="116">
        <v>644.9</v>
      </c>
      <c r="O1908" s="116">
        <v>633</v>
      </c>
      <c r="P1908" s="116">
        <v>641.1</v>
      </c>
      <c r="Q1908" s="116">
        <v>636.75</v>
      </c>
      <c r="R1908">
        <v>27857</v>
      </c>
    </row>
    <row r="1909" spans="1:18" x14ac:dyDescent="0.25">
      <c r="A1909" s="170">
        <v>45688</v>
      </c>
      <c r="B1909" s="116">
        <v>642.35</v>
      </c>
      <c r="C1909" s="116">
        <v>632.95000000000005</v>
      </c>
      <c r="D1909" s="116">
        <v>626</v>
      </c>
      <c r="E1909" s="116">
        <v>636.9</v>
      </c>
      <c r="F1909" s="116">
        <v>632.95000000000005</v>
      </c>
      <c r="G1909">
        <v>6535</v>
      </c>
      <c r="H1909" s="116"/>
      <c r="I1909" s="116"/>
      <c r="L1909" s="170">
        <v>45688</v>
      </c>
      <c r="M1909" s="116">
        <v>633.5</v>
      </c>
      <c r="N1909" s="116">
        <v>639.9</v>
      </c>
      <c r="O1909" s="116">
        <v>625.1</v>
      </c>
      <c r="P1909" s="116">
        <v>636.75</v>
      </c>
      <c r="Q1909" s="116">
        <v>633.5</v>
      </c>
      <c r="R1909">
        <v>47426</v>
      </c>
    </row>
    <row r="1910" spans="1:18" x14ac:dyDescent="0.25">
      <c r="A1910" s="170">
        <v>45689</v>
      </c>
      <c r="B1910" s="116">
        <v>648.79999999999995</v>
      </c>
      <c r="C1910" s="116">
        <v>626.79999999999995</v>
      </c>
      <c r="D1910" s="116">
        <v>620.1</v>
      </c>
      <c r="E1910" s="116">
        <v>639</v>
      </c>
      <c r="F1910" s="116">
        <v>626.79999999999995</v>
      </c>
      <c r="G1910">
        <v>2014</v>
      </c>
      <c r="H1910" s="116"/>
      <c r="I1910" s="116"/>
      <c r="L1910" s="170">
        <v>45689</v>
      </c>
      <c r="M1910" s="116">
        <v>625.9</v>
      </c>
      <c r="N1910" s="116">
        <v>646.75</v>
      </c>
      <c r="O1910" s="116">
        <v>620.1</v>
      </c>
      <c r="P1910" s="116">
        <v>636.95000000000005</v>
      </c>
      <c r="Q1910" s="116">
        <v>625.9</v>
      </c>
      <c r="R1910">
        <v>42811</v>
      </c>
    </row>
    <row r="1911" spans="1:18" x14ac:dyDescent="0.25">
      <c r="A1911" s="170">
        <v>45691</v>
      </c>
      <c r="B1911" s="116">
        <v>643.4</v>
      </c>
      <c r="C1911" s="116">
        <v>630.20000000000005</v>
      </c>
      <c r="D1911" s="116">
        <v>612</v>
      </c>
      <c r="E1911" s="116">
        <v>612</v>
      </c>
      <c r="F1911" s="116">
        <v>630.20000000000005</v>
      </c>
      <c r="G1911">
        <v>4347</v>
      </c>
      <c r="H1911" s="116"/>
      <c r="I1911" s="116"/>
      <c r="L1911" s="170">
        <v>45691</v>
      </c>
      <c r="M1911" s="116">
        <v>630.6</v>
      </c>
      <c r="N1911" s="116">
        <v>647.54999999999995</v>
      </c>
      <c r="O1911" s="116">
        <v>610.54999999999995</v>
      </c>
      <c r="P1911" s="116">
        <v>610.54999999999995</v>
      </c>
      <c r="Q1911" s="116">
        <v>630.6</v>
      </c>
      <c r="R1911">
        <v>49212</v>
      </c>
    </row>
    <row r="1912" spans="1:18" x14ac:dyDescent="0.25">
      <c r="A1912" s="170">
        <v>45692</v>
      </c>
      <c r="B1912" s="116">
        <v>637.54999999999995</v>
      </c>
      <c r="C1912" s="116">
        <v>630.5</v>
      </c>
      <c r="D1912" s="116">
        <v>625</v>
      </c>
      <c r="E1912" s="116">
        <v>636.9</v>
      </c>
      <c r="F1912" s="116">
        <v>630.5</v>
      </c>
      <c r="G1912">
        <v>1237</v>
      </c>
      <c r="H1912" s="116"/>
      <c r="I1912" s="116"/>
      <c r="L1912" s="170">
        <v>45692</v>
      </c>
      <c r="M1912" s="116">
        <v>629.5</v>
      </c>
      <c r="N1912" s="116">
        <v>639.1</v>
      </c>
      <c r="O1912" s="116">
        <v>627.15</v>
      </c>
      <c r="P1912" s="116">
        <v>633.79999999999995</v>
      </c>
      <c r="Q1912" s="116">
        <v>629.5</v>
      </c>
      <c r="R1912">
        <v>38536</v>
      </c>
    </row>
    <row r="1913" spans="1:18" x14ac:dyDescent="0.25">
      <c r="A1913" s="170">
        <v>45693</v>
      </c>
      <c r="B1913" s="116">
        <v>643.95000000000005</v>
      </c>
      <c r="C1913" s="116">
        <v>627.25</v>
      </c>
      <c r="D1913" s="116">
        <v>624.04999999999995</v>
      </c>
      <c r="E1913" s="116">
        <v>643.95000000000005</v>
      </c>
      <c r="F1913" s="116">
        <v>627.25</v>
      </c>
      <c r="G1913">
        <v>3576</v>
      </c>
      <c r="H1913" s="116"/>
      <c r="I1913" s="116"/>
      <c r="L1913" s="170">
        <v>45693</v>
      </c>
      <c r="M1913" s="116">
        <v>626.70000000000005</v>
      </c>
      <c r="N1913" s="116">
        <v>638</v>
      </c>
      <c r="O1913" s="116">
        <v>625.1</v>
      </c>
      <c r="P1913" s="116">
        <v>633.5</v>
      </c>
      <c r="Q1913" s="116">
        <v>626.70000000000005</v>
      </c>
      <c r="R1913">
        <v>25432</v>
      </c>
    </row>
    <row r="1914" spans="1:18" x14ac:dyDescent="0.25">
      <c r="A1914" s="170">
        <v>45694</v>
      </c>
      <c r="B1914" s="116">
        <v>634.95000000000005</v>
      </c>
      <c r="C1914" s="116">
        <v>631.45000000000005</v>
      </c>
      <c r="D1914" s="116">
        <v>625.54999999999995</v>
      </c>
      <c r="E1914" s="116">
        <v>629.04999999999995</v>
      </c>
      <c r="F1914" s="116">
        <v>631.45000000000005</v>
      </c>
      <c r="G1914">
        <v>1802</v>
      </c>
      <c r="H1914" s="116"/>
      <c r="I1914" s="116"/>
      <c r="L1914" s="170">
        <v>45694</v>
      </c>
      <c r="M1914" s="116">
        <v>631.6</v>
      </c>
      <c r="N1914" s="116">
        <v>636.25</v>
      </c>
      <c r="O1914" s="116">
        <v>626.79999999999995</v>
      </c>
      <c r="P1914" s="116">
        <v>631.70000000000005</v>
      </c>
      <c r="Q1914" s="116">
        <v>631.6</v>
      </c>
      <c r="R1914">
        <v>23958</v>
      </c>
    </row>
    <row r="1915" spans="1:18" x14ac:dyDescent="0.25">
      <c r="A1915" s="170">
        <v>45695</v>
      </c>
      <c r="B1915" s="116">
        <v>634.35</v>
      </c>
      <c r="C1915" s="116">
        <v>627.9</v>
      </c>
      <c r="D1915" s="116">
        <v>611.45000000000005</v>
      </c>
      <c r="E1915" s="116">
        <v>622.1</v>
      </c>
      <c r="F1915" s="116">
        <v>627.9</v>
      </c>
      <c r="G1915">
        <v>7239</v>
      </c>
      <c r="H1915" s="116"/>
      <c r="I1915" s="116"/>
      <c r="L1915" s="170">
        <v>45695</v>
      </c>
      <c r="M1915" s="116">
        <v>629.04999999999995</v>
      </c>
      <c r="N1915" s="116">
        <v>635.95000000000005</v>
      </c>
      <c r="O1915" s="116">
        <v>612</v>
      </c>
      <c r="P1915" s="116">
        <v>634.79999999999995</v>
      </c>
      <c r="Q1915" s="116">
        <v>629.04999999999995</v>
      </c>
      <c r="R1915">
        <v>375150</v>
      </c>
    </row>
    <row r="1916" spans="1:18" x14ac:dyDescent="0.25">
      <c r="A1916" s="170">
        <v>45698</v>
      </c>
      <c r="B1916" s="116">
        <v>628.20000000000005</v>
      </c>
      <c r="C1916" s="116">
        <v>622.04999999999995</v>
      </c>
      <c r="D1916" s="116">
        <v>617.85</v>
      </c>
      <c r="E1916" s="116">
        <v>621</v>
      </c>
      <c r="F1916" s="116">
        <v>622.04999999999995</v>
      </c>
      <c r="G1916">
        <v>1830</v>
      </c>
      <c r="H1916" s="116"/>
      <c r="I1916" s="116"/>
      <c r="L1916" s="170">
        <v>45698</v>
      </c>
      <c r="M1916" s="116">
        <v>622.4</v>
      </c>
      <c r="N1916" s="116">
        <v>630</v>
      </c>
      <c r="O1916" s="116">
        <v>616.5</v>
      </c>
      <c r="P1916" s="116">
        <v>616.5</v>
      </c>
      <c r="Q1916" s="116">
        <v>622.4</v>
      </c>
      <c r="R1916">
        <v>80056</v>
      </c>
    </row>
    <row r="1917" spans="1:18" x14ac:dyDescent="0.25">
      <c r="A1917" s="170">
        <v>45699</v>
      </c>
      <c r="B1917" s="116">
        <v>628.95000000000005</v>
      </c>
      <c r="C1917" s="116">
        <v>620.25</v>
      </c>
      <c r="D1917" s="116">
        <v>619</v>
      </c>
      <c r="E1917" s="116">
        <v>628.95000000000005</v>
      </c>
      <c r="F1917" s="116">
        <v>620.25</v>
      </c>
      <c r="G1917">
        <v>1606</v>
      </c>
      <c r="H1917" s="116"/>
      <c r="I1917" s="116"/>
      <c r="L1917" s="170">
        <v>45699</v>
      </c>
      <c r="M1917" s="116">
        <v>620.25</v>
      </c>
      <c r="N1917" s="116">
        <v>625</v>
      </c>
      <c r="O1917" s="116">
        <v>616</v>
      </c>
      <c r="P1917" s="116">
        <v>623</v>
      </c>
      <c r="Q1917" s="116">
        <v>620.25</v>
      </c>
      <c r="R1917">
        <v>131792</v>
      </c>
    </row>
    <row r="1918" spans="1:18" x14ac:dyDescent="0.25">
      <c r="A1918" s="170">
        <v>45700</v>
      </c>
      <c r="B1918" s="116">
        <v>623</v>
      </c>
      <c r="C1918" s="116">
        <v>619.85</v>
      </c>
      <c r="D1918" s="116">
        <v>609.9</v>
      </c>
      <c r="E1918" s="116">
        <v>609.9</v>
      </c>
      <c r="F1918" s="116">
        <v>619.85</v>
      </c>
      <c r="G1918">
        <v>4931</v>
      </c>
      <c r="H1918" s="116"/>
      <c r="I1918" s="116"/>
      <c r="L1918" s="170">
        <v>45700</v>
      </c>
      <c r="M1918" s="116">
        <v>619.95000000000005</v>
      </c>
      <c r="N1918" s="116">
        <v>622.4</v>
      </c>
      <c r="O1918" s="116">
        <v>615.15</v>
      </c>
      <c r="P1918" s="116">
        <v>620.25</v>
      </c>
      <c r="Q1918" s="116">
        <v>619.95000000000005</v>
      </c>
      <c r="R1918">
        <v>57525</v>
      </c>
    </row>
    <row r="1919" spans="1:18" x14ac:dyDescent="0.25">
      <c r="A1919" s="170">
        <v>45701</v>
      </c>
      <c r="B1919" s="116">
        <v>624.9</v>
      </c>
      <c r="C1919" s="116">
        <v>617.20000000000005</v>
      </c>
      <c r="D1919" s="116">
        <v>616.25</v>
      </c>
      <c r="E1919" s="116">
        <v>620.95000000000005</v>
      </c>
      <c r="F1919" s="116">
        <v>617.20000000000005</v>
      </c>
      <c r="G1919">
        <v>311</v>
      </c>
      <c r="H1919" s="116"/>
      <c r="I1919" s="116"/>
      <c r="L1919" s="170">
        <v>45701</v>
      </c>
      <c r="M1919" s="116">
        <v>617</v>
      </c>
      <c r="N1919" s="116">
        <v>625.45000000000005</v>
      </c>
      <c r="O1919" s="116">
        <v>616</v>
      </c>
      <c r="P1919" s="116">
        <v>620</v>
      </c>
      <c r="Q1919" s="116">
        <v>617</v>
      </c>
      <c r="R1919">
        <v>158950</v>
      </c>
    </row>
    <row r="1920" spans="1:18" x14ac:dyDescent="0.25">
      <c r="A1920" s="170">
        <v>45702</v>
      </c>
      <c r="B1920" s="116">
        <v>633.54999999999995</v>
      </c>
      <c r="C1920" s="116">
        <v>618</v>
      </c>
      <c r="D1920" s="116">
        <v>614.45000000000005</v>
      </c>
      <c r="E1920" s="116">
        <v>629</v>
      </c>
      <c r="F1920" s="116">
        <v>618</v>
      </c>
      <c r="G1920">
        <v>1048</v>
      </c>
      <c r="H1920" s="116"/>
      <c r="I1920" s="116"/>
      <c r="L1920" s="170">
        <v>45702</v>
      </c>
      <c r="M1920" s="116">
        <v>618.1</v>
      </c>
      <c r="N1920" s="116">
        <v>639.04999999999995</v>
      </c>
      <c r="O1920" s="116">
        <v>613.54999999999995</v>
      </c>
      <c r="P1920" s="116">
        <v>620.1</v>
      </c>
      <c r="Q1920" s="116">
        <v>618.1</v>
      </c>
      <c r="R1920">
        <v>149604</v>
      </c>
    </row>
    <row r="1921" spans="1:18" x14ac:dyDescent="0.25">
      <c r="A1921" s="170">
        <v>45705</v>
      </c>
      <c r="B1921" s="116">
        <v>624</v>
      </c>
      <c r="C1921" s="116">
        <v>618.04999999999995</v>
      </c>
      <c r="D1921" s="116">
        <v>612.54999999999995</v>
      </c>
      <c r="E1921" s="116">
        <v>624</v>
      </c>
      <c r="F1921" s="116">
        <v>618.04999999999995</v>
      </c>
      <c r="G1921">
        <v>2627</v>
      </c>
      <c r="H1921" s="116"/>
      <c r="I1921" s="116"/>
      <c r="L1921" s="170">
        <v>45705</v>
      </c>
      <c r="M1921" s="116">
        <v>618.1</v>
      </c>
      <c r="N1921" s="116">
        <v>627.70000000000005</v>
      </c>
      <c r="O1921" s="116">
        <v>610</v>
      </c>
      <c r="P1921" s="116">
        <v>618</v>
      </c>
      <c r="Q1921" s="116">
        <v>618.1</v>
      </c>
      <c r="R1921">
        <v>262159</v>
      </c>
    </row>
    <row r="1922" spans="1:18" x14ac:dyDescent="0.25">
      <c r="A1922" s="170">
        <v>45706</v>
      </c>
      <c r="B1922" s="116">
        <v>624.95000000000005</v>
      </c>
      <c r="C1922" s="116">
        <v>620</v>
      </c>
      <c r="D1922" s="116">
        <v>616.04999999999995</v>
      </c>
      <c r="E1922" s="116">
        <v>624.95000000000005</v>
      </c>
      <c r="F1922" s="116">
        <v>620</v>
      </c>
      <c r="G1922">
        <v>2521</v>
      </c>
      <c r="H1922" s="116"/>
      <c r="I1922" s="116"/>
      <c r="L1922" s="170">
        <v>45706</v>
      </c>
      <c r="M1922" s="116">
        <v>621.15</v>
      </c>
      <c r="N1922" s="116">
        <v>624</v>
      </c>
      <c r="O1922" s="116">
        <v>617</v>
      </c>
      <c r="P1922" s="116">
        <v>621.20000000000005</v>
      </c>
      <c r="Q1922" s="116">
        <v>621.15</v>
      </c>
      <c r="R1922">
        <v>41514</v>
      </c>
    </row>
    <row r="1923" spans="1:18" x14ac:dyDescent="0.25">
      <c r="A1923" s="170">
        <v>45707</v>
      </c>
      <c r="B1923" s="116">
        <v>627.65</v>
      </c>
      <c r="C1923" s="116">
        <v>622.04999999999995</v>
      </c>
      <c r="D1923" s="116">
        <v>607.04999999999995</v>
      </c>
      <c r="E1923" s="116">
        <v>613</v>
      </c>
      <c r="F1923" s="116">
        <v>622.04999999999995</v>
      </c>
      <c r="G1923">
        <v>1713</v>
      </c>
      <c r="H1923" s="116"/>
      <c r="I1923" s="116"/>
      <c r="L1923" s="170">
        <v>45707</v>
      </c>
      <c r="M1923" s="116">
        <v>621.9</v>
      </c>
      <c r="N1923" s="116">
        <v>628.95000000000005</v>
      </c>
      <c r="O1923" s="116">
        <v>609</v>
      </c>
      <c r="P1923" s="116">
        <v>620</v>
      </c>
      <c r="Q1923" s="116">
        <v>621.9</v>
      </c>
      <c r="R1923">
        <v>61780</v>
      </c>
    </row>
    <row r="1924" spans="1:18" x14ac:dyDescent="0.25">
      <c r="A1924" s="170">
        <v>45708</v>
      </c>
      <c r="B1924" s="116">
        <v>628.95000000000005</v>
      </c>
      <c r="C1924" s="116">
        <v>627</v>
      </c>
      <c r="D1924" s="116">
        <v>615.6</v>
      </c>
      <c r="E1924" s="116">
        <v>622.1</v>
      </c>
      <c r="F1924" s="116">
        <v>627</v>
      </c>
      <c r="G1924">
        <v>5108</v>
      </c>
      <c r="H1924" s="116"/>
      <c r="I1924" s="116"/>
      <c r="L1924" s="170">
        <v>45708</v>
      </c>
      <c r="M1924" s="116">
        <v>626.54999999999995</v>
      </c>
      <c r="N1924" s="116">
        <v>629.45000000000005</v>
      </c>
      <c r="O1924" s="116">
        <v>616</v>
      </c>
      <c r="P1924" s="116">
        <v>620</v>
      </c>
      <c r="Q1924" s="116">
        <v>626.54999999999995</v>
      </c>
      <c r="R1924">
        <v>77824</v>
      </c>
    </row>
    <row r="1925" spans="1:18" x14ac:dyDescent="0.25">
      <c r="A1925" s="170">
        <v>45709</v>
      </c>
      <c r="B1925" s="116">
        <v>636</v>
      </c>
      <c r="C1925" s="116">
        <v>625.9</v>
      </c>
      <c r="D1925" s="116">
        <v>621.20000000000005</v>
      </c>
      <c r="E1925" s="116">
        <v>630</v>
      </c>
      <c r="F1925" s="116">
        <v>625.9</v>
      </c>
      <c r="G1925">
        <v>3909</v>
      </c>
      <c r="H1925" s="116"/>
      <c r="I1925" s="116"/>
      <c r="L1925" s="170">
        <v>45709</v>
      </c>
      <c r="M1925" s="116">
        <v>625.15</v>
      </c>
      <c r="N1925" s="116">
        <v>636.6</v>
      </c>
      <c r="O1925" s="116">
        <v>621.20000000000005</v>
      </c>
      <c r="P1925" s="116">
        <v>626</v>
      </c>
      <c r="Q1925" s="116">
        <v>625.15</v>
      </c>
      <c r="R1925">
        <v>47091</v>
      </c>
    </row>
    <row r="1926" spans="1:18" x14ac:dyDescent="0.25">
      <c r="A1926" s="170">
        <v>45712</v>
      </c>
      <c r="B1926" s="116">
        <v>625.9</v>
      </c>
      <c r="C1926" s="116">
        <v>620.5</v>
      </c>
      <c r="D1926" s="116">
        <v>612.95000000000005</v>
      </c>
      <c r="E1926" s="116">
        <v>625.9</v>
      </c>
      <c r="F1926" s="116">
        <v>620.5</v>
      </c>
      <c r="G1926">
        <v>3257</v>
      </c>
      <c r="H1926" s="116"/>
      <c r="I1926" s="116"/>
      <c r="L1926" s="170">
        <v>45712</v>
      </c>
      <c r="M1926" s="116">
        <v>620.5</v>
      </c>
      <c r="N1926" s="116">
        <v>629.1</v>
      </c>
      <c r="O1926" s="116">
        <v>616.04999999999995</v>
      </c>
      <c r="P1926" s="116">
        <v>628.29999999999995</v>
      </c>
      <c r="Q1926" s="116">
        <v>620.5</v>
      </c>
      <c r="R1926">
        <v>47253</v>
      </c>
    </row>
    <row r="1927" spans="1:18" x14ac:dyDescent="0.25">
      <c r="A1927" s="170">
        <v>45713</v>
      </c>
      <c r="B1927" s="116">
        <v>635.04999999999995</v>
      </c>
      <c r="C1927" s="116">
        <v>628.9</v>
      </c>
      <c r="D1927" s="116">
        <v>612.04999999999995</v>
      </c>
      <c r="E1927" s="116">
        <v>612.04999999999995</v>
      </c>
      <c r="F1927" s="116">
        <v>628.9</v>
      </c>
      <c r="G1927">
        <v>3510</v>
      </c>
      <c r="H1927" s="116"/>
      <c r="I1927" s="116"/>
      <c r="L1927" s="170">
        <v>45713</v>
      </c>
      <c r="M1927" s="116">
        <v>628.20000000000005</v>
      </c>
      <c r="N1927" s="116">
        <v>635</v>
      </c>
      <c r="O1927" s="116">
        <v>616.1</v>
      </c>
      <c r="P1927" s="116">
        <v>616.1</v>
      </c>
      <c r="Q1927" s="116">
        <v>628.20000000000005</v>
      </c>
      <c r="R1927">
        <v>74924</v>
      </c>
    </row>
    <row r="1928" spans="1:18" x14ac:dyDescent="0.25">
      <c r="A1928" s="170">
        <v>45715</v>
      </c>
      <c r="B1928" s="116">
        <v>636.1</v>
      </c>
      <c r="C1928" s="116">
        <v>629.54999999999995</v>
      </c>
      <c r="D1928" s="116">
        <v>619.45000000000005</v>
      </c>
      <c r="E1928" s="116">
        <v>630</v>
      </c>
      <c r="F1928" s="116">
        <v>629.54999999999995</v>
      </c>
      <c r="G1928">
        <v>3943</v>
      </c>
      <c r="H1928" s="116"/>
      <c r="I1928" s="116"/>
      <c r="L1928" s="170">
        <v>45715</v>
      </c>
      <c r="M1928" s="116">
        <v>630</v>
      </c>
      <c r="N1928" s="116">
        <v>639.65</v>
      </c>
      <c r="O1928" s="116">
        <v>620</v>
      </c>
      <c r="P1928" s="116">
        <v>631.35</v>
      </c>
      <c r="Q1928" s="116">
        <v>630</v>
      </c>
      <c r="R1928">
        <v>75971</v>
      </c>
    </row>
    <row r="1929" spans="1:18" x14ac:dyDescent="0.25">
      <c r="A1929" s="170">
        <v>45716</v>
      </c>
      <c r="B1929" s="116">
        <v>635.29999999999995</v>
      </c>
      <c r="C1929" s="116">
        <v>621.25</v>
      </c>
      <c r="D1929" s="116">
        <v>620</v>
      </c>
      <c r="E1929" s="116">
        <v>631</v>
      </c>
      <c r="F1929" s="116">
        <v>621.25</v>
      </c>
      <c r="G1929">
        <v>5050</v>
      </c>
      <c r="H1929" s="116"/>
      <c r="I1929" s="116"/>
      <c r="L1929" s="170">
        <v>45716</v>
      </c>
      <c r="M1929" s="116">
        <v>620.6</v>
      </c>
      <c r="N1929" s="116">
        <v>637.9</v>
      </c>
      <c r="O1929" s="116">
        <v>619.04999999999995</v>
      </c>
      <c r="P1929" s="116">
        <v>623.1</v>
      </c>
      <c r="Q1929" s="116">
        <v>620.6</v>
      </c>
      <c r="R1929">
        <v>159501</v>
      </c>
    </row>
    <row r="1930" spans="1:18" x14ac:dyDescent="0.25">
      <c r="A1930" s="170">
        <v>45719</v>
      </c>
      <c r="B1930" s="116">
        <v>633.20000000000005</v>
      </c>
      <c r="C1930" s="116">
        <v>617.29999999999995</v>
      </c>
      <c r="D1930" s="116">
        <v>614.29999999999995</v>
      </c>
      <c r="E1930" s="116">
        <v>622</v>
      </c>
      <c r="F1930" s="116">
        <v>617.29999999999995</v>
      </c>
      <c r="G1930">
        <v>8746</v>
      </c>
      <c r="H1930" s="116"/>
      <c r="I1930" s="116"/>
      <c r="L1930" s="170">
        <v>45719</v>
      </c>
      <c r="M1930" s="116">
        <v>618.85</v>
      </c>
      <c r="N1930" s="116">
        <v>628.45000000000005</v>
      </c>
      <c r="O1930" s="116">
        <v>615</v>
      </c>
      <c r="P1930" s="116">
        <v>624.35</v>
      </c>
      <c r="Q1930" s="116">
        <v>618.85</v>
      </c>
      <c r="R1930">
        <v>123691</v>
      </c>
    </row>
    <row r="1931" spans="1:18" x14ac:dyDescent="0.25">
      <c r="A1931" s="170">
        <v>45720</v>
      </c>
      <c r="B1931" s="116">
        <v>623.20000000000005</v>
      </c>
      <c r="C1931" s="116">
        <v>617.20000000000005</v>
      </c>
      <c r="D1931" s="116">
        <v>614.04999999999995</v>
      </c>
      <c r="E1931" s="116">
        <v>620.65</v>
      </c>
      <c r="F1931" s="116">
        <v>617.20000000000005</v>
      </c>
      <c r="G1931">
        <v>2005</v>
      </c>
      <c r="H1931" s="116"/>
      <c r="I1931" s="116"/>
      <c r="L1931" s="170">
        <v>45720</v>
      </c>
      <c r="M1931" s="116">
        <v>616.29999999999995</v>
      </c>
      <c r="N1931" s="116">
        <v>623.75</v>
      </c>
      <c r="O1931" s="116">
        <v>610</v>
      </c>
      <c r="P1931" s="116">
        <v>615</v>
      </c>
      <c r="Q1931" s="116">
        <v>616.29999999999995</v>
      </c>
      <c r="R1931">
        <v>71261</v>
      </c>
    </row>
    <row r="1932" spans="1:18" x14ac:dyDescent="0.25">
      <c r="A1932" s="170">
        <v>45721</v>
      </c>
      <c r="B1932" s="116">
        <v>631.1</v>
      </c>
      <c r="C1932" s="116">
        <v>625.35</v>
      </c>
      <c r="D1932" s="116">
        <v>617.20000000000005</v>
      </c>
      <c r="E1932" s="116">
        <v>617.20000000000005</v>
      </c>
      <c r="F1932" s="116">
        <v>625.35</v>
      </c>
      <c r="G1932">
        <v>4729</v>
      </c>
      <c r="H1932" s="116"/>
      <c r="I1932" s="116"/>
      <c r="L1932" s="170">
        <v>45721</v>
      </c>
      <c r="M1932" s="116">
        <v>626</v>
      </c>
      <c r="N1932" s="116">
        <v>631.29999999999995</v>
      </c>
      <c r="O1932" s="116">
        <v>619.4</v>
      </c>
      <c r="P1932" s="116">
        <v>619.4</v>
      </c>
      <c r="Q1932" s="116">
        <v>626</v>
      </c>
      <c r="R1932">
        <v>108118</v>
      </c>
    </row>
    <row r="1933" spans="1:18" x14ac:dyDescent="0.25">
      <c r="A1933" s="170">
        <v>45722</v>
      </c>
      <c r="B1933" s="116">
        <v>639.9</v>
      </c>
      <c r="C1933" s="116">
        <v>627.65</v>
      </c>
      <c r="D1933" s="116">
        <v>624.15</v>
      </c>
      <c r="E1933" s="116">
        <v>639.9</v>
      </c>
      <c r="F1933" s="116">
        <v>627.65</v>
      </c>
      <c r="G1933">
        <v>1891</v>
      </c>
      <c r="H1933" s="116"/>
      <c r="I1933" s="116"/>
      <c r="L1933" s="170">
        <v>45722</v>
      </c>
      <c r="M1933" s="116">
        <v>627.04999999999995</v>
      </c>
      <c r="N1933" s="116">
        <v>634</v>
      </c>
      <c r="O1933" s="116">
        <v>623.15</v>
      </c>
      <c r="P1933" s="116">
        <v>634</v>
      </c>
      <c r="Q1933" s="116">
        <v>627.04999999999995</v>
      </c>
      <c r="R1933">
        <v>58124</v>
      </c>
    </row>
    <row r="1934" spans="1:18" x14ac:dyDescent="0.25">
      <c r="A1934" s="170">
        <v>45723</v>
      </c>
      <c r="B1934" s="116">
        <v>629.75</v>
      </c>
      <c r="C1934" s="116">
        <v>626.15</v>
      </c>
      <c r="D1934" s="116">
        <v>621</v>
      </c>
      <c r="E1934" s="116">
        <v>621</v>
      </c>
      <c r="F1934" s="116">
        <v>626.15</v>
      </c>
      <c r="G1934">
        <v>2215</v>
      </c>
      <c r="H1934" s="116"/>
      <c r="I1934" s="116"/>
      <c r="L1934" s="170">
        <v>45723</v>
      </c>
      <c r="M1934" s="116">
        <v>627.04999999999995</v>
      </c>
      <c r="N1934" s="116">
        <v>630</v>
      </c>
      <c r="O1934" s="116">
        <v>625.25</v>
      </c>
      <c r="P1934" s="116">
        <v>629</v>
      </c>
      <c r="Q1934" s="116">
        <v>627.04999999999995</v>
      </c>
      <c r="R1934">
        <v>33624</v>
      </c>
    </row>
    <row r="1935" spans="1:18" x14ac:dyDescent="0.25">
      <c r="A1935" s="170">
        <v>45726</v>
      </c>
      <c r="B1935" s="116">
        <v>638.70000000000005</v>
      </c>
      <c r="C1935" s="116">
        <v>629.4</v>
      </c>
      <c r="D1935" s="116">
        <v>624.9</v>
      </c>
      <c r="E1935" s="116">
        <v>638.70000000000005</v>
      </c>
      <c r="F1935" s="116">
        <v>629.4</v>
      </c>
      <c r="G1935">
        <v>1637</v>
      </c>
      <c r="H1935" s="116"/>
      <c r="I1935" s="116"/>
      <c r="L1935" s="170">
        <v>45726</v>
      </c>
      <c r="M1935" s="116">
        <v>626.70000000000005</v>
      </c>
      <c r="N1935" s="116">
        <v>630.15</v>
      </c>
      <c r="O1935" s="116">
        <v>623.04999999999995</v>
      </c>
      <c r="P1935" s="116">
        <v>623.20000000000005</v>
      </c>
      <c r="Q1935" s="116">
        <v>626.70000000000005</v>
      </c>
      <c r="R1935">
        <v>50173</v>
      </c>
    </row>
    <row r="1936" spans="1:18" x14ac:dyDescent="0.25">
      <c r="A1936" s="170">
        <v>45727</v>
      </c>
      <c r="B1936" s="116">
        <v>633</v>
      </c>
      <c r="C1936" s="116">
        <v>627.29999999999995</v>
      </c>
      <c r="D1936" s="116">
        <v>625.04999999999995</v>
      </c>
      <c r="E1936" s="116">
        <v>625.70000000000005</v>
      </c>
      <c r="F1936" s="116">
        <v>627.29999999999995</v>
      </c>
      <c r="G1936">
        <v>3505</v>
      </c>
      <c r="H1936" s="116"/>
      <c r="I1936" s="116"/>
      <c r="L1936" s="170">
        <v>45727</v>
      </c>
      <c r="M1936" s="116">
        <v>627.54999999999995</v>
      </c>
      <c r="N1936" s="116">
        <v>633.70000000000005</v>
      </c>
      <c r="O1936" s="116">
        <v>625.04999999999995</v>
      </c>
      <c r="P1936" s="116">
        <v>625.04999999999995</v>
      </c>
      <c r="Q1936" s="116">
        <v>627.54999999999995</v>
      </c>
      <c r="R1936">
        <v>46249</v>
      </c>
    </row>
    <row r="1937" spans="1:18" x14ac:dyDescent="0.25">
      <c r="A1937" s="170">
        <v>45728</v>
      </c>
      <c r="B1937" s="116">
        <v>634.25</v>
      </c>
      <c r="C1937" s="116">
        <v>629.29999999999995</v>
      </c>
      <c r="D1937" s="116">
        <v>625.04999999999995</v>
      </c>
      <c r="E1937" s="116">
        <v>625.04999999999995</v>
      </c>
      <c r="F1937" s="116">
        <v>629.29999999999995</v>
      </c>
      <c r="G1937">
        <v>3402</v>
      </c>
      <c r="H1937" s="116"/>
      <c r="I1937" s="116"/>
      <c r="L1937" s="170">
        <v>45728</v>
      </c>
      <c r="M1937" s="116">
        <v>629.04999999999995</v>
      </c>
      <c r="N1937" s="116">
        <v>635</v>
      </c>
      <c r="O1937" s="116">
        <v>625</v>
      </c>
      <c r="P1937" s="116">
        <v>628</v>
      </c>
      <c r="Q1937" s="116">
        <v>629.04999999999995</v>
      </c>
      <c r="R1937">
        <v>42309</v>
      </c>
    </row>
    <row r="1938" spans="1:18" x14ac:dyDescent="0.25">
      <c r="A1938" s="170">
        <v>45729</v>
      </c>
      <c r="B1938" s="116">
        <v>636</v>
      </c>
      <c r="C1938" s="116">
        <v>626</v>
      </c>
      <c r="D1938" s="116">
        <v>625.20000000000005</v>
      </c>
      <c r="E1938" s="116">
        <v>629.29999999999995</v>
      </c>
      <c r="F1938" s="116">
        <v>626</v>
      </c>
      <c r="G1938">
        <v>2288</v>
      </c>
      <c r="H1938" s="116"/>
      <c r="I1938" s="116"/>
      <c r="L1938" s="170">
        <v>45729</v>
      </c>
      <c r="M1938" s="116">
        <v>626.70000000000005</v>
      </c>
      <c r="N1938" s="116">
        <v>634.95000000000005</v>
      </c>
      <c r="O1938" s="116">
        <v>626.25</v>
      </c>
      <c r="P1938" s="116">
        <v>629.04999999999995</v>
      </c>
      <c r="Q1938" s="116">
        <v>626.70000000000005</v>
      </c>
      <c r="R1938">
        <v>29117</v>
      </c>
    </row>
    <row r="1939" spans="1:18" x14ac:dyDescent="0.25">
      <c r="A1939" s="170">
        <v>45733</v>
      </c>
      <c r="B1939" s="116">
        <v>629.45000000000005</v>
      </c>
      <c r="C1939" s="116">
        <v>627.45000000000005</v>
      </c>
      <c r="D1939" s="116">
        <v>624.95000000000005</v>
      </c>
      <c r="E1939" s="116">
        <v>629</v>
      </c>
      <c r="F1939" s="116">
        <v>627.45000000000005</v>
      </c>
      <c r="G1939">
        <v>3656</v>
      </c>
      <c r="H1939" s="116"/>
      <c r="I1939" s="116"/>
      <c r="L1939" s="170">
        <v>45733</v>
      </c>
      <c r="M1939" s="116">
        <v>627.70000000000005</v>
      </c>
      <c r="N1939" s="116">
        <v>631.45000000000005</v>
      </c>
      <c r="O1939" s="116">
        <v>626.04999999999995</v>
      </c>
      <c r="P1939" s="116">
        <v>627.04999999999995</v>
      </c>
      <c r="Q1939" s="116">
        <v>627.70000000000005</v>
      </c>
      <c r="R1939">
        <v>45898</v>
      </c>
    </row>
    <row r="1940" spans="1:18" x14ac:dyDescent="0.25">
      <c r="A1940" s="170">
        <v>45734</v>
      </c>
      <c r="B1940" s="116">
        <v>631.54999999999995</v>
      </c>
      <c r="C1940" s="116">
        <v>628.20000000000005</v>
      </c>
      <c r="D1940" s="116">
        <v>625.85</v>
      </c>
      <c r="E1940" s="116">
        <v>631.35</v>
      </c>
      <c r="F1940" s="116">
        <v>628.20000000000005</v>
      </c>
      <c r="G1940">
        <v>824</v>
      </c>
      <c r="H1940" s="116"/>
      <c r="I1940" s="116"/>
      <c r="L1940" s="170">
        <v>45734</v>
      </c>
      <c r="M1940" s="116">
        <v>627.54999999999995</v>
      </c>
      <c r="N1940" s="116">
        <v>632.79999999999995</v>
      </c>
      <c r="O1940" s="116">
        <v>625.5</v>
      </c>
      <c r="P1940" s="116">
        <v>627.70000000000005</v>
      </c>
      <c r="Q1940" s="116">
        <v>627.54999999999995</v>
      </c>
      <c r="R1940">
        <v>57547</v>
      </c>
    </row>
    <row r="1941" spans="1:18" x14ac:dyDescent="0.25">
      <c r="A1941" s="170">
        <v>45735</v>
      </c>
      <c r="B1941" s="116">
        <v>634.54999999999995</v>
      </c>
      <c r="C1941" s="116">
        <v>631.35</v>
      </c>
      <c r="D1941" s="116">
        <v>620.85</v>
      </c>
      <c r="E1941" s="116">
        <v>630</v>
      </c>
      <c r="F1941" s="116">
        <v>631.35</v>
      </c>
      <c r="G1941">
        <v>7652</v>
      </c>
      <c r="H1941" s="116"/>
      <c r="I1941" s="116"/>
      <c r="L1941" s="170">
        <v>45735</v>
      </c>
      <c r="M1941" s="116">
        <v>631.6</v>
      </c>
      <c r="N1941" s="116">
        <v>635</v>
      </c>
      <c r="O1941" s="116">
        <v>627.1</v>
      </c>
      <c r="P1941" s="116">
        <v>628</v>
      </c>
      <c r="Q1941" s="116">
        <v>631.6</v>
      </c>
      <c r="R1941">
        <v>46204</v>
      </c>
    </row>
    <row r="1942" spans="1:18" x14ac:dyDescent="0.25">
      <c r="A1942" s="170">
        <v>45736</v>
      </c>
      <c r="B1942" s="116">
        <v>634.95000000000005</v>
      </c>
      <c r="C1942" s="116">
        <v>630.75</v>
      </c>
      <c r="D1942" s="116">
        <v>629.5</v>
      </c>
      <c r="E1942" s="116">
        <v>634.9</v>
      </c>
      <c r="F1942" s="116">
        <v>630.75</v>
      </c>
      <c r="G1942">
        <v>954</v>
      </c>
      <c r="H1942" s="116"/>
      <c r="I1942" s="116"/>
      <c r="L1942" s="170">
        <v>45736</v>
      </c>
      <c r="M1942" s="116">
        <v>629.5</v>
      </c>
      <c r="N1942" s="116">
        <v>635.95000000000005</v>
      </c>
      <c r="O1942" s="116">
        <v>629</v>
      </c>
      <c r="P1942" s="116">
        <v>634.79999999999995</v>
      </c>
      <c r="Q1942" s="116">
        <v>629.5</v>
      </c>
      <c r="R1942">
        <v>35386</v>
      </c>
    </row>
    <row r="1943" spans="1:18" x14ac:dyDescent="0.25">
      <c r="A1943" s="170">
        <v>45737</v>
      </c>
      <c r="B1943" s="116">
        <v>639</v>
      </c>
      <c r="C1943" s="116">
        <v>632.70000000000005</v>
      </c>
      <c r="D1943" s="116">
        <v>629.85</v>
      </c>
      <c r="E1943" s="116">
        <v>630.75</v>
      </c>
      <c r="F1943" s="116">
        <v>632.70000000000005</v>
      </c>
      <c r="G1943">
        <v>4750</v>
      </c>
      <c r="H1943" s="116"/>
      <c r="I1943" s="116"/>
      <c r="L1943" s="170">
        <v>45737</v>
      </c>
      <c r="M1943" s="116">
        <v>633.54999999999995</v>
      </c>
      <c r="N1943" s="116">
        <v>637.9</v>
      </c>
      <c r="O1943" s="116">
        <v>627.9</v>
      </c>
      <c r="P1943" s="116">
        <v>627.9</v>
      </c>
      <c r="Q1943" s="116">
        <v>633.54999999999995</v>
      </c>
      <c r="R1943">
        <v>55590</v>
      </c>
    </row>
    <row r="1944" spans="1:18" x14ac:dyDescent="0.25">
      <c r="A1944" s="170">
        <v>45740</v>
      </c>
      <c r="B1944" s="116">
        <v>641.85</v>
      </c>
      <c r="C1944" s="116">
        <v>629.95000000000005</v>
      </c>
      <c r="D1944" s="116">
        <v>628.85</v>
      </c>
      <c r="E1944" s="116">
        <v>638.95000000000005</v>
      </c>
      <c r="F1944" s="116">
        <v>629.95000000000005</v>
      </c>
      <c r="G1944">
        <v>1741</v>
      </c>
      <c r="H1944" s="116"/>
      <c r="I1944" s="116"/>
      <c r="L1944" s="170">
        <v>45740</v>
      </c>
      <c r="M1944" s="116">
        <v>630.04999999999995</v>
      </c>
      <c r="N1944" s="116">
        <v>640.54999999999995</v>
      </c>
      <c r="O1944" s="116">
        <v>629</v>
      </c>
      <c r="P1944" s="116">
        <v>637.95000000000005</v>
      </c>
      <c r="Q1944" s="116">
        <v>630.04999999999995</v>
      </c>
      <c r="R1944">
        <v>110250</v>
      </c>
    </row>
    <row r="1945" spans="1:18" x14ac:dyDescent="0.25">
      <c r="A1945" s="170">
        <v>45741</v>
      </c>
      <c r="B1945" s="116">
        <v>632.9</v>
      </c>
      <c r="C1945" s="116">
        <v>628.85</v>
      </c>
      <c r="D1945" s="116">
        <v>625</v>
      </c>
      <c r="E1945" s="116">
        <v>625</v>
      </c>
      <c r="F1945" s="116">
        <v>628.85</v>
      </c>
      <c r="G1945">
        <v>800</v>
      </c>
      <c r="H1945" s="116"/>
      <c r="I1945" s="116"/>
      <c r="L1945" s="170">
        <v>45741</v>
      </c>
      <c r="M1945" s="116">
        <v>628.75</v>
      </c>
      <c r="N1945" s="116">
        <v>635.04999999999995</v>
      </c>
      <c r="O1945" s="116">
        <v>627.25</v>
      </c>
      <c r="P1945" s="116">
        <v>630.1</v>
      </c>
      <c r="Q1945" s="116">
        <v>628.75</v>
      </c>
      <c r="R1945">
        <v>54077</v>
      </c>
    </row>
    <row r="1946" spans="1:18" x14ac:dyDescent="0.25">
      <c r="A1946" s="170">
        <v>45742</v>
      </c>
      <c r="B1946" s="116">
        <v>631.75</v>
      </c>
      <c r="C1946" s="116">
        <v>629.35</v>
      </c>
      <c r="D1946" s="116">
        <v>627.79999999999995</v>
      </c>
      <c r="E1946" s="116">
        <v>630.45000000000005</v>
      </c>
      <c r="F1946" s="116">
        <v>629.35</v>
      </c>
      <c r="G1946">
        <v>5747</v>
      </c>
      <c r="H1946" s="116"/>
      <c r="I1946" s="116"/>
      <c r="L1946" s="170">
        <v>45742</v>
      </c>
      <c r="M1946" s="116">
        <v>630.04999999999995</v>
      </c>
      <c r="N1946" s="116">
        <v>633.1</v>
      </c>
      <c r="O1946" s="116">
        <v>628.25</v>
      </c>
      <c r="P1946" s="116">
        <v>632</v>
      </c>
      <c r="Q1946" s="116">
        <v>630.04999999999995</v>
      </c>
      <c r="R1946">
        <v>45151</v>
      </c>
    </row>
    <row r="1947" spans="1:18" x14ac:dyDescent="0.25">
      <c r="A1947" s="170">
        <v>45743</v>
      </c>
      <c r="B1947" s="116">
        <v>637</v>
      </c>
      <c r="C1947" s="116">
        <v>633.79999999999995</v>
      </c>
      <c r="D1947" s="116">
        <v>630.6</v>
      </c>
      <c r="E1947" s="116">
        <v>633</v>
      </c>
      <c r="F1947" s="116">
        <v>633.79999999999995</v>
      </c>
      <c r="G1947">
        <v>6514</v>
      </c>
      <c r="H1947" s="116"/>
      <c r="I1947" s="116"/>
      <c r="L1947" s="170">
        <v>45743</v>
      </c>
      <c r="M1947" s="116">
        <v>633.20000000000005</v>
      </c>
      <c r="N1947" s="116">
        <v>637.5</v>
      </c>
      <c r="O1947" s="116">
        <v>630</v>
      </c>
      <c r="P1947" s="116">
        <v>630</v>
      </c>
      <c r="Q1947" s="116">
        <v>633.20000000000005</v>
      </c>
      <c r="R1947">
        <v>121647</v>
      </c>
    </row>
    <row r="1948" spans="1:18" x14ac:dyDescent="0.25">
      <c r="A1948" s="170">
        <v>45744</v>
      </c>
      <c r="B1948" s="116">
        <v>636.9</v>
      </c>
      <c r="C1948" s="116">
        <v>632.29999999999995</v>
      </c>
      <c r="D1948" s="116">
        <v>632</v>
      </c>
      <c r="E1948" s="116">
        <v>633.79999999999995</v>
      </c>
      <c r="F1948" s="116">
        <v>632.29999999999995</v>
      </c>
      <c r="G1948">
        <v>5560</v>
      </c>
      <c r="H1948" s="116"/>
      <c r="I1948" s="116"/>
      <c r="L1948" s="170">
        <v>45744</v>
      </c>
      <c r="M1948" s="116">
        <v>633.1</v>
      </c>
      <c r="N1948" s="116">
        <v>636.4</v>
      </c>
      <c r="O1948" s="116">
        <v>633</v>
      </c>
      <c r="P1948" s="116">
        <v>633.4</v>
      </c>
      <c r="Q1948" s="116">
        <v>633.1</v>
      </c>
      <c r="R1948">
        <v>47181</v>
      </c>
    </row>
    <row r="1949" spans="1:18" x14ac:dyDescent="0.25">
      <c r="A1949" s="170">
        <v>45748</v>
      </c>
      <c r="B1949" s="116">
        <v>638.9</v>
      </c>
      <c r="C1949" s="116">
        <v>635.35</v>
      </c>
      <c r="D1949" s="116">
        <v>632.6</v>
      </c>
      <c r="E1949" s="116">
        <v>634.9</v>
      </c>
      <c r="F1949" s="116">
        <v>635.35</v>
      </c>
      <c r="G1949">
        <v>895</v>
      </c>
      <c r="H1949" s="116"/>
      <c r="I1949" s="116"/>
      <c r="L1949" s="170">
        <v>45748</v>
      </c>
      <c r="M1949" s="116">
        <v>634.79999999999995</v>
      </c>
      <c r="N1949" s="116">
        <v>639.85</v>
      </c>
      <c r="O1949" s="116">
        <v>630.04999999999995</v>
      </c>
      <c r="P1949" s="116">
        <v>630.04999999999995</v>
      </c>
      <c r="Q1949" s="116">
        <v>634.79999999999995</v>
      </c>
      <c r="R1949">
        <v>34918</v>
      </c>
    </row>
    <row r="1950" spans="1:18" x14ac:dyDescent="0.25">
      <c r="A1950" s="170">
        <v>45749</v>
      </c>
      <c r="B1950" s="116">
        <v>640.29999999999995</v>
      </c>
      <c r="C1950" s="116">
        <v>636.70000000000005</v>
      </c>
      <c r="D1950" s="116">
        <v>633.04999999999995</v>
      </c>
      <c r="E1950" s="116">
        <v>635.35</v>
      </c>
      <c r="F1950" s="116">
        <v>636.70000000000005</v>
      </c>
      <c r="G1950">
        <v>944</v>
      </c>
      <c r="H1950" s="116"/>
      <c r="I1950" s="116"/>
      <c r="L1950" s="170">
        <v>45749</v>
      </c>
      <c r="M1950" s="116">
        <v>637.20000000000005</v>
      </c>
      <c r="N1950" s="116">
        <v>640.1</v>
      </c>
      <c r="O1950" s="116">
        <v>633.5</v>
      </c>
      <c r="P1950" s="116">
        <v>637.95000000000005</v>
      </c>
      <c r="Q1950" s="116">
        <v>637.20000000000005</v>
      </c>
      <c r="R1950">
        <v>35824</v>
      </c>
    </row>
    <row r="1951" spans="1:18" x14ac:dyDescent="0.25">
      <c r="A1951" s="170">
        <v>45750</v>
      </c>
      <c r="B1951" s="116">
        <v>640</v>
      </c>
      <c r="C1951" s="116">
        <v>635.4</v>
      </c>
      <c r="D1951" s="116">
        <v>634.54999999999995</v>
      </c>
      <c r="E1951" s="116">
        <v>640</v>
      </c>
      <c r="F1951" s="116">
        <v>635.4</v>
      </c>
      <c r="G1951">
        <v>639</v>
      </c>
      <c r="H1951" s="116"/>
      <c r="I1951" s="116"/>
      <c r="L1951" s="170">
        <v>45750</v>
      </c>
      <c r="M1951" s="116">
        <v>635.5</v>
      </c>
      <c r="N1951" s="116">
        <v>640</v>
      </c>
      <c r="O1951" s="116">
        <v>635</v>
      </c>
      <c r="P1951" s="116">
        <v>635.9</v>
      </c>
      <c r="Q1951" s="116">
        <v>635.5</v>
      </c>
      <c r="R1951">
        <v>51678</v>
      </c>
    </row>
    <row r="1952" spans="1:18" x14ac:dyDescent="0.25">
      <c r="A1952" s="170">
        <v>45751</v>
      </c>
      <c r="B1952" s="116">
        <v>637.04999999999995</v>
      </c>
      <c r="C1952" s="116">
        <v>631.6</v>
      </c>
      <c r="D1952" s="116">
        <v>630.65</v>
      </c>
      <c r="E1952" s="116">
        <v>635.5</v>
      </c>
      <c r="F1952" s="116">
        <v>631.6</v>
      </c>
      <c r="G1952">
        <v>385</v>
      </c>
      <c r="H1952" s="116"/>
      <c r="I1952" s="116"/>
      <c r="L1952" s="170">
        <v>45751</v>
      </c>
      <c r="M1952" s="116">
        <v>633.4</v>
      </c>
      <c r="N1952" s="116">
        <v>638</v>
      </c>
      <c r="O1952" s="116">
        <v>632.04999999999995</v>
      </c>
      <c r="P1952" s="116">
        <v>635.04999999999995</v>
      </c>
      <c r="Q1952" s="116">
        <v>633.4</v>
      </c>
      <c r="R1952">
        <v>36848</v>
      </c>
    </row>
    <row r="1953" spans="1:18" x14ac:dyDescent="0.25">
      <c r="A1953" s="170">
        <v>45754</v>
      </c>
      <c r="B1953" s="116">
        <v>641.35</v>
      </c>
      <c r="C1953" s="116">
        <v>630.54999999999995</v>
      </c>
      <c r="D1953" s="116">
        <v>625.6</v>
      </c>
      <c r="E1953" s="116">
        <v>633.04999999999995</v>
      </c>
      <c r="F1953" s="116">
        <v>630.54999999999995</v>
      </c>
      <c r="G1953">
        <v>2240</v>
      </c>
      <c r="H1953" s="116"/>
      <c r="I1953" s="116"/>
      <c r="L1953" s="170">
        <v>45754</v>
      </c>
      <c r="M1953" s="116">
        <v>630.20000000000005</v>
      </c>
      <c r="N1953" s="116">
        <v>643.4</v>
      </c>
      <c r="O1953" s="116">
        <v>624</v>
      </c>
      <c r="P1953" s="116">
        <v>633.04999999999995</v>
      </c>
      <c r="Q1953" s="116">
        <v>630.20000000000005</v>
      </c>
      <c r="R1953">
        <v>233663</v>
      </c>
    </row>
    <row r="1954" spans="1:18" x14ac:dyDescent="0.25">
      <c r="A1954" s="170">
        <v>45755</v>
      </c>
      <c r="B1954" s="116">
        <v>641.54999999999995</v>
      </c>
      <c r="C1954" s="116">
        <v>635.04999999999995</v>
      </c>
      <c r="D1954" s="116">
        <v>626.45000000000005</v>
      </c>
      <c r="E1954" s="116">
        <v>634.1</v>
      </c>
      <c r="F1954" s="116">
        <v>635.04999999999995</v>
      </c>
      <c r="G1954">
        <v>6809</v>
      </c>
      <c r="H1954" s="116"/>
      <c r="I1954" s="116"/>
      <c r="L1954" s="170">
        <v>45755</v>
      </c>
      <c r="M1954" s="116">
        <v>637.1</v>
      </c>
      <c r="N1954" s="116">
        <v>638.5</v>
      </c>
      <c r="O1954" s="116">
        <v>628</v>
      </c>
      <c r="P1954" s="116">
        <v>631.79999999999995</v>
      </c>
      <c r="Q1954" s="116">
        <v>637.1</v>
      </c>
      <c r="R1954">
        <v>276472</v>
      </c>
    </row>
    <row r="1955" spans="1:18" x14ac:dyDescent="0.25">
      <c r="A1955" s="170">
        <v>45756</v>
      </c>
      <c r="B1955" s="116">
        <v>636.75</v>
      </c>
      <c r="C1955" s="116">
        <v>636</v>
      </c>
      <c r="D1955" s="116">
        <v>632.15</v>
      </c>
      <c r="E1955" s="116">
        <v>634.5</v>
      </c>
      <c r="F1955" s="116">
        <v>636</v>
      </c>
      <c r="G1955">
        <v>388</v>
      </c>
      <c r="H1955" s="116"/>
      <c r="I1955" s="116"/>
      <c r="L1955" s="170">
        <v>45756</v>
      </c>
      <c r="M1955" s="116">
        <v>635.29999999999995</v>
      </c>
      <c r="N1955" s="116">
        <v>637.4</v>
      </c>
      <c r="O1955" s="116">
        <v>631.54999999999995</v>
      </c>
      <c r="P1955" s="116">
        <v>637.1</v>
      </c>
      <c r="Q1955" s="116">
        <v>635.29999999999995</v>
      </c>
      <c r="R1955">
        <v>42995</v>
      </c>
    </row>
    <row r="1956" spans="1:18" x14ac:dyDescent="0.25">
      <c r="A1956" s="170">
        <v>45758</v>
      </c>
      <c r="B1956" s="116">
        <v>657</v>
      </c>
      <c r="C1956" s="116">
        <v>634.65</v>
      </c>
      <c r="D1956" s="116">
        <v>632</v>
      </c>
      <c r="E1956" s="116">
        <v>657</v>
      </c>
      <c r="F1956" s="116">
        <v>634.65</v>
      </c>
      <c r="G1956">
        <v>997</v>
      </c>
      <c r="H1956" s="116"/>
      <c r="I1956" s="116"/>
      <c r="L1956" s="170">
        <v>45758</v>
      </c>
      <c r="M1956" s="116">
        <v>632.95000000000005</v>
      </c>
      <c r="N1956" s="116">
        <v>639.9</v>
      </c>
      <c r="O1956" s="116">
        <v>631.95000000000005</v>
      </c>
      <c r="P1956" s="116">
        <v>639.9</v>
      </c>
      <c r="Q1956" s="116">
        <v>632.95000000000005</v>
      </c>
      <c r="R1956">
        <v>44973</v>
      </c>
    </row>
    <row r="1957" spans="1:18" x14ac:dyDescent="0.25">
      <c r="A1957" s="170">
        <v>45762</v>
      </c>
      <c r="B1957" s="116">
        <v>642.9</v>
      </c>
      <c r="C1957" s="116">
        <v>634.6</v>
      </c>
      <c r="D1957" s="116">
        <v>631.25</v>
      </c>
      <c r="E1957" s="116">
        <v>642.9</v>
      </c>
      <c r="F1957" s="116">
        <v>634.6</v>
      </c>
      <c r="G1957">
        <v>1660</v>
      </c>
      <c r="H1957" s="116"/>
      <c r="I1957" s="116"/>
      <c r="L1957" s="170">
        <v>45762</v>
      </c>
      <c r="M1957" s="116">
        <v>633.6</v>
      </c>
      <c r="N1957" s="116">
        <v>637.95000000000005</v>
      </c>
      <c r="O1957" s="116">
        <v>631.95000000000005</v>
      </c>
      <c r="P1957" s="116">
        <v>637.95000000000005</v>
      </c>
      <c r="Q1957" s="116">
        <v>633.6</v>
      </c>
      <c r="R1957">
        <v>38857</v>
      </c>
    </row>
    <row r="1958" spans="1:18" x14ac:dyDescent="0.25">
      <c r="A1958" s="170">
        <v>45763</v>
      </c>
      <c r="B1958" s="116">
        <v>638.79999999999995</v>
      </c>
      <c r="C1958" s="116">
        <v>634.9</v>
      </c>
      <c r="D1958" s="116">
        <v>632.85</v>
      </c>
      <c r="E1958" s="116">
        <v>634.04999999999995</v>
      </c>
      <c r="F1958" s="116">
        <v>634.9</v>
      </c>
      <c r="G1958">
        <v>3397</v>
      </c>
      <c r="H1958" s="116"/>
      <c r="I1958" s="116"/>
      <c r="L1958" s="170">
        <v>45763</v>
      </c>
      <c r="M1958" s="116">
        <v>634.85</v>
      </c>
      <c r="N1958" s="116">
        <v>638.9</v>
      </c>
      <c r="O1958" s="116">
        <v>632</v>
      </c>
      <c r="P1958" s="116">
        <v>632</v>
      </c>
      <c r="Q1958" s="116">
        <v>634.85</v>
      </c>
      <c r="R1958">
        <v>32272</v>
      </c>
    </row>
    <row r="1959" spans="1:18" x14ac:dyDescent="0.25">
      <c r="A1959" s="170">
        <v>45764</v>
      </c>
      <c r="B1959" s="116">
        <v>637.54999999999995</v>
      </c>
      <c r="C1959" s="116">
        <v>636.1</v>
      </c>
      <c r="D1959" s="116">
        <v>632.95000000000005</v>
      </c>
      <c r="E1959" s="116">
        <v>635.70000000000005</v>
      </c>
      <c r="F1959" s="116">
        <v>636.1</v>
      </c>
      <c r="G1959">
        <v>1069</v>
      </c>
      <c r="H1959" s="116"/>
      <c r="I1959" s="116"/>
      <c r="L1959" s="170">
        <v>45764</v>
      </c>
      <c r="M1959" s="116">
        <v>636.20000000000005</v>
      </c>
      <c r="N1959" s="116">
        <v>638</v>
      </c>
      <c r="O1959" s="116">
        <v>633</v>
      </c>
      <c r="P1959" s="116">
        <v>637.9</v>
      </c>
      <c r="Q1959" s="116">
        <v>636.20000000000005</v>
      </c>
      <c r="R1959">
        <v>40293</v>
      </c>
    </row>
    <row r="1960" spans="1:18" x14ac:dyDescent="0.25">
      <c r="A1960" s="170">
        <v>45768</v>
      </c>
      <c r="B1960" s="116">
        <v>643.85</v>
      </c>
      <c r="C1960" s="116">
        <v>638.9</v>
      </c>
      <c r="D1960" s="116">
        <v>635.79999999999995</v>
      </c>
      <c r="E1960" s="116">
        <v>643.85</v>
      </c>
      <c r="F1960" s="116">
        <v>638.9</v>
      </c>
      <c r="G1960">
        <v>3364</v>
      </c>
      <c r="H1960" s="116"/>
      <c r="I1960" s="116"/>
      <c r="L1960" s="170">
        <v>45768</v>
      </c>
      <c r="M1960" s="116">
        <v>638.29999999999995</v>
      </c>
      <c r="N1960" s="116">
        <v>641.95000000000005</v>
      </c>
      <c r="O1960" s="116">
        <v>635</v>
      </c>
      <c r="P1960" s="116">
        <v>638</v>
      </c>
      <c r="Q1960" s="116">
        <v>638.29999999999995</v>
      </c>
      <c r="R1960">
        <v>297504</v>
      </c>
    </row>
    <row r="1961" spans="1:18" x14ac:dyDescent="0.25">
      <c r="A1961" s="170">
        <v>45769</v>
      </c>
      <c r="B1961" s="116">
        <v>640.54999999999995</v>
      </c>
      <c r="C1961" s="116">
        <v>636.20000000000005</v>
      </c>
      <c r="D1961" s="116">
        <v>636</v>
      </c>
      <c r="E1961" s="116">
        <v>640.5</v>
      </c>
      <c r="F1961" s="116">
        <v>636.20000000000005</v>
      </c>
      <c r="G1961">
        <v>2922</v>
      </c>
      <c r="H1961" s="116"/>
      <c r="I1961" s="116"/>
      <c r="L1961" s="170">
        <v>45769</v>
      </c>
      <c r="M1961" s="116">
        <v>636.6</v>
      </c>
      <c r="N1961" s="116">
        <v>641.9</v>
      </c>
      <c r="O1961" s="116">
        <v>636.04999999999995</v>
      </c>
      <c r="P1961" s="116">
        <v>641.9</v>
      </c>
      <c r="Q1961" s="116">
        <v>636.6</v>
      </c>
      <c r="R1961">
        <v>204445</v>
      </c>
    </row>
    <row r="1962" spans="1:18" x14ac:dyDescent="0.25">
      <c r="A1962" s="170">
        <v>45770</v>
      </c>
      <c r="B1962" s="116">
        <v>643.54999999999995</v>
      </c>
      <c r="C1962" s="116">
        <v>640.20000000000005</v>
      </c>
      <c r="D1962" s="116">
        <v>637.25</v>
      </c>
      <c r="E1962" s="116">
        <v>639.9</v>
      </c>
      <c r="F1962" s="116">
        <v>640.20000000000005</v>
      </c>
      <c r="G1962">
        <v>1389</v>
      </c>
      <c r="H1962" s="116"/>
      <c r="I1962" s="116"/>
      <c r="L1962" s="170">
        <v>45770</v>
      </c>
      <c r="M1962" s="116">
        <v>640.65</v>
      </c>
      <c r="N1962" s="116">
        <v>642.54999999999995</v>
      </c>
      <c r="O1962" s="116">
        <v>637.1</v>
      </c>
      <c r="P1962" s="116">
        <v>639.75</v>
      </c>
      <c r="Q1962" s="116">
        <v>640.65</v>
      </c>
      <c r="R1962">
        <v>47715</v>
      </c>
    </row>
    <row r="1963" spans="1:18" x14ac:dyDescent="0.25">
      <c r="A1963" s="170">
        <v>45771</v>
      </c>
      <c r="B1963" s="116">
        <v>643.54999999999995</v>
      </c>
      <c r="C1963" s="116">
        <v>637.29999999999995</v>
      </c>
      <c r="D1963" s="116">
        <v>637.15</v>
      </c>
      <c r="E1963" s="116">
        <v>643.54999999999995</v>
      </c>
      <c r="F1963" s="116">
        <v>637.29999999999995</v>
      </c>
      <c r="G1963">
        <v>1473</v>
      </c>
      <c r="H1963" s="116"/>
      <c r="I1963" s="116"/>
      <c r="L1963" s="170">
        <v>45771</v>
      </c>
      <c r="M1963" s="116">
        <v>638.35</v>
      </c>
      <c r="N1963" s="116">
        <v>644.70000000000005</v>
      </c>
      <c r="O1963" s="116">
        <v>637.04999999999995</v>
      </c>
      <c r="P1963" s="116">
        <v>641.95000000000005</v>
      </c>
      <c r="Q1963" s="116">
        <v>638.35</v>
      </c>
      <c r="R1963">
        <v>39175</v>
      </c>
    </row>
    <row r="1964" spans="1:18" x14ac:dyDescent="0.25">
      <c r="A1964" s="170">
        <v>45772</v>
      </c>
      <c r="B1964" s="116">
        <v>639.85</v>
      </c>
      <c r="C1964" s="116">
        <v>637.9</v>
      </c>
      <c r="D1964" s="116">
        <v>634.70000000000005</v>
      </c>
      <c r="E1964" s="116">
        <v>636.75</v>
      </c>
      <c r="F1964" s="116">
        <v>637.9</v>
      </c>
      <c r="G1964">
        <v>1116</v>
      </c>
      <c r="H1964" s="116"/>
      <c r="I1964" s="116"/>
      <c r="L1964" s="170">
        <v>45772</v>
      </c>
      <c r="M1964" s="116">
        <v>638.95000000000005</v>
      </c>
      <c r="N1964" s="116">
        <v>641.95000000000005</v>
      </c>
      <c r="O1964" s="116">
        <v>635.25</v>
      </c>
      <c r="P1964" s="116">
        <v>641.95000000000005</v>
      </c>
      <c r="Q1964" s="116">
        <v>638.95000000000005</v>
      </c>
      <c r="R1964">
        <v>101332</v>
      </c>
    </row>
    <row r="1965" spans="1:18" x14ac:dyDescent="0.25">
      <c r="A1965" s="170">
        <v>45775</v>
      </c>
      <c r="B1965" s="116">
        <v>638.04999999999995</v>
      </c>
      <c r="C1965" s="116">
        <v>636.15</v>
      </c>
      <c r="D1965" s="116">
        <v>631</v>
      </c>
      <c r="E1965" s="116">
        <v>631</v>
      </c>
      <c r="F1965" s="116">
        <v>636.15</v>
      </c>
      <c r="G1965">
        <v>929</v>
      </c>
      <c r="H1965" s="116"/>
      <c r="I1965" s="116"/>
      <c r="L1965" s="170">
        <v>45775</v>
      </c>
      <c r="M1965" s="116">
        <v>638.20000000000005</v>
      </c>
      <c r="N1965" s="116">
        <v>641</v>
      </c>
      <c r="O1965" s="116">
        <v>636.1</v>
      </c>
      <c r="P1965" s="116">
        <v>641</v>
      </c>
      <c r="Q1965" s="116">
        <v>638.20000000000005</v>
      </c>
      <c r="R1965">
        <v>34695</v>
      </c>
    </row>
    <row r="1966" spans="1:18" x14ac:dyDescent="0.25">
      <c r="A1966" s="170">
        <v>45776</v>
      </c>
      <c r="B1966" s="116">
        <v>640</v>
      </c>
      <c r="C1966" s="116">
        <v>638.79999999999995</v>
      </c>
      <c r="D1966" s="116">
        <v>635.6</v>
      </c>
      <c r="E1966" s="116">
        <v>637.35</v>
      </c>
      <c r="F1966" s="116">
        <v>638.79999999999995</v>
      </c>
      <c r="G1966">
        <v>766</v>
      </c>
      <c r="H1966" s="116"/>
      <c r="I1966" s="116"/>
      <c r="L1966" s="170">
        <v>45776</v>
      </c>
      <c r="M1966" s="116">
        <v>639.45000000000005</v>
      </c>
      <c r="N1966" s="116">
        <v>641.95000000000005</v>
      </c>
      <c r="O1966" s="116">
        <v>636.1</v>
      </c>
      <c r="P1966" s="116">
        <v>636.1</v>
      </c>
      <c r="Q1966" s="116">
        <v>639.45000000000005</v>
      </c>
      <c r="R1966">
        <v>75122</v>
      </c>
    </row>
    <row r="1967" spans="1:18" x14ac:dyDescent="0.25">
      <c r="A1967" s="170">
        <v>45777</v>
      </c>
      <c r="B1967" s="116">
        <v>638.4</v>
      </c>
      <c r="C1967" s="116">
        <v>635.1</v>
      </c>
      <c r="D1967" s="116">
        <v>633.65</v>
      </c>
      <c r="E1967" s="116">
        <v>636.15</v>
      </c>
      <c r="F1967" s="116">
        <v>635.1</v>
      </c>
      <c r="G1967">
        <v>935</v>
      </c>
      <c r="H1967" s="116"/>
      <c r="I1967" s="116"/>
      <c r="L1967" s="170">
        <v>45777</v>
      </c>
      <c r="M1967" s="116">
        <v>637.04999999999995</v>
      </c>
      <c r="N1967" s="116">
        <v>641.45000000000005</v>
      </c>
      <c r="O1967" s="116">
        <v>636.5</v>
      </c>
      <c r="P1967" s="116">
        <v>640.70000000000005</v>
      </c>
      <c r="Q1967" s="116">
        <v>637.04999999999995</v>
      </c>
      <c r="R1967">
        <v>45803</v>
      </c>
    </row>
    <row r="1968" spans="1:18" x14ac:dyDescent="0.25">
      <c r="A1968" s="170">
        <v>45779</v>
      </c>
      <c r="B1968" s="116">
        <v>640.6</v>
      </c>
      <c r="C1968" s="116">
        <v>636.45000000000005</v>
      </c>
      <c r="D1968" s="116">
        <v>635.1</v>
      </c>
      <c r="E1968" s="116">
        <v>639.54999999999995</v>
      </c>
      <c r="F1968" s="116">
        <v>636.45000000000005</v>
      </c>
      <c r="G1968">
        <v>650</v>
      </c>
      <c r="H1968" s="116"/>
      <c r="I1968" s="116"/>
      <c r="L1968" s="170">
        <v>45779</v>
      </c>
      <c r="M1968" s="116">
        <v>637.4</v>
      </c>
      <c r="N1968" s="116">
        <v>639.9</v>
      </c>
      <c r="O1968" s="116">
        <v>633</v>
      </c>
      <c r="P1968" s="116">
        <v>633</v>
      </c>
      <c r="Q1968" s="116">
        <v>637.4</v>
      </c>
      <c r="R1968">
        <v>69318</v>
      </c>
    </row>
    <row r="1969" spans="1:18" x14ac:dyDescent="0.25">
      <c r="A1969" s="170">
        <v>45782</v>
      </c>
      <c r="B1969" s="116">
        <v>641.1</v>
      </c>
      <c r="C1969" s="116">
        <v>636.29999999999995</v>
      </c>
      <c r="D1969" s="116">
        <v>636.29999999999995</v>
      </c>
      <c r="E1969" s="116">
        <v>639</v>
      </c>
      <c r="F1969" s="116">
        <v>636.29999999999995</v>
      </c>
      <c r="G1969">
        <v>427</v>
      </c>
      <c r="H1969" s="116"/>
      <c r="I1969" s="116"/>
      <c r="L1969" s="170">
        <v>45782</v>
      </c>
      <c r="M1969" s="116">
        <v>636.45000000000005</v>
      </c>
      <c r="N1969" s="116">
        <v>640.95000000000005</v>
      </c>
      <c r="O1969" s="116">
        <v>636.04999999999995</v>
      </c>
      <c r="P1969" s="116">
        <v>636.04999999999995</v>
      </c>
      <c r="Q1969" s="116">
        <v>636.45000000000005</v>
      </c>
      <c r="R1969">
        <v>52998</v>
      </c>
    </row>
    <row r="1970" spans="1:18" x14ac:dyDescent="0.25">
      <c r="A1970" s="170">
        <v>45783</v>
      </c>
      <c r="B1970" s="116">
        <v>640.4</v>
      </c>
      <c r="C1970" s="116">
        <v>635.04999999999995</v>
      </c>
      <c r="D1970" s="116">
        <v>633.5</v>
      </c>
      <c r="E1970" s="116">
        <v>637.70000000000005</v>
      </c>
      <c r="F1970" s="116">
        <v>635.04999999999995</v>
      </c>
      <c r="G1970">
        <v>846</v>
      </c>
      <c r="H1970" s="116"/>
      <c r="I1970" s="116"/>
      <c r="L1970" s="170">
        <v>45783</v>
      </c>
      <c r="M1970" s="116">
        <v>635.79999999999995</v>
      </c>
      <c r="N1970" s="116">
        <v>641.9</v>
      </c>
      <c r="O1970" s="116">
        <v>633</v>
      </c>
      <c r="P1970" s="116">
        <v>636.45000000000005</v>
      </c>
      <c r="Q1970" s="116">
        <v>635.79999999999995</v>
      </c>
      <c r="R1970">
        <v>121015</v>
      </c>
    </row>
    <row r="1971" spans="1:18" x14ac:dyDescent="0.25">
      <c r="A1971" s="170">
        <v>45784</v>
      </c>
      <c r="B1971" s="116">
        <v>639</v>
      </c>
      <c r="C1971" s="116">
        <v>635.15</v>
      </c>
      <c r="D1971" s="116">
        <v>630.4</v>
      </c>
      <c r="E1971" s="116">
        <v>630.4</v>
      </c>
      <c r="F1971" s="116">
        <v>635.15</v>
      </c>
      <c r="G1971">
        <v>809</v>
      </c>
      <c r="H1971" s="116"/>
      <c r="I1971" s="116"/>
      <c r="L1971" s="170">
        <v>45784</v>
      </c>
      <c r="M1971" s="116">
        <v>635.79999999999995</v>
      </c>
      <c r="N1971" s="116">
        <v>640.79999999999995</v>
      </c>
      <c r="O1971" s="116">
        <v>633.54999999999995</v>
      </c>
      <c r="P1971" s="116">
        <v>633.54999999999995</v>
      </c>
      <c r="Q1971" s="116">
        <v>635.79999999999995</v>
      </c>
      <c r="R1971">
        <v>91626</v>
      </c>
    </row>
    <row r="1972" spans="1:18" x14ac:dyDescent="0.25">
      <c r="A1972" s="170">
        <v>45785</v>
      </c>
      <c r="B1972" s="116">
        <v>639.75</v>
      </c>
      <c r="C1972" s="116">
        <v>634.75</v>
      </c>
      <c r="D1972" s="116">
        <v>634.6</v>
      </c>
      <c r="E1972" s="116">
        <v>639</v>
      </c>
      <c r="F1972" s="116">
        <v>634.75</v>
      </c>
      <c r="G1972">
        <v>133</v>
      </c>
      <c r="H1972" s="116"/>
      <c r="I1972" s="116"/>
      <c r="L1972" s="170">
        <v>45785</v>
      </c>
      <c r="M1972" s="116">
        <v>637.95000000000005</v>
      </c>
      <c r="N1972" s="116">
        <v>641</v>
      </c>
      <c r="O1972" s="116">
        <v>633.85</v>
      </c>
      <c r="P1972" s="116">
        <v>637</v>
      </c>
      <c r="Q1972" s="116">
        <v>637.95000000000005</v>
      </c>
      <c r="R1972">
        <v>47579</v>
      </c>
    </row>
    <row r="1973" spans="1:18" x14ac:dyDescent="0.25">
      <c r="A1973" s="170">
        <v>45786</v>
      </c>
      <c r="B1973" s="116">
        <v>643</v>
      </c>
      <c r="C1973" s="116">
        <v>638.54999999999995</v>
      </c>
      <c r="D1973" s="116">
        <v>626.15</v>
      </c>
      <c r="E1973" s="116">
        <v>626.15</v>
      </c>
      <c r="F1973" s="116">
        <v>638.54999999999995</v>
      </c>
      <c r="G1973">
        <v>497</v>
      </c>
      <c r="H1973" s="116"/>
      <c r="I1973" s="116"/>
      <c r="L1973" s="170">
        <v>45786</v>
      </c>
      <c r="M1973" s="116">
        <v>640.20000000000005</v>
      </c>
      <c r="N1973" s="116">
        <v>649.25</v>
      </c>
      <c r="O1973" s="116">
        <v>630.75</v>
      </c>
      <c r="P1973" s="116">
        <v>633.54999999999995</v>
      </c>
      <c r="Q1973" s="116">
        <v>640.20000000000005</v>
      </c>
      <c r="R1973">
        <v>125311</v>
      </c>
    </row>
    <row r="1974" spans="1:18" x14ac:dyDescent="0.25">
      <c r="A1974" s="170">
        <v>45789</v>
      </c>
      <c r="B1974" s="116">
        <v>641.45000000000005</v>
      </c>
      <c r="C1974" s="116">
        <v>639.25</v>
      </c>
      <c r="D1974" s="116">
        <v>637.5</v>
      </c>
      <c r="E1974" s="116">
        <v>638.54999999999995</v>
      </c>
      <c r="F1974" s="116">
        <v>639.25</v>
      </c>
      <c r="G1974">
        <v>335</v>
      </c>
      <c r="H1974" s="116"/>
      <c r="I1974" s="116"/>
      <c r="L1974" s="170">
        <v>45789</v>
      </c>
      <c r="M1974" s="116">
        <v>639.25</v>
      </c>
      <c r="N1974" s="116">
        <v>641.95000000000005</v>
      </c>
      <c r="O1974" s="116">
        <v>637</v>
      </c>
      <c r="P1974" s="116">
        <v>641.95000000000005</v>
      </c>
      <c r="Q1974" s="116">
        <v>639.25</v>
      </c>
      <c r="R1974">
        <v>80791</v>
      </c>
    </row>
    <row r="1975" spans="1:18" x14ac:dyDescent="0.25">
      <c r="A1975" s="170">
        <v>45790</v>
      </c>
      <c r="B1975" s="116">
        <v>641.20000000000005</v>
      </c>
      <c r="C1975" s="116">
        <v>638.65</v>
      </c>
      <c r="D1975" s="116">
        <v>635.85</v>
      </c>
      <c r="E1975" s="116">
        <v>639.25</v>
      </c>
      <c r="F1975" s="116">
        <v>638.65</v>
      </c>
      <c r="G1975">
        <v>1247</v>
      </c>
      <c r="H1975" s="116"/>
      <c r="I1975" s="116"/>
      <c r="L1975" s="170">
        <v>45790</v>
      </c>
      <c r="M1975" s="116">
        <v>638.25</v>
      </c>
      <c r="N1975" s="116">
        <v>640.95000000000005</v>
      </c>
      <c r="O1975" s="116">
        <v>636.70000000000005</v>
      </c>
      <c r="P1975" s="116">
        <v>640</v>
      </c>
      <c r="Q1975" s="116">
        <v>638.25</v>
      </c>
      <c r="R1975">
        <v>45475</v>
      </c>
    </row>
    <row r="1976" spans="1:18" x14ac:dyDescent="0.25">
      <c r="A1976" s="170">
        <v>45791</v>
      </c>
      <c r="B1976" s="116">
        <v>641.54999999999995</v>
      </c>
      <c r="C1976" s="116">
        <v>638.65</v>
      </c>
      <c r="D1976" s="116">
        <v>638.04999999999995</v>
      </c>
      <c r="E1976" s="116">
        <v>638.95000000000005</v>
      </c>
      <c r="F1976" s="116">
        <v>638.65</v>
      </c>
      <c r="G1976">
        <v>1337</v>
      </c>
      <c r="H1976" s="116"/>
      <c r="I1976" s="116"/>
      <c r="L1976" s="170">
        <v>45791</v>
      </c>
      <c r="M1976" s="116">
        <v>639.1</v>
      </c>
      <c r="N1976" s="116">
        <v>641.4</v>
      </c>
      <c r="O1976" s="116">
        <v>637.95000000000005</v>
      </c>
      <c r="P1976" s="116">
        <v>638</v>
      </c>
      <c r="Q1976" s="116">
        <v>639.1</v>
      </c>
      <c r="R1976">
        <v>81296</v>
      </c>
    </row>
    <row r="1977" spans="1:18" x14ac:dyDescent="0.25">
      <c r="A1977" s="170">
        <v>45792</v>
      </c>
      <c r="B1977" s="116">
        <v>643.15</v>
      </c>
      <c r="C1977" s="116">
        <v>641.65</v>
      </c>
      <c r="D1977" s="116">
        <v>638.4</v>
      </c>
      <c r="E1977" s="116">
        <v>639.4</v>
      </c>
      <c r="F1977" s="116">
        <v>641.65</v>
      </c>
      <c r="G1977">
        <v>687</v>
      </c>
      <c r="H1977" s="116"/>
      <c r="I1977" s="116"/>
      <c r="L1977" s="170">
        <v>45792</v>
      </c>
      <c r="M1977" s="116">
        <v>640.4</v>
      </c>
      <c r="N1977" s="116">
        <v>642.1</v>
      </c>
      <c r="O1977" s="116">
        <v>638.1</v>
      </c>
      <c r="P1977" s="116">
        <v>641.5</v>
      </c>
      <c r="Q1977" s="116">
        <v>640.4</v>
      </c>
      <c r="R1977">
        <v>77170</v>
      </c>
    </row>
    <row r="1978" spans="1:18" x14ac:dyDescent="0.25">
      <c r="A1978" s="170">
        <v>45793</v>
      </c>
      <c r="B1978" s="116">
        <v>669.25</v>
      </c>
      <c r="C1978" s="116">
        <v>668.1</v>
      </c>
      <c r="D1978" s="116">
        <v>647</v>
      </c>
      <c r="E1978" s="116">
        <v>649.25</v>
      </c>
      <c r="F1978" s="116">
        <v>668.1</v>
      </c>
      <c r="G1978">
        <v>14631</v>
      </c>
      <c r="H1978" s="116"/>
      <c r="I1978" s="116"/>
      <c r="L1978" s="170">
        <v>45793</v>
      </c>
      <c r="M1978" s="116">
        <v>668.3</v>
      </c>
      <c r="N1978" s="116">
        <v>669.3</v>
      </c>
      <c r="O1978" s="116">
        <v>644</v>
      </c>
      <c r="P1978" s="116">
        <v>644</v>
      </c>
      <c r="Q1978" s="116">
        <v>668.3</v>
      </c>
      <c r="R1978">
        <v>395158</v>
      </c>
    </row>
    <row r="1979" spans="1:18" x14ac:dyDescent="0.25">
      <c r="A1979" s="170">
        <v>45796</v>
      </c>
      <c r="B1979" s="116">
        <v>675.2</v>
      </c>
      <c r="C1979" s="116">
        <v>670.5</v>
      </c>
      <c r="D1979" s="116">
        <v>662.05</v>
      </c>
      <c r="E1979" s="116">
        <v>670</v>
      </c>
      <c r="F1979" s="116">
        <v>670.5</v>
      </c>
      <c r="G1979">
        <v>2675</v>
      </c>
      <c r="H1979" s="116"/>
      <c r="I1979" s="116"/>
      <c r="L1979" s="170">
        <v>45796</v>
      </c>
      <c r="M1979" s="116">
        <v>669.8</v>
      </c>
      <c r="N1979" s="116">
        <v>674.2</v>
      </c>
      <c r="O1979" s="116">
        <v>661.5</v>
      </c>
      <c r="P1979" s="116">
        <v>669.75</v>
      </c>
      <c r="Q1979" s="116">
        <v>669.8</v>
      </c>
      <c r="R1979">
        <v>153841</v>
      </c>
    </row>
    <row r="1980" spans="1:18" x14ac:dyDescent="0.25">
      <c r="A1980" s="170">
        <v>45797</v>
      </c>
      <c r="B1980" s="116">
        <v>675.75</v>
      </c>
      <c r="C1980" s="116">
        <v>662.05</v>
      </c>
      <c r="D1980" s="116">
        <v>660.5</v>
      </c>
      <c r="E1980" s="116">
        <v>674.95</v>
      </c>
      <c r="F1980" s="116">
        <v>662.05</v>
      </c>
      <c r="G1980">
        <v>7289</v>
      </c>
      <c r="H1980" s="116"/>
      <c r="I1980" s="116"/>
      <c r="L1980" s="170">
        <v>45797</v>
      </c>
      <c r="M1980" s="116">
        <v>663.5</v>
      </c>
      <c r="N1980" s="116">
        <v>676.9</v>
      </c>
      <c r="O1980" s="116">
        <v>661.25</v>
      </c>
      <c r="P1980" s="116">
        <v>674</v>
      </c>
      <c r="Q1980" s="116">
        <v>663.5</v>
      </c>
      <c r="R1980">
        <v>107279</v>
      </c>
    </row>
    <row r="1981" spans="1:18" x14ac:dyDescent="0.25">
      <c r="A1981" s="170">
        <v>45798</v>
      </c>
      <c r="B1981" s="116">
        <v>673.9</v>
      </c>
      <c r="C1981" s="116">
        <v>673</v>
      </c>
      <c r="D1981" s="116">
        <v>651.70000000000005</v>
      </c>
      <c r="E1981" s="116">
        <v>665.95</v>
      </c>
      <c r="F1981" s="116">
        <v>673</v>
      </c>
      <c r="G1981">
        <v>2998</v>
      </c>
      <c r="H1981" s="116"/>
      <c r="I1981" s="116"/>
      <c r="L1981" s="170">
        <v>45798</v>
      </c>
      <c r="M1981" s="116">
        <v>673.9</v>
      </c>
      <c r="N1981" s="116">
        <v>675</v>
      </c>
      <c r="O1981" s="116">
        <v>651.6</v>
      </c>
      <c r="P1981" s="116">
        <v>669.95</v>
      </c>
      <c r="Q1981" s="116">
        <v>673.9</v>
      </c>
      <c r="R1981">
        <v>129201</v>
      </c>
    </row>
    <row r="1982" spans="1:18" x14ac:dyDescent="0.25">
      <c r="A1982" s="170">
        <v>45799</v>
      </c>
      <c r="B1982" s="116">
        <v>677.05</v>
      </c>
      <c r="C1982" s="116">
        <v>660.9</v>
      </c>
      <c r="D1982" s="116">
        <v>658.55</v>
      </c>
      <c r="E1982" s="116">
        <v>663.05</v>
      </c>
      <c r="F1982" s="116">
        <v>660.9</v>
      </c>
      <c r="G1982">
        <v>802</v>
      </c>
      <c r="H1982" s="116"/>
      <c r="I1982" s="116"/>
      <c r="L1982" s="170">
        <v>45799</v>
      </c>
      <c r="M1982" s="116">
        <v>659.85</v>
      </c>
      <c r="N1982" s="116">
        <v>674.9</v>
      </c>
      <c r="O1982" s="116">
        <v>658</v>
      </c>
      <c r="P1982" s="116">
        <v>669</v>
      </c>
      <c r="Q1982" s="116">
        <v>659.85</v>
      </c>
      <c r="R1982">
        <v>80202</v>
      </c>
    </row>
    <row r="1983" spans="1:18" x14ac:dyDescent="0.25">
      <c r="A1983" s="170">
        <v>45800</v>
      </c>
      <c r="B1983" s="116">
        <v>661</v>
      </c>
      <c r="C1983" s="116">
        <v>645.79999999999995</v>
      </c>
      <c r="D1983" s="116">
        <v>640</v>
      </c>
      <c r="E1983" s="116">
        <v>656.8</v>
      </c>
      <c r="F1983" s="116">
        <v>645.79999999999995</v>
      </c>
      <c r="G1983">
        <v>7000</v>
      </c>
      <c r="H1983" s="116"/>
      <c r="I1983" s="116"/>
      <c r="L1983" s="170">
        <v>45800</v>
      </c>
      <c r="M1983" s="116">
        <v>645.75</v>
      </c>
      <c r="N1983" s="116">
        <v>663</v>
      </c>
      <c r="O1983" s="116">
        <v>638.35</v>
      </c>
      <c r="P1983" s="116">
        <v>663</v>
      </c>
      <c r="Q1983" s="116">
        <v>645.75</v>
      </c>
      <c r="R1983">
        <v>326214</v>
      </c>
    </row>
    <row r="1984" spans="1:18" x14ac:dyDescent="0.25">
      <c r="A1984" s="170">
        <v>45803</v>
      </c>
      <c r="B1984" s="116">
        <v>656</v>
      </c>
      <c r="C1984" s="116">
        <v>637.75</v>
      </c>
      <c r="D1984" s="116">
        <v>636.6</v>
      </c>
      <c r="E1984" s="116">
        <v>640</v>
      </c>
      <c r="F1984" s="116">
        <v>637.75</v>
      </c>
      <c r="G1984">
        <v>7613</v>
      </c>
      <c r="H1984" s="116"/>
      <c r="I1984" s="116"/>
      <c r="L1984" s="170">
        <v>45803</v>
      </c>
      <c r="M1984" s="116">
        <v>638.85</v>
      </c>
      <c r="N1984" s="116">
        <v>655.45</v>
      </c>
      <c r="O1984" s="116">
        <v>637.15</v>
      </c>
      <c r="P1984" s="116">
        <v>637.5</v>
      </c>
      <c r="Q1984" s="116">
        <v>638.85</v>
      </c>
      <c r="R1984">
        <v>92119</v>
      </c>
    </row>
    <row r="1985" spans="1:18" x14ac:dyDescent="0.25">
      <c r="A1985" s="170">
        <v>45804</v>
      </c>
      <c r="B1985" s="116">
        <v>639.70000000000005</v>
      </c>
      <c r="C1985" s="116">
        <v>639.70000000000005</v>
      </c>
      <c r="D1985" s="116">
        <v>636.04999999999995</v>
      </c>
      <c r="E1985" s="116">
        <v>636.04999999999995</v>
      </c>
      <c r="F1985" s="116">
        <v>639.70000000000005</v>
      </c>
      <c r="G1985">
        <v>897</v>
      </c>
      <c r="H1985" s="116"/>
      <c r="I1985" s="116"/>
      <c r="L1985" s="170">
        <v>45804</v>
      </c>
      <c r="M1985" s="116">
        <v>637.45000000000005</v>
      </c>
      <c r="N1985" s="116">
        <v>640</v>
      </c>
      <c r="O1985" s="116">
        <v>637.20000000000005</v>
      </c>
      <c r="P1985" s="116">
        <v>640</v>
      </c>
      <c r="Q1985" s="116">
        <v>637.45000000000005</v>
      </c>
      <c r="R1985">
        <v>60567</v>
      </c>
    </row>
    <row r="1986" spans="1:18" x14ac:dyDescent="0.25">
      <c r="A1986" s="170">
        <v>45805</v>
      </c>
      <c r="B1986" s="116">
        <v>640.25</v>
      </c>
      <c r="C1986" s="116">
        <v>637.35</v>
      </c>
      <c r="D1986" s="116">
        <v>636.95000000000005</v>
      </c>
      <c r="E1986" s="116">
        <v>639.04999999999995</v>
      </c>
      <c r="F1986" s="116">
        <v>637.35</v>
      </c>
      <c r="G1986">
        <v>2134</v>
      </c>
      <c r="H1986" s="116"/>
      <c r="I1986" s="116"/>
      <c r="L1986" s="170">
        <v>45805</v>
      </c>
      <c r="M1986" s="116">
        <v>637.5</v>
      </c>
      <c r="N1986" s="116">
        <v>641.25</v>
      </c>
      <c r="O1986" s="116">
        <v>637.45000000000005</v>
      </c>
      <c r="P1986" s="116">
        <v>640.25</v>
      </c>
      <c r="Q1986" s="116">
        <v>637.5</v>
      </c>
      <c r="R1986">
        <v>51198</v>
      </c>
    </row>
    <row r="1987" spans="1:18" x14ac:dyDescent="0.25">
      <c r="A1987" s="170">
        <v>45806</v>
      </c>
      <c r="B1987" s="116">
        <v>643</v>
      </c>
      <c r="C1987" s="116">
        <v>637.95000000000005</v>
      </c>
      <c r="D1987" s="116">
        <v>635.04999999999995</v>
      </c>
      <c r="E1987" s="116">
        <v>635.04999999999995</v>
      </c>
      <c r="F1987" s="116">
        <v>637.95000000000005</v>
      </c>
      <c r="G1987">
        <v>782</v>
      </c>
      <c r="H1987" s="116"/>
      <c r="I1987" s="116"/>
      <c r="L1987" s="170">
        <v>45806</v>
      </c>
      <c r="M1987" s="116">
        <v>638.79999999999995</v>
      </c>
      <c r="N1987" s="116">
        <v>643.5</v>
      </c>
      <c r="O1987" s="116">
        <v>637.5</v>
      </c>
      <c r="P1987" s="116">
        <v>637.6</v>
      </c>
      <c r="Q1987" s="116">
        <v>638.79999999999995</v>
      </c>
      <c r="R1987">
        <v>72879</v>
      </c>
    </row>
    <row r="1988" spans="1:18" x14ac:dyDescent="0.25">
      <c r="A1988" s="170">
        <v>45807</v>
      </c>
      <c r="B1988" s="116">
        <v>644.95000000000005</v>
      </c>
      <c r="C1988" s="116">
        <v>638.35</v>
      </c>
      <c r="D1988" s="116">
        <v>637.29999999999995</v>
      </c>
      <c r="E1988" s="116">
        <v>644.95000000000005</v>
      </c>
      <c r="F1988" s="116">
        <v>638.35</v>
      </c>
      <c r="G1988">
        <v>1567</v>
      </c>
      <c r="H1988" s="116"/>
      <c r="I1988" s="116"/>
      <c r="L1988" s="170">
        <v>45807</v>
      </c>
      <c r="M1988" s="116">
        <v>639.04999999999995</v>
      </c>
      <c r="N1988" s="116">
        <v>642</v>
      </c>
      <c r="O1988" s="116">
        <v>637.79999999999995</v>
      </c>
      <c r="P1988" s="116">
        <v>637.9</v>
      </c>
      <c r="Q1988" s="116">
        <v>639.04999999999995</v>
      </c>
      <c r="R1988">
        <v>54460</v>
      </c>
    </row>
    <row r="1989" spans="1:18" x14ac:dyDescent="0.25">
      <c r="A1989" s="170">
        <v>45810</v>
      </c>
      <c r="B1989" s="116">
        <v>639.29999999999995</v>
      </c>
      <c r="C1989" s="116">
        <v>638.35</v>
      </c>
      <c r="D1989" s="116">
        <v>636.35</v>
      </c>
      <c r="E1989" s="116">
        <v>636.35</v>
      </c>
      <c r="F1989" s="116">
        <v>638.35</v>
      </c>
      <c r="G1989">
        <v>3781</v>
      </c>
      <c r="H1989" s="116"/>
      <c r="I1989" s="116"/>
      <c r="L1989" s="170">
        <v>45810</v>
      </c>
      <c r="M1989" s="116">
        <v>638.54999999999995</v>
      </c>
      <c r="N1989" s="116">
        <v>641</v>
      </c>
      <c r="O1989" s="116">
        <v>637.45000000000005</v>
      </c>
      <c r="P1989" s="116">
        <v>639.04999999999995</v>
      </c>
      <c r="Q1989" s="116">
        <v>638.54999999999995</v>
      </c>
      <c r="R1989">
        <v>43311</v>
      </c>
    </row>
    <row r="1990" spans="1:18" x14ac:dyDescent="0.25">
      <c r="A1990" s="170">
        <v>45811</v>
      </c>
      <c r="B1990" s="116">
        <v>641.85</v>
      </c>
      <c r="C1990" s="116">
        <v>639.5</v>
      </c>
      <c r="D1990" s="116">
        <v>636.70000000000005</v>
      </c>
      <c r="E1990" s="116">
        <v>641.85</v>
      </c>
      <c r="F1990" s="116">
        <v>639.5</v>
      </c>
      <c r="G1990">
        <v>249</v>
      </c>
      <c r="H1990" s="116"/>
      <c r="I1990" s="116"/>
      <c r="L1990" s="170">
        <v>45811</v>
      </c>
      <c r="M1990" s="116">
        <v>637.25</v>
      </c>
      <c r="N1990" s="116">
        <v>641.6</v>
      </c>
      <c r="O1990" s="116">
        <v>637.1</v>
      </c>
      <c r="P1990" s="116">
        <v>640</v>
      </c>
      <c r="Q1990" s="116">
        <v>637.25</v>
      </c>
      <c r="R1990">
        <v>31295</v>
      </c>
    </row>
    <row r="1991" spans="1:18" x14ac:dyDescent="0.25">
      <c r="A1991" s="170">
        <v>45812</v>
      </c>
      <c r="B1991" s="116">
        <v>654.95000000000005</v>
      </c>
      <c r="C1991" s="116">
        <v>639.45000000000005</v>
      </c>
      <c r="D1991" s="116">
        <v>634.35</v>
      </c>
      <c r="E1991" s="116">
        <v>641.75</v>
      </c>
      <c r="F1991" s="116">
        <v>639.45000000000005</v>
      </c>
      <c r="G1991">
        <v>10057</v>
      </c>
      <c r="H1991" s="116"/>
      <c r="I1991" s="116"/>
      <c r="L1991" s="170">
        <v>45812</v>
      </c>
      <c r="M1991" s="116">
        <v>639.65</v>
      </c>
      <c r="N1991" s="116">
        <v>655</v>
      </c>
      <c r="O1991" s="116">
        <v>635.1</v>
      </c>
      <c r="P1991" s="116">
        <v>640.20000000000005</v>
      </c>
      <c r="Q1991" s="116">
        <v>639.65</v>
      </c>
      <c r="R1991">
        <v>167552</v>
      </c>
    </row>
    <row r="1992" spans="1:18" x14ac:dyDescent="0.25">
      <c r="A1992" s="170">
        <v>45813</v>
      </c>
      <c r="B1992" s="116">
        <v>664.5</v>
      </c>
      <c r="C1992" s="116">
        <v>656.9</v>
      </c>
      <c r="D1992" s="116">
        <v>640.04999999999995</v>
      </c>
      <c r="E1992" s="116">
        <v>640.04999999999995</v>
      </c>
      <c r="F1992" s="116">
        <v>656.9</v>
      </c>
      <c r="G1992">
        <v>6136</v>
      </c>
      <c r="H1992" s="116"/>
      <c r="I1992" s="116"/>
      <c r="L1992" s="170">
        <v>45813</v>
      </c>
      <c r="M1992" s="116">
        <v>657.05</v>
      </c>
      <c r="N1992" s="116">
        <v>664.9</v>
      </c>
      <c r="O1992" s="116">
        <v>645</v>
      </c>
      <c r="P1992" s="116">
        <v>645</v>
      </c>
      <c r="Q1992" s="116">
        <v>657.05</v>
      </c>
      <c r="R1992">
        <v>237819</v>
      </c>
    </row>
    <row r="1993" spans="1:18" x14ac:dyDescent="0.25">
      <c r="A1993" s="170">
        <v>45814</v>
      </c>
      <c r="B1993" s="116">
        <v>662</v>
      </c>
      <c r="C1993" s="116">
        <v>647</v>
      </c>
      <c r="D1993" s="116">
        <v>643</v>
      </c>
      <c r="E1993" s="116">
        <v>662</v>
      </c>
      <c r="F1993" s="116">
        <v>647</v>
      </c>
      <c r="G1993">
        <v>1431</v>
      </c>
      <c r="H1993" s="116"/>
      <c r="I1993" s="116"/>
      <c r="L1993" s="170">
        <v>45814</v>
      </c>
      <c r="M1993" s="116">
        <v>645.70000000000005</v>
      </c>
      <c r="N1993" s="116">
        <v>657</v>
      </c>
      <c r="O1993" s="116">
        <v>642.45000000000005</v>
      </c>
      <c r="P1993" s="116">
        <v>656.95</v>
      </c>
      <c r="Q1993" s="116">
        <v>645.70000000000005</v>
      </c>
      <c r="R1993">
        <v>42962</v>
      </c>
    </row>
    <row r="1994" spans="1:18" x14ac:dyDescent="0.25">
      <c r="A1994" s="170">
        <v>45817</v>
      </c>
      <c r="B1994" s="116">
        <v>658.1</v>
      </c>
      <c r="C1994" s="116">
        <v>655.95</v>
      </c>
      <c r="D1994" s="116">
        <v>640.1</v>
      </c>
      <c r="E1994" s="116">
        <v>645.54999999999995</v>
      </c>
      <c r="F1994" s="116">
        <v>655.95</v>
      </c>
      <c r="G1994">
        <v>6619</v>
      </c>
      <c r="H1994" s="116"/>
      <c r="I1994" s="116"/>
      <c r="L1994" s="170">
        <v>45817</v>
      </c>
      <c r="M1994" s="116">
        <v>656</v>
      </c>
      <c r="N1994" s="116">
        <v>657.95</v>
      </c>
      <c r="O1994" s="116">
        <v>640.85</v>
      </c>
      <c r="P1994" s="116">
        <v>645.70000000000005</v>
      </c>
      <c r="Q1994" s="116">
        <v>656</v>
      </c>
      <c r="R1994">
        <v>45052</v>
      </c>
    </row>
    <row r="1995" spans="1:18" x14ac:dyDescent="0.25">
      <c r="A1995" s="170">
        <v>45818</v>
      </c>
      <c r="B1995" s="116">
        <v>686</v>
      </c>
      <c r="C1995" s="116">
        <v>679.15</v>
      </c>
      <c r="D1995" s="116">
        <v>659</v>
      </c>
      <c r="E1995" s="116">
        <v>659</v>
      </c>
      <c r="F1995" s="116">
        <v>679.15</v>
      </c>
      <c r="G1995">
        <v>9285</v>
      </c>
      <c r="H1995" s="116"/>
      <c r="I1995" s="116"/>
      <c r="L1995" s="170">
        <v>45818</v>
      </c>
      <c r="M1995" s="116">
        <v>678.2</v>
      </c>
      <c r="N1995" s="116">
        <v>686.95</v>
      </c>
      <c r="O1995" s="116">
        <v>656</v>
      </c>
      <c r="P1995" s="116">
        <v>659</v>
      </c>
      <c r="Q1995" s="116">
        <v>678.2</v>
      </c>
      <c r="R1995">
        <v>417560</v>
      </c>
    </row>
    <row r="1996" spans="1:18" x14ac:dyDescent="0.25">
      <c r="A1996" s="170">
        <v>45819</v>
      </c>
      <c r="B1996" s="116">
        <v>696.75</v>
      </c>
      <c r="C1996" s="116">
        <v>680.9</v>
      </c>
      <c r="D1996" s="116">
        <v>672.1</v>
      </c>
      <c r="E1996" s="116">
        <v>679</v>
      </c>
      <c r="F1996" s="116">
        <v>680.9</v>
      </c>
      <c r="G1996">
        <v>14256</v>
      </c>
      <c r="H1996" s="116"/>
      <c r="I1996" s="116"/>
      <c r="L1996" s="170">
        <v>45819</v>
      </c>
      <c r="M1996" s="116">
        <v>682.25</v>
      </c>
      <c r="N1996" s="116">
        <v>698</v>
      </c>
      <c r="O1996" s="116">
        <v>671.6</v>
      </c>
      <c r="P1996" s="116">
        <v>679.7</v>
      </c>
      <c r="Q1996" s="116">
        <v>682.25</v>
      </c>
      <c r="R1996">
        <v>175979</v>
      </c>
    </row>
    <row r="1997" spans="1:18" x14ac:dyDescent="0.25">
      <c r="A1997" s="170">
        <v>45820</v>
      </c>
      <c r="B1997" s="116">
        <v>690.45</v>
      </c>
      <c r="C1997" s="116">
        <v>661.15</v>
      </c>
      <c r="D1997" s="116">
        <v>650.1</v>
      </c>
      <c r="E1997" s="116">
        <v>675</v>
      </c>
      <c r="F1997" s="116">
        <v>661.15</v>
      </c>
      <c r="G1997">
        <v>2729</v>
      </c>
      <c r="H1997" s="116"/>
      <c r="I1997" s="116"/>
      <c r="L1997" s="170">
        <v>45820</v>
      </c>
      <c r="M1997" s="116">
        <v>661.6</v>
      </c>
      <c r="N1997" s="116">
        <v>693.55</v>
      </c>
      <c r="O1997" s="116">
        <v>650.6</v>
      </c>
      <c r="P1997" s="116">
        <v>688.4</v>
      </c>
      <c r="Q1997" s="116">
        <v>661.6</v>
      </c>
      <c r="R1997">
        <v>92953</v>
      </c>
    </row>
    <row r="1998" spans="1:18" x14ac:dyDescent="0.25">
      <c r="A1998" s="170">
        <v>45821</v>
      </c>
      <c r="B1998" s="116">
        <v>736.9</v>
      </c>
      <c r="C1998" s="116">
        <v>696.15</v>
      </c>
      <c r="D1998" s="116">
        <v>654.6</v>
      </c>
      <c r="E1998" s="116">
        <v>654.6</v>
      </c>
      <c r="F1998" s="116">
        <v>696.15</v>
      </c>
      <c r="G1998">
        <v>27095</v>
      </c>
      <c r="H1998" s="116"/>
      <c r="I1998" s="116"/>
      <c r="L1998" s="170">
        <v>45821</v>
      </c>
      <c r="M1998" s="116">
        <v>698.65</v>
      </c>
      <c r="N1998" s="116">
        <v>736.55</v>
      </c>
      <c r="O1998" s="116">
        <v>651</v>
      </c>
      <c r="P1998" s="116">
        <v>655</v>
      </c>
      <c r="Q1998" s="116">
        <v>698.65</v>
      </c>
      <c r="R1998">
        <v>1295551</v>
      </c>
    </row>
    <row r="1999" spans="1:18" x14ac:dyDescent="0.25">
      <c r="A1999" s="170">
        <v>45824</v>
      </c>
      <c r="B1999" s="116">
        <v>744.4</v>
      </c>
      <c r="C1999" s="116">
        <v>728.75</v>
      </c>
      <c r="D1999" s="116">
        <v>691</v>
      </c>
      <c r="E1999" s="116">
        <v>691</v>
      </c>
      <c r="F1999" s="116">
        <v>728.75</v>
      </c>
      <c r="G1999">
        <v>22139</v>
      </c>
      <c r="H1999" s="116"/>
      <c r="I1999" s="116"/>
      <c r="L1999" s="170">
        <v>45824</v>
      </c>
      <c r="M1999" s="116">
        <v>726.3</v>
      </c>
      <c r="N1999" s="116">
        <v>744.4</v>
      </c>
      <c r="O1999" s="116">
        <v>700.9</v>
      </c>
      <c r="P1999" s="116">
        <v>700.9</v>
      </c>
      <c r="Q1999" s="116">
        <v>726.3</v>
      </c>
      <c r="R1999">
        <v>1086211</v>
      </c>
    </row>
    <row r="2000" spans="1:18" x14ac:dyDescent="0.25">
      <c r="A2000" s="170">
        <v>45825</v>
      </c>
      <c r="B2000" s="116">
        <v>741</v>
      </c>
      <c r="C2000" s="116">
        <v>730</v>
      </c>
      <c r="D2000" s="116">
        <v>720.55</v>
      </c>
      <c r="E2000" s="116">
        <v>733.15</v>
      </c>
      <c r="F2000" s="116">
        <v>730</v>
      </c>
      <c r="G2000">
        <v>17897</v>
      </c>
      <c r="H2000" s="116"/>
      <c r="I2000" s="116"/>
      <c r="L2000" s="170">
        <v>45825</v>
      </c>
      <c r="M2000" s="116">
        <v>730.1</v>
      </c>
      <c r="N2000" s="116">
        <v>746.75</v>
      </c>
      <c r="O2000" s="116">
        <v>721</v>
      </c>
      <c r="P2000" s="116">
        <v>730</v>
      </c>
      <c r="Q2000" s="116">
        <v>730.1</v>
      </c>
      <c r="R2000">
        <v>315343</v>
      </c>
    </row>
    <row r="2001" spans="1:18" x14ac:dyDescent="0.25">
      <c r="A2001" s="170">
        <v>45826</v>
      </c>
      <c r="B2001" s="116">
        <v>774.9</v>
      </c>
      <c r="C2001" s="116">
        <v>767.1</v>
      </c>
      <c r="D2001" s="116">
        <v>736.8</v>
      </c>
      <c r="E2001" s="116">
        <v>737.65</v>
      </c>
      <c r="F2001" s="116">
        <v>767.1</v>
      </c>
      <c r="G2001">
        <v>70928</v>
      </c>
      <c r="H2001" s="116"/>
      <c r="I2001" s="116"/>
      <c r="L2001" s="170">
        <v>45826</v>
      </c>
      <c r="M2001" s="116">
        <v>765.9</v>
      </c>
      <c r="N2001" s="116">
        <v>775</v>
      </c>
      <c r="O2001" s="116">
        <v>731.15</v>
      </c>
      <c r="P2001" s="116">
        <v>732.8</v>
      </c>
      <c r="Q2001" s="116">
        <v>765.9</v>
      </c>
      <c r="R2001">
        <v>1382073</v>
      </c>
    </row>
    <row r="2002" spans="1:18" x14ac:dyDescent="0.25">
      <c r="A2002" s="170">
        <v>45827</v>
      </c>
      <c r="B2002" s="116">
        <v>769.5</v>
      </c>
      <c r="C2002" s="116">
        <v>740</v>
      </c>
      <c r="D2002" s="116">
        <v>734</v>
      </c>
      <c r="E2002" s="116">
        <v>765</v>
      </c>
      <c r="F2002" s="116">
        <v>740</v>
      </c>
      <c r="G2002">
        <v>36749</v>
      </c>
      <c r="H2002" s="116"/>
      <c r="I2002" s="116"/>
      <c r="L2002" s="170">
        <v>45827</v>
      </c>
      <c r="M2002" s="116">
        <v>739.75</v>
      </c>
      <c r="N2002" s="116">
        <v>772.2</v>
      </c>
      <c r="O2002" s="116">
        <v>734.25</v>
      </c>
      <c r="P2002" s="116">
        <v>770</v>
      </c>
      <c r="Q2002" s="116">
        <v>739.75</v>
      </c>
      <c r="R2002">
        <v>222402</v>
      </c>
    </row>
    <row r="2003" spans="1:18" x14ac:dyDescent="0.25">
      <c r="A2003" s="170">
        <v>45828</v>
      </c>
      <c r="B2003" s="116">
        <v>749</v>
      </c>
      <c r="C2003" s="116">
        <v>738.4</v>
      </c>
      <c r="D2003" s="116">
        <v>723.15</v>
      </c>
      <c r="E2003" s="116">
        <v>728.5</v>
      </c>
      <c r="F2003" s="116">
        <v>738.4</v>
      </c>
      <c r="G2003">
        <v>12119</v>
      </c>
      <c r="H2003" s="116"/>
      <c r="I2003" s="116"/>
      <c r="L2003" s="170">
        <v>45828</v>
      </c>
      <c r="M2003" s="116">
        <v>734.2</v>
      </c>
      <c r="N2003" s="116">
        <v>749.8</v>
      </c>
      <c r="O2003" s="116">
        <v>725.05</v>
      </c>
      <c r="P2003" s="116">
        <v>731</v>
      </c>
      <c r="Q2003" s="116">
        <v>734.2</v>
      </c>
      <c r="R2003">
        <v>136930</v>
      </c>
    </row>
    <row r="2004" spans="1:18" x14ac:dyDescent="0.25">
      <c r="A2004" s="170">
        <v>45831</v>
      </c>
      <c r="B2004" s="116">
        <v>745.3</v>
      </c>
      <c r="C2004" s="116">
        <v>736.15</v>
      </c>
      <c r="D2004" s="116">
        <v>724.1</v>
      </c>
      <c r="E2004" s="116">
        <v>728.35</v>
      </c>
      <c r="F2004" s="116">
        <v>736.15</v>
      </c>
      <c r="G2004">
        <v>10364</v>
      </c>
      <c r="H2004" s="116"/>
      <c r="I2004" s="116"/>
      <c r="L2004" s="170">
        <v>45831</v>
      </c>
      <c r="M2004" s="116">
        <v>734.45</v>
      </c>
      <c r="N2004" s="116">
        <v>747.7</v>
      </c>
      <c r="O2004" s="116">
        <v>721.05</v>
      </c>
      <c r="P2004" s="116">
        <v>737.9</v>
      </c>
      <c r="Q2004" s="116">
        <v>734.45</v>
      </c>
      <c r="R2004">
        <v>102672</v>
      </c>
    </row>
    <row r="2005" spans="1:18" x14ac:dyDescent="0.25">
      <c r="A2005" s="170">
        <v>45832</v>
      </c>
      <c r="B2005" s="116">
        <v>745.2</v>
      </c>
      <c r="C2005" s="116">
        <v>717.2</v>
      </c>
      <c r="D2005" s="116">
        <v>712.65</v>
      </c>
      <c r="E2005" s="116">
        <v>736.15</v>
      </c>
      <c r="F2005" s="116">
        <v>717.2</v>
      </c>
      <c r="G2005">
        <v>5011</v>
      </c>
      <c r="H2005" s="116"/>
      <c r="I2005" s="116"/>
      <c r="L2005" s="170">
        <v>45832</v>
      </c>
      <c r="M2005" s="116">
        <v>717.55</v>
      </c>
      <c r="N2005" s="116">
        <v>746.45</v>
      </c>
      <c r="O2005" s="116">
        <v>713.15</v>
      </c>
      <c r="P2005" s="116">
        <v>738.15</v>
      </c>
      <c r="Q2005" s="116">
        <v>717.55</v>
      </c>
      <c r="R2005">
        <v>115354</v>
      </c>
    </row>
    <row r="2006" spans="1:18" x14ac:dyDescent="0.25">
      <c r="A2006" s="170">
        <v>45833</v>
      </c>
      <c r="B2006" s="116">
        <v>761.6</v>
      </c>
      <c r="C2006" s="116">
        <v>753</v>
      </c>
      <c r="D2006" s="116">
        <v>717.4</v>
      </c>
      <c r="E2006" s="116">
        <v>717.4</v>
      </c>
      <c r="F2006" s="116">
        <v>753</v>
      </c>
      <c r="G2006">
        <v>13613</v>
      </c>
      <c r="H2006" s="116"/>
      <c r="I2006" s="116"/>
      <c r="L2006" s="170">
        <v>45833</v>
      </c>
      <c r="M2006" s="116">
        <v>752.2</v>
      </c>
      <c r="N2006" s="116">
        <v>761</v>
      </c>
      <c r="O2006" s="116">
        <v>717.65</v>
      </c>
      <c r="P2006" s="116">
        <v>723</v>
      </c>
      <c r="Q2006" s="116">
        <v>752.2</v>
      </c>
      <c r="R2006">
        <v>231401</v>
      </c>
    </row>
    <row r="2007" spans="1:18" x14ac:dyDescent="0.25">
      <c r="A2007" s="170">
        <v>45834</v>
      </c>
      <c r="B2007" s="116">
        <v>759.9</v>
      </c>
      <c r="C2007" s="116">
        <v>754.05</v>
      </c>
      <c r="D2007" s="116">
        <v>735.05</v>
      </c>
      <c r="E2007" s="116">
        <v>735.05</v>
      </c>
      <c r="F2007" s="116">
        <v>754.05</v>
      </c>
      <c r="G2007">
        <v>10392</v>
      </c>
      <c r="H2007" s="116"/>
      <c r="I2007" s="116"/>
      <c r="L2007" s="170">
        <v>45834</v>
      </c>
      <c r="M2007" s="116">
        <v>756.4</v>
      </c>
      <c r="N2007" s="116">
        <v>761.25</v>
      </c>
      <c r="O2007" s="116">
        <v>742.35</v>
      </c>
      <c r="P2007" s="116">
        <v>755.95</v>
      </c>
      <c r="Q2007" s="116">
        <v>756.4</v>
      </c>
      <c r="R2007">
        <v>108788</v>
      </c>
    </row>
    <row r="2008" spans="1:18" x14ac:dyDescent="0.25">
      <c r="A2008" s="170">
        <v>45835</v>
      </c>
      <c r="B2008" s="116">
        <v>765.8</v>
      </c>
      <c r="C2008" s="116">
        <v>756.1</v>
      </c>
      <c r="D2008" s="116">
        <v>751</v>
      </c>
      <c r="E2008" s="116">
        <v>751.25</v>
      </c>
      <c r="F2008" s="116">
        <v>756.1</v>
      </c>
      <c r="G2008">
        <v>5518</v>
      </c>
      <c r="H2008" s="116"/>
      <c r="I2008" s="116"/>
      <c r="L2008" s="170">
        <v>45835</v>
      </c>
      <c r="M2008" s="116">
        <v>755.25</v>
      </c>
      <c r="N2008" s="116">
        <v>767</v>
      </c>
      <c r="O2008" s="116">
        <v>750.05</v>
      </c>
      <c r="P2008" s="116">
        <v>760</v>
      </c>
      <c r="Q2008" s="116">
        <v>755.25</v>
      </c>
      <c r="R2008">
        <v>151725</v>
      </c>
    </row>
    <row r="2009" spans="1:18" x14ac:dyDescent="0.25">
      <c r="A2009" s="170">
        <v>45838</v>
      </c>
      <c r="B2009" s="116">
        <v>764</v>
      </c>
      <c r="C2009" s="116">
        <v>760</v>
      </c>
      <c r="D2009" s="116">
        <v>753.7</v>
      </c>
      <c r="E2009" s="116">
        <v>759</v>
      </c>
      <c r="F2009" s="116">
        <v>760</v>
      </c>
      <c r="G2009">
        <v>7232</v>
      </c>
      <c r="H2009" s="116"/>
      <c r="I2009" s="116"/>
      <c r="L2009" s="170">
        <v>45838</v>
      </c>
      <c r="M2009" s="116">
        <v>759.9</v>
      </c>
      <c r="N2009" s="116">
        <v>765</v>
      </c>
      <c r="O2009" s="116">
        <v>752</v>
      </c>
      <c r="P2009" s="116">
        <v>758.5</v>
      </c>
      <c r="Q2009" s="116">
        <v>759.9</v>
      </c>
      <c r="R2009">
        <v>134091</v>
      </c>
    </row>
    <row r="2010" spans="1:18" x14ac:dyDescent="0.25">
      <c r="A2010" s="170">
        <v>45839</v>
      </c>
      <c r="B2010" s="116">
        <v>819.55</v>
      </c>
      <c r="C2010" s="116">
        <v>806.35</v>
      </c>
      <c r="D2010" s="116">
        <v>752.25</v>
      </c>
      <c r="E2010" s="116">
        <v>752.35</v>
      </c>
      <c r="F2010" s="116">
        <v>806.35</v>
      </c>
      <c r="G2010">
        <v>54102</v>
      </c>
      <c r="H2010" s="116"/>
      <c r="I2010" s="116"/>
      <c r="L2010" s="170">
        <v>45839</v>
      </c>
      <c r="M2010" s="116">
        <v>803.4</v>
      </c>
      <c r="N2010" s="116">
        <v>819</v>
      </c>
      <c r="O2010" s="116">
        <v>755.05</v>
      </c>
      <c r="P2010" s="116">
        <v>760</v>
      </c>
      <c r="Q2010" s="116">
        <v>803.4</v>
      </c>
      <c r="R2010">
        <v>821188</v>
      </c>
    </row>
    <row r="2011" spans="1:18" x14ac:dyDescent="0.25">
      <c r="A2011" s="170">
        <v>45840</v>
      </c>
      <c r="B2011" s="116">
        <v>810</v>
      </c>
      <c r="C2011" s="116">
        <v>793.2</v>
      </c>
      <c r="D2011" s="116">
        <v>787.15</v>
      </c>
      <c r="E2011" s="116">
        <v>806</v>
      </c>
      <c r="F2011" s="116">
        <v>793.2</v>
      </c>
      <c r="G2011">
        <v>17120</v>
      </c>
      <c r="H2011" s="116"/>
      <c r="I2011" s="116"/>
      <c r="L2011" s="170">
        <v>45840</v>
      </c>
      <c r="M2011" s="116">
        <v>794.4</v>
      </c>
      <c r="N2011" s="116">
        <v>808</v>
      </c>
      <c r="O2011" s="116">
        <v>787</v>
      </c>
      <c r="P2011" s="116">
        <v>806.95</v>
      </c>
      <c r="Q2011" s="116">
        <v>794.4</v>
      </c>
      <c r="R2011">
        <v>251814</v>
      </c>
    </row>
    <row r="2012" spans="1:18" x14ac:dyDescent="0.25">
      <c r="A2012" s="170">
        <v>45841</v>
      </c>
      <c r="B2012" s="116">
        <v>792.65</v>
      </c>
      <c r="C2012" s="116">
        <v>785.95</v>
      </c>
      <c r="D2012" s="116">
        <v>777.95</v>
      </c>
      <c r="E2012" s="116">
        <v>791.8</v>
      </c>
      <c r="F2012" s="116">
        <v>785.95</v>
      </c>
      <c r="G2012">
        <v>4669</v>
      </c>
      <c r="H2012" s="116"/>
      <c r="I2012" s="116"/>
      <c r="L2012" s="170">
        <v>45841</v>
      </c>
      <c r="M2012" s="116">
        <v>786.05</v>
      </c>
      <c r="N2012" s="116">
        <v>793.95</v>
      </c>
      <c r="O2012" s="116">
        <v>778.1</v>
      </c>
      <c r="P2012" s="116">
        <v>793.95</v>
      </c>
      <c r="Q2012" s="116">
        <v>786.05</v>
      </c>
      <c r="R2012">
        <v>108052</v>
      </c>
    </row>
    <row r="2013" spans="1:18" x14ac:dyDescent="0.25">
      <c r="A2013" s="170">
        <v>45842</v>
      </c>
      <c r="B2013" s="116">
        <v>790</v>
      </c>
      <c r="C2013" s="116">
        <v>778.85</v>
      </c>
      <c r="D2013" s="116">
        <v>776</v>
      </c>
      <c r="E2013" s="116">
        <v>783.1</v>
      </c>
      <c r="F2013" s="116">
        <v>778.85</v>
      </c>
      <c r="G2013">
        <v>5094</v>
      </c>
      <c r="H2013" s="116"/>
      <c r="I2013" s="116"/>
      <c r="L2013" s="170">
        <v>45842</v>
      </c>
      <c r="M2013" s="116">
        <v>778.05</v>
      </c>
      <c r="N2013" s="116">
        <v>792</v>
      </c>
      <c r="O2013" s="116">
        <v>776</v>
      </c>
      <c r="P2013" s="116">
        <v>791.9</v>
      </c>
      <c r="Q2013" s="116">
        <v>778.05</v>
      </c>
      <c r="R2013">
        <v>70235</v>
      </c>
    </row>
    <row r="2014" spans="1:18" x14ac:dyDescent="0.25">
      <c r="A2014" s="170">
        <v>45845</v>
      </c>
      <c r="B2014" s="116">
        <v>779.8</v>
      </c>
      <c r="C2014" s="116">
        <v>756.6</v>
      </c>
      <c r="D2014" s="116">
        <v>751.15</v>
      </c>
      <c r="E2014" s="116">
        <v>765.05</v>
      </c>
      <c r="F2014" s="116">
        <v>756.6</v>
      </c>
      <c r="G2014">
        <v>6209</v>
      </c>
      <c r="H2014" s="116"/>
      <c r="I2014" s="116"/>
      <c r="L2014" s="170">
        <v>45845</v>
      </c>
      <c r="M2014" s="116">
        <v>756.75</v>
      </c>
      <c r="N2014" s="116">
        <v>781.5</v>
      </c>
      <c r="O2014" s="116">
        <v>751.4</v>
      </c>
      <c r="P2014" s="116">
        <v>771.1</v>
      </c>
      <c r="Q2014" s="116">
        <v>756.75</v>
      </c>
      <c r="R2014">
        <v>141606</v>
      </c>
    </row>
    <row r="2015" spans="1:18" x14ac:dyDescent="0.25">
      <c r="A2015" s="170">
        <v>45846</v>
      </c>
      <c r="B2015" s="116">
        <v>767.2</v>
      </c>
      <c r="C2015" s="116">
        <v>761.45</v>
      </c>
      <c r="D2015" s="116">
        <v>753.8</v>
      </c>
      <c r="E2015" s="116">
        <v>764.4</v>
      </c>
      <c r="F2015" s="116">
        <v>761.45</v>
      </c>
      <c r="G2015">
        <v>2252</v>
      </c>
      <c r="H2015" s="116"/>
      <c r="I2015" s="116"/>
      <c r="L2015" s="170">
        <v>45846</v>
      </c>
      <c r="M2015" s="116">
        <v>761.9</v>
      </c>
      <c r="N2015" s="116">
        <v>770.45</v>
      </c>
      <c r="O2015" s="116">
        <v>753</v>
      </c>
      <c r="P2015" s="116">
        <v>760.55</v>
      </c>
      <c r="Q2015" s="116">
        <v>761.9</v>
      </c>
      <c r="R2015">
        <v>87880</v>
      </c>
    </row>
    <row r="2016" spans="1:18" x14ac:dyDescent="0.25">
      <c r="A2016" s="170">
        <v>45847</v>
      </c>
      <c r="B2016" s="116">
        <v>765.85</v>
      </c>
      <c r="C2016" s="116">
        <v>758.3</v>
      </c>
      <c r="D2016" s="116">
        <v>754.9</v>
      </c>
      <c r="E2016" s="116">
        <v>763.8</v>
      </c>
      <c r="F2016" s="116">
        <v>758.3</v>
      </c>
      <c r="G2016">
        <v>1237</v>
      </c>
      <c r="H2016" s="116"/>
      <c r="I2016" s="116"/>
      <c r="L2016" s="170">
        <v>45847</v>
      </c>
      <c r="M2016" s="116">
        <v>758.45</v>
      </c>
      <c r="N2016" s="116">
        <v>767.5</v>
      </c>
      <c r="O2016" s="116">
        <v>753.35</v>
      </c>
      <c r="P2016" s="116">
        <v>765</v>
      </c>
      <c r="Q2016" s="116">
        <v>758.45</v>
      </c>
      <c r="R2016">
        <v>117397</v>
      </c>
    </row>
    <row r="2017" spans="1:18" x14ac:dyDescent="0.25">
      <c r="A2017" s="170">
        <v>45848</v>
      </c>
      <c r="B2017" s="116">
        <v>770.25</v>
      </c>
      <c r="C2017" s="116">
        <v>761.95</v>
      </c>
      <c r="D2017" s="116">
        <v>754.55</v>
      </c>
      <c r="E2017" s="116">
        <v>760.4</v>
      </c>
      <c r="F2017" s="116">
        <v>761.95</v>
      </c>
      <c r="G2017">
        <v>2318</v>
      </c>
      <c r="H2017" s="116"/>
      <c r="I2017" s="116"/>
      <c r="L2017" s="170">
        <v>45848</v>
      </c>
      <c r="M2017" s="116">
        <v>761.9</v>
      </c>
      <c r="N2017" s="116">
        <v>770.25</v>
      </c>
      <c r="O2017" s="116">
        <v>753.5</v>
      </c>
      <c r="P2017" s="116">
        <v>758</v>
      </c>
      <c r="Q2017" s="116">
        <v>761.9</v>
      </c>
      <c r="R2017">
        <v>76942</v>
      </c>
    </row>
    <row r="2018" spans="1:18" x14ac:dyDescent="0.25">
      <c r="A2018" s="170">
        <v>45849</v>
      </c>
      <c r="B2018" s="116">
        <v>764.5</v>
      </c>
      <c r="C2018" s="116">
        <v>756.95</v>
      </c>
      <c r="D2018" s="116">
        <v>755.05</v>
      </c>
      <c r="E2018" s="116">
        <v>761.95</v>
      </c>
      <c r="F2018" s="116">
        <v>756.95</v>
      </c>
      <c r="G2018">
        <v>3114</v>
      </c>
      <c r="H2018" s="116"/>
      <c r="I2018" s="116"/>
      <c r="L2018" s="170">
        <v>45849</v>
      </c>
      <c r="M2018" s="116">
        <v>758</v>
      </c>
      <c r="N2018" s="116">
        <v>765.2</v>
      </c>
      <c r="O2018" s="116">
        <v>755.05</v>
      </c>
      <c r="P2018" s="116">
        <v>763.95</v>
      </c>
      <c r="Q2018" s="116">
        <v>758</v>
      </c>
      <c r="R2018">
        <v>38688</v>
      </c>
    </row>
    <row r="2019" spans="1:18" x14ac:dyDescent="0.25">
      <c r="A2019" s="170">
        <v>45852</v>
      </c>
      <c r="B2019" s="116">
        <v>782.3</v>
      </c>
      <c r="C2019" s="116">
        <v>777.15</v>
      </c>
      <c r="D2019" s="116">
        <v>755.35</v>
      </c>
      <c r="E2019" s="116">
        <v>755.35</v>
      </c>
      <c r="F2019" s="116">
        <v>777.15</v>
      </c>
      <c r="G2019">
        <v>4322</v>
      </c>
      <c r="H2019" s="116"/>
      <c r="I2019" s="116"/>
      <c r="L2019" s="170">
        <v>45852</v>
      </c>
      <c r="M2019" s="116">
        <v>777.85</v>
      </c>
      <c r="N2019" s="116">
        <v>783.4</v>
      </c>
      <c r="O2019" s="116">
        <v>751.5</v>
      </c>
      <c r="P2019" s="116">
        <v>753</v>
      </c>
      <c r="Q2019" s="116">
        <v>777.85</v>
      </c>
      <c r="R2019">
        <v>185299</v>
      </c>
    </row>
    <row r="2020" spans="1:18" x14ac:dyDescent="0.25">
      <c r="A2020" s="170">
        <v>45853</v>
      </c>
      <c r="B2020" s="116">
        <v>836</v>
      </c>
      <c r="C2020" s="116">
        <v>829.5</v>
      </c>
      <c r="D2020" s="116">
        <v>783.35</v>
      </c>
      <c r="E2020" s="116">
        <v>787</v>
      </c>
      <c r="F2020" s="116">
        <v>829.5</v>
      </c>
      <c r="G2020">
        <v>12745</v>
      </c>
      <c r="H2020" s="116"/>
      <c r="I2020" s="116"/>
      <c r="L2020" s="170">
        <v>45853</v>
      </c>
      <c r="M2020" s="116">
        <v>827.6</v>
      </c>
      <c r="N2020" s="116">
        <v>835.4</v>
      </c>
      <c r="O2020" s="116">
        <v>779.25</v>
      </c>
      <c r="P2020" s="116">
        <v>779.25</v>
      </c>
      <c r="Q2020" s="116">
        <v>827.6</v>
      </c>
      <c r="R2020">
        <v>384343</v>
      </c>
    </row>
    <row r="2021" spans="1:18" x14ac:dyDescent="0.25">
      <c r="A2021" s="170">
        <v>45854</v>
      </c>
      <c r="B2021" s="116">
        <v>840.85</v>
      </c>
      <c r="C2021" s="116">
        <v>833.55</v>
      </c>
      <c r="D2021" s="116">
        <v>826.7</v>
      </c>
      <c r="E2021" s="116">
        <v>826.7</v>
      </c>
      <c r="F2021" s="116">
        <v>833.55</v>
      </c>
      <c r="G2021">
        <v>11870</v>
      </c>
      <c r="H2021" s="116"/>
      <c r="I2021" s="116"/>
      <c r="L2021" s="170">
        <v>45854</v>
      </c>
      <c r="M2021" s="116">
        <v>834.25</v>
      </c>
      <c r="N2021" s="116">
        <v>841.05</v>
      </c>
      <c r="O2021" s="116">
        <v>825.75</v>
      </c>
      <c r="P2021" s="116">
        <v>829</v>
      </c>
      <c r="Q2021" s="116">
        <v>834.25</v>
      </c>
      <c r="R2021">
        <v>129930</v>
      </c>
    </row>
    <row r="2022" spans="1:18" x14ac:dyDescent="0.25">
      <c r="A2022" s="170">
        <v>45855</v>
      </c>
      <c r="B2022" s="116">
        <v>842.5</v>
      </c>
      <c r="C2022" s="116">
        <v>822.25</v>
      </c>
      <c r="D2022" s="116">
        <v>817</v>
      </c>
      <c r="E2022" s="116">
        <v>828.25</v>
      </c>
      <c r="F2022" s="116">
        <v>822.25</v>
      </c>
      <c r="G2022">
        <v>5161</v>
      </c>
      <c r="H2022" s="116"/>
      <c r="I2022" s="116"/>
      <c r="L2022" s="170">
        <v>45855</v>
      </c>
      <c r="M2022" s="116">
        <v>823.65</v>
      </c>
      <c r="N2022" s="116">
        <v>843.45</v>
      </c>
      <c r="O2022" s="116">
        <v>816.15</v>
      </c>
      <c r="P2022" s="116">
        <v>837.95</v>
      </c>
      <c r="Q2022" s="116">
        <v>823.65</v>
      </c>
      <c r="R2022">
        <v>116277</v>
      </c>
    </row>
    <row r="2023" spans="1:18" x14ac:dyDescent="0.25">
      <c r="A2023" s="170">
        <v>45856</v>
      </c>
      <c r="B2023" s="116">
        <v>826.1</v>
      </c>
      <c r="C2023" s="116">
        <v>816.55</v>
      </c>
      <c r="D2023" s="116">
        <v>809.15</v>
      </c>
      <c r="E2023" s="116">
        <v>820</v>
      </c>
      <c r="F2023" s="116">
        <v>816.55</v>
      </c>
      <c r="G2023">
        <v>1700</v>
      </c>
      <c r="H2023" s="116"/>
      <c r="I2023" s="116"/>
      <c r="L2023" s="170">
        <v>45856</v>
      </c>
      <c r="M2023" s="116">
        <v>817.6</v>
      </c>
      <c r="N2023" s="116">
        <v>827.8</v>
      </c>
      <c r="O2023" s="116">
        <v>808.4</v>
      </c>
      <c r="P2023" s="116">
        <v>824.95</v>
      </c>
      <c r="Q2023" s="116">
        <v>817.6</v>
      </c>
      <c r="R2023">
        <v>59391</v>
      </c>
    </row>
    <row r="2024" spans="1:18" x14ac:dyDescent="0.25">
      <c r="A2024" s="170">
        <v>45859</v>
      </c>
      <c r="B2024" s="116">
        <v>833</v>
      </c>
      <c r="C2024" s="116">
        <v>808.8</v>
      </c>
      <c r="D2024" s="116">
        <v>802.1</v>
      </c>
      <c r="E2024" s="116">
        <v>802.1</v>
      </c>
      <c r="F2024" s="116">
        <v>808.8</v>
      </c>
      <c r="G2024">
        <v>9718</v>
      </c>
      <c r="H2024" s="116"/>
      <c r="I2024" s="116"/>
      <c r="L2024" s="170">
        <v>45859</v>
      </c>
      <c r="M2024" s="116">
        <v>808.05</v>
      </c>
      <c r="N2024" s="116">
        <v>833.95</v>
      </c>
      <c r="O2024" s="116">
        <v>804.35</v>
      </c>
      <c r="P2024" s="116">
        <v>809.4</v>
      </c>
      <c r="Q2024" s="116">
        <v>808.05</v>
      </c>
      <c r="R2024">
        <v>197547</v>
      </c>
    </row>
    <row r="2025" spans="1:18" x14ac:dyDescent="0.25">
      <c r="A2025" s="170">
        <v>45860</v>
      </c>
      <c r="B2025" s="116">
        <v>814.15</v>
      </c>
      <c r="C2025" s="116">
        <v>808.35</v>
      </c>
      <c r="D2025" s="116">
        <v>803.45</v>
      </c>
      <c r="E2025" s="116">
        <v>812.85</v>
      </c>
      <c r="F2025" s="116">
        <v>808.35</v>
      </c>
      <c r="G2025">
        <v>3049</v>
      </c>
      <c r="H2025" s="116"/>
      <c r="I2025" s="116"/>
      <c r="L2025" s="170">
        <v>45860</v>
      </c>
      <c r="M2025" s="116">
        <v>809.8</v>
      </c>
      <c r="N2025" s="116">
        <v>814.9</v>
      </c>
      <c r="O2025" s="116">
        <v>804.15</v>
      </c>
      <c r="P2025" s="116">
        <v>810</v>
      </c>
      <c r="Q2025" s="116">
        <v>809.8</v>
      </c>
      <c r="R2025">
        <v>77069</v>
      </c>
    </row>
    <row r="2026" spans="1:18" x14ac:dyDescent="0.25">
      <c r="A2026" s="170">
        <v>45861</v>
      </c>
      <c r="B2026" s="116">
        <v>830.25</v>
      </c>
      <c r="C2026" s="116">
        <v>827.25</v>
      </c>
      <c r="D2026" s="116">
        <v>810.4</v>
      </c>
      <c r="E2026" s="116">
        <v>810.4</v>
      </c>
      <c r="F2026" s="116">
        <v>827.25</v>
      </c>
      <c r="G2026">
        <v>2862</v>
      </c>
      <c r="H2026" s="116"/>
      <c r="I2026" s="116"/>
      <c r="L2026" s="170">
        <v>45861</v>
      </c>
      <c r="M2026" s="116">
        <v>826.55</v>
      </c>
      <c r="N2026" s="116">
        <v>830.9</v>
      </c>
      <c r="O2026" s="116">
        <v>809.55</v>
      </c>
      <c r="P2026" s="116">
        <v>809.8</v>
      </c>
      <c r="Q2026" s="116">
        <v>826.55</v>
      </c>
      <c r="R2026">
        <v>89398</v>
      </c>
    </row>
    <row r="2027" spans="1:18" x14ac:dyDescent="0.25">
      <c r="A2027" s="170">
        <v>45862</v>
      </c>
      <c r="B2027" s="116">
        <v>831.4</v>
      </c>
      <c r="C2027" s="116">
        <v>826.15</v>
      </c>
      <c r="D2027" s="116">
        <v>807.3</v>
      </c>
      <c r="E2027" s="116">
        <v>829.9</v>
      </c>
      <c r="F2027" s="116">
        <v>826.15</v>
      </c>
      <c r="G2027">
        <v>5360</v>
      </c>
      <c r="H2027" s="116"/>
      <c r="I2027" s="116"/>
      <c r="L2027" s="170">
        <v>45862</v>
      </c>
      <c r="M2027" s="116">
        <v>827</v>
      </c>
      <c r="N2027" s="116">
        <v>832.9</v>
      </c>
      <c r="O2027" s="116">
        <v>806.5</v>
      </c>
      <c r="P2027" s="116">
        <v>828.2</v>
      </c>
      <c r="Q2027" s="116">
        <v>827</v>
      </c>
      <c r="R2027">
        <v>70603</v>
      </c>
    </row>
    <row r="2028" spans="1:18" x14ac:dyDescent="0.25">
      <c r="A2028" s="170">
        <v>45863</v>
      </c>
      <c r="B2028" s="116">
        <v>829.95</v>
      </c>
      <c r="C2028" s="116">
        <v>813.3</v>
      </c>
      <c r="D2028" s="116">
        <v>802.55</v>
      </c>
      <c r="E2028" s="116">
        <v>829.95</v>
      </c>
      <c r="F2028" s="116">
        <v>813.3</v>
      </c>
      <c r="G2028">
        <v>1930</v>
      </c>
      <c r="H2028" s="116"/>
      <c r="I2028" s="116"/>
      <c r="L2028" s="170">
        <v>45863</v>
      </c>
      <c r="M2028" s="116">
        <v>809.9</v>
      </c>
      <c r="N2028" s="116">
        <v>831.15</v>
      </c>
      <c r="O2028" s="116">
        <v>801.8</v>
      </c>
      <c r="P2028" s="116">
        <v>826.65</v>
      </c>
      <c r="Q2028" s="116">
        <v>809.9</v>
      </c>
      <c r="R2028">
        <v>68881</v>
      </c>
    </row>
    <row r="2029" spans="1:18" x14ac:dyDescent="0.25">
      <c r="A2029" s="170">
        <v>45866</v>
      </c>
      <c r="B2029" s="116">
        <v>812.5</v>
      </c>
      <c r="C2029" s="116">
        <v>804.2</v>
      </c>
      <c r="D2029" s="116">
        <v>797.05</v>
      </c>
      <c r="E2029" s="116">
        <v>802</v>
      </c>
      <c r="F2029" s="116">
        <v>804.2</v>
      </c>
      <c r="G2029">
        <v>5468</v>
      </c>
      <c r="H2029" s="116"/>
      <c r="I2029" s="116"/>
      <c r="L2029" s="170">
        <v>45866</v>
      </c>
      <c r="M2029" s="116">
        <v>805.4</v>
      </c>
      <c r="N2029" s="116">
        <v>813.9</v>
      </c>
      <c r="O2029" s="116">
        <v>796.4</v>
      </c>
      <c r="P2029" s="116">
        <v>802</v>
      </c>
      <c r="Q2029" s="116">
        <v>805.4</v>
      </c>
      <c r="R2029">
        <v>50206</v>
      </c>
    </row>
    <row r="2030" spans="1:18" x14ac:dyDescent="0.25">
      <c r="A2030" s="170">
        <v>45867</v>
      </c>
      <c r="B2030" s="116">
        <v>809.2</v>
      </c>
      <c r="C2030" s="116">
        <v>793.45</v>
      </c>
      <c r="D2030" s="116">
        <v>774.45</v>
      </c>
      <c r="E2030" s="116">
        <v>808.95</v>
      </c>
      <c r="F2030" s="116">
        <v>793.45</v>
      </c>
      <c r="G2030">
        <v>3847</v>
      </c>
      <c r="H2030" s="116"/>
      <c r="I2030" s="116"/>
      <c r="L2030" s="170">
        <v>45867</v>
      </c>
      <c r="M2030" s="116">
        <v>798.6</v>
      </c>
      <c r="N2030" s="116">
        <v>816.1</v>
      </c>
      <c r="O2030" s="116">
        <v>773.25</v>
      </c>
      <c r="P2030" s="116">
        <v>809.4</v>
      </c>
      <c r="Q2030" s="116">
        <v>798.6</v>
      </c>
      <c r="R2030">
        <v>73941</v>
      </c>
    </row>
    <row r="2031" spans="1:18" x14ac:dyDescent="0.25">
      <c r="A2031" s="170">
        <v>45868</v>
      </c>
      <c r="B2031" s="116">
        <v>805.7</v>
      </c>
      <c r="C2031" s="116">
        <v>778.45</v>
      </c>
      <c r="D2031" s="116">
        <v>730</v>
      </c>
      <c r="E2031" s="116">
        <v>804.15</v>
      </c>
      <c r="F2031" s="116">
        <v>778.45</v>
      </c>
      <c r="G2031">
        <v>29204</v>
      </c>
      <c r="H2031" s="116"/>
      <c r="I2031" s="116"/>
      <c r="L2031" s="170">
        <v>45868</v>
      </c>
      <c r="M2031" s="116">
        <v>780</v>
      </c>
      <c r="N2031" s="116">
        <v>808.35</v>
      </c>
      <c r="O2031" s="116">
        <v>727.4</v>
      </c>
      <c r="P2031" s="116">
        <v>800</v>
      </c>
      <c r="Q2031" s="116">
        <v>780</v>
      </c>
      <c r="R2031">
        <v>374170</v>
      </c>
    </row>
    <row r="2032" spans="1:18" x14ac:dyDescent="0.25">
      <c r="A2032" s="170">
        <v>45869</v>
      </c>
      <c r="B2032" s="116">
        <v>768.2</v>
      </c>
      <c r="C2032" s="116">
        <v>753.25</v>
      </c>
      <c r="D2032" s="116">
        <v>750.05</v>
      </c>
      <c r="E2032" s="116">
        <v>765</v>
      </c>
      <c r="F2032" s="116">
        <v>753.25</v>
      </c>
      <c r="G2032">
        <v>5635</v>
      </c>
      <c r="H2032" s="116"/>
      <c r="I2032" s="116"/>
      <c r="L2032" s="170">
        <v>45869</v>
      </c>
      <c r="M2032" s="116">
        <v>754.3</v>
      </c>
      <c r="N2032" s="116">
        <v>774</v>
      </c>
      <c r="O2032" s="116">
        <v>750.1</v>
      </c>
      <c r="P2032" s="116">
        <v>765</v>
      </c>
      <c r="Q2032" s="116">
        <v>754.3</v>
      </c>
      <c r="R2032">
        <v>135845</v>
      </c>
    </row>
    <row r="2033" spans="1:18" x14ac:dyDescent="0.25">
      <c r="A2033" s="170">
        <v>45870</v>
      </c>
      <c r="B2033" s="116">
        <v>765</v>
      </c>
      <c r="C2033" s="116">
        <v>759.5</v>
      </c>
      <c r="D2033" s="116">
        <v>739.15</v>
      </c>
      <c r="E2033" s="116">
        <v>747</v>
      </c>
      <c r="F2033" s="116">
        <v>759.5</v>
      </c>
      <c r="G2033">
        <v>1536</v>
      </c>
      <c r="H2033" s="116"/>
      <c r="I2033" s="116"/>
      <c r="L2033" s="170">
        <v>45870</v>
      </c>
      <c r="M2033" s="116">
        <v>757.7</v>
      </c>
      <c r="N2033" s="116">
        <v>767</v>
      </c>
      <c r="O2033" s="116">
        <v>739.35</v>
      </c>
      <c r="P2033" s="116">
        <v>750.1</v>
      </c>
      <c r="Q2033" s="116">
        <v>757.7</v>
      </c>
      <c r="R2033">
        <v>113623</v>
      </c>
    </row>
    <row r="2034" spans="1:18" x14ac:dyDescent="0.25">
      <c r="A2034" s="170">
        <v>45873</v>
      </c>
      <c r="B2034" s="116">
        <v>721.9</v>
      </c>
      <c r="C2034" s="116">
        <v>641.6</v>
      </c>
      <c r="D2034" s="116">
        <v>626.6</v>
      </c>
      <c r="E2034" s="116">
        <v>626.6</v>
      </c>
      <c r="F2034" s="116">
        <v>641.6</v>
      </c>
      <c r="G2034">
        <v>9772051</v>
      </c>
      <c r="H2034" s="116"/>
      <c r="I2034" s="116"/>
      <c r="L2034" s="170">
        <v>45873</v>
      </c>
      <c r="M2034" s="116">
        <v>684.8</v>
      </c>
      <c r="N2034" s="116">
        <v>713.7</v>
      </c>
      <c r="O2034" s="116">
        <v>620.75</v>
      </c>
      <c r="P2034" s="116">
        <v>625</v>
      </c>
      <c r="Q2034" s="116">
        <v>684.8</v>
      </c>
      <c r="R2034">
        <v>4131053</v>
      </c>
    </row>
    <row r="2035" spans="1:18" x14ac:dyDescent="0.25">
      <c r="A2035" s="170">
        <v>45874</v>
      </c>
      <c r="B2035" s="116">
        <v>723.95</v>
      </c>
      <c r="C2035" s="116">
        <v>701.2</v>
      </c>
      <c r="D2035" s="116">
        <v>695.15</v>
      </c>
      <c r="E2035" s="116">
        <v>712</v>
      </c>
      <c r="F2035" s="116">
        <v>701.2</v>
      </c>
      <c r="G2035">
        <v>65272</v>
      </c>
      <c r="H2035" s="116"/>
      <c r="I2035" s="116"/>
      <c r="L2035" s="170">
        <v>45874</v>
      </c>
      <c r="M2035" s="116">
        <v>701.85</v>
      </c>
      <c r="N2035" s="116">
        <v>724</v>
      </c>
      <c r="O2035" s="116">
        <v>694</v>
      </c>
      <c r="P2035" s="116">
        <v>709.9</v>
      </c>
      <c r="Q2035" s="116">
        <v>701.85</v>
      </c>
      <c r="R2035">
        <v>1113191</v>
      </c>
    </row>
    <row r="2036" spans="1:18" x14ac:dyDescent="0.25">
      <c r="A2036" s="170">
        <v>45875</v>
      </c>
      <c r="B2036" s="116">
        <v>719.9</v>
      </c>
      <c r="C2036" s="116">
        <v>709.5</v>
      </c>
      <c r="D2036" s="116">
        <v>702.4</v>
      </c>
      <c r="E2036" s="116">
        <v>702.85</v>
      </c>
      <c r="F2036" s="116">
        <v>709.5</v>
      </c>
      <c r="G2036">
        <v>8855</v>
      </c>
      <c r="H2036" s="116"/>
      <c r="I2036" s="116"/>
      <c r="L2036" s="170">
        <v>45875</v>
      </c>
      <c r="M2036" s="116">
        <v>709.1</v>
      </c>
      <c r="N2036" s="116">
        <v>719</v>
      </c>
      <c r="O2036" s="116">
        <v>701.95</v>
      </c>
      <c r="P2036" s="116">
        <v>705.4</v>
      </c>
      <c r="Q2036" s="116">
        <v>709.1</v>
      </c>
      <c r="R2036">
        <v>237507</v>
      </c>
    </row>
    <row r="2037" spans="1:18" x14ac:dyDescent="0.25">
      <c r="A2037" s="170">
        <v>45876</v>
      </c>
      <c r="B2037" s="116">
        <v>708.25</v>
      </c>
      <c r="C2037" s="116">
        <v>693.15</v>
      </c>
      <c r="D2037" s="116">
        <v>661.05</v>
      </c>
      <c r="E2037" s="116">
        <v>661.05</v>
      </c>
      <c r="F2037" s="116">
        <v>693.15</v>
      </c>
      <c r="G2037">
        <v>12391</v>
      </c>
      <c r="H2037" s="116"/>
      <c r="I2037" s="116"/>
      <c r="L2037" s="170">
        <v>45876</v>
      </c>
      <c r="M2037" s="116">
        <v>692.65</v>
      </c>
      <c r="N2037" s="116">
        <v>709.45</v>
      </c>
      <c r="O2037" s="116">
        <v>682.15</v>
      </c>
      <c r="P2037" s="116">
        <v>706.9</v>
      </c>
      <c r="Q2037" s="116">
        <v>692.65</v>
      </c>
      <c r="R2037">
        <v>140869</v>
      </c>
    </row>
    <row r="2038" spans="1:18" x14ac:dyDescent="0.25">
      <c r="A2038" s="170">
        <v>45877</v>
      </c>
      <c r="B2038" s="116">
        <v>708.7</v>
      </c>
      <c r="C2038" s="116">
        <v>681.2</v>
      </c>
      <c r="D2038" s="116">
        <v>671.3</v>
      </c>
      <c r="E2038" s="116">
        <v>692.6</v>
      </c>
      <c r="F2038" s="116">
        <v>681.2</v>
      </c>
      <c r="G2038">
        <v>10949</v>
      </c>
      <c r="H2038" s="116"/>
      <c r="I2038" s="116"/>
      <c r="L2038" s="170">
        <v>45877</v>
      </c>
      <c r="M2038" s="116">
        <v>684.75</v>
      </c>
      <c r="N2038" s="116">
        <v>709</v>
      </c>
      <c r="O2038" s="116">
        <v>672.1</v>
      </c>
      <c r="P2038" s="116">
        <v>698</v>
      </c>
      <c r="Q2038" s="116">
        <v>684.75</v>
      </c>
      <c r="R2038">
        <v>59666</v>
      </c>
    </row>
    <row r="2039" spans="1:18" x14ac:dyDescent="0.25">
      <c r="A2039" s="170">
        <v>45880</v>
      </c>
      <c r="B2039" s="116">
        <v>688.75</v>
      </c>
      <c r="C2039" s="116">
        <v>671.65</v>
      </c>
      <c r="D2039" s="116">
        <v>666.6</v>
      </c>
      <c r="E2039" s="116">
        <v>688.75</v>
      </c>
      <c r="F2039" s="116">
        <v>671.65</v>
      </c>
      <c r="G2039">
        <v>4574</v>
      </c>
      <c r="H2039" s="116"/>
      <c r="I2039" s="116"/>
      <c r="L2039" s="170">
        <v>45880</v>
      </c>
      <c r="M2039" s="116">
        <v>670.3</v>
      </c>
      <c r="N2039" s="116">
        <v>682.2</v>
      </c>
      <c r="O2039" s="116">
        <v>665.55</v>
      </c>
      <c r="P2039" s="116">
        <v>682.05</v>
      </c>
      <c r="Q2039" s="116">
        <v>670.3</v>
      </c>
      <c r="R2039">
        <v>88094</v>
      </c>
    </row>
    <row r="2040" spans="1:18" x14ac:dyDescent="0.25">
      <c r="A2040" s="170">
        <v>45881</v>
      </c>
      <c r="B2040" s="116">
        <v>677.35</v>
      </c>
      <c r="C2040" s="116">
        <v>657.1</v>
      </c>
      <c r="D2040" s="116">
        <v>655.6</v>
      </c>
      <c r="E2040" s="116">
        <v>673</v>
      </c>
      <c r="F2040" s="116">
        <v>657.1</v>
      </c>
      <c r="G2040">
        <v>9026</v>
      </c>
      <c r="H2040" s="116"/>
      <c r="I2040" s="116"/>
      <c r="L2040" s="170">
        <v>45881</v>
      </c>
      <c r="M2040" s="116">
        <v>658.5</v>
      </c>
      <c r="N2040" s="116">
        <v>678.8</v>
      </c>
      <c r="O2040" s="116">
        <v>656</v>
      </c>
      <c r="P2040" s="116">
        <v>666</v>
      </c>
      <c r="Q2040" s="116">
        <v>658.5</v>
      </c>
      <c r="R2040">
        <v>71153</v>
      </c>
    </row>
    <row r="2041" spans="1:18" x14ac:dyDescent="0.25">
      <c r="A2041" s="170">
        <v>45882</v>
      </c>
      <c r="B2041" s="116">
        <v>666.95</v>
      </c>
      <c r="C2041" s="116">
        <v>663</v>
      </c>
      <c r="D2041" s="116">
        <v>652.9</v>
      </c>
      <c r="E2041" s="116">
        <v>657</v>
      </c>
      <c r="F2041" s="116">
        <v>663</v>
      </c>
      <c r="G2041">
        <v>5136</v>
      </c>
      <c r="H2041" s="116"/>
      <c r="I2041" s="116"/>
      <c r="L2041" s="170">
        <v>45882</v>
      </c>
      <c r="M2041" s="116">
        <v>662.65</v>
      </c>
      <c r="N2041" s="116">
        <v>666.4</v>
      </c>
      <c r="O2041" s="116">
        <v>652.5</v>
      </c>
      <c r="P2041" s="116">
        <v>662.9</v>
      </c>
      <c r="Q2041" s="116">
        <v>662.65</v>
      </c>
      <c r="R2041">
        <v>84313</v>
      </c>
    </row>
    <row r="2042" spans="1:18" x14ac:dyDescent="0.25">
      <c r="A2042" s="170">
        <v>45883</v>
      </c>
      <c r="B2042" s="116">
        <v>664.95</v>
      </c>
      <c r="C2042" s="116">
        <v>647.75</v>
      </c>
      <c r="D2042" s="116">
        <v>646.5</v>
      </c>
      <c r="E2042" s="116">
        <v>662.65</v>
      </c>
      <c r="F2042" s="116">
        <v>647.75</v>
      </c>
      <c r="G2042">
        <v>5405</v>
      </c>
      <c r="H2042" s="116"/>
      <c r="I2042" s="116"/>
      <c r="L2042" s="170">
        <v>45883</v>
      </c>
      <c r="M2042" s="116">
        <v>648.20000000000005</v>
      </c>
      <c r="N2042" s="116">
        <v>666.6</v>
      </c>
      <c r="O2042" s="116">
        <v>645.54999999999995</v>
      </c>
      <c r="P2042" s="116">
        <v>666</v>
      </c>
      <c r="Q2042" s="116">
        <v>648.20000000000005</v>
      </c>
      <c r="R2042">
        <v>75188</v>
      </c>
    </row>
    <row r="2043" spans="1:18" x14ac:dyDescent="0.25">
      <c r="A2043" s="170">
        <v>45887</v>
      </c>
      <c r="B2043" s="116">
        <v>669.55</v>
      </c>
      <c r="C2043" s="116">
        <v>666.15</v>
      </c>
      <c r="D2043" s="116">
        <v>646.85</v>
      </c>
      <c r="E2043" s="116">
        <v>648.29999999999995</v>
      </c>
      <c r="F2043" s="116">
        <v>666.15</v>
      </c>
      <c r="G2043">
        <v>3430</v>
      </c>
      <c r="H2043" s="116"/>
      <c r="I2043" s="116"/>
      <c r="L2043" s="170">
        <v>45887</v>
      </c>
      <c r="M2043" s="116">
        <v>665.15</v>
      </c>
      <c r="N2043" s="116">
        <v>672.4</v>
      </c>
      <c r="O2043" s="116">
        <v>644.4</v>
      </c>
      <c r="P2043" s="116">
        <v>651.45000000000005</v>
      </c>
      <c r="Q2043" s="116">
        <v>665.15</v>
      </c>
      <c r="R2043">
        <v>73186</v>
      </c>
    </row>
    <row r="2044" spans="1:18" x14ac:dyDescent="0.25">
      <c r="A2044" s="170">
        <v>45888</v>
      </c>
      <c r="B2044" s="116">
        <v>668</v>
      </c>
      <c r="C2044" s="116">
        <v>663.1</v>
      </c>
      <c r="D2044" s="116">
        <v>655.25</v>
      </c>
      <c r="E2044" s="116">
        <v>665.3</v>
      </c>
      <c r="F2044" s="116">
        <v>663.1</v>
      </c>
      <c r="G2044">
        <v>3629</v>
      </c>
      <c r="H2044" s="116"/>
      <c r="I2044" s="116"/>
      <c r="L2044" s="170">
        <v>45888</v>
      </c>
      <c r="M2044" s="116">
        <v>661.75</v>
      </c>
      <c r="N2044" s="116">
        <v>669.95</v>
      </c>
      <c r="O2044" s="116">
        <v>654.1</v>
      </c>
      <c r="P2044" s="116">
        <v>666</v>
      </c>
      <c r="Q2044" s="116">
        <v>661.75</v>
      </c>
      <c r="R2044">
        <v>54061</v>
      </c>
    </row>
    <row r="2045" spans="1:18" x14ac:dyDescent="0.25">
      <c r="A2045" s="170">
        <v>45889</v>
      </c>
      <c r="B2045" s="116">
        <v>665</v>
      </c>
      <c r="C2045" s="116">
        <v>655.95</v>
      </c>
      <c r="D2045" s="116">
        <v>654.5</v>
      </c>
      <c r="E2045" s="116">
        <v>663.15</v>
      </c>
      <c r="F2045" s="116">
        <v>655.95</v>
      </c>
      <c r="G2045">
        <v>5300</v>
      </c>
      <c r="H2045" s="116"/>
      <c r="I2045" s="116"/>
      <c r="L2045" s="170">
        <v>45889</v>
      </c>
      <c r="M2045" s="116">
        <v>655.95</v>
      </c>
      <c r="N2045" s="116">
        <v>666.15</v>
      </c>
      <c r="O2045" s="116">
        <v>654</v>
      </c>
      <c r="P2045" s="116">
        <v>666</v>
      </c>
      <c r="Q2045" s="116">
        <v>655.95</v>
      </c>
      <c r="R2045">
        <v>56210</v>
      </c>
    </row>
    <row r="2046" spans="1:18" x14ac:dyDescent="0.25">
      <c r="A2046" s="170">
        <v>45890</v>
      </c>
      <c r="B2046" s="116">
        <v>670.45</v>
      </c>
      <c r="C2046" s="116">
        <v>663.95</v>
      </c>
      <c r="D2046" s="116">
        <v>651.04999999999995</v>
      </c>
      <c r="E2046" s="116">
        <v>651.04999999999995</v>
      </c>
      <c r="F2046" s="116">
        <v>663.95</v>
      </c>
      <c r="G2046">
        <v>5280</v>
      </c>
      <c r="H2046" s="116"/>
      <c r="I2046" s="116"/>
      <c r="L2046" s="170">
        <v>45890</v>
      </c>
      <c r="M2046" s="116">
        <v>663.3</v>
      </c>
      <c r="N2046" s="116">
        <v>671</v>
      </c>
      <c r="O2046" s="116">
        <v>651.9</v>
      </c>
      <c r="P2046" s="116">
        <v>658.95</v>
      </c>
      <c r="Q2046" s="116">
        <v>663.3</v>
      </c>
      <c r="R2046">
        <v>95444</v>
      </c>
    </row>
    <row r="2047" spans="1:18" x14ac:dyDescent="0.25">
      <c r="A2047" s="170">
        <v>45891</v>
      </c>
      <c r="B2047" s="116">
        <v>679.05</v>
      </c>
      <c r="C2047" s="116">
        <v>671.15</v>
      </c>
      <c r="D2047" s="116">
        <v>660.65</v>
      </c>
      <c r="E2047" s="116">
        <v>669.45</v>
      </c>
      <c r="F2047" s="116">
        <v>671.15</v>
      </c>
      <c r="G2047">
        <v>5279</v>
      </c>
      <c r="H2047" s="116"/>
      <c r="I2047" s="116"/>
      <c r="L2047" s="170">
        <v>45891</v>
      </c>
      <c r="M2047" s="116">
        <v>671.2</v>
      </c>
      <c r="N2047" s="116">
        <v>681.1</v>
      </c>
      <c r="O2047" s="116">
        <v>661</v>
      </c>
      <c r="P2047" s="116">
        <v>666.65</v>
      </c>
      <c r="Q2047" s="116">
        <v>671.2</v>
      </c>
      <c r="R2047">
        <v>68529</v>
      </c>
    </row>
    <row r="2048" spans="1:18" x14ac:dyDescent="0.25">
      <c r="A2048" s="170">
        <v>45894</v>
      </c>
      <c r="B2048" s="116">
        <v>698.8</v>
      </c>
      <c r="C2048" s="116">
        <v>689.4</v>
      </c>
      <c r="D2048" s="116">
        <v>663.95</v>
      </c>
      <c r="E2048" s="116">
        <v>688.95</v>
      </c>
      <c r="F2048" s="116">
        <v>689.4</v>
      </c>
      <c r="G2048">
        <v>12516</v>
      </c>
      <c r="H2048" s="116"/>
      <c r="I2048" s="116"/>
      <c r="L2048" s="170">
        <v>45894</v>
      </c>
      <c r="M2048" s="116">
        <v>691.05</v>
      </c>
      <c r="N2048" s="116">
        <v>699</v>
      </c>
      <c r="O2048" s="116">
        <v>662</v>
      </c>
      <c r="P2048" s="116">
        <v>674.55</v>
      </c>
      <c r="Q2048" s="116">
        <v>691.05</v>
      </c>
      <c r="R2048">
        <v>170250</v>
      </c>
    </row>
    <row r="2049" spans="1:18" x14ac:dyDescent="0.25">
      <c r="A2049" s="170">
        <v>45895</v>
      </c>
      <c r="B2049" s="116">
        <v>703.7</v>
      </c>
      <c r="C2049" s="116">
        <v>691.9</v>
      </c>
      <c r="D2049" s="116">
        <v>677.7</v>
      </c>
      <c r="E2049" s="116">
        <v>682</v>
      </c>
      <c r="F2049" s="116">
        <v>691.9</v>
      </c>
      <c r="G2049">
        <v>5315</v>
      </c>
      <c r="H2049" s="116"/>
      <c r="I2049" s="116"/>
      <c r="L2049" s="170">
        <v>45895</v>
      </c>
      <c r="M2049" s="116">
        <v>691.55</v>
      </c>
      <c r="N2049" s="116">
        <v>705.45</v>
      </c>
      <c r="O2049" s="116">
        <v>677</v>
      </c>
      <c r="P2049" s="116">
        <v>689.7</v>
      </c>
      <c r="Q2049" s="116">
        <v>691.55</v>
      </c>
      <c r="R2049">
        <v>199172</v>
      </c>
    </row>
    <row r="2050" spans="1:18" x14ac:dyDescent="0.25">
      <c r="A2050" s="170">
        <v>45897</v>
      </c>
      <c r="B2050" s="116">
        <v>712</v>
      </c>
      <c r="C2050" s="116">
        <v>700.7</v>
      </c>
      <c r="D2050" s="116">
        <v>686.05</v>
      </c>
      <c r="E2050" s="116">
        <v>689.45</v>
      </c>
      <c r="F2050" s="116">
        <v>700.7</v>
      </c>
      <c r="G2050">
        <v>10822</v>
      </c>
      <c r="H2050" s="116"/>
      <c r="I2050" s="116"/>
      <c r="L2050" s="170">
        <v>45897</v>
      </c>
      <c r="M2050" s="116">
        <v>700.05</v>
      </c>
      <c r="N2050" s="116">
        <v>712.85</v>
      </c>
      <c r="O2050" s="116">
        <v>686.55</v>
      </c>
      <c r="P2050" s="116">
        <v>694.45</v>
      </c>
      <c r="Q2050" s="116">
        <v>700.05</v>
      </c>
      <c r="R2050">
        <v>164591</v>
      </c>
    </row>
    <row r="2051" spans="1:18" x14ac:dyDescent="0.25">
      <c r="A2051" s="170">
        <v>45898</v>
      </c>
      <c r="B2051" s="116">
        <v>702.95</v>
      </c>
      <c r="C2051" s="116">
        <v>685</v>
      </c>
      <c r="D2051" s="116">
        <v>683.4</v>
      </c>
      <c r="E2051" s="116">
        <v>688.05</v>
      </c>
      <c r="F2051" s="116">
        <v>685</v>
      </c>
      <c r="G2051">
        <v>3591</v>
      </c>
      <c r="H2051" s="116"/>
      <c r="I2051" s="116"/>
      <c r="L2051" s="170">
        <v>45898</v>
      </c>
      <c r="M2051" s="116">
        <v>686.2</v>
      </c>
      <c r="N2051" s="116">
        <v>703</v>
      </c>
      <c r="O2051" s="116">
        <v>683.6</v>
      </c>
      <c r="P2051" s="116">
        <v>693.25</v>
      </c>
      <c r="Q2051" s="116">
        <v>686.2</v>
      </c>
      <c r="R2051">
        <v>44917</v>
      </c>
    </row>
    <row r="2052" spans="1:18" x14ac:dyDescent="0.25">
      <c r="A2052" s="170">
        <v>45901</v>
      </c>
      <c r="B2052" s="116">
        <v>706.5</v>
      </c>
      <c r="C2052" s="116">
        <v>686.5</v>
      </c>
      <c r="D2052" s="116">
        <v>677.3</v>
      </c>
      <c r="E2052" s="116">
        <v>677.3</v>
      </c>
      <c r="F2052" s="116">
        <v>686.5</v>
      </c>
      <c r="G2052">
        <v>4345</v>
      </c>
      <c r="H2052" s="116"/>
      <c r="I2052" s="116"/>
      <c r="L2052" s="170">
        <v>45901</v>
      </c>
      <c r="M2052" s="116">
        <v>684.9</v>
      </c>
      <c r="N2052" s="116">
        <v>707</v>
      </c>
      <c r="O2052" s="116">
        <v>677.05</v>
      </c>
      <c r="P2052" s="116">
        <v>689.65</v>
      </c>
      <c r="Q2052" s="116">
        <v>684.9</v>
      </c>
      <c r="R2052">
        <v>338251</v>
      </c>
    </row>
    <row r="2053" spans="1:18" x14ac:dyDescent="0.25">
      <c r="A2053" s="170">
        <v>45902</v>
      </c>
      <c r="B2053" s="116">
        <v>708.9</v>
      </c>
      <c r="C2053" s="116">
        <v>702.7</v>
      </c>
      <c r="D2053" s="116">
        <v>683.1</v>
      </c>
      <c r="E2053" s="116">
        <v>683.1</v>
      </c>
      <c r="F2053" s="116">
        <v>702.7</v>
      </c>
      <c r="G2053">
        <v>8663</v>
      </c>
      <c r="H2053" s="116"/>
      <c r="I2053" s="116"/>
      <c r="L2053" s="170">
        <v>45902</v>
      </c>
      <c r="M2053" s="116">
        <v>703.35</v>
      </c>
      <c r="N2053" s="116">
        <v>709</v>
      </c>
      <c r="O2053" s="116">
        <v>681.1</v>
      </c>
      <c r="P2053" s="116">
        <v>684.8</v>
      </c>
      <c r="Q2053" s="116">
        <v>703.35</v>
      </c>
      <c r="R2053">
        <v>217744</v>
      </c>
    </row>
    <row r="2054" spans="1:18" x14ac:dyDescent="0.25">
      <c r="A2054" s="170">
        <v>45903</v>
      </c>
      <c r="B2054" s="116">
        <v>729</v>
      </c>
      <c r="C2054" s="116">
        <v>721.55</v>
      </c>
      <c r="D2054" s="116">
        <v>700.1</v>
      </c>
      <c r="E2054" s="116">
        <v>707.9</v>
      </c>
      <c r="F2054" s="116">
        <v>721.55</v>
      </c>
      <c r="G2054">
        <v>4755</v>
      </c>
      <c r="H2054" s="116"/>
      <c r="I2054" s="116"/>
      <c r="L2054" s="170">
        <v>45903</v>
      </c>
      <c r="M2054" s="116">
        <v>721.9</v>
      </c>
      <c r="N2054" s="116">
        <v>729.95</v>
      </c>
      <c r="O2054" s="116">
        <v>699.1</v>
      </c>
      <c r="P2054" s="116">
        <v>704</v>
      </c>
      <c r="Q2054" s="116">
        <v>721.9</v>
      </c>
      <c r="R2054">
        <v>259546</v>
      </c>
    </row>
    <row r="2055" spans="1:18" x14ac:dyDescent="0.25">
      <c r="A2055" s="170">
        <v>45904</v>
      </c>
      <c r="B2055" s="116">
        <v>730</v>
      </c>
      <c r="C2055" s="116">
        <v>718.1</v>
      </c>
      <c r="D2055" s="116">
        <v>716.45</v>
      </c>
      <c r="E2055" s="116">
        <v>722.05</v>
      </c>
      <c r="F2055" s="116">
        <v>718.1</v>
      </c>
      <c r="G2055">
        <v>2091</v>
      </c>
      <c r="H2055" s="116"/>
      <c r="I2055" s="116"/>
      <c r="L2055" s="170">
        <v>45904</v>
      </c>
      <c r="M2055" s="116">
        <v>718.65</v>
      </c>
      <c r="N2055" s="116">
        <v>730.4</v>
      </c>
      <c r="O2055" s="116">
        <v>714.95</v>
      </c>
      <c r="P2055" s="116">
        <v>729.9</v>
      </c>
      <c r="Q2055" s="116">
        <v>718.65</v>
      </c>
      <c r="R2055">
        <v>76653</v>
      </c>
    </row>
    <row r="2056" spans="1:18" x14ac:dyDescent="0.25">
      <c r="A2056" s="170">
        <v>45905</v>
      </c>
      <c r="B2056" s="116">
        <v>731.15</v>
      </c>
      <c r="C2056" s="116">
        <v>705.55</v>
      </c>
      <c r="D2056" s="116">
        <v>704.55</v>
      </c>
      <c r="E2056" s="116">
        <v>707.05</v>
      </c>
      <c r="F2056" s="116">
        <v>705.55</v>
      </c>
      <c r="G2056">
        <v>2426</v>
      </c>
      <c r="H2056" s="116"/>
      <c r="I2056" s="116"/>
      <c r="L2056" s="170">
        <v>45905</v>
      </c>
      <c r="M2056" s="116">
        <v>706.2</v>
      </c>
      <c r="N2056" s="116">
        <v>730.4</v>
      </c>
      <c r="O2056" s="116">
        <v>705</v>
      </c>
      <c r="P2056" s="116">
        <v>714.3</v>
      </c>
      <c r="Q2056" s="116">
        <v>706.2</v>
      </c>
      <c r="R2056">
        <v>83662</v>
      </c>
    </row>
    <row r="2057" spans="1:18" x14ac:dyDescent="0.25">
      <c r="A2057" s="170">
        <v>45908</v>
      </c>
      <c r="B2057" s="116">
        <v>732.55</v>
      </c>
      <c r="C2057" s="116">
        <v>724.85</v>
      </c>
      <c r="D2057" s="116">
        <v>705.8</v>
      </c>
      <c r="E2057" s="116">
        <v>710.35</v>
      </c>
      <c r="F2057" s="116">
        <v>724.85</v>
      </c>
      <c r="G2057">
        <v>6540</v>
      </c>
      <c r="H2057" s="116"/>
      <c r="I2057" s="116"/>
      <c r="L2057" s="170">
        <v>45908</v>
      </c>
      <c r="M2057" s="116">
        <v>725.35</v>
      </c>
      <c r="N2057" s="116">
        <v>733.85</v>
      </c>
      <c r="O2057" s="116">
        <v>703</v>
      </c>
      <c r="P2057" s="116">
        <v>703</v>
      </c>
      <c r="Q2057" s="116">
        <v>725.35</v>
      </c>
      <c r="R2057">
        <v>184142</v>
      </c>
    </row>
    <row r="2058" spans="1:18" x14ac:dyDescent="0.25">
      <c r="A2058" s="170">
        <v>45909</v>
      </c>
      <c r="B2058" s="116">
        <v>757</v>
      </c>
      <c r="C2058" s="116">
        <v>754.8</v>
      </c>
      <c r="D2058" s="116">
        <v>729.9</v>
      </c>
      <c r="E2058" s="116">
        <v>729.9</v>
      </c>
      <c r="F2058" s="116">
        <v>754.8</v>
      </c>
      <c r="G2058">
        <v>5574</v>
      </c>
      <c r="H2058" s="116"/>
      <c r="I2058" s="116"/>
      <c r="L2058" s="170">
        <v>45909</v>
      </c>
      <c r="M2058" s="116">
        <v>752.65</v>
      </c>
      <c r="N2058" s="116">
        <v>757.45</v>
      </c>
      <c r="O2058" s="116">
        <v>724.55</v>
      </c>
      <c r="P2058" s="116">
        <v>730</v>
      </c>
      <c r="Q2058" s="116">
        <v>752.65</v>
      </c>
      <c r="R2058">
        <v>352717</v>
      </c>
    </row>
    <row r="2059" spans="1:18" x14ac:dyDescent="0.25">
      <c r="A2059" s="170">
        <v>45910</v>
      </c>
      <c r="B2059" s="116">
        <v>775</v>
      </c>
      <c r="C2059" s="116">
        <v>767.2</v>
      </c>
      <c r="D2059" s="116">
        <v>745.15</v>
      </c>
      <c r="E2059" s="116">
        <v>745.15</v>
      </c>
      <c r="F2059" s="116">
        <v>767.2</v>
      </c>
      <c r="G2059">
        <v>7437</v>
      </c>
      <c r="H2059" s="116"/>
      <c r="I2059" s="116"/>
      <c r="L2059" s="170">
        <v>45910</v>
      </c>
      <c r="M2059" s="116">
        <v>770.05</v>
      </c>
      <c r="N2059" s="116">
        <v>776.05</v>
      </c>
      <c r="O2059" s="116">
        <v>748</v>
      </c>
      <c r="P2059" s="116">
        <v>755</v>
      </c>
      <c r="Q2059" s="116">
        <v>770.05</v>
      </c>
      <c r="R2059">
        <v>223523</v>
      </c>
    </row>
    <row r="2060" spans="1:18" x14ac:dyDescent="0.25">
      <c r="A2060" s="170">
        <v>45911</v>
      </c>
      <c r="B2060" s="116">
        <v>784.7</v>
      </c>
      <c r="C2060" s="116">
        <v>769.1</v>
      </c>
      <c r="D2060" s="116">
        <v>765.05</v>
      </c>
      <c r="E2060" s="116">
        <v>770.7</v>
      </c>
      <c r="F2060" s="116">
        <v>769.1</v>
      </c>
      <c r="G2060">
        <v>3921</v>
      </c>
      <c r="H2060" s="116"/>
      <c r="I2060" s="116"/>
      <c r="L2060" s="170">
        <v>45911</v>
      </c>
      <c r="M2060" s="116">
        <v>771.55</v>
      </c>
      <c r="N2060" s="116">
        <v>785.8</v>
      </c>
      <c r="O2060" s="116">
        <v>763.6</v>
      </c>
      <c r="P2060" s="116">
        <v>771</v>
      </c>
      <c r="Q2060" s="116">
        <v>771.55</v>
      </c>
      <c r="R2060">
        <v>161332</v>
      </c>
    </row>
    <row r="2061" spans="1:18" x14ac:dyDescent="0.25">
      <c r="A2061" s="170">
        <v>45912</v>
      </c>
      <c r="B2061" s="116">
        <v>788</v>
      </c>
      <c r="C2061" s="116">
        <v>781.55</v>
      </c>
      <c r="D2061" s="116">
        <v>757</v>
      </c>
      <c r="E2061" s="116">
        <v>774.9</v>
      </c>
      <c r="F2061" s="116">
        <v>781.55</v>
      </c>
      <c r="G2061">
        <v>3461</v>
      </c>
      <c r="H2061" s="116"/>
      <c r="I2061" s="116"/>
      <c r="L2061" s="170">
        <v>45912</v>
      </c>
      <c r="M2061" s="116">
        <v>782.35</v>
      </c>
      <c r="N2061" s="116">
        <v>788.55</v>
      </c>
      <c r="O2061" s="116">
        <v>756.1</v>
      </c>
      <c r="P2061" s="116">
        <v>774.9</v>
      </c>
      <c r="Q2061" s="116">
        <v>782.35</v>
      </c>
      <c r="R2061">
        <v>225706</v>
      </c>
    </row>
    <row r="2062" spans="1:18" x14ac:dyDescent="0.25">
      <c r="A2062" s="170">
        <v>45915</v>
      </c>
      <c r="B2062" s="116">
        <v>807.9</v>
      </c>
      <c r="C2062" s="116">
        <v>799.5</v>
      </c>
      <c r="D2062" s="116">
        <v>778.95</v>
      </c>
      <c r="E2062" s="116">
        <v>782.35</v>
      </c>
      <c r="F2062" s="116">
        <v>799.5</v>
      </c>
      <c r="G2062">
        <v>12247</v>
      </c>
      <c r="H2062" s="116"/>
      <c r="I2062" s="116"/>
      <c r="L2062" s="170">
        <v>45915</v>
      </c>
      <c r="M2062" s="116">
        <v>797.5</v>
      </c>
      <c r="N2062" s="116">
        <v>802.65</v>
      </c>
      <c r="O2062" s="116">
        <v>775.2</v>
      </c>
      <c r="P2062" s="116">
        <v>782.35</v>
      </c>
      <c r="Q2062" s="116">
        <v>797.5</v>
      </c>
      <c r="R2062">
        <v>258510</v>
      </c>
    </row>
    <row r="2063" spans="1:18" x14ac:dyDescent="0.25">
      <c r="A2063" s="170">
        <v>45916</v>
      </c>
      <c r="B2063" s="116">
        <v>806.65</v>
      </c>
      <c r="C2063" s="116">
        <v>801.15</v>
      </c>
      <c r="D2063" s="116">
        <v>789.5</v>
      </c>
      <c r="E2063" s="116">
        <v>806.65</v>
      </c>
      <c r="F2063" s="116">
        <v>801.15</v>
      </c>
      <c r="G2063">
        <v>12141</v>
      </c>
      <c r="H2063" s="116"/>
      <c r="I2063" s="116"/>
      <c r="L2063" s="170">
        <v>45916</v>
      </c>
      <c r="M2063" s="116">
        <v>800.5</v>
      </c>
      <c r="N2063" s="116">
        <v>805.7</v>
      </c>
      <c r="O2063" s="116">
        <v>789.6</v>
      </c>
      <c r="P2063" s="116">
        <v>800.25</v>
      </c>
      <c r="Q2063" s="116">
        <v>800.5</v>
      </c>
      <c r="R2063">
        <v>130801</v>
      </c>
    </row>
    <row r="2064" spans="1:18" x14ac:dyDescent="0.25">
      <c r="A2064" s="170">
        <v>45917</v>
      </c>
      <c r="B2064" s="116">
        <v>809.05</v>
      </c>
      <c r="C2064" s="116">
        <v>803.7</v>
      </c>
      <c r="D2064" s="116">
        <v>798.45</v>
      </c>
      <c r="E2064" s="116">
        <v>801.55</v>
      </c>
      <c r="F2064" s="116">
        <v>803.7</v>
      </c>
      <c r="G2064">
        <v>7049</v>
      </c>
      <c r="H2064" s="116"/>
      <c r="I2064" s="116"/>
      <c r="L2064" s="170">
        <v>45917</v>
      </c>
      <c r="M2064" s="116">
        <v>802.75</v>
      </c>
      <c r="N2064" s="116">
        <v>810</v>
      </c>
      <c r="O2064" s="116">
        <v>798.45</v>
      </c>
      <c r="P2064" s="116">
        <v>803</v>
      </c>
      <c r="Q2064" s="116">
        <v>802.75</v>
      </c>
      <c r="R2064">
        <v>72261</v>
      </c>
    </row>
    <row r="2065" spans="1:18" x14ac:dyDescent="0.25">
      <c r="A2065" s="170">
        <v>45918</v>
      </c>
      <c r="B2065" s="116">
        <v>808.95</v>
      </c>
      <c r="C2065" s="116">
        <v>798.85</v>
      </c>
      <c r="D2065" s="116">
        <v>779.9</v>
      </c>
      <c r="E2065" s="116">
        <v>803.7</v>
      </c>
      <c r="F2065" s="116">
        <v>798.85</v>
      </c>
      <c r="G2065">
        <v>8540</v>
      </c>
      <c r="H2065" s="116"/>
      <c r="I2065" s="116"/>
      <c r="L2065" s="170">
        <v>45918</v>
      </c>
      <c r="M2065" s="116">
        <v>797.55</v>
      </c>
      <c r="N2065" s="116">
        <v>810</v>
      </c>
      <c r="O2065" s="116">
        <v>778.65</v>
      </c>
      <c r="P2065" s="116">
        <v>806.75</v>
      </c>
      <c r="Q2065" s="116">
        <v>797.55</v>
      </c>
      <c r="R2065">
        <v>124907</v>
      </c>
    </row>
    <row r="2066" spans="1:18" x14ac:dyDescent="0.25">
      <c r="A2066" s="170">
        <v>45919</v>
      </c>
      <c r="B2066" s="116">
        <v>803.4</v>
      </c>
      <c r="C2066" s="116">
        <v>783.6</v>
      </c>
      <c r="D2066" s="116">
        <v>781.2</v>
      </c>
      <c r="E2066" s="116">
        <v>793</v>
      </c>
      <c r="F2066" s="116">
        <v>783.6</v>
      </c>
      <c r="G2066">
        <v>5865</v>
      </c>
      <c r="H2066" s="116"/>
      <c r="I2066" s="116"/>
      <c r="L2066" s="170">
        <v>45919</v>
      </c>
      <c r="M2066" s="116">
        <v>783.75</v>
      </c>
      <c r="N2066" s="116">
        <v>804</v>
      </c>
      <c r="O2066" s="116">
        <v>781</v>
      </c>
      <c r="P2066" s="116">
        <v>793</v>
      </c>
      <c r="Q2066" s="116">
        <v>783.75</v>
      </c>
      <c r="R2066">
        <v>94281</v>
      </c>
    </row>
    <row r="2067" spans="1:18" x14ac:dyDescent="0.25">
      <c r="A2067" s="170">
        <v>45922</v>
      </c>
      <c r="B2067" s="116">
        <v>791.6</v>
      </c>
      <c r="C2067" s="116">
        <v>768.6</v>
      </c>
      <c r="D2067" s="116">
        <v>764</v>
      </c>
      <c r="E2067" s="116">
        <v>785.05</v>
      </c>
      <c r="F2067" s="116">
        <v>768.6</v>
      </c>
      <c r="G2067">
        <v>6756</v>
      </c>
      <c r="H2067" s="116"/>
      <c r="I2067" s="116"/>
      <c r="L2067" s="170">
        <v>45922</v>
      </c>
      <c r="M2067" s="116">
        <v>767.4</v>
      </c>
      <c r="N2067" s="116">
        <v>797</v>
      </c>
      <c r="O2067" s="116">
        <v>762</v>
      </c>
      <c r="P2067" s="116">
        <v>797</v>
      </c>
      <c r="Q2067" s="116">
        <v>767.4</v>
      </c>
      <c r="R2067">
        <v>88641</v>
      </c>
    </row>
    <row r="2068" spans="1:18" x14ac:dyDescent="0.25">
      <c r="A2068" s="170">
        <v>45923</v>
      </c>
      <c r="B2068" s="116">
        <v>792.25</v>
      </c>
      <c r="C2068" s="116">
        <v>781.5</v>
      </c>
      <c r="D2068" s="116">
        <v>757.6</v>
      </c>
      <c r="E2068" s="116">
        <v>767.35</v>
      </c>
      <c r="F2068" s="116">
        <v>781.5</v>
      </c>
      <c r="G2068">
        <v>9015</v>
      </c>
      <c r="H2068" s="116"/>
      <c r="I2068" s="116"/>
      <c r="L2068" s="170">
        <v>45923</v>
      </c>
      <c r="M2068" s="116">
        <v>783.2</v>
      </c>
      <c r="N2068" s="116">
        <v>792</v>
      </c>
      <c r="O2068" s="116">
        <v>756.35</v>
      </c>
      <c r="P2068" s="116">
        <v>760.4</v>
      </c>
      <c r="Q2068" s="116">
        <v>783.2</v>
      </c>
      <c r="R2068">
        <v>121606</v>
      </c>
    </row>
    <row r="2069" spans="1:18" x14ac:dyDescent="0.25">
      <c r="A2069" s="170">
        <v>45924</v>
      </c>
      <c r="B2069" s="116">
        <v>784.85</v>
      </c>
      <c r="C2069" s="116">
        <v>774.9</v>
      </c>
      <c r="D2069" s="116">
        <v>770.8</v>
      </c>
      <c r="E2069" s="116">
        <v>782.95</v>
      </c>
      <c r="F2069" s="116">
        <v>774.9</v>
      </c>
      <c r="G2069">
        <v>2500</v>
      </c>
      <c r="H2069" s="116"/>
      <c r="I2069" s="116"/>
      <c r="L2069" s="170">
        <v>45924</v>
      </c>
      <c r="M2069" s="116">
        <v>779.3</v>
      </c>
      <c r="N2069" s="116">
        <v>786</v>
      </c>
      <c r="O2069" s="116">
        <v>772.15</v>
      </c>
      <c r="P2069" s="116">
        <v>784.7</v>
      </c>
      <c r="Q2069" s="116">
        <v>779.3</v>
      </c>
      <c r="R2069">
        <v>35240</v>
      </c>
    </row>
    <row r="2070" spans="1:18" x14ac:dyDescent="0.25">
      <c r="A2070" s="170">
        <v>45925</v>
      </c>
      <c r="B2070" s="116">
        <v>788</v>
      </c>
      <c r="C2070" s="116">
        <v>775.55</v>
      </c>
      <c r="D2070" s="116">
        <v>765.2</v>
      </c>
      <c r="E2070" s="116">
        <v>779</v>
      </c>
      <c r="F2070" s="116">
        <v>775.55</v>
      </c>
      <c r="G2070">
        <v>3142</v>
      </c>
      <c r="H2070" s="116"/>
      <c r="I2070" s="116"/>
      <c r="L2070" s="170">
        <v>45925</v>
      </c>
      <c r="M2070" s="116">
        <v>772.1</v>
      </c>
      <c r="N2070" s="116">
        <v>791.7</v>
      </c>
      <c r="O2070" s="116">
        <v>763.1</v>
      </c>
      <c r="P2070" s="116">
        <v>779.2</v>
      </c>
      <c r="Q2070" s="116">
        <v>772.1</v>
      </c>
      <c r="R2070">
        <v>110507</v>
      </c>
    </row>
    <row r="2071" spans="1:18" x14ac:dyDescent="0.25">
      <c r="A2071" s="170">
        <v>45926</v>
      </c>
      <c r="B2071" s="116">
        <v>784</v>
      </c>
      <c r="C2071" s="116">
        <v>772</v>
      </c>
      <c r="D2071" s="116">
        <v>764.95</v>
      </c>
      <c r="E2071" s="116">
        <v>775.1</v>
      </c>
      <c r="F2071" s="116">
        <v>772</v>
      </c>
      <c r="G2071">
        <v>4189</v>
      </c>
      <c r="H2071" s="116"/>
      <c r="I2071" s="116"/>
      <c r="L2071" s="170">
        <v>45926</v>
      </c>
      <c r="M2071" s="116">
        <v>773.35</v>
      </c>
      <c r="N2071" s="116">
        <v>785</v>
      </c>
      <c r="O2071" s="116">
        <v>764.55</v>
      </c>
      <c r="P2071" s="116">
        <v>778.7</v>
      </c>
      <c r="Q2071" s="116">
        <v>773.35</v>
      </c>
      <c r="R2071">
        <v>124092</v>
      </c>
    </row>
    <row r="2072" spans="1:18" x14ac:dyDescent="0.25">
      <c r="A2072" s="170">
        <v>45929</v>
      </c>
      <c r="B2072" s="116">
        <v>778</v>
      </c>
      <c r="C2072" s="116">
        <v>754.15</v>
      </c>
      <c r="D2072" s="116">
        <v>751</v>
      </c>
      <c r="E2072" s="116">
        <v>775.85</v>
      </c>
      <c r="F2072" s="116">
        <v>754.15</v>
      </c>
      <c r="G2072">
        <v>3588</v>
      </c>
      <c r="H2072" s="116"/>
      <c r="I2072" s="116"/>
      <c r="L2072" s="170">
        <v>45929</v>
      </c>
      <c r="M2072" s="116">
        <v>759.15</v>
      </c>
      <c r="N2072" s="116">
        <v>782.85</v>
      </c>
      <c r="O2072" s="116">
        <v>752.5</v>
      </c>
      <c r="P2072" s="116">
        <v>780</v>
      </c>
      <c r="Q2072" s="116">
        <v>759.15</v>
      </c>
      <c r="R2072">
        <v>96042</v>
      </c>
    </row>
    <row r="2073" spans="1:18" x14ac:dyDescent="0.25">
      <c r="A2073" s="170">
        <v>45930</v>
      </c>
      <c r="B2073" s="116">
        <v>776.4</v>
      </c>
      <c r="C2073" s="116">
        <v>753.1</v>
      </c>
      <c r="D2073" s="116">
        <v>747.1</v>
      </c>
      <c r="E2073" s="116">
        <v>759</v>
      </c>
      <c r="F2073" s="116">
        <v>753.1</v>
      </c>
      <c r="G2073">
        <v>2513</v>
      </c>
      <c r="H2073" s="116"/>
      <c r="I2073" s="116"/>
      <c r="L2073" s="170">
        <v>45930</v>
      </c>
      <c r="M2073" s="116">
        <v>752.1</v>
      </c>
      <c r="N2073" s="116">
        <v>777.35</v>
      </c>
      <c r="O2073" s="116">
        <v>747.6</v>
      </c>
      <c r="P2073" s="116">
        <v>760.35</v>
      </c>
      <c r="Q2073" s="116">
        <v>752.1</v>
      </c>
      <c r="R2073">
        <v>129371</v>
      </c>
    </row>
    <row r="2074" spans="1:18" x14ac:dyDescent="0.25">
      <c r="A2074" s="170">
        <v>45931</v>
      </c>
      <c r="B2074" s="116">
        <v>764.9</v>
      </c>
      <c r="C2074" s="116">
        <v>753.7</v>
      </c>
      <c r="D2074" s="116">
        <v>741.85</v>
      </c>
      <c r="E2074" s="116">
        <v>750.15</v>
      </c>
      <c r="F2074" s="116">
        <v>753.7</v>
      </c>
      <c r="G2074">
        <v>2369</v>
      </c>
      <c r="H2074" s="116"/>
      <c r="I2074" s="116"/>
      <c r="L2074" s="170">
        <v>45931</v>
      </c>
      <c r="M2074" s="116">
        <v>755.6</v>
      </c>
      <c r="N2074" s="116">
        <v>766.55</v>
      </c>
      <c r="O2074" s="116">
        <v>742.5</v>
      </c>
      <c r="P2074" s="116">
        <v>751.55</v>
      </c>
      <c r="Q2074" s="116">
        <v>755.6</v>
      </c>
      <c r="R2074">
        <v>53794</v>
      </c>
    </row>
    <row r="2075" spans="1:18" x14ac:dyDescent="0.25">
      <c r="A2075" s="170">
        <v>45933</v>
      </c>
      <c r="B2075" s="116">
        <v>771.55</v>
      </c>
      <c r="C2075" s="116">
        <v>767.1</v>
      </c>
      <c r="D2075" s="116">
        <v>757.55</v>
      </c>
      <c r="E2075" s="116">
        <v>759</v>
      </c>
      <c r="F2075" s="116">
        <v>767.1</v>
      </c>
      <c r="G2075">
        <v>2080</v>
      </c>
      <c r="H2075" s="116"/>
      <c r="I2075" s="116"/>
      <c r="L2075" s="170">
        <v>45933</v>
      </c>
      <c r="M2075" s="116">
        <v>765.85</v>
      </c>
      <c r="N2075" s="116">
        <v>771</v>
      </c>
      <c r="O2075" s="116">
        <v>756.2</v>
      </c>
      <c r="P2075" s="116">
        <v>760.3</v>
      </c>
      <c r="Q2075" s="116">
        <v>765.85</v>
      </c>
      <c r="R2075">
        <v>37328</v>
      </c>
    </row>
    <row r="2076" spans="1:18" x14ac:dyDescent="0.25">
      <c r="A2076" s="170">
        <v>45936</v>
      </c>
      <c r="B2076" s="116">
        <v>788</v>
      </c>
      <c r="C2076" s="116">
        <v>784.7</v>
      </c>
      <c r="D2076" s="116">
        <v>757.3</v>
      </c>
      <c r="E2076" s="116">
        <v>760.05</v>
      </c>
      <c r="F2076" s="116">
        <v>784.7</v>
      </c>
      <c r="G2076">
        <v>5837</v>
      </c>
      <c r="H2076" s="116"/>
      <c r="I2076" s="116"/>
      <c r="L2076" s="170">
        <v>45936</v>
      </c>
      <c r="M2076" s="116">
        <v>782.4</v>
      </c>
      <c r="N2076" s="116">
        <v>788.1</v>
      </c>
      <c r="O2076" s="116">
        <v>759</v>
      </c>
      <c r="P2076" s="116">
        <v>765.8</v>
      </c>
      <c r="Q2076" s="116">
        <v>782.4</v>
      </c>
      <c r="R2076">
        <v>106989</v>
      </c>
    </row>
    <row r="2077" spans="1:18" x14ac:dyDescent="0.25">
      <c r="A2077" s="170">
        <v>45937</v>
      </c>
      <c r="B2077" s="116">
        <v>788</v>
      </c>
      <c r="C2077" s="116">
        <v>783.45</v>
      </c>
      <c r="D2077" s="116">
        <v>775.2</v>
      </c>
      <c r="E2077" s="116">
        <v>776.2</v>
      </c>
      <c r="F2077" s="116">
        <v>783.45</v>
      </c>
      <c r="G2077">
        <v>4688</v>
      </c>
      <c r="H2077" s="116"/>
      <c r="I2077" s="116"/>
      <c r="L2077" s="170">
        <v>45937</v>
      </c>
      <c r="M2077" s="116">
        <v>784.05</v>
      </c>
      <c r="N2077" s="116">
        <v>787</v>
      </c>
      <c r="O2077" s="116">
        <v>773.4</v>
      </c>
      <c r="P2077" s="116">
        <v>779.7</v>
      </c>
      <c r="Q2077" s="116">
        <v>784.05</v>
      </c>
      <c r="R2077">
        <v>61504</v>
      </c>
    </row>
    <row r="2078" spans="1:18" x14ac:dyDescent="0.25">
      <c r="A2078" s="170">
        <v>45938</v>
      </c>
      <c r="B2078" s="116">
        <v>787.95</v>
      </c>
      <c r="C2078" s="116">
        <v>762.75</v>
      </c>
      <c r="D2078" s="116">
        <v>758.8</v>
      </c>
      <c r="E2078" s="116">
        <v>783.45</v>
      </c>
      <c r="F2078" s="116">
        <v>762.75</v>
      </c>
      <c r="G2078">
        <v>6895</v>
      </c>
      <c r="H2078" s="116"/>
      <c r="I2078" s="116"/>
      <c r="L2078" s="170">
        <v>45938</v>
      </c>
      <c r="M2078" s="116">
        <v>763.9</v>
      </c>
      <c r="N2078" s="116">
        <v>788.75</v>
      </c>
      <c r="O2078" s="116">
        <v>759.1</v>
      </c>
      <c r="P2078" s="116">
        <v>784.05</v>
      </c>
      <c r="Q2078" s="116">
        <v>763.9</v>
      </c>
      <c r="R2078">
        <v>104276</v>
      </c>
    </row>
    <row r="2079" spans="1:18" x14ac:dyDescent="0.25">
      <c r="A2079" s="170">
        <v>45939</v>
      </c>
      <c r="B2079" s="116">
        <v>782</v>
      </c>
      <c r="C2079" s="116">
        <v>779.55</v>
      </c>
      <c r="D2079" s="116">
        <v>758.85</v>
      </c>
      <c r="E2079" s="116">
        <v>761</v>
      </c>
      <c r="F2079" s="116">
        <v>779.55</v>
      </c>
      <c r="G2079">
        <v>2110</v>
      </c>
      <c r="H2079" s="116"/>
      <c r="I2079" s="116"/>
      <c r="L2079" s="170">
        <v>45939</v>
      </c>
      <c r="M2079" s="116">
        <v>778.6</v>
      </c>
      <c r="N2079" s="116">
        <v>782.1</v>
      </c>
      <c r="O2079" s="116">
        <v>757</v>
      </c>
      <c r="P2079" s="116">
        <v>760.1</v>
      </c>
      <c r="Q2079" s="116">
        <v>778.6</v>
      </c>
      <c r="R2079">
        <v>59599</v>
      </c>
    </row>
    <row r="2080" spans="1:18" x14ac:dyDescent="0.25">
      <c r="A2080" s="170">
        <v>45940</v>
      </c>
      <c r="B2080" s="116">
        <v>783.3</v>
      </c>
      <c r="C2080" s="116">
        <v>767.5</v>
      </c>
      <c r="D2080" s="116">
        <v>764.15</v>
      </c>
      <c r="E2080" s="116">
        <v>775.7</v>
      </c>
      <c r="F2080" s="116">
        <v>767.5</v>
      </c>
      <c r="G2080">
        <v>2028</v>
      </c>
      <c r="H2080" s="116"/>
      <c r="I2080" s="116"/>
      <c r="L2080" s="170">
        <v>45940</v>
      </c>
      <c r="M2080" s="116">
        <v>767.85</v>
      </c>
      <c r="N2080" s="116">
        <v>784.05</v>
      </c>
      <c r="O2080" s="116">
        <v>765</v>
      </c>
      <c r="P2080" s="116">
        <v>780.15</v>
      </c>
      <c r="Q2080" s="116">
        <v>767.85</v>
      </c>
      <c r="R2080">
        <v>49584</v>
      </c>
    </row>
    <row r="2081" spans="1:18" x14ac:dyDescent="0.25">
      <c r="A2081" s="170">
        <v>45943</v>
      </c>
      <c r="B2081" s="116">
        <v>770.25</v>
      </c>
      <c r="C2081" s="116">
        <v>766.6</v>
      </c>
      <c r="D2081" s="116">
        <v>760.4</v>
      </c>
      <c r="E2081" s="116">
        <v>764.05</v>
      </c>
      <c r="F2081" s="116">
        <v>766.6</v>
      </c>
      <c r="G2081">
        <v>656</v>
      </c>
      <c r="H2081" s="116"/>
      <c r="I2081" s="116"/>
      <c r="L2081" s="170">
        <v>45943</v>
      </c>
      <c r="M2081" s="116">
        <v>767.2</v>
      </c>
      <c r="N2081" s="116">
        <v>772.15</v>
      </c>
      <c r="O2081" s="116">
        <v>760.15</v>
      </c>
      <c r="P2081" s="116">
        <v>762</v>
      </c>
      <c r="Q2081" s="116">
        <v>767.2</v>
      </c>
      <c r="R2081">
        <v>28978</v>
      </c>
    </row>
    <row r="2082" spans="1:18" x14ac:dyDescent="0.25">
      <c r="A2082" s="170">
        <v>45944</v>
      </c>
      <c r="B2082" s="116">
        <v>783.45</v>
      </c>
      <c r="C2082" s="116">
        <v>768.4</v>
      </c>
      <c r="D2082" s="116">
        <v>764.3</v>
      </c>
      <c r="E2082" s="116">
        <v>766.1</v>
      </c>
      <c r="F2082" s="116">
        <v>768.4</v>
      </c>
      <c r="G2082">
        <v>1505</v>
      </c>
      <c r="H2082" s="116"/>
      <c r="I2082" s="116"/>
      <c r="L2082" s="170">
        <v>45944</v>
      </c>
      <c r="M2082" s="116">
        <v>770.65</v>
      </c>
      <c r="N2082" s="116">
        <v>784.75</v>
      </c>
      <c r="O2082" s="116">
        <v>763</v>
      </c>
      <c r="P2082" s="116">
        <v>763</v>
      </c>
      <c r="Q2082" s="116">
        <v>770.65</v>
      </c>
      <c r="R2082">
        <v>58804</v>
      </c>
    </row>
    <row r="2083" spans="1:18" x14ac:dyDescent="0.25">
      <c r="A2083" s="170">
        <v>45945</v>
      </c>
      <c r="B2083" s="116">
        <v>782.8</v>
      </c>
      <c r="C2083" s="116">
        <v>761.7</v>
      </c>
      <c r="D2083" s="116">
        <v>757.55</v>
      </c>
      <c r="E2083" s="116">
        <v>779.95</v>
      </c>
      <c r="F2083" s="116">
        <v>761.7</v>
      </c>
      <c r="G2083">
        <v>5847</v>
      </c>
      <c r="H2083" s="116"/>
      <c r="I2083" s="116"/>
      <c r="L2083" s="170">
        <v>45945</v>
      </c>
      <c r="M2083" s="116">
        <v>761.05</v>
      </c>
      <c r="N2083" s="116">
        <v>783.2</v>
      </c>
      <c r="O2083" s="116">
        <v>757.25</v>
      </c>
      <c r="P2083" s="116">
        <v>766.6</v>
      </c>
      <c r="Q2083" s="116">
        <v>761.05</v>
      </c>
      <c r="R2083">
        <v>121527</v>
      </c>
    </row>
    <row r="2084" spans="1:18" x14ac:dyDescent="0.25">
      <c r="A2084" s="170">
        <v>45946</v>
      </c>
      <c r="B2084" s="116">
        <v>773</v>
      </c>
      <c r="C2084" s="116">
        <v>761.5</v>
      </c>
      <c r="D2084" s="116">
        <v>753</v>
      </c>
      <c r="E2084" s="116">
        <v>761.75</v>
      </c>
      <c r="F2084" s="116">
        <v>761.5</v>
      </c>
      <c r="G2084">
        <v>916</v>
      </c>
      <c r="H2084" s="116"/>
      <c r="I2084" s="116"/>
      <c r="L2084" s="170">
        <v>45946</v>
      </c>
      <c r="M2084" s="116">
        <v>759.8</v>
      </c>
      <c r="N2084" s="116">
        <v>776.55</v>
      </c>
      <c r="O2084" s="116">
        <v>752.85</v>
      </c>
      <c r="P2084" s="116">
        <v>767.4</v>
      </c>
      <c r="Q2084" s="116">
        <v>759.8</v>
      </c>
      <c r="R2084">
        <v>50665</v>
      </c>
    </row>
    <row r="2085" spans="1:18" x14ac:dyDescent="0.25">
      <c r="A2085" s="170">
        <v>45947</v>
      </c>
      <c r="B2085" s="116">
        <v>783.1</v>
      </c>
      <c r="C2085" s="116">
        <v>755.5</v>
      </c>
      <c r="D2085" s="116">
        <v>734.25</v>
      </c>
      <c r="E2085" s="116">
        <v>758</v>
      </c>
      <c r="F2085" s="116">
        <v>755.5</v>
      </c>
      <c r="G2085">
        <v>8336</v>
      </c>
      <c r="H2085" s="116"/>
      <c r="I2085" s="116"/>
      <c r="L2085" s="170">
        <v>45947</v>
      </c>
      <c r="M2085" s="116">
        <v>750.55</v>
      </c>
      <c r="N2085" s="116">
        <v>782</v>
      </c>
      <c r="O2085" s="116">
        <v>732.2</v>
      </c>
      <c r="P2085" s="116">
        <v>758.95</v>
      </c>
      <c r="Q2085" s="116">
        <v>750.55</v>
      </c>
      <c r="R2085">
        <v>338733</v>
      </c>
    </row>
    <row r="2086" spans="1:18" x14ac:dyDescent="0.25">
      <c r="A2086" s="170">
        <v>45950</v>
      </c>
      <c r="B2086" s="116">
        <v>805</v>
      </c>
      <c r="C2086" s="116">
        <v>790.95</v>
      </c>
      <c r="D2086" s="116">
        <v>760</v>
      </c>
      <c r="E2086" s="116">
        <v>760</v>
      </c>
      <c r="F2086" s="116">
        <v>790.95</v>
      </c>
      <c r="G2086">
        <v>12766</v>
      </c>
      <c r="H2086" s="116"/>
      <c r="I2086" s="116"/>
      <c r="L2086" s="170">
        <v>45950</v>
      </c>
      <c r="M2086" s="116">
        <v>791.85</v>
      </c>
      <c r="N2086" s="116">
        <v>806.2</v>
      </c>
      <c r="O2086" s="116">
        <v>759.6</v>
      </c>
      <c r="P2086" s="116">
        <v>760.5</v>
      </c>
      <c r="Q2086" s="116">
        <v>791.85</v>
      </c>
      <c r="R2086">
        <v>372055</v>
      </c>
    </row>
    <row r="2087" spans="1:18" x14ac:dyDescent="0.25">
      <c r="A2087" s="170">
        <v>45951</v>
      </c>
      <c r="B2087" s="116">
        <v>810.35</v>
      </c>
      <c r="C2087" s="116">
        <v>791.3</v>
      </c>
      <c r="D2087" s="116">
        <v>768.6</v>
      </c>
      <c r="E2087" s="116">
        <v>768.6</v>
      </c>
      <c r="F2087" s="116">
        <v>791.3</v>
      </c>
      <c r="G2087">
        <v>2235</v>
      </c>
      <c r="H2087" s="116"/>
      <c r="I2087" s="116"/>
      <c r="L2087" s="170">
        <v>45951</v>
      </c>
      <c r="M2087" s="116">
        <v>792.25</v>
      </c>
      <c r="N2087" s="116">
        <v>809.95</v>
      </c>
      <c r="O2087" s="116">
        <v>783.5</v>
      </c>
      <c r="P2087" s="116">
        <v>783.5</v>
      </c>
      <c r="Q2087" s="116">
        <v>792.25</v>
      </c>
      <c r="R2087">
        <v>49198</v>
      </c>
    </row>
    <row r="2088" spans="1:18" x14ac:dyDescent="0.25">
      <c r="A2088" s="170">
        <v>45953</v>
      </c>
      <c r="B2088" s="116">
        <v>802.85</v>
      </c>
      <c r="C2088" s="116">
        <v>797.75</v>
      </c>
      <c r="D2088" s="116">
        <v>787</v>
      </c>
      <c r="E2088" s="116">
        <v>789.4</v>
      </c>
      <c r="F2088" s="116">
        <v>797.75</v>
      </c>
      <c r="G2088">
        <v>2486</v>
      </c>
      <c r="H2088" s="116"/>
      <c r="I2088" s="116"/>
      <c r="L2088" s="170">
        <v>45953</v>
      </c>
      <c r="M2088" s="116">
        <v>798.9</v>
      </c>
      <c r="N2088" s="116">
        <v>804.9</v>
      </c>
      <c r="O2088" s="116">
        <v>786</v>
      </c>
      <c r="P2088" s="116">
        <v>800</v>
      </c>
      <c r="Q2088" s="116">
        <v>798.9</v>
      </c>
      <c r="R2088">
        <v>93835</v>
      </c>
    </row>
    <row r="2089" spans="1:18" x14ac:dyDescent="0.25">
      <c r="A2089" s="170">
        <v>45954</v>
      </c>
      <c r="B2089" s="116">
        <v>800</v>
      </c>
      <c r="C2089" s="116">
        <v>791.8</v>
      </c>
      <c r="D2089" s="116">
        <v>781</v>
      </c>
      <c r="E2089" s="116">
        <v>795.35</v>
      </c>
      <c r="F2089" s="116">
        <v>791.8</v>
      </c>
      <c r="G2089">
        <v>2582</v>
      </c>
      <c r="H2089" s="116"/>
      <c r="I2089" s="116"/>
      <c r="L2089" s="170">
        <v>45954</v>
      </c>
      <c r="M2089" s="116">
        <v>793.45</v>
      </c>
      <c r="N2089" s="116">
        <v>801</v>
      </c>
      <c r="O2089" s="116">
        <v>780.7</v>
      </c>
      <c r="P2089" s="116">
        <v>800</v>
      </c>
      <c r="Q2089" s="116">
        <v>793.45</v>
      </c>
      <c r="R2089">
        <v>102778</v>
      </c>
    </row>
    <row r="2090" spans="1:18" x14ac:dyDescent="0.25">
      <c r="A2090" s="170">
        <v>45957</v>
      </c>
      <c r="B2090" s="116">
        <v>949</v>
      </c>
      <c r="C2090" s="116">
        <v>937.1</v>
      </c>
      <c r="D2090" s="116">
        <v>806.45</v>
      </c>
      <c r="E2090" s="116">
        <v>815</v>
      </c>
      <c r="F2090" s="116">
        <v>937.1</v>
      </c>
      <c r="G2090">
        <v>1257818</v>
      </c>
      <c r="H2090" s="116"/>
      <c r="I2090" s="116"/>
      <c r="L2090" s="170">
        <v>45957</v>
      </c>
      <c r="M2090" s="116">
        <v>933.8</v>
      </c>
      <c r="N2090" s="116">
        <v>947.95</v>
      </c>
      <c r="O2090" s="116">
        <v>806</v>
      </c>
      <c r="P2090" s="116">
        <v>825</v>
      </c>
      <c r="Q2090" s="116">
        <v>933.8</v>
      </c>
      <c r="R2090">
        <v>9410375</v>
      </c>
    </row>
    <row r="2091" spans="1:18" x14ac:dyDescent="0.25">
      <c r="A2091" s="170">
        <v>45958</v>
      </c>
      <c r="B2091" s="116">
        <v>926.35</v>
      </c>
      <c r="C2091" s="116">
        <v>869.4</v>
      </c>
      <c r="D2091" s="116">
        <v>862.45</v>
      </c>
      <c r="E2091" s="116">
        <v>914.95</v>
      </c>
      <c r="F2091" s="116">
        <v>869.4</v>
      </c>
      <c r="G2091">
        <v>323220</v>
      </c>
      <c r="H2091" s="116"/>
      <c r="I2091" s="116"/>
      <c r="L2091" s="170">
        <v>45958</v>
      </c>
      <c r="M2091" s="116">
        <v>872.6</v>
      </c>
      <c r="N2091" s="116">
        <v>928</v>
      </c>
      <c r="O2091" s="116">
        <v>861.8</v>
      </c>
      <c r="P2091" s="116">
        <v>912.05</v>
      </c>
      <c r="Q2091" s="116">
        <v>872.6</v>
      </c>
      <c r="R2091">
        <v>2860806</v>
      </c>
    </row>
    <row r="2092" spans="1:18" x14ac:dyDescent="0.25">
      <c r="A2092" s="170">
        <v>45959</v>
      </c>
      <c r="B2092" s="116">
        <v>910</v>
      </c>
      <c r="C2092" s="116">
        <v>900.95</v>
      </c>
      <c r="D2092" s="116">
        <v>873.5</v>
      </c>
      <c r="E2092" s="116">
        <v>884.85</v>
      </c>
      <c r="F2092" s="116">
        <v>900.95</v>
      </c>
      <c r="G2092">
        <v>59411</v>
      </c>
      <c r="H2092" s="116"/>
      <c r="I2092" s="116"/>
      <c r="L2092" s="170">
        <v>45959</v>
      </c>
      <c r="M2092" s="116">
        <v>902</v>
      </c>
      <c r="N2092" s="116">
        <v>909.6</v>
      </c>
      <c r="O2092" s="116">
        <v>872</v>
      </c>
      <c r="P2092" s="116">
        <v>882.7</v>
      </c>
      <c r="Q2092" s="116">
        <v>902</v>
      </c>
      <c r="R2092">
        <v>1265966</v>
      </c>
    </row>
    <row r="2093" spans="1:18" x14ac:dyDescent="0.25">
      <c r="A2093" s="170">
        <v>45960</v>
      </c>
      <c r="B2093" s="116">
        <v>950</v>
      </c>
      <c r="C2093" s="116">
        <v>933.7</v>
      </c>
      <c r="D2093" s="116">
        <v>895.05</v>
      </c>
      <c r="E2093" s="116">
        <v>895.05</v>
      </c>
      <c r="F2093" s="116">
        <v>933.7</v>
      </c>
      <c r="G2093">
        <v>29221</v>
      </c>
      <c r="H2093" s="116"/>
      <c r="I2093" s="116"/>
      <c r="L2093" s="170">
        <v>45960</v>
      </c>
      <c r="M2093" s="116">
        <v>934.3</v>
      </c>
      <c r="N2093" s="116">
        <v>949.85</v>
      </c>
      <c r="O2093" s="116">
        <v>895.15</v>
      </c>
      <c r="P2093" s="116">
        <v>902</v>
      </c>
      <c r="Q2093" s="116">
        <v>934.3</v>
      </c>
      <c r="R2093">
        <v>1062091</v>
      </c>
    </row>
    <row r="2094" spans="1:18" x14ac:dyDescent="0.25">
      <c r="A2094" s="170">
        <v>45961</v>
      </c>
      <c r="B2094" s="116">
        <v>942.2</v>
      </c>
      <c r="C2094" s="116">
        <v>929.85</v>
      </c>
      <c r="D2094" s="116">
        <v>921.9</v>
      </c>
      <c r="E2094" s="116">
        <v>930.45</v>
      </c>
      <c r="F2094" s="116">
        <v>929.85</v>
      </c>
      <c r="G2094">
        <v>12223</v>
      </c>
      <c r="H2094" s="116"/>
      <c r="I2094" s="116"/>
      <c r="L2094" s="170">
        <v>45961</v>
      </c>
      <c r="M2094" s="116">
        <v>928.8</v>
      </c>
      <c r="N2094" s="116">
        <v>943.9</v>
      </c>
      <c r="O2094" s="116">
        <v>920.2</v>
      </c>
      <c r="P2094" s="116">
        <v>926</v>
      </c>
      <c r="Q2094" s="116">
        <v>928.8</v>
      </c>
      <c r="R2094">
        <v>273691</v>
      </c>
    </row>
    <row r="2095" spans="1:18" x14ac:dyDescent="0.25">
      <c r="A2095" s="170">
        <v>45964</v>
      </c>
      <c r="B2095" s="116">
        <v>995.8</v>
      </c>
      <c r="C2095" s="116">
        <v>970.2</v>
      </c>
      <c r="D2095" s="116">
        <v>915.05</v>
      </c>
      <c r="E2095" s="116">
        <v>915.05</v>
      </c>
      <c r="F2095" s="116">
        <v>970.2</v>
      </c>
      <c r="G2095">
        <v>38315</v>
      </c>
      <c r="H2095" s="116"/>
      <c r="I2095" s="116"/>
      <c r="L2095" s="170">
        <v>45964</v>
      </c>
      <c r="M2095" s="116">
        <v>972.15</v>
      </c>
      <c r="N2095" s="116">
        <v>996</v>
      </c>
      <c r="O2095" s="116">
        <v>920.45</v>
      </c>
      <c r="P2095" s="116">
        <v>930</v>
      </c>
      <c r="Q2095" s="116">
        <v>972.15</v>
      </c>
      <c r="R2095">
        <v>1012936</v>
      </c>
    </row>
    <row r="2096" spans="1:18" x14ac:dyDescent="0.25">
      <c r="A2096" s="170">
        <v>45965</v>
      </c>
      <c r="B2096" s="116">
        <v>984.85</v>
      </c>
      <c r="C2096" s="116">
        <v>957.1</v>
      </c>
      <c r="D2096" s="116">
        <v>952.4</v>
      </c>
      <c r="E2096" s="116">
        <v>970.05</v>
      </c>
      <c r="F2096" s="116">
        <v>957.1</v>
      </c>
      <c r="G2096">
        <v>14365</v>
      </c>
      <c r="H2096" s="116"/>
      <c r="I2096" s="116"/>
      <c r="L2096" s="170">
        <v>45965</v>
      </c>
      <c r="M2096" s="116">
        <v>958.65</v>
      </c>
      <c r="N2096" s="116">
        <v>984.95</v>
      </c>
      <c r="O2096" s="116">
        <v>951.3</v>
      </c>
      <c r="P2096" s="116">
        <v>972.45</v>
      </c>
      <c r="Q2096" s="116">
        <v>958.65</v>
      </c>
      <c r="R2096">
        <v>259146</v>
      </c>
    </row>
    <row r="2097" spans="1:18" x14ac:dyDescent="0.25">
      <c r="A2097" s="170">
        <v>45967</v>
      </c>
      <c r="B2097" s="116">
        <v>964.95</v>
      </c>
      <c r="C2097" s="116">
        <v>928.15</v>
      </c>
      <c r="D2097" s="116">
        <v>923.95</v>
      </c>
      <c r="E2097" s="116">
        <v>958.15</v>
      </c>
      <c r="F2097" s="116">
        <v>928.15</v>
      </c>
      <c r="G2097">
        <v>6458</v>
      </c>
      <c r="H2097" s="116"/>
      <c r="I2097" s="116"/>
      <c r="L2097" s="170">
        <v>45967</v>
      </c>
      <c r="M2097" s="116">
        <v>928.8</v>
      </c>
      <c r="N2097" s="116">
        <v>965.3</v>
      </c>
      <c r="O2097" s="116">
        <v>921.4</v>
      </c>
      <c r="P2097" s="116">
        <v>962.95</v>
      </c>
      <c r="Q2097" s="116">
        <v>928.8</v>
      </c>
      <c r="R2097">
        <v>165255</v>
      </c>
    </row>
    <row r="2098" spans="1:18" x14ac:dyDescent="0.25">
      <c r="A2098" s="170">
        <v>45968</v>
      </c>
      <c r="B2098" s="116">
        <v>960.15</v>
      </c>
      <c r="C2098" s="116">
        <v>954.35</v>
      </c>
      <c r="D2098" s="116">
        <v>912.05</v>
      </c>
      <c r="E2098" s="116">
        <v>912.05</v>
      </c>
      <c r="F2098" s="116">
        <v>954.35</v>
      </c>
      <c r="G2098">
        <v>11159</v>
      </c>
      <c r="H2098" s="116"/>
      <c r="I2098" s="116"/>
      <c r="L2098" s="170">
        <v>45968</v>
      </c>
      <c r="M2098" s="116">
        <v>956.3</v>
      </c>
      <c r="N2098" s="116">
        <v>963.4</v>
      </c>
      <c r="O2098" s="116">
        <v>916.65</v>
      </c>
      <c r="P2098" s="116">
        <v>931.5</v>
      </c>
      <c r="Q2098" s="116">
        <v>956.3</v>
      </c>
      <c r="R2098">
        <v>209152</v>
      </c>
    </row>
    <row r="2099" spans="1:18" x14ac:dyDescent="0.25">
      <c r="A2099" s="170">
        <v>45971</v>
      </c>
      <c r="B2099" s="116">
        <v>982</v>
      </c>
      <c r="C2099" s="116">
        <v>975.95</v>
      </c>
      <c r="D2099" s="116">
        <v>937</v>
      </c>
      <c r="E2099" s="116">
        <v>964.55</v>
      </c>
      <c r="F2099" s="116">
        <v>975.95</v>
      </c>
      <c r="G2099">
        <v>16666</v>
      </c>
      <c r="H2099" s="116"/>
      <c r="I2099" s="116"/>
      <c r="L2099" s="170">
        <v>45971</v>
      </c>
      <c r="M2099" s="116">
        <v>975.8</v>
      </c>
      <c r="N2099" s="116">
        <v>982.9</v>
      </c>
      <c r="O2099" s="116">
        <v>936.5</v>
      </c>
      <c r="P2099" s="116">
        <v>960.35</v>
      </c>
      <c r="Q2099" s="116">
        <v>975.8</v>
      </c>
      <c r="R2099">
        <v>386033</v>
      </c>
    </row>
    <row r="2100" spans="1:18" x14ac:dyDescent="0.25">
      <c r="A2100" s="170">
        <v>45972</v>
      </c>
      <c r="B2100" s="116">
        <v>985</v>
      </c>
      <c r="C2100" s="116">
        <v>976.85</v>
      </c>
      <c r="D2100" s="116">
        <v>943.55</v>
      </c>
      <c r="E2100" s="116">
        <v>982</v>
      </c>
      <c r="F2100" s="116">
        <v>976.85</v>
      </c>
      <c r="G2100">
        <v>13231</v>
      </c>
      <c r="H2100" s="116"/>
      <c r="I2100" s="116"/>
      <c r="L2100" s="170">
        <v>45972</v>
      </c>
      <c r="M2100" s="116">
        <v>976.45</v>
      </c>
      <c r="N2100" s="116">
        <v>984.95</v>
      </c>
      <c r="O2100" s="116">
        <v>943.1</v>
      </c>
      <c r="P2100" s="116">
        <v>984</v>
      </c>
      <c r="Q2100" s="116">
        <v>976.45</v>
      </c>
      <c r="R2100">
        <v>191954</v>
      </c>
    </row>
    <row r="2101" spans="1:18" x14ac:dyDescent="0.25">
      <c r="A2101" s="170">
        <v>45973</v>
      </c>
      <c r="B2101" s="116">
        <v>995.5</v>
      </c>
      <c r="C2101" s="116">
        <v>984.2</v>
      </c>
      <c r="D2101" s="116">
        <v>963.95</v>
      </c>
      <c r="E2101" s="116">
        <v>984.95</v>
      </c>
      <c r="F2101" s="116">
        <v>984.2</v>
      </c>
      <c r="G2101">
        <v>14221</v>
      </c>
      <c r="H2101" s="116"/>
      <c r="I2101" s="116"/>
      <c r="L2101" s="170">
        <v>45973</v>
      </c>
      <c r="M2101" s="116">
        <v>984</v>
      </c>
      <c r="N2101" s="116">
        <v>996</v>
      </c>
      <c r="O2101" s="116">
        <v>963.55</v>
      </c>
      <c r="P2101" s="116">
        <v>979.05</v>
      </c>
      <c r="Q2101" s="116">
        <v>984</v>
      </c>
      <c r="R2101">
        <v>280554</v>
      </c>
    </row>
    <row r="2102" spans="1:18" x14ac:dyDescent="0.25">
      <c r="A2102" s="170">
        <v>45974</v>
      </c>
      <c r="B2102" s="116">
        <v>1022</v>
      </c>
      <c r="C2102" s="116">
        <v>990.25</v>
      </c>
      <c r="D2102" s="116">
        <v>982.4</v>
      </c>
      <c r="E2102" s="116">
        <v>991.15</v>
      </c>
      <c r="F2102" s="116">
        <v>990.25</v>
      </c>
      <c r="G2102">
        <v>19419</v>
      </c>
      <c r="H2102" s="116"/>
      <c r="I2102" s="116"/>
      <c r="L2102" s="170">
        <v>45974</v>
      </c>
      <c r="M2102" s="116">
        <v>989.9</v>
      </c>
      <c r="N2102" s="116">
        <v>1025</v>
      </c>
      <c r="O2102" s="116">
        <v>981</v>
      </c>
      <c r="P2102" s="116">
        <v>987.9</v>
      </c>
      <c r="Q2102" s="116">
        <v>989.9</v>
      </c>
      <c r="R2102">
        <v>372526</v>
      </c>
    </row>
    <row r="2103" spans="1:18" x14ac:dyDescent="0.25">
      <c r="A2103" s="170">
        <v>45975</v>
      </c>
      <c r="B2103" s="116">
        <v>1030.8</v>
      </c>
      <c r="C2103" s="116">
        <v>1002</v>
      </c>
      <c r="D2103" s="116">
        <v>983.95</v>
      </c>
      <c r="E2103" s="116">
        <v>984</v>
      </c>
      <c r="F2103" s="116">
        <v>1002</v>
      </c>
      <c r="G2103">
        <v>11513</v>
      </c>
      <c r="H2103" s="116"/>
      <c r="I2103" s="116"/>
      <c r="L2103" s="170">
        <v>45975</v>
      </c>
      <c r="M2103" s="116">
        <v>1002.65</v>
      </c>
      <c r="N2103" s="116">
        <v>1029.9000000000001</v>
      </c>
      <c r="O2103" s="116">
        <v>981.05</v>
      </c>
      <c r="P2103" s="116">
        <v>981.05</v>
      </c>
      <c r="Q2103" s="116">
        <v>1002.65</v>
      </c>
      <c r="R2103">
        <v>292379</v>
      </c>
    </row>
    <row r="2104" spans="1:18" x14ac:dyDescent="0.25">
      <c r="A2104" s="170">
        <v>45978</v>
      </c>
      <c r="B2104" s="116">
        <v>1023.75</v>
      </c>
      <c r="C2104" s="116">
        <v>999.4</v>
      </c>
      <c r="D2104" s="116">
        <v>997.25</v>
      </c>
      <c r="E2104" s="116">
        <v>1023.75</v>
      </c>
      <c r="F2104" s="116">
        <v>999.4</v>
      </c>
      <c r="G2104">
        <v>2866</v>
      </c>
      <c r="H2104" s="116"/>
      <c r="I2104" s="116"/>
      <c r="L2104" s="170">
        <v>45978</v>
      </c>
      <c r="M2104" s="116">
        <v>1000.45</v>
      </c>
      <c r="N2104" s="116">
        <v>1015</v>
      </c>
      <c r="O2104" s="116">
        <v>995</v>
      </c>
      <c r="P2104" s="116">
        <v>1007.7</v>
      </c>
      <c r="Q2104" s="116">
        <v>1000.45</v>
      </c>
      <c r="R2104">
        <v>98885</v>
      </c>
    </row>
    <row r="2105" spans="1:18" x14ac:dyDescent="0.25">
      <c r="A2105" s="170">
        <v>45979</v>
      </c>
      <c r="B2105" s="116">
        <v>1002.9</v>
      </c>
      <c r="C2105" s="116">
        <v>972.55</v>
      </c>
      <c r="D2105" s="116">
        <v>969.75</v>
      </c>
      <c r="E2105" s="116">
        <v>997.35</v>
      </c>
      <c r="F2105" s="116">
        <v>972.55</v>
      </c>
      <c r="G2105">
        <v>6579</v>
      </c>
      <c r="H2105" s="116"/>
      <c r="I2105" s="116"/>
      <c r="L2105" s="170">
        <v>45979</v>
      </c>
      <c r="M2105" s="116">
        <v>972.5</v>
      </c>
      <c r="N2105" s="116">
        <v>1007.9</v>
      </c>
      <c r="O2105" s="116">
        <v>968</v>
      </c>
      <c r="P2105" s="116">
        <v>1007.9</v>
      </c>
      <c r="Q2105" s="116">
        <v>972.5</v>
      </c>
      <c r="R2105">
        <v>145803</v>
      </c>
    </row>
    <row r="2106" spans="1:18" x14ac:dyDescent="0.25">
      <c r="A2106" s="170">
        <v>45980</v>
      </c>
      <c r="B2106" s="116">
        <v>976.35</v>
      </c>
      <c r="C2106" s="116">
        <v>969.85</v>
      </c>
      <c r="D2106" s="116">
        <v>955.2</v>
      </c>
      <c r="E2106" s="116">
        <v>970.85</v>
      </c>
      <c r="F2106" s="116">
        <v>969.85</v>
      </c>
      <c r="G2106">
        <v>5100</v>
      </c>
      <c r="H2106" s="116"/>
      <c r="I2106" s="116"/>
      <c r="L2106" s="170">
        <v>45980</v>
      </c>
      <c r="M2106" s="116">
        <v>969.4</v>
      </c>
      <c r="N2106" s="116">
        <v>977.6</v>
      </c>
      <c r="O2106" s="116">
        <v>954.5</v>
      </c>
      <c r="P2106" s="116">
        <v>974</v>
      </c>
      <c r="Q2106" s="116">
        <v>969.4</v>
      </c>
      <c r="R2106">
        <v>128992</v>
      </c>
    </row>
    <row r="2107" spans="1:18" x14ac:dyDescent="0.25">
      <c r="A2107" s="170">
        <v>45981</v>
      </c>
      <c r="B2107" s="116">
        <v>989.95</v>
      </c>
      <c r="C2107" s="116">
        <v>922.05</v>
      </c>
      <c r="D2107" s="116">
        <v>919</v>
      </c>
      <c r="E2107" s="116">
        <v>982.05</v>
      </c>
      <c r="F2107" s="116">
        <v>922.05</v>
      </c>
      <c r="G2107">
        <v>17894</v>
      </c>
      <c r="H2107" s="116"/>
      <c r="I2107" s="116"/>
      <c r="L2107" s="170">
        <v>45981</v>
      </c>
      <c r="M2107" s="116">
        <v>921.25</v>
      </c>
      <c r="N2107" s="116">
        <v>990.9</v>
      </c>
      <c r="O2107" s="116">
        <v>917.1</v>
      </c>
      <c r="P2107" s="116">
        <v>978.5</v>
      </c>
      <c r="Q2107" s="116">
        <v>921.25</v>
      </c>
      <c r="R2107">
        <v>253580</v>
      </c>
    </row>
    <row r="2108" spans="1:18" x14ac:dyDescent="0.25">
      <c r="A2108" s="170">
        <v>45982</v>
      </c>
      <c r="B2108" s="116">
        <v>925.05</v>
      </c>
      <c r="C2108" s="116">
        <v>888.1</v>
      </c>
      <c r="D2108" s="116">
        <v>883.7</v>
      </c>
      <c r="E2108" s="116">
        <v>921.85</v>
      </c>
      <c r="F2108" s="116">
        <v>888.1</v>
      </c>
      <c r="G2108">
        <v>14524</v>
      </c>
      <c r="H2108" s="116"/>
      <c r="I2108" s="116"/>
      <c r="L2108" s="170">
        <v>45982</v>
      </c>
      <c r="M2108" s="116">
        <v>886.9</v>
      </c>
      <c r="N2108" s="116">
        <v>926.9</v>
      </c>
      <c r="O2108" s="116">
        <v>883.1</v>
      </c>
      <c r="P2108" s="116">
        <v>919.95</v>
      </c>
      <c r="Q2108" s="116">
        <v>886.9</v>
      </c>
      <c r="R2108">
        <v>318277</v>
      </c>
    </row>
    <row r="2109" spans="1:18" x14ac:dyDescent="0.25">
      <c r="A2109" s="170">
        <v>45985</v>
      </c>
      <c r="B2109" s="116">
        <v>897.5</v>
      </c>
      <c r="C2109" s="116">
        <v>886.4</v>
      </c>
      <c r="D2109" s="116">
        <v>871.8</v>
      </c>
      <c r="E2109" s="116">
        <v>888.1</v>
      </c>
      <c r="F2109" s="116">
        <v>886.4</v>
      </c>
      <c r="G2109">
        <v>6010</v>
      </c>
      <c r="H2109" s="116"/>
      <c r="I2109" s="116"/>
      <c r="L2109" s="170">
        <v>45985</v>
      </c>
      <c r="M2109" s="116">
        <v>885.35</v>
      </c>
      <c r="N2109" s="116">
        <v>896.95</v>
      </c>
      <c r="O2109" s="116">
        <v>870.8</v>
      </c>
      <c r="P2109" s="116">
        <v>888.8</v>
      </c>
      <c r="Q2109" s="116">
        <v>885.35</v>
      </c>
      <c r="R2109">
        <v>106330</v>
      </c>
    </row>
    <row r="2110" spans="1:18" x14ac:dyDescent="0.25">
      <c r="A2110" s="170">
        <v>45986</v>
      </c>
      <c r="B2110" s="116">
        <v>914.15</v>
      </c>
      <c r="C2110" s="116">
        <v>909.05</v>
      </c>
      <c r="D2110" s="116">
        <v>882.5</v>
      </c>
      <c r="E2110" s="116">
        <v>886.35</v>
      </c>
      <c r="F2110" s="116">
        <v>909.05</v>
      </c>
      <c r="G2110">
        <v>6194</v>
      </c>
      <c r="H2110" s="116"/>
      <c r="I2110" s="116"/>
      <c r="L2110" s="170">
        <v>45986</v>
      </c>
      <c r="M2110" s="116">
        <v>909.45</v>
      </c>
      <c r="N2110" s="116">
        <v>914.9</v>
      </c>
      <c r="O2110" s="116">
        <v>879.95</v>
      </c>
      <c r="P2110" s="116">
        <v>892.2</v>
      </c>
      <c r="Q2110" s="116">
        <v>909.45</v>
      </c>
      <c r="R2110">
        <v>149359</v>
      </c>
    </row>
    <row r="2111" spans="1:18" x14ac:dyDescent="0.25">
      <c r="A2111" s="170">
        <v>45987</v>
      </c>
      <c r="B2111" s="116">
        <v>923.95</v>
      </c>
      <c r="C2111" s="116">
        <v>905.45</v>
      </c>
      <c r="D2111" s="116">
        <v>902.5</v>
      </c>
      <c r="E2111" s="116">
        <v>909.1</v>
      </c>
      <c r="F2111" s="116">
        <v>905.45</v>
      </c>
      <c r="G2111">
        <v>3535</v>
      </c>
      <c r="H2111" s="116"/>
      <c r="I2111" s="116"/>
      <c r="L2111" s="170">
        <v>45987</v>
      </c>
      <c r="M2111" s="116">
        <v>906.45</v>
      </c>
      <c r="N2111" s="116">
        <v>924.95</v>
      </c>
      <c r="O2111" s="116">
        <v>901.25</v>
      </c>
      <c r="P2111" s="116">
        <v>913.1</v>
      </c>
      <c r="Q2111" s="116">
        <v>906.45</v>
      </c>
      <c r="R2111">
        <v>77379</v>
      </c>
    </row>
    <row r="2112" spans="1:18" x14ac:dyDescent="0.25">
      <c r="A2112" s="170">
        <v>45988</v>
      </c>
      <c r="B2112" s="116">
        <v>956.25</v>
      </c>
      <c r="C2112" s="116">
        <v>951.05</v>
      </c>
      <c r="D2112" s="116">
        <v>919.4</v>
      </c>
      <c r="E2112" s="116">
        <v>919.4</v>
      </c>
      <c r="F2112" s="116">
        <v>951.05</v>
      </c>
      <c r="G2112">
        <v>14510</v>
      </c>
      <c r="H2112" s="116"/>
      <c r="I2112" s="116"/>
      <c r="L2112" s="170">
        <v>45988</v>
      </c>
      <c r="M2112" s="116">
        <v>950.6</v>
      </c>
      <c r="N2112" s="116">
        <v>959.9</v>
      </c>
      <c r="O2112" s="116">
        <v>916</v>
      </c>
      <c r="P2112" s="116">
        <v>916.65</v>
      </c>
      <c r="Q2112" s="116">
        <v>950.6</v>
      </c>
      <c r="R2112">
        <v>384389</v>
      </c>
    </row>
    <row r="2113" spans="1:18" x14ac:dyDescent="0.25">
      <c r="A2113" s="170">
        <v>45989</v>
      </c>
      <c r="B2113" s="116">
        <v>950.35</v>
      </c>
      <c r="C2113" s="116">
        <v>911.8</v>
      </c>
      <c r="D2113" s="116">
        <v>902.95</v>
      </c>
      <c r="E2113" s="116">
        <v>945.3</v>
      </c>
      <c r="F2113" s="116">
        <v>911.8</v>
      </c>
      <c r="G2113">
        <v>14901</v>
      </c>
      <c r="H2113" s="116"/>
      <c r="I2113" s="116"/>
      <c r="L2113" s="170">
        <v>45989</v>
      </c>
      <c r="M2113" s="116">
        <v>909.3</v>
      </c>
      <c r="N2113" s="116">
        <v>951.85</v>
      </c>
      <c r="O2113" s="116">
        <v>901</v>
      </c>
      <c r="P2113" s="116">
        <v>949.75</v>
      </c>
      <c r="Q2113" s="116">
        <v>909.3</v>
      </c>
      <c r="R2113">
        <v>339022</v>
      </c>
    </row>
    <row r="2114" spans="1:18" x14ac:dyDescent="0.25">
      <c r="A2114" s="170">
        <v>45992</v>
      </c>
      <c r="B2114" s="116">
        <v>913.65</v>
      </c>
      <c r="C2114" s="116">
        <v>896.75</v>
      </c>
      <c r="D2114" s="116">
        <v>893.1</v>
      </c>
      <c r="E2114" s="116">
        <v>908</v>
      </c>
      <c r="F2114" s="116">
        <v>896.75</v>
      </c>
      <c r="G2114">
        <v>3943</v>
      </c>
      <c r="H2114" s="116"/>
      <c r="I2114" s="116"/>
      <c r="L2114" s="170">
        <v>45992</v>
      </c>
      <c r="M2114" s="116">
        <v>896.55</v>
      </c>
      <c r="N2114" s="116">
        <v>914</v>
      </c>
      <c r="O2114" s="116">
        <v>893.1</v>
      </c>
      <c r="P2114" s="116">
        <v>914</v>
      </c>
      <c r="Q2114" s="116">
        <v>896.55</v>
      </c>
      <c r="R2114">
        <v>116346</v>
      </c>
    </row>
    <row r="2115" spans="1:18" x14ac:dyDescent="0.25">
      <c r="A2115" s="170">
        <v>45993</v>
      </c>
      <c r="B2115" s="116">
        <v>896.85</v>
      </c>
      <c r="C2115" s="116">
        <v>888.3</v>
      </c>
      <c r="D2115" s="116">
        <v>878.2</v>
      </c>
      <c r="E2115" s="116">
        <v>896.8</v>
      </c>
      <c r="F2115" s="116">
        <v>888.3</v>
      </c>
      <c r="G2115">
        <v>1848</v>
      </c>
      <c r="H2115" s="116"/>
      <c r="I2115" s="116"/>
      <c r="L2115" s="170">
        <v>45993</v>
      </c>
      <c r="M2115" s="116">
        <v>884.85</v>
      </c>
      <c r="N2115" s="116">
        <v>900</v>
      </c>
      <c r="O2115" s="116">
        <v>878.15</v>
      </c>
      <c r="P2115" s="116">
        <v>900</v>
      </c>
      <c r="Q2115" s="116">
        <v>884.85</v>
      </c>
      <c r="R2115">
        <v>43179</v>
      </c>
    </row>
    <row r="2116" spans="1:18" x14ac:dyDescent="0.25">
      <c r="A2116" s="170">
        <v>45994</v>
      </c>
      <c r="B2116" s="116">
        <v>918.2</v>
      </c>
      <c r="C2116" s="116">
        <v>912</v>
      </c>
      <c r="D2116" s="116">
        <v>875.75</v>
      </c>
      <c r="E2116" s="116">
        <v>889.95</v>
      </c>
      <c r="F2116" s="116">
        <v>912</v>
      </c>
      <c r="G2116">
        <v>8162</v>
      </c>
      <c r="H2116" s="116"/>
      <c r="I2116" s="116"/>
      <c r="L2116" s="170">
        <v>45994</v>
      </c>
      <c r="M2116" s="116">
        <v>912</v>
      </c>
      <c r="N2116" s="116">
        <v>918.55</v>
      </c>
      <c r="O2116" s="116">
        <v>876.1</v>
      </c>
      <c r="P2116" s="116">
        <v>887.05</v>
      </c>
      <c r="Q2116" s="116">
        <v>912</v>
      </c>
      <c r="R2116">
        <v>163931</v>
      </c>
    </row>
    <row r="2117" spans="1:18" x14ac:dyDescent="0.25">
      <c r="A2117" s="170">
        <v>45995</v>
      </c>
      <c r="B2117" s="116">
        <v>906.1</v>
      </c>
      <c r="C2117" s="116">
        <v>876.65</v>
      </c>
      <c r="D2117" s="116">
        <v>874.75</v>
      </c>
      <c r="E2117" s="116">
        <v>906.1</v>
      </c>
      <c r="F2117" s="116">
        <v>876.65</v>
      </c>
      <c r="G2117">
        <v>7104</v>
      </c>
      <c r="H2117" s="116"/>
      <c r="I2117" s="116"/>
      <c r="L2117" s="170">
        <v>45995</v>
      </c>
      <c r="M2117" s="116">
        <v>878.25</v>
      </c>
      <c r="N2117" s="116">
        <v>913.7</v>
      </c>
      <c r="O2117" s="116">
        <v>873.05</v>
      </c>
      <c r="P2117" s="116">
        <v>912</v>
      </c>
      <c r="Q2117" s="116">
        <v>878.25</v>
      </c>
      <c r="R2117">
        <v>82165</v>
      </c>
    </row>
    <row r="2118" spans="1:18" x14ac:dyDescent="0.25">
      <c r="A2118" s="170">
        <v>45996</v>
      </c>
      <c r="B2118" s="116">
        <v>879.2</v>
      </c>
      <c r="C2118" s="116">
        <v>859.15</v>
      </c>
      <c r="D2118" s="116">
        <v>855</v>
      </c>
      <c r="E2118" s="116">
        <v>876.65</v>
      </c>
      <c r="F2118" s="116">
        <v>859.15</v>
      </c>
      <c r="G2118">
        <v>4838</v>
      </c>
      <c r="H2118" s="116"/>
      <c r="I2118" s="116"/>
      <c r="L2118" s="170">
        <v>45996</v>
      </c>
      <c r="M2118" s="116">
        <v>860.3</v>
      </c>
      <c r="N2118" s="116">
        <v>883.3</v>
      </c>
      <c r="O2118" s="116">
        <v>854.95</v>
      </c>
      <c r="P2118" s="116">
        <v>873.5</v>
      </c>
      <c r="Q2118" s="116">
        <v>860.3</v>
      </c>
      <c r="R2118">
        <v>85946</v>
      </c>
    </row>
    <row r="2119" spans="1:18" x14ac:dyDescent="0.25">
      <c r="A2119" s="170">
        <v>45999</v>
      </c>
      <c r="B2119" s="116">
        <v>864.55</v>
      </c>
      <c r="C2119" s="116">
        <v>844</v>
      </c>
      <c r="D2119" s="116">
        <v>837.55</v>
      </c>
      <c r="E2119" s="116">
        <v>864.55</v>
      </c>
      <c r="F2119" s="116">
        <v>844</v>
      </c>
      <c r="G2119">
        <v>2389</v>
      </c>
      <c r="H2119" s="116"/>
      <c r="I2119" s="116"/>
      <c r="L2119" s="170">
        <v>45999</v>
      </c>
      <c r="M2119" s="116">
        <v>843.65</v>
      </c>
      <c r="N2119" s="116">
        <v>864.95</v>
      </c>
      <c r="O2119" s="116">
        <v>836.1</v>
      </c>
      <c r="P2119" s="116">
        <v>860.3</v>
      </c>
      <c r="Q2119" s="116">
        <v>843.65</v>
      </c>
      <c r="R2119">
        <v>88036</v>
      </c>
    </row>
    <row r="2120" spans="1:18" x14ac:dyDescent="0.25">
      <c r="A2120" s="170">
        <v>46000</v>
      </c>
      <c r="B2120" s="116">
        <v>872.45</v>
      </c>
      <c r="C2120" s="116">
        <v>866.45</v>
      </c>
      <c r="D2120" s="116">
        <v>825.05</v>
      </c>
      <c r="E2120" s="116">
        <v>827.05</v>
      </c>
      <c r="F2120" s="116">
        <v>866.45</v>
      </c>
      <c r="G2120">
        <v>3625</v>
      </c>
      <c r="H2120" s="116"/>
      <c r="I2120" s="116"/>
      <c r="L2120" s="170">
        <v>46000</v>
      </c>
      <c r="M2120" s="116">
        <v>865.05</v>
      </c>
      <c r="N2120" s="116">
        <v>872.9</v>
      </c>
      <c r="O2120" s="116">
        <v>824.6</v>
      </c>
      <c r="P2120" s="116">
        <v>836.1</v>
      </c>
      <c r="Q2120" s="116">
        <v>865.05</v>
      </c>
      <c r="R2120">
        <v>110334</v>
      </c>
    </row>
    <row r="2121" spans="1:18" x14ac:dyDescent="0.25">
      <c r="A2121" s="170">
        <v>46001</v>
      </c>
      <c r="B2121" s="116">
        <v>880.45</v>
      </c>
      <c r="C2121" s="116">
        <v>863.45</v>
      </c>
      <c r="D2121" s="116">
        <v>859.55</v>
      </c>
      <c r="E2121" s="116">
        <v>864.95</v>
      </c>
      <c r="F2121" s="116">
        <v>863.45</v>
      </c>
      <c r="G2121">
        <v>1572</v>
      </c>
      <c r="H2121" s="116"/>
      <c r="I2121" s="116"/>
      <c r="L2121" s="170">
        <v>46001</v>
      </c>
      <c r="M2121" s="116">
        <v>863.5</v>
      </c>
      <c r="N2121" s="116">
        <v>881</v>
      </c>
      <c r="O2121" s="116">
        <v>859</v>
      </c>
      <c r="P2121" s="116">
        <v>861.85</v>
      </c>
      <c r="Q2121" s="116">
        <v>863.5</v>
      </c>
      <c r="R2121">
        <v>64494</v>
      </c>
    </row>
    <row r="2122" spans="1:18" x14ac:dyDescent="0.25">
      <c r="A2122" s="170">
        <v>46002</v>
      </c>
      <c r="B2122" s="116">
        <v>889.25</v>
      </c>
      <c r="C2122" s="116">
        <v>883.75</v>
      </c>
      <c r="D2122" s="116">
        <v>856</v>
      </c>
      <c r="E2122" s="116">
        <v>863.5</v>
      </c>
      <c r="F2122" s="116">
        <v>883.75</v>
      </c>
      <c r="G2122">
        <v>2159</v>
      </c>
      <c r="H2122" s="116"/>
      <c r="I2122" s="116"/>
      <c r="L2122" s="170">
        <v>46002</v>
      </c>
      <c r="M2122" s="116">
        <v>886.6</v>
      </c>
      <c r="N2122" s="116">
        <v>890.9</v>
      </c>
      <c r="O2122" s="116">
        <v>853.05</v>
      </c>
      <c r="P2122" s="116">
        <v>870</v>
      </c>
      <c r="Q2122" s="116">
        <v>886.6</v>
      </c>
      <c r="R2122">
        <v>129087</v>
      </c>
    </row>
    <row r="2123" spans="1:18" x14ac:dyDescent="0.25">
      <c r="A2123" s="170">
        <v>46003</v>
      </c>
      <c r="B2123" s="116">
        <v>904.95</v>
      </c>
      <c r="C2123" s="116">
        <v>898.85</v>
      </c>
      <c r="D2123" s="116">
        <v>882.4</v>
      </c>
      <c r="E2123" s="116">
        <v>883.8</v>
      </c>
      <c r="F2123" s="116">
        <v>898.85</v>
      </c>
      <c r="G2123">
        <v>2707</v>
      </c>
      <c r="H2123" s="116"/>
      <c r="I2123" s="116"/>
      <c r="L2123" s="170">
        <v>46003</v>
      </c>
      <c r="M2123" s="116">
        <v>898.2</v>
      </c>
      <c r="N2123" s="116">
        <v>905.9</v>
      </c>
      <c r="O2123" s="116">
        <v>882.1</v>
      </c>
      <c r="P2123" s="116">
        <v>891.95</v>
      </c>
      <c r="Q2123" s="116">
        <v>898.2</v>
      </c>
      <c r="R2123">
        <v>72409</v>
      </c>
    </row>
    <row r="2124" spans="1:18" x14ac:dyDescent="0.25">
      <c r="A2124" s="170">
        <v>46006</v>
      </c>
      <c r="B2124" s="116">
        <v>895.7</v>
      </c>
      <c r="C2124" s="116">
        <v>883.95</v>
      </c>
      <c r="D2124" s="116">
        <v>879.05</v>
      </c>
      <c r="E2124" s="116">
        <v>889.05</v>
      </c>
      <c r="F2124" s="116">
        <v>883.95</v>
      </c>
      <c r="G2124">
        <v>1660</v>
      </c>
      <c r="H2124" s="116"/>
      <c r="I2124" s="116"/>
      <c r="L2124" s="170">
        <v>46006</v>
      </c>
      <c r="M2124" s="116">
        <v>881.65</v>
      </c>
      <c r="N2124" s="116">
        <v>896.2</v>
      </c>
      <c r="O2124" s="116">
        <v>876.1</v>
      </c>
      <c r="P2124" s="116">
        <v>893.55</v>
      </c>
      <c r="Q2124" s="116">
        <v>881.65</v>
      </c>
      <c r="R2124">
        <v>42589</v>
      </c>
    </row>
    <row r="2125" spans="1:18" x14ac:dyDescent="0.25">
      <c r="A2125" s="170">
        <v>46007</v>
      </c>
      <c r="B2125" s="116">
        <v>884.75</v>
      </c>
      <c r="C2125" s="116">
        <v>880.4</v>
      </c>
      <c r="D2125" s="116">
        <v>875.75</v>
      </c>
      <c r="E2125" s="116">
        <v>884</v>
      </c>
      <c r="F2125" s="116">
        <v>880.4</v>
      </c>
      <c r="G2125">
        <v>688</v>
      </c>
      <c r="H2125" s="116"/>
      <c r="I2125" s="116"/>
      <c r="L2125" s="170">
        <v>46007</v>
      </c>
      <c r="M2125" s="116">
        <v>877.95</v>
      </c>
      <c r="N2125" s="116">
        <v>887.4</v>
      </c>
      <c r="O2125" s="116">
        <v>876.1</v>
      </c>
      <c r="P2125" s="116">
        <v>887.3</v>
      </c>
      <c r="Q2125" s="116">
        <v>877.95</v>
      </c>
      <c r="R2125">
        <v>29068</v>
      </c>
    </row>
    <row r="2126" spans="1:18" x14ac:dyDescent="0.25">
      <c r="A2126" s="170">
        <v>46008</v>
      </c>
      <c r="B2126" s="116">
        <v>880.45</v>
      </c>
      <c r="C2126" s="116">
        <v>854.45</v>
      </c>
      <c r="D2126" s="116">
        <v>852</v>
      </c>
      <c r="E2126" s="116">
        <v>867</v>
      </c>
      <c r="F2126" s="116">
        <v>854.45</v>
      </c>
      <c r="G2126">
        <v>1183</v>
      </c>
      <c r="H2126" s="116"/>
      <c r="I2126" s="116"/>
      <c r="L2126" s="170">
        <v>46008</v>
      </c>
      <c r="M2126" s="116">
        <v>855</v>
      </c>
      <c r="N2126" s="116">
        <v>881.2</v>
      </c>
      <c r="O2126" s="116">
        <v>850.6</v>
      </c>
      <c r="P2126" s="116">
        <v>876</v>
      </c>
      <c r="Q2126" s="116">
        <v>855</v>
      </c>
      <c r="R2126">
        <v>50384</v>
      </c>
    </row>
    <row r="2127" spans="1:18" x14ac:dyDescent="0.25">
      <c r="A2127" s="170">
        <v>46009</v>
      </c>
      <c r="B2127" s="116">
        <v>854.7</v>
      </c>
      <c r="C2127" s="116">
        <v>851.15</v>
      </c>
      <c r="D2127" s="116">
        <v>845.1</v>
      </c>
      <c r="E2127" s="116">
        <v>854.45</v>
      </c>
      <c r="F2127" s="116">
        <v>851.15</v>
      </c>
      <c r="G2127">
        <v>1239</v>
      </c>
      <c r="H2127" s="116"/>
      <c r="I2127" s="116"/>
      <c r="L2127" s="170">
        <v>46009</v>
      </c>
      <c r="M2127" s="116">
        <v>850.25</v>
      </c>
      <c r="N2127" s="116">
        <v>860.15</v>
      </c>
      <c r="O2127" s="116">
        <v>842.05</v>
      </c>
      <c r="P2127" s="116">
        <v>860.15</v>
      </c>
      <c r="Q2127" s="116">
        <v>850.25</v>
      </c>
      <c r="R2127">
        <v>17880</v>
      </c>
    </row>
    <row r="2128" spans="1:18" x14ac:dyDescent="0.25">
      <c r="A2128" s="170">
        <v>46010</v>
      </c>
      <c r="B2128" s="116">
        <v>869</v>
      </c>
      <c r="C2128" s="116">
        <v>861.65</v>
      </c>
      <c r="D2128" s="116">
        <v>851.2</v>
      </c>
      <c r="E2128" s="116">
        <v>851.2</v>
      </c>
      <c r="F2128" s="116">
        <v>861.65</v>
      </c>
      <c r="G2128">
        <v>1404</v>
      </c>
      <c r="H2128" s="116"/>
      <c r="I2128" s="116"/>
      <c r="L2128" s="170">
        <v>46010</v>
      </c>
      <c r="M2128" s="116">
        <v>861.4</v>
      </c>
      <c r="N2128" s="116">
        <v>869</v>
      </c>
      <c r="O2128" s="116">
        <v>851.1</v>
      </c>
      <c r="P2128" s="116">
        <v>854</v>
      </c>
      <c r="Q2128" s="116">
        <v>861.4</v>
      </c>
      <c r="R2128">
        <v>47984</v>
      </c>
    </row>
    <row r="2129" spans="1:18" x14ac:dyDescent="0.25">
      <c r="A2129" s="170">
        <v>46013</v>
      </c>
      <c r="B2129" s="116">
        <v>917.15</v>
      </c>
      <c r="C2129" s="116">
        <v>913.7</v>
      </c>
      <c r="D2129" s="116">
        <v>861.65</v>
      </c>
      <c r="E2129" s="116">
        <v>861.65</v>
      </c>
      <c r="F2129" s="116">
        <v>913.7</v>
      </c>
      <c r="G2129">
        <v>2597</v>
      </c>
      <c r="H2129" s="116"/>
      <c r="I2129" s="116"/>
      <c r="L2129" s="170">
        <v>46013</v>
      </c>
      <c r="M2129" s="116">
        <v>911.3</v>
      </c>
      <c r="N2129" s="116">
        <v>916.75</v>
      </c>
      <c r="O2129" s="116">
        <v>861</v>
      </c>
      <c r="P2129" s="116">
        <v>861</v>
      </c>
      <c r="Q2129" s="116">
        <v>911.3</v>
      </c>
      <c r="R2129">
        <v>102140</v>
      </c>
    </row>
    <row r="2130" spans="1:18" x14ac:dyDescent="0.25">
      <c r="A2130" s="170">
        <v>46014</v>
      </c>
      <c r="B2130" s="116">
        <v>914</v>
      </c>
      <c r="C2130" s="116">
        <v>891.35</v>
      </c>
      <c r="D2130" s="116">
        <v>887</v>
      </c>
      <c r="E2130" s="116">
        <v>913.7</v>
      </c>
      <c r="F2130" s="116">
        <v>891.35</v>
      </c>
      <c r="G2130">
        <v>1083</v>
      </c>
      <c r="H2130" s="116"/>
      <c r="I2130" s="116"/>
      <c r="L2130" s="170">
        <v>46014</v>
      </c>
      <c r="M2130" s="116">
        <v>893.55</v>
      </c>
      <c r="N2130" s="116">
        <v>918.9</v>
      </c>
      <c r="O2130" s="116">
        <v>885.1</v>
      </c>
      <c r="P2130" s="116">
        <v>918.9</v>
      </c>
      <c r="Q2130" s="116">
        <v>893.55</v>
      </c>
      <c r="R2130">
        <v>47520</v>
      </c>
    </row>
    <row r="2131" spans="1:18" x14ac:dyDescent="0.25">
      <c r="A2131" s="170">
        <v>46015</v>
      </c>
      <c r="B2131" s="116">
        <v>902.1</v>
      </c>
      <c r="C2131" s="116">
        <v>876.75</v>
      </c>
      <c r="D2131" s="116">
        <v>867.35</v>
      </c>
      <c r="E2131" s="116">
        <v>887</v>
      </c>
      <c r="F2131" s="116">
        <v>876.75</v>
      </c>
      <c r="G2131">
        <v>3367</v>
      </c>
      <c r="H2131" s="116"/>
      <c r="I2131" s="116"/>
      <c r="L2131" s="170">
        <v>46015</v>
      </c>
      <c r="M2131" s="116">
        <v>873.7</v>
      </c>
      <c r="N2131" s="116">
        <v>904.5</v>
      </c>
      <c r="O2131" s="116">
        <v>868.4</v>
      </c>
      <c r="P2131" s="116">
        <v>893</v>
      </c>
      <c r="Q2131" s="116">
        <v>873.7</v>
      </c>
      <c r="R2131">
        <v>61439</v>
      </c>
    </row>
    <row r="2132" spans="1:18" x14ac:dyDescent="0.25">
      <c r="A2132" s="170">
        <v>46017</v>
      </c>
      <c r="B2132" s="116">
        <v>880.8</v>
      </c>
      <c r="C2132" s="116">
        <v>869.05</v>
      </c>
      <c r="D2132" s="116">
        <v>851.3</v>
      </c>
      <c r="E2132" s="116">
        <v>870.25</v>
      </c>
      <c r="F2132" s="116">
        <v>869.05</v>
      </c>
      <c r="G2132">
        <v>3068</v>
      </c>
      <c r="H2132" s="116"/>
      <c r="I2132" s="116"/>
      <c r="L2132" s="170">
        <v>46017</v>
      </c>
      <c r="M2132" s="116">
        <v>864.2</v>
      </c>
      <c r="N2132" s="116">
        <v>881.65</v>
      </c>
      <c r="O2132" s="116">
        <v>851.3</v>
      </c>
      <c r="P2132" s="116">
        <v>873.95</v>
      </c>
      <c r="Q2132" s="116">
        <v>864.2</v>
      </c>
      <c r="R2132">
        <v>63690</v>
      </c>
    </row>
    <row r="2133" spans="1:18" x14ac:dyDescent="0.25">
      <c r="A2133" s="170">
        <v>46020</v>
      </c>
      <c r="B2133" s="116">
        <v>870.1</v>
      </c>
      <c r="C2133" s="116">
        <v>859.5</v>
      </c>
      <c r="D2133" s="116">
        <v>855.55</v>
      </c>
      <c r="E2133" s="116">
        <v>868.45</v>
      </c>
      <c r="F2133" s="116">
        <v>859.5</v>
      </c>
      <c r="G2133">
        <v>1823</v>
      </c>
      <c r="H2133" s="116"/>
      <c r="I2133" s="116"/>
      <c r="L2133" s="170">
        <v>46020</v>
      </c>
      <c r="M2133" s="116">
        <v>858.55</v>
      </c>
      <c r="N2133" s="116">
        <v>871.55</v>
      </c>
      <c r="O2133" s="116">
        <v>854</v>
      </c>
      <c r="P2133" s="116">
        <v>864.2</v>
      </c>
      <c r="Q2133" s="116">
        <v>858.55</v>
      </c>
      <c r="R2133">
        <v>38833</v>
      </c>
    </row>
    <row r="2134" spans="1:18" x14ac:dyDescent="0.25">
      <c r="A2134" s="170">
        <v>46021</v>
      </c>
      <c r="B2134" s="116">
        <v>874.6</v>
      </c>
      <c r="C2134" s="116">
        <v>851.1</v>
      </c>
      <c r="D2134" s="116">
        <v>845</v>
      </c>
      <c r="E2134" s="116">
        <v>859.8</v>
      </c>
      <c r="F2134" s="116">
        <v>851.1</v>
      </c>
      <c r="G2134">
        <v>2755</v>
      </c>
      <c r="H2134" s="116"/>
      <c r="I2134" s="116"/>
      <c r="L2134" s="170">
        <v>46021</v>
      </c>
      <c r="M2134" s="116">
        <v>851.55</v>
      </c>
      <c r="N2134" s="116">
        <v>878.9</v>
      </c>
      <c r="O2134" s="116">
        <v>843</v>
      </c>
      <c r="P2134" s="116">
        <v>870</v>
      </c>
      <c r="Q2134" s="116">
        <v>851.55</v>
      </c>
      <c r="R2134">
        <v>65999</v>
      </c>
    </row>
    <row r="2135" spans="1:18" x14ac:dyDescent="0.25">
      <c r="A2135" s="170">
        <v>46022</v>
      </c>
      <c r="B2135" s="116">
        <v>878.35</v>
      </c>
      <c r="C2135" s="116">
        <v>867.9</v>
      </c>
      <c r="D2135" s="116">
        <v>846</v>
      </c>
      <c r="E2135" s="116">
        <v>855.3</v>
      </c>
      <c r="F2135" s="116">
        <v>867.9</v>
      </c>
      <c r="G2135">
        <v>2696</v>
      </c>
      <c r="H2135" s="116"/>
      <c r="I2135" s="116"/>
      <c r="L2135" s="170">
        <v>46022</v>
      </c>
      <c r="M2135" s="116">
        <v>867.55</v>
      </c>
      <c r="N2135" s="116">
        <v>877.45</v>
      </c>
      <c r="O2135" s="116">
        <v>846</v>
      </c>
      <c r="P2135" s="116">
        <v>850.25</v>
      </c>
      <c r="Q2135" s="116">
        <v>867.55</v>
      </c>
      <c r="R2135">
        <v>69011</v>
      </c>
    </row>
    <row r="2136" spans="1:18" x14ac:dyDescent="0.25">
      <c r="A2136" s="170">
        <v>46023</v>
      </c>
      <c r="B2136" s="116">
        <v>880.85</v>
      </c>
      <c r="C2136" s="116">
        <v>867.85</v>
      </c>
      <c r="D2136" s="116">
        <v>861.35</v>
      </c>
      <c r="E2136" s="116">
        <v>880.85</v>
      </c>
      <c r="F2136" s="116">
        <v>867.85</v>
      </c>
      <c r="G2136">
        <v>419</v>
      </c>
      <c r="H2136" s="116"/>
      <c r="I2136" s="116"/>
      <c r="L2136" s="170">
        <v>46023</v>
      </c>
      <c r="M2136" s="116">
        <v>866.85</v>
      </c>
      <c r="N2136" s="116">
        <v>873.9</v>
      </c>
      <c r="O2136" s="116">
        <v>860.05</v>
      </c>
      <c r="P2136" s="116">
        <v>871.8</v>
      </c>
      <c r="Q2136" s="116">
        <v>866.85</v>
      </c>
      <c r="R2136">
        <v>23874</v>
      </c>
    </row>
    <row r="2137" spans="1:18" x14ac:dyDescent="0.25">
      <c r="A2137" s="170">
        <v>46024</v>
      </c>
      <c r="B2137" s="116">
        <v>900</v>
      </c>
      <c r="C2137" s="116">
        <v>893.85</v>
      </c>
      <c r="D2137" s="116">
        <v>868.05</v>
      </c>
      <c r="E2137" s="116">
        <v>868.05</v>
      </c>
      <c r="F2137" s="116">
        <v>893.85</v>
      </c>
      <c r="G2137">
        <v>4202</v>
      </c>
      <c r="H2137" s="116"/>
      <c r="I2137" s="116"/>
      <c r="L2137" s="170">
        <v>46024</v>
      </c>
      <c r="M2137" s="116">
        <v>893.4</v>
      </c>
      <c r="N2137" s="116">
        <v>900.9</v>
      </c>
      <c r="O2137" s="116">
        <v>872</v>
      </c>
      <c r="P2137" s="116">
        <v>872</v>
      </c>
      <c r="Q2137" s="116">
        <v>893.4</v>
      </c>
      <c r="R2137">
        <v>113502</v>
      </c>
    </row>
    <row r="2138" spans="1:18" x14ac:dyDescent="0.25">
      <c r="A2138" s="170">
        <v>46027</v>
      </c>
      <c r="B2138" s="116">
        <v>896.75</v>
      </c>
      <c r="C2138" s="116">
        <v>884.2</v>
      </c>
      <c r="D2138" s="116">
        <v>871.1</v>
      </c>
      <c r="E2138" s="116">
        <v>896.75</v>
      </c>
      <c r="F2138" s="116">
        <v>884.2</v>
      </c>
      <c r="G2138">
        <v>3050</v>
      </c>
      <c r="H2138" s="116"/>
      <c r="I2138" s="116"/>
      <c r="L2138" s="170">
        <v>46027</v>
      </c>
      <c r="M2138" s="116">
        <v>881.15</v>
      </c>
      <c r="N2138" s="116">
        <v>900.9</v>
      </c>
      <c r="O2138" s="116">
        <v>871.1</v>
      </c>
      <c r="P2138" s="116">
        <v>900.9</v>
      </c>
      <c r="Q2138" s="116">
        <v>881.15</v>
      </c>
      <c r="R2138">
        <v>68423</v>
      </c>
    </row>
    <row r="2139" spans="1:18" x14ac:dyDescent="0.25">
      <c r="A2139" s="170">
        <v>46028</v>
      </c>
      <c r="B2139" s="116">
        <v>896.7</v>
      </c>
      <c r="C2139" s="116">
        <v>882.9</v>
      </c>
      <c r="D2139" s="116">
        <v>865</v>
      </c>
      <c r="E2139" s="116">
        <v>880.55</v>
      </c>
      <c r="F2139" s="116">
        <v>882.9</v>
      </c>
      <c r="G2139">
        <v>1974</v>
      </c>
      <c r="H2139" s="116"/>
      <c r="I2139" s="116"/>
      <c r="L2139" s="170">
        <v>46028</v>
      </c>
      <c r="M2139" s="116">
        <v>885.1</v>
      </c>
      <c r="N2139" s="116">
        <v>897.65</v>
      </c>
      <c r="O2139" s="116">
        <v>864.65</v>
      </c>
      <c r="P2139" s="116">
        <v>884.9</v>
      </c>
      <c r="Q2139" s="116">
        <v>885.1</v>
      </c>
      <c r="R2139">
        <v>60489</v>
      </c>
    </row>
    <row r="2140" spans="1:18" x14ac:dyDescent="0.25">
      <c r="A2140" s="170">
        <v>46029</v>
      </c>
      <c r="B2140" s="116">
        <v>882.85</v>
      </c>
      <c r="C2140" s="116">
        <v>876.6</v>
      </c>
      <c r="D2140" s="116">
        <v>870.65</v>
      </c>
      <c r="E2140" s="116">
        <v>880.5</v>
      </c>
      <c r="F2140" s="116">
        <v>876.6</v>
      </c>
      <c r="G2140">
        <v>842</v>
      </c>
      <c r="H2140" s="116"/>
      <c r="I2140" s="116"/>
      <c r="L2140" s="170">
        <v>46029</v>
      </c>
      <c r="M2140" s="116">
        <v>875.15</v>
      </c>
      <c r="N2140" s="116">
        <v>883.85</v>
      </c>
      <c r="O2140" s="116">
        <v>870.6</v>
      </c>
      <c r="P2140" s="116">
        <v>874.4</v>
      </c>
      <c r="Q2140" s="116">
        <v>875.15</v>
      </c>
      <c r="R2140">
        <v>23606</v>
      </c>
    </row>
    <row r="2141" spans="1:18" x14ac:dyDescent="0.25">
      <c r="A2141" s="170">
        <v>46030</v>
      </c>
      <c r="B2141" s="116">
        <v>872.1</v>
      </c>
      <c r="C2141" s="116">
        <v>855.9</v>
      </c>
      <c r="D2141" s="116">
        <v>852.85</v>
      </c>
      <c r="E2141" s="116">
        <v>871.7</v>
      </c>
      <c r="F2141" s="116">
        <v>855.9</v>
      </c>
      <c r="G2141">
        <v>1711</v>
      </c>
      <c r="H2141" s="116"/>
      <c r="I2141" s="116"/>
      <c r="L2141" s="170">
        <v>46030</v>
      </c>
      <c r="M2141" s="116">
        <v>855.15</v>
      </c>
      <c r="N2141" s="116">
        <v>875.95</v>
      </c>
      <c r="O2141" s="116">
        <v>852.55</v>
      </c>
      <c r="P2141" s="116">
        <v>870</v>
      </c>
      <c r="Q2141" s="116">
        <v>855.15</v>
      </c>
      <c r="R2141">
        <v>45794</v>
      </c>
    </row>
    <row r="2142" spans="1:18" x14ac:dyDescent="0.25">
      <c r="A2142" s="170">
        <v>46031</v>
      </c>
      <c r="B2142" s="116">
        <v>854.5</v>
      </c>
      <c r="C2142" s="116">
        <v>834.35</v>
      </c>
      <c r="D2142" s="116">
        <v>829.55</v>
      </c>
      <c r="E2142" s="116">
        <v>853</v>
      </c>
      <c r="F2142" s="116">
        <v>834.35</v>
      </c>
      <c r="G2142">
        <v>2950</v>
      </c>
      <c r="H2142" s="116"/>
      <c r="I2142" s="116"/>
      <c r="L2142" s="170">
        <v>46031</v>
      </c>
      <c r="M2142" s="116">
        <v>833.1</v>
      </c>
      <c r="N2142" s="116">
        <v>855.2</v>
      </c>
      <c r="O2142" s="116">
        <v>830</v>
      </c>
      <c r="P2142" s="116">
        <v>855.15</v>
      </c>
      <c r="Q2142" s="116">
        <v>833.1</v>
      </c>
      <c r="R2142">
        <v>46696</v>
      </c>
    </row>
    <row r="2143" spans="1:18" x14ac:dyDescent="0.25">
      <c r="A2143" s="170">
        <v>46034</v>
      </c>
      <c r="B2143" s="116">
        <v>834.55</v>
      </c>
      <c r="C2143" s="116">
        <v>830.45</v>
      </c>
      <c r="D2143" s="116">
        <v>802.35</v>
      </c>
      <c r="E2143" s="116">
        <v>819.9</v>
      </c>
      <c r="F2143" s="116">
        <v>830.45</v>
      </c>
      <c r="G2143">
        <v>1553</v>
      </c>
      <c r="H2143" s="116"/>
      <c r="I2143" s="116"/>
      <c r="L2143" s="170">
        <v>46034</v>
      </c>
      <c r="M2143" s="116">
        <v>829.85</v>
      </c>
      <c r="N2143" s="116">
        <v>836.4</v>
      </c>
      <c r="O2143" s="116">
        <v>802.95</v>
      </c>
      <c r="P2143" s="116">
        <v>825.5</v>
      </c>
      <c r="Q2143" s="116">
        <v>829.85</v>
      </c>
      <c r="R2143">
        <v>73319</v>
      </c>
    </row>
    <row r="2144" spans="1:18" x14ac:dyDescent="0.25">
      <c r="A2144" s="170">
        <v>46035</v>
      </c>
      <c r="B2144" s="116">
        <v>845.05</v>
      </c>
      <c r="C2144" s="116">
        <v>825.95</v>
      </c>
      <c r="D2144" s="116">
        <v>825</v>
      </c>
      <c r="E2144" s="116">
        <v>832.05</v>
      </c>
      <c r="F2144" s="116">
        <v>825.95</v>
      </c>
      <c r="G2144">
        <v>1467</v>
      </c>
      <c r="H2144" s="116"/>
      <c r="I2144" s="116"/>
      <c r="L2144" s="170">
        <v>46035</v>
      </c>
      <c r="M2144" s="116">
        <v>827.6</v>
      </c>
      <c r="N2144" s="116">
        <v>845.5</v>
      </c>
      <c r="O2144" s="116">
        <v>821.6</v>
      </c>
      <c r="P2144" s="116">
        <v>837</v>
      </c>
      <c r="Q2144" s="116">
        <v>827.6</v>
      </c>
      <c r="R2144">
        <v>45550</v>
      </c>
    </row>
    <row r="2145" spans="1:18" x14ac:dyDescent="0.25">
      <c r="A2145" s="170">
        <v>46036</v>
      </c>
      <c r="B2145" s="116">
        <v>834.55</v>
      </c>
      <c r="C2145" s="116">
        <v>830.8</v>
      </c>
      <c r="D2145" s="116">
        <v>825.25</v>
      </c>
      <c r="E2145" s="116">
        <v>827.45</v>
      </c>
      <c r="F2145" s="116">
        <v>830.8</v>
      </c>
      <c r="G2145">
        <v>929</v>
      </c>
      <c r="H2145" s="116"/>
      <c r="I2145" s="116"/>
      <c r="L2145" s="170">
        <v>46036</v>
      </c>
      <c r="M2145" s="116">
        <v>829.45</v>
      </c>
      <c r="N2145" s="116">
        <v>838</v>
      </c>
      <c r="O2145" s="116">
        <v>825</v>
      </c>
      <c r="P2145" s="116">
        <v>825.8</v>
      </c>
      <c r="Q2145" s="116">
        <v>829.45</v>
      </c>
      <c r="R2145">
        <v>18023</v>
      </c>
    </row>
    <row r="2146" spans="1:18" x14ac:dyDescent="0.25">
      <c r="A2146" s="170">
        <v>46038</v>
      </c>
      <c r="B2146" s="116">
        <v>831.85</v>
      </c>
      <c r="C2146" s="116">
        <v>805.5</v>
      </c>
      <c r="D2146" s="116">
        <v>802.85</v>
      </c>
      <c r="E2146" s="116">
        <v>820.05</v>
      </c>
      <c r="F2146" s="116">
        <v>805.5</v>
      </c>
      <c r="G2146">
        <v>2426</v>
      </c>
      <c r="H2146" s="116"/>
      <c r="I2146" s="116"/>
      <c r="L2146" s="170">
        <v>46038</v>
      </c>
      <c r="M2146" s="116">
        <v>804.15</v>
      </c>
      <c r="N2146" s="116">
        <v>833.45</v>
      </c>
      <c r="O2146" s="116">
        <v>802</v>
      </c>
      <c r="P2146" s="116">
        <v>833.35</v>
      </c>
      <c r="Q2146" s="116">
        <v>804.15</v>
      </c>
      <c r="R2146">
        <v>46678</v>
      </c>
    </row>
    <row r="2147" spans="1:18" x14ac:dyDescent="0.25">
      <c r="A2147" s="170">
        <v>46041</v>
      </c>
      <c r="B2147" s="116">
        <v>803.6</v>
      </c>
      <c r="C2147" s="116">
        <v>781.95</v>
      </c>
      <c r="D2147" s="116">
        <v>775.25</v>
      </c>
      <c r="E2147" s="116">
        <v>803.6</v>
      </c>
      <c r="F2147" s="116">
        <v>781.95</v>
      </c>
      <c r="G2147">
        <v>1324</v>
      </c>
      <c r="H2147" s="116"/>
      <c r="I2147" s="116"/>
      <c r="L2147" s="170">
        <v>46041</v>
      </c>
      <c r="M2147" s="116">
        <v>782.75</v>
      </c>
      <c r="N2147" s="116">
        <v>802</v>
      </c>
      <c r="O2147" s="116">
        <v>775</v>
      </c>
      <c r="P2147" s="116">
        <v>802</v>
      </c>
      <c r="Q2147" s="116">
        <v>782.75</v>
      </c>
      <c r="R2147">
        <v>49784</v>
      </c>
    </row>
    <row r="2148" spans="1:18" x14ac:dyDescent="0.25">
      <c r="A2148" s="170">
        <v>46042</v>
      </c>
      <c r="B2148" s="116">
        <v>778.85</v>
      </c>
      <c r="C2148" s="116">
        <v>753.25</v>
      </c>
      <c r="D2148" s="116">
        <v>745.8</v>
      </c>
      <c r="E2148" s="116">
        <v>778.85</v>
      </c>
      <c r="F2148" s="116">
        <v>753.25</v>
      </c>
      <c r="G2148">
        <v>2629</v>
      </c>
      <c r="H2148" s="116"/>
      <c r="I2148" s="116"/>
      <c r="L2148" s="170">
        <v>46042</v>
      </c>
      <c r="M2148" s="116">
        <v>751.6</v>
      </c>
      <c r="N2148" s="116">
        <v>781.45</v>
      </c>
      <c r="O2148" s="116">
        <v>744</v>
      </c>
      <c r="P2148" s="116">
        <v>775.6</v>
      </c>
      <c r="Q2148" s="116">
        <v>751.6</v>
      </c>
      <c r="R2148">
        <v>89846</v>
      </c>
    </row>
    <row r="2149" spans="1:18" x14ac:dyDescent="0.25">
      <c r="A2149" s="170">
        <v>46043</v>
      </c>
      <c r="B2149" s="116">
        <v>756.55</v>
      </c>
      <c r="C2149" s="116">
        <v>729.95</v>
      </c>
      <c r="D2149" s="116">
        <v>725.45</v>
      </c>
      <c r="E2149" s="116">
        <v>731</v>
      </c>
      <c r="F2149" s="116">
        <v>729.95</v>
      </c>
      <c r="G2149">
        <v>5246</v>
      </c>
      <c r="H2149" s="116"/>
      <c r="I2149" s="116"/>
      <c r="L2149" s="170">
        <v>46043</v>
      </c>
      <c r="M2149" s="116">
        <v>728.3</v>
      </c>
      <c r="N2149" s="116">
        <v>756.7</v>
      </c>
      <c r="O2149" s="116">
        <v>725.1</v>
      </c>
      <c r="P2149" s="116">
        <v>735</v>
      </c>
      <c r="Q2149" s="116">
        <v>728.3</v>
      </c>
      <c r="R2149">
        <v>79233</v>
      </c>
    </row>
    <row r="2150" spans="1:18" x14ac:dyDescent="0.25">
      <c r="A2150" s="170">
        <v>46044</v>
      </c>
      <c r="B2150" s="116">
        <v>752.5</v>
      </c>
      <c r="C2150" s="116">
        <v>734.1</v>
      </c>
      <c r="D2150" s="116">
        <v>727.25</v>
      </c>
      <c r="E2150" s="116">
        <v>730.05</v>
      </c>
      <c r="F2150" s="116">
        <v>734.1</v>
      </c>
      <c r="G2150">
        <v>1338</v>
      </c>
      <c r="H2150" s="116"/>
      <c r="I2150" s="116"/>
      <c r="L2150" s="170">
        <v>46044</v>
      </c>
      <c r="M2150" s="116">
        <v>733.6</v>
      </c>
      <c r="N2150" s="116">
        <v>753.9</v>
      </c>
      <c r="O2150" s="116">
        <v>727.9</v>
      </c>
      <c r="P2150" s="116">
        <v>734.9</v>
      </c>
      <c r="Q2150" s="116">
        <v>733.6</v>
      </c>
      <c r="R2150">
        <v>36893</v>
      </c>
    </row>
    <row r="2151" spans="1:18" x14ac:dyDescent="0.25">
      <c r="A2151" s="170">
        <v>46045</v>
      </c>
      <c r="B2151" s="116">
        <v>725.25</v>
      </c>
      <c r="C2151" s="116">
        <v>689.8</v>
      </c>
      <c r="D2151" s="116">
        <v>680.6</v>
      </c>
      <c r="E2151" s="116">
        <v>723.6</v>
      </c>
      <c r="F2151" s="116">
        <v>689.8</v>
      </c>
      <c r="G2151">
        <v>3103</v>
      </c>
      <c r="H2151" s="116"/>
      <c r="I2151" s="116"/>
      <c r="L2151" s="170">
        <v>46045</v>
      </c>
      <c r="M2151" s="116">
        <v>689.55</v>
      </c>
      <c r="N2151" s="116">
        <v>734.5</v>
      </c>
      <c r="O2151" s="116">
        <v>680</v>
      </c>
      <c r="P2151" s="116">
        <v>733.6</v>
      </c>
      <c r="Q2151" s="116">
        <v>689.55</v>
      </c>
      <c r="R2151">
        <v>113770</v>
      </c>
    </row>
    <row r="2152" spans="1:18" x14ac:dyDescent="0.25">
      <c r="A2152" s="170">
        <v>46049</v>
      </c>
      <c r="B2152" s="116">
        <v>724.7</v>
      </c>
      <c r="C2152" s="116">
        <v>719.25</v>
      </c>
      <c r="D2152" s="116">
        <v>668.95</v>
      </c>
      <c r="E2152" s="116">
        <v>702.95</v>
      </c>
      <c r="F2152" s="116">
        <v>719.25</v>
      </c>
      <c r="G2152">
        <v>7492</v>
      </c>
      <c r="H2152" s="116"/>
      <c r="I2152" s="116"/>
      <c r="L2152" s="170">
        <v>46049</v>
      </c>
      <c r="M2152" s="116">
        <v>718.7</v>
      </c>
      <c r="N2152" s="116">
        <v>725.6</v>
      </c>
      <c r="O2152" s="116">
        <v>668.3</v>
      </c>
      <c r="P2152" s="116">
        <v>700</v>
      </c>
      <c r="Q2152" s="116">
        <v>718.7</v>
      </c>
      <c r="R2152">
        <v>159908</v>
      </c>
    </row>
    <row r="2153" spans="1:18" x14ac:dyDescent="0.25">
      <c r="A2153" s="170">
        <v>46050</v>
      </c>
      <c r="B2153" s="116">
        <v>769.1</v>
      </c>
      <c r="C2153" s="116">
        <v>764.7</v>
      </c>
      <c r="D2153" s="116">
        <v>718</v>
      </c>
      <c r="E2153" s="116">
        <v>719.2</v>
      </c>
      <c r="F2153" s="116">
        <v>764.7</v>
      </c>
      <c r="G2153">
        <v>2868</v>
      </c>
      <c r="H2153" s="116"/>
      <c r="I2153" s="116"/>
      <c r="L2153" s="170">
        <v>46050</v>
      </c>
      <c r="M2153" s="116">
        <v>765.6</v>
      </c>
      <c r="N2153" s="116">
        <v>770.4</v>
      </c>
      <c r="O2153" s="116">
        <v>700.05</v>
      </c>
      <c r="P2153" s="116">
        <v>718.05</v>
      </c>
      <c r="Q2153" s="116">
        <v>765.6</v>
      </c>
      <c r="R2153">
        <v>87666</v>
      </c>
    </row>
    <row r="2154" spans="1:18" x14ac:dyDescent="0.25">
      <c r="A2154" s="170">
        <v>46051</v>
      </c>
      <c r="B2154" s="116">
        <v>773.7</v>
      </c>
      <c r="C2154" s="116">
        <v>758</v>
      </c>
      <c r="D2154" s="116">
        <v>743.75</v>
      </c>
      <c r="E2154" s="116">
        <v>764.15</v>
      </c>
      <c r="F2154" s="116">
        <v>758</v>
      </c>
      <c r="G2154">
        <v>4475</v>
      </c>
      <c r="H2154" s="116"/>
      <c r="I2154" s="116"/>
      <c r="L2154" s="170">
        <v>46051</v>
      </c>
      <c r="M2154" s="116">
        <v>760.4</v>
      </c>
      <c r="N2154" s="116">
        <v>773.9</v>
      </c>
      <c r="O2154" s="116">
        <v>745</v>
      </c>
      <c r="P2154" s="116">
        <v>765</v>
      </c>
      <c r="Q2154" s="116">
        <v>760.4</v>
      </c>
      <c r="R2154">
        <v>65276</v>
      </c>
    </row>
    <row r="2155" spans="1:18" x14ac:dyDescent="0.25">
      <c r="A2155" s="170">
        <v>46052</v>
      </c>
      <c r="B2155" s="116">
        <v>803.95</v>
      </c>
      <c r="C2155" s="116">
        <v>747.15</v>
      </c>
      <c r="D2155" s="116">
        <v>742</v>
      </c>
      <c r="E2155" s="116">
        <v>758.35</v>
      </c>
      <c r="F2155" s="116">
        <v>747.15</v>
      </c>
      <c r="G2155">
        <v>10797</v>
      </c>
      <c r="H2155" s="116"/>
      <c r="I2155" s="116"/>
      <c r="L2155" s="170">
        <v>46052</v>
      </c>
      <c r="M2155" s="116">
        <v>750.1</v>
      </c>
      <c r="N2155" s="116">
        <v>804.9</v>
      </c>
      <c r="O2155" s="116">
        <v>741.4</v>
      </c>
      <c r="P2155" s="116">
        <v>765.9</v>
      </c>
      <c r="Q2155" s="116">
        <v>750.1</v>
      </c>
      <c r="R2155">
        <v>390557</v>
      </c>
    </row>
    <row r="2156" spans="1:18" x14ac:dyDescent="0.25">
      <c r="A2156" s="170">
        <v>46054</v>
      </c>
      <c r="B2156" s="116">
        <v>765.05</v>
      </c>
      <c r="C2156" s="116">
        <v>732.35</v>
      </c>
      <c r="D2156" s="116">
        <v>723.7</v>
      </c>
      <c r="E2156" s="116">
        <v>765.05</v>
      </c>
      <c r="F2156" s="116">
        <v>732.35</v>
      </c>
      <c r="G2156">
        <v>3763</v>
      </c>
      <c r="H2156" s="116"/>
      <c r="I2156" s="116"/>
      <c r="L2156" s="170">
        <v>46054</v>
      </c>
      <c r="M2156" s="116">
        <v>732.5</v>
      </c>
      <c r="N2156" s="116">
        <v>761.35</v>
      </c>
      <c r="O2156" s="116">
        <v>723.6</v>
      </c>
      <c r="P2156" s="116">
        <v>759.9</v>
      </c>
      <c r="Q2156" s="116">
        <v>732.5</v>
      </c>
      <c r="R2156">
        <v>46685</v>
      </c>
    </row>
    <row r="2157" spans="1:18" x14ac:dyDescent="0.25">
      <c r="A2157" s="170">
        <v>46055</v>
      </c>
      <c r="B2157" s="116">
        <v>729.85</v>
      </c>
      <c r="C2157" s="116">
        <v>724.45</v>
      </c>
      <c r="D2157" s="116">
        <v>691.05</v>
      </c>
      <c r="E2157" s="116">
        <v>726.15</v>
      </c>
      <c r="F2157" s="116">
        <v>724.45</v>
      </c>
      <c r="G2157">
        <v>3676</v>
      </c>
      <c r="H2157" s="116"/>
      <c r="I2157" s="116"/>
      <c r="L2157" s="170">
        <v>46055</v>
      </c>
      <c r="M2157" s="116">
        <v>725.55</v>
      </c>
      <c r="N2157" s="116">
        <v>732</v>
      </c>
      <c r="O2157" s="116">
        <v>691.1</v>
      </c>
      <c r="P2157" s="116">
        <v>732</v>
      </c>
      <c r="Q2157" s="116">
        <v>725.55</v>
      </c>
      <c r="R2157">
        <v>69163</v>
      </c>
    </row>
    <row r="2158" spans="1:18" x14ac:dyDescent="0.25">
      <c r="A2158" s="170">
        <v>46056</v>
      </c>
      <c r="B2158" s="116">
        <v>761.95</v>
      </c>
      <c r="C2158" s="116">
        <v>754.8</v>
      </c>
      <c r="D2158" s="116">
        <v>727.2</v>
      </c>
      <c r="E2158" s="116">
        <v>748</v>
      </c>
      <c r="F2158" s="116">
        <v>754.8</v>
      </c>
      <c r="G2158">
        <v>3371</v>
      </c>
      <c r="H2158" s="116"/>
      <c r="I2158" s="116"/>
      <c r="L2158" s="170">
        <v>46056</v>
      </c>
      <c r="M2158" s="116">
        <v>755.45</v>
      </c>
      <c r="N2158" s="116">
        <v>773</v>
      </c>
      <c r="O2158" s="116">
        <v>727.2</v>
      </c>
      <c r="P2158" s="116">
        <v>772.3</v>
      </c>
      <c r="Q2158" s="116">
        <v>755.45</v>
      </c>
      <c r="R2158">
        <v>76152</v>
      </c>
    </row>
    <row r="2159" spans="1:18" x14ac:dyDescent="0.25">
      <c r="A2159" s="170">
        <v>46057</v>
      </c>
      <c r="B2159" s="116">
        <v>784.5</v>
      </c>
      <c r="C2159" s="116">
        <v>781.1</v>
      </c>
      <c r="D2159" s="116">
        <v>738.75</v>
      </c>
      <c r="E2159" s="116">
        <v>745.75</v>
      </c>
      <c r="F2159" s="116">
        <v>781.1</v>
      </c>
      <c r="G2159">
        <v>2891</v>
      </c>
      <c r="H2159" s="116"/>
      <c r="I2159" s="116"/>
      <c r="L2159" s="170">
        <v>46057</v>
      </c>
      <c r="M2159" s="116">
        <v>783.1</v>
      </c>
      <c r="N2159" s="116">
        <v>785.5</v>
      </c>
      <c r="O2159" s="116">
        <v>738.05</v>
      </c>
      <c r="P2159" s="116">
        <v>751.65</v>
      </c>
      <c r="Q2159" s="116">
        <v>783.1</v>
      </c>
      <c r="R2159">
        <v>76745</v>
      </c>
    </row>
    <row r="2160" spans="1:18" x14ac:dyDescent="0.25">
      <c r="A2160" s="170">
        <v>46058</v>
      </c>
      <c r="B2160" s="116">
        <v>778.85</v>
      </c>
      <c r="C2160" s="116">
        <v>768.8</v>
      </c>
      <c r="D2160" s="116">
        <v>761.35</v>
      </c>
      <c r="E2160" s="116">
        <v>778.85</v>
      </c>
      <c r="F2160" s="116">
        <v>768.8</v>
      </c>
      <c r="G2160">
        <v>970</v>
      </c>
      <c r="H2160" s="116"/>
      <c r="I2160" s="116"/>
      <c r="L2160" s="170">
        <v>46058</v>
      </c>
      <c r="M2160" s="116">
        <v>769.6</v>
      </c>
      <c r="N2160" s="116">
        <v>783.1</v>
      </c>
      <c r="O2160" s="116">
        <v>761.5</v>
      </c>
      <c r="P2160" s="116">
        <v>783.1</v>
      </c>
      <c r="Q2160" s="116">
        <v>769.6</v>
      </c>
      <c r="R2160">
        <v>25166</v>
      </c>
    </row>
    <row r="2161" spans="1:18" x14ac:dyDescent="0.25">
      <c r="A2161" s="170">
        <v>46059</v>
      </c>
      <c r="B2161" s="116">
        <v>789.55</v>
      </c>
      <c r="C2161" s="116">
        <v>774.35</v>
      </c>
      <c r="D2161" s="116">
        <v>761.9</v>
      </c>
      <c r="E2161" s="116">
        <v>763.75</v>
      </c>
      <c r="F2161" s="116">
        <v>774.35</v>
      </c>
      <c r="G2161">
        <v>1122</v>
      </c>
      <c r="H2161" s="116"/>
      <c r="I2161" s="116"/>
      <c r="L2161" s="170">
        <v>46059</v>
      </c>
      <c r="M2161" s="116">
        <v>778.1</v>
      </c>
      <c r="N2161" s="116">
        <v>790.9</v>
      </c>
      <c r="O2161" s="116">
        <v>761.55</v>
      </c>
      <c r="P2161" s="116">
        <v>773.45</v>
      </c>
      <c r="Q2161" s="116">
        <v>778.1</v>
      </c>
      <c r="R2161">
        <v>45214</v>
      </c>
    </row>
    <row r="2162" spans="1:18" x14ac:dyDescent="0.25">
      <c r="A2162" s="170">
        <v>46062</v>
      </c>
      <c r="B2162" s="116">
        <v>800</v>
      </c>
      <c r="C2162" s="116">
        <v>799.85</v>
      </c>
      <c r="D2162" s="116">
        <v>770.95</v>
      </c>
      <c r="E2162" s="116">
        <v>774.4</v>
      </c>
      <c r="F2162" s="116">
        <v>799.85</v>
      </c>
      <c r="G2162">
        <v>1515</v>
      </c>
      <c r="H2162" s="116"/>
      <c r="I2162" s="116"/>
      <c r="L2162" s="170">
        <v>46062</v>
      </c>
      <c r="M2162" s="116">
        <v>799</v>
      </c>
      <c r="N2162" s="116">
        <v>801.9</v>
      </c>
      <c r="O2162" s="116">
        <v>774.05</v>
      </c>
      <c r="P2162" s="116">
        <v>775.9</v>
      </c>
      <c r="Q2162" s="116">
        <v>799</v>
      </c>
      <c r="R2162">
        <v>42968</v>
      </c>
    </row>
    <row r="2163" spans="1:18" x14ac:dyDescent="0.25">
      <c r="A2163" s="170">
        <v>46063</v>
      </c>
      <c r="B2163" s="116">
        <v>825.05</v>
      </c>
      <c r="C2163" s="116">
        <v>821.85</v>
      </c>
      <c r="D2163" s="116">
        <v>784.75</v>
      </c>
      <c r="E2163" s="116">
        <v>800.65</v>
      </c>
      <c r="F2163" s="116">
        <v>821.85</v>
      </c>
      <c r="G2163">
        <v>2301</v>
      </c>
      <c r="H2163" s="116"/>
      <c r="I2163" s="116"/>
      <c r="L2163" s="170">
        <v>46063</v>
      </c>
      <c r="M2163" s="116">
        <v>823.3</v>
      </c>
      <c r="N2163" s="116">
        <v>834</v>
      </c>
      <c r="O2163" s="116">
        <v>785</v>
      </c>
      <c r="P2163" s="116">
        <v>793.05</v>
      </c>
      <c r="Q2163" s="116">
        <v>823.3</v>
      </c>
      <c r="R2163">
        <v>73972</v>
      </c>
    </row>
    <row r="2164" spans="1:18" x14ac:dyDescent="0.25">
      <c r="A2164" s="170">
        <v>46064</v>
      </c>
      <c r="B2164" s="116">
        <v>821.9</v>
      </c>
      <c r="C2164" s="116">
        <v>800.75</v>
      </c>
      <c r="D2164" s="116">
        <v>799</v>
      </c>
      <c r="E2164" s="116">
        <v>821.9</v>
      </c>
      <c r="F2164" s="116">
        <v>800.75</v>
      </c>
      <c r="G2164">
        <v>1277</v>
      </c>
      <c r="H2164" s="116"/>
      <c r="I2164" s="116"/>
      <c r="L2164" s="170">
        <v>46064</v>
      </c>
      <c r="M2164" s="116">
        <v>801</v>
      </c>
      <c r="N2164" s="116">
        <v>824.1</v>
      </c>
      <c r="O2164" s="116">
        <v>799.1</v>
      </c>
      <c r="P2164" s="116">
        <v>824.1</v>
      </c>
      <c r="Q2164" s="116">
        <v>801</v>
      </c>
      <c r="R2164">
        <v>27545</v>
      </c>
    </row>
    <row r="2165" spans="1:18" x14ac:dyDescent="0.25">
      <c r="A2165" s="170">
        <v>46065</v>
      </c>
      <c r="B2165" s="116">
        <v>816.1</v>
      </c>
      <c r="C2165" s="116">
        <v>810.5</v>
      </c>
      <c r="D2165" s="116">
        <v>790.15</v>
      </c>
      <c r="E2165" s="116">
        <v>799.05</v>
      </c>
      <c r="F2165" s="116">
        <v>810.5</v>
      </c>
      <c r="G2165">
        <v>46154</v>
      </c>
      <c r="H2165" s="116"/>
      <c r="I2165" s="116"/>
      <c r="L2165" s="170">
        <v>46065</v>
      </c>
      <c r="M2165" s="116">
        <v>810.45</v>
      </c>
      <c r="N2165" s="116">
        <v>817</v>
      </c>
      <c r="O2165" s="116">
        <v>790.6</v>
      </c>
      <c r="P2165" s="116">
        <v>801</v>
      </c>
      <c r="Q2165" s="116">
        <v>810.45</v>
      </c>
      <c r="R2165">
        <v>25509</v>
      </c>
    </row>
    <row r="2166" spans="1:18" x14ac:dyDescent="0.25">
      <c r="A2166" s="170">
        <v>46066</v>
      </c>
      <c r="B2166" s="116">
        <v>803.55</v>
      </c>
      <c r="C2166" s="116">
        <v>785.75</v>
      </c>
      <c r="D2166" s="116">
        <v>781.25</v>
      </c>
      <c r="E2166" s="116">
        <v>794.8</v>
      </c>
      <c r="F2166" s="116">
        <v>785.75</v>
      </c>
      <c r="G2166">
        <v>975</v>
      </c>
      <c r="H2166" s="116"/>
      <c r="I2166" s="116"/>
      <c r="L2166" s="170">
        <v>46066</v>
      </c>
      <c r="M2166" s="116">
        <v>785.9</v>
      </c>
      <c r="N2166" s="116">
        <v>810</v>
      </c>
      <c r="O2166" s="116">
        <v>781</v>
      </c>
      <c r="P2166" s="116">
        <v>810</v>
      </c>
      <c r="Q2166" s="116">
        <v>785.9</v>
      </c>
      <c r="R2166">
        <v>33467</v>
      </c>
    </row>
    <row r="2167" spans="1:18" x14ac:dyDescent="0.25">
      <c r="A2167" s="170">
        <v>46069</v>
      </c>
      <c r="B2167" s="116">
        <v>794.8</v>
      </c>
      <c r="C2167" s="116">
        <v>789.6</v>
      </c>
      <c r="D2167" s="116">
        <v>777.4</v>
      </c>
      <c r="E2167" s="116">
        <v>780</v>
      </c>
      <c r="F2167" s="116">
        <v>789.6</v>
      </c>
      <c r="G2167">
        <v>3872</v>
      </c>
      <c r="H2167" s="116"/>
      <c r="I2167" s="116"/>
      <c r="L2167" s="170">
        <v>46069</v>
      </c>
      <c r="M2167" s="116">
        <v>786.3</v>
      </c>
      <c r="N2167" s="116">
        <v>791.45</v>
      </c>
      <c r="O2167" s="116">
        <v>776.15</v>
      </c>
      <c r="P2167" s="116">
        <v>782.05</v>
      </c>
      <c r="Q2167" s="116">
        <v>786.3</v>
      </c>
      <c r="R2167">
        <v>15476</v>
      </c>
    </row>
    <row r="2168" spans="1:18" x14ac:dyDescent="0.25">
      <c r="A2168" s="170">
        <v>46070</v>
      </c>
      <c r="B2168" s="116">
        <v>813.5</v>
      </c>
      <c r="C2168" s="116">
        <v>797.05</v>
      </c>
      <c r="D2168" s="116">
        <v>786.3</v>
      </c>
      <c r="E2168" s="116">
        <v>786.3</v>
      </c>
      <c r="F2168" s="116">
        <v>797.05</v>
      </c>
      <c r="G2168">
        <v>384</v>
      </c>
      <c r="H2168" s="116"/>
      <c r="I2168" s="116"/>
      <c r="L2168" s="170">
        <v>46070</v>
      </c>
      <c r="M2168" s="116">
        <v>799.25</v>
      </c>
      <c r="N2168" s="116">
        <v>814.05</v>
      </c>
      <c r="O2168" s="116">
        <v>784</v>
      </c>
      <c r="P2168" s="116">
        <v>788</v>
      </c>
      <c r="Q2168" s="116">
        <v>799.25</v>
      </c>
      <c r="R2168">
        <v>31616</v>
      </c>
    </row>
    <row r="2169" spans="1:18" x14ac:dyDescent="0.25">
      <c r="A2169" s="170">
        <v>46071</v>
      </c>
      <c r="B2169" s="116">
        <v>799.5</v>
      </c>
      <c r="C2169" s="116">
        <v>790</v>
      </c>
      <c r="D2169" s="116">
        <v>785.65</v>
      </c>
      <c r="E2169" s="116">
        <v>786</v>
      </c>
      <c r="F2169" s="116">
        <v>790</v>
      </c>
      <c r="G2169">
        <v>399</v>
      </c>
      <c r="H2169" s="116"/>
      <c r="I2169" s="116"/>
      <c r="L2169" s="170">
        <v>46071</v>
      </c>
      <c r="M2169" s="116">
        <v>787.45</v>
      </c>
      <c r="N2169" s="116">
        <v>800.25</v>
      </c>
      <c r="O2169" s="116">
        <v>784.1</v>
      </c>
      <c r="P2169" s="116">
        <v>794.05</v>
      </c>
      <c r="Q2169" s="116">
        <v>787.45</v>
      </c>
      <c r="R2169">
        <v>13754</v>
      </c>
    </row>
    <row r="2170" spans="1:18" x14ac:dyDescent="0.25">
      <c r="A2170" s="170">
        <v>46072</v>
      </c>
      <c r="B2170" s="116">
        <v>791.85</v>
      </c>
      <c r="C2170" s="116">
        <v>780.8</v>
      </c>
      <c r="D2170" s="116">
        <v>776.4</v>
      </c>
      <c r="E2170" s="116">
        <v>788.8</v>
      </c>
      <c r="F2170" s="116">
        <v>780.8</v>
      </c>
      <c r="G2170">
        <v>1572</v>
      </c>
      <c r="H2170" s="116"/>
      <c r="I2170" s="116"/>
      <c r="L2170" s="170">
        <v>46072</v>
      </c>
      <c r="M2170" s="116">
        <v>780.4</v>
      </c>
      <c r="N2170" s="116">
        <v>799</v>
      </c>
      <c r="O2170" s="116">
        <v>776.1</v>
      </c>
      <c r="P2170" s="116">
        <v>790.5</v>
      </c>
      <c r="Q2170" s="116">
        <v>780.4</v>
      </c>
      <c r="R2170">
        <v>20157</v>
      </c>
    </row>
    <row r="2171" spans="1:18" x14ac:dyDescent="0.25">
      <c r="A2171" s="170">
        <v>46073</v>
      </c>
      <c r="B2171" s="116">
        <v>787.7</v>
      </c>
      <c r="C2171" s="116">
        <v>765.95</v>
      </c>
      <c r="D2171" s="116">
        <v>763</v>
      </c>
      <c r="E2171" s="116">
        <v>778</v>
      </c>
      <c r="F2171" s="116">
        <v>765.95</v>
      </c>
      <c r="G2171">
        <v>1211</v>
      </c>
      <c r="H2171" s="116"/>
      <c r="I2171" s="116"/>
      <c r="L2171" s="170">
        <v>46073</v>
      </c>
      <c r="M2171" s="116">
        <v>767.25</v>
      </c>
      <c r="N2171" s="116">
        <v>788</v>
      </c>
      <c r="O2171" s="116">
        <v>762.1</v>
      </c>
      <c r="P2171" s="116">
        <v>784.5</v>
      </c>
      <c r="Q2171" s="116">
        <v>767.25</v>
      </c>
      <c r="R2171">
        <v>19586</v>
      </c>
    </row>
    <row r="2172" spans="1:18" x14ac:dyDescent="0.25">
      <c r="A2172" s="170">
        <v>46076</v>
      </c>
      <c r="B2172" s="116">
        <v>780.45</v>
      </c>
      <c r="C2172" s="116">
        <v>762.45</v>
      </c>
      <c r="D2172" s="116">
        <v>758.15</v>
      </c>
      <c r="E2172" s="116">
        <v>766</v>
      </c>
      <c r="F2172" s="116">
        <v>762.45</v>
      </c>
      <c r="G2172">
        <v>1442</v>
      </c>
      <c r="H2172" s="116"/>
      <c r="I2172" s="116"/>
      <c r="L2172" s="170">
        <v>46076</v>
      </c>
      <c r="M2172" s="116">
        <v>764.4</v>
      </c>
      <c r="N2172" s="116">
        <v>783</v>
      </c>
      <c r="O2172" s="116">
        <v>760.05</v>
      </c>
      <c r="P2172" s="116">
        <v>769.95</v>
      </c>
      <c r="Q2172" s="116">
        <v>764.4</v>
      </c>
      <c r="R2172">
        <v>30973</v>
      </c>
    </row>
    <row r="2173" spans="1:18" x14ac:dyDescent="0.25">
      <c r="A2173" s="170">
        <v>46077</v>
      </c>
      <c r="B2173" s="116">
        <v>762.4</v>
      </c>
      <c r="C2173" s="116">
        <v>741.95</v>
      </c>
      <c r="D2173" s="116">
        <v>737</v>
      </c>
      <c r="E2173" s="116">
        <v>762.4</v>
      </c>
      <c r="F2173" s="116">
        <v>741.95</v>
      </c>
      <c r="G2173">
        <v>2068</v>
      </c>
      <c r="H2173" s="116"/>
      <c r="I2173" s="116"/>
      <c r="L2173" s="170">
        <v>46077</v>
      </c>
      <c r="M2173" s="116">
        <v>742.2</v>
      </c>
      <c r="N2173" s="116">
        <v>768.4</v>
      </c>
      <c r="O2173" s="116">
        <v>736.05</v>
      </c>
      <c r="P2173" s="116">
        <v>768.4</v>
      </c>
      <c r="Q2173" s="116">
        <v>742.2</v>
      </c>
      <c r="R2173">
        <v>27460</v>
      </c>
    </row>
    <row r="2174" spans="1:18" x14ac:dyDescent="0.25">
      <c r="A2174" s="170">
        <v>46078</v>
      </c>
      <c r="B2174" s="116">
        <v>764.9</v>
      </c>
      <c r="C2174" s="116">
        <v>749.6</v>
      </c>
      <c r="D2174" s="116">
        <v>740.5</v>
      </c>
      <c r="E2174" s="116">
        <v>761.95</v>
      </c>
      <c r="F2174" s="116">
        <v>749.6</v>
      </c>
      <c r="G2174">
        <v>1949</v>
      </c>
      <c r="H2174" s="116"/>
      <c r="I2174" s="116"/>
      <c r="L2174" s="170">
        <v>46078</v>
      </c>
      <c r="M2174" s="116">
        <v>751.1</v>
      </c>
      <c r="N2174" s="116">
        <v>765.95</v>
      </c>
      <c r="O2174" s="116">
        <v>740.75</v>
      </c>
      <c r="P2174" s="116">
        <v>759</v>
      </c>
      <c r="Q2174" s="116">
        <v>751.1</v>
      </c>
      <c r="R2174">
        <v>29674</v>
      </c>
    </row>
    <row r="2175" spans="1:18" x14ac:dyDescent="0.25">
      <c r="A2175" s="170">
        <v>46079</v>
      </c>
      <c r="B2175" s="116">
        <v>755</v>
      </c>
      <c r="C2175" s="116">
        <v>740</v>
      </c>
      <c r="D2175" s="116">
        <v>731.8</v>
      </c>
      <c r="E2175" s="116">
        <v>749.6</v>
      </c>
      <c r="F2175" s="116">
        <v>740</v>
      </c>
      <c r="G2175">
        <v>1159</v>
      </c>
      <c r="H2175" s="116"/>
      <c r="I2175" s="116"/>
      <c r="L2175" s="170">
        <v>46079</v>
      </c>
      <c r="M2175" s="116">
        <v>740.6</v>
      </c>
      <c r="N2175" s="116">
        <v>754.6</v>
      </c>
      <c r="O2175" s="116">
        <v>733.05</v>
      </c>
      <c r="P2175" s="116">
        <v>752.95</v>
      </c>
      <c r="Q2175" s="116">
        <v>740.6</v>
      </c>
      <c r="R2175">
        <v>21876</v>
      </c>
    </row>
    <row r="2176" spans="1:18" x14ac:dyDescent="0.25">
      <c r="A2176" s="170">
        <v>46080</v>
      </c>
      <c r="B2176" s="116">
        <v>746.05</v>
      </c>
      <c r="C2176" s="116">
        <v>726.95</v>
      </c>
      <c r="D2176" s="116">
        <v>720.55</v>
      </c>
      <c r="E2176" s="116">
        <v>739.95</v>
      </c>
      <c r="F2176" s="116">
        <v>726.95</v>
      </c>
      <c r="G2176">
        <v>642</v>
      </c>
      <c r="H2176" s="116"/>
      <c r="I2176" s="116"/>
      <c r="L2176" s="170">
        <v>46080</v>
      </c>
      <c r="M2176" s="116">
        <v>725.55</v>
      </c>
      <c r="N2176" s="116">
        <v>745.1</v>
      </c>
      <c r="O2176" s="116">
        <v>720.15</v>
      </c>
      <c r="P2176" s="116">
        <v>735.05</v>
      </c>
      <c r="Q2176" s="116">
        <v>725.55</v>
      </c>
      <c r="R2176">
        <v>30079</v>
      </c>
    </row>
    <row r="2177" spans="1:18" x14ac:dyDescent="0.25">
      <c r="A2177" s="170">
        <v>46083</v>
      </c>
      <c r="B2177" s="116">
        <v>730</v>
      </c>
      <c r="C2177" s="116">
        <v>711.15</v>
      </c>
      <c r="D2177" s="116">
        <v>700.6</v>
      </c>
      <c r="E2177" s="116">
        <v>711</v>
      </c>
      <c r="F2177" s="116">
        <v>711.15</v>
      </c>
      <c r="G2177">
        <v>1826</v>
      </c>
      <c r="H2177" s="116"/>
      <c r="I2177" s="116"/>
      <c r="L2177" s="170">
        <v>46083</v>
      </c>
      <c r="M2177" s="116">
        <v>712.7</v>
      </c>
      <c r="N2177" s="116">
        <v>728.2</v>
      </c>
      <c r="O2177" s="116">
        <v>701.1</v>
      </c>
      <c r="P2177" s="116">
        <v>710.15</v>
      </c>
      <c r="Q2177" s="116">
        <v>712.7</v>
      </c>
      <c r="R2177">
        <v>37169</v>
      </c>
    </row>
    <row r="2178" spans="1:18" x14ac:dyDescent="0.25">
      <c r="A2178" s="170">
        <v>46085</v>
      </c>
      <c r="B2178" s="116">
        <v>709.05</v>
      </c>
      <c r="C2178" s="116">
        <v>686.9</v>
      </c>
      <c r="D2178" s="116">
        <v>685.15</v>
      </c>
      <c r="E2178" s="116">
        <v>701</v>
      </c>
      <c r="F2178" s="116">
        <v>686.9</v>
      </c>
      <c r="G2178">
        <v>1608</v>
      </c>
      <c r="H2178" s="116"/>
      <c r="I2178" s="116"/>
      <c r="L2178" s="170">
        <v>46085</v>
      </c>
      <c r="M2178" s="116">
        <v>690.2</v>
      </c>
      <c r="N2178" s="116">
        <v>707.65</v>
      </c>
      <c r="O2178" s="116">
        <v>684</v>
      </c>
      <c r="P2178" s="116">
        <v>695</v>
      </c>
      <c r="Q2178" s="116">
        <v>690.2</v>
      </c>
      <c r="R2178">
        <v>63827</v>
      </c>
    </row>
    <row r="2179" spans="1:18" x14ac:dyDescent="0.25">
      <c r="A2179" s="170">
        <v>46086</v>
      </c>
      <c r="B2179" s="116">
        <v>722.8</v>
      </c>
      <c r="C2179" s="116">
        <v>710.9</v>
      </c>
      <c r="D2179" s="116">
        <v>690.25</v>
      </c>
      <c r="E2179" s="116">
        <v>690.3</v>
      </c>
      <c r="F2179" s="116">
        <v>710.9</v>
      </c>
      <c r="G2179">
        <v>2358</v>
      </c>
      <c r="H2179" s="116"/>
      <c r="I2179" s="116"/>
      <c r="L2179" s="170">
        <v>46086</v>
      </c>
      <c r="M2179" s="116">
        <v>709.9</v>
      </c>
      <c r="N2179" s="116">
        <v>721.55</v>
      </c>
      <c r="O2179" s="116">
        <v>687.05</v>
      </c>
      <c r="P2179" s="116">
        <v>694.35</v>
      </c>
      <c r="Q2179" s="116">
        <v>709.9</v>
      </c>
      <c r="R2179">
        <v>77767</v>
      </c>
    </row>
    <row r="2180" spans="1:18" x14ac:dyDescent="0.25">
      <c r="A2180" s="170">
        <v>46087</v>
      </c>
      <c r="B2180" s="116">
        <v>718.45</v>
      </c>
      <c r="C2180" s="116">
        <v>685.1</v>
      </c>
      <c r="D2180" s="116">
        <v>680.25</v>
      </c>
      <c r="E2180" s="116">
        <v>710.85</v>
      </c>
      <c r="F2180" s="116">
        <v>685.1</v>
      </c>
      <c r="G2180">
        <v>1579</v>
      </c>
      <c r="H2180" s="116"/>
      <c r="I2180" s="116"/>
      <c r="L2180" s="170">
        <v>46087</v>
      </c>
      <c r="M2180" s="116">
        <v>684.5</v>
      </c>
      <c r="N2180" s="116">
        <v>720.5</v>
      </c>
      <c r="O2180" s="116">
        <v>679.35</v>
      </c>
      <c r="P2180" s="116">
        <v>708.05</v>
      </c>
      <c r="Q2180" s="116">
        <v>684.5</v>
      </c>
      <c r="R2180">
        <v>55099</v>
      </c>
    </row>
    <row r="2181" spans="1:18" x14ac:dyDescent="0.25">
      <c r="A2181" s="170">
        <v>46090</v>
      </c>
      <c r="B2181" s="116">
        <v>690</v>
      </c>
      <c r="C2181" s="116">
        <v>684.65</v>
      </c>
      <c r="D2181" s="116">
        <v>577</v>
      </c>
      <c r="E2181" s="116">
        <v>577</v>
      </c>
      <c r="F2181" s="116">
        <v>684.65</v>
      </c>
      <c r="G2181">
        <v>6013</v>
      </c>
      <c r="H2181" s="116"/>
      <c r="I2181" s="116"/>
      <c r="L2181" s="170">
        <v>46090</v>
      </c>
      <c r="M2181" s="116">
        <v>684.95</v>
      </c>
      <c r="N2181" s="116">
        <v>691</v>
      </c>
      <c r="O2181" s="116">
        <v>649.45000000000005</v>
      </c>
      <c r="P2181" s="116">
        <v>680</v>
      </c>
      <c r="Q2181" s="116">
        <v>684.95</v>
      </c>
      <c r="R2181">
        <v>110571</v>
      </c>
    </row>
    <row r="2182" spans="1:18" x14ac:dyDescent="0.25">
      <c r="A2182" s="170">
        <v>46091</v>
      </c>
      <c r="B2182" s="116">
        <v>700</v>
      </c>
      <c r="C2182" s="116">
        <v>691.1</v>
      </c>
      <c r="D2182" s="116">
        <v>685.55</v>
      </c>
      <c r="E2182" s="116">
        <v>685.55</v>
      </c>
      <c r="F2182" s="116">
        <v>691.1</v>
      </c>
      <c r="G2182">
        <v>2063</v>
      </c>
      <c r="H2182" s="116"/>
      <c r="I2182" s="116"/>
      <c r="L2182" s="170">
        <v>46091</v>
      </c>
      <c r="M2182" s="116">
        <v>692.7</v>
      </c>
      <c r="N2182" s="116">
        <v>700</v>
      </c>
      <c r="O2182" s="116">
        <v>687.2</v>
      </c>
      <c r="P2182" s="116">
        <v>694.95</v>
      </c>
      <c r="Q2182" s="116">
        <v>692.7</v>
      </c>
      <c r="R2182">
        <v>68238</v>
      </c>
    </row>
    <row r="2183" spans="1:18" x14ac:dyDescent="0.25">
      <c r="A2183" s="170">
        <v>46092</v>
      </c>
      <c r="B2183" s="116">
        <v>700</v>
      </c>
      <c r="C2183" s="116">
        <v>685.4</v>
      </c>
      <c r="D2183" s="116">
        <v>682.35</v>
      </c>
      <c r="E2183" s="116">
        <v>700</v>
      </c>
      <c r="F2183" s="116">
        <v>685.4</v>
      </c>
      <c r="G2183">
        <v>857</v>
      </c>
      <c r="H2183" s="116"/>
      <c r="I2183" s="116"/>
      <c r="L2183" s="170">
        <v>46092</v>
      </c>
      <c r="M2183" s="116">
        <v>684.45</v>
      </c>
      <c r="N2183" s="116">
        <v>701.5</v>
      </c>
      <c r="O2183" s="116">
        <v>682.4</v>
      </c>
      <c r="P2183" s="116">
        <v>692.7</v>
      </c>
      <c r="Q2183" s="116">
        <v>684.45</v>
      </c>
      <c r="R2183">
        <v>46023</v>
      </c>
    </row>
    <row r="2184" spans="1:18" x14ac:dyDescent="0.25">
      <c r="A2184" s="170">
        <v>46093</v>
      </c>
      <c r="B2184" s="116">
        <v>690</v>
      </c>
      <c r="C2184" s="116">
        <v>673.8</v>
      </c>
      <c r="D2184" s="116">
        <v>670</v>
      </c>
      <c r="E2184" s="116">
        <v>683.05</v>
      </c>
      <c r="F2184" s="116">
        <v>673.8</v>
      </c>
      <c r="G2184">
        <v>1395</v>
      </c>
      <c r="H2184" s="116"/>
      <c r="I2184" s="116"/>
      <c r="L2184" s="170">
        <v>46093</v>
      </c>
      <c r="M2184" s="116">
        <v>673.5</v>
      </c>
      <c r="N2184" s="116">
        <v>689.9</v>
      </c>
      <c r="O2184" s="116">
        <v>669</v>
      </c>
      <c r="P2184" s="116">
        <v>680.15</v>
      </c>
      <c r="Q2184" s="116">
        <v>673.5</v>
      </c>
      <c r="R2184">
        <v>116982</v>
      </c>
    </row>
    <row r="2185" spans="1:18" x14ac:dyDescent="0.25">
      <c r="A2185" s="170">
        <v>46094</v>
      </c>
      <c r="B2185" s="116">
        <v>701.6</v>
      </c>
      <c r="C2185" s="116">
        <v>661.15</v>
      </c>
      <c r="D2185" s="116">
        <v>654.65</v>
      </c>
      <c r="E2185" s="116">
        <v>672</v>
      </c>
      <c r="F2185" s="116">
        <v>661.15</v>
      </c>
      <c r="G2185">
        <v>3998</v>
      </c>
      <c r="H2185" s="116"/>
      <c r="I2185" s="116"/>
      <c r="L2185" s="170">
        <v>46094</v>
      </c>
      <c r="M2185" s="116">
        <v>658.95</v>
      </c>
      <c r="N2185" s="116">
        <v>702.35</v>
      </c>
      <c r="O2185" s="116">
        <v>654.35</v>
      </c>
      <c r="P2185" s="116">
        <v>673.2</v>
      </c>
      <c r="Q2185" s="116">
        <v>658.95</v>
      </c>
      <c r="R2185">
        <v>238851</v>
      </c>
    </row>
    <row r="2186" spans="1:18" x14ac:dyDescent="0.25">
      <c r="A2186" s="170">
        <v>46097</v>
      </c>
      <c r="B2186" s="116">
        <v>682.8</v>
      </c>
      <c r="C2186" s="116">
        <v>674.55</v>
      </c>
      <c r="D2186" s="116">
        <v>652.5</v>
      </c>
      <c r="E2186" s="116">
        <v>661.2</v>
      </c>
      <c r="F2186" s="116">
        <v>674.55</v>
      </c>
      <c r="G2186">
        <v>4202</v>
      </c>
      <c r="H2186" s="116"/>
      <c r="I2186" s="116"/>
      <c r="L2186" s="170">
        <v>46097</v>
      </c>
      <c r="M2186" s="116">
        <v>667.6</v>
      </c>
      <c r="N2186" s="116">
        <v>683.3</v>
      </c>
      <c r="O2186" s="116">
        <v>653</v>
      </c>
      <c r="P2186" s="116">
        <v>663</v>
      </c>
      <c r="Q2186" s="116">
        <v>667.6</v>
      </c>
      <c r="R2186">
        <v>111712</v>
      </c>
    </row>
    <row r="2187" spans="1:18" x14ac:dyDescent="0.25">
      <c r="A2187" s="170">
        <v>46098</v>
      </c>
      <c r="B2187" s="116">
        <v>680.4</v>
      </c>
      <c r="C2187" s="116">
        <v>675</v>
      </c>
      <c r="D2187" s="116">
        <v>666.9</v>
      </c>
      <c r="E2187" s="116">
        <v>671.95</v>
      </c>
      <c r="F2187" s="116">
        <v>675</v>
      </c>
      <c r="G2187">
        <v>4058</v>
      </c>
      <c r="H2187" s="116"/>
      <c r="I2187" s="116"/>
      <c r="L2187" s="170">
        <v>46098</v>
      </c>
      <c r="M2187" s="116">
        <v>676.3</v>
      </c>
      <c r="N2187" s="116">
        <v>684.95</v>
      </c>
      <c r="O2187" s="116">
        <v>664.25</v>
      </c>
      <c r="P2187" s="116">
        <v>664.25</v>
      </c>
      <c r="Q2187" s="116">
        <v>676.3</v>
      </c>
      <c r="R2187">
        <v>53217</v>
      </c>
    </row>
    <row r="2188" spans="1:18" x14ac:dyDescent="0.25">
      <c r="A2188" s="170">
        <v>46099</v>
      </c>
      <c r="B2188" s="116">
        <v>688.3</v>
      </c>
      <c r="C2188" s="116">
        <v>677.75</v>
      </c>
      <c r="D2188" s="116">
        <v>663.65</v>
      </c>
      <c r="E2188" s="116">
        <v>663.65</v>
      </c>
      <c r="F2188" s="116">
        <v>677.75</v>
      </c>
      <c r="G2188">
        <v>3046</v>
      </c>
      <c r="H2188" s="116"/>
      <c r="I2188" s="116"/>
      <c r="L2188" s="170">
        <v>46099</v>
      </c>
      <c r="M2188" s="116">
        <v>678.1</v>
      </c>
      <c r="N2188" s="116">
        <v>688.6</v>
      </c>
      <c r="O2188" s="116">
        <v>669.05</v>
      </c>
      <c r="P2188" s="116">
        <v>670.2</v>
      </c>
      <c r="Q2188" s="116">
        <v>678.1</v>
      </c>
      <c r="R2188">
        <v>73555</v>
      </c>
    </row>
    <row r="2189" spans="1:18" x14ac:dyDescent="0.25">
      <c r="A2189" s="170">
        <v>46100</v>
      </c>
      <c r="B2189" s="116">
        <v>675.05</v>
      </c>
      <c r="C2189" s="116">
        <v>651.5</v>
      </c>
      <c r="D2189" s="116">
        <v>648</v>
      </c>
      <c r="E2189" s="116">
        <v>672.05</v>
      </c>
      <c r="F2189" s="116">
        <v>651.5</v>
      </c>
      <c r="G2189">
        <v>3225</v>
      </c>
      <c r="H2189" s="116"/>
      <c r="I2189" s="116"/>
      <c r="L2189" s="170">
        <v>46100</v>
      </c>
      <c r="M2189" s="116">
        <v>650.29999999999995</v>
      </c>
      <c r="N2189" s="116">
        <v>681.7</v>
      </c>
      <c r="O2189" s="116">
        <v>647.29999999999995</v>
      </c>
      <c r="P2189" s="116">
        <v>671.3</v>
      </c>
      <c r="Q2189" s="116">
        <v>650.29999999999995</v>
      </c>
      <c r="R2189">
        <v>77859</v>
      </c>
    </row>
    <row r="2190" spans="1:18" x14ac:dyDescent="0.25">
      <c r="A2190" s="170">
        <v>46101</v>
      </c>
      <c r="B2190" s="116">
        <v>666.45</v>
      </c>
      <c r="C2190" s="116">
        <v>652.95000000000005</v>
      </c>
      <c r="D2190" s="116">
        <v>650</v>
      </c>
      <c r="E2190" s="116">
        <v>651.6</v>
      </c>
      <c r="F2190" s="116">
        <v>652.95000000000005</v>
      </c>
      <c r="G2190">
        <v>2871</v>
      </c>
      <c r="H2190" s="116"/>
      <c r="I2190" s="116"/>
      <c r="L2190" s="170">
        <v>46101</v>
      </c>
      <c r="M2190" s="116">
        <v>651.20000000000005</v>
      </c>
      <c r="N2190" s="116">
        <v>665.55</v>
      </c>
      <c r="O2190" s="116">
        <v>649</v>
      </c>
      <c r="P2190" s="116">
        <v>657.45</v>
      </c>
      <c r="Q2190" s="116">
        <v>651.20000000000005</v>
      </c>
      <c r="R2190">
        <v>42019</v>
      </c>
    </row>
    <row r="2191" spans="1:18" x14ac:dyDescent="0.25">
      <c r="A2191" s="170">
        <v>46104</v>
      </c>
      <c r="B2191" s="116">
        <v>645</v>
      </c>
      <c r="C2191" s="116">
        <v>607.35</v>
      </c>
      <c r="D2191" s="116">
        <v>604.04999999999995</v>
      </c>
      <c r="E2191" s="116">
        <v>643.95000000000005</v>
      </c>
      <c r="F2191" s="116">
        <v>607.35</v>
      </c>
      <c r="G2191">
        <v>5072</v>
      </c>
      <c r="H2191" s="116"/>
      <c r="I2191" s="116"/>
      <c r="L2191" s="170">
        <v>46104</v>
      </c>
      <c r="M2191" s="116">
        <v>607.79999999999995</v>
      </c>
      <c r="N2191" s="116">
        <v>648</v>
      </c>
      <c r="O2191" s="116">
        <v>604.04999999999995</v>
      </c>
      <c r="P2191" s="116">
        <v>637.5</v>
      </c>
      <c r="Q2191" s="116">
        <v>607.79999999999995</v>
      </c>
      <c r="R2191">
        <v>140534</v>
      </c>
    </row>
    <row r="2192" spans="1:18" x14ac:dyDescent="0.25">
      <c r="A2192" s="170">
        <v>46105</v>
      </c>
      <c r="B2192" s="116">
        <v>623.9</v>
      </c>
      <c r="C2192" s="116">
        <v>616.4</v>
      </c>
      <c r="D2192" s="116">
        <v>612</v>
      </c>
      <c r="E2192" s="116">
        <v>616.04999999999995</v>
      </c>
      <c r="F2192" s="116">
        <v>616.4</v>
      </c>
      <c r="G2192">
        <v>146565</v>
      </c>
      <c r="H2192" s="116"/>
      <c r="I2192" s="116"/>
      <c r="L2192" s="170">
        <v>46105</v>
      </c>
      <c r="M2192" s="116">
        <v>617.29999999999995</v>
      </c>
      <c r="N2192" s="116">
        <v>625.35</v>
      </c>
      <c r="O2192" s="116">
        <v>611.04999999999995</v>
      </c>
      <c r="P2192" s="116">
        <v>623.6</v>
      </c>
      <c r="Q2192" s="116">
        <v>617.29999999999995</v>
      </c>
      <c r="R2192">
        <v>123363</v>
      </c>
    </row>
    <row r="2193" spans="1:18" x14ac:dyDescent="0.25">
      <c r="A2193" s="170">
        <v>46106</v>
      </c>
      <c r="B2193" s="116">
        <v>656.5</v>
      </c>
      <c r="C2193" s="116">
        <v>638.5</v>
      </c>
      <c r="D2193" s="116">
        <v>616.4</v>
      </c>
      <c r="E2193" s="116">
        <v>616.4</v>
      </c>
      <c r="F2193" s="116">
        <v>638.5</v>
      </c>
      <c r="G2193">
        <v>4021</v>
      </c>
      <c r="H2193" s="116"/>
      <c r="I2193" s="116"/>
      <c r="L2193" s="170">
        <v>46106</v>
      </c>
      <c r="M2193" s="116">
        <v>637.9</v>
      </c>
      <c r="N2193" s="116">
        <v>657</v>
      </c>
      <c r="O2193" s="116">
        <v>629</v>
      </c>
      <c r="P2193" s="116">
        <v>629</v>
      </c>
      <c r="Q2193" s="116">
        <v>637.9</v>
      </c>
      <c r="R2193">
        <v>104031</v>
      </c>
    </row>
    <row r="2194" spans="1:18" x14ac:dyDescent="0.25">
      <c r="A2194" s="170">
        <v>46108</v>
      </c>
      <c r="B2194" s="116">
        <v>647.95000000000005</v>
      </c>
      <c r="C2194" s="116">
        <v>608.6</v>
      </c>
      <c r="D2194" s="116">
        <v>605.04999999999995</v>
      </c>
      <c r="E2194" s="116">
        <v>634.79999999999995</v>
      </c>
      <c r="F2194" s="116">
        <v>608.6</v>
      </c>
      <c r="G2194">
        <v>13208</v>
      </c>
      <c r="H2194" s="116"/>
      <c r="I2194" s="116"/>
      <c r="L2194" s="170">
        <v>46108</v>
      </c>
      <c r="M2194" s="116">
        <v>609.20000000000005</v>
      </c>
      <c r="N2194" s="116">
        <v>648</v>
      </c>
      <c r="O2194" s="116">
        <v>605</v>
      </c>
      <c r="P2194" s="116">
        <v>648</v>
      </c>
      <c r="Q2194" s="116">
        <v>609.20000000000005</v>
      </c>
      <c r="R2194">
        <v>167078</v>
      </c>
    </row>
    <row r="2195" spans="1:18" x14ac:dyDescent="0.25">
      <c r="A2195" s="170">
        <v>46111</v>
      </c>
      <c r="B2195" s="116">
        <v>609</v>
      </c>
      <c r="C2195" s="116">
        <v>580.04999999999995</v>
      </c>
      <c r="D2195" s="116">
        <v>569.29999999999995</v>
      </c>
      <c r="E2195" s="116">
        <v>609</v>
      </c>
      <c r="F2195" s="116">
        <v>580.04999999999995</v>
      </c>
      <c r="G2195">
        <v>10986</v>
      </c>
      <c r="H2195" s="116"/>
      <c r="I2195" s="116"/>
      <c r="L2195" s="170">
        <v>46111</v>
      </c>
      <c r="M2195" s="116">
        <v>575.5</v>
      </c>
      <c r="N2195" s="116">
        <v>604.85</v>
      </c>
      <c r="O2195" s="116">
        <v>569.20000000000005</v>
      </c>
      <c r="P2195" s="116">
        <v>599</v>
      </c>
      <c r="Q2195" s="116">
        <v>575.5</v>
      </c>
      <c r="R2195">
        <v>147726</v>
      </c>
    </row>
    <row r="2196" spans="1:18" x14ac:dyDescent="0.25">
      <c r="A2196" s="170">
        <v>46113</v>
      </c>
      <c r="B2196" s="116">
        <v>638.1</v>
      </c>
      <c r="C2196" s="116">
        <v>621.65</v>
      </c>
      <c r="D2196" s="116">
        <v>570.4</v>
      </c>
      <c r="E2196" s="116">
        <v>570.4</v>
      </c>
      <c r="F2196" s="116">
        <v>621.65</v>
      </c>
      <c r="G2196">
        <v>6100</v>
      </c>
      <c r="H2196" s="116"/>
      <c r="I2196" s="116"/>
      <c r="L2196" s="170">
        <v>46113</v>
      </c>
      <c r="M2196" s="116">
        <v>621.9</v>
      </c>
      <c r="N2196" s="116">
        <v>638.9</v>
      </c>
      <c r="O2196" s="116">
        <v>584.1</v>
      </c>
      <c r="P2196" s="116">
        <v>584.1</v>
      </c>
      <c r="Q2196" s="116">
        <v>621.9</v>
      </c>
      <c r="R2196">
        <v>116587</v>
      </c>
    </row>
    <row r="2197" spans="1:18" x14ac:dyDescent="0.25">
      <c r="A2197" s="170">
        <v>46114</v>
      </c>
      <c r="B2197" s="116">
        <v>632.95000000000005</v>
      </c>
      <c r="C2197" s="116">
        <v>627.70000000000005</v>
      </c>
      <c r="D2197" s="116">
        <v>603.25</v>
      </c>
      <c r="E2197" s="116">
        <v>623.15</v>
      </c>
      <c r="F2197" s="116">
        <v>627.70000000000005</v>
      </c>
      <c r="G2197">
        <v>2097</v>
      </c>
      <c r="H2197" s="116"/>
      <c r="I2197" s="116"/>
      <c r="L2197" s="170">
        <v>46114</v>
      </c>
      <c r="M2197" s="116">
        <v>628.95000000000005</v>
      </c>
      <c r="N2197" s="116">
        <v>634</v>
      </c>
      <c r="O2197" s="116">
        <v>602.15</v>
      </c>
      <c r="P2197" s="116">
        <v>621.9</v>
      </c>
      <c r="Q2197" s="116">
        <v>628.95000000000005</v>
      </c>
      <c r="R2197">
        <v>31242</v>
      </c>
    </row>
    <row r="2198" spans="1:18" x14ac:dyDescent="0.25">
      <c r="A2198" s="170">
        <v>46118</v>
      </c>
      <c r="B2198" s="116">
        <v>636.95000000000005</v>
      </c>
      <c r="C2198" s="116">
        <v>635.15</v>
      </c>
      <c r="D2198" s="116">
        <v>617.20000000000005</v>
      </c>
      <c r="E2198" s="116">
        <v>623.54999999999995</v>
      </c>
      <c r="F2198" s="116">
        <v>635.15</v>
      </c>
      <c r="G2198">
        <v>2406</v>
      </c>
      <c r="H2198" s="116"/>
      <c r="I2198" s="116"/>
      <c r="L2198" s="170">
        <v>46118</v>
      </c>
      <c r="M2198" s="116">
        <v>633.4</v>
      </c>
      <c r="N2198" s="116">
        <v>637.15</v>
      </c>
      <c r="O2198" s="116">
        <v>617.04999999999995</v>
      </c>
      <c r="P2198" s="116">
        <v>628.95000000000005</v>
      </c>
      <c r="Q2198" s="116">
        <v>633.4</v>
      </c>
      <c r="R2198">
        <v>54061</v>
      </c>
    </row>
    <row r="2199" spans="1:18" x14ac:dyDescent="0.25">
      <c r="A2199" s="170">
        <v>46119</v>
      </c>
      <c r="B2199" s="116">
        <v>652.4</v>
      </c>
      <c r="C2199" s="116">
        <v>643.5</v>
      </c>
      <c r="D2199" s="116">
        <v>631.6</v>
      </c>
      <c r="E2199" s="116">
        <v>631.6</v>
      </c>
      <c r="F2199" s="116">
        <v>643.5</v>
      </c>
      <c r="G2199">
        <v>2460</v>
      </c>
      <c r="H2199" s="116"/>
      <c r="I2199" s="116"/>
      <c r="L2199" s="170">
        <v>46119</v>
      </c>
      <c r="M2199" s="116">
        <v>642.15</v>
      </c>
      <c r="N2199" s="116">
        <v>655.75</v>
      </c>
      <c r="O2199" s="116">
        <v>630.45000000000005</v>
      </c>
      <c r="P2199" s="116">
        <v>635</v>
      </c>
      <c r="Q2199" s="116">
        <v>642.15</v>
      </c>
      <c r="R2199">
        <v>44517</v>
      </c>
    </row>
    <row r="2200" spans="1:18" x14ac:dyDescent="0.25">
      <c r="A2200" s="170">
        <v>46120</v>
      </c>
      <c r="B2200" s="116">
        <v>707.2</v>
      </c>
      <c r="C2200" s="116">
        <v>676.2</v>
      </c>
      <c r="D2200" s="116">
        <v>660</v>
      </c>
      <c r="E2200" s="116">
        <v>660</v>
      </c>
      <c r="F2200" s="116">
        <v>676.2</v>
      </c>
      <c r="G2200">
        <v>8796</v>
      </c>
      <c r="H2200" s="116"/>
      <c r="I2200" s="116"/>
      <c r="L2200" s="170">
        <v>46120</v>
      </c>
      <c r="M2200" s="116">
        <v>676.65</v>
      </c>
      <c r="N2200" s="116">
        <v>708.2</v>
      </c>
      <c r="O2200" s="116">
        <v>660.6</v>
      </c>
      <c r="P2200" s="116">
        <v>675</v>
      </c>
      <c r="Q2200" s="116">
        <v>676.65</v>
      </c>
      <c r="R2200">
        <v>200579</v>
      </c>
    </row>
    <row r="2201" spans="1:18" x14ac:dyDescent="0.25">
      <c r="A2201" s="170">
        <v>46121</v>
      </c>
      <c r="B2201" s="116">
        <v>688.9</v>
      </c>
      <c r="C2201" s="116">
        <v>670.5</v>
      </c>
      <c r="D2201" s="116">
        <v>665.8</v>
      </c>
      <c r="E2201" s="116">
        <v>676</v>
      </c>
      <c r="F2201" s="116">
        <v>670.5</v>
      </c>
      <c r="G2201">
        <v>2452</v>
      </c>
      <c r="H2201" s="116"/>
      <c r="I2201" s="116"/>
      <c r="L2201" s="170">
        <v>46121</v>
      </c>
      <c r="M2201" s="116">
        <v>671</v>
      </c>
      <c r="N2201" s="116">
        <v>690.4</v>
      </c>
      <c r="O2201" s="116">
        <v>666</v>
      </c>
      <c r="P2201" s="116">
        <v>676.65</v>
      </c>
      <c r="Q2201" s="116">
        <v>671</v>
      </c>
      <c r="R2201">
        <v>43591</v>
      </c>
    </row>
    <row r="2202" spans="1:18" x14ac:dyDescent="0.25">
      <c r="A2202" s="170">
        <v>46122</v>
      </c>
      <c r="B2202" s="116">
        <v>703.5</v>
      </c>
      <c r="C2202" s="116">
        <v>694.95</v>
      </c>
      <c r="D2202" s="116">
        <v>676.9</v>
      </c>
      <c r="E2202" s="116">
        <v>683.75</v>
      </c>
      <c r="F2202" s="116">
        <v>694.95</v>
      </c>
      <c r="G2202">
        <v>3800</v>
      </c>
      <c r="H2202" s="116"/>
      <c r="I2202" s="116"/>
      <c r="L2202" s="170">
        <v>46122</v>
      </c>
      <c r="M2202" s="116">
        <v>693.1</v>
      </c>
      <c r="N2202" s="116">
        <v>704.9</v>
      </c>
      <c r="O2202" s="116">
        <v>675.45</v>
      </c>
      <c r="P2202" s="116">
        <v>682.5</v>
      </c>
      <c r="Q2202" s="116">
        <v>693.1</v>
      </c>
      <c r="R2202">
        <v>73635</v>
      </c>
    </row>
    <row r="2203" spans="1:18" x14ac:dyDescent="0.25">
      <c r="A2203" s="170">
        <v>46125</v>
      </c>
      <c r="B2203" s="116">
        <v>705.55</v>
      </c>
      <c r="C2203" s="116">
        <v>695.2</v>
      </c>
      <c r="D2203" s="116">
        <v>665.6</v>
      </c>
      <c r="E2203" s="116">
        <v>682</v>
      </c>
      <c r="F2203" s="116">
        <v>695.2</v>
      </c>
      <c r="G2203">
        <v>2465</v>
      </c>
      <c r="H2203" s="116"/>
      <c r="I2203" s="116"/>
      <c r="L2203" s="170">
        <v>46125</v>
      </c>
      <c r="M2203" s="116">
        <v>695.6</v>
      </c>
      <c r="N2203" s="116">
        <v>707.6</v>
      </c>
      <c r="O2203" s="116">
        <v>665</v>
      </c>
      <c r="P2203" s="116">
        <v>682</v>
      </c>
      <c r="Q2203" s="116">
        <v>695.6</v>
      </c>
      <c r="R2203">
        <v>78045</v>
      </c>
    </row>
    <row r="2204" spans="1:18" x14ac:dyDescent="0.25">
      <c r="A2204" s="170">
        <v>46127</v>
      </c>
      <c r="B2204" s="116">
        <v>721</v>
      </c>
      <c r="C2204" s="116">
        <v>713.4</v>
      </c>
      <c r="D2204" s="116">
        <v>699</v>
      </c>
      <c r="E2204" s="116">
        <v>709.1</v>
      </c>
      <c r="F2204" s="116">
        <v>713.4</v>
      </c>
      <c r="G2204">
        <v>3687</v>
      </c>
      <c r="H2204" s="116"/>
      <c r="I2204" s="116"/>
      <c r="L2204" s="170">
        <v>46127</v>
      </c>
      <c r="M2204" s="116">
        <v>710.85</v>
      </c>
      <c r="N2204" s="116">
        <v>721.5</v>
      </c>
      <c r="O2204" s="116">
        <v>697.05</v>
      </c>
      <c r="P2204" s="116">
        <v>710</v>
      </c>
      <c r="Q2204" s="116">
        <v>710.85</v>
      </c>
      <c r="R2204">
        <v>52925</v>
      </c>
    </row>
    <row r="2205" spans="1:18" x14ac:dyDescent="0.25">
      <c r="A2205" s="170">
        <v>46128</v>
      </c>
      <c r="B2205" s="116">
        <v>738</v>
      </c>
      <c r="C2205" s="116">
        <v>732.85</v>
      </c>
      <c r="D2205" s="116">
        <v>713.05</v>
      </c>
      <c r="E2205" s="116">
        <v>713.35</v>
      </c>
      <c r="F2205" s="116">
        <v>732.85</v>
      </c>
      <c r="G2205">
        <v>4288</v>
      </c>
      <c r="H2205" s="116"/>
      <c r="I2205" s="116"/>
      <c r="L2205" s="170">
        <v>46128</v>
      </c>
      <c r="M2205" s="116">
        <v>728.15</v>
      </c>
      <c r="N2205" s="116">
        <v>735</v>
      </c>
      <c r="O2205" s="116">
        <v>712.15</v>
      </c>
      <c r="P2205" s="116">
        <v>716</v>
      </c>
      <c r="Q2205" s="116">
        <v>728.15</v>
      </c>
      <c r="R2205">
        <v>83976</v>
      </c>
    </row>
    <row r="2206" spans="1:18" x14ac:dyDescent="0.25">
      <c r="A2206" s="170">
        <v>46129</v>
      </c>
      <c r="B2206" s="116">
        <v>753.6</v>
      </c>
      <c r="C2206" s="116">
        <v>728.95</v>
      </c>
      <c r="D2206" s="116">
        <v>722.25</v>
      </c>
      <c r="E2206" s="116">
        <v>723.8</v>
      </c>
      <c r="F2206" s="116">
        <v>728.95</v>
      </c>
      <c r="G2206">
        <v>7013</v>
      </c>
      <c r="H2206" s="116"/>
      <c r="I2206" s="116"/>
      <c r="L2206" s="170">
        <v>46129</v>
      </c>
      <c r="M2206" s="116">
        <v>725.95</v>
      </c>
      <c r="N2206" s="116">
        <v>751.9</v>
      </c>
      <c r="O2206" s="116">
        <v>721.5</v>
      </c>
      <c r="P2206" s="116">
        <v>740</v>
      </c>
      <c r="Q2206" s="116">
        <v>725.95</v>
      </c>
      <c r="R2206">
        <v>92177</v>
      </c>
    </row>
    <row r="2207" spans="1:18" x14ac:dyDescent="0.25">
      <c r="A2207" s="170">
        <v>46132</v>
      </c>
      <c r="B2207" s="116">
        <v>740</v>
      </c>
      <c r="C2207" s="116">
        <v>712.8</v>
      </c>
      <c r="D2207" s="116">
        <v>708.4</v>
      </c>
      <c r="E2207" s="116">
        <v>725.35</v>
      </c>
      <c r="F2207" s="116">
        <v>712.8</v>
      </c>
      <c r="G2207">
        <v>1904</v>
      </c>
      <c r="H2207" s="116"/>
      <c r="I2207" s="116"/>
      <c r="L2207" s="170">
        <v>46132</v>
      </c>
      <c r="M2207" s="116">
        <v>711.9</v>
      </c>
      <c r="N2207" s="116">
        <v>739.9</v>
      </c>
      <c r="O2207" s="116">
        <v>707.5</v>
      </c>
      <c r="P2207" s="116">
        <v>728.95</v>
      </c>
      <c r="Q2207" s="116">
        <v>711.9</v>
      </c>
      <c r="R2207">
        <v>81332</v>
      </c>
    </row>
    <row r="2208" spans="1:18" x14ac:dyDescent="0.25">
      <c r="A2208" s="170">
        <v>46133</v>
      </c>
      <c r="B2208" s="116">
        <v>739.4</v>
      </c>
      <c r="C2208" s="116">
        <v>731.6</v>
      </c>
      <c r="D2208" s="116">
        <v>711.9</v>
      </c>
      <c r="E2208" s="116">
        <v>711.9</v>
      </c>
      <c r="F2208" s="116">
        <v>731.6</v>
      </c>
      <c r="G2208">
        <v>2441</v>
      </c>
      <c r="H2208" s="116"/>
      <c r="I2208" s="116"/>
      <c r="L2208" s="170">
        <v>46133</v>
      </c>
      <c r="M2208" s="116">
        <v>732.45</v>
      </c>
      <c r="N2208" s="116">
        <v>739.8</v>
      </c>
      <c r="O2208" s="116">
        <v>714.15</v>
      </c>
      <c r="P2208" s="116">
        <v>720</v>
      </c>
      <c r="Q2208" s="116">
        <v>732.45</v>
      </c>
      <c r="R2208">
        <v>60855</v>
      </c>
    </row>
    <row r="2209" spans="1:18" x14ac:dyDescent="0.25">
      <c r="A2209" s="170">
        <v>46134</v>
      </c>
      <c r="B2209" s="116">
        <v>744.25</v>
      </c>
      <c r="C2209" s="116">
        <v>742.15</v>
      </c>
      <c r="D2209" s="116">
        <v>725.55</v>
      </c>
      <c r="E2209" s="116">
        <v>735</v>
      </c>
      <c r="F2209" s="116">
        <v>742.15</v>
      </c>
      <c r="G2209">
        <v>3196</v>
      </c>
      <c r="H2209" s="116"/>
      <c r="I2209" s="116"/>
      <c r="L2209" s="170">
        <v>46134</v>
      </c>
      <c r="M2209" s="116">
        <v>742.45</v>
      </c>
      <c r="N2209" s="116">
        <v>746</v>
      </c>
      <c r="O2209" s="116">
        <v>726.65</v>
      </c>
      <c r="P2209" s="116">
        <v>732.45</v>
      </c>
      <c r="Q2209" s="116">
        <v>742.45</v>
      </c>
      <c r="R2209">
        <v>61686</v>
      </c>
    </row>
    <row r="2210" spans="1:18" x14ac:dyDescent="0.25">
      <c r="A2210" s="170">
        <v>46135</v>
      </c>
      <c r="B2210" s="116">
        <v>749.85</v>
      </c>
      <c r="C2210" s="116">
        <v>734.75</v>
      </c>
      <c r="D2210" s="116">
        <v>733.05</v>
      </c>
      <c r="E2210" s="116">
        <v>739.75</v>
      </c>
      <c r="F2210" s="116">
        <v>734.75</v>
      </c>
      <c r="G2210">
        <v>1048</v>
      </c>
      <c r="H2210" s="116"/>
      <c r="I2210" s="116"/>
      <c r="L2210" s="170">
        <v>46135</v>
      </c>
      <c r="M2210" s="116">
        <v>740.5</v>
      </c>
      <c r="N2210" s="116">
        <v>749.6</v>
      </c>
      <c r="O2210" s="116">
        <v>727.1</v>
      </c>
      <c r="P2210" s="116">
        <v>739.8</v>
      </c>
      <c r="Q2210" s="116">
        <v>740.5</v>
      </c>
      <c r="R2210">
        <v>39493</v>
      </c>
    </row>
    <row r="2211" spans="1:18" x14ac:dyDescent="0.25">
      <c r="A2211" s="170">
        <v>46136</v>
      </c>
      <c r="B2211" s="116">
        <v>739.1</v>
      </c>
      <c r="C2211" s="116">
        <v>733.8</v>
      </c>
      <c r="D2211" s="116">
        <v>722.5</v>
      </c>
      <c r="E2211" s="116">
        <v>734.75</v>
      </c>
      <c r="F2211" s="116">
        <v>733.8</v>
      </c>
      <c r="G2211">
        <v>2578</v>
      </c>
      <c r="H2211" s="116"/>
      <c r="I2211" s="116"/>
      <c r="L2211" s="170">
        <v>46136</v>
      </c>
      <c r="M2211" s="116">
        <v>729.05</v>
      </c>
      <c r="N2211" s="116">
        <v>742.6</v>
      </c>
      <c r="O2211" s="116">
        <v>721</v>
      </c>
      <c r="P2211" s="116">
        <v>742.2</v>
      </c>
      <c r="Q2211" s="116">
        <v>729.05</v>
      </c>
      <c r="R2211">
        <v>27126</v>
      </c>
    </row>
    <row r="2212" spans="1:18" x14ac:dyDescent="0.25">
      <c r="A2212" s="170">
        <v>46139</v>
      </c>
      <c r="B2212" s="116">
        <v>745.4</v>
      </c>
      <c r="C2212" s="116">
        <v>739.05</v>
      </c>
      <c r="D2212" s="116">
        <v>720.3</v>
      </c>
      <c r="E2212" s="116">
        <v>720.3</v>
      </c>
      <c r="F2212" s="116">
        <v>739.05</v>
      </c>
      <c r="G2212">
        <v>1422</v>
      </c>
      <c r="H2212" s="116"/>
      <c r="I2212" s="116"/>
      <c r="L2212" s="170">
        <v>46139</v>
      </c>
      <c r="M2212" s="116">
        <v>738.15</v>
      </c>
      <c r="N2212" s="116">
        <v>746.45</v>
      </c>
      <c r="O2212" s="116">
        <v>720.05</v>
      </c>
      <c r="P2212" s="116">
        <v>720.1</v>
      </c>
      <c r="Q2212" s="116">
        <v>738.15</v>
      </c>
      <c r="R2212">
        <v>35981</v>
      </c>
    </row>
    <row r="2213" spans="1:18" x14ac:dyDescent="0.25">
      <c r="A2213" s="170">
        <v>46140</v>
      </c>
      <c r="B2213" s="116">
        <v>768.9</v>
      </c>
      <c r="C2213" s="116">
        <v>756.05</v>
      </c>
      <c r="D2213" s="116">
        <v>740</v>
      </c>
      <c r="E2213" s="116">
        <v>740</v>
      </c>
      <c r="F2213" s="116">
        <v>756.05</v>
      </c>
      <c r="G2213">
        <v>2205</v>
      </c>
      <c r="H2213" s="116"/>
      <c r="I2213" s="116"/>
      <c r="L2213" s="170">
        <v>46140</v>
      </c>
      <c r="M2213" s="116">
        <v>756.85</v>
      </c>
      <c r="N2213" s="116">
        <v>769.5</v>
      </c>
      <c r="O2213" s="116">
        <v>738.15</v>
      </c>
      <c r="P2213" s="116">
        <v>738.15</v>
      </c>
      <c r="Q2213" s="116">
        <v>756.85</v>
      </c>
      <c r="R2213">
        <v>71769</v>
      </c>
    </row>
    <row r="2214" spans="1:18" x14ac:dyDescent="0.25">
      <c r="A2214" s="170">
        <v>46141</v>
      </c>
      <c r="B2214" s="116">
        <v>779</v>
      </c>
      <c r="C2214" s="116">
        <v>775.1</v>
      </c>
      <c r="D2214" s="116">
        <v>761.15</v>
      </c>
      <c r="E2214" s="116">
        <v>765.95</v>
      </c>
      <c r="F2214" s="116">
        <v>775.1</v>
      </c>
      <c r="G2214">
        <v>1988</v>
      </c>
      <c r="H2214" s="116"/>
      <c r="I2214" s="116"/>
      <c r="L2214" s="170">
        <v>46141</v>
      </c>
      <c r="M2214" s="116">
        <v>773.5</v>
      </c>
      <c r="N2214" s="116">
        <v>781.25</v>
      </c>
      <c r="O2214" s="116">
        <v>759</v>
      </c>
      <c r="P2214" s="116">
        <v>764.45</v>
      </c>
      <c r="Q2214" s="116">
        <v>773.5</v>
      </c>
      <c r="R2214">
        <v>83642</v>
      </c>
    </row>
    <row r="2215" spans="1:18" x14ac:dyDescent="0.25">
      <c r="A2215" s="170">
        <v>46142</v>
      </c>
      <c r="B2215" s="116">
        <v>831.15</v>
      </c>
      <c r="C2215" s="116">
        <v>788.4</v>
      </c>
      <c r="D2215" s="116">
        <v>769.7</v>
      </c>
      <c r="E2215" s="116">
        <v>769.7</v>
      </c>
      <c r="F2215" s="116">
        <v>788.4</v>
      </c>
      <c r="G2215">
        <v>19317</v>
      </c>
      <c r="H2215" s="116"/>
      <c r="I2215" s="116"/>
      <c r="L2215" s="170">
        <v>46142</v>
      </c>
      <c r="M2215" s="116">
        <v>787.15</v>
      </c>
      <c r="N2215" s="116">
        <v>833.9</v>
      </c>
      <c r="O2215" s="116">
        <v>770.05</v>
      </c>
      <c r="P2215" s="116">
        <v>770.05</v>
      </c>
      <c r="Q2215" s="116">
        <v>787.15</v>
      </c>
      <c r="R2215">
        <v>716513</v>
      </c>
    </row>
    <row r="2216" spans="1:18" x14ac:dyDescent="0.25">
      <c r="A2216" s="170">
        <v>46146</v>
      </c>
      <c r="B2216" s="116">
        <v>828</v>
      </c>
      <c r="C2216" s="116">
        <v>822</v>
      </c>
      <c r="D2216" s="116">
        <v>769.45</v>
      </c>
      <c r="E2216" s="116">
        <v>795</v>
      </c>
      <c r="F2216" s="116">
        <v>822</v>
      </c>
      <c r="G2216">
        <v>11311</v>
      </c>
      <c r="H2216" s="116"/>
      <c r="I2216" s="116"/>
      <c r="L2216" s="170">
        <v>46146</v>
      </c>
      <c r="M2216" s="116">
        <v>816.6</v>
      </c>
      <c r="N2216" s="116">
        <v>827.3</v>
      </c>
      <c r="O2216" s="116">
        <v>770.05</v>
      </c>
      <c r="P2216" s="116">
        <v>799.9</v>
      </c>
      <c r="Q2216" s="116">
        <v>816.6</v>
      </c>
      <c r="R2216">
        <v>303620</v>
      </c>
    </row>
    <row r="2217" spans="1:18" x14ac:dyDescent="0.25">
      <c r="A2217" s="170">
        <v>46147</v>
      </c>
      <c r="B2217" s="116">
        <v>835.75</v>
      </c>
      <c r="C2217" s="116">
        <v>820</v>
      </c>
      <c r="D2217" s="116">
        <v>814.05</v>
      </c>
      <c r="E2217" s="116">
        <v>815</v>
      </c>
      <c r="F2217" s="116">
        <v>820</v>
      </c>
      <c r="G2217">
        <v>3522</v>
      </c>
      <c r="H2217" s="116"/>
      <c r="I2217" s="116"/>
      <c r="L2217" s="170">
        <v>46147</v>
      </c>
      <c r="M2217" s="116">
        <v>819.05</v>
      </c>
      <c r="N2217" s="116">
        <v>839</v>
      </c>
      <c r="O2217" s="116">
        <v>810.15</v>
      </c>
      <c r="P2217" s="116">
        <v>816.6</v>
      </c>
      <c r="Q2217" s="116">
        <v>819.05</v>
      </c>
      <c r="R2217">
        <v>92566</v>
      </c>
    </row>
    <row r="2218" spans="1:18" x14ac:dyDescent="0.25">
      <c r="A2218" s="170">
        <v>46148</v>
      </c>
      <c r="B2218" s="116">
        <v>829.25</v>
      </c>
      <c r="C2218" s="116">
        <v>827.5</v>
      </c>
      <c r="D2218" s="116">
        <v>810.95</v>
      </c>
      <c r="E2218" s="116">
        <v>829</v>
      </c>
      <c r="F2218" s="116">
        <v>827.5</v>
      </c>
      <c r="G2218">
        <v>2836</v>
      </c>
      <c r="H2218" s="116"/>
      <c r="I2218" s="116"/>
      <c r="L2218" s="170">
        <v>46148</v>
      </c>
      <c r="M2218" s="116">
        <v>826.8</v>
      </c>
      <c r="N2218" s="116">
        <v>834.75</v>
      </c>
      <c r="O2218" s="116">
        <v>811</v>
      </c>
      <c r="P2218" s="116">
        <v>822</v>
      </c>
      <c r="Q2218" s="116">
        <v>826.8</v>
      </c>
      <c r="R2218">
        <v>53271</v>
      </c>
    </row>
    <row r="2219" spans="1:18" x14ac:dyDescent="0.25">
      <c r="A2219" s="170">
        <v>46149</v>
      </c>
      <c r="B2219" s="116">
        <v>860</v>
      </c>
      <c r="C2219" s="116">
        <v>852.4</v>
      </c>
      <c r="D2219" s="116">
        <v>819</v>
      </c>
      <c r="E2219" s="116">
        <v>824.8</v>
      </c>
      <c r="F2219" s="116">
        <v>852.4</v>
      </c>
      <c r="G2219">
        <v>6268</v>
      </c>
      <c r="H2219" s="116"/>
      <c r="I2219" s="116"/>
      <c r="L2219" s="170">
        <v>46149</v>
      </c>
      <c r="M2219" s="116">
        <v>850.95</v>
      </c>
      <c r="N2219" s="116">
        <v>860</v>
      </c>
      <c r="O2219" s="116">
        <v>818.75</v>
      </c>
      <c r="P2219" s="116">
        <v>821.9</v>
      </c>
      <c r="Q2219" s="116">
        <v>850.95</v>
      </c>
      <c r="R2219">
        <v>118745</v>
      </c>
    </row>
    <row r="2220" spans="1:18" x14ac:dyDescent="0.25">
      <c r="A2220" s="170">
        <v>46150</v>
      </c>
      <c r="B2220" s="116">
        <v>862.45</v>
      </c>
      <c r="C2220" s="116">
        <v>831.5</v>
      </c>
      <c r="D2220" s="116">
        <v>827</v>
      </c>
      <c r="E2220" s="116">
        <v>850.1</v>
      </c>
      <c r="F2220" s="116">
        <v>831.5</v>
      </c>
      <c r="G2220">
        <v>4632</v>
      </c>
      <c r="H2220" s="116"/>
      <c r="I2220" s="116"/>
      <c r="L2220" s="170">
        <v>46150</v>
      </c>
      <c r="M2220" s="116">
        <v>833.15</v>
      </c>
      <c r="N2220" s="116">
        <v>863</v>
      </c>
      <c r="O2220" s="116">
        <v>826.2</v>
      </c>
      <c r="P2220" s="116">
        <v>850</v>
      </c>
      <c r="Q2220" s="116">
        <v>833.15</v>
      </c>
      <c r="R2220">
        <v>105950</v>
      </c>
    </row>
    <row r="2221" spans="1:18" x14ac:dyDescent="0.25">
      <c r="A2221" s="170">
        <v>46153</v>
      </c>
      <c r="B2221" s="116">
        <v>836.25</v>
      </c>
      <c r="C2221" s="116">
        <v>817.4</v>
      </c>
      <c r="D2221" s="116">
        <v>813.45</v>
      </c>
      <c r="E2221" s="116">
        <v>836.25</v>
      </c>
      <c r="F2221" s="116">
        <v>817.4</v>
      </c>
      <c r="G2221">
        <v>2086</v>
      </c>
      <c r="H2221" s="116"/>
      <c r="I2221" s="116"/>
      <c r="L2221" s="170">
        <v>46153</v>
      </c>
      <c r="M2221" s="116">
        <v>818</v>
      </c>
      <c r="N2221" s="116">
        <v>829.9</v>
      </c>
      <c r="O2221" s="116">
        <v>811.15</v>
      </c>
      <c r="P2221" s="116">
        <v>829.9</v>
      </c>
      <c r="Q2221" s="116">
        <v>818</v>
      </c>
      <c r="R2221">
        <v>65454</v>
      </c>
    </row>
    <row r="2222" spans="1:18" x14ac:dyDescent="0.25">
      <c r="A2222" s="170">
        <v>46154</v>
      </c>
      <c r="B2222" s="116">
        <v>818</v>
      </c>
      <c r="C2222" s="116">
        <v>779.3</v>
      </c>
      <c r="D2222" s="116">
        <v>778</v>
      </c>
      <c r="E2222" s="116">
        <v>817.2</v>
      </c>
      <c r="F2222" s="116">
        <v>779.3</v>
      </c>
      <c r="G2222">
        <v>2496</v>
      </c>
      <c r="H2222" s="116"/>
      <c r="I2222" s="116"/>
      <c r="L2222" s="170">
        <v>46154</v>
      </c>
      <c r="M2222" s="116">
        <v>776.75</v>
      </c>
      <c r="N2222" s="116">
        <v>822.05</v>
      </c>
      <c r="O2222" s="116">
        <v>771.3</v>
      </c>
      <c r="P2222" s="116">
        <v>813</v>
      </c>
      <c r="Q2222" s="116">
        <v>776.75</v>
      </c>
      <c r="R2222">
        <v>64534</v>
      </c>
    </row>
    <row r="2223" spans="1:18" x14ac:dyDescent="0.25">
      <c r="A2223" s="170">
        <v>46155</v>
      </c>
      <c r="B2223" s="116">
        <v>787.65</v>
      </c>
      <c r="C2223" s="116">
        <v>770.3</v>
      </c>
      <c r="D2223" s="116">
        <v>763.75</v>
      </c>
      <c r="E2223" s="116">
        <v>787.65</v>
      </c>
      <c r="F2223" s="116">
        <v>770.3</v>
      </c>
      <c r="G2223">
        <v>4235</v>
      </c>
      <c r="H2223" s="116"/>
      <c r="I2223" s="116"/>
      <c r="L2223" s="170">
        <v>46155</v>
      </c>
      <c r="M2223" s="116">
        <v>768.75</v>
      </c>
      <c r="N2223" s="116">
        <v>787.55</v>
      </c>
      <c r="O2223" s="116">
        <v>765.1</v>
      </c>
      <c r="P2223" s="116">
        <v>780.35</v>
      </c>
      <c r="Q2223" s="116">
        <v>768.75</v>
      </c>
      <c r="R2223">
        <v>49233</v>
      </c>
    </row>
    <row r="2224" spans="1:18" x14ac:dyDescent="0.25">
      <c r="A2224" s="170">
        <v>46156</v>
      </c>
      <c r="B2224" s="116">
        <v>795</v>
      </c>
      <c r="C2224" s="116">
        <v>787.6</v>
      </c>
      <c r="D2224" s="116">
        <v>751.8</v>
      </c>
      <c r="E2224" s="116">
        <v>778.9</v>
      </c>
      <c r="F2224" s="116">
        <v>787.6</v>
      </c>
      <c r="G2224">
        <v>2939</v>
      </c>
      <c r="H2224" s="116"/>
      <c r="I2224" s="116"/>
      <c r="L2224" s="170">
        <v>46156</v>
      </c>
      <c r="M2224" s="116">
        <v>786.7</v>
      </c>
      <c r="N2224" s="116">
        <v>790.35</v>
      </c>
      <c r="O2224" s="116">
        <v>751.8</v>
      </c>
      <c r="P2224" s="116">
        <v>771</v>
      </c>
      <c r="Q2224" s="116">
        <v>786.7</v>
      </c>
      <c r="R2224">
        <v>76705</v>
      </c>
    </row>
    <row r="2225" spans="1:18" x14ac:dyDescent="0.25">
      <c r="A2225" s="170">
        <v>46157</v>
      </c>
      <c r="B2225" s="116">
        <v>797.25</v>
      </c>
      <c r="C2225" s="116">
        <v>782.95</v>
      </c>
      <c r="D2225" s="116">
        <v>772.05</v>
      </c>
      <c r="E2225" s="116">
        <v>775.15</v>
      </c>
      <c r="F2225" s="116">
        <v>782.95</v>
      </c>
      <c r="G2225">
        <v>2461</v>
      </c>
      <c r="H2225" s="116"/>
      <c r="I2225" s="116"/>
      <c r="L2225" s="170">
        <v>46157</v>
      </c>
      <c r="M2225" s="116">
        <v>786.75</v>
      </c>
      <c r="N2225" s="116">
        <v>797.8</v>
      </c>
      <c r="O2225" s="116">
        <v>773</v>
      </c>
      <c r="P2225" s="116">
        <v>780.05</v>
      </c>
      <c r="Q2225" s="116">
        <v>786.75</v>
      </c>
      <c r="R2225">
        <v>43190</v>
      </c>
    </row>
    <row r="2226" spans="1:18" x14ac:dyDescent="0.25">
      <c r="A2226" s="170">
        <v>46160</v>
      </c>
      <c r="B2226" s="116">
        <v>775.25</v>
      </c>
      <c r="C2226" s="116">
        <v>755.6</v>
      </c>
      <c r="D2226" s="116">
        <v>745.65</v>
      </c>
      <c r="E2226" s="116">
        <v>775.2</v>
      </c>
      <c r="F2226" s="116">
        <v>755.6</v>
      </c>
      <c r="G2226">
        <v>1136</v>
      </c>
      <c r="H2226" s="116"/>
      <c r="I2226" s="116"/>
      <c r="L2226" s="170">
        <v>46160</v>
      </c>
      <c r="M2226" s="116">
        <v>756.6</v>
      </c>
      <c r="N2226" s="116">
        <v>785.5</v>
      </c>
      <c r="O2226" s="116">
        <v>746.55</v>
      </c>
      <c r="P2226" s="116">
        <v>785.5</v>
      </c>
      <c r="Q2226" s="116">
        <v>756.6</v>
      </c>
      <c r="R2226">
        <v>66525</v>
      </c>
    </row>
    <row r="2227" spans="1:18" x14ac:dyDescent="0.25">
      <c r="A2227" s="170">
        <v>46161</v>
      </c>
      <c r="B2227" s="116">
        <v>788.8</v>
      </c>
      <c r="C2227" s="116">
        <v>773</v>
      </c>
      <c r="D2227" s="116">
        <v>760</v>
      </c>
      <c r="E2227" s="116">
        <v>760</v>
      </c>
      <c r="F2227" s="116">
        <v>773</v>
      </c>
      <c r="G2227">
        <v>3804</v>
      </c>
      <c r="H2227" s="116"/>
      <c r="I2227" s="116"/>
      <c r="L2227" s="170">
        <v>46161</v>
      </c>
      <c r="M2227" s="116">
        <v>773</v>
      </c>
      <c r="N2227" s="116">
        <v>790.05</v>
      </c>
      <c r="O2227" s="116">
        <v>756.85</v>
      </c>
      <c r="P2227" s="116">
        <v>756.85</v>
      </c>
      <c r="Q2227" s="116">
        <v>773</v>
      </c>
      <c r="R2227">
        <v>53984</v>
      </c>
    </row>
    <row r="2228" spans="1:18" x14ac:dyDescent="0.25">
      <c r="A2228" s="170">
        <v>46162</v>
      </c>
      <c r="B2228" s="116">
        <v>773.45</v>
      </c>
      <c r="C2228" s="116">
        <v>768.95</v>
      </c>
      <c r="D2228" s="116">
        <v>760.35</v>
      </c>
      <c r="E2228" s="116">
        <v>761</v>
      </c>
      <c r="F2228" s="116">
        <v>768.95</v>
      </c>
      <c r="G2228">
        <v>4620</v>
      </c>
      <c r="H2228" s="116"/>
      <c r="I2228" s="116"/>
      <c r="L2228" s="170">
        <v>46162</v>
      </c>
      <c r="M2228" s="116">
        <v>767.15</v>
      </c>
      <c r="N2228" s="116">
        <v>773.8</v>
      </c>
      <c r="O2228" s="116">
        <v>758.1</v>
      </c>
      <c r="P2228" s="116">
        <v>767.9</v>
      </c>
      <c r="Q2228" s="116">
        <v>767.15</v>
      </c>
      <c r="R2228">
        <v>30263</v>
      </c>
    </row>
    <row r="2229" spans="1:18" x14ac:dyDescent="0.25">
      <c r="A2229" s="170">
        <v>46163</v>
      </c>
      <c r="B2229" s="116">
        <v>795.65</v>
      </c>
      <c r="C2229" s="116">
        <v>788.95</v>
      </c>
      <c r="D2229" s="116">
        <v>772.65</v>
      </c>
      <c r="E2229" s="116">
        <v>772.65</v>
      </c>
      <c r="F2229" s="116">
        <v>788.95</v>
      </c>
      <c r="G2229">
        <v>3693</v>
      </c>
      <c r="H2229" s="116"/>
      <c r="I2229" s="116"/>
      <c r="L2229" s="170">
        <v>46163</v>
      </c>
      <c r="M2229" s="116">
        <v>785.45</v>
      </c>
      <c r="N2229" s="116">
        <v>796.95</v>
      </c>
      <c r="O2229" s="116">
        <v>771.45</v>
      </c>
      <c r="P2229" s="116">
        <v>782.5</v>
      </c>
      <c r="Q2229" s="116">
        <v>785.45</v>
      </c>
      <c r="R2229">
        <v>83074</v>
      </c>
    </row>
    <row r="2230" spans="1:18" x14ac:dyDescent="0.25">
      <c r="A2230" s="170">
        <v>46164</v>
      </c>
      <c r="B2230" s="116">
        <v>781</v>
      </c>
      <c r="C2230" s="116">
        <v>763.7</v>
      </c>
      <c r="D2230" s="116">
        <v>762</v>
      </c>
      <c r="E2230" s="116">
        <v>781</v>
      </c>
      <c r="F2230" s="116">
        <v>763.7</v>
      </c>
      <c r="G2230">
        <v>2188</v>
      </c>
      <c r="H2230" s="116"/>
      <c r="I2230" s="116"/>
      <c r="L2230" s="170">
        <v>46164</v>
      </c>
      <c r="M2230" s="116">
        <v>763.3</v>
      </c>
      <c r="N2230" s="116">
        <v>782.9</v>
      </c>
      <c r="O2230" s="116">
        <v>761.05</v>
      </c>
      <c r="P2230" s="116">
        <v>782.9</v>
      </c>
      <c r="Q2230" s="116">
        <v>763.3</v>
      </c>
      <c r="R2230">
        <v>51681</v>
      </c>
    </row>
    <row r="2231" spans="1:18" x14ac:dyDescent="0.25">
      <c r="A2231" s="170">
        <v>46167</v>
      </c>
      <c r="B2231" s="116">
        <v>780.25</v>
      </c>
      <c r="C2231" s="116">
        <v>773.15</v>
      </c>
      <c r="D2231" s="116">
        <v>761.4</v>
      </c>
      <c r="E2231" s="116">
        <v>761.4</v>
      </c>
      <c r="F2231" s="116">
        <v>773.15</v>
      </c>
      <c r="G2231">
        <v>2081</v>
      </c>
      <c r="H2231" s="116"/>
      <c r="I2231" s="116"/>
      <c r="L2231" s="170">
        <v>46167</v>
      </c>
      <c r="M2231" s="116">
        <v>772.45</v>
      </c>
      <c r="N2231" s="116">
        <v>782.6</v>
      </c>
      <c r="O2231" s="116">
        <v>767</v>
      </c>
      <c r="P2231" s="116">
        <v>770</v>
      </c>
      <c r="Q2231" s="116">
        <v>772.45</v>
      </c>
      <c r="R2231">
        <v>65620</v>
      </c>
    </row>
    <row r="2232" spans="1:18" x14ac:dyDescent="0.25">
      <c r="A2232" s="170">
        <v>46168</v>
      </c>
      <c r="B2232" s="116">
        <v>839.45</v>
      </c>
      <c r="C2232" s="116">
        <v>834.7</v>
      </c>
      <c r="D2232" s="116">
        <v>778.65</v>
      </c>
      <c r="E2232" s="116">
        <v>778.65</v>
      </c>
      <c r="F2232" s="116">
        <v>834.7</v>
      </c>
      <c r="G2232">
        <v>7734</v>
      </c>
      <c r="H2232" s="116"/>
      <c r="I2232" s="116"/>
      <c r="L2232" s="170">
        <v>46168</v>
      </c>
      <c r="M2232" s="116">
        <v>836.05</v>
      </c>
      <c r="N2232" s="116">
        <v>840</v>
      </c>
      <c r="O2232" s="116">
        <v>773.55</v>
      </c>
      <c r="P2232" s="116">
        <v>776</v>
      </c>
      <c r="Q2232" s="116">
        <v>836.05</v>
      </c>
      <c r="R2232">
        <v>278446</v>
      </c>
    </row>
    <row r="2233" spans="1:18" x14ac:dyDescent="0.25">
      <c r="A2233" s="170">
        <v>46169</v>
      </c>
      <c r="B2233" s="116">
        <v>874.55</v>
      </c>
      <c r="C2233" s="116">
        <v>869.1</v>
      </c>
      <c r="D2233" s="116">
        <v>826.65</v>
      </c>
      <c r="E2233" s="116">
        <v>851.4</v>
      </c>
      <c r="F2233" s="116">
        <v>869.1</v>
      </c>
      <c r="G2233">
        <v>6337</v>
      </c>
      <c r="H2233" s="116"/>
      <c r="I2233" s="116"/>
      <c r="L2233" s="170">
        <v>46169</v>
      </c>
      <c r="M2233" s="116">
        <v>869.85</v>
      </c>
      <c r="N2233" s="116">
        <v>879</v>
      </c>
      <c r="O2233" s="116">
        <v>824.55</v>
      </c>
      <c r="P2233" s="116">
        <v>839.9</v>
      </c>
      <c r="Q2233" s="116">
        <v>869.85</v>
      </c>
      <c r="R2233">
        <v>277666</v>
      </c>
    </row>
    <row r="2234" spans="1:18" x14ac:dyDescent="0.25">
      <c r="A2234" s="170">
        <v>46171</v>
      </c>
      <c r="B2234" s="116">
        <v>883.8</v>
      </c>
      <c r="C2234" s="116">
        <v>854.6</v>
      </c>
      <c r="D2234" s="116">
        <v>846.9</v>
      </c>
      <c r="E2234" s="116">
        <v>883.8</v>
      </c>
      <c r="F2234" s="116">
        <v>854.6</v>
      </c>
      <c r="G2234">
        <v>3578</v>
      </c>
      <c r="H2234" s="116"/>
      <c r="I2234" s="116"/>
      <c r="L2234" s="170">
        <v>46171</v>
      </c>
      <c r="M2234" s="116">
        <v>854.7</v>
      </c>
      <c r="N2234" s="116">
        <v>874.15</v>
      </c>
      <c r="O2234" s="116">
        <v>845.65</v>
      </c>
      <c r="P2234" s="116">
        <v>872.45</v>
      </c>
      <c r="Q2234" s="116">
        <v>854.7</v>
      </c>
      <c r="R2234">
        <v>98759</v>
      </c>
    </row>
    <row r="2235" spans="1:18" x14ac:dyDescent="0.25">
      <c r="A2235" s="170">
        <v>46174</v>
      </c>
      <c r="B2235" s="116">
        <v>880</v>
      </c>
      <c r="C2235" s="116">
        <v>840.8</v>
      </c>
      <c r="D2235" s="116">
        <v>836.4</v>
      </c>
      <c r="E2235" s="116">
        <v>851.45</v>
      </c>
      <c r="F2235" s="116">
        <v>840.8</v>
      </c>
      <c r="G2235">
        <v>4008</v>
      </c>
      <c r="H2235" s="116"/>
      <c r="I2235" s="116"/>
      <c r="L2235" s="170">
        <v>46174</v>
      </c>
      <c r="M2235" s="116">
        <v>839.85</v>
      </c>
      <c r="N2235" s="116">
        <v>883.75</v>
      </c>
      <c r="O2235" s="116">
        <v>831</v>
      </c>
      <c r="P2235" s="116">
        <v>873.25</v>
      </c>
      <c r="Q2235" s="116">
        <v>839.85</v>
      </c>
      <c r="R2235">
        <v>170534</v>
      </c>
    </row>
    <row r="2236" spans="1:18" x14ac:dyDescent="0.25">
      <c r="A2236" s="170">
        <v>46175</v>
      </c>
      <c r="B2236" s="116">
        <v>862.3</v>
      </c>
      <c r="C2236" s="116">
        <v>844.45</v>
      </c>
      <c r="D2236" s="116">
        <v>834</v>
      </c>
      <c r="E2236" s="116">
        <v>834.9</v>
      </c>
      <c r="F2236" s="116">
        <v>844.45</v>
      </c>
      <c r="G2236">
        <v>3843</v>
      </c>
      <c r="H2236" s="116"/>
      <c r="I2236" s="116"/>
      <c r="L2236" s="170">
        <v>46175</v>
      </c>
      <c r="M2236" s="116">
        <v>842.65</v>
      </c>
      <c r="N2236" s="116">
        <v>860.5</v>
      </c>
      <c r="O2236" s="116">
        <v>831</v>
      </c>
      <c r="P2236" s="116">
        <v>838</v>
      </c>
      <c r="Q2236" s="116">
        <v>842.65</v>
      </c>
      <c r="R2236">
        <v>70581</v>
      </c>
    </row>
    <row r="2237" spans="1:18" x14ac:dyDescent="0.25">
      <c r="A2237" s="170">
        <v>46176</v>
      </c>
      <c r="B2237" s="116">
        <v>846</v>
      </c>
      <c r="C2237" s="116">
        <v>819.9</v>
      </c>
      <c r="D2237" s="116">
        <v>806.8</v>
      </c>
      <c r="E2237" s="116">
        <v>843</v>
      </c>
      <c r="F2237" s="116">
        <v>819.9</v>
      </c>
      <c r="G2237">
        <v>14110</v>
      </c>
      <c r="H2237" s="116"/>
      <c r="I2237" s="116"/>
      <c r="L2237" s="170">
        <v>46176</v>
      </c>
      <c r="M2237" s="116">
        <v>820.05</v>
      </c>
      <c r="N2237" s="116">
        <v>852.4</v>
      </c>
      <c r="O2237" s="116">
        <v>808.05</v>
      </c>
      <c r="P2237" s="116">
        <v>849.7</v>
      </c>
      <c r="Q2237" s="116">
        <v>820.05</v>
      </c>
      <c r="R2237">
        <v>189429</v>
      </c>
    </row>
    <row r="2238" spans="1:18" x14ac:dyDescent="0.25">
      <c r="A2238" s="170">
        <v>46177</v>
      </c>
      <c r="B2238" s="116">
        <v>957.75</v>
      </c>
      <c r="C2238" s="116">
        <v>899.7</v>
      </c>
      <c r="D2238" s="116">
        <v>819</v>
      </c>
      <c r="E2238" s="116">
        <v>819</v>
      </c>
      <c r="F2238" s="116">
        <v>899.7</v>
      </c>
      <c r="G2238">
        <v>27545</v>
      </c>
      <c r="H2238" s="116"/>
      <c r="I2238" s="116"/>
      <c r="L2238" s="170">
        <v>46177</v>
      </c>
      <c r="M2238" s="116">
        <v>898.65</v>
      </c>
      <c r="N2238" s="116">
        <v>960</v>
      </c>
      <c r="O2238" s="116">
        <v>818.3</v>
      </c>
      <c r="P2238" s="116">
        <v>821</v>
      </c>
      <c r="Q2238" s="116">
        <v>898.65</v>
      </c>
      <c r="R2238">
        <v>793302</v>
      </c>
    </row>
    <row r="2239" spans="1:18" x14ac:dyDescent="0.25">
      <c r="A2239" s="170">
        <v>46178</v>
      </c>
      <c r="B2239" s="116">
        <v>908.95</v>
      </c>
      <c r="C2239" s="116">
        <v>873.1</v>
      </c>
      <c r="D2239" s="116">
        <v>865.6</v>
      </c>
      <c r="E2239" s="116">
        <v>899.05</v>
      </c>
      <c r="F2239" s="116">
        <v>873.1</v>
      </c>
      <c r="G2239">
        <v>5603</v>
      </c>
      <c r="H2239" s="116"/>
      <c r="I2239" s="116"/>
      <c r="L2239" s="170">
        <v>46178</v>
      </c>
      <c r="M2239" s="116">
        <v>873.45</v>
      </c>
      <c r="N2239" s="116">
        <v>908.9</v>
      </c>
      <c r="O2239" s="116">
        <v>863.55</v>
      </c>
      <c r="P2239" s="116">
        <v>907.95</v>
      </c>
      <c r="Q2239" s="116">
        <v>873.45</v>
      </c>
      <c r="R2239">
        <v>136987</v>
      </c>
    </row>
    <row r="2240" spans="1:18" x14ac:dyDescent="0.25">
      <c r="A2240" s="170">
        <v>46181</v>
      </c>
      <c r="B2240" s="116">
        <v>885.7</v>
      </c>
      <c r="C2240" s="116">
        <v>848.4</v>
      </c>
      <c r="D2240" s="116">
        <v>838.5</v>
      </c>
      <c r="E2240" s="116">
        <v>861.05</v>
      </c>
      <c r="F2240" s="116">
        <v>848.4</v>
      </c>
      <c r="G2240">
        <v>3322</v>
      </c>
      <c r="H2240" s="116"/>
      <c r="I2240" s="116"/>
      <c r="L2240" s="170">
        <v>46181</v>
      </c>
      <c r="M2240" s="116">
        <v>852.6</v>
      </c>
      <c r="N2240" s="116">
        <v>888</v>
      </c>
      <c r="O2240" s="116">
        <v>837.05</v>
      </c>
      <c r="P2240" s="116">
        <v>865.5</v>
      </c>
      <c r="Q2240" s="116">
        <v>852.6</v>
      </c>
      <c r="R2240">
        <v>74744</v>
      </c>
    </row>
    <row r="2241" spans="1:18" x14ac:dyDescent="0.25">
      <c r="A2241" s="170">
        <v>46182</v>
      </c>
      <c r="B2241" s="116">
        <v>925.15</v>
      </c>
      <c r="C2241" s="116">
        <v>920.3</v>
      </c>
      <c r="D2241" s="116">
        <v>862</v>
      </c>
      <c r="E2241" s="116">
        <v>862</v>
      </c>
      <c r="F2241" s="116">
        <v>920.3</v>
      </c>
      <c r="G2241">
        <v>9402</v>
      </c>
      <c r="H2241" s="116"/>
      <c r="I2241" s="116"/>
      <c r="L2241" s="170">
        <v>46182</v>
      </c>
      <c r="M2241" s="116">
        <v>917.7</v>
      </c>
      <c r="N2241" s="116">
        <v>925</v>
      </c>
      <c r="O2241" s="116">
        <v>858.05</v>
      </c>
      <c r="P2241" s="116">
        <v>862</v>
      </c>
      <c r="Q2241" s="116">
        <v>917.7</v>
      </c>
      <c r="R2241">
        <v>451879</v>
      </c>
    </row>
    <row r="2242" spans="1:18" x14ac:dyDescent="0.25">
      <c r="A2242" s="170">
        <v>46183</v>
      </c>
      <c r="B2242" s="116">
        <v>940</v>
      </c>
      <c r="C2242" s="116">
        <v>887.7</v>
      </c>
      <c r="D2242" s="116">
        <v>884.05</v>
      </c>
      <c r="E2242" s="116">
        <v>920.65</v>
      </c>
      <c r="F2242" s="116">
        <v>887.7</v>
      </c>
      <c r="G2242">
        <v>22372</v>
      </c>
      <c r="H2242" s="116"/>
      <c r="I2242" s="116"/>
      <c r="L2242" s="170">
        <v>46183</v>
      </c>
      <c r="M2242" s="116">
        <v>888.1</v>
      </c>
      <c r="N2242" s="116">
        <v>940</v>
      </c>
      <c r="O2242" s="116">
        <v>882.8</v>
      </c>
      <c r="P2242" s="116">
        <v>922.3</v>
      </c>
      <c r="Q2242" s="116">
        <v>888.1</v>
      </c>
      <c r="R2242">
        <v>228598</v>
      </c>
    </row>
    <row r="2243" spans="1:18" x14ac:dyDescent="0.25">
      <c r="A2243" s="170">
        <v>46184</v>
      </c>
      <c r="B2243" s="116">
        <v>918.95</v>
      </c>
      <c r="C2243" s="116">
        <v>877.9</v>
      </c>
      <c r="D2243" s="116">
        <v>874.4</v>
      </c>
      <c r="E2243" s="116">
        <v>887.7</v>
      </c>
      <c r="F2243" s="116">
        <v>877.9</v>
      </c>
      <c r="G2243">
        <v>3738</v>
      </c>
      <c r="H2243" s="116"/>
      <c r="I2243" s="116"/>
      <c r="L2243" s="170">
        <v>46184</v>
      </c>
      <c r="M2243" s="116">
        <v>877.9</v>
      </c>
      <c r="N2243" s="116">
        <v>919.75</v>
      </c>
      <c r="O2243" s="116">
        <v>873.35</v>
      </c>
      <c r="P2243" s="116">
        <v>886.45</v>
      </c>
      <c r="Q2243" s="116">
        <v>877.9</v>
      </c>
      <c r="R2243">
        <v>118280</v>
      </c>
    </row>
    <row r="2244" spans="1:18" x14ac:dyDescent="0.25">
      <c r="A2244" s="170">
        <v>46185</v>
      </c>
      <c r="B2244" s="116">
        <v>922.1</v>
      </c>
      <c r="C2244" s="116">
        <v>914.5</v>
      </c>
      <c r="D2244" s="116">
        <v>890.75</v>
      </c>
      <c r="E2244" s="116">
        <v>897.8</v>
      </c>
      <c r="F2244" s="116">
        <v>914.5</v>
      </c>
      <c r="G2244">
        <v>5349</v>
      </c>
      <c r="H2244" s="116"/>
      <c r="I2244" s="116"/>
      <c r="L2244" s="170">
        <v>46185</v>
      </c>
      <c r="M2244" s="116">
        <v>917.2</v>
      </c>
      <c r="N2244" s="116">
        <v>923.9</v>
      </c>
      <c r="O2244" s="116">
        <v>889</v>
      </c>
      <c r="P2244" s="116">
        <v>893</v>
      </c>
      <c r="Q2244" s="116">
        <v>917.2</v>
      </c>
      <c r="R2244">
        <v>161387</v>
      </c>
    </row>
    <row r="2245" spans="1:18" x14ac:dyDescent="0.25">
      <c r="A2245" s="170">
        <v>46188</v>
      </c>
      <c r="B2245" s="116">
        <v>945.5</v>
      </c>
      <c r="C2245" s="116">
        <v>921.55</v>
      </c>
      <c r="D2245" s="116">
        <v>913.4</v>
      </c>
      <c r="E2245" s="116">
        <v>945.5</v>
      </c>
      <c r="F2245" s="116">
        <v>921.55</v>
      </c>
      <c r="G2245">
        <v>4644</v>
      </c>
      <c r="H2245" s="116"/>
      <c r="I2245" s="116"/>
      <c r="L2245" s="170">
        <v>46188</v>
      </c>
      <c r="M2245" s="116">
        <v>921.35</v>
      </c>
      <c r="N2245" s="116">
        <v>937.05</v>
      </c>
      <c r="O2245" s="116">
        <v>908.35</v>
      </c>
      <c r="P2245" s="116">
        <v>928.95</v>
      </c>
      <c r="Q2245" s="116">
        <v>921.35</v>
      </c>
      <c r="R2245">
        <v>114490</v>
      </c>
    </row>
    <row r="2246" spans="1:18" x14ac:dyDescent="0.25">
      <c r="A2246" s="170">
        <v>46189</v>
      </c>
      <c r="B2246" s="116">
        <v>924.25</v>
      </c>
      <c r="C2246" s="116">
        <v>908.35</v>
      </c>
      <c r="D2246" s="116">
        <v>901</v>
      </c>
      <c r="E2246" s="116">
        <v>919.4</v>
      </c>
      <c r="F2246" s="116">
        <v>908.35</v>
      </c>
      <c r="G2246">
        <v>4095</v>
      </c>
      <c r="H2246" s="116"/>
      <c r="I2246" s="116"/>
      <c r="L2246" s="170">
        <v>46189</v>
      </c>
      <c r="M2246" s="116">
        <v>907.8</v>
      </c>
      <c r="N2246" s="116">
        <v>925.75</v>
      </c>
      <c r="O2246" s="116">
        <v>900.2</v>
      </c>
      <c r="P2246" s="116">
        <v>921</v>
      </c>
      <c r="Q2246" s="116">
        <v>907.8</v>
      </c>
      <c r="R2246">
        <v>62820</v>
      </c>
    </row>
    <row r="2247" spans="1:18" x14ac:dyDescent="0.25">
      <c r="A2247" s="170">
        <v>46190</v>
      </c>
      <c r="B2247" s="116">
        <v>923.5</v>
      </c>
      <c r="C2247" s="116">
        <v>909.55</v>
      </c>
      <c r="D2247" s="116">
        <v>905.1</v>
      </c>
      <c r="E2247" s="116">
        <v>917.1</v>
      </c>
      <c r="F2247" s="116">
        <v>909.55</v>
      </c>
      <c r="G2247">
        <v>2814</v>
      </c>
      <c r="H2247" s="116"/>
      <c r="I2247" s="116"/>
      <c r="L2247" s="170">
        <v>46190</v>
      </c>
      <c r="M2247" s="116">
        <v>907.45</v>
      </c>
      <c r="N2247" s="116">
        <v>923.95</v>
      </c>
      <c r="O2247" s="116">
        <v>902.1</v>
      </c>
      <c r="P2247" s="116">
        <v>915</v>
      </c>
      <c r="Q2247" s="116">
        <v>907.45</v>
      </c>
      <c r="R2247">
        <v>62976</v>
      </c>
    </row>
    <row r="2248" spans="1:18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8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8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8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8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8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8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8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8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2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2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2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2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2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2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2" x14ac:dyDescent="0.25">
      <c r="A2311" s="170"/>
      <c r="B2311" s="116"/>
      <c r="C2311" s="116"/>
      <c r="D2311" s="116"/>
      <c r="E2311" s="116"/>
      <c r="F2311" s="116"/>
      <c r="H2311" s="116"/>
      <c r="I2311" s="116"/>
      <c r="L2311" s="170"/>
    </row>
    <row r="2312" spans="1:12" x14ac:dyDescent="0.25">
      <c r="A2312" s="170"/>
      <c r="B2312" s="116"/>
      <c r="C2312" s="116"/>
      <c r="D2312" s="116"/>
      <c r="E2312" s="116"/>
      <c r="F2312" s="116"/>
      <c r="H2312" s="116"/>
      <c r="I2312" s="116"/>
      <c r="L2312" s="170"/>
    </row>
    <row r="2313" spans="1:12" x14ac:dyDescent="0.25">
      <c r="A2313" s="170"/>
      <c r="B2313" s="116"/>
      <c r="C2313" s="116"/>
      <c r="D2313" s="116"/>
      <c r="E2313" s="116"/>
      <c r="F2313" s="116"/>
      <c r="H2313" s="116"/>
      <c r="I2313" s="116"/>
      <c r="L2313" s="170"/>
    </row>
    <row r="2314" spans="1:12" x14ac:dyDescent="0.25">
      <c r="A2314" s="170"/>
      <c r="B2314" s="116"/>
      <c r="C2314" s="116"/>
      <c r="D2314" s="116"/>
      <c r="E2314" s="116"/>
      <c r="F2314" s="116"/>
      <c r="H2314" s="116"/>
      <c r="I2314" s="116"/>
      <c r="L2314" s="170"/>
    </row>
    <row r="2315" spans="1:12" x14ac:dyDescent="0.25">
      <c r="A2315" s="170"/>
      <c r="B2315" s="116"/>
      <c r="C2315" s="116"/>
      <c r="D2315" s="116"/>
      <c r="E2315" s="116"/>
      <c r="F2315" s="116"/>
      <c r="H2315" s="116"/>
      <c r="I2315" s="116"/>
      <c r="L2315" s="170"/>
    </row>
    <row r="2316" spans="1:12" x14ac:dyDescent="0.25">
      <c r="A2316" s="170"/>
      <c r="B2316" s="116"/>
      <c r="C2316" s="116"/>
      <c r="D2316" s="116"/>
      <c r="E2316" s="116"/>
      <c r="F2316" s="116"/>
      <c r="H2316" s="116"/>
      <c r="I2316" s="116"/>
      <c r="L2316" s="170"/>
    </row>
    <row r="2317" spans="1:12" x14ac:dyDescent="0.25">
      <c r="A2317" s="170"/>
      <c r="B2317" s="116"/>
      <c r="C2317" s="116"/>
      <c r="D2317" s="116"/>
      <c r="E2317" s="116"/>
      <c r="F2317" s="116"/>
      <c r="H2317" s="116"/>
      <c r="I2317" s="116"/>
      <c r="L2317" s="170"/>
    </row>
    <row r="2318" spans="1:12" x14ac:dyDescent="0.25">
      <c r="A2318" s="170"/>
      <c r="B2318" s="116"/>
      <c r="C2318" s="116"/>
      <c r="D2318" s="116"/>
      <c r="E2318" s="116"/>
      <c r="F2318" s="116"/>
      <c r="H2318" s="116"/>
      <c r="I2318" s="116"/>
      <c r="L2318" s="170"/>
    </row>
    <row r="2319" spans="1:12" x14ac:dyDescent="0.25">
      <c r="A2319" s="170"/>
      <c r="B2319" s="116"/>
      <c r="C2319" s="116"/>
      <c r="D2319" s="116"/>
      <c r="E2319" s="116"/>
      <c r="F2319" s="116"/>
      <c r="H2319" s="116"/>
      <c r="I2319" s="116"/>
      <c r="L2319" s="170"/>
    </row>
    <row r="2320" spans="1:12" x14ac:dyDescent="0.25">
      <c r="A2320" s="170"/>
      <c r="B2320" s="116"/>
      <c r="C2320" s="116"/>
      <c r="D2320" s="116"/>
      <c r="E2320" s="116"/>
      <c r="F2320" s="116"/>
      <c r="H2320" s="116"/>
      <c r="I2320" s="116"/>
      <c r="L2320" s="170"/>
    </row>
    <row r="2321" spans="1:12" x14ac:dyDescent="0.25">
      <c r="A2321" s="170"/>
      <c r="B2321" s="116"/>
      <c r="C2321" s="116"/>
      <c r="D2321" s="116"/>
      <c r="E2321" s="116"/>
      <c r="F2321" s="116"/>
      <c r="H2321" s="116"/>
      <c r="I2321" s="116"/>
      <c r="L2321" s="170"/>
    </row>
    <row r="2322" spans="1:12" x14ac:dyDescent="0.25">
      <c r="A2322" s="170"/>
      <c r="B2322" s="116"/>
      <c r="C2322" s="116"/>
      <c r="D2322" s="116"/>
      <c r="E2322" s="116"/>
      <c r="F2322" s="116"/>
      <c r="H2322" s="116"/>
      <c r="I2322" s="116"/>
      <c r="L2322" s="170"/>
    </row>
    <row r="2323" spans="1:12" x14ac:dyDescent="0.25">
      <c r="A2323" s="170"/>
      <c r="B2323" s="116"/>
      <c r="C2323" s="116"/>
      <c r="D2323" s="116"/>
      <c r="E2323" s="116"/>
      <c r="F2323" s="116"/>
      <c r="H2323" s="116"/>
      <c r="I2323" s="116"/>
      <c r="L2323" s="170"/>
    </row>
    <row r="2324" spans="1:12" x14ac:dyDescent="0.25">
      <c r="A2324" s="170"/>
      <c r="B2324" s="116"/>
      <c r="C2324" s="116"/>
      <c r="D2324" s="116"/>
      <c r="E2324" s="116"/>
      <c r="F2324" s="116"/>
      <c r="H2324" s="116"/>
      <c r="I2324" s="116"/>
      <c r="L2324" s="170"/>
    </row>
    <row r="2325" spans="1:12" x14ac:dyDescent="0.25">
      <c r="A2325" s="170"/>
      <c r="B2325" s="116"/>
      <c r="C2325" s="116"/>
      <c r="D2325" s="116"/>
      <c r="E2325" s="116"/>
      <c r="F2325" s="116"/>
      <c r="H2325" s="116"/>
      <c r="I2325" s="116"/>
      <c r="L2325" s="170"/>
    </row>
    <row r="2326" spans="1:12" x14ac:dyDescent="0.25">
      <c r="A2326" s="170"/>
      <c r="B2326" s="116"/>
      <c r="C2326" s="116"/>
      <c r="D2326" s="116"/>
      <c r="E2326" s="116"/>
      <c r="F2326" s="116"/>
      <c r="H2326" s="116"/>
      <c r="I2326" s="116"/>
      <c r="L2326" s="170"/>
    </row>
    <row r="2327" spans="1:12" x14ac:dyDescent="0.25">
      <c r="A2327" s="170"/>
      <c r="B2327" s="116"/>
      <c r="C2327" s="116"/>
      <c r="D2327" s="116"/>
      <c r="E2327" s="116"/>
      <c r="F2327" s="116"/>
      <c r="H2327" s="116"/>
      <c r="I2327" s="116"/>
      <c r="L2327" s="170"/>
    </row>
    <row r="2328" spans="1:12" x14ac:dyDescent="0.25">
      <c r="A2328" s="170"/>
      <c r="B2328" s="116"/>
      <c r="C2328" s="116"/>
      <c r="D2328" s="116"/>
      <c r="E2328" s="116"/>
      <c r="F2328" s="116"/>
      <c r="H2328" s="116"/>
      <c r="I2328" s="116"/>
      <c r="L2328" s="170"/>
    </row>
    <row r="2329" spans="1:12" x14ac:dyDescent="0.25">
      <c r="A2329" s="170"/>
      <c r="B2329" s="116"/>
      <c r="C2329" s="116"/>
      <c r="D2329" s="116"/>
      <c r="E2329" s="116"/>
      <c r="F2329" s="116"/>
      <c r="H2329" s="116"/>
      <c r="I2329" s="116"/>
      <c r="L2329" s="170"/>
    </row>
    <row r="2330" spans="1:12" x14ac:dyDescent="0.25">
      <c r="A2330" s="170"/>
      <c r="B2330" s="116"/>
      <c r="C2330" s="116"/>
      <c r="D2330" s="116"/>
      <c r="E2330" s="116"/>
      <c r="F2330" s="116"/>
      <c r="H2330" s="116"/>
      <c r="I2330" s="116"/>
      <c r="L2330" s="170"/>
    </row>
    <row r="2331" spans="1:12" x14ac:dyDescent="0.25">
      <c r="A2331" s="170"/>
      <c r="B2331" s="116"/>
      <c r="C2331" s="116"/>
      <c r="D2331" s="116"/>
      <c r="E2331" s="116"/>
      <c r="F2331" s="116"/>
      <c r="H2331" s="116"/>
      <c r="I2331" s="116"/>
      <c r="L2331" s="170"/>
    </row>
    <row r="2332" spans="1:12" x14ac:dyDescent="0.25">
      <c r="A2332" s="170"/>
      <c r="B2332" s="116"/>
      <c r="C2332" s="116"/>
      <c r="D2332" s="116"/>
      <c r="E2332" s="116"/>
      <c r="F2332" s="116"/>
      <c r="H2332" s="116"/>
      <c r="I2332" s="116"/>
      <c r="L2332" s="170"/>
    </row>
    <row r="2333" spans="1:12" x14ac:dyDescent="0.25">
      <c r="A2333" s="170"/>
      <c r="B2333" s="116"/>
      <c r="C2333" s="116"/>
      <c r="D2333" s="116"/>
      <c r="E2333" s="116"/>
      <c r="F2333" s="116"/>
      <c r="H2333" s="116"/>
      <c r="I2333" s="116"/>
      <c r="L2333" s="170"/>
    </row>
    <row r="2334" spans="1:12" x14ac:dyDescent="0.25">
      <c r="A2334" s="170"/>
      <c r="B2334" s="116"/>
      <c r="C2334" s="116"/>
      <c r="D2334" s="116"/>
      <c r="E2334" s="116"/>
      <c r="F2334" s="116"/>
      <c r="H2334" s="116"/>
      <c r="I2334" s="116"/>
      <c r="L2334" s="170"/>
    </row>
    <row r="2335" spans="1:12" x14ac:dyDescent="0.25">
      <c r="A2335" s="170"/>
      <c r="B2335" s="116"/>
      <c r="C2335" s="116"/>
      <c r="D2335" s="116"/>
      <c r="E2335" s="116"/>
      <c r="F2335" s="116"/>
      <c r="H2335" s="116"/>
      <c r="I2335" s="116"/>
      <c r="L2335" s="170"/>
    </row>
    <row r="2336" spans="1:12" x14ac:dyDescent="0.25">
      <c r="A2336" s="170"/>
      <c r="B2336" s="116"/>
      <c r="C2336" s="116"/>
      <c r="D2336" s="116"/>
      <c r="E2336" s="116"/>
      <c r="F2336" s="116"/>
      <c r="H2336" s="116"/>
      <c r="I2336" s="116"/>
      <c r="L2336" s="170"/>
    </row>
    <row r="2337" spans="1:12" x14ac:dyDescent="0.25">
      <c r="A2337" s="170"/>
      <c r="B2337" s="116"/>
      <c r="C2337" s="116"/>
      <c r="D2337" s="116"/>
      <c r="E2337" s="116"/>
      <c r="F2337" s="116"/>
      <c r="H2337" s="116"/>
      <c r="I2337" s="116"/>
      <c r="L2337" s="170"/>
    </row>
    <row r="2338" spans="1:12" x14ac:dyDescent="0.25">
      <c r="A2338" s="170"/>
      <c r="B2338" s="116"/>
      <c r="C2338" s="116"/>
      <c r="D2338" s="116"/>
      <c r="E2338" s="116"/>
      <c r="F2338" s="116"/>
      <c r="H2338" s="116"/>
      <c r="I2338" s="116"/>
      <c r="L2338" s="170"/>
    </row>
    <row r="2339" spans="1:12" x14ac:dyDescent="0.25">
      <c r="A2339" s="170"/>
      <c r="B2339" s="116"/>
      <c r="C2339" s="116"/>
      <c r="D2339" s="116"/>
      <c r="E2339" s="116"/>
      <c r="F2339" s="116"/>
      <c r="H2339" s="116"/>
      <c r="I2339" s="116"/>
      <c r="L2339" s="170"/>
    </row>
    <row r="2340" spans="1:12" x14ac:dyDescent="0.25">
      <c r="A2340" s="170"/>
      <c r="B2340" s="116"/>
      <c r="C2340" s="116"/>
      <c r="D2340" s="116"/>
      <c r="E2340" s="116"/>
      <c r="F2340" s="116"/>
      <c r="H2340" s="116"/>
      <c r="I2340" s="116"/>
      <c r="L2340" s="170"/>
    </row>
    <row r="2341" spans="1:12" x14ac:dyDescent="0.25">
      <c r="A2341" s="170"/>
      <c r="B2341" s="116"/>
      <c r="C2341" s="116"/>
      <c r="D2341" s="116"/>
      <c r="E2341" s="116"/>
      <c r="F2341" s="116"/>
      <c r="H2341" s="116"/>
      <c r="I2341" s="116"/>
      <c r="L2341" s="170"/>
    </row>
    <row r="2342" spans="1:12" x14ac:dyDescent="0.25">
      <c r="A2342" s="170"/>
      <c r="B2342" s="116"/>
      <c r="C2342" s="116"/>
      <c r="D2342" s="116"/>
      <c r="E2342" s="116"/>
      <c r="F2342" s="116"/>
      <c r="H2342" s="116"/>
      <c r="I2342" s="116"/>
      <c r="L2342" s="170"/>
    </row>
    <row r="2343" spans="1:12" x14ac:dyDescent="0.25">
      <c r="A2343" s="170"/>
      <c r="B2343" s="116"/>
      <c r="C2343" s="116"/>
      <c r="D2343" s="116"/>
      <c r="E2343" s="116"/>
      <c r="F2343" s="116"/>
      <c r="H2343" s="116"/>
      <c r="I2343" s="116"/>
      <c r="L2343" s="170"/>
    </row>
    <row r="2344" spans="1:12" x14ac:dyDescent="0.25">
      <c r="A2344" s="170"/>
      <c r="B2344" s="116"/>
      <c r="C2344" s="116"/>
      <c r="D2344" s="116"/>
      <c r="E2344" s="116"/>
      <c r="F2344" s="116"/>
      <c r="H2344" s="116"/>
      <c r="I2344" s="116"/>
      <c r="L2344" s="170"/>
    </row>
    <row r="2345" spans="1:12" x14ac:dyDescent="0.25">
      <c r="A2345" s="170"/>
      <c r="B2345" s="116"/>
      <c r="C2345" s="116"/>
      <c r="D2345" s="116"/>
      <c r="E2345" s="116"/>
      <c r="F2345" s="116"/>
      <c r="H2345" s="116"/>
      <c r="I2345" s="116"/>
      <c r="L2345" s="170"/>
    </row>
    <row r="2346" spans="1:12" x14ac:dyDescent="0.25">
      <c r="A2346" s="170"/>
      <c r="B2346" s="116"/>
      <c r="C2346" s="116"/>
      <c r="D2346" s="116"/>
      <c r="E2346" s="116"/>
      <c r="F2346" s="116"/>
      <c r="H2346" s="116"/>
      <c r="I2346" s="116"/>
      <c r="L2346" s="170"/>
    </row>
    <row r="2347" spans="1:12" x14ac:dyDescent="0.25">
      <c r="A2347" s="170"/>
      <c r="B2347" s="116"/>
      <c r="C2347" s="116"/>
      <c r="D2347" s="116"/>
      <c r="E2347" s="116"/>
      <c r="F2347" s="116"/>
      <c r="H2347" s="116"/>
      <c r="I2347" s="116"/>
      <c r="L2347" s="170"/>
    </row>
    <row r="2348" spans="1:12" x14ac:dyDescent="0.25">
      <c r="A2348" s="170"/>
      <c r="B2348" s="116"/>
      <c r="C2348" s="116"/>
      <c r="D2348" s="116"/>
      <c r="E2348" s="116"/>
      <c r="F2348" s="116"/>
      <c r="H2348" s="116"/>
      <c r="I2348" s="116"/>
      <c r="L2348" s="170"/>
    </row>
    <row r="2349" spans="1:12" x14ac:dyDescent="0.25">
      <c r="A2349" s="170"/>
      <c r="B2349" s="116"/>
      <c r="C2349" s="116"/>
      <c r="D2349" s="116"/>
      <c r="E2349" s="116"/>
      <c r="F2349" s="116"/>
      <c r="H2349" s="116"/>
      <c r="I2349" s="116"/>
      <c r="L2349" s="170"/>
    </row>
    <row r="2350" spans="1:12" x14ac:dyDescent="0.25">
      <c r="A2350" s="170"/>
      <c r="B2350" s="116"/>
      <c r="C2350" s="116"/>
      <c r="D2350" s="116"/>
      <c r="E2350" s="116"/>
      <c r="F2350" s="116"/>
      <c r="H2350" s="116"/>
      <c r="I2350" s="116"/>
      <c r="L2350" s="170"/>
    </row>
    <row r="2351" spans="1:12" x14ac:dyDescent="0.25">
      <c r="A2351" s="170"/>
      <c r="B2351" s="116"/>
      <c r="C2351" s="116"/>
      <c r="D2351" s="116"/>
      <c r="E2351" s="116"/>
      <c r="F2351" s="116"/>
      <c r="H2351" s="116"/>
      <c r="I2351" s="116"/>
      <c r="L2351" s="170"/>
    </row>
    <row r="2352" spans="1:12" x14ac:dyDescent="0.25">
      <c r="A2352" s="170"/>
      <c r="B2352" s="116"/>
      <c r="C2352" s="116"/>
      <c r="D2352" s="116"/>
      <c r="E2352" s="116"/>
      <c r="F2352" s="116"/>
      <c r="H2352" s="116"/>
      <c r="I2352" s="116"/>
      <c r="L2352" s="170"/>
    </row>
    <row r="2353" spans="1:12" x14ac:dyDescent="0.25">
      <c r="A2353" s="170"/>
      <c r="B2353" s="116"/>
      <c r="C2353" s="116"/>
      <c r="D2353" s="116"/>
      <c r="E2353" s="116"/>
      <c r="F2353" s="116"/>
      <c r="H2353" s="116"/>
      <c r="I2353" s="116"/>
      <c r="L2353" s="170"/>
    </row>
    <row r="2354" spans="1:12" x14ac:dyDescent="0.25">
      <c r="A2354" s="170"/>
      <c r="B2354" s="116"/>
      <c r="C2354" s="116"/>
      <c r="D2354" s="116"/>
      <c r="E2354" s="116"/>
      <c r="F2354" s="116"/>
      <c r="H2354" s="116"/>
      <c r="I2354" s="116"/>
      <c r="L2354" s="170"/>
    </row>
    <row r="2355" spans="1:12" x14ac:dyDescent="0.25">
      <c r="A2355" s="170"/>
      <c r="B2355" s="116"/>
      <c r="C2355" s="116"/>
      <c r="D2355" s="116"/>
      <c r="E2355" s="116"/>
      <c r="F2355" s="116"/>
      <c r="H2355" s="116"/>
      <c r="I2355" s="116"/>
      <c r="L2355" s="170"/>
    </row>
    <row r="2356" spans="1:12" x14ac:dyDescent="0.25">
      <c r="A2356" s="170"/>
      <c r="B2356" s="116"/>
      <c r="C2356" s="116"/>
      <c r="D2356" s="116"/>
      <c r="E2356" s="116"/>
      <c r="F2356" s="116"/>
      <c r="H2356" s="116"/>
      <c r="I2356" s="116"/>
      <c r="L2356" s="170"/>
    </row>
    <row r="2357" spans="1:12" x14ac:dyDescent="0.25">
      <c r="A2357" s="170"/>
      <c r="B2357" s="116"/>
      <c r="C2357" s="116"/>
      <c r="D2357" s="116"/>
      <c r="E2357" s="116"/>
      <c r="F2357" s="116"/>
      <c r="H2357" s="116"/>
      <c r="I2357" s="116"/>
      <c r="L2357" s="170"/>
    </row>
    <row r="2358" spans="1:12" x14ac:dyDescent="0.25">
      <c r="A2358" s="170"/>
      <c r="B2358" s="116"/>
      <c r="C2358" s="116"/>
      <c r="D2358" s="116"/>
      <c r="E2358" s="116"/>
      <c r="F2358" s="116"/>
      <c r="H2358" s="116"/>
      <c r="I2358" s="116"/>
      <c r="L2358" s="170"/>
    </row>
    <row r="2359" spans="1:12" x14ac:dyDescent="0.25">
      <c r="A2359" s="170"/>
      <c r="B2359" s="116"/>
      <c r="C2359" s="116"/>
      <c r="D2359" s="116"/>
      <c r="E2359" s="116"/>
      <c r="F2359" s="116"/>
      <c r="H2359" s="116"/>
      <c r="I2359" s="116"/>
      <c r="L2359" s="170"/>
    </row>
    <row r="2360" spans="1:12" x14ac:dyDescent="0.25">
      <c r="A2360" s="170"/>
      <c r="B2360" s="116"/>
      <c r="C2360" s="116"/>
      <c r="D2360" s="116"/>
      <c r="E2360" s="116"/>
      <c r="F2360" s="116"/>
      <c r="H2360" s="116"/>
      <c r="I2360" s="116"/>
      <c r="L2360" s="170"/>
    </row>
    <row r="2361" spans="1:12" x14ac:dyDescent="0.25">
      <c r="A2361" s="170"/>
      <c r="B2361" s="116"/>
      <c r="C2361" s="116"/>
      <c r="D2361" s="116"/>
      <c r="E2361" s="116"/>
      <c r="F2361" s="116"/>
      <c r="H2361" s="116"/>
      <c r="I2361" s="116"/>
      <c r="L2361" s="170"/>
    </row>
    <row r="2362" spans="1:12" x14ac:dyDescent="0.25">
      <c r="A2362" s="170"/>
      <c r="B2362" s="116"/>
      <c r="C2362" s="116"/>
      <c r="D2362" s="116"/>
      <c r="E2362" s="116"/>
      <c r="F2362" s="116"/>
      <c r="H2362" s="116"/>
      <c r="I2362" s="116"/>
      <c r="L2362" s="170"/>
    </row>
    <row r="2363" spans="1:12" x14ac:dyDescent="0.25">
      <c r="A2363" s="170"/>
      <c r="B2363" s="116"/>
      <c r="C2363" s="116"/>
      <c r="D2363" s="116"/>
      <c r="E2363" s="116"/>
      <c r="F2363" s="116"/>
      <c r="H2363" s="116"/>
      <c r="I2363" s="116"/>
      <c r="L2363" s="170"/>
    </row>
    <row r="2364" spans="1:12" x14ac:dyDescent="0.25">
      <c r="A2364" s="170"/>
      <c r="B2364" s="116"/>
      <c r="C2364" s="116"/>
      <c r="D2364" s="116"/>
      <c r="E2364" s="116"/>
      <c r="F2364" s="116"/>
      <c r="H2364" s="116"/>
      <c r="I2364" s="116"/>
      <c r="L2364" s="170"/>
    </row>
    <row r="2365" spans="1:12" x14ac:dyDescent="0.25">
      <c r="A2365" s="170"/>
      <c r="B2365" s="116"/>
      <c r="C2365" s="116"/>
      <c r="D2365" s="116"/>
      <c r="E2365" s="116"/>
      <c r="F2365" s="116"/>
      <c r="H2365" s="116"/>
      <c r="I2365" s="116"/>
      <c r="L2365" s="170"/>
    </row>
    <row r="2366" spans="1:12" x14ac:dyDescent="0.25">
      <c r="A2366" s="170"/>
      <c r="B2366" s="116"/>
      <c r="C2366" s="116"/>
      <c r="D2366" s="116"/>
      <c r="E2366" s="116"/>
      <c r="F2366" s="116"/>
      <c r="H2366" s="116"/>
      <c r="I2366" s="116"/>
      <c r="L2366" s="170"/>
    </row>
    <row r="2367" spans="1:12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/>
    </row>
    <row r="2368" spans="1:12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/>
    </row>
    <row r="2369" spans="1:12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/>
    </row>
    <row r="2370" spans="1:12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/>
    </row>
    <row r="2371" spans="1:12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/>
    </row>
    <row r="2372" spans="1:12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/>
    </row>
    <row r="2373" spans="1:12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/>
    </row>
    <row r="2374" spans="1:12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/>
    </row>
    <row r="2375" spans="1:12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/>
    </row>
    <row r="2376" spans="1:12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/>
    </row>
    <row r="2377" spans="1:12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/>
    </row>
    <row r="2378" spans="1:12" x14ac:dyDescent="0.25">
      <c r="A2378" s="170"/>
      <c r="B2378" s="116"/>
      <c r="C2378" s="116"/>
      <c r="D2378" s="116"/>
      <c r="E2378" s="116"/>
      <c r="F2378" s="116"/>
      <c r="H2378" s="116"/>
      <c r="I2378" s="116"/>
      <c r="L2378" s="170"/>
    </row>
    <row r="2379" spans="1:12" x14ac:dyDescent="0.25">
      <c r="A2379" s="170"/>
      <c r="B2379" s="116"/>
      <c r="C2379" s="116"/>
      <c r="D2379" s="116"/>
      <c r="E2379" s="116"/>
      <c r="F2379" s="116"/>
      <c r="H2379" s="116"/>
      <c r="I2379" s="116"/>
      <c r="L2379" s="170"/>
    </row>
    <row r="2380" spans="1:12" x14ac:dyDescent="0.25">
      <c r="A2380" s="170"/>
      <c r="B2380" s="116"/>
      <c r="C2380" s="116"/>
      <c r="D2380" s="116"/>
      <c r="E2380" s="116"/>
      <c r="F2380" s="116"/>
      <c r="H2380" s="116"/>
      <c r="I2380" s="116"/>
      <c r="L2380" s="170"/>
    </row>
    <row r="2381" spans="1:12" x14ac:dyDescent="0.25">
      <c r="A2381" s="170"/>
      <c r="B2381" s="116"/>
      <c r="C2381" s="116"/>
      <c r="D2381" s="116"/>
      <c r="E2381" s="116"/>
      <c r="F2381" s="116"/>
      <c r="H2381" s="116"/>
      <c r="I2381" s="116"/>
      <c r="L2381" s="170"/>
    </row>
    <row r="2382" spans="1:12" x14ac:dyDescent="0.25">
      <c r="A2382" s="170"/>
      <c r="B2382" s="116"/>
      <c r="C2382" s="116"/>
      <c r="D2382" s="116"/>
      <c r="E2382" s="116"/>
      <c r="F2382" s="116"/>
      <c r="H2382" s="116"/>
      <c r="I2382" s="116"/>
      <c r="L2382" s="170"/>
    </row>
    <row r="2383" spans="1:12" x14ac:dyDescent="0.25">
      <c r="A2383" s="170"/>
      <c r="B2383" s="116"/>
      <c r="C2383" s="116"/>
      <c r="D2383" s="116"/>
      <c r="E2383" s="116"/>
      <c r="F2383" s="116"/>
      <c r="H2383" s="116"/>
      <c r="I2383" s="116"/>
      <c r="L2383" s="170"/>
    </row>
    <row r="2384" spans="1:12" x14ac:dyDescent="0.25">
      <c r="A2384" s="170"/>
      <c r="B2384" s="116"/>
      <c r="C2384" s="116"/>
      <c r="D2384" s="116"/>
      <c r="E2384" s="116"/>
      <c r="F2384" s="116"/>
      <c r="H2384" s="116"/>
      <c r="I2384" s="116"/>
      <c r="L2384" s="170"/>
    </row>
    <row r="2385" spans="1:18" x14ac:dyDescent="0.25">
      <c r="A2385" s="170"/>
      <c r="B2385" s="116"/>
      <c r="C2385" s="116"/>
      <c r="D2385" s="116"/>
      <c r="E2385" s="116"/>
      <c r="F2385" s="116"/>
      <c r="H2385" s="116"/>
      <c r="I2385" s="116"/>
      <c r="L2385" s="170"/>
    </row>
    <row r="2386" spans="1:18" x14ac:dyDescent="0.25">
      <c r="A2386" s="170"/>
      <c r="B2386" s="116"/>
      <c r="C2386" s="116"/>
      <c r="D2386" s="116"/>
      <c r="E2386" s="116"/>
      <c r="F2386" s="116"/>
      <c r="H2386" s="116"/>
      <c r="I2386" s="116"/>
      <c r="L2386" s="170"/>
    </row>
    <row r="2387" spans="1:18" x14ac:dyDescent="0.25">
      <c r="A2387" s="170"/>
      <c r="B2387" s="116"/>
      <c r="C2387" s="116"/>
      <c r="D2387" s="116"/>
      <c r="E2387" s="116"/>
      <c r="F2387" s="116"/>
      <c r="H2387" s="116"/>
      <c r="I2387" s="116"/>
      <c r="L2387" s="170"/>
    </row>
    <row r="2388" spans="1:18" x14ac:dyDescent="0.25">
      <c r="A2388" s="170"/>
      <c r="B2388" s="116"/>
      <c r="C2388" s="116"/>
      <c r="D2388" s="116"/>
      <c r="E2388" s="116"/>
      <c r="F2388" s="116"/>
      <c r="H2388" s="116"/>
      <c r="I2388" s="116"/>
      <c r="L2388" s="170"/>
    </row>
    <row r="2389" spans="1:18" x14ac:dyDescent="0.25">
      <c r="A2389" s="170"/>
      <c r="B2389" s="116"/>
      <c r="C2389" s="116"/>
      <c r="D2389" s="116"/>
      <c r="E2389" s="116"/>
      <c r="F2389" s="116"/>
      <c r="H2389" s="116"/>
      <c r="I2389" s="116"/>
      <c r="L2389" s="170"/>
    </row>
    <row r="2390" spans="1:18" x14ac:dyDescent="0.25">
      <c r="A2390" s="170"/>
      <c r="B2390" s="116"/>
      <c r="C2390" s="116"/>
      <c r="D2390" s="116"/>
      <c r="E2390" s="116"/>
      <c r="F2390" s="116"/>
      <c r="H2390" s="116"/>
      <c r="I2390" s="116"/>
      <c r="L2390" s="170"/>
    </row>
    <row r="2391" spans="1:18" x14ac:dyDescent="0.25">
      <c r="A2391" s="170"/>
      <c r="B2391" s="116"/>
      <c r="C2391" s="116"/>
      <c r="D2391" s="116"/>
      <c r="E2391" s="116"/>
      <c r="F2391" s="116"/>
      <c r="H2391" s="116"/>
      <c r="I2391" s="116"/>
      <c r="L2391" s="170"/>
    </row>
    <row r="2392" spans="1:18" x14ac:dyDescent="0.25">
      <c r="A2392" s="170"/>
      <c r="B2392" s="116"/>
      <c r="C2392" s="116"/>
      <c r="D2392" s="116"/>
      <c r="E2392" s="116"/>
      <c r="F2392" s="116"/>
      <c r="H2392" s="116"/>
      <c r="I2392" s="116"/>
      <c r="L2392" s="170"/>
    </row>
    <row r="2393" spans="1:18" x14ac:dyDescent="0.25">
      <c r="A2393" s="170"/>
      <c r="B2393" s="116"/>
      <c r="C2393" s="116"/>
      <c r="D2393" s="116"/>
      <c r="E2393" s="116"/>
      <c r="F2393" s="116"/>
      <c r="H2393" s="116"/>
      <c r="I2393" s="116"/>
      <c r="L2393" s="170"/>
    </row>
    <row r="2394" spans="1:18" x14ac:dyDescent="0.25">
      <c r="A2394" s="170"/>
      <c r="B2394" s="116"/>
      <c r="C2394" s="116"/>
      <c r="D2394" s="116"/>
      <c r="E2394" s="116"/>
      <c r="F2394" s="116"/>
      <c r="H2394" s="116"/>
      <c r="I2394" s="116"/>
      <c r="L2394" s="170"/>
    </row>
    <row r="2395" spans="1:18" x14ac:dyDescent="0.25">
      <c r="A2395" s="170"/>
      <c r="B2395" s="116"/>
      <c r="C2395" s="116"/>
      <c r="D2395" s="116"/>
      <c r="E2395" s="116"/>
      <c r="F2395" s="116"/>
      <c r="H2395" s="116"/>
      <c r="I2395" s="116"/>
      <c r="L2395" s="170"/>
    </row>
    <row r="2396" spans="1:18" x14ac:dyDescent="0.25">
      <c r="A2396" s="170"/>
      <c r="B2396" s="116"/>
      <c r="C2396" s="116"/>
      <c r="D2396" s="116"/>
      <c r="E2396" s="116"/>
      <c r="F2396" s="116"/>
      <c r="H2396" s="116"/>
      <c r="I2396" s="116"/>
      <c r="L2396" s="170"/>
    </row>
    <row r="2397" spans="1:18" x14ac:dyDescent="0.25">
      <c r="A2397" s="170"/>
      <c r="B2397" s="116"/>
      <c r="C2397" s="116"/>
      <c r="D2397" s="116"/>
      <c r="E2397" s="116"/>
      <c r="F2397" s="116"/>
      <c r="H2397" s="116"/>
      <c r="I2397" s="116"/>
      <c r="L2397" s="170"/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2026-06-17T16:05:35Z</dcterms:modified>
  <cp:category/>
  <cp:contentStatus/>
</cp:coreProperties>
</file>