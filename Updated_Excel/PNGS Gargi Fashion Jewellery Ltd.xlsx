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7543789-2328-4704-94B8-14527589D0F2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C15" i="2"/>
  <c r="AD70" i="2"/>
  <c r="AD86" i="2"/>
  <c r="AE96" i="2"/>
  <c r="AE13" i="2"/>
  <c r="AC61" i="2"/>
  <c r="AC73" i="2"/>
  <c r="AC85" i="2"/>
  <c r="AB32" i="2"/>
  <c r="AF64" i="2"/>
  <c r="AB68" i="2"/>
  <c r="AB104" i="2"/>
  <c r="AE54" i="2"/>
  <c r="AE23" i="2"/>
  <c r="AC66" i="2"/>
  <c r="AF23" i="2"/>
  <c r="AE28" i="2"/>
  <c r="AF16" i="2"/>
  <c r="AB95" i="2"/>
  <c r="AB20" i="2"/>
  <c r="AE62" i="2"/>
  <c r="AF86" i="2"/>
  <c r="AC88" i="2"/>
  <c r="AB74" i="2"/>
  <c r="AC12" i="2"/>
  <c r="AD107" i="2"/>
  <c r="AE91" i="2"/>
  <c r="AF92" i="2"/>
  <c r="AC94" i="2"/>
  <c r="AB33" i="2"/>
  <c r="AE18" i="2"/>
  <c r="AE57" i="2"/>
  <c r="AD72" i="2"/>
  <c r="AD108" i="2"/>
  <c r="AF26" i="2"/>
  <c r="AC18" i="2"/>
  <c r="AE76" i="2"/>
  <c r="AE88" i="2"/>
  <c r="AB43" i="2"/>
  <c r="AB88" i="2"/>
  <c r="AC55" i="2"/>
  <c r="AD93" i="2"/>
  <c r="AE73" i="2"/>
  <c r="AD81" i="2"/>
  <c r="AC78" i="2"/>
  <c r="AF54" i="2"/>
  <c r="AB91" i="2"/>
  <c r="AF6" i="2"/>
  <c r="AC26" i="2"/>
  <c r="AE92" i="2"/>
  <c r="AF94" i="2"/>
  <c r="AB98" i="2"/>
  <c r="AF83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C62" i="2"/>
  <c r="AC86" i="2"/>
  <c r="AD73" i="2"/>
  <c r="AC90" i="2"/>
  <c r="AF7" i="2"/>
  <c r="AF31" i="2"/>
  <c r="AF58" i="2"/>
  <c r="AE16" i="2"/>
  <c r="AE55" i="2"/>
  <c r="AF51" i="2"/>
  <c r="AC14" i="2"/>
  <c r="AE74" i="2"/>
  <c r="AC107" i="2"/>
  <c r="AD65" i="2"/>
  <c r="AC36" i="2"/>
  <c r="AB110" i="2"/>
  <c r="AE93" i="2"/>
  <c r="AD87" i="2"/>
  <c r="AE42" i="2"/>
  <c r="AB9" i="2"/>
  <c r="AB25" i="2"/>
  <c r="AB52" i="2"/>
  <c r="AE30" i="2"/>
  <c r="AD64" i="2"/>
  <c r="AD96" i="2"/>
  <c r="AC68" i="2"/>
  <c r="AE97" i="2"/>
  <c r="AF19" i="2"/>
  <c r="AB67" i="2"/>
  <c r="AB36" i="2"/>
  <c r="AE80" i="2"/>
  <c r="AE50" i="2"/>
  <c r="AC104" i="2"/>
  <c r="AD12" i="2"/>
  <c r="AD55" i="2"/>
  <c r="AC23" i="2"/>
  <c r="AD9" i="2"/>
  <c r="AD25" i="2"/>
  <c r="AF99" i="2"/>
  <c r="AD42" i="2"/>
  <c r="AE56" i="2"/>
  <c r="AC81" i="2"/>
  <c r="AF22" i="2"/>
  <c r="AE19" i="2"/>
  <c r="AC43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B7" i="2"/>
  <c r="AB15" i="2"/>
  <c r="AB23" i="2"/>
  <c r="AB31" i="2"/>
  <c r="AB42" i="2"/>
  <c r="AB50" i="2"/>
  <c r="AB58" i="2"/>
  <c r="AC27" i="2"/>
  <c r="AC42" i="2"/>
  <c r="AC54" i="2"/>
  <c r="AB14" i="2"/>
  <c r="AB30" i="2"/>
  <c r="AB49" i="2"/>
  <c r="AD62" i="2"/>
  <c r="AD78" i="2"/>
  <c r="AD94" i="2"/>
  <c r="AD106" i="2"/>
  <c r="AF18" i="2"/>
  <c r="AF53" i="2"/>
  <c r="AE40" i="2"/>
  <c r="AE106" i="2"/>
  <c r="AB84" i="2"/>
  <c r="AE87" i="2"/>
  <c r="AD89" i="2"/>
  <c r="AD109" i="2"/>
  <c r="AF15" i="2"/>
  <c r="AF42" i="2"/>
  <c r="AF50" i="2"/>
  <c r="AE43" i="2"/>
  <c r="AF32" i="2"/>
  <c r="AB63" i="2"/>
  <c r="AB71" i="2"/>
  <c r="AB79" i="2"/>
  <c r="AB87" i="2"/>
  <c r="AB107" i="2"/>
  <c r="AC97" i="2"/>
  <c r="AB55" i="2"/>
  <c r="AC41" i="2"/>
  <c r="AE86" i="2"/>
  <c r="AD35" i="2"/>
  <c r="AF70" i="2"/>
  <c r="AF106" i="2"/>
  <c r="AE61" i="2"/>
  <c r="AB90" i="2"/>
  <c r="AE69" i="2"/>
  <c r="AF41" i="2"/>
  <c r="AB44" i="2"/>
  <c r="AB18" i="2"/>
  <c r="AB53" i="2"/>
  <c r="AD88" i="2"/>
  <c r="AC105" i="2"/>
  <c r="AD59" i="2"/>
  <c r="AC45" i="2"/>
  <c r="AB8" i="2"/>
  <c r="AE15" i="2"/>
  <c r="AB108" i="2"/>
  <c r="AD77" i="2"/>
  <c r="AE63" i="2"/>
  <c r="AC24" i="2"/>
  <c r="AC106" i="2"/>
  <c r="AF11" i="2"/>
  <c r="AF35" i="2"/>
  <c r="AF46" i="2"/>
  <c r="AE22" i="2"/>
  <c r="AE49" i="2"/>
  <c r="AF43" i="2"/>
  <c r="AB83" i="2"/>
  <c r="AB99" i="2"/>
  <c r="AE68" i="2"/>
  <c r="AB66" i="2"/>
  <c r="AD36" i="2"/>
  <c r="AC35" i="2"/>
  <c r="AF67" i="2"/>
  <c r="AE29" i="2"/>
  <c r="AE94" i="2"/>
  <c r="AF57" i="2"/>
  <c r="AD79" i="2"/>
  <c r="AE79" i="2"/>
  <c r="AC11" i="2"/>
  <c r="AF8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D71" i="2"/>
  <c r="AE67" i="2"/>
  <c r="AF76" i="2"/>
  <c r="AC70" i="2"/>
  <c r="AB17" i="2"/>
  <c r="AE6" i="2"/>
  <c r="AE45" i="2"/>
  <c r="AB34" i="2"/>
  <c r="AD80" i="2"/>
  <c r="AE64" i="2"/>
  <c r="AB72" i="2"/>
  <c r="AC92" i="2"/>
  <c r="AB112" i="2"/>
  <c r="AE99" i="2"/>
  <c r="AF27" i="2"/>
  <c r="AE34" i="2"/>
  <c r="AF8" i="2"/>
  <c r="AB59" i="2"/>
  <c r="AB64" i="2"/>
  <c r="AD19" i="2"/>
  <c r="AF78" i="2"/>
  <c r="AC76" i="2"/>
  <c r="AE81" i="2"/>
  <c r="AD20" i="2"/>
  <c r="AD47" i="2"/>
  <c r="AC50" i="2"/>
  <c r="AF59" i="2"/>
  <c r="AF91" i="2"/>
  <c r="AE5" i="2"/>
  <c r="AC69" i="2"/>
  <c r="AE59" i="2"/>
  <c r="AD95" i="2"/>
  <c r="AE107" i="2"/>
  <c r="AF10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E8" i="2"/>
  <c r="AD21" i="2"/>
  <c r="AD40" i="2"/>
  <c r="AD56" i="2"/>
  <c r="AF65" i="2"/>
  <c r="AF73" i="2"/>
  <c r="AF81" i="2"/>
  <c r="AF89" i="2"/>
  <c r="AF97" i="2"/>
  <c r="AF109" i="2"/>
  <c r="AD31" i="2"/>
  <c r="AF62" i="2"/>
  <c r="AF14" i="2"/>
  <c r="AE31" i="2"/>
  <c r="AD75" i="2"/>
  <c r="AC96" i="2"/>
  <c r="AC60" i="2"/>
  <c r="AE11" i="2"/>
  <c r="AE77" i="2"/>
  <c r="AC110" i="2"/>
  <c r="AD10" i="2"/>
  <c r="AD18" i="2"/>
  <c r="AD26" i="2"/>
  <c r="AD34" i="2"/>
  <c r="AD45" i="2"/>
  <c r="AD53" i="2"/>
  <c r="AE20" i="2"/>
  <c r="AE32" i="2"/>
  <c r="AE47" i="2"/>
  <c r="AD5" i="2"/>
  <c r="AC109" i="2"/>
  <c r="AC22" i="2"/>
  <c r="AC49" i="2"/>
  <c r="AE66" i="2"/>
  <c r="AE78" i="2"/>
  <c r="AE90" i="2"/>
  <c r="AF49" i="2"/>
  <c r="AD91" i="2"/>
  <c r="AC72" i="2"/>
  <c r="AF80" i="2"/>
  <c r="AF96" i="2"/>
  <c r="AE105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D97" i="2"/>
  <c r="AE10" i="2"/>
  <c r="AF24" i="2"/>
  <c r="AB75" i="2"/>
  <c r="AC53" i="2"/>
  <c r="AD54" i="2"/>
  <c r="AC16" i="2"/>
  <c r="AB82" i="2"/>
  <c r="AE27" i="2"/>
  <c r="AE109" i="2"/>
  <c r="AD28" i="2"/>
  <c r="AD44" i="2"/>
  <c r="AF75" i="2"/>
  <c r="AD7" i="2"/>
  <c r="AF68" i="2"/>
  <c r="AC82" i="2"/>
  <c r="AA24" i="1" l="1"/>
  <c r="AC113" i="2"/>
  <c r="AA171" i="1"/>
  <c r="AA164" i="1"/>
  <c r="AA160" i="1"/>
  <c r="AA155" i="1"/>
  <c r="AA151" i="1"/>
  <c r="AA149" i="1"/>
  <c r="AA146" i="1"/>
  <c r="AA144" i="1"/>
  <c r="AA142" i="1"/>
  <c r="AA140" i="1"/>
  <c r="AA136" i="1"/>
  <c r="AA133" i="1"/>
  <c r="AA126" i="1"/>
  <c r="AA124" i="1"/>
  <c r="AA118" i="1"/>
  <c r="AA79" i="1"/>
  <c r="AA77" i="1"/>
  <c r="AA73" i="1"/>
  <c r="AA67" i="1"/>
  <c r="AA47" i="1"/>
  <c r="AA39" i="1"/>
  <c r="AA35" i="1"/>
  <c r="AA25" i="1"/>
  <c r="AA22" i="1"/>
  <c r="AA20" i="1"/>
  <c r="AA9" i="1"/>
  <c r="AA172" i="1"/>
  <c r="AA170" i="1"/>
  <c r="AA163" i="1"/>
  <c r="AA159" i="1"/>
  <c r="AA153" i="1"/>
  <c r="AA150" i="1"/>
  <c r="AA147" i="1"/>
  <c r="AA145" i="1"/>
  <c r="AA143" i="1"/>
  <c r="AA137" i="1"/>
  <c r="AA135" i="1"/>
  <c r="AA132" i="1"/>
  <c r="AA127" i="1"/>
  <c r="AA125" i="1"/>
  <c r="AA122" i="1"/>
  <c r="AA119" i="1"/>
  <c r="AA117" i="1"/>
  <c r="AA78" i="1"/>
  <c r="AA51" i="1"/>
  <c r="AA46" i="1"/>
  <c r="AA45" i="1"/>
  <c r="AA36" i="1"/>
  <c r="AA32" i="1"/>
  <c r="AA23" i="1"/>
  <c r="AA21" i="1"/>
  <c r="AA15" i="1"/>
  <c r="AA13" i="1"/>
  <c r="AA8" i="1"/>
  <c r="AA161" i="1"/>
  <c r="AA154" i="1"/>
  <c r="AA156" i="1" s="1"/>
  <c r="AA120" i="1"/>
  <c r="AA10" i="1"/>
  <c r="AA252" i="1"/>
  <c r="AA180" i="1"/>
  <c r="AA128" i="1"/>
  <c r="AB113" i="2"/>
  <c r="AA74" i="1" s="1"/>
  <c r="AB111" i="2"/>
  <c r="AD111" i="2"/>
  <c r="AD113" i="2"/>
  <c r="AF112" i="2"/>
  <c r="AF111" i="2"/>
  <c r="B1" i="9"/>
  <c r="AD112" i="2"/>
  <c r="AE113" i="2"/>
  <c r="AC111" i="2"/>
  <c r="AE112" i="2"/>
  <c r="AE111" i="2"/>
  <c r="L1" i="9"/>
  <c r="A1" i="9"/>
  <c r="AC112" i="2"/>
  <c r="AA231" i="1" l="1"/>
  <c r="AA194" i="1"/>
  <c r="AA179" i="1"/>
  <c r="AA173" i="1"/>
  <c r="AA148" i="1"/>
  <c r="AA175" i="1"/>
  <c r="AA131" i="1"/>
  <c r="AA134" i="1" s="1"/>
  <c r="AA138" i="1" s="1"/>
  <c r="AA33" i="1"/>
  <c r="AA26" i="1"/>
  <c r="AA27" i="1" s="1"/>
  <c r="AA253" i="1"/>
  <c r="AA185" i="1"/>
  <c r="AA183" i="1"/>
  <c r="AA246" i="1"/>
  <c r="AA248" i="1"/>
  <c r="AA16" i="1"/>
  <c r="AA98" i="1"/>
  <c r="AA168" i="1"/>
  <c r="AA109" i="1" s="1"/>
  <c r="AA129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57" i="1" l="1"/>
  <c r="AA165" i="1" s="1"/>
  <c r="AA166" i="1" s="1"/>
  <c r="AA182" i="1"/>
  <c r="AA184" i="1"/>
  <c r="AA244" i="1"/>
  <c r="AA28" i="1"/>
  <c r="AA17" i="1"/>
  <c r="AA181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34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C9" i="3"/>
  <c r="Y7" i="2"/>
  <c r="Y107" i="2"/>
  <c r="BA38" i="3"/>
  <c r="BB40" i="3"/>
  <c r="FD14" i="4" a="1"/>
  <c r="FB7" i="4" a="1"/>
  <c r="EX7" i="4" a="1"/>
  <c r="FE7" i="4" a="1"/>
  <c r="EX12" i="4" a="1"/>
  <c r="EY6" i="4" a="1"/>
  <c r="BP5" i="3"/>
  <c r="BJ21" i="3"/>
  <c r="BE24" i="3"/>
  <c r="BI46" i="3"/>
  <c r="BK12" i="3"/>
  <c r="BJ13" i="3"/>
  <c r="BG13" i="3"/>
  <c r="BN8" i="3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Y86" i="2"/>
  <c r="BA21" i="3"/>
  <c r="AA43" i="2"/>
  <c r="Y69" i="2"/>
  <c r="BD40" i="3"/>
  <c r="Z41" i="2"/>
  <c r="EX11" i="4" a="1"/>
  <c r="FB8" i="4" a="1"/>
  <c r="FE6" i="4" a="1"/>
  <c r="BO34" i="3"/>
  <c r="BL11" i="3"/>
  <c r="BP45" i="3"/>
  <c r="BM7" i="3"/>
  <c r="BI17" i="3"/>
  <c r="BE35" i="3"/>
  <c r="BL32" i="3"/>
  <c r="BK33" i="3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P22" i="3"/>
  <c r="BI39" i="3"/>
  <c r="BL46" i="3"/>
  <c r="BP25" i="3"/>
  <c r="BG22" i="3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BS34" i="3"/>
  <c r="BP15" i="3"/>
  <c r="BI45" i="3"/>
  <c r="BJ12" i="3"/>
  <c r="BL17" i="3"/>
  <c r="BG32" i="3"/>
  <c r="BH42" i="3"/>
  <c r="BH13" i="3"/>
  <c r="Y83" i="2"/>
  <c r="AA80" i="2"/>
  <c r="Z9" i="2"/>
  <c r="BD22" i="3"/>
  <c r="BC15" i="3"/>
  <c r="AA10" i="2"/>
  <c r="Z81" i="2"/>
  <c r="Y25" i="2"/>
  <c r="BD30" i="3"/>
  <c r="AA73" i="2"/>
  <c r="Z106" i="2"/>
  <c r="Z45" i="2"/>
  <c r="AA33" i="2"/>
  <c r="BB8" i="3"/>
  <c r="Z32" i="2"/>
  <c r="BA34" i="3"/>
  <c r="Z26" i="2"/>
  <c r="BC26" i="3"/>
  <c r="BC35" i="3"/>
  <c r="AA59" i="2"/>
  <c r="FE5" i="4" a="1"/>
  <c r="FC7" i="4" a="1"/>
  <c r="FA12" i="4" a="1"/>
  <c r="BT11" i="3"/>
  <c r="BP13" i="3"/>
  <c r="BF15" i="3"/>
  <c r="CL24" i="1" s="1"/>
  <c r="BF14" i="3"/>
  <c r="CL23" i="1" s="1"/>
  <c r="BF24" i="3"/>
  <c r="BI33" i="3"/>
  <c r="BF45" i="3"/>
  <c r="CL63" i="1" s="1"/>
  <c r="CL65" i="1" s="1"/>
  <c r="BL35" i="3"/>
  <c r="AA61" i="2"/>
  <c r="Z36" i="2"/>
  <c r="Z13" i="2"/>
  <c r="BC41" i="3"/>
  <c r="Y6" i="2"/>
  <c r="Y49" i="2"/>
  <c r="AA6" i="2"/>
  <c r="AA41" i="2"/>
  <c r="BA37" i="3"/>
  <c r="AA16" i="2"/>
  <c r="Z10" i="2"/>
  <c r="AA70" i="2"/>
  <c r="Y74" i="2"/>
  <c r="BA33" i="3"/>
  <c r="AA23" i="2"/>
  <c r="BD12" i="3"/>
  <c r="Y27" i="2"/>
  <c r="BB39" i="3"/>
  <c r="Y105" i="2"/>
  <c r="Y110" i="2"/>
  <c r="FC14" i="4" a="1"/>
  <c r="FE12" i="4" a="1"/>
  <c r="FA11" i="4" a="1"/>
  <c r="EY12" i="4" a="1"/>
  <c r="FB5" i="4" a="1"/>
  <c r="EZ9" i="4" a="1"/>
  <c r="AA98" i="2"/>
  <c r="BC23" i="3"/>
  <c r="Z71" i="2"/>
  <c r="EY14" i="4" a="1"/>
  <c r="FD11" i="4" a="1"/>
  <c r="BP32" i="3"/>
  <c r="BE5" i="3"/>
  <c r="BE85" i="3" s="1"/>
  <c r="BN21" i="3"/>
  <c r="BN18" i="3"/>
  <c r="BF16" i="3"/>
  <c r="CL20" i="1" s="1"/>
  <c r="CL26" i="1" s="1"/>
  <c r="BE37" i="3"/>
  <c r="BK7" i="3"/>
  <c r="BJ40" i="3"/>
  <c r="Y22" i="2"/>
  <c r="Y26" i="2"/>
  <c r="Z64" i="2"/>
  <c r="BC16" i="3"/>
  <c r="AA87" i="2"/>
  <c r="AA30" i="2"/>
  <c r="Z61" i="2"/>
  <c r="BA15" i="3"/>
  <c r="BA41" i="3"/>
  <c r="Z23" i="2"/>
  <c r="Z90" i="2"/>
  <c r="Z98" i="2"/>
  <c r="BB13" i="3"/>
  <c r="BA24" i="3"/>
  <c r="Y66" i="2"/>
  <c r="BC30" i="3"/>
  <c r="AA49" i="2"/>
  <c r="BA46" i="3"/>
  <c r="Z82" i="2"/>
  <c r="BD20" i="3"/>
  <c r="EY11" i="4" a="1"/>
  <c r="EZ14" i="4" a="1"/>
  <c r="FC16" i="4" a="1"/>
  <c r="FF12" i="4" a="1"/>
  <c r="FD13" i="4" a="1"/>
  <c r="FF5" i="4" a="1"/>
  <c r="BH34" i="3"/>
  <c r="BJ20" i="3"/>
  <c r="BJ22" i="3"/>
  <c r="BK38" i="3"/>
  <c r="BG9" i="3"/>
  <c r="BL13" i="3"/>
  <c r="Z67" i="2"/>
  <c r="C4" i="2"/>
  <c r="Z72" i="2"/>
  <c r="BB22" i="3"/>
  <c r="Z107" i="2"/>
  <c r="AA79" i="2"/>
  <c r="AA63" i="2"/>
  <c r="BC28" i="3"/>
  <c r="BC29" i="3"/>
  <c r="Y96" i="2"/>
  <c r="Y81" i="2"/>
  <c r="BD41" i="3"/>
  <c r="BE41" i="3"/>
  <c r="BG8" i="3"/>
  <c r="Z33" i="2"/>
  <c r="FF6" i="4" a="1"/>
  <c r="FB13" i="4" a="1"/>
  <c r="FD5" i="4" a="1"/>
  <c r="BF23" i="3"/>
  <c r="CL35" i="1" s="1"/>
  <c r="BM9" i="3"/>
  <c r="BF41" i="3"/>
  <c r="BL31" i="3"/>
  <c r="BP6" i="3"/>
  <c r="BL8" i="3"/>
  <c r="BE18" i="3"/>
  <c r="BN16" i="3"/>
  <c r="AA110" i="2"/>
  <c r="Y23" i="2"/>
  <c r="BC38" i="3"/>
  <c r="BB30" i="3"/>
  <c r="Y17" i="2"/>
  <c r="Y33" i="2"/>
  <c r="AA76" i="2"/>
  <c r="BC17" i="3"/>
  <c r="BA5" i="3"/>
  <c r="Z59" i="2"/>
  <c r="Y31" i="2"/>
  <c r="Y90" i="2"/>
  <c r="BA12" i="3"/>
  <c r="Y48" i="2"/>
  <c r="BG5" i="3"/>
  <c r="BE13" i="3"/>
  <c r="BM14" i="3"/>
  <c r="BH33" i="3"/>
  <c r="BT9" i="3"/>
  <c r="BN9" i="3"/>
  <c r="BK19" i="3"/>
  <c r="BJ34" i="3"/>
  <c r="Y88" i="2"/>
  <c r="AA7" i="2"/>
  <c r="BB20" i="3"/>
  <c r="BC27" i="3"/>
  <c r="Y20" i="2"/>
  <c r="Z49" i="2"/>
  <c r="Z95" i="2"/>
  <c r="BA6" i="3"/>
  <c r="BD35" i="3"/>
  <c r="Y109" i="2"/>
  <c r="AA12" i="2"/>
  <c r="AA92" i="2"/>
  <c r="BB33" i="3"/>
  <c r="Y56" i="2"/>
  <c r="BA11" i="3"/>
  <c r="Z27" i="2"/>
  <c r="Z34" i="2"/>
  <c r="BC40" i="3"/>
  <c r="Z51" i="2"/>
  <c r="Y53" i="2"/>
  <c r="FA6" i="4" a="1"/>
  <c r="EX13" i="4" a="1"/>
  <c r="FF9" i="4" a="1"/>
  <c r="EZ15" i="4" a="1"/>
  <c r="FC15" i="4" a="1"/>
  <c r="FE15" i="4" a="1"/>
  <c r="Z99" i="2"/>
  <c r="FA7" i="4" a="1"/>
  <c r="FF11" i="4" a="1"/>
  <c r="EY16" i="4" a="1"/>
  <c r="BK36" i="3"/>
  <c r="BM40" i="3"/>
  <c r="Y46" i="2"/>
  <c r="BB38" i="3"/>
  <c r="Z77" i="2"/>
  <c r="Z85" i="2"/>
  <c r="Y57" i="2"/>
  <c r="FD16" i="4" a="1"/>
  <c r="FE14" i="4" a="1"/>
  <c r="BD16" i="3"/>
  <c r="BK25" i="3"/>
  <c r="BK14" i="3"/>
  <c r="BK21" i="3"/>
  <c r="BF38" i="3"/>
  <c r="BT25" i="3"/>
  <c r="BN13" i="3"/>
  <c r="BK23" i="3"/>
  <c r="AA17" i="2"/>
  <c r="Z22" i="2"/>
  <c r="BA45" i="3"/>
  <c r="BA29" i="3"/>
  <c r="AA106" i="2"/>
  <c r="Y65" i="2"/>
  <c r="Y106" i="2"/>
  <c r="BA39" i="3"/>
  <c r="BB18" i="3"/>
  <c r="AA74" i="2"/>
  <c r="Z74" i="2"/>
  <c r="Y34" i="2"/>
  <c r="BA8" i="3"/>
  <c r="AA27" i="2"/>
  <c r="BB31" i="3"/>
  <c r="BD17" i="3"/>
  <c r="AA83" i="2"/>
  <c r="Y18" i="2"/>
  <c r="AA107" i="2"/>
  <c r="AA45" i="2"/>
  <c r="FC9" i="4" a="1"/>
  <c r="EX5" i="4" a="1"/>
  <c r="FA16" i="4" a="1"/>
  <c r="EZ7" i="4" a="1"/>
  <c r="EX14" i="4" a="1"/>
  <c r="FA14" i="4" a="1"/>
  <c r="BB46" i="3"/>
  <c r="Y8" i="2"/>
  <c r="Z88" i="2"/>
  <c r="BB10" i="3"/>
  <c r="Y79" i="2"/>
  <c r="Y63" i="2"/>
  <c r="BP34" i="3"/>
  <c r="Y12" i="2"/>
  <c r="BF18" i="3"/>
  <c r="CL25" i="1" s="1"/>
  <c r="BM17" i="3"/>
  <c r="BG35" i="3"/>
  <c r="BL39" i="3"/>
  <c r="BT31" i="3"/>
  <c r="BJ15" i="3"/>
  <c r="BG25" i="3"/>
  <c r="Y51" i="2"/>
  <c r="AA90" i="2"/>
  <c r="BC18" i="3"/>
  <c r="BD37" i="3"/>
  <c r="Z110" i="2"/>
  <c r="Z53" i="2"/>
  <c r="Y50" i="2"/>
  <c r="BD11" i="3"/>
  <c r="BD19" i="3"/>
  <c r="AA5" i="2"/>
  <c r="AA71" i="2"/>
  <c r="Y30" i="2"/>
  <c r="BD46" i="3"/>
  <c r="AA97" i="2"/>
  <c r="BB42" i="3"/>
  <c r="BD24" i="3"/>
  <c r="Z97" i="2"/>
  <c r="AA75" i="2"/>
  <c r="AA95" i="2"/>
  <c r="Y87" i="2"/>
  <c r="EZ12" i="4" a="1"/>
  <c r="EY13" i="4" a="1"/>
  <c r="EY5" i="4" a="1"/>
  <c r="FA9" i="4" a="1"/>
  <c r="FE11" i="4" a="1"/>
  <c r="EZ6" i="4" a="1"/>
  <c r="EY7" i="4" a="1"/>
  <c r="FF14" i="4" a="1"/>
  <c r="FB9" i="4" a="1"/>
  <c r="EY15" i="4" a="1"/>
  <c r="FD9" i="4" a="1"/>
  <c r="BL25" i="3"/>
  <c r="BH26" i="3"/>
  <c r="BK35" i="3"/>
  <c r="AA109" i="2"/>
  <c r="BA20" i="3"/>
  <c r="AA9" i="2"/>
  <c r="FF8" i="4" a="1"/>
  <c r="BJ42" i="3"/>
  <c r="BH32" i="3"/>
  <c r="BD18" i="3"/>
  <c r="Y58" i="2"/>
  <c r="BC39" i="3"/>
  <c r="Z73" i="2"/>
  <c r="BC21" i="3"/>
  <c r="AA69" i="2"/>
  <c r="Z69" i="2"/>
  <c r="EX16" i="4" a="1"/>
  <c r="EZ5" i="4" a="1"/>
  <c r="Y54" i="2"/>
  <c r="FD6" i="4" a="1"/>
  <c r="EY8" i="4" a="1"/>
  <c r="BD25" i="3"/>
  <c r="BD27" i="3"/>
  <c r="AA57" i="2"/>
  <c r="BN46" i="3"/>
  <c r="BI19" i="3"/>
  <c r="BE42" i="3"/>
  <c r="BH19" i="3"/>
  <c r="BP8" i="3"/>
  <c r="BF25" i="3"/>
  <c r="CL36" i="1" s="1"/>
  <c r="BI34" i="3"/>
  <c r="AB39" i="3"/>
  <c r="Y36" i="2"/>
  <c r="AA29" i="2"/>
  <c r="BA17" i="3"/>
  <c r="BA19" i="3"/>
  <c r="AA66" i="2"/>
  <c r="Y62" i="2"/>
  <c r="AA58" i="2"/>
  <c r="BA32" i="3"/>
  <c r="BC45" i="3"/>
  <c r="Z35" i="2"/>
  <c r="Y45" i="2"/>
  <c r="Y82" i="2"/>
  <c r="BA7" i="3"/>
  <c r="Z65" i="2"/>
  <c r="BA13" i="3"/>
  <c r="BA18" i="3"/>
  <c r="Z56" i="2"/>
  <c r="Z78" i="2"/>
  <c r="Y41" i="2"/>
  <c r="BC46" i="3"/>
  <c r="FC6" i="4" a="1"/>
  <c r="BP14" i="3"/>
  <c r="Z89" i="2"/>
  <c r="AA105" i="2"/>
  <c r="BC12" i="3"/>
  <c r="AA86" i="2"/>
  <c r="Y71" i="2"/>
  <c r="BC7" i="3"/>
  <c r="AA46" i="2"/>
  <c r="BB27" i="3"/>
  <c r="BC22" i="3"/>
  <c r="Y89" i="2"/>
  <c r="BB11" i="3"/>
  <c r="FB14" i="4" a="1"/>
  <c r="FE13" i="4" a="1"/>
  <c r="BF8" i="3"/>
  <c r="Y60" i="2"/>
  <c r="Z29" i="2"/>
  <c r="Z105" i="2"/>
  <c r="Z16" i="2"/>
  <c r="BA23" i="3"/>
  <c r="BD15" i="3"/>
  <c r="Y40" i="2"/>
  <c r="FD12" i="4" a="1"/>
  <c r="FC11" i="4" a="1"/>
  <c r="FB11" i="4" a="1"/>
  <c r="BD14" i="3"/>
  <c r="FA5" i="4" a="1"/>
  <c r="Z63" i="2"/>
  <c r="FC8" i="4" a="1"/>
  <c r="FA13" i="4" a="1"/>
  <c r="BT12" i="3"/>
  <c r="BK22" i="3"/>
  <c r="BH15" i="3"/>
  <c r="BT28" i="3"/>
  <c r="BG24" i="3"/>
  <c r="BF36" i="3"/>
  <c r="BE46" i="3"/>
  <c r="BP28" i="3"/>
  <c r="BL30" i="3"/>
  <c r="BE40" i="3"/>
  <c r="Y85" i="2"/>
  <c r="Y28" i="2"/>
  <c r="Z50" i="2"/>
  <c r="BB9" i="3"/>
  <c r="BB15" i="3"/>
  <c r="Y108" i="2"/>
  <c r="AA35" i="2"/>
  <c r="Z21" i="2"/>
  <c r="BB19" i="3"/>
  <c r="AA28" i="2"/>
  <c r="AA85" i="2"/>
  <c r="AA65" i="2"/>
  <c r="AA21" i="2"/>
  <c r="BB26" i="3"/>
  <c r="Z58" i="2"/>
  <c r="BD38" i="3"/>
  <c r="AA67" i="2"/>
  <c r="BB23" i="3"/>
  <c r="Z60" i="2"/>
  <c r="Z42" i="2"/>
  <c r="BB34" i="3"/>
  <c r="FF15" i="4" a="1"/>
  <c r="FC5" i="4" a="1"/>
  <c r="FE9" i="4" a="1"/>
  <c r="EX6" i="4" a="1"/>
  <c r="EX8" i="4" a="1"/>
  <c r="FE16" i="4" a="1"/>
  <c r="BP33" i="3"/>
  <c r="BC24" i="3"/>
  <c r="EX9" i="4" a="1"/>
  <c r="Y59" i="2"/>
  <c r="BD34" i="3"/>
  <c r="FD7" i="4" a="1"/>
  <c r="FB15" i="4" a="1"/>
  <c r="Y95" i="2"/>
  <c r="AA52" i="1" l="1"/>
  <c r="AA54" i="1"/>
  <c r="AA193" i="1"/>
  <c r="AA195" i="1" s="1"/>
  <c r="CL253" i="1"/>
  <c r="CL194" i="1"/>
  <c r="CL231" i="1"/>
  <c r="CL10" i="1"/>
  <c r="CL252" i="1"/>
  <c r="CK64" i="1"/>
  <c r="CK51" i="1"/>
  <c r="CK25" i="1"/>
  <c r="CK39" i="1"/>
  <c r="CK22" i="1"/>
  <c r="CK8" i="1"/>
  <c r="CK15" i="1"/>
  <c r="CK32" i="1"/>
  <c r="CK36" i="1"/>
  <c r="CK20" i="1"/>
  <c r="CK45" i="1"/>
  <c r="CK24" i="1"/>
  <c r="CK23" i="1"/>
  <c r="CK14" i="1"/>
  <c r="CK9" i="1"/>
  <c r="CK10" i="1" s="1"/>
  <c r="CL12" i="1" s="1"/>
  <c r="CK35" i="1"/>
  <c r="CK63" i="1"/>
  <c r="CK47" i="1"/>
  <c r="CK46" i="1"/>
  <c r="CK21" i="1"/>
  <c r="CK13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Q56" i="3"/>
  <c r="BH6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HH11" i="4" a="1"/>
  <c r="GM14" i="4" a="1"/>
  <c r="GQ15" i="4" a="1"/>
  <c r="FM16" i="4" a="1"/>
  <c r="GK16" i="4" a="1"/>
  <c r="GL8" i="4" a="1"/>
  <c r="BC70" i="3"/>
  <c r="BC81" i="3"/>
  <c r="BQ62" i="3"/>
  <c r="BH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U5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BU6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K84" i="3"/>
  <c r="BP6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P5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BP9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BP5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G5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G66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BG7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G76" i="3"/>
  <c r="BP58" i="3"/>
  <c r="BL91" i="3"/>
  <c r="BF82" i="3"/>
  <c r="CL145" i="1" s="1"/>
  <c r="CL180" i="1" s="1"/>
  <c r="BR63" i="3"/>
  <c r="BO81" i="3"/>
  <c r="BS60" i="3"/>
  <c r="BU96" i="3"/>
  <c r="BR82" i="3"/>
  <c r="BV82" i="3"/>
  <c r="BT47" i="3"/>
  <c r="BN59" i="3"/>
  <c r="BN87" i="3"/>
  <c r="BO69" i="3"/>
  <c r="BG82" i="3"/>
  <c r="BE77" i="3"/>
  <c r="BF64" i="3"/>
  <c r="CL149" i="1" s="1"/>
  <c r="BJ48" i="3"/>
  <c r="BK55" i="3"/>
  <c r="BK49" i="3"/>
  <c r="FJ7" i="4" a="1"/>
  <c r="GZ8" i="4" a="1"/>
  <c r="HA9" i="4" a="1"/>
  <c r="GA7" i="4" a="1"/>
  <c r="GO7" i="4" a="1"/>
  <c r="FQ6" i="4" a="1"/>
  <c r="GS14" i="4" a="1"/>
  <c r="GP5" i="4" a="1"/>
  <c r="HB13" i="4" a="1"/>
  <c r="GW8" i="4" a="1"/>
  <c r="GT13" i="4" a="1"/>
  <c r="FP7" i="4" a="1"/>
  <c r="FS7" i="4" a="1"/>
  <c r="GA11" i="4" a="1"/>
  <c r="HC12" i="4" a="1"/>
  <c r="GA9" i="4" a="1"/>
  <c r="HA12" i="4" a="1"/>
  <c r="FT14" i="4" a="1"/>
  <c r="HC9" i="4" a="1"/>
  <c r="FP15" i="4" a="1"/>
  <c r="HH15" i="4" a="1"/>
  <c r="GH16" i="4" a="1"/>
  <c r="HE7" i="4" a="1"/>
  <c r="FU11" i="4" a="1"/>
  <c r="HB14" i="4" a="1"/>
  <c r="FY15" i="4" a="1"/>
  <c r="GV13" i="4" a="1"/>
  <c r="GG15" i="4" a="1"/>
  <c r="HG15" i="4" a="1"/>
  <c r="GE16" i="4" a="1"/>
  <c r="HE16" i="4" a="1"/>
  <c r="BC90" i="3"/>
  <c r="BC77" i="3"/>
  <c r="BC68" i="3"/>
  <c r="BD59" i="3"/>
  <c r="BD79" i="3"/>
  <c r="FS9" i="4" a="1"/>
  <c r="GE11" i="4" a="1"/>
  <c r="FI13" i="4" a="1"/>
  <c r="GF9" i="4" a="1"/>
  <c r="FJ13" i="4" a="1"/>
  <c r="GB14" i="4" a="1"/>
  <c r="GR11" i="4" a="1"/>
  <c r="HF6" i="4" a="1"/>
  <c r="GG16" i="4" a="1"/>
  <c r="HG16" i="4" a="1"/>
  <c r="BC67" i="3"/>
  <c r="BC61" i="3"/>
  <c r="BC76" i="3"/>
  <c r="BD97" i="3"/>
  <c r="BD66" i="3"/>
  <c r="GM16" i="4" a="1"/>
  <c r="BC62" i="3"/>
  <c r="FX12" i="4" a="1"/>
  <c r="BD90" i="3"/>
  <c r="BG80" i="3"/>
  <c r="BI72" i="3"/>
  <c r="BL65" i="3"/>
  <c r="BQ70" i="3"/>
  <c r="BV56" i="3"/>
  <c r="BO89" i="3"/>
  <c r="BS47" i="3"/>
  <c r="BU89" i="3"/>
  <c r="BR69" i="3"/>
  <c r="BV89" i="3"/>
  <c r="BT56" i="3"/>
  <c r="BN93" i="3"/>
  <c r="BN97" i="3"/>
  <c r="BO56" i="3"/>
  <c r="BG48" i="3"/>
  <c r="BE81" i="3"/>
  <c r="BF72" i="3"/>
  <c r="CL135" i="1" s="1"/>
  <c r="BJ62" i="3"/>
  <c r="BK88" i="3"/>
  <c r="BK65" i="3"/>
  <c r="GH7" i="4" a="1"/>
  <c r="FR9" i="4" a="1"/>
  <c r="FO5" i="4" a="1"/>
  <c r="FL9" i="4" a="1"/>
  <c r="GX8" i="4" a="1"/>
  <c r="GB6" i="4" a="1"/>
  <c r="FO15" i="4" a="1"/>
  <c r="FL6" i="4" a="1"/>
  <c r="FX14" i="4" a="1"/>
  <c r="GU5" i="4" a="1"/>
  <c r="GN14" i="4" a="1"/>
  <c r="FJ8" i="4" a="1"/>
  <c r="GC15" i="4" a="1"/>
  <c r="FH16" i="4" a="1"/>
  <c r="GJ16" i="4" a="1"/>
  <c r="GO11" i="4" a="1"/>
  <c r="HE11" i="4" a="1"/>
  <c r="HG14" i="4" a="1"/>
  <c r="HD13" i="4" a="1"/>
  <c r="GI15" i="4" a="1"/>
  <c r="FG16" i="4" a="1"/>
  <c r="GY9" i="4" a="1"/>
  <c r="BC66" i="3"/>
  <c r="BD91" i="3"/>
  <c r="GX15" i="4" a="1"/>
  <c r="GW16" i="4" a="1"/>
  <c r="BD72" i="3"/>
  <c r="BP77" i="3"/>
  <c r="BM95" i="3"/>
  <c r="BB81" i="3"/>
  <c r="BE83" i="3"/>
  <c r="BQ84" i="3"/>
  <c r="BV49" i="3"/>
  <c r="BO57" i="3"/>
  <c r="BS96" i="3"/>
  <c r="BU92" i="3"/>
  <c r="BR94" i="3"/>
  <c r="BV94" i="3"/>
  <c r="BT79" i="3"/>
  <c r="BN64" i="3"/>
  <c r="BP54" i="3"/>
  <c r="BO86" i="3"/>
  <c r="BG47" i="3"/>
  <c r="BI71" i="3"/>
  <c r="BF56" i="3"/>
  <c r="CL117" i="1" s="1"/>
  <c r="BJ64" i="3"/>
  <c r="BK59" i="3"/>
  <c r="BK96" i="3"/>
  <c r="FN6" i="4" a="1"/>
  <c r="HH9" i="4" a="1"/>
  <c r="FV5" i="4" a="1"/>
  <c r="GR7" i="4" a="1"/>
  <c r="FU5" i="4" a="1"/>
  <c r="GB9" i="4" a="1"/>
  <c r="GO9" i="4" a="1"/>
  <c r="HG7" i="4" a="1"/>
  <c r="GZ7" i="4" a="1"/>
  <c r="GL7" i="4" a="1"/>
  <c r="FJ15" i="4" a="1"/>
  <c r="GO8" i="4" a="1"/>
  <c r="GP11" i="4" a="1"/>
  <c r="GS11" i="4" a="1"/>
  <c r="FQ13" i="4" a="1"/>
  <c r="GL11" i="4" a="1"/>
  <c r="FO13" i="4" a="1"/>
  <c r="GG14" i="4" a="1"/>
  <c r="FK12" i="4" a="1"/>
  <c r="GF15" i="4" a="1"/>
  <c r="FJ16" i="4" a="1"/>
  <c r="GL16" i="4" a="1"/>
  <c r="FH13" i="4" a="1"/>
  <c r="FN12" i="4" a="1"/>
  <c r="FI15" i="4" a="1"/>
  <c r="GD8" i="4" a="1"/>
  <c r="FG14" i="4" a="1"/>
  <c r="GK15" i="4" a="1"/>
  <c r="FI16" i="4" a="1"/>
  <c r="GI16" i="4" a="1"/>
  <c r="GG9" i="4" a="1"/>
  <c r="BC95" i="3"/>
  <c r="BC59" i="3"/>
  <c r="BC97" i="3"/>
  <c r="BD56" i="3"/>
  <c r="BD77" i="3"/>
  <c r="GJ14" i="4" a="1"/>
  <c r="FV12" i="4" a="1"/>
  <c r="GH15" i="4" a="1"/>
  <c r="FL16" i="4" a="1"/>
  <c r="GN16" i="4" a="1"/>
  <c r="GD14" i="4" a="1"/>
  <c r="GI12" i="4" a="1"/>
  <c r="FM15" i="4" a="1"/>
  <c r="HH8" i="4" a="1"/>
  <c r="FR14" i="4" a="1"/>
  <c r="GM15" i="4" a="1"/>
  <c r="FK16" i="4" a="1"/>
  <c r="HB16" i="4" a="1"/>
  <c r="GD12" i="4" a="1"/>
  <c r="FW16" i="4" a="1"/>
  <c r="BC74" i="3"/>
  <c r="BJ56" i="3"/>
  <c r="BM62" i="3"/>
  <c r="BA76" i="3"/>
  <c r="BE95" i="3"/>
  <c r="BQ72" i="3"/>
  <c r="BV81" i="3"/>
  <c r="BO67" i="3"/>
  <c r="BS86" i="3"/>
  <c r="BU97" i="3"/>
  <c r="BR83" i="3"/>
  <c r="BV96" i="3"/>
  <c r="BT83" i="3"/>
  <c r="BN55" i="3"/>
  <c r="BP90" i="3"/>
  <c r="BO83" i="3"/>
  <c r="BG84" i="3"/>
  <c r="BI77" i="3"/>
  <c r="BJ49" i="3"/>
  <c r="BJ50" i="3"/>
  <c r="BK67" i="3"/>
  <c r="BK63" i="3"/>
  <c r="GL6" i="4" a="1"/>
  <c r="FR11" i="4" a="1"/>
  <c r="GH5" i="4" a="1"/>
  <c r="FT8" i="4" a="1"/>
  <c r="GG5" i="4" a="1"/>
  <c r="GM6" i="4" a="1"/>
  <c r="FI5" i="4" a="1"/>
  <c r="FW9" i="4" a="1"/>
  <c r="FI9" i="4" a="1"/>
  <c r="FO9" i="4" a="1"/>
  <c r="GD9" i="4" a="1"/>
  <c r="HF5" i="4" a="1"/>
  <c r="GR12" i="4" a="1"/>
  <c r="GV11" i="4" a="1"/>
  <c r="FT13" i="4" a="1"/>
  <c r="GT11" i="4" a="1"/>
  <c r="FR13" i="4" a="1"/>
  <c r="BD65" i="3"/>
  <c r="BD68" i="3"/>
  <c r="GU13" i="4" a="1"/>
  <c r="BD67" i="3"/>
  <c r="BA72" i="3"/>
  <c r="Z111" i="2"/>
  <c r="BA61" i="3"/>
  <c r="BE87" i="3"/>
  <c r="BQ67" i="3"/>
  <c r="BT50" i="3"/>
  <c r="BO72" i="3"/>
  <c r="BS72" i="3"/>
  <c r="BU84" i="3"/>
  <c r="BR68" i="3"/>
  <c r="BV70" i="3"/>
  <c r="BT86" i="3"/>
  <c r="BN90" i="3"/>
  <c r="BP82" i="3"/>
  <c r="BO91" i="3"/>
  <c r="BH93" i="3"/>
  <c r="BI87" i="3"/>
  <c r="BJ74" i="3"/>
  <c r="BJ65" i="3"/>
  <c r="BK85" i="3"/>
  <c r="BK89" i="3"/>
  <c r="GS7" i="4" a="1"/>
  <c r="FZ6" i="4" a="1"/>
  <c r="HD6" i="4" a="1"/>
  <c r="GP9" i="4" a="1"/>
  <c r="FH6" i="4" a="1"/>
  <c r="GN8" i="4" a="1"/>
  <c r="FT5" i="4" a="1"/>
  <c r="GW7" i="4" a="1"/>
  <c r="FN5" i="4" a="1"/>
  <c r="FX8" i="4" a="1"/>
  <c r="FK5" i="4" a="1"/>
  <c r="GN5" i="4" a="1"/>
  <c r="GL13" i="4" a="1"/>
  <c r="HA11" i="4" a="1"/>
  <c r="GG13" i="4" a="1"/>
  <c r="HB11" i="4" a="1"/>
  <c r="FZ13" i="4" a="1"/>
  <c r="GO14" i="4" a="1"/>
  <c r="HB12" i="4" a="1"/>
  <c r="GJ15" i="4" a="1"/>
  <c r="FN16" i="4" a="1"/>
  <c r="GR16" i="4" a="1"/>
  <c r="GY14" i="4" a="1"/>
  <c r="GT12" i="4" a="1"/>
  <c r="FT15" i="4" a="1"/>
  <c r="GU9" i="4" a="1"/>
  <c r="FW14" i="4" a="1"/>
  <c r="GO15" i="4" a="1"/>
  <c r="FO16" i="4" a="1"/>
  <c r="GO16" i="4" a="1"/>
  <c r="GC11" i="4" a="1"/>
  <c r="BC75" i="3"/>
  <c r="BC89" i="3"/>
  <c r="BC80" i="3"/>
  <c r="BD64" i="3"/>
  <c r="BD69" i="3"/>
  <c r="BC48" i="3"/>
  <c r="GS15" i="4" a="1"/>
  <c r="FQ16" i="4" a="1"/>
  <c r="GQ16" i="4" a="1"/>
  <c r="GZ11" i="4" a="1"/>
  <c r="BC73" i="3"/>
  <c r="BC86" i="3"/>
  <c r="Z112" i="2"/>
  <c r="BA91" i="3"/>
  <c r="BB58" i="3"/>
  <c r="BD73" i="3"/>
  <c r="BE71" i="3"/>
  <c r="BQ66" i="3"/>
  <c r="BT93" i="3"/>
  <c r="BO79" i="3"/>
  <c r="BS61" i="3"/>
  <c r="BU64" i="3"/>
  <c r="BV50" i="3"/>
  <c r="BV87" i="3"/>
  <c r="BT54" i="3"/>
  <c r="BN60" i="3"/>
  <c r="BF81" i="3"/>
  <c r="CL144" i="1" s="1"/>
  <c r="CL179" i="1" s="1"/>
  <c r="BO93" i="3"/>
  <c r="BL95" i="3"/>
  <c r="BI61" i="3"/>
  <c r="BJ47" i="3"/>
  <c r="BJ69" i="3"/>
  <c r="BK66" i="3"/>
  <c r="BK61" i="3"/>
  <c r="FY8" i="4" a="1"/>
  <c r="GI9" i="4" a="1"/>
  <c r="GX7" i="4" a="1"/>
  <c r="FL11" i="4" a="1"/>
  <c r="HA6" i="4" a="1"/>
  <c r="GK9" i="4" a="1"/>
  <c r="GT5" i="4" a="1"/>
  <c r="HD8" i="4" a="1"/>
  <c r="GJ5" i="4" a="1"/>
  <c r="FU9" i="4" a="1"/>
  <c r="FW5" i="4" a="1"/>
  <c r="FT9" i="4" a="1"/>
  <c r="GK14" i="4" a="1"/>
  <c r="FG12" i="4" a="1"/>
  <c r="GJ13" i="4" a="1"/>
  <c r="HG11" i="4" a="1"/>
  <c r="GH13" i="4" a="1"/>
  <c r="GZ14" i="4" a="1"/>
  <c r="GF13" i="4" a="1"/>
  <c r="GP15" i="4" a="1"/>
  <c r="FP16" i="4" a="1"/>
  <c r="GV16" i="4" a="1"/>
  <c r="FV15" i="4" a="1"/>
  <c r="FM13" i="4" a="1"/>
  <c r="FX15" i="4" a="1"/>
  <c r="FI11" i="4" a="1"/>
  <c r="GH14" i="4" a="1"/>
  <c r="BQ59" i="3"/>
  <c r="BB66" i="3"/>
  <c r="BH83" i="3"/>
  <c r="BI62" i="3"/>
  <c r="BQ81" i="3"/>
  <c r="BT80" i="3"/>
  <c r="BO90" i="3"/>
  <c r="BS50" i="3"/>
  <c r="BR88" i="3"/>
  <c r="BV57" i="3"/>
  <c r="BT71" i="3"/>
  <c r="BT60" i="3"/>
  <c r="BN71" i="3"/>
  <c r="BF77" i="3"/>
  <c r="CL140" i="1" s="1"/>
  <c r="BS66" i="3"/>
  <c r="BL73" i="3"/>
  <c r="BI50" i="3"/>
  <c r="BJ68" i="3"/>
  <c r="BJ73" i="3"/>
  <c r="BK87" i="3"/>
  <c r="FK15" i="4" a="1"/>
  <c r="GU8" i="4" a="1"/>
  <c r="FT12" i="4" a="1"/>
  <c r="FS6" i="4" a="1"/>
  <c r="GJ6" i="4" a="1"/>
  <c r="GU7" i="4" a="1"/>
  <c r="FJ11" i="4" a="1"/>
  <c r="GV6" i="4" a="1"/>
  <c r="GT9" i="4" a="1"/>
  <c r="GK6" i="4" a="1"/>
  <c r="HD9" i="4" a="1"/>
  <c r="FR5" i="4" a="1"/>
  <c r="GM9" i="4" a="1"/>
  <c r="FG15" i="4" a="1"/>
  <c r="FO12" i="4" a="1"/>
  <c r="GO13" i="4" a="1"/>
  <c r="FP12" i="4" a="1"/>
  <c r="GM13" i="4" a="1"/>
  <c r="HE14" i="4" a="1"/>
  <c r="HA13" i="4" a="1"/>
  <c r="GR15" i="4" a="1"/>
  <c r="FT16" i="4" a="1"/>
  <c r="GX16" i="4" a="1"/>
  <c r="GP6" i="4" a="1"/>
  <c r="FX13" i="4" a="1"/>
  <c r="GA15" i="4" a="1"/>
  <c r="GW11" i="4" a="1"/>
  <c r="GX14" i="4" a="1"/>
  <c r="GU15" i="4" a="1"/>
  <c r="FS16" i="4" a="1"/>
  <c r="GS16" i="4" a="1"/>
  <c r="GY12" i="4" a="1"/>
  <c r="BC63" i="3"/>
  <c r="BC79" i="3"/>
  <c r="BD48" i="3"/>
  <c r="BD57" i="3"/>
  <c r="BD81" i="3"/>
  <c r="BB93" i="3"/>
  <c r="FO7" i="4" a="1"/>
  <c r="FW12" i="4" a="1"/>
  <c r="FU12" i="4" a="1"/>
  <c r="HH14" i="4" a="1"/>
  <c r="FJ14" i="4" a="1"/>
  <c r="GT15" i="4" a="1"/>
  <c r="FX16" i="4" a="1"/>
  <c r="GZ16" i="4" a="1"/>
  <c r="GJ7" i="4" a="1"/>
  <c r="GD15" i="4" a="1"/>
  <c r="BD84" i="3"/>
  <c r="BD58" i="3"/>
  <c r="BD95" i="3"/>
  <c r="BA65" i="3"/>
  <c r="HE6" i="4" a="1"/>
  <c r="BH47" i="3"/>
  <c r="BB83" i="3"/>
  <c r="BH94" i="3"/>
  <c r="BI58" i="3"/>
  <c r="BQ96" i="3"/>
  <c r="BN92" i="3"/>
  <c r="BS71" i="3"/>
  <c r="BU49" i="3"/>
  <c r="BR78" i="3"/>
  <c r="BV93" i="3"/>
  <c r="BT63" i="3"/>
  <c r="BT48" i="3"/>
  <c r="BN47" i="3"/>
  <c r="BF73" i="3"/>
  <c r="BS76" i="3"/>
  <c r="BE49" i="3"/>
  <c r="BM47" i="3"/>
  <c r="BJ72" i="3"/>
  <c r="BJ75" i="3"/>
  <c r="BK62" i="3"/>
  <c r="GE15" i="4" a="1"/>
  <c r="GM5" i="4" a="1"/>
  <c r="GJ12" i="4" a="1"/>
  <c r="GQ6" i="4" a="1"/>
  <c r="GD7" i="4" a="1"/>
  <c r="GO5" i="4" a="1"/>
  <c r="FV11" i="4" a="1"/>
  <c r="HF9" i="4" a="1"/>
  <c r="FG7" i="4" a="1"/>
  <c r="FN11" i="4" a="1"/>
  <c r="GY5" i="4" a="1"/>
  <c r="FL7" i="4" a="1"/>
  <c r="FN9" i="4" a="1"/>
  <c r="GW13" i="4" a="1"/>
  <c r="GP13" i="4" a="1"/>
  <c r="GS13" i="4" a="1"/>
  <c r="GA12" i="4" a="1"/>
  <c r="HC14" i="4" a="1"/>
  <c r="GW15" i="4" a="1"/>
  <c r="FU16" i="4" a="1"/>
  <c r="GU16" i="4" a="1"/>
  <c r="GN13" i="4" a="1"/>
  <c r="BC64" i="3"/>
  <c r="BC69" i="3"/>
  <c r="BL86" i="3"/>
  <c r="BG95" i="3"/>
  <c r="BL58" i="3"/>
  <c r="BI85" i="3"/>
  <c r="BU78" i="3"/>
  <c r="BN76" i="3"/>
  <c r="BS63" i="3"/>
  <c r="BU57" i="3"/>
  <c r="BR55" i="3"/>
  <c r="BV91" i="3"/>
  <c r="BT58" i="3"/>
  <c r="BN57" i="3"/>
  <c r="BN66" i="3"/>
  <c r="BF48" i="3"/>
  <c r="BS81" i="3"/>
  <c r="BE47" i="3"/>
  <c r="BM58" i="3"/>
  <c r="BJ78" i="3"/>
  <c r="BJ81" i="3"/>
  <c r="BK90" i="3"/>
  <c r="GC5" i="4" a="1"/>
  <c r="HH6" i="4" a="1"/>
  <c r="GQ13" i="4" a="1"/>
  <c r="HA7" i="4" a="1"/>
  <c r="FQ12" i="4" a="1"/>
  <c r="HB6" i="4" a="1"/>
  <c r="FH8" i="4" a="1"/>
  <c r="HE5" i="4" a="1"/>
  <c r="HD5" i="4" a="1"/>
  <c r="GZ5" i="4" a="1"/>
  <c r="GY7" i="4" a="1"/>
  <c r="GS6" i="4" a="1"/>
  <c r="GJ8" i="4" a="1"/>
  <c r="GW9" i="4" a="1"/>
  <c r="FZ12" i="4" a="1"/>
  <c r="FY7" i="4" a="1"/>
  <c r="FZ16" i="4" a="1"/>
  <c r="FV8" i="4" a="1"/>
  <c r="GY15" i="4" a="1"/>
  <c r="BC84" i="3"/>
  <c r="BC82" i="3"/>
  <c r="BM81" i="3"/>
  <c r="BL49" i="3"/>
  <c r="BI67" i="3"/>
  <c r="BU75" i="3"/>
  <c r="BO55" i="3"/>
  <c r="BS85" i="3"/>
  <c r="BU62" i="3"/>
  <c r="BR72" i="3"/>
  <c r="BV88" i="3"/>
  <c r="BT72" i="3"/>
  <c r="BN82" i="3"/>
  <c r="BN68" i="3"/>
  <c r="AA113" i="2"/>
  <c r="BS89" i="3"/>
  <c r="BE89" i="3"/>
  <c r="BM63" i="3"/>
  <c r="BJ80" i="3"/>
  <c r="BJ83" i="3"/>
  <c r="BK57" i="3"/>
  <c r="FL5" i="4" a="1"/>
  <c r="GQ7" i="4" a="1"/>
  <c r="FH14" i="4" a="1"/>
  <c r="FS8" i="4" a="1"/>
  <c r="GO12" i="4" a="1"/>
  <c r="FX7" i="4" a="1"/>
  <c r="GH11" i="4" a="1"/>
  <c r="GD6" i="4" a="1"/>
  <c r="GU6" i="4" a="1"/>
  <c r="FV6" i="4" a="1"/>
  <c r="GN9" i="4" a="1"/>
  <c r="FR7" i="4" a="1"/>
  <c r="GC9" i="4" a="1"/>
  <c r="HE9" i="4" a="1"/>
  <c r="GM12" i="4" a="1"/>
  <c r="GI7" i="4" a="1"/>
  <c r="GF12" i="4" a="1"/>
  <c r="HF13" i="4" a="1"/>
  <c r="GT8" i="4" a="1"/>
  <c r="GP14" i="4" a="1"/>
  <c r="HB15" i="4" a="1"/>
  <c r="GB16" i="4" a="1"/>
  <c r="HD16" i="4" a="1"/>
  <c r="HB8" i="4" a="1"/>
  <c r="FK14" i="4" a="1"/>
  <c r="HE13" i="4" a="1"/>
  <c r="HG12" i="4" a="1"/>
  <c r="FQ15" i="4" a="1"/>
  <c r="HA15" i="4" a="1"/>
  <c r="FY16" i="4" a="1"/>
  <c r="GY16" i="4" a="1"/>
  <c r="BC55" i="3"/>
  <c r="BC83" i="3"/>
  <c r="BC87" i="3"/>
  <c r="BD60" i="3"/>
  <c r="BD63" i="3"/>
  <c r="BE59" i="3"/>
  <c r="BM55" i="3"/>
  <c r="BJ89" i="3"/>
  <c r="BK56" i="3"/>
  <c r="GQ5" i="4" a="1"/>
  <c r="GH6" i="4" a="1"/>
  <c r="FR15" i="4" a="1"/>
  <c r="HC8" i="4" a="1"/>
  <c r="HG13" i="4" a="1"/>
  <c r="GC8" i="4" a="1"/>
  <c r="GW12" i="4" a="1"/>
  <c r="HD7" i="4" a="1"/>
  <c r="FI12" i="4" a="1"/>
  <c r="GF7" i="4" a="1"/>
  <c r="HH5" i="4" a="1"/>
  <c r="FH11" i="4" a="1"/>
  <c r="FQ9" i="4" a="1"/>
  <c r="BT49" i="3"/>
  <c r="BM60" i="3"/>
  <c r="BP97" i="3"/>
  <c r="BL60" i="3"/>
  <c r="BF78" i="3"/>
  <c r="CL142" i="1" s="1"/>
  <c r="BR92" i="3"/>
  <c r="BO66" i="3"/>
  <c r="BS68" i="3"/>
  <c r="BU69" i="3"/>
  <c r="BR75" i="3"/>
  <c r="BV84" i="3"/>
  <c r="BT96" i="3"/>
  <c r="BN79" i="3"/>
  <c r="BN63" i="3"/>
  <c r="Y111" i="2"/>
  <c r="BS49" i="3"/>
  <c r="BK81" i="3"/>
  <c r="HC11" i="4" a="1"/>
  <c r="FK11" i="4" a="1"/>
  <c r="GP12" i="4" a="1"/>
  <c r="GT7" i="4" a="1"/>
  <c r="GN12" i="4" a="1"/>
  <c r="FI14" i="4" a="1"/>
  <c r="GU14" i="4" a="1"/>
  <c r="HD15" i="4" a="1"/>
  <c r="GD16" i="4" a="1"/>
  <c r="HF16" i="4" a="1"/>
  <c r="FV9" i="4" a="1"/>
  <c r="GA14" i="4" a="1"/>
  <c r="GI14" i="4" a="1"/>
  <c r="FP13" i="4" a="1"/>
  <c r="FU15" i="4" a="1"/>
  <c r="HC15" i="4" a="1"/>
  <c r="GA16" i="4" a="1"/>
  <c r="HA16" i="4" a="1"/>
  <c r="BC54" i="3"/>
  <c r="BC78" i="3"/>
  <c r="BC93" i="3"/>
  <c r="BD74" i="3"/>
  <c r="BD96" i="3"/>
  <c r="BV48" i="3"/>
  <c r="BH61" i="3"/>
  <c r="BP76" i="3"/>
  <c r="BD89" i="3"/>
  <c r="BL70" i="3"/>
  <c r="BF54" i="3"/>
  <c r="BR91" i="3"/>
  <c r="BO76" i="3"/>
  <c r="BS65" i="3"/>
  <c r="BU86" i="3"/>
  <c r="BR66" i="3"/>
  <c r="BV58" i="3"/>
  <c r="BT70" i="3"/>
  <c r="BN89" i="3"/>
  <c r="BN83" i="3"/>
  <c r="BO48" i="3"/>
  <c r="BS58" i="3"/>
  <c r="BE69" i="3"/>
  <c r="BF68" i="3"/>
  <c r="CL134" i="1" s="1"/>
  <c r="BJ91" i="3"/>
  <c r="BK82" i="3"/>
  <c r="BK91" i="3"/>
  <c r="FX6" i="4" a="1"/>
  <c r="HH7" i="4" a="1"/>
  <c r="GH8" i="4" a="1"/>
  <c r="FY6" i="4" a="1"/>
  <c r="HD14" i="4" a="1"/>
  <c r="GY8" i="4" a="1"/>
  <c r="GY13" i="4" a="1"/>
  <c r="GG8" i="4" a="1"/>
  <c r="HH12" i="4" a="1"/>
  <c r="FW8" i="4" a="1"/>
  <c r="GZ12" i="4" a="1"/>
  <c r="GA6" i="4" a="1"/>
  <c r="FT11" i="4" a="1"/>
  <c r="FS11" i="4" a="1"/>
  <c r="GU12" i="4" a="1"/>
  <c r="FP9" i="4" a="1"/>
  <c r="GV12" i="4" a="1"/>
  <c r="FL14" i="4" a="1"/>
  <c r="GL9" i="4" a="1"/>
  <c r="HF14" i="4" a="1"/>
  <c r="HF15" i="4" a="1"/>
  <c r="GF16" i="4" a="1"/>
  <c r="HH16" i="4" a="1"/>
  <c r="GQ9" i="4" a="1"/>
  <c r="GQ14" i="4" a="1"/>
  <c r="FH15" i="4" a="1"/>
  <c r="GK13" i="4" a="1"/>
  <c r="GB15" i="4" a="1"/>
  <c r="HE15" i="4" a="1"/>
  <c r="GC16" i="4" a="1"/>
  <c r="HC16" i="4" a="1"/>
  <c r="BC96" i="3"/>
  <c r="BC88" i="3"/>
  <c r="BC91" i="3"/>
  <c r="BD87" i="3"/>
  <c r="BD71" i="3"/>
  <c r="BC92" i="3"/>
  <c r="BD80" i="3"/>
  <c r="BD47" i="3"/>
  <c r="Y113" i="2"/>
  <c r="FO14" i="4" a="1"/>
  <c r="HH13" i="4" a="1"/>
  <c r="GL12" i="4" a="1"/>
  <c r="FN15" i="4" a="1"/>
  <c r="FS14" i="4" a="1"/>
  <c r="CH140" i="1" l="1"/>
  <c r="CI140" i="1" s="1"/>
  <c r="AA202" i="1"/>
  <c r="CL98" i="1"/>
  <c r="CL99" i="1" s="1"/>
  <c r="CL156" i="1"/>
  <c r="CL185" i="1" s="1"/>
  <c r="CL184" i="1" s="1"/>
  <c r="CL120" i="1"/>
  <c r="CL27" i="1"/>
  <c r="CL16" i="1"/>
  <c r="Z252" i="1"/>
  <c r="X10" i="1"/>
  <c r="CH126" i="1"/>
  <c r="CI126" i="1" s="1"/>
  <c r="Z154" i="1"/>
  <c r="CH154" i="1" s="1"/>
  <c r="CL161" i="1"/>
  <c r="CL129" i="1"/>
  <c r="CL168" i="1"/>
  <c r="CL109" i="1" s="1"/>
  <c r="CL92" i="1"/>
  <c r="CL148" i="1"/>
  <c r="CL138" i="1"/>
  <c r="CK26" i="1"/>
  <c r="CK27" i="1" s="1"/>
  <c r="CK65" i="1"/>
  <c r="CO20" i="1"/>
  <c r="CS20" i="1" s="1"/>
  <c r="CW20" i="1" s="1"/>
  <c r="DA20" i="1" s="1"/>
  <c r="CJ159" i="1"/>
  <c r="CJ152" i="1"/>
  <c r="KH16" i="4" s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W16" i="4" s="1"/>
  <c r="JX16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E16" i="4" s="1"/>
  <c r="KG9" i="4" s="1"/>
  <c r="Z74" i="1"/>
  <c r="JU16" i="4" s="1"/>
  <c r="CK73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V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C16" i="4" s="1"/>
  <c r="KA9" i="4" s="1"/>
  <c r="KD16" i="4" s="1"/>
  <c r="JU9" i="4" s="1"/>
  <c r="CJ149" i="1"/>
  <c r="JS16" i="4" s="1"/>
  <c r="KB9" i="4" s="1"/>
  <c r="CJ134" i="1"/>
  <c r="CK33" i="1" s="1"/>
  <c r="CJ150" i="1"/>
  <c r="JX9" i="4" s="1"/>
  <c r="CJ140" i="1"/>
  <c r="CJ202" i="1" s="1"/>
  <c r="CJ117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4" i="1"/>
  <c r="KE9" i="4" s="1"/>
  <c r="JZ16" i="4" s="1"/>
  <c r="KB14" i="4" s="1"/>
  <c r="JR9" i="4" s="1"/>
  <c r="JT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A16" i="4" s="1"/>
  <c r="CJ151" i="1"/>
  <c r="JY16" i="4" s="1"/>
  <c r="KG16" i="4" s="1"/>
  <c r="CJ147" i="1"/>
  <c r="Y74" i="1"/>
  <c r="CI74" i="1"/>
  <c r="Z73" i="1"/>
  <c r="CJ160" i="1"/>
  <c r="CK74" i="1"/>
  <c r="CJ142" i="1"/>
  <c r="CH73" i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CJ133" i="1"/>
  <c r="CK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9" i="4" s="1"/>
  <c r="KD14" i="4" s="1"/>
  <c r="CJ145" i="1"/>
  <c r="CJ180" i="1" s="1"/>
  <c r="CK180" i="1" s="1"/>
  <c r="CH74" i="1"/>
  <c r="KD8" i="4" s="1"/>
  <c r="JQ8" i="4" s="1"/>
  <c r="KF9" i="4" s="1"/>
  <c r="X73" i="1"/>
  <c r="Y148" i="1"/>
  <c r="X183" i="1"/>
  <c r="Y161" i="1"/>
  <c r="Z209" i="1" s="1"/>
  <c r="X179" i="1"/>
  <c r="CK16" i="1"/>
  <c r="CK98" i="1"/>
  <c r="X252" i="1"/>
  <c r="Y134" i="1"/>
  <c r="Y33" i="1" s="1"/>
  <c r="Y173" i="1"/>
  <c r="Y179" i="1"/>
  <c r="X173" i="1"/>
  <c r="Z161" i="1"/>
  <c r="AA209" i="1" s="1"/>
  <c r="CH159" i="1"/>
  <c r="CH161" i="1" s="1"/>
  <c r="CI209" i="1" s="1"/>
  <c r="X194" i="1"/>
  <c r="X253" i="1"/>
  <c r="Y194" i="1"/>
  <c r="Y253" i="1"/>
  <c r="Z253" i="1"/>
  <c r="Z194" i="1"/>
  <c r="X148" i="1"/>
  <c r="X180" i="1"/>
  <c r="CH143" i="1"/>
  <c r="Z148" i="1"/>
  <c r="AA196" i="1" s="1"/>
  <c r="Y252" i="1"/>
  <c r="Y10" i="1"/>
  <c r="Y183" i="1"/>
  <c r="Y231" i="1"/>
  <c r="Z120" i="1"/>
  <c r="CH117" i="1"/>
  <c r="CH144" i="1"/>
  <c r="Z179" i="1"/>
  <c r="Z231" i="1"/>
  <c r="Z183" i="1"/>
  <c r="Z180" i="1"/>
  <c r="CH135" i="1"/>
  <c r="CI135" i="1" s="1"/>
  <c r="Z131" i="1"/>
  <c r="Y26" i="1"/>
  <c r="Y27" i="1" s="1"/>
  <c r="CJ143" i="1"/>
  <c r="CJ137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X98" i="1"/>
  <c r="X16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Y138" i="1" l="1"/>
  <c r="CJ120" i="1"/>
  <c r="JY9" i="4" s="1"/>
  <c r="JQ16" i="4" s="1"/>
  <c r="KA21" i="4"/>
  <c r="Z175" i="1"/>
  <c r="AA207" i="1"/>
  <c r="AA11" i="1"/>
  <c r="AA188" i="1"/>
  <c r="AA206" i="1"/>
  <c r="AA249" i="1"/>
  <c r="AA198" i="1"/>
  <c r="AA199" i="1" s="1"/>
  <c r="JX21" i="4"/>
  <c r="JS9" i="4" s="1"/>
  <c r="JQ9" i="4" s="1"/>
  <c r="KG21" i="4"/>
  <c r="JW9" i="4" s="1"/>
  <c r="JT7" i="4" s="1"/>
  <c r="KB16" i="4" s="1"/>
  <c r="KB21" i="4" s="1"/>
  <c r="JT16" i="4" s="1"/>
  <c r="JT21" i="4" s="1"/>
  <c r="JS7" i="4" s="1"/>
  <c r="KF14" i="4" s="1"/>
  <c r="JU7" i="4" s="1"/>
  <c r="CI128" i="1"/>
  <c r="Y182" i="1"/>
  <c r="CL244" i="1"/>
  <c r="JW21" i="4"/>
  <c r="KG8" i="4"/>
  <c r="KE21" i="4"/>
  <c r="JR14" i="4"/>
  <c r="JR19" i="4" s="1"/>
  <c r="CL78" i="1" s="1"/>
  <c r="JW7" i="4"/>
  <c r="JW8" i="4"/>
  <c r="JS21" i="4"/>
  <c r="KB8" i="4"/>
  <c r="JS15" i="4"/>
  <c r="JY21" i="4"/>
  <c r="JY15" i="4"/>
  <c r="JR15" i="4"/>
  <c r="JV14" i="4"/>
  <c r="JR8" i="4"/>
  <c r="JV7" i="4"/>
  <c r="KH7" i="4"/>
  <c r="JX8" i="4"/>
  <c r="JY8" i="4"/>
  <c r="JX14" i="4"/>
  <c r="CL11" i="1"/>
  <c r="CL188" i="1"/>
  <c r="CL17" i="1"/>
  <c r="CL28" i="1"/>
  <c r="CL248" i="1"/>
  <c r="CL246" i="1"/>
  <c r="CL157" i="1"/>
  <c r="CL165" i="1" s="1"/>
  <c r="CL166" i="1" s="1"/>
  <c r="CL182" i="1"/>
  <c r="CJ161" i="1"/>
  <c r="KG15" i="4"/>
  <c r="KD7" i="4"/>
  <c r="KD19" i="4" s="1"/>
  <c r="KF15" i="4"/>
  <c r="KC8" i="4"/>
  <c r="KC7" i="4"/>
  <c r="KE15" i="4"/>
  <c r="JQ7" i="4"/>
  <c r="KC15" i="4"/>
  <c r="JQ15" i="4"/>
  <c r="JQ20" i="4" s="1"/>
  <c r="CK79" i="1" s="1"/>
  <c r="JV15" i="4"/>
  <c r="KA14" i="4"/>
  <c r="JZ15" i="4"/>
  <c r="JS14" i="4"/>
  <c r="CJ156" i="1"/>
  <c r="CJ185" i="1" s="1"/>
  <c r="CJ184" i="1" s="1"/>
  <c r="CK184" i="1" s="1"/>
  <c r="JU14" i="4"/>
  <c r="KE8" i="4"/>
  <c r="KE20" i="4" s="1"/>
  <c r="KC14" i="4"/>
  <c r="KC19" i="4" s="1"/>
  <c r="KA7" i="4"/>
  <c r="KA8" i="4"/>
  <c r="JY7" i="4"/>
  <c r="CK99" i="1"/>
  <c r="X27" i="1"/>
  <c r="JW14" i="4"/>
  <c r="JS8" i="4"/>
  <c r="CK17" i="1"/>
  <c r="CL19" i="1"/>
  <c r="CI16" i="1"/>
  <c r="CL225" i="1"/>
  <c r="CK140" i="1"/>
  <c r="KF7" i="4"/>
  <c r="JZ14" i="4"/>
  <c r="KH8" i="4"/>
  <c r="JU15" i="4"/>
  <c r="JZ21" i="4"/>
  <c r="JR7" i="4"/>
  <c r="KF8" i="4"/>
  <c r="JW15" i="4"/>
  <c r="JQ14" i="4"/>
  <c r="JQ19" i="4" s="1"/>
  <c r="CK78" i="1" s="1"/>
  <c r="KE14" i="4"/>
  <c r="KD15" i="4"/>
  <c r="KD20" i="4" s="1"/>
  <c r="CJ128" i="1"/>
  <c r="JZ8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K28" i="1"/>
  <c r="JT14" i="4"/>
  <c r="JT19" i="4" s="1"/>
  <c r="JT8" i="4"/>
  <c r="KB7" i="4"/>
  <c r="KB19" i="4" s="1"/>
  <c r="KH14" i="4"/>
  <c r="KA15" i="4"/>
  <c r="JU8" i="4"/>
  <c r="KE7" i="4"/>
  <c r="KB15" i="4"/>
  <c r="JV21" i="4"/>
  <c r="JV8" i="4"/>
  <c r="JX15" i="4"/>
  <c r="Z248" i="1"/>
  <c r="CJ131" i="1"/>
  <c r="CK131" i="1" s="1"/>
  <c r="KG7" i="4"/>
  <c r="JX7" i="4"/>
  <c r="KH15" i="4"/>
  <c r="JY14" i="4"/>
  <c r="JU21" i="4"/>
  <c r="KD21" i="4"/>
  <c r="KC21" i="4"/>
  <c r="JZ7" i="4"/>
  <c r="KG14" i="4"/>
  <c r="KG19" i="4" s="1"/>
  <c r="JT15" i="4"/>
  <c r="CJ148" i="1"/>
  <c r="CK125" i="1"/>
  <c r="CK128" i="1" s="1"/>
  <c r="X157" i="1"/>
  <c r="X182" i="1"/>
  <c r="X181" i="1" s="1"/>
  <c r="Y196" i="1"/>
  <c r="Z182" i="1"/>
  <c r="Z181" i="1" s="1"/>
  <c r="Z196" i="1"/>
  <c r="Y98" i="1"/>
  <c r="Y16" i="1"/>
  <c r="Y188" i="1"/>
  <c r="Y11" i="1"/>
  <c r="CI117" i="1"/>
  <c r="CH120" i="1"/>
  <c r="CH179" i="1"/>
  <c r="CI179" i="1" s="1"/>
  <c r="CH148" i="1"/>
  <c r="Z134" i="1"/>
  <c r="CH131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Y165" i="1" s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J92" i="1"/>
  <c r="CJ94" i="1" s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CH168" i="1"/>
  <c r="Z185" i="1"/>
  <c r="Z157" i="1"/>
  <c r="Z197" i="1"/>
  <c r="X28" i="1"/>
  <c r="X17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X19" i="4" l="1"/>
  <c r="JZ19" i="4"/>
  <c r="CI249" i="1"/>
  <c r="AA205" i="1"/>
  <c r="KF20" i="4"/>
  <c r="KA20" i="4"/>
  <c r="KC20" i="4"/>
  <c r="CI206" i="1"/>
  <c r="JQ21" i="4"/>
  <c r="CK77" i="1" s="1"/>
  <c r="KF16" i="4"/>
  <c r="JY20" i="4"/>
  <c r="JR20" i="4"/>
  <c r="CL79" i="1" s="1"/>
  <c r="KA19" i="4"/>
  <c r="JZ20" i="4"/>
  <c r="JS19" i="4"/>
  <c r="JU19" i="4"/>
  <c r="JW19" i="4"/>
  <c r="JS20" i="4"/>
  <c r="KF19" i="4"/>
  <c r="JW20" i="4"/>
  <c r="KH19" i="4"/>
  <c r="KB20" i="4"/>
  <c r="JV20" i="4"/>
  <c r="JX20" i="4"/>
  <c r="JV19" i="4"/>
  <c r="KG20" i="4"/>
  <c r="Y181" i="1"/>
  <c r="JU20" i="4"/>
  <c r="JT20" i="4"/>
  <c r="CK209" i="1"/>
  <c r="CJ248" i="1"/>
  <c r="CI17" i="1"/>
  <c r="CI28" i="1"/>
  <c r="CL202" i="1"/>
  <c r="CK202" i="1"/>
  <c r="CJ129" i="1"/>
  <c r="CJ249" i="1"/>
  <c r="CJ206" i="1"/>
  <c r="CJ182" i="1"/>
  <c r="CJ157" i="1"/>
  <c r="CJ165" i="1" s="1"/>
  <c r="CJ166" i="1" s="1"/>
  <c r="CL34" i="1"/>
  <c r="CL38" i="1" s="1"/>
  <c r="CL29" i="1"/>
  <c r="CL232" i="1"/>
  <c r="CL233" i="1" s="1"/>
  <c r="CL250" i="1"/>
  <c r="CL181" i="1"/>
  <c r="CL186" i="1"/>
  <c r="KE19" i="4"/>
  <c r="KH20" i="4"/>
  <c r="JY19" i="4"/>
  <c r="CK34" i="1"/>
  <c r="CK38" i="1" s="1"/>
  <c r="CK29" i="1"/>
  <c r="CL31" i="1"/>
  <c r="CL249" i="1"/>
  <c r="CL206" i="1"/>
  <c r="CL103" i="1"/>
  <c r="CL95" i="1"/>
  <c r="CL107" i="1"/>
  <c r="CL110" i="1" s="1"/>
  <c r="CL104" i="1"/>
  <c r="CL96" i="1"/>
  <c r="CL108" i="1"/>
  <c r="CL111" i="1" s="1"/>
  <c r="Y198" i="1"/>
  <c r="Y18" i="1"/>
  <c r="Y28" i="1"/>
  <c r="Y17" i="1"/>
  <c r="CH92" i="1"/>
  <c r="CH94" i="1" s="1"/>
  <c r="CH248" i="1"/>
  <c r="CH129" i="1"/>
  <c r="CH182" i="1"/>
  <c r="CH157" i="1"/>
  <c r="Z138" i="1"/>
  <c r="AA203" i="1" s="1"/>
  <c r="AA201" i="1" s="1"/>
  <c r="Z33" i="1"/>
  <c r="Z198" i="1"/>
  <c r="CI131" i="1"/>
  <c r="CI134" i="1" s="1"/>
  <c r="CH134" i="1"/>
  <c r="CJ244" i="1"/>
  <c r="CJ246" i="1"/>
  <c r="CK108" i="1"/>
  <c r="CK104" i="1"/>
  <c r="CK107" i="1"/>
  <c r="CK103" i="1"/>
  <c r="CM27" i="1"/>
  <c r="CU133" i="1"/>
  <c r="CV133" i="1" s="1"/>
  <c r="CW133" i="1" s="1"/>
  <c r="CX133" i="1" s="1"/>
  <c r="AC133" i="1"/>
  <c r="X246" i="1"/>
  <c r="X165" i="1"/>
  <c r="X166" i="1" s="1"/>
  <c r="X244" i="1"/>
  <c r="Y203" i="1"/>
  <c r="Y201" i="1" s="1"/>
  <c r="Z18" i="1"/>
  <c r="Z17" i="1"/>
  <c r="Z28" i="1"/>
  <c r="CJ96" i="1"/>
  <c r="CJ95" i="1"/>
  <c r="CG28" i="1"/>
  <c r="CK30" i="1" s="1"/>
  <c r="CG17" i="1"/>
  <c r="CK185" i="1"/>
  <c r="Y184" i="1"/>
  <c r="Y186" i="1"/>
  <c r="CI185" i="1"/>
  <c r="CI152" i="1"/>
  <c r="CM140" i="1"/>
  <c r="Y166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X232" i="1"/>
  <c r="X233" i="1" s="1"/>
  <c r="X34" i="1"/>
  <c r="X112" i="1"/>
  <c r="X29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K40" i="1" l="1"/>
  <c r="CK41" i="1"/>
  <c r="AA210" i="1"/>
  <c r="AA211" i="1" s="1"/>
  <c r="AA213" i="1"/>
  <c r="AA250" i="1"/>
  <c r="AA251" i="1" s="1"/>
  <c r="AA30" i="1"/>
  <c r="CK102" i="1"/>
  <c r="KH9" i="4"/>
  <c r="KH21" i="4" s="1"/>
  <c r="KF21" i="4"/>
  <c r="JR16" i="4"/>
  <c r="JR21" i="4" s="1"/>
  <c r="CL77" i="1" s="1"/>
  <c r="CJ181" i="1"/>
  <c r="CK181" i="1" s="1"/>
  <c r="CK182" i="1" s="1"/>
  <c r="CK186" i="1" s="1"/>
  <c r="CJ186" i="1"/>
  <c r="CL112" i="1"/>
  <c r="CL226" i="1"/>
  <c r="CL40" i="1"/>
  <c r="CL41" i="1"/>
  <c r="CL251" i="1"/>
  <c r="Y250" i="1"/>
  <c r="Y251" i="1" s="1"/>
  <c r="Y30" i="1"/>
  <c r="Z165" i="1"/>
  <c r="Z166" i="1" s="1"/>
  <c r="Z203" i="1"/>
  <c r="Z201" i="1" s="1"/>
  <c r="CJ33" i="1"/>
  <c r="CI138" i="1"/>
  <c r="CJ203" i="1" s="1"/>
  <c r="CJ201" i="1" s="1"/>
  <c r="CI38" i="1"/>
  <c r="Y189" i="1"/>
  <c r="Y190" i="1" s="1"/>
  <c r="CH95" i="1"/>
  <c r="Z244" i="1"/>
  <c r="CH96" i="1"/>
  <c r="Z246" i="1"/>
  <c r="CH181" i="1"/>
  <c r="CI181" i="1" s="1"/>
  <c r="CH186" i="1"/>
  <c r="CL189" i="1" s="1"/>
  <c r="Y112" i="1"/>
  <c r="Y34" i="1"/>
  <c r="Y29" i="1"/>
  <c r="Y232" i="1"/>
  <c r="Y233" i="1" s="1"/>
  <c r="CI33" i="1"/>
  <c r="CH138" i="1"/>
  <c r="CH165" i="1" s="1"/>
  <c r="CH166" i="1" s="1"/>
  <c r="CK42" i="1"/>
  <c r="CK48" i="1"/>
  <c r="CI250" i="1"/>
  <c r="CI251" i="1" s="1"/>
  <c r="CK112" i="1"/>
  <c r="AD133" i="1"/>
  <c r="CY133" i="1"/>
  <c r="CZ133" i="1" s="1"/>
  <c r="DA133" i="1" s="1"/>
  <c r="DB133" i="1" s="1"/>
  <c r="AE133" i="1" s="1"/>
  <c r="Z250" i="1"/>
  <c r="Z251" i="1" s="1"/>
  <c r="Z112" i="1"/>
  <c r="Z232" i="1"/>
  <c r="Z233" i="1" s="1"/>
  <c r="Z29" i="1"/>
  <c r="Z30" i="1"/>
  <c r="Z34" i="1"/>
  <c r="CG29" i="1"/>
  <c r="CG34" i="1"/>
  <c r="CG38" i="1" s="1"/>
  <c r="CG232" i="1"/>
  <c r="CG233" i="1" s="1"/>
  <c r="CM17" i="1"/>
  <c r="Z189" i="1"/>
  <c r="Z190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CL94" i="1"/>
  <c r="CL102" i="1"/>
  <c r="CI41" i="1"/>
  <c r="CI40" i="1"/>
  <c r="Y55" i="1"/>
  <c r="Y38" i="1"/>
  <c r="CL44" i="1"/>
  <c r="CL234" i="1"/>
  <c r="CL42" i="1"/>
  <c r="CL245" i="1" s="1"/>
  <c r="CL48" i="1"/>
  <c r="CJ38" i="1"/>
  <c r="CL55" i="1"/>
  <c r="CK134" i="1"/>
  <c r="CL132" i="1"/>
  <c r="CL131" i="1" s="1"/>
  <c r="CI146" i="1"/>
  <c r="CI182" i="1"/>
  <c r="CI203" i="1"/>
  <c r="CI201" i="1" s="1"/>
  <c r="CH246" i="1"/>
  <c r="CK52" i="1"/>
  <c r="CK66" i="1"/>
  <c r="Z55" i="1"/>
  <c r="Z38" i="1"/>
  <c r="CG40" i="1"/>
  <c r="CG41" i="1"/>
  <c r="CK43" i="1" s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0" i="1"/>
  <c r="Y40" i="1"/>
  <c r="Y41" i="1"/>
  <c r="CJ48" i="1"/>
  <c r="CI42" i="1"/>
  <c r="CI245" i="1" s="1"/>
  <c r="CJ234" i="1"/>
  <c r="CI234" i="1"/>
  <c r="CI4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L54" i="1"/>
  <c r="CJ42" i="1"/>
  <c r="CJ245" i="1" s="1"/>
  <c r="CJ44" i="1"/>
  <c r="CH234" i="1"/>
  <c r="CI44" i="1"/>
  <c r="CH42" i="1"/>
  <c r="CH245" i="1" s="1"/>
  <c r="CH48" i="1"/>
  <c r="CH52" i="1" s="1"/>
  <c r="Z41" i="1"/>
  <c r="Z40" i="1"/>
  <c r="CG48" i="1"/>
  <c r="CJ227" i="1"/>
  <c r="CG234" i="1"/>
  <c r="CG42" i="1"/>
  <c r="CG245" i="1" s="1"/>
  <c r="CH44" i="1"/>
  <c r="CP140" i="1"/>
  <c r="CP202" i="1" s="1"/>
  <c r="CO202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H193" i="1"/>
  <c r="CH195" i="1" s="1"/>
  <c r="CH66" i="1"/>
  <c r="CK69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EQ8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33" i="3"/>
  <c r="AV15" i="3"/>
  <c r="AT16" i="3"/>
  <c r="X6" i="6" a="1"/>
  <c r="EP5" i="4" a="1"/>
  <c r="ER13" i="4" a="1"/>
  <c r="EW12" i="4" a="1"/>
  <c r="EQ5" i="4" a="1"/>
  <c r="ES11" i="4" a="1"/>
  <c r="AY10" i="3"/>
  <c r="AY34" i="3"/>
  <c r="AV22" i="3"/>
  <c r="AT18" i="3"/>
  <c r="EU12" i="4" a="1"/>
  <c r="ES7" i="4" a="1"/>
  <c r="AS17" i="3"/>
  <c r="AX25" i="3"/>
  <c r="AV30" i="3"/>
  <c r="AW42" i="3"/>
  <c r="AS33" i="3"/>
  <c r="AD5" i="6" a="1"/>
  <c r="C6" i="4" a="1"/>
  <c r="EN13" i="4" a="1"/>
  <c r="EV14" i="4" a="1"/>
  <c r="AX32" i="3"/>
  <c r="EO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W38" i="3"/>
  <c r="AH5" i="6" a="1"/>
  <c r="AT6" i="3"/>
  <c r="S6" i="6" a="1"/>
  <c r="EO13" i="4" a="1"/>
  <c r="EV5" i="4" a="1"/>
  <c r="AP5" i="3"/>
  <c r="AF12" i="3"/>
  <c r="AW14" i="3"/>
  <c r="AW33" i="3"/>
  <c r="AU35" i="3"/>
  <c r="AP5" i="6" a="1"/>
  <c r="W6" i="6" a="1"/>
  <c r="AZ38" i="3"/>
  <c r="AV32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F28" i="3"/>
  <c r="AY16" i="3"/>
  <c r="AX11" i="3"/>
  <c r="AT34" i="3"/>
  <c r="AS42" i="3"/>
  <c r="EN14" i="4" a="1"/>
  <c r="EU16" i="4" a="1"/>
  <c r="EU15" i="4" a="1"/>
  <c r="EL7" i="4" a="1"/>
  <c r="AV28" i="3"/>
  <c r="AT9" i="3"/>
  <c r="AP6" i="3"/>
  <c r="AF14" i="3"/>
  <c r="G6" i="6" a="1"/>
  <c r="AY41" i="3"/>
  <c r="Y6" i="6" a="1"/>
  <c r="AS5" i="3"/>
  <c r="EQ16" i="4" a="1"/>
  <c r="EQ9" i="4" a="1"/>
  <c r="EO14" i="4" a="1"/>
  <c r="C5" i="4" a="1"/>
  <c r="EW14" i="4" a="1"/>
  <c r="ES15" i="4" a="1"/>
  <c r="EO11" i="4" a="1"/>
  <c r="EQ14" i="4" a="1"/>
  <c r="EL5" i="4" a="1"/>
  <c r="ET13" i="4" a="1"/>
  <c r="AV39" i="3"/>
  <c r="AT14" i="3"/>
  <c r="C6" i="6" a="1"/>
  <c r="AF18" i="3"/>
  <c r="AT12" i="3"/>
  <c r="AV19" i="3"/>
  <c r="AL6" i="6" a="1"/>
  <c r="AR5" i="6" a="1"/>
  <c r="EL8" i="4" a="1"/>
  <c r="ER15" i="4" a="1"/>
  <c r="AF24" i="3"/>
  <c r="AZ15" i="3"/>
  <c r="AT26" i="3"/>
  <c r="AU45" i="3"/>
  <c r="EO12" i="4" a="1"/>
  <c r="EP11" i="4" a="1"/>
  <c r="ES12" i="4" a="1"/>
  <c r="EM5" i="4" a="1"/>
  <c r="ET15" i="4" a="1"/>
  <c r="EW9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W29" i="3"/>
  <c r="ER7" i="4" a="1"/>
  <c r="ET12" i="4" a="1"/>
  <c r="EV13" i="4" a="1"/>
  <c r="ES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46" i="3"/>
  <c r="AF8" i="3"/>
  <c r="AT41" i="3"/>
  <c r="AT15" i="3"/>
  <c r="AX15" i="3"/>
  <c r="AV37" i="3"/>
  <c r="V6" i="6" a="1"/>
  <c r="AQ5" i="6" a="1"/>
  <c r="AW26" i="3"/>
  <c r="EP8" i="4" a="1"/>
  <c r="EQ13" i="4" a="1"/>
  <c r="EU8" i="4" a="1"/>
  <c r="EN8" i="4" a="1"/>
  <c r="EW13" i="4" a="1"/>
  <c r="ET7" i="4" a="1"/>
  <c r="EL15" i="4" a="1"/>
  <c r="AT36" i="3"/>
  <c r="EW15" i="4" a="1"/>
  <c r="ER5" i="4" a="1"/>
  <c r="EM12" i="4" a="1"/>
  <c r="EV8" i="4" a="1"/>
  <c r="EV12" i="4" a="1"/>
  <c r="AT40" i="3"/>
  <c r="AY5" i="3"/>
  <c r="AS40" i="3"/>
  <c r="AY9" i="3"/>
  <c r="T6" i="6" a="1"/>
  <c r="AS21" i="3"/>
  <c r="EU11" i="4" a="1"/>
  <c r="EU13" i="4" a="1"/>
  <c r="AF37" i="3"/>
  <c r="AS5" i="6" a="1"/>
  <c r="AX13" i="3"/>
  <c r="EL12" i="4" a="1"/>
  <c r="ER11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W22" i="3"/>
  <c r="AU11" i="3"/>
  <c r="AU33" i="3"/>
  <c r="AS14" i="3"/>
  <c r="AU32" i="3"/>
  <c r="AS6" i="6" a="1"/>
  <c r="U5" i="6" a="1"/>
  <c r="AU31" i="3"/>
  <c r="AZ40" i="3"/>
  <c r="EQ11" i="4" a="1"/>
  <c r="EL16" i="4" a="1"/>
  <c r="EO5" i="4" a="1"/>
  <c r="EN15" i="4" a="1"/>
  <c r="EQ15" i="4" a="1"/>
  <c r="ER8" i="4" a="1"/>
  <c r="EL9" i="4" a="1"/>
  <c r="EN11" i="4" a="1"/>
  <c r="ER9" i="4" a="1"/>
  <c r="AZ14" i="3"/>
  <c r="AS38" i="3"/>
  <c r="AU14" i="3"/>
  <c r="AW18" i="3"/>
  <c r="AX14" i="3"/>
  <c r="AX37" i="3"/>
  <c r="AW24" i="3"/>
  <c r="AZ13" i="3"/>
  <c r="EW16" i="4" a="1"/>
  <c r="EP6" i="4" a="1"/>
  <c r="EW7" i="4" a="1"/>
  <c r="AU20" i="3"/>
  <c r="AS11" i="3"/>
  <c r="F46" i="3"/>
  <c r="AZ25" i="3"/>
  <c r="AX5" i="6" a="1"/>
  <c r="AW15" i="3"/>
  <c r="AT33" i="3"/>
  <c r="EL6" i="4" a="1"/>
  <c r="ER6" i="4" a="1"/>
  <c r="AY37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EP13" i="4" a="1"/>
  <c r="AV5" i="6" a="1"/>
  <c r="AS35" i="3"/>
  <c r="AX29" i="3"/>
  <c r="AK5" i="6" a="1"/>
  <c r="AX36" i="3"/>
  <c r="AX22" i="3"/>
  <c r="N6" i="6" a="1"/>
  <c r="F6" i="6" a="1"/>
  <c r="AE5" i="6" a="1"/>
  <c r="AV9" i="3"/>
  <c r="M5" i="6" a="1"/>
  <c r="EW11" i="4" a="1"/>
  <c r="AY5" i="6" a="1"/>
  <c r="AV18" i="3"/>
  <c r="AS28" i="3"/>
  <c r="EL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M6" i="6" a="1"/>
  <c r="AF42" i="3"/>
  <c r="ES5" i="4" a="1"/>
  <c r="EU7" i="4" a="1"/>
  <c r="EM6" i="4" a="1"/>
  <c r="EV11" i="4" a="1"/>
  <c r="EN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Z43" i="1" l="1"/>
  <c r="AA43" i="1"/>
  <c r="AB131" i="1"/>
  <c r="CQ131" i="1"/>
  <c r="CR131" i="1" s="1"/>
  <c r="CS131" i="1" s="1"/>
  <c r="CT131" i="1" s="1"/>
  <c r="CL69" i="1"/>
  <c r="Z48" i="1"/>
  <c r="CJ54" i="1"/>
  <c r="CG193" i="1"/>
  <c r="CG195" i="1" s="1"/>
  <c r="CG52" i="1"/>
  <c r="CG66" i="1"/>
  <c r="CJ69" i="1" s="1"/>
  <c r="CK85" i="1"/>
  <c r="CK87" i="1"/>
  <c r="CK86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T74" i="3"/>
  <c r="AY65" i="3"/>
  <c r="AS87" i="3"/>
  <c r="AU96" i="3"/>
  <c r="AX76" i="3"/>
  <c r="AT82" i="3"/>
  <c r="AX92" i="3"/>
  <c r="AZ64" i="3"/>
  <c r="AY78" i="3"/>
  <c r="C77" i="3"/>
  <c r="AW74" i="3"/>
  <c r="AV97" i="3"/>
  <c r="AV8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S50" i="3"/>
  <c r="AU69" i="3"/>
  <c r="AT62" i="3"/>
  <c r="AF95" i="3"/>
  <c r="AZ67" i="3"/>
  <c r="AX60" i="3"/>
  <c r="AV67" i="3"/>
  <c r="AU71" i="3"/>
  <c r="AF74" i="3"/>
  <c r="AS56" i="3"/>
  <c r="AZ50" i="3"/>
  <c r="AW80" i="3"/>
  <c r="AU83" i="3"/>
  <c r="AX91" i="3"/>
  <c r="AU97" i="3"/>
  <c r="AV73" i="3"/>
  <c r="AT58" i="3"/>
  <c r="AV78" i="3"/>
  <c r="AZ65" i="3"/>
  <c r="AX93" i="3"/>
  <c r="AW72" i="3"/>
  <c r="C86" i="3"/>
  <c r="AS74" i="3"/>
  <c r="AV88" i="3"/>
  <c r="AU91" i="3"/>
  <c r="AY7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S55" i="3"/>
  <c r="AY84" i="3"/>
  <c r="C84" i="3"/>
  <c r="AV66" i="3"/>
  <c r="AV92" i="3"/>
  <c r="AZ68" i="3"/>
  <c r="AU81" i="3"/>
  <c r="AF92" i="3"/>
  <c r="AT57" i="3"/>
  <c r="AX57" i="3"/>
  <c r="AZ75" i="3"/>
  <c r="AF59" i="3"/>
  <c r="C88" i="3"/>
  <c r="AS48" i="3"/>
  <c r="AZ66" i="3"/>
  <c r="AW88" i="3"/>
  <c r="AF83" i="3"/>
  <c r="AW67" i="3"/>
  <c r="AF64" i="3"/>
  <c r="AZ74" i="3"/>
  <c r="AS70" i="3"/>
  <c r="AF61" i="3"/>
  <c r="AS65" i="3"/>
  <c r="AS63" i="3"/>
  <c r="AZ76" i="3"/>
  <c r="AT91" i="3"/>
  <c r="C57" i="3"/>
  <c r="AT75" i="3"/>
  <c r="AY79" i="3"/>
  <c r="AS72" i="3"/>
  <c r="AX80" i="3"/>
  <c r="AW57" i="3"/>
  <c r="AW85" i="3"/>
  <c r="AT97" i="3"/>
  <c r="AY47" i="3"/>
  <c r="AY93" i="3"/>
  <c r="AS84" i="3"/>
  <c r="AS66" i="3"/>
  <c r="AY89" i="3"/>
  <c r="AV74" i="3"/>
  <c r="AW60" i="3"/>
  <c r="AZ70" i="3"/>
  <c r="AU7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Y97" i="3"/>
  <c r="AF56" i="3"/>
  <c r="C62" i="3"/>
  <c r="AU66" i="3"/>
  <c r="AF94" i="3"/>
  <c r="AU92" i="3"/>
  <c r="AF91" i="3"/>
  <c r="AV59" i="3"/>
  <c r="C85" i="3"/>
  <c r="AT89" i="3"/>
  <c r="AU5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W91" i="3"/>
  <c r="AS79" i="3"/>
  <c r="AU59" i="3"/>
  <c r="AS68" i="3"/>
  <c r="AV70" i="3"/>
  <c r="AV47" i="3"/>
  <c r="C66" i="3"/>
  <c r="AS57" i="3"/>
  <c r="AV60" i="3"/>
  <c r="AX65" i="3"/>
  <c r="AV65" i="3"/>
  <c r="AY88" i="3"/>
  <c r="AT76" i="3"/>
  <c r="AT67" i="3"/>
  <c r="AX71" i="3"/>
  <c r="AU60" i="3"/>
  <c r="AW78" i="3"/>
  <c r="AX67" i="3"/>
  <c r="C67" i="3"/>
  <c r="AZ49" i="3"/>
  <c r="AY85" i="3"/>
  <c r="AX7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V64" i="3"/>
  <c r="AT69" i="3"/>
  <c r="AZ88" i="3"/>
  <c r="AS76" i="3"/>
  <c r="AF9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Z73" i="3"/>
  <c r="AU73" i="3"/>
  <c r="AV8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Z93" i="3"/>
  <c r="AT65" i="3"/>
  <c r="CU131" i="1" l="1"/>
  <c r="CV131" i="1" s="1"/>
  <c r="CW131" i="1" s="1"/>
  <c r="CX131" i="1" s="1"/>
  <c r="AC131" i="1"/>
  <c r="CL85" i="1"/>
  <c r="CL87" i="1"/>
  <c r="CL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G251" i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DU11" i="4" a="1"/>
  <c r="BV16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O24" i="2"/>
  <c r="J14" i="2"/>
  <c r="AR65" i="3"/>
  <c r="J30" i="2"/>
  <c r="F17" i="3"/>
  <c r="D34" i="3"/>
  <c r="E23" i="3"/>
  <c r="AQ45" i="3"/>
  <c r="G13" i="3"/>
  <c r="F16" i="3"/>
  <c r="AR10" i="3"/>
  <c r="G22" i="3"/>
  <c r="ED16" i="4" a="1"/>
  <c r="DL9" i="4" a="1"/>
  <c r="BF13" i="4" a="1"/>
  <c r="EI16" i="4" a="1"/>
  <c r="E14" i="4" a="1"/>
  <c r="BF7" i="4" a="1"/>
  <c r="C15" i="4" a="1"/>
  <c r="AF16" i="4" a="1"/>
  <c r="BB13" i="4" a="1"/>
  <c r="EK5" i="4" a="1"/>
  <c r="AR11" i="4" a="1"/>
  <c r="X7" i="4" a="1"/>
  <c r="CS8" i="4" a="1"/>
  <c r="AE7" i="4" a="1"/>
  <c r="DG11" i="4" a="1"/>
  <c r="J7" i="4" a="1"/>
  <c r="DL13" i="4" a="1"/>
  <c r="DL11" i="4" a="1"/>
  <c r="EA13" i="4" a="1"/>
  <c r="AK5" i="4" a="1"/>
  <c r="U9" i="4" a="1"/>
  <c r="CQ8" i="4" a="1"/>
  <c r="BS16" i="4" a="1"/>
  <c r="CC16" i="4" a="1"/>
  <c r="W12" i="4" a="1"/>
  <c r="AX16" i="4" a="1"/>
  <c r="EJ12" i="4" a="1"/>
  <c r="AW14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AR90" i="3"/>
  <c r="X32" i="2"/>
  <c r="AR47" i="3"/>
  <c r="V25" i="2"/>
  <c r="F8" i="3"/>
  <c r="E14" i="3"/>
  <c r="G14" i="3"/>
  <c r="G21" i="3"/>
  <c r="E24" i="3"/>
  <c r="AR18" i="3"/>
  <c r="D18" i="3"/>
  <c r="F26" i="3"/>
  <c r="DV16" i="4" a="1"/>
  <c r="CY15" i="4" a="1"/>
  <c r="J8" i="4" a="1"/>
  <c r="CF7" i="4" a="1"/>
  <c r="DL15" i="4" a="1"/>
  <c r="CZ12" i="4" a="1"/>
  <c r="L9" i="4" a="1"/>
  <c r="EC7" i="4" a="1"/>
  <c r="CT14" i="4" a="1"/>
  <c r="EK15" i="4" a="1"/>
  <c r="EA5" i="4" a="1"/>
  <c r="CX6" i="4" a="1"/>
  <c r="DY16" i="4" a="1"/>
  <c r="CV6" i="4" a="1"/>
  <c r="AI13" i="4" a="1"/>
  <c r="X15" i="4" a="1"/>
  <c r="AL5" i="4" a="1"/>
  <c r="BL8" i="4" a="1"/>
  <c r="CM6" i="4" a="1"/>
  <c r="EI6" i="4" a="1"/>
  <c r="CS15" i="4" a="1"/>
  <c r="EA15" i="4" a="1"/>
  <c r="D15" i="4" a="1"/>
  <c r="DV15" i="4" a="1"/>
  <c r="AD12" i="4" a="1"/>
  <c r="AI5" i="4" a="1"/>
  <c r="CP8" i="4" a="1"/>
  <c r="AY11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AS49" i="3"/>
  <c r="R22" i="2"/>
  <c r="W19" i="2"/>
  <c r="X12" i="2"/>
  <c r="D13" i="3"/>
  <c r="F33" i="3"/>
  <c r="AR17" i="3"/>
  <c r="AP46" i="3"/>
  <c r="F37" i="3"/>
  <c r="E30" i="3"/>
  <c r="AB46" i="3"/>
  <c r="AK45" i="3"/>
  <c r="DO5" i="4" a="1"/>
  <c r="CI7" i="4" a="1"/>
  <c r="BL13" i="4" a="1"/>
  <c r="J9" i="4" a="1"/>
  <c r="DE11" i="4" a="1"/>
  <c r="DG8" i="4" a="1"/>
  <c r="I14" i="4" a="1"/>
  <c r="Q12" i="4" a="1"/>
  <c r="AZ7" i="4" a="1"/>
  <c r="DG15" i="4" a="1"/>
  <c r="DM15" i="4" a="1"/>
  <c r="W5" i="4" a="1"/>
  <c r="DZ16" i="4" a="1"/>
  <c r="CZ15" i="4" a="1"/>
  <c r="CC8" i="4" a="1"/>
  <c r="BI5" i="4" a="1"/>
  <c r="DP16" i="4" a="1"/>
  <c r="BH14" i="4" a="1"/>
  <c r="BK12" i="4" a="1"/>
  <c r="BS12" i="4" a="1"/>
  <c r="EE12" i="4" a="1"/>
  <c r="Y6" i="4" a="1"/>
  <c r="CH8" i="4" a="1"/>
  <c r="BG11" i="4" a="1"/>
  <c r="CT7" i="4" a="1"/>
  <c r="D7" i="4" a="1"/>
  <c r="BA7" i="4" a="1"/>
  <c r="BM14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R50" i="3"/>
  <c r="O31" i="2"/>
  <c r="W34" i="2"/>
  <c r="AR77" i="3"/>
  <c r="D19" i="3"/>
  <c r="AP45" i="3"/>
  <c r="AR25" i="3"/>
  <c r="AL45" i="3"/>
  <c r="AD12" i="3"/>
  <c r="AR26" i="3"/>
  <c r="G8" i="3"/>
  <c r="F41" i="3"/>
  <c r="AZ15" i="4" a="1"/>
  <c r="CY6" i="4" a="1"/>
  <c r="EJ5" i="4" a="1"/>
  <c r="J16" i="4" a="1"/>
  <c r="EG12" i="4" a="1"/>
  <c r="BH5" i="4" a="1"/>
  <c r="DS12" i="4" a="1"/>
  <c r="DF5" i="4" a="1"/>
  <c r="DH12" i="4" a="1"/>
  <c r="EG5" i="4" a="1"/>
  <c r="BE12" i="4" a="1"/>
  <c r="BK6" i="4" a="1"/>
  <c r="AQ13" i="4" a="1"/>
  <c r="P16" i="4" a="1"/>
  <c r="CA8" i="4" a="1"/>
  <c r="C8" i="4" a="1"/>
  <c r="F16" i="4" a="1"/>
  <c r="CF14" i="4" a="1"/>
  <c r="DF13" i="4" a="1"/>
  <c r="T8" i="4" a="1"/>
  <c r="Q5" i="4" a="1"/>
  <c r="CM7" i="4" a="1"/>
  <c r="BP8" i="4" a="1"/>
  <c r="BB6" i="4" a="1"/>
  <c r="CT12" i="4" a="1"/>
  <c r="T12" i="4" a="1"/>
  <c r="BA6" i="4" a="1"/>
  <c r="DW15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E7" i="2"/>
  <c r="Q34" i="2"/>
  <c r="C15" i="2"/>
  <c r="AR96" i="3"/>
  <c r="AE46" i="3"/>
  <c r="AE45" i="3"/>
  <c r="K46" i="3"/>
  <c r="M46" i="3"/>
  <c r="G23" i="3"/>
  <c r="E7" i="3"/>
  <c r="D31" i="3"/>
  <c r="R45" i="3"/>
  <c r="AZ14" i="4" a="1"/>
  <c r="DM5" i="4" a="1"/>
  <c r="AK9" i="4" a="1"/>
  <c r="DG12" i="4" a="1"/>
  <c r="AS6" i="4" a="1"/>
  <c r="BD15" i="4" a="1"/>
  <c r="AJ14" i="4" a="1"/>
  <c r="BC12" i="4" a="1"/>
  <c r="CB13" i="4" a="1"/>
  <c r="BN16" i="4" a="1"/>
  <c r="M7" i="4" a="1"/>
  <c r="CN8" i="4" a="1"/>
  <c r="DC12" i="4" a="1"/>
  <c r="AO5" i="4" a="1"/>
  <c r="CK14" i="4" a="1"/>
  <c r="BO12" i="4" a="1"/>
  <c r="AK6" i="4" a="1"/>
  <c r="O6" i="4" a="1"/>
  <c r="CP13" i="4" a="1"/>
  <c r="V5" i="4" a="1"/>
  <c r="AI8" i="4" a="1"/>
  <c r="AR68" i="3"/>
  <c r="S24" i="2"/>
  <c r="H33" i="2"/>
  <c r="N15" i="2"/>
  <c r="AD10" i="3"/>
  <c r="F12" i="3"/>
  <c r="AR15" i="3"/>
  <c r="D8" i="3"/>
  <c r="AR39" i="3"/>
  <c r="E46" i="3"/>
  <c r="D7" i="3"/>
  <c r="AD11" i="3"/>
  <c r="X13" i="4" a="1"/>
  <c r="DZ14" i="4" a="1"/>
  <c r="CM12" i="4" a="1"/>
  <c r="DK7" i="4" a="1"/>
  <c r="D8" i="4" a="1"/>
  <c r="AD8" i="4" a="1"/>
  <c r="BL9" i="4" a="1"/>
  <c r="DP9" i="4" a="1"/>
  <c r="T7" i="4" a="1"/>
  <c r="K15" i="4" a="1"/>
  <c r="CY16" i="4" a="1"/>
  <c r="AC14" i="4" a="1"/>
  <c r="AO11" i="4" a="1"/>
  <c r="CJ9" i="4" a="1"/>
  <c r="AG9" i="4" a="1"/>
  <c r="CW7" i="4" a="1"/>
  <c r="CP14" i="4" a="1"/>
  <c r="BE7" i="4" a="1"/>
  <c r="EB8" i="4" a="1"/>
  <c r="DF11" i="4" a="1"/>
  <c r="DP12" i="4" a="1"/>
  <c r="BU13" i="4" a="1"/>
  <c r="CF6" i="4" a="1"/>
  <c r="EG6" i="4" a="1"/>
  <c r="DZ6" i="4" a="1"/>
  <c r="BO13" i="4" a="1"/>
  <c r="CJ11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16" i="4" a="1"/>
  <c r="AY14" i="4" a="1"/>
  <c r="K18" i="2"/>
  <c r="AR94" i="3"/>
  <c r="C13" i="2"/>
  <c r="AR78" i="3"/>
  <c r="E28" i="3"/>
  <c r="AR42" i="3"/>
  <c r="F13" i="3"/>
  <c r="D27" i="3"/>
  <c r="M45" i="3"/>
  <c r="E34" i="3"/>
  <c r="D35" i="3"/>
  <c r="AR35" i="3"/>
  <c r="EJ14" i="4" a="1"/>
  <c r="EC15" i="4" a="1"/>
  <c r="BC9" i="4" a="1"/>
  <c r="AN7" i="4" a="1"/>
  <c r="S11" i="4" a="1"/>
  <c r="BO8" i="4" a="1"/>
  <c r="CN11" i="4" a="1"/>
  <c r="BW15" i="4" a="1"/>
  <c r="S15" i="4" a="1"/>
  <c r="BZ5" i="4" a="1"/>
  <c r="AK13" i="4" a="1"/>
  <c r="DQ13" i="4" a="1"/>
  <c r="CO9" i="4" a="1"/>
  <c r="CD8" i="4" a="1"/>
  <c r="M14" i="4" a="1"/>
  <c r="DX6" i="4" a="1"/>
  <c r="BQ9" i="4" a="1"/>
  <c r="BD5" i="4" a="1"/>
  <c r="AH5" i="4" a="1"/>
  <c r="DK13" i="4" a="1"/>
  <c r="CR5" i="4" a="1"/>
  <c r="AU13" i="4" a="1"/>
  <c r="BB16" i="4" a="1"/>
  <c r="BK11" i="4" a="1"/>
  <c r="DP15" i="4" a="1"/>
  <c r="BZ11" i="4" a="1"/>
  <c r="BJ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CJ14" i="4" a="1"/>
  <c r="H12" i="4" a="1"/>
  <c r="CG5" i="4" a="1"/>
  <c r="DR8" i="4" a="1"/>
  <c r="CU14" i="4" a="1"/>
  <c r="W7" i="4" a="1"/>
  <c r="U24" i="2"/>
  <c r="AR84" i="3"/>
  <c r="E9" i="2"/>
  <c r="AF48" i="3"/>
  <c r="AR24" i="3"/>
  <c r="D21" i="3"/>
  <c r="F31" i="3"/>
  <c r="D45" i="3"/>
  <c r="AO6" i="3"/>
  <c r="G30" i="3"/>
  <c r="D14" i="3"/>
  <c r="F28" i="3"/>
  <c r="CX7" i="4" a="1"/>
  <c r="BU6" i="4" a="1"/>
  <c r="AI9" i="4" a="1"/>
  <c r="AI16" i="4" a="1"/>
  <c r="DU7" i="4" a="1"/>
  <c r="BZ15" i="4" a="1"/>
  <c r="DP14" i="4" a="1"/>
  <c r="CQ14" i="4" a="1"/>
  <c r="DM12" i="4" a="1"/>
  <c r="BA5" i="4" a="1"/>
  <c r="J5" i="4" a="1"/>
  <c r="AG15" i="4" a="1"/>
  <c r="DI8" i="4" a="1"/>
  <c r="CH7" i="4" a="1"/>
  <c r="BY5" i="4" a="1"/>
  <c r="CU8" i="4" a="1"/>
  <c r="BR13" i="4" a="1"/>
  <c r="DP11" i="4" a="1"/>
  <c r="BI7" i="4" a="1"/>
  <c r="DG5" i="4" a="1"/>
  <c r="DQ14" i="4" a="1"/>
  <c r="DS6" i="4" a="1"/>
  <c r="DR12" i="4" a="1"/>
  <c r="CA12" i="4" a="1"/>
  <c r="L5" i="4" a="1"/>
  <c r="K16" i="4" a="1"/>
  <c r="DC15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X36" i="2"/>
  <c r="AR80" i="3"/>
  <c r="Q54" i="2"/>
  <c r="AR34" i="3"/>
  <c r="F25" i="3"/>
  <c r="V45" i="3"/>
  <c r="E35" i="3"/>
  <c r="AD7" i="3"/>
  <c r="D38" i="3"/>
  <c r="AH45" i="3"/>
  <c r="K45" i="3"/>
  <c r="F35" i="3"/>
  <c r="AB12" i="4" a="1"/>
  <c r="Y5" i="4" a="1"/>
  <c r="DH14" i="4" a="1"/>
  <c r="AI14" i="4" a="1"/>
  <c r="CR8" i="4" a="1"/>
  <c r="DF15" i="4" a="1"/>
  <c r="DV7" i="4" a="1"/>
  <c r="CS14" i="4" a="1"/>
  <c r="AK14" i="4" a="1"/>
  <c r="T32" i="2"/>
  <c r="C16" i="2"/>
  <c r="F15" i="2"/>
  <c r="E9" i="3"/>
  <c r="AR9" i="3"/>
  <c r="N45" i="3"/>
  <c r="E37" i="3"/>
  <c r="F34" i="3"/>
  <c r="Z46" i="3"/>
  <c r="E15" i="3"/>
  <c r="D46" i="3"/>
  <c r="N9" i="4" a="1"/>
  <c r="DO14" i="4" a="1"/>
  <c r="BK8" i="4" a="1"/>
  <c r="AV9" i="4" a="1"/>
  <c r="CM16" i="4" a="1"/>
  <c r="BV5" i="4" a="1"/>
  <c r="DR16" i="4" a="1"/>
  <c r="AB13" i="4" a="1"/>
  <c r="EI14" i="4" a="1"/>
  <c r="DI14" i="4" a="1"/>
  <c r="CQ13" i="4" a="1"/>
  <c r="R14" i="4" a="1"/>
  <c r="AE16" i="4" a="1"/>
  <c r="K14" i="4" a="1"/>
  <c r="CV12" i="4" a="1"/>
  <c r="AM5" i="4" a="1"/>
  <c r="AX6" i="4" a="1"/>
  <c r="CU9" i="4" a="1"/>
  <c r="AF8" i="4" a="1"/>
  <c r="DQ11" i="4" a="1"/>
  <c r="BY15" i="4" a="1"/>
  <c r="CL9" i="4" a="1"/>
  <c r="AY6" i="4" a="1"/>
  <c r="BK15" i="4" a="1"/>
  <c r="AM6" i="4" a="1"/>
  <c r="BX5" i="4" a="1"/>
  <c r="CH14" i="4" a="1"/>
  <c r="I13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Q57" i="2"/>
  <c r="V8" i="2"/>
  <c r="D25" i="2"/>
  <c r="X46" i="3"/>
  <c r="AC46" i="3"/>
  <c r="AB45" i="3"/>
  <c r="Q45" i="3"/>
  <c r="AC45" i="3"/>
  <c r="AR8" i="3"/>
  <c r="AR29" i="3"/>
  <c r="E8" i="3"/>
  <c r="BO14" i="4" a="1"/>
  <c r="BY7" i="4" a="1"/>
  <c r="AK11" i="4" a="1"/>
  <c r="BX9" i="4" a="1"/>
  <c r="D14" i="4" a="1"/>
  <c r="DK5" i="4" a="1"/>
  <c r="BD6" i="4" a="1"/>
  <c r="CX14" i="4" a="1"/>
  <c r="DQ16" i="4" a="1"/>
  <c r="CG12" i="4" a="1"/>
  <c r="AB11" i="4" a="1"/>
  <c r="AE6" i="4" a="1"/>
  <c r="DO12" i="4" a="1"/>
  <c r="P14" i="4" a="1"/>
  <c r="AV16" i="4" a="1"/>
  <c r="AC12" i="4" a="1"/>
  <c r="AD5" i="4" a="1"/>
  <c r="X8" i="4" a="1"/>
  <c r="EK8" i="4" a="1"/>
  <c r="DR11" i="4" a="1"/>
  <c r="DG16" i="4" a="1"/>
  <c r="EA8" i="4" a="1"/>
  <c r="CA9" i="4" a="1"/>
  <c r="AY12" i="4" a="1"/>
  <c r="DE16" i="4" a="1"/>
  <c r="DO6" i="4" a="1"/>
  <c r="CP12" i="4" a="1"/>
  <c r="CC13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K22" i="2"/>
  <c r="AL12" i="4" a="1"/>
  <c r="AD11" i="4" a="1"/>
  <c r="C7" i="4" a="1"/>
  <c r="DA8" i="4" a="1"/>
  <c r="AU7" i="4" a="1"/>
  <c r="DO9" i="4" a="1"/>
  <c r="DP8" i="4" a="1"/>
  <c r="AS9" i="4" a="1"/>
  <c r="CD9" i="4" a="1"/>
  <c r="DV6" i="4" a="1"/>
  <c r="AE15" i="4" a="1"/>
  <c r="N7" i="4" a="1"/>
  <c r="C13" i="4" a="1"/>
  <c r="CD12" i="4" a="1"/>
  <c r="AV12" i="4" a="1"/>
  <c r="DC8" i="4" a="1"/>
  <c r="BL11" i="4" a="1"/>
  <c r="I9" i="4" a="1"/>
  <c r="DU6" i="4" a="1"/>
  <c r="EE8" i="4" a="1"/>
  <c r="DD5" i="4" a="1"/>
  <c r="DD11" i="4" a="1"/>
  <c r="CH5" i="4" a="1"/>
  <c r="BV6" i="4" a="1"/>
  <c r="AT16" i="4" a="1"/>
  <c r="CL5" i="4" a="1"/>
  <c r="E15" i="4" a="1"/>
  <c r="DY6" i="4" a="1"/>
  <c r="AY8" i="4" a="1"/>
  <c r="BR8" i="4" a="1"/>
  <c r="BR9" i="4" a="1"/>
  <c r="CP16" i="4" a="1"/>
  <c r="CZ7" i="4" a="1"/>
  <c r="AE5" i="4" a="1"/>
  <c r="EF12" i="4" a="1"/>
  <c r="CL14" i="4" a="1"/>
  <c r="DB5" i="4" a="1"/>
  <c r="CE16" i="4" a="1"/>
  <c r="BW14" i="4" a="1"/>
  <c r="AT12" i="4" a="1"/>
  <c r="AO15" i="4" a="1"/>
  <c r="BD7" i="4" a="1"/>
  <c r="AJ15" i="4" a="1"/>
  <c r="AC7" i="4" a="1"/>
  <c r="BK16" i="4" a="1"/>
  <c r="BU5" i="4" a="1"/>
  <c r="AW6" i="4" a="1"/>
  <c r="Q16" i="4" a="1"/>
  <c r="DV13" i="4" a="1"/>
  <c r="DK11" i="4" a="1"/>
  <c r="AG14" i="4" a="1"/>
  <c r="CA6" i="4" a="1"/>
  <c r="G6" i="4" a="1"/>
  <c r="AU15" i="4" a="1"/>
  <c r="DC16" i="4" a="1"/>
  <c r="CO14" i="4" a="1"/>
  <c r="DN8" i="4" a="1"/>
  <c r="BN5" i="4" a="1"/>
  <c r="DS15" i="4" a="1"/>
  <c r="BS8" i="4" a="1"/>
  <c r="EE5" i="4" a="1"/>
  <c r="BW9" i="4" a="1"/>
  <c r="EJ9" i="4" a="1"/>
  <c r="CJ15" i="4" a="1"/>
  <c r="AS47" i="3"/>
  <c r="BM8" i="4" a="1"/>
  <c r="CV9" i="4" a="1"/>
  <c r="AB9" i="4" a="1"/>
  <c r="DP5" i="4" a="1"/>
  <c r="BC8" i="4" a="1"/>
  <c r="EF15" i="4" a="1"/>
  <c r="BC15" i="4" a="1"/>
  <c r="BB15" i="4" a="1"/>
  <c r="BG15" i="4" a="1"/>
  <c r="I8" i="4" a="1"/>
  <c r="AV14" i="4" a="1"/>
  <c r="BZ14" i="4" a="1"/>
  <c r="X11" i="4" a="1"/>
  <c r="DT14" i="4" a="1"/>
  <c r="S9" i="4" a="1"/>
  <c r="J15" i="4" a="1"/>
  <c r="CV11" i="4" a="1"/>
  <c r="R9" i="4" a="1"/>
  <c r="BG16" i="4" a="1"/>
  <c r="AW11" i="4" a="1"/>
  <c r="M8" i="4" a="1"/>
  <c r="CN6" i="4" a="1"/>
  <c r="AD13" i="4" a="1"/>
  <c r="BX7" i="4" a="1"/>
  <c r="O14" i="4" a="1"/>
  <c r="BO7" i="4" a="1"/>
  <c r="BU11" i="4" a="1"/>
  <c r="CB16" i="4" a="1"/>
  <c r="CF5" i="4" a="1"/>
  <c r="BA12" i="4" a="1"/>
  <c r="DC6" i="4" a="1"/>
  <c r="BI12" i="4" a="1"/>
  <c r="Q6" i="4" a="1"/>
  <c r="AL14" i="4" a="1"/>
  <c r="T17" i="2"/>
  <c r="BJ12" i="4" a="1"/>
  <c r="BS7" i="4" a="1"/>
  <c r="CM13" i="4" a="1"/>
  <c r="CN15" i="4" a="1"/>
  <c r="AN11" i="4" a="1"/>
  <c r="AV8" i="4" a="1"/>
  <c r="BQ11" i="4" a="1"/>
  <c r="CI16" i="4" a="1"/>
  <c r="CE13" i="4" a="1"/>
  <c r="F13" i="4" a="1"/>
  <c r="M16" i="4" a="1"/>
  <c r="DO8" i="4" a="1"/>
  <c r="BS11" i="4" a="1"/>
  <c r="CS6" i="4" a="1"/>
  <c r="BR7" i="4" a="1"/>
  <c r="CQ12" i="4" a="1"/>
  <c r="AA8" i="4" a="1"/>
  <c r="AS14" i="4" a="1"/>
  <c r="P5" i="4" a="1"/>
  <c r="U15" i="4" a="1"/>
  <c r="DX15" i="4" a="1"/>
  <c r="CS13" i="4" a="1"/>
  <c r="AW15" i="4" a="1"/>
  <c r="CD13" i="4" a="1"/>
  <c r="CH16" i="4" a="1"/>
  <c r="AO13" i="4" a="1"/>
  <c r="DM14" i="4" a="1"/>
  <c r="EG8" i="4" a="1"/>
  <c r="DR15" i="4" a="1"/>
  <c r="BG13" i="4" a="1"/>
  <c r="ED8" i="4" a="1"/>
  <c r="AL9" i="4" a="1"/>
  <c r="BH13" i="4" a="1"/>
  <c r="DE6" i="4" a="1"/>
  <c r="CZ13" i="4" a="1"/>
  <c r="DU14" i="4" a="1"/>
  <c r="DW9" i="4" a="1"/>
  <c r="AH16" i="4" a="1"/>
  <c r="CL8" i="4" a="1"/>
  <c r="BU16" i="4" a="1"/>
  <c r="EB7" i="4" a="1"/>
  <c r="DE7" i="4" a="1"/>
  <c r="T14" i="4" a="1"/>
  <c r="AC8" i="4" a="1"/>
  <c r="BI11" i="4" a="1"/>
  <c r="K11" i="4" a="1"/>
  <c r="W16" i="4" a="1"/>
  <c r="EK11" i="4" a="1"/>
  <c r="DH11" i="4" a="1"/>
  <c r="CK12" i="4" a="1"/>
  <c r="AL11" i="4" a="1"/>
  <c r="BP13" i="4" a="1"/>
  <c r="BL6" i="4" a="1"/>
  <c r="BH11" i="4" a="1"/>
  <c r="BQ5" i="4" a="1"/>
  <c r="T11" i="4" a="1"/>
  <c r="E12" i="4" a="1"/>
  <c r="DX14" i="4" a="1"/>
  <c r="DL7" i="4" a="1"/>
  <c r="AR15" i="4" a="1"/>
  <c r="DY12" i="4" a="1"/>
  <c r="S16" i="4" a="1"/>
  <c r="CG13" i="4" a="1"/>
  <c r="DK12" i="4" a="1"/>
  <c r="DL8" i="4" a="1"/>
  <c r="AV13" i="4" a="1"/>
  <c r="DW12" i="4" a="1"/>
  <c r="BO6" i="4" a="1"/>
  <c r="DA5" i="4" a="1"/>
  <c r="BF8" i="4" a="1"/>
  <c r="F32" i="3"/>
  <c r="BE15" i="4" a="1"/>
  <c r="DC7" i="4" a="1"/>
  <c r="BO5" i="4" a="1"/>
  <c r="CE6" i="4" a="1"/>
  <c r="EJ13" i="4" a="1"/>
  <c r="CK6" i="4" a="1"/>
  <c r="DW5" i="4" a="1"/>
  <c r="DW14" i="4" a="1"/>
  <c r="AS5" i="4" a="1"/>
  <c r="CH13" i="4" a="1"/>
  <c r="BR11" i="4" a="1"/>
  <c r="C16" i="4" a="1"/>
  <c r="AC5" i="4" a="1"/>
  <c r="CO15" i="4" a="1"/>
  <c r="AU12" i="4" a="1"/>
  <c r="CU5" i="4" a="1"/>
  <c r="BT14" i="4" a="1"/>
  <c r="BT6" i="4" a="1"/>
  <c r="CI5" i="4" a="1"/>
  <c r="DL12" i="4" a="1"/>
  <c r="M11" i="4" a="1"/>
  <c r="CE8" i="4" a="1"/>
  <c r="CJ6" i="4" a="1"/>
  <c r="DH5" i="4" a="1"/>
  <c r="BN15" i="4" a="1"/>
  <c r="EF8" i="4" a="1"/>
  <c r="BC7" i="4" a="1"/>
  <c r="AF12" i="4" a="1"/>
  <c r="EB12" i="4" a="1"/>
  <c r="CS16" i="4" a="1"/>
  <c r="EI11" i="4" a="1"/>
  <c r="BF16" i="4" a="1"/>
  <c r="AN5" i="4" a="1"/>
  <c r="CU12" i="4" a="1"/>
  <c r="DY9" i="4" a="1"/>
  <c r="EG11" i="4" a="1"/>
  <c r="H11" i="4" a="1"/>
  <c r="EH11" i="4" a="1"/>
  <c r="DD14" i="4" a="1"/>
  <c r="BG14" i="4" a="1"/>
  <c r="EB13" i="4" a="1"/>
  <c r="E7" i="4" a="1"/>
  <c r="Z14" i="4" a="1"/>
  <c r="AN14" i="4" a="1"/>
  <c r="BX11" i="4" a="1"/>
  <c r="EC6" i="4" a="1"/>
  <c r="K13" i="4" a="1"/>
  <c r="BI8" i="4" a="1"/>
  <c r="S13" i="4" a="1"/>
  <c r="DG6" i="4" a="1"/>
  <c r="EG15" i="4" a="1"/>
  <c r="Q9" i="4" a="1"/>
  <c r="EH12" i="4" a="1"/>
  <c r="CR14" i="4" a="1"/>
  <c r="AQ6" i="4" a="1"/>
  <c r="CQ9" i="4" a="1"/>
  <c r="CH12" i="4" a="1"/>
  <c r="CL13" i="4" a="1"/>
  <c r="X12" i="4" a="1"/>
  <c r="CW12" i="4" a="1"/>
  <c r="EA12" i="4" a="1"/>
  <c r="CU15" i="4" a="1"/>
  <c r="CK16" i="4" a="1"/>
  <c r="L12" i="4" a="1"/>
  <c r="EK13" i="4" a="1"/>
  <c r="DA16" i="4" a="1"/>
  <c r="DY15" i="4" a="1"/>
  <c r="BM7" i="4" a="1"/>
  <c r="AS12" i="4" a="1"/>
  <c r="S14" i="4" a="1"/>
  <c r="DN5" i="4" a="1"/>
  <c r="H9" i="4" a="1"/>
  <c r="CW8" i="4" a="1"/>
  <c r="BE14" i="4" a="1"/>
  <c r="G5" i="4" a="1"/>
  <c r="F29" i="3"/>
  <c r="DT12" i="4" a="1"/>
  <c r="BP11" i="4" a="1"/>
  <c r="DN12" i="4" a="1"/>
  <c r="CS12" i="4" a="1"/>
  <c r="DA14" i="4" a="1"/>
  <c r="DZ11" i="4" a="1"/>
  <c r="CG14" i="4" a="1"/>
  <c r="AH12" i="4" a="1"/>
  <c r="BZ13" i="4" a="1"/>
  <c r="EH7" i="4" a="1"/>
  <c r="T9" i="4" a="1"/>
  <c r="CN9" i="4" a="1"/>
  <c r="Y7" i="4" a="1"/>
  <c r="AL7" i="4" a="1"/>
  <c r="BW13" i="4" a="1"/>
  <c r="DO11" i="4" a="1"/>
  <c r="DZ7" i="4" a="1"/>
  <c r="AK16" i="4" a="1"/>
  <c r="DK6" i="4" a="1"/>
  <c r="N6" i="4" a="1"/>
  <c r="BH9" i="4" a="1"/>
  <c r="BE13" i="4" a="1"/>
  <c r="AA14" i="4" a="1"/>
  <c r="AR7" i="4" a="1"/>
  <c r="CA16" i="4" a="1"/>
  <c r="L14" i="4" a="1"/>
  <c r="CZ11" i="4" a="1"/>
  <c r="AS16" i="4" a="1"/>
  <c r="BM12" i="4" a="1"/>
  <c r="DY7" i="4" a="1"/>
  <c r="DS9" i="4" a="1"/>
  <c r="CP5" i="4" a="1"/>
  <c r="AQ14" i="4" a="1"/>
  <c r="BL15" i="4" a="1"/>
  <c r="DW11" i="4" a="1"/>
  <c r="DH16" i="4" a="1"/>
  <c r="DZ15" i="4" a="1"/>
  <c r="O15" i="4" a="1"/>
  <c r="Y15" i="4" a="1"/>
  <c r="AN6" i="4" a="1"/>
  <c r="CX13" i="4" a="1"/>
  <c r="DB15" i="4" a="1"/>
  <c r="AN16" i="4" a="1"/>
  <c r="CY7" i="4" a="1"/>
  <c r="DZ5" i="4" a="1"/>
  <c r="AF6" i="4" a="1"/>
  <c r="BT11" i="4" a="1"/>
  <c r="AP8" i="4" a="1"/>
  <c r="DN13" i="4" a="1"/>
  <c r="AP12" i="4" a="1"/>
  <c r="Q11" i="4" a="1"/>
  <c r="CA13" i="4" a="1"/>
  <c r="DD15" i="4" a="1"/>
  <c r="CO12" i="4" a="1"/>
  <c r="DP13" i="4" a="1"/>
  <c r="C11" i="4" a="1"/>
  <c r="EC5" i="4" a="1"/>
  <c r="AW9" i="4" a="1"/>
  <c r="AI6" i="4" a="1"/>
  <c r="Z6" i="4" a="1"/>
  <c r="DH7" i="4" a="1"/>
  <c r="CW6" i="4" a="1"/>
  <c r="AC13" i="4" a="1"/>
  <c r="AA15" i="4" a="1"/>
  <c r="O5" i="4" a="1"/>
  <c r="J11" i="4" a="1"/>
  <c r="DV9" i="4" a="1"/>
  <c r="CA14" i="4" a="1"/>
  <c r="CC9" i="4" a="1"/>
  <c r="AJ11" i="4" a="1"/>
  <c r="CE12" i="4" a="1"/>
  <c r="CU11" i="4" a="1"/>
  <c r="DU12" i="4" a="1"/>
  <c r="BY12" i="4" a="1"/>
  <c r="DY13" i="4" a="1"/>
  <c r="DT8" i="4" a="1"/>
  <c r="AH15" i="4" a="1"/>
  <c r="AR8" i="4" a="1"/>
  <c r="BT15" i="4" a="1"/>
  <c r="DZ9" i="4" a="1"/>
  <c r="DW7" i="4" a="1"/>
  <c r="CO16" i="4" a="1"/>
  <c r="CW11" i="4" a="1"/>
  <c r="DT5" i="4" a="1"/>
  <c r="CX5" i="4" a="1"/>
  <c r="H16" i="4" a="1"/>
  <c r="AT9" i="4" a="1"/>
  <c r="CA7" i="4" a="1"/>
  <c r="M15" i="4" a="1"/>
  <c r="AE14" i="4" a="1"/>
  <c r="H8" i="4" a="1"/>
  <c r="H7" i="4" a="1"/>
  <c r="AO6" i="4" a="1"/>
  <c r="CX11" i="4" a="1"/>
  <c r="Y13" i="4" a="1"/>
  <c r="AA5" i="4" a="1"/>
  <c r="EH14" i="4" a="1"/>
  <c r="W14" i="4" a="1"/>
  <c r="AH14" i="4" a="1"/>
  <c r="G15" i="4" a="1"/>
  <c r="AV7" i="4" a="1"/>
  <c r="BF6" i="4" a="1"/>
  <c r="T45" i="3"/>
  <c r="BQ7" i="4" a="1"/>
  <c r="AQ15" i="4" a="1"/>
  <c r="EE11" i="4" a="1"/>
  <c r="EJ16" i="4" a="1"/>
  <c r="CS7" i="4" a="1"/>
  <c r="CL12" i="4" a="1"/>
  <c r="O11" i="4" a="1"/>
  <c r="DB7" i="4" a="1"/>
  <c r="CP9" i="4" a="1"/>
  <c r="BR6" i="4" a="1"/>
  <c r="AB6" i="4" a="1"/>
  <c r="EA6" i="4" a="1"/>
  <c r="DH13" i="4" a="1"/>
  <c r="L13" i="4" a="1"/>
  <c r="DY5" i="4" a="1"/>
  <c r="K6" i="4" a="1"/>
  <c r="ED7" i="4" a="1"/>
  <c r="EH9" i="4" a="1"/>
  <c r="Q8" i="4" a="1"/>
  <c r="DQ6" i="4" a="1"/>
  <c r="CA5" i="4" a="1"/>
  <c r="CG9" i="4" a="1"/>
  <c r="DH9" i="4" a="1"/>
  <c r="CX9" i="4" a="1"/>
  <c r="DB9" i="4" a="1"/>
  <c r="CV16" i="4" a="1"/>
  <c r="AT11" i="4" a="1"/>
  <c r="CC15" i="4" a="1"/>
  <c r="CI9" i="4" a="1"/>
  <c r="EJ11" i="4" a="1"/>
  <c r="BU15" i="4" a="1"/>
  <c r="EJ8" i="4" a="1"/>
  <c r="BC11" i="4" a="1"/>
  <c r="DF8" i="4" a="1"/>
  <c r="BG12" i="4" a="1"/>
  <c r="AK12" i="4" a="1"/>
  <c r="AB15" i="4" a="1"/>
  <c r="EC9" i="4" a="1"/>
  <c r="DF6" i="4" a="1"/>
  <c r="CF11" i="4" a="1"/>
  <c r="J12" i="4" a="1"/>
  <c r="AV5" i="4" a="1"/>
  <c r="BE9" i="4" a="1"/>
  <c r="H15" i="4" a="1"/>
  <c r="X16" i="4" a="1"/>
  <c r="Y9" i="4" a="1"/>
  <c r="DZ8" i="4" a="1"/>
  <c r="CK8" i="4" a="1"/>
  <c r="L8" i="4" a="1"/>
  <c r="Z12" i="4" a="1"/>
  <c r="AG6" i="4" a="1"/>
  <c r="BM11" i="4" a="1"/>
  <c r="BQ13" i="4" a="1"/>
  <c r="BE16" i="4" a="1"/>
  <c r="DA15" i="4" a="1"/>
  <c r="BG9" i="4" a="1"/>
  <c r="AW16" i="4" a="1"/>
  <c r="AT7" i="4" a="1"/>
  <c r="DM7" i="4" a="1"/>
  <c r="D5" i="4" a="1"/>
  <c r="DS14" i="4" a="1"/>
  <c r="CZ5" i="4" a="1"/>
  <c r="EJ6" i="4" a="1"/>
  <c r="W9" i="4" a="1"/>
  <c r="BF5" i="4" a="1"/>
  <c r="R7" i="4" a="1"/>
  <c r="DN7" i="4" a="1"/>
  <c r="DO13" i="4" a="1"/>
  <c r="EI8" i="4" a="1"/>
  <c r="BB7" i="4" a="1"/>
  <c r="CR15" i="4" a="1"/>
  <c r="AU14" i="4" a="1"/>
  <c r="CU7" i="4" a="1"/>
  <c r="BA13" i="4" a="1"/>
  <c r="BD8" i="4" a="1"/>
  <c r="BY6" i="4" a="1"/>
  <c r="J6" i="4" a="1"/>
  <c r="K5" i="4" a="1"/>
  <c r="AS7" i="4" a="1"/>
  <c r="DE5" i="4" a="1"/>
  <c r="AL16" i="4" a="1"/>
  <c r="DW8" i="4" a="1"/>
  <c r="N16" i="4" a="1"/>
  <c r="DN16" i="4" a="1"/>
  <c r="E11" i="4" a="1"/>
  <c r="DD16" i="4" a="1"/>
  <c r="CC14" i="4" a="1"/>
  <c r="DF9" i="4" a="1"/>
  <c r="N15" i="4" a="1"/>
  <c r="AV6" i="4" a="1"/>
  <c r="CY5" i="4" a="1"/>
  <c r="BF15" i="4" a="1"/>
  <c r="S6" i="4" a="1"/>
  <c r="C12" i="4" a="1"/>
  <c r="AL46" i="3"/>
  <c r="C9" i="4" a="1"/>
  <c r="CU6" i="4" a="1"/>
  <c r="AM14" i="4" a="1"/>
  <c r="DB11" i="4" a="1"/>
  <c r="E13" i="3"/>
  <c r="CN16" i="4" a="1"/>
  <c r="Y8" i="4" a="1"/>
  <c r="AZ8" i="4" a="1"/>
  <c r="N13" i="4" a="1"/>
  <c r="X9" i="4" a="1"/>
  <c r="BW16" i="4" a="1"/>
  <c r="AJ5" i="4" a="1"/>
  <c r="BI15" i="4" a="1"/>
  <c r="F7" i="4" a="1"/>
  <c r="EE6" i="4" a="1"/>
  <c r="AZ9" i="4" a="1"/>
  <c r="CV13" i="4" a="1"/>
  <c r="CF15" i="4" a="1"/>
  <c r="CM14" i="4" a="1"/>
  <c r="AF11" i="4" a="1"/>
  <c r="BQ16" i="4" a="1"/>
  <c r="AB14" i="4" a="1"/>
  <c r="CV7" i="4" a="1"/>
  <c r="AD6" i="4" a="1"/>
  <c r="CV15" i="4" a="1"/>
  <c r="CD7" i="4" a="1"/>
  <c r="BL14" i="4" a="1"/>
  <c r="S5" i="4" a="1"/>
  <c r="BZ12" i="4" a="1"/>
  <c r="Y14" i="4" a="1"/>
  <c r="EH6" i="4" a="1"/>
  <c r="EG9" i="4" a="1"/>
  <c r="BN12" i="4" a="1"/>
  <c r="BH15" i="4" a="1"/>
  <c r="AB7" i="4" a="1"/>
  <c r="AP6" i="4" a="1"/>
  <c r="AO16" i="4" a="1"/>
  <c r="DJ15" i="4" a="1"/>
  <c r="BW5" i="4" a="1"/>
  <c r="BL5" i="4" a="1"/>
  <c r="CN5" i="4" a="1"/>
  <c r="EB9" i="4" a="1"/>
  <c r="O13" i="4" a="1"/>
  <c r="AO45" i="3"/>
  <c r="DR5" i="4" a="1"/>
  <c r="AY7" i="4" a="1"/>
  <c r="DU5" i="4" a="1"/>
  <c r="AE12" i="4" a="1"/>
  <c r="EE16" i="4" a="1"/>
  <c r="CW9" i="4" a="1"/>
  <c r="I7" i="4" a="1"/>
  <c r="AN15" i="4" a="1"/>
  <c r="CA11" i="4" a="1"/>
  <c r="AS13" i="4" a="1"/>
  <c r="I15" i="4" a="1"/>
  <c r="R5" i="4" a="1"/>
  <c r="AH9" i="4" a="1"/>
  <c r="V9" i="4" a="1"/>
  <c r="V11" i="4" a="1"/>
  <c r="DU16" i="4" a="1"/>
  <c r="AH7" i="4" a="1"/>
  <c r="K8" i="4" a="1"/>
  <c r="AH6" i="4" a="1"/>
  <c r="T13" i="4" a="1"/>
  <c r="DJ11" i="4" a="1"/>
  <c r="CG11" i="4" a="1"/>
  <c r="Q15" i="4" a="1"/>
  <c r="DJ13" i="4" a="1"/>
  <c r="BR16" i="4" a="1"/>
  <c r="BQ12" i="4" a="1"/>
  <c r="AF15" i="4" a="1"/>
  <c r="CM5" i="4" a="1"/>
  <c r="Z11" i="4" a="1"/>
  <c r="DO7" i="4" a="1"/>
  <c r="CH9" i="4" a="1"/>
  <c r="DW16" i="4" a="1"/>
  <c r="DK8" i="4" a="1"/>
  <c r="BX15" i="4" a="1"/>
  <c r="R15" i="4" a="1"/>
  <c r="CW15" i="4" a="1"/>
  <c r="I6" i="4" a="1"/>
  <c r="AE8" i="4" a="1"/>
  <c r="DI6" i="4" a="1"/>
  <c r="DS11" i="4" a="1"/>
  <c r="AX5" i="4" a="1"/>
  <c r="AX13" i="4" a="1"/>
  <c r="BT12" i="4" a="1"/>
  <c r="DK15" i="4" a="1"/>
  <c r="AR14" i="4" a="1"/>
  <c r="EK6" i="4" a="1"/>
  <c r="Y46" i="3"/>
  <c r="CA15" i="4" a="1"/>
  <c r="W13" i="4" a="1"/>
  <c r="CG8" i="4" a="1"/>
  <c r="DF16" i="4" a="1"/>
  <c r="AU16" i="4" a="1"/>
  <c r="DM13" i="4" a="1"/>
  <c r="U11" i="4" a="1"/>
  <c r="BW7" i="4" a="1"/>
  <c r="DB12" i="4" a="1"/>
  <c r="CR6" i="4" a="1"/>
  <c r="EI5" i="4" a="1"/>
  <c r="BO9" i="4" a="1"/>
  <c r="DD6" i="4" a="1"/>
  <c r="DR14" i="4" a="1"/>
  <c r="CG6" i="4" a="1"/>
  <c r="J13" i="4" a="1"/>
  <c r="CD14" i="4" a="1"/>
  <c r="Z9" i="4" a="1"/>
  <c r="EK14" i="4" a="1"/>
  <c r="CX16" i="4" a="1"/>
  <c r="EC13" i="4" a="1"/>
  <c r="CX12" i="4" a="1"/>
  <c r="BY16" i="4" a="1"/>
  <c r="DI15" i="4" a="1"/>
  <c r="AQ8" i="4" a="1"/>
  <c r="CP6" i="4" a="1"/>
  <c r="DJ5" i="4" a="1"/>
  <c r="CK9" i="4" a="1"/>
  <c r="EC16" i="4" a="1"/>
  <c r="DU13" i="4" a="1"/>
  <c r="Z13" i="4" a="1"/>
  <c r="BA11" i="4" a="1"/>
  <c r="AR6" i="4" a="1"/>
  <c r="CB6" i="4" a="1"/>
  <c r="DD7" i="4" a="1"/>
  <c r="DI11" i="4" a="1"/>
  <c r="DU15" i="4" a="1"/>
  <c r="DS7" i="4" a="1"/>
  <c r="EI7" i="4" a="1"/>
  <c r="CB11" i="4" a="1"/>
  <c r="DJ12" i="4" a="1"/>
  <c r="N5" i="4" a="1"/>
  <c r="AJ6" i="4" a="1"/>
  <c r="BV12" i="4" a="1"/>
  <c r="CK13" i="4" a="1"/>
  <c r="EF11" i="4" a="1"/>
  <c r="AY13" i="4" a="1"/>
  <c r="G8" i="4" a="1"/>
  <c r="F14" i="4" a="1"/>
  <c r="F5" i="4" a="1"/>
  <c r="EE9" i="4" a="1"/>
  <c r="CV8" i="4" a="1"/>
  <c r="CP11" i="4" a="1"/>
  <c r="DR13" i="4" a="1"/>
  <c r="N8" i="4" a="1"/>
  <c r="DT15" i="4" a="1"/>
  <c r="J45" i="3"/>
  <c r="DN9" i="4" a="1"/>
  <c r="CI13" i="4" a="1"/>
  <c r="DJ14" i="4" a="1"/>
  <c r="DQ5" i="4" a="1"/>
  <c r="AC6" i="4" a="1"/>
  <c r="AT15" i="4" a="1"/>
  <c r="AW5" i="4" a="1"/>
  <c r="DD12" i="4" a="1"/>
  <c r="EK16" i="4" a="1"/>
  <c r="ED5" i="4" a="1"/>
  <c r="BX6" i="4" a="1"/>
  <c r="CO7" i="4" a="1"/>
  <c r="C14" i="4" a="1"/>
  <c r="DI9" i="4" a="1"/>
  <c r="AY15" i="4" a="1"/>
  <c r="ED13" i="4" a="1"/>
  <c r="BP6" i="4" a="1"/>
  <c r="EE7" i="4" a="1"/>
  <c r="U13" i="4" a="1"/>
  <c r="BK7" i="4" a="1"/>
  <c r="R16" i="4" a="1"/>
  <c r="U16" i="4" a="1"/>
  <c r="DD9" i="4" a="1"/>
  <c r="DI13" i="4" a="1"/>
  <c r="BQ8" i="4" a="1"/>
  <c r="DP7" i="4" a="1"/>
  <c r="BJ6" i="4" a="1"/>
  <c r="BP16" i="4" a="1"/>
  <c r="F9" i="4" a="1"/>
  <c r="DF14" i="4" a="1"/>
  <c r="BP15" i="4" a="1"/>
  <c r="DR6" i="4" a="1"/>
  <c r="AB16" i="4" a="1"/>
  <c r="CE11" i="4" a="1"/>
  <c r="DA12" i="4" a="1"/>
  <c r="DT13" i="4" a="1"/>
  <c r="CT6" i="4" a="1"/>
  <c r="DM8" i="4" a="1"/>
  <c r="EE13" i="4" a="1"/>
  <c r="DS16" i="4" a="1"/>
  <c r="AW13" i="4" a="1"/>
  <c r="CR12" i="4" a="1"/>
  <c r="U7" i="4" a="1"/>
  <c r="CY12" i="4" a="1"/>
  <c r="DR9" i="4" a="1"/>
  <c r="AW8" i="4" a="1"/>
  <c r="V13" i="4" a="1"/>
  <c r="AX12" i="4" a="1"/>
  <c r="CR7" i="4" a="1"/>
  <c r="BU9" i="4" a="1"/>
  <c r="ED15" i="4" a="1"/>
  <c r="R12" i="4" a="1"/>
  <c r="AZ11" i="4" a="1"/>
  <c r="CK7" i="4" a="1"/>
  <c r="DM9" i="4" a="1"/>
  <c r="AF5" i="4" a="1"/>
  <c r="CY11" i="4" a="1"/>
  <c r="BA8" i="4" a="1"/>
  <c r="L15" i="4" a="1"/>
  <c r="AM16" i="4" a="1"/>
  <c r="EJ15" i="4" a="1"/>
  <c r="DI12" i="4" a="1"/>
  <c r="EI13" i="4" a="1"/>
  <c r="BC6" i="4" a="1"/>
  <c r="AQ11" i="4" a="1"/>
  <c r="CZ6" i="4" a="1"/>
  <c r="AD14" i="4" a="1"/>
  <c r="EG13" i="4" a="1"/>
  <c r="BO11" i="4" a="1"/>
  <c r="DN11" i="4" a="1"/>
  <c r="AI12" i="4" a="1"/>
  <c r="CG15" i="4" a="1"/>
  <c r="BN14" i="4" a="1"/>
  <c r="DE9" i="4" a="1"/>
  <c r="EI15" i="4" a="1"/>
  <c r="DV14" i="4" a="1"/>
  <c r="CR11" i="4" a="1"/>
  <c r="S8" i="4" a="1"/>
  <c r="BW8" i="4" a="1"/>
  <c r="AU6" i="4" a="1"/>
  <c r="CO8" i="4" a="1"/>
  <c r="CZ14" i="4" a="1"/>
  <c r="AD57" i="3"/>
  <c r="F73" i="3"/>
  <c r="G93" i="3"/>
  <c r="F85" i="3"/>
  <c r="F57" i="3"/>
  <c r="F93" i="3"/>
  <c r="G65" i="3"/>
  <c r="F56" i="3"/>
  <c r="AD78" i="3"/>
  <c r="F71" i="3"/>
  <c r="G90" i="3"/>
  <c r="F49" i="3"/>
  <c r="G80" i="3"/>
  <c r="F91" i="3"/>
  <c r="AD63" i="3"/>
  <c r="F61" i="3"/>
  <c r="AD58" i="3"/>
  <c r="F76" i="3"/>
  <c r="F77" i="3"/>
  <c r="AD66" i="3"/>
  <c r="F69" i="3"/>
  <c r="AD77" i="3"/>
  <c r="AD90" i="3"/>
  <c r="G67" i="3"/>
  <c r="AD65" i="3"/>
  <c r="AD86" i="3"/>
  <c r="AD84" i="3"/>
  <c r="AD87" i="3"/>
  <c r="G91" i="3"/>
  <c r="AD79" i="3"/>
  <c r="G63" i="3"/>
  <c r="AD56" i="3"/>
  <c r="AD89" i="3"/>
  <c r="G56" i="3"/>
  <c r="AD54" i="3"/>
  <c r="G57" i="3"/>
  <c r="AD93" i="3"/>
  <c r="AD55" i="3"/>
  <c r="AD60" i="3"/>
  <c r="F79" i="3"/>
  <c r="F55" i="3"/>
  <c r="G85" i="3"/>
  <c r="AD71" i="3"/>
  <c r="G88" i="3"/>
  <c r="F83" i="3"/>
  <c r="F90" i="3"/>
  <c r="F80" i="3"/>
  <c r="G54" i="3"/>
  <c r="AD81" i="3"/>
  <c r="F62" i="3"/>
  <c r="F87" i="3"/>
  <c r="F84" i="3"/>
  <c r="AD95" i="3"/>
  <c r="G70" i="3"/>
  <c r="F63" i="3"/>
  <c r="G60" i="3"/>
  <c r="AD75" i="3"/>
  <c r="G94" i="3"/>
  <c r="F89" i="3"/>
  <c r="G82" i="3"/>
  <c r="AD82" i="3"/>
  <c r="AD59" i="3"/>
  <c r="AD64" i="3"/>
  <c r="F54" i="3"/>
  <c r="AD96" i="3"/>
  <c r="G61" i="3"/>
  <c r="AD69" i="3"/>
  <c r="AD74" i="3"/>
  <c r="G68" i="3"/>
  <c r="F67" i="3"/>
  <c r="F95" i="3"/>
  <c r="AD92" i="3"/>
  <c r="F48" i="3"/>
  <c r="G71" i="3"/>
  <c r="F72" i="3"/>
  <c r="F86" i="3"/>
  <c r="AD73" i="3"/>
  <c r="AD83" i="3"/>
  <c r="AD97" i="3"/>
  <c r="AD72" i="3"/>
  <c r="F58" i="3"/>
  <c r="G83" i="3"/>
  <c r="AD61" i="3"/>
  <c r="G59" i="3"/>
  <c r="F78" i="3"/>
  <c r="F70" i="3"/>
  <c r="F60" i="3"/>
  <c r="AD76" i="3"/>
  <c r="AD70" i="3"/>
  <c r="G55" i="3"/>
  <c r="F75" i="3"/>
  <c r="G78" i="3"/>
  <c r="AD94" i="3"/>
  <c r="AD68" i="3"/>
  <c r="F68" i="3"/>
  <c r="G64" i="3"/>
  <c r="F82" i="3"/>
  <c r="G84" i="3"/>
  <c r="AD67" i="3"/>
  <c r="F92" i="3"/>
  <c r="F59" i="3"/>
  <c r="G69" i="3"/>
  <c r="AD91" i="3"/>
  <c r="AD85" i="3"/>
  <c r="G92" i="3"/>
  <c r="G58" i="3" l="1"/>
  <c r="G77" i="3"/>
  <c r="F66" i="3"/>
  <c r="G95" i="3"/>
  <c r="G79" i="3"/>
  <c r="F94" i="3"/>
  <c r="G72" i="3"/>
  <c r="F74" i="3"/>
  <c r="F64" i="3"/>
  <c r="G89" i="3"/>
  <c r="F88" i="3"/>
  <c r="G73" i="3"/>
  <c r="F47" i="3"/>
  <c r="G86" i="3"/>
  <c r="F81" i="3"/>
  <c r="F65" i="3"/>
  <c r="F96" i="3"/>
  <c r="F97" i="3"/>
  <c r="G75" i="3"/>
  <c r="G96" i="3"/>
  <c r="F50" i="3"/>
  <c r="G76" i="3"/>
  <c r="G74" i="3"/>
  <c r="G66" i="3"/>
  <c r="G81" i="3"/>
  <c r="G87" i="3"/>
  <c r="G97" i="3"/>
  <c r="G62" i="3"/>
  <c r="E56" i="3"/>
  <c r="E79" i="3"/>
  <c r="E97" i="3"/>
  <c r="E59" i="3"/>
  <c r="E70" i="3"/>
  <c r="E90" i="3"/>
  <c r="E54" i="3"/>
  <c r="E85" i="3"/>
  <c r="E95" i="3"/>
  <c r="E84" i="3"/>
  <c r="E74" i="3"/>
  <c r="E82" i="3"/>
  <c r="E62" i="3"/>
  <c r="E78" i="3"/>
  <c r="E75" i="3"/>
  <c r="E77" i="3"/>
  <c r="E73" i="3"/>
  <c r="E55" i="3"/>
  <c r="E61" i="3"/>
  <c r="E63" i="3"/>
  <c r="E88" i="3"/>
  <c r="E93" i="3"/>
  <c r="E76" i="3"/>
  <c r="E91" i="3"/>
  <c r="E96" i="3"/>
  <c r="E66" i="3"/>
  <c r="E94" i="3"/>
  <c r="E87" i="3"/>
  <c r="E65" i="3"/>
  <c r="E67" i="3"/>
  <c r="E57" i="3"/>
  <c r="E60" i="3"/>
  <c r="E69" i="3"/>
  <c r="E71" i="3"/>
  <c r="E86" i="3"/>
  <c r="E68" i="3"/>
  <c r="E58" i="3"/>
  <c r="E72" i="3"/>
  <c r="E89" i="3"/>
  <c r="E80" i="3"/>
  <c r="E83" i="3"/>
  <c r="E64" i="3"/>
  <c r="E92" i="3"/>
  <c r="E81" i="3"/>
  <c r="AD80" i="3"/>
  <c r="BJ159" i="1" s="1"/>
  <c r="AD88" i="3"/>
  <c r="BJ127" i="1" s="1"/>
  <c r="BK127" i="1" s="1"/>
  <c r="AD62" i="3"/>
  <c r="BJ124" i="1" s="1"/>
  <c r="BK124" i="1" s="1"/>
  <c r="D96" i="3"/>
  <c r="AJ163" i="1" s="1"/>
  <c r="AK163" i="1" s="1"/>
  <c r="D74" i="3"/>
  <c r="AJ137" i="1" s="1"/>
  <c r="AK137" i="1" s="1"/>
  <c r="D71" i="3"/>
  <c r="D97" i="3"/>
  <c r="D85" i="3"/>
  <c r="AJ147" i="1" s="1"/>
  <c r="AK147" i="1" s="1"/>
  <c r="D56" i="3"/>
  <c r="AJ117" i="1" s="1"/>
  <c r="AK117" i="1" s="1"/>
  <c r="D80" i="3"/>
  <c r="AJ159" i="1" s="1"/>
  <c r="D90" i="3"/>
  <c r="AJ126" i="1" s="1"/>
  <c r="AK126" i="1" s="1"/>
  <c r="D61" i="3"/>
  <c r="D66" i="3"/>
  <c r="AJ151" i="1" s="1"/>
  <c r="AK151" i="1" s="1"/>
  <c r="D88" i="3"/>
  <c r="AJ127" i="1" s="1"/>
  <c r="AK127" i="1" s="1"/>
  <c r="D63" i="3"/>
  <c r="AJ125" i="1" s="1"/>
  <c r="AK125" i="1" s="1"/>
  <c r="D91" i="3"/>
  <c r="AJ154" i="1" s="1"/>
  <c r="AK154" i="1" s="1"/>
  <c r="D62" i="3"/>
  <c r="AJ124" i="1" s="1"/>
  <c r="AK124" i="1" s="1"/>
  <c r="D77" i="3"/>
  <c r="AJ140" i="1" s="1"/>
  <c r="AK140" i="1" s="1"/>
  <c r="D83" i="3"/>
  <c r="AJ160" i="1" s="1"/>
  <c r="D89" i="3"/>
  <c r="AJ153" i="1" s="1"/>
  <c r="D57" i="3"/>
  <c r="AJ118" i="1" s="1"/>
  <c r="AK118" i="1" s="1"/>
  <c r="D82" i="3"/>
  <c r="AJ145" i="1" s="1"/>
  <c r="D70" i="3"/>
  <c r="AJ133" i="1" s="1"/>
  <c r="D59" i="3"/>
  <c r="D72" i="3"/>
  <c r="AJ135" i="1" s="1"/>
  <c r="AK135" i="1" s="1"/>
  <c r="D93" i="3"/>
  <c r="D81" i="3"/>
  <c r="AJ144" i="1" s="1"/>
  <c r="D75" i="3"/>
  <c r="D84" i="3"/>
  <c r="AJ146" i="1" s="1"/>
  <c r="AK146" i="1" s="1"/>
  <c r="D92" i="3"/>
  <c r="AJ155" i="1" s="1"/>
  <c r="AK155" i="1" s="1"/>
  <c r="D54" i="3"/>
  <c r="D69" i="3"/>
  <c r="AJ132" i="1" s="1"/>
  <c r="D67" i="3"/>
  <c r="D58" i="3"/>
  <c r="AJ119" i="1" s="1"/>
  <c r="D68" i="3"/>
  <c r="AJ131" i="1" s="1"/>
  <c r="D79" i="3"/>
  <c r="AJ143" i="1" s="1"/>
  <c r="AK143" i="1" s="1"/>
  <c r="D55" i="3"/>
  <c r="D87" i="3"/>
  <c r="AJ152" i="1" s="1"/>
  <c r="AK152" i="1" s="1"/>
  <c r="D94" i="3"/>
  <c r="D65" i="3"/>
  <c r="AJ150" i="1" s="1"/>
  <c r="AK150" i="1" s="1"/>
  <c r="D95" i="3"/>
  <c r="AJ164" i="1" s="1"/>
  <c r="AK164" i="1" s="1"/>
  <c r="D78" i="3"/>
  <c r="AJ142" i="1" s="1"/>
  <c r="AK142" i="1" s="1"/>
  <c r="D64" i="3"/>
  <c r="AJ149" i="1" s="1"/>
  <c r="AK149" i="1" s="1"/>
  <c r="D76" i="3"/>
  <c r="D60" i="3"/>
  <c r="AJ122" i="1" s="1"/>
  <c r="AK122" i="1" s="1"/>
  <c r="D86" i="3"/>
  <c r="D73" i="3"/>
  <c r="IA16" i="4" s="1"/>
  <c r="JA9" i="4" s="1"/>
  <c r="IE8" i="4" s="1"/>
  <c r="JC16" i="4" s="1"/>
  <c r="HP9" i="4" s="1"/>
  <c r="IX9" i="4" s="1"/>
  <c r="HU16" i="4" s="1"/>
  <c r="HT16" i="4" s="1"/>
  <c r="JI16" i="4" s="1"/>
  <c r="JG9" i="4" s="1"/>
  <c r="IZ15" i="4" s="1"/>
  <c r="IV16" i="4" s="1"/>
  <c r="JC14" i="4" s="1"/>
  <c r="HT15" i="4" s="1"/>
  <c r="JG16" i="4" s="1"/>
  <c r="JG21" i="4" s="1"/>
  <c r="CA77" i="1" s="1"/>
  <c r="JF9" i="4" s="1"/>
  <c r="HW14" i="4" s="1"/>
  <c r="IK16" i="4" s="1"/>
  <c r="IM16" i="4" s="1"/>
  <c r="HV9" i="4" s="1"/>
  <c r="IF8" i="4" s="1"/>
  <c r="HW8" i="4" s="1"/>
  <c r="IX16" i="4" s="1"/>
  <c r="IX21" i="4" s="1"/>
  <c r="BR77" i="1" s="1"/>
  <c r="IG16" i="4" s="1"/>
  <c r="AL39" i="1"/>
  <c r="IW16" i="4" s="1"/>
  <c r="JH15" i="4" s="1"/>
  <c r="II8" i="4" s="1"/>
  <c r="HP7" i="4" s="1"/>
  <c r="JE9" i="4" s="1"/>
  <c r="JH8" i="4" s="1"/>
  <c r="JD14" i="4" s="1"/>
  <c r="HU15" i="4" s="1"/>
  <c r="IL7" i="4" s="1"/>
  <c r="IQ16" i="4" s="1"/>
  <c r="S21" i="1"/>
  <c r="IN7" i="4" s="1"/>
  <c r="HT9" i="4" s="1"/>
  <c r="BX39" i="1"/>
  <c r="BX8" i="1"/>
  <c r="C36" i="1"/>
  <c r="P155" i="1"/>
  <c r="IW9" i="4" s="1"/>
  <c r="JA16" i="4" s="1"/>
  <c r="AK24" i="1"/>
  <c r="AL45" i="1"/>
  <c r="E23" i="1"/>
  <c r="S45" i="1"/>
  <c r="HZ14" i="4" s="1"/>
  <c r="IZ14" i="4" s="1"/>
  <c r="AL46" i="1"/>
  <c r="AK46" i="1"/>
  <c r="AL36" i="1"/>
  <c r="BX45" i="1"/>
  <c r="P153" i="1"/>
  <c r="BX159" i="1"/>
  <c r="AL32" i="1"/>
  <c r="AJ23" i="1"/>
  <c r="AJ22" i="1"/>
  <c r="BX146" i="1"/>
  <c r="BY146" i="1" s="1"/>
  <c r="II9" i="4" s="1"/>
  <c r="IY9" i="4" s="1"/>
  <c r="IT16" i="4" s="1"/>
  <c r="BX46" i="1"/>
  <c r="AJ46" i="1"/>
  <c r="AK45" i="1"/>
  <c r="BX51" i="1"/>
  <c r="AK32" i="1"/>
  <c r="AK194" i="1" s="1"/>
  <c r="BX142" i="1"/>
  <c r="BY142" i="1" s="1"/>
  <c r="B24" i="1"/>
  <c r="J25" i="1"/>
  <c r="IA9" i="4" s="1"/>
  <c r="BJ15" i="1"/>
  <c r="BX24" i="1"/>
  <c r="AL14" i="1"/>
  <c r="BJ13" i="1"/>
  <c r="M23" i="1"/>
  <c r="G46" i="1"/>
  <c r="BX131" i="1"/>
  <c r="HZ8" i="4" s="1"/>
  <c r="IR14" i="4" s="1"/>
  <c r="IJ16" i="4" s="1"/>
  <c r="AM35" i="1"/>
  <c r="BX163" i="1"/>
  <c r="BY163" i="1" s="1"/>
  <c r="B23" i="1"/>
  <c r="D9" i="1"/>
  <c r="BX47" i="1"/>
  <c r="BJ14" i="1"/>
  <c r="BX36" i="1"/>
  <c r="BX140" i="1"/>
  <c r="BY140" i="1" s="1"/>
  <c r="BZ202" i="1" s="1"/>
  <c r="BX74" i="1"/>
  <c r="IF9" i="4" s="1"/>
  <c r="HZ15" i="4" s="1"/>
  <c r="IF15" i="4" s="1"/>
  <c r="HY16" i="4" s="1"/>
  <c r="BX21" i="1"/>
  <c r="W15" i="1"/>
  <c r="V22" i="1"/>
  <c r="BY73" i="1"/>
  <c r="JI9" i="4" s="1"/>
  <c r="AL47" i="1"/>
  <c r="AJ25" i="1"/>
  <c r="BX25" i="1"/>
  <c r="AM22" i="1"/>
  <c r="AM23" i="1"/>
  <c r="AK23" i="1"/>
  <c r="U36" i="1"/>
  <c r="U252" i="1" s="1"/>
  <c r="W45" i="1"/>
  <c r="BX126" i="1"/>
  <c r="BY126" i="1" s="1"/>
  <c r="HQ14" i="4" s="1"/>
  <c r="IJ9" i="4" s="1"/>
  <c r="JB15" i="4" s="1"/>
  <c r="IO16" i="4" s="1"/>
  <c r="BX13" i="1"/>
  <c r="AL20" i="1"/>
  <c r="AK35" i="1"/>
  <c r="AJ45" i="1"/>
  <c r="AL21" i="1"/>
  <c r="I39" i="1"/>
  <c r="BX150" i="1"/>
  <c r="BY150" i="1" s="1"/>
  <c r="I20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Q10" i="1" s="1"/>
  <c r="B35" i="1"/>
  <c r="I35" i="1"/>
  <c r="C13" i="1"/>
  <c r="BX73" i="1"/>
  <c r="I21" i="1"/>
  <c r="S8" i="1"/>
  <c r="B25" i="1"/>
  <c r="V23" i="1"/>
  <c r="M8" i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C10" i="1" s="1"/>
  <c r="N15" i="1"/>
  <c r="Q47" i="1"/>
  <c r="N23" i="1"/>
  <c r="J45" i="1"/>
  <c r="N21" i="1"/>
  <c r="O9" i="1"/>
  <c r="K21" i="1"/>
  <c r="E159" i="1"/>
  <c r="H20" i="1"/>
  <c r="P8" i="1"/>
  <c r="F35" i="1"/>
  <c r="L20" i="1"/>
  <c r="IL9" i="4" s="1"/>
  <c r="IP9" i="4" s="1"/>
  <c r="IA8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E9" i="4" s="1"/>
  <c r="AJ36" i="1"/>
  <c r="BJ23" i="1"/>
  <c r="AJ15" i="1"/>
  <c r="AK25" i="1"/>
  <c r="BJ21" i="1"/>
  <c r="BX144" i="1"/>
  <c r="BX179" i="1" s="1"/>
  <c r="BY179" i="1" s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H194" i="1" s="1"/>
  <c r="W46" i="1"/>
  <c r="IV14" i="4" s="1"/>
  <c r="IY14" i="4" s="1"/>
  <c r="JH16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IT9" i="4" s="1"/>
  <c r="JG14" i="4" s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53" i="1" s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BJ163" i="1"/>
  <c r="BK163" i="1" s="1"/>
  <c r="BJ154" i="1"/>
  <c r="BK154" i="1" s="1"/>
  <c r="BJ144" i="1"/>
  <c r="AL145" i="1"/>
  <c r="AL142" i="1"/>
  <c r="AM142" i="1" s="1"/>
  <c r="AL131" i="1"/>
  <c r="AL125" i="1"/>
  <c r="AM125" i="1" s="1"/>
  <c r="AL164" i="1"/>
  <c r="AM164" i="1" s="1"/>
  <c r="AL119" i="1"/>
  <c r="BJ160" i="1"/>
  <c r="BJ147" i="1"/>
  <c r="BK147" i="1" s="1"/>
  <c r="BJ149" i="1"/>
  <c r="AL135" i="1"/>
  <c r="AM135" i="1" s="1"/>
  <c r="BJ155" i="1"/>
  <c r="BK155" i="1" s="1"/>
  <c r="AL133" i="1"/>
  <c r="BJ131" i="1"/>
  <c r="BJ145" i="1"/>
  <c r="BJ164" i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L140" i="1"/>
  <c r="AM140" i="1" s="1"/>
  <c r="AM202" i="1" s="1"/>
  <c r="BJ122" i="1"/>
  <c r="BK122" i="1" s="1"/>
  <c r="BJ117" i="1"/>
  <c r="BJ137" i="1"/>
  <c r="BK137" i="1" s="1"/>
  <c r="BJ143" i="1"/>
  <c r="AL143" i="1"/>
  <c r="C231" i="1"/>
  <c r="IM14" i="4"/>
  <c r="IT7" i="4"/>
  <c r="IQ7" i="4"/>
  <c r="IK14" i="4"/>
  <c r="HV8" i="4"/>
  <c r="CP77" i="1"/>
  <c r="CN63" i="1"/>
  <c r="CM65" i="1"/>
  <c r="AL74" i="1" l="1"/>
  <c r="AL150" i="1"/>
  <c r="AM150" i="1" s="1"/>
  <c r="AL149" i="1"/>
  <c r="AM149" i="1" s="1"/>
  <c r="AL163" i="1"/>
  <c r="AM163" i="1" s="1"/>
  <c r="AL151" i="1"/>
  <c r="AM151" i="1" s="1"/>
  <c r="AL144" i="1"/>
  <c r="AL127" i="1"/>
  <c r="AM127" i="1" s="1"/>
  <c r="AL137" i="1"/>
  <c r="AM137" i="1" s="1"/>
  <c r="D253" i="1"/>
  <c r="F10" i="1"/>
  <c r="R194" i="1"/>
  <c r="Q231" i="1"/>
  <c r="P183" i="1"/>
  <c r="R252" i="1"/>
  <c r="J231" i="1"/>
  <c r="P231" i="1"/>
  <c r="U253" i="1"/>
  <c r="U194" i="1"/>
  <c r="BX10" i="1"/>
  <c r="HT21" i="4"/>
  <c r="AN77" i="1" s="1"/>
  <c r="IH15" i="4" s="1"/>
  <c r="IM9" i="4" s="1"/>
  <c r="IM21" i="4" s="1"/>
  <c r="BG77" i="1" s="1"/>
  <c r="II16" i="4" s="1"/>
  <c r="HX7" i="4" s="1"/>
  <c r="IG7" i="4" s="1"/>
  <c r="HQ9" i="4" s="1"/>
  <c r="IC9" i="4" s="1"/>
  <c r="JF16" i="4" s="1"/>
  <c r="JF21" i="4" s="1"/>
  <c r="BZ77" i="1" s="1"/>
  <c r="BZ94" i="1" s="1"/>
  <c r="IH16" i="4" s="1"/>
  <c r="JA21" i="4"/>
  <c r="BU77" i="1" s="1"/>
  <c r="IW8" i="4" s="1"/>
  <c r="IP15" i="4" s="1"/>
  <c r="HX16" i="4" s="1"/>
  <c r="AL252" i="1"/>
  <c r="BX161" i="1"/>
  <c r="BY209" i="1" s="1"/>
  <c r="IE16" i="4" s="1"/>
  <c r="IT21" i="4"/>
  <c r="BN77" i="1" s="1"/>
  <c r="HW16" i="4" s="1"/>
  <c r="IZ16" i="4" s="1"/>
  <c r="IA21" i="4"/>
  <c r="AU77" i="1" s="1"/>
  <c r="IB8" i="4" s="1"/>
  <c r="HS16" i="4" s="1"/>
  <c r="D10" i="1"/>
  <c r="HZ16" i="4" s="1"/>
  <c r="JI21" i="4"/>
  <c r="CC77" i="1" s="1"/>
  <c r="CC85" i="1" s="1"/>
  <c r="IV8" i="4" s="1"/>
  <c r="HU7" i="4" s="1"/>
  <c r="IG14" i="4" s="1"/>
  <c r="HS9" i="4" s="1"/>
  <c r="IZ9" i="4" s="1"/>
  <c r="HR16" i="4" s="1"/>
  <c r="IL16" i="4" s="1"/>
  <c r="JF15" i="4" s="1"/>
  <c r="IJ8" i="4" s="1"/>
  <c r="JE16" i="4" s="1"/>
  <c r="JG7" i="4" s="1"/>
  <c r="HR9" i="4" s="1"/>
  <c r="HR21" i="4" s="1"/>
  <c r="AL77" i="1" s="1"/>
  <c r="IW15" i="4" s="1"/>
  <c r="JD16" i="4" s="1"/>
  <c r="O252" i="1"/>
  <c r="B26" i="1"/>
  <c r="AM10" i="1"/>
  <c r="H10" i="1"/>
  <c r="BX183" i="1"/>
  <c r="BY183" i="1" s="1"/>
  <c r="Q183" i="1"/>
  <c r="J10" i="1"/>
  <c r="AJ37" i="1"/>
  <c r="D194" i="1"/>
  <c r="R253" i="1"/>
  <c r="V194" i="1"/>
  <c r="V253" i="1"/>
  <c r="B231" i="1"/>
  <c r="P252" i="1"/>
  <c r="H252" i="1"/>
  <c r="C194" i="1"/>
  <c r="L252" i="1"/>
  <c r="IB21" i="4"/>
  <c r="AV77" i="1" s="1"/>
  <c r="HQ15" i="4"/>
  <c r="IW21" i="4"/>
  <c r="BQ77" i="1" s="1"/>
  <c r="JH7" i="4"/>
  <c r="JC15" i="4"/>
  <c r="JA7" i="4"/>
  <c r="JA14" i="4"/>
  <c r="JA19" i="4" s="1"/>
  <c r="BU78" i="1" s="1"/>
  <c r="BU107" i="1" s="1"/>
  <c r="IH8" i="4"/>
  <c r="IH20" i="4" s="1"/>
  <c r="BB79" i="1" s="1"/>
  <c r="BB108" i="1" s="1"/>
  <c r="JF7" i="4"/>
  <c r="IE15" i="4"/>
  <c r="IE20" i="4" s="1"/>
  <c r="AY79" i="1" s="1"/>
  <c r="AY108" i="1" s="1"/>
  <c r="I10" i="1"/>
  <c r="T252" i="1"/>
  <c r="IL15" i="4"/>
  <c r="JE8" i="4"/>
  <c r="JH14" i="4"/>
  <c r="JH19" i="4" s="1"/>
  <c r="CB78" i="1" s="1"/>
  <c r="BX134" i="1"/>
  <c r="I231" i="1"/>
  <c r="I253" i="1"/>
  <c r="AJ179" i="1"/>
  <c r="HY15" i="4"/>
  <c r="HQ8" i="4"/>
  <c r="IC8" i="4"/>
  <c r="IL14" i="4"/>
  <c r="IL19" i="4" s="1"/>
  <c r="BF78" i="1" s="1"/>
  <c r="BF107" i="1" s="1"/>
  <c r="IE7" i="4"/>
  <c r="IO8" i="4"/>
  <c r="JB14" i="4"/>
  <c r="O10" i="1"/>
  <c r="AJ10" i="1"/>
  <c r="IS8" i="4"/>
  <c r="S252" i="1"/>
  <c r="K252" i="1"/>
  <c r="E10" i="1"/>
  <c r="P26" i="1"/>
  <c r="HP8" i="4"/>
  <c r="CA98" i="1"/>
  <c r="CA99" i="1" s="1"/>
  <c r="BX231" i="1"/>
  <c r="AL194" i="1"/>
  <c r="AL253" i="1"/>
  <c r="K231" i="1"/>
  <c r="K10" i="1"/>
  <c r="K188" i="1" s="1"/>
  <c r="AL231" i="1"/>
  <c r="AL10" i="1"/>
  <c r="AL16" i="1" s="1"/>
  <c r="S231" i="1"/>
  <c r="S10" i="1"/>
  <c r="M231" i="1"/>
  <c r="M10" i="1"/>
  <c r="M16" i="1" s="1"/>
  <c r="M17" i="1" s="1"/>
  <c r="W253" i="1"/>
  <c r="W194" i="1"/>
  <c r="O231" i="1"/>
  <c r="O253" i="1"/>
  <c r="G231" i="1"/>
  <c r="G10" i="1"/>
  <c r="F252" i="1"/>
  <c r="IR15" i="4"/>
  <c r="IX14" i="4"/>
  <c r="IU8" i="4"/>
  <c r="J26" i="1"/>
  <c r="G26" i="1"/>
  <c r="JG15" i="4"/>
  <c r="JG20" i="4" s="1"/>
  <c r="CA79" i="1" s="1"/>
  <c r="JD15" i="4"/>
  <c r="HR8" i="4"/>
  <c r="II15" i="4"/>
  <c r="II20" i="4" s="1"/>
  <c r="BC79" i="1" s="1"/>
  <c r="BC108" i="1" s="1"/>
  <c r="IA14" i="4"/>
  <c r="IT15" i="4"/>
  <c r="IF7" i="4"/>
  <c r="ID7" i="4"/>
  <c r="HW15" i="4"/>
  <c r="HW20" i="4" s="1"/>
  <c r="AQ79" i="1" s="1"/>
  <c r="AQ108" i="1" s="1"/>
  <c r="U26" i="1"/>
  <c r="IS15" i="4"/>
  <c r="JE14" i="4"/>
  <c r="HX8" i="4"/>
  <c r="IY7" i="4"/>
  <c r="IY19" i="4" s="1"/>
  <c r="BS78" i="1" s="1"/>
  <c r="BS107" i="1" s="1"/>
  <c r="JG8" i="4"/>
  <c r="JE15" i="4"/>
  <c r="S26" i="1"/>
  <c r="IG15" i="4"/>
  <c r="IG8" i="4"/>
  <c r="JB8" i="4"/>
  <c r="JB20" i="4" s="1"/>
  <c r="BV79" i="1" s="1"/>
  <c r="BV108" i="1" s="1"/>
  <c r="II21" i="4"/>
  <c r="BC77" i="1" s="1"/>
  <c r="HP15" i="4"/>
  <c r="BX252" i="1"/>
  <c r="IK15" i="4"/>
  <c r="HT14" i="4"/>
  <c r="IN14" i="4"/>
  <c r="IN19" i="4" s="1"/>
  <c r="BH78" i="1" s="1"/>
  <c r="BH107" i="1" s="1"/>
  <c r="IF14" i="4"/>
  <c r="HW7" i="4"/>
  <c r="HW19" i="4" s="1"/>
  <c r="AQ78" i="1" s="1"/>
  <c r="AQ107" i="1" s="1"/>
  <c r="JC8" i="4"/>
  <c r="IT14" i="4"/>
  <c r="IT19" i="4" s="1"/>
  <c r="BN78" i="1" s="1"/>
  <c r="BN107" i="1" s="1"/>
  <c r="IC7" i="4"/>
  <c r="IM15" i="4"/>
  <c r="IE14" i="4"/>
  <c r="IR7" i="4"/>
  <c r="IR19" i="4" s="1"/>
  <c r="BL78" i="1" s="1"/>
  <c r="AJ16" i="1"/>
  <c r="AJ17" i="1" s="1"/>
  <c r="IU7" i="4"/>
  <c r="IY15" i="4"/>
  <c r="IP14" i="4"/>
  <c r="HT8" i="4"/>
  <c r="HT20" i="4" s="1"/>
  <c r="AN79" i="1" s="1"/>
  <c r="AN108" i="1" s="1"/>
  <c r="IJ21" i="4"/>
  <c r="BD77" i="1" s="1"/>
  <c r="AL26" i="1"/>
  <c r="E26" i="1"/>
  <c r="E27" i="1" s="1"/>
  <c r="B252" i="1"/>
  <c r="P10" i="1"/>
  <c r="M26" i="1"/>
  <c r="IM8" i="4"/>
  <c r="IJ15" i="4"/>
  <c r="IN8" i="4"/>
  <c r="G252" i="1"/>
  <c r="BY120" i="1"/>
  <c r="G183" i="1"/>
  <c r="T26" i="1"/>
  <c r="Q253" i="1"/>
  <c r="AM98" i="1"/>
  <c r="AM99" i="1" s="1"/>
  <c r="HV14" i="4"/>
  <c r="AM252" i="1"/>
  <c r="R26" i="1"/>
  <c r="J252" i="1"/>
  <c r="M252" i="1"/>
  <c r="K26" i="1"/>
  <c r="BJ179" i="1"/>
  <c r="BK179" i="1" s="1"/>
  <c r="AL180" i="1"/>
  <c r="AM180" i="1" s="1"/>
  <c r="AJ183" i="1"/>
  <c r="BJ180" i="1"/>
  <c r="BK180" i="1" s="1"/>
  <c r="AL183" i="1"/>
  <c r="AM183" i="1" s="1"/>
  <c r="AL179" i="1"/>
  <c r="AM179" i="1" s="1"/>
  <c r="BJ183" i="1"/>
  <c r="BK183" i="1" s="1"/>
  <c r="L253" i="1"/>
  <c r="L194" i="1"/>
  <c r="H231" i="1"/>
  <c r="H253" i="1"/>
  <c r="BY128" i="1"/>
  <c r="IC15" i="4"/>
  <c r="IK8" i="4"/>
  <c r="HS7" i="4"/>
  <c r="IL8" i="4"/>
  <c r="IB7" i="4"/>
  <c r="JD8" i="4"/>
  <c r="JD7" i="4"/>
  <c r="JD19" i="4" s="1"/>
  <c r="BX78" i="1" s="1"/>
  <c r="IS7" i="4"/>
  <c r="HU14" i="4"/>
  <c r="IX15" i="4"/>
  <c r="JB7" i="4"/>
  <c r="JA8" i="4"/>
  <c r="IJ7" i="4"/>
  <c r="ID8" i="4"/>
  <c r="IY8" i="4"/>
  <c r="HR14" i="4"/>
  <c r="IQ15" i="4"/>
  <c r="IC14" i="4"/>
  <c r="IX7" i="4"/>
  <c r="JI15" i="4"/>
  <c r="IW7" i="4"/>
  <c r="IS14" i="4"/>
  <c r="II7" i="4"/>
  <c r="IU15" i="4"/>
  <c r="IW14" i="4"/>
  <c r="C252" i="1"/>
  <c r="IV15" i="4"/>
  <c r="IO7" i="4"/>
  <c r="S253" i="1"/>
  <c r="V188" i="1"/>
  <c r="P253" i="1"/>
  <c r="JI7" i="4"/>
  <c r="BX180" i="1"/>
  <c r="BY180" i="1" s="1"/>
  <c r="U16" i="1"/>
  <c r="V26" i="1"/>
  <c r="V27" i="1" s="1"/>
  <c r="H26" i="1"/>
  <c r="T10" i="1"/>
  <c r="F253" i="1"/>
  <c r="AM26" i="1"/>
  <c r="IM7" i="4"/>
  <c r="IM19" i="4" s="1"/>
  <c r="BG78" i="1" s="1"/>
  <c r="BG107" i="1" s="1"/>
  <c r="F26" i="1"/>
  <c r="V16" i="1"/>
  <c r="W16" i="1"/>
  <c r="C26" i="1"/>
  <c r="C27" i="1" s="1"/>
  <c r="L26" i="1"/>
  <c r="BX26" i="1"/>
  <c r="BX27" i="1" s="1"/>
  <c r="I252" i="1"/>
  <c r="I26" i="1"/>
  <c r="AK26" i="1"/>
  <c r="HR7" i="4"/>
  <c r="IB14" i="4"/>
  <c r="IU14" i="4"/>
  <c r="II14" i="4"/>
  <c r="IP8" i="4"/>
  <c r="IP20" i="4" s="1"/>
  <c r="BJ79" i="1" s="1"/>
  <c r="BJ108" i="1" s="1"/>
  <c r="JE7" i="4"/>
  <c r="JE19" i="4" s="1"/>
  <c r="BY78" i="1" s="1"/>
  <c r="HY14" i="4"/>
  <c r="IR8" i="4"/>
  <c r="ID14" i="4"/>
  <c r="ID19" i="4" s="1"/>
  <c r="AX78" i="1" s="1"/>
  <c r="AX107" i="1" s="1"/>
  <c r="IJ14" i="4"/>
  <c r="IB15" i="4"/>
  <c r="JA15" i="4"/>
  <c r="HT7" i="4"/>
  <c r="N26" i="1"/>
  <c r="D26" i="1"/>
  <c r="AJ26" i="1"/>
  <c r="IP7" i="4"/>
  <c r="HV7" i="4"/>
  <c r="IH7" i="4"/>
  <c r="JF8" i="4"/>
  <c r="IQ14" i="4"/>
  <c r="IQ19" i="4" s="1"/>
  <c r="BK78" i="1" s="1"/>
  <c r="BK107" i="1" s="1"/>
  <c r="HX15" i="4"/>
  <c r="W26" i="1"/>
  <c r="W27" i="1" s="1"/>
  <c r="BX253" i="1"/>
  <c r="G253" i="1"/>
  <c r="BX120" i="1"/>
  <c r="BX92" i="1" s="1"/>
  <c r="AJ33" i="1"/>
  <c r="N10" i="1"/>
  <c r="J253" i="1"/>
  <c r="V11" i="1"/>
  <c r="C253" i="1"/>
  <c r="O26" i="1"/>
  <c r="L10" i="1"/>
  <c r="L16" i="1" s="1"/>
  <c r="B16" i="1"/>
  <c r="N252" i="1"/>
  <c r="HV15" i="4"/>
  <c r="HV20" i="4" s="1"/>
  <c r="AP79" i="1" s="1"/>
  <c r="AP108" i="1" s="1"/>
  <c r="Q26" i="1"/>
  <c r="N253" i="1"/>
  <c r="M253" i="1"/>
  <c r="D252" i="1"/>
  <c r="W11" i="1"/>
  <c r="T253" i="1"/>
  <c r="X11" i="1"/>
  <c r="D231" i="1"/>
  <c r="AK231" i="1"/>
  <c r="X188" i="1"/>
  <c r="W188" i="1"/>
  <c r="W98" i="1"/>
  <c r="BX156" i="1"/>
  <c r="BX185" i="1" s="1"/>
  <c r="AK10" i="1"/>
  <c r="BX128" i="1"/>
  <c r="AM253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R11" i="1"/>
  <c r="CA94" i="1"/>
  <c r="R188" i="1"/>
  <c r="JH20" i="4"/>
  <c r="CB79" i="1" s="1"/>
  <c r="IF20" i="4"/>
  <c r="AZ79" i="1" s="1"/>
  <c r="AZ108" i="1" s="1"/>
  <c r="HZ20" i="4"/>
  <c r="AT79" i="1" s="1"/>
  <c r="AT108" i="1" s="1"/>
  <c r="R16" i="1"/>
  <c r="F98" i="1"/>
  <c r="F16" i="1"/>
  <c r="F17" i="1" s="1"/>
  <c r="BY12" i="1"/>
  <c r="CB11" i="1"/>
  <c r="CC188" i="1"/>
  <c r="BX16" i="1"/>
  <c r="AL202" i="1"/>
  <c r="AK202" i="1"/>
  <c r="C16" i="1"/>
  <c r="C188" i="1"/>
  <c r="C11" i="1"/>
  <c r="BK202" i="1"/>
  <c r="Q16" i="1"/>
  <c r="Q17" i="1" s="1"/>
  <c r="Q98" i="1"/>
  <c r="BY202" i="1"/>
  <c r="CM32" i="1"/>
  <c r="AB77" i="1"/>
  <c r="CQ77" i="1"/>
  <c r="AC140" i="1"/>
  <c r="CN65" i="1"/>
  <c r="CO63" i="1"/>
  <c r="IJ20" i="4" l="1"/>
  <c r="BD79" i="1" s="1"/>
  <c r="BD108" i="1" s="1"/>
  <c r="IC20" i="4"/>
  <c r="AW79" i="1" s="1"/>
  <c r="AW108" i="1" s="1"/>
  <c r="BX184" i="1"/>
  <c r="IU19" i="4"/>
  <c r="BO78" i="1" s="1"/>
  <c r="BO107" i="1" s="1"/>
  <c r="IR20" i="4"/>
  <c r="BL79" i="1" s="1"/>
  <c r="BL96" i="1" s="1"/>
  <c r="IJ19" i="4"/>
  <c r="BD78" i="1" s="1"/>
  <c r="BD107" i="1" s="1"/>
  <c r="AM16" i="1"/>
  <c r="AM19" i="1" s="1"/>
  <c r="BX186" i="1"/>
  <c r="CB189" i="1" s="1"/>
  <c r="B27" i="1"/>
  <c r="HX21" i="4"/>
  <c r="AR77" i="1" s="1"/>
  <c r="IR9" i="4"/>
  <c r="HY8" i="4" s="1"/>
  <c r="IE21" i="4"/>
  <c r="AY77" i="1" s="1"/>
  <c r="IN9" i="4" s="1"/>
  <c r="IP16" i="4" s="1"/>
  <c r="IP21" i="4" s="1"/>
  <c r="BJ77" i="1" s="1"/>
  <c r="IA15" i="4"/>
  <c r="IZ21" i="4"/>
  <c r="BT77" i="1" s="1"/>
  <c r="HZ9" i="4" s="1"/>
  <c r="HS21" i="4"/>
  <c r="AM77" i="1" s="1"/>
  <c r="HQ20" i="4"/>
  <c r="AK79" i="1" s="1"/>
  <c r="IL21" i="4"/>
  <c r="BF77" i="1" s="1"/>
  <c r="JE21" i="4"/>
  <c r="BY77" i="1" s="1"/>
  <c r="IS20" i="4"/>
  <c r="BM79" i="1" s="1"/>
  <c r="BM108" i="1" s="1"/>
  <c r="HP20" i="4"/>
  <c r="AJ79" i="1" s="1"/>
  <c r="IL20" i="4"/>
  <c r="BF79" i="1" s="1"/>
  <c r="BF108" i="1" s="1"/>
  <c r="HU19" i="4"/>
  <c r="AO78" i="1" s="1"/>
  <c r="AO107" i="1" s="1"/>
  <c r="JB19" i="4"/>
  <c r="BV78" i="1" s="1"/>
  <c r="BV107" i="1" s="1"/>
  <c r="IY20" i="4"/>
  <c r="BS79" i="1" s="1"/>
  <c r="BS108" i="1" s="1"/>
  <c r="IV20" i="4"/>
  <c r="BP79" i="1" s="1"/>
  <c r="BP108" i="1" s="1"/>
  <c r="AM27" i="1"/>
  <c r="IB20" i="4"/>
  <c r="AV79" i="1" s="1"/>
  <c r="AV108" i="1" s="1"/>
  <c r="JA20" i="4"/>
  <c r="BU79" i="1" s="1"/>
  <c r="BU108" i="1" s="1"/>
  <c r="D27" i="1"/>
  <c r="HV19" i="4"/>
  <c r="AP78" i="1" s="1"/>
  <c r="AP107" i="1" s="1"/>
  <c r="JF20" i="4"/>
  <c r="BZ79" i="1" s="1"/>
  <c r="H16" i="1"/>
  <c r="H17" i="1" s="1"/>
  <c r="BJ184" i="1"/>
  <c r="J16" i="1"/>
  <c r="J17" i="1" s="1"/>
  <c r="J98" i="1"/>
  <c r="IW20" i="4"/>
  <c r="BQ79" i="1" s="1"/>
  <c r="BQ108" i="1" s="1"/>
  <c r="P188" i="1"/>
  <c r="CA102" i="1"/>
  <c r="O16" i="1"/>
  <c r="O17" i="1" s="1"/>
  <c r="O98" i="1"/>
  <c r="CC102" i="1"/>
  <c r="CC94" i="1"/>
  <c r="IG19" i="4"/>
  <c r="BA78" i="1" s="1"/>
  <c r="BA107" i="1" s="1"/>
  <c r="JG19" i="4"/>
  <c r="CA78" i="1" s="1"/>
  <c r="H98" i="1"/>
  <c r="M98" i="1"/>
  <c r="H11" i="1"/>
  <c r="E188" i="1"/>
  <c r="E98" i="1"/>
  <c r="E11" i="1"/>
  <c r="F188" i="1"/>
  <c r="F11" i="1"/>
  <c r="E16" i="1"/>
  <c r="G98" i="1"/>
  <c r="G16" i="1"/>
  <c r="G188" i="1"/>
  <c r="G11" i="1"/>
  <c r="H188" i="1"/>
  <c r="K11" i="1"/>
  <c r="K98" i="1"/>
  <c r="K16" i="1"/>
  <c r="AM12" i="1"/>
  <c r="D188" i="1"/>
  <c r="D11" i="1"/>
  <c r="D16" i="1"/>
  <c r="JE20" i="4"/>
  <c r="BY79" i="1" s="1"/>
  <c r="BY108" i="1" s="1"/>
  <c r="IG20" i="4"/>
  <c r="BA79" i="1" s="1"/>
  <c r="BA108" i="1" s="1"/>
  <c r="IK20" i="4"/>
  <c r="BE79" i="1" s="1"/>
  <c r="BE108" i="1" s="1"/>
  <c r="IF19" i="4"/>
  <c r="AZ78" i="1" s="1"/>
  <c r="AZ107" i="1" s="1"/>
  <c r="JC20" i="4"/>
  <c r="BW79" i="1" s="1"/>
  <c r="BW108" i="1" s="1"/>
  <c r="IC19" i="4"/>
  <c r="AW78" i="1" s="1"/>
  <c r="AW107" i="1" s="1"/>
  <c r="IE19" i="4"/>
  <c r="AY78" i="1" s="1"/>
  <c r="AY107" i="1" s="1"/>
  <c r="JD20" i="4"/>
  <c r="BX79" i="1" s="1"/>
  <c r="II19" i="4"/>
  <c r="BC78" i="1" s="1"/>
  <c r="BC107" i="1" s="1"/>
  <c r="IX19" i="4"/>
  <c r="BR78" i="1" s="1"/>
  <c r="BR107" i="1" s="1"/>
  <c r="I16" i="1"/>
  <c r="I98" i="1"/>
  <c r="J11" i="1"/>
  <c r="J188" i="1"/>
  <c r="I188" i="1"/>
  <c r="I11" i="1"/>
  <c r="BY134" i="1"/>
  <c r="BY33" i="1"/>
  <c r="BX138" i="1"/>
  <c r="S11" i="1"/>
  <c r="S188" i="1"/>
  <c r="IP19" i="4"/>
  <c r="BJ78" i="1" s="1"/>
  <c r="BJ107" i="1" s="1"/>
  <c r="AL27" i="1"/>
  <c r="IS19" i="4"/>
  <c r="BM78" i="1" s="1"/>
  <c r="BM107" i="1" s="1"/>
  <c r="IU20" i="4"/>
  <c r="BO79" i="1" s="1"/>
  <c r="BO108" i="1" s="1"/>
  <c r="IB19" i="4"/>
  <c r="AV78" i="1" s="1"/>
  <c r="AV107" i="1" s="1"/>
  <c r="HX20" i="4"/>
  <c r="AR79" i="1" s="1"/>
  <c r="AR108" i="1" s="1"/>
  <c r="AL184" i="1"/>
  <c r="S98" i="1"/>
  <c r="S16" i="1"/>
  <c r="U11" i="1"/>
  <c r="T188" i="1"/>
  <c r="IM20" i="4"/>
  <c r="BG79" i="1" s="1"/>
  <c r="BG108" i="1" s="1"/>
  <c r="HT19" i="4"/>
  <c r="AN78" i="1" s="1"/>
  <c r="AN107" i="1" s="1"/>
  <c r="HR19" i="4"/>
  <c r="AL78" i="1" s="1"/>
  <c r="AL107" i="1" s="1"/>
  <c r="Q188" i="1"/>
  <c r="Q11" i="1"/>
  <c r="P98" i="1"/>
  <c r="P16" i="1"/>
  <c r="P11" i="1"/>
  <c r="BY92" i="1"/>
  <c r="BZ207" i="1"/>
  <c r="N98" i="1"/>
  <c r="N16" i="1"/>
  <c r="IW19" i="4"/>
  <c r="BQ78" i="1" s="1"/>
  <c r="BQ107" i="1" s="1"/>
  <c r="AK27" i="1"/>
  <c r="BZ206" i="1"/>
  <c r="BZ205" i="1" s="1"/>
  <c r="BY129" i="1"/>
  <c r="BZ249" i="1"/>
  <c r="BZ251" i="1" s="1"/>
  <c r="U17" i="1"/>
  <c r="V18" i="1"/>
  <c r="T16" i="1"/>
  <c r="T11" i="1"/>
  <c r="V17" i="1"/>
  <c r="W18" i="1"/>
  <c r="X18" i="1"/>
  <c r="W17" i="1"/>
  <c r="W28" i="1"/>
  <c r="AJ27" i="1"/>
  <c r="AJ28" i="1"/>
  <c r="N11" i="1"/>
  <c r="O11" i="1"/>
  <c r="N188" i="1"/>
  <c r="O188" i="1"/>
  <c r="B17" i="1"/>
  <c r="B28" i="1"/>
  <c r="AL17" i="1"/>
  <c r="AL28" i="1"/>
  <c r="AK12" i="1"/>
  <c r="AK16" i="1"/>
  <c r="AM225" i="1"/>
  <c r="AL12" i="1"/>
  <c r="BX168" i="1"/>
  <c r="BY206" i="1"/>
  <c r="BY249" i="1"/>
  <c r="BY207" i="1"/>
  <c r="BX95" i="1"/>
  <c r="BX129" i="1"/>
  <c r="M188" i="1"/>
  <c r="L188" i="1"/>
  <c r="V28" i="1"/>
  <c r="BX248" i="1"/>
  <c r="L11" i="1"/>
  <c r="U188" i="1"/>
  <c r="L98" i="1"/>
  <c r="M11" i="1"/>
  <c r="T98" i="1"/>
  <c r="AJ12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181" i="1"/>
  <c r="BK249" i="1"/>
  <c r="BX157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L17" i="1"/>
  <c r="M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B96" i="1"/>
  <c r="CB108" i="1"/>
  <c r="CB111" i="1" s="1"/>
  <c r="CB114" i="1" s="1"/>
  <c r="R17" i="1"/>
  <c r="CB104" i="1"/>
  <c r="CB87" i="1"/>
  <c r="BY107" i="1"/>
  <c r="BY89" i="1"/>
  <c r="BX17" i="1"/>
  <c r="CB18" i="1"/>
  <c r="BY19" i="1"/>
  <c r="BX28" i="1"/>
  <c r="R18" i="1"/>
  <c r="C18" i="1"/>
  <c r="C28" i="1"/>
  <c r="C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M28" i="1" l="1"/>
  <c r="AM17" i="1"/>
  <c r="BL108" i="1"/>
  <c r="BL111" i="1" s="1"/>
  <c r="AJ165" i="1"/>
  <c r="HY20" i="4"/>
  <c r="AS79" i="1" s="1"/>
  <c r="AS108" i="1" s="1"/>
  <c r="IU9" i="4"/>
  <c r="JI14" i="4" s="1"/>
  <c r="IA20" i="4"/>
  <c r="AU79" i="1" s="1"/>
  <c r="AU108" i="1" s="1"/>
  <c r="IZ8" i="4"/>
  <c r="HZ21" i="4"/>
  <c r="AT77" i="1" s="1"/>
  <c r="HQ16" i="4" s="1"/>
  <c r="IF16" i="4"/>
  <c r="IF21" i="4" s="1"/>
  <c r="AZ77" i="1" s="1"/>
  <c r="IK9" i="4" s="1"/>
  <c r="IK21" i="4" s="1"/>
  <c r="BE77" i="1" s="1"/>
  <c r="HS14" i="4" s="1"/>
  <c r="AM102" i="1"/>
  <c r="IU16" i="4"/>
  <c r="IU21" i="4" s="1"/>
  <c r="BO77" i="1" s="1"/>
  <c r="IN16" i="4" s="1"/>
  <c r="IN21" i="4" s="1"/>
  <c r="BH77" i="1" s="1"/>
  <c r="HZ7" i="4" s="1"/>
  <c r="K18" i="1"/>
  <c r="CA103" i="1"/>
  <c r="CA107" i="1"/>
  <c r="D17" i="1"/>
  <c r="D28" i="1"/>
  <c r="D18" i="1"/>
  <c r="K17" i="1"/>
  <c r="L18" i="1"/>
  <c r="G17" i="1"/>
  <c r="E28" i="1"/>
  <c r="E29" i="1" s="1"/>
  <c r="F18" i="1"/>
  <c r="BZ108" i="1"/>
  <c r="BZ111" i="1" s="1"/>
  <c r="BZ96" i="1"/>
  <c r="CA95" i="1"/>
  <c r="E18" i="1"/>
  <c r="H18" i="1"/>
  <c r="G18" i="1"/>
  <c r="E17" i="1"/>
  <c r="BZ33" i="1"/>
  <c r="BY138" i="1"/>
  <c r="BZ203" i="1" s="1"/>
  <c r="BZ201" i="1" s="1"/>
  <c r="BX165" i="1"/>
  <c r="BX108" i="1"/>
  <c r="BX96" i="1"/>
  <c r="I17" i="1"/>
  <c r="I18" i="1"/>
  <c r="J18" i="1"/>
  <c r="BX246" i="1"/>
  <c r="S17" i="1"/>
  <c r="S18" i="1"/>
  <c r="P18" i="1"/>
  <c r="Q18" i="1"/>
  <c r="P17" i="1"/>
  <c r="BY94" i="1"/>
  <c r="BY95" i="1"/>
  <c r="BY96" i="1"/>
  <c r="N17" i="1"/>
  <c r="N18" i="1"/>
  <c r="O18" i="1"/>
  <c r="T18" i="1"/>
  <c r="U18" i="1"/>
  <c r="T17" i="1"/>
  <c r="AJ29" i="1"/>
  <c r="AJ34" i="1"/>
  <c r="AJ38" i="1" s="1"/>
  <c r="AJ232" i="1"/>
  <c r="AJ233" i="1" s="1"/>
  <c r="AL19" i="1"/>
  <c r="AK28" i="1"/>
  <c r="AK17" i="1"/>
  <c r="AK19" i="1"/>
  <c r="BX109" i="1"/>
  <c r="BY37" i="1"/>
  <c r="BY205" i="1"/>
  <c r="W232" i="1"/>
  <c r="W233" i="1" s="1"/>
  <c r="X30" i="1"/>
  <c r="X250" i="1"/>
  <c r="W34" i="1"/>
  <c r="W38" i="1" s="1"/>
  <c r="W29" i="1"/>
  <c r="W112" i="1"/>
  <c r="W250" i="1"/>
  <c r="B29" i="1"/>
  <c r="B112" i="1"/>
  <c r="AL232" i="1"/>
  <c r="AL233" i="1" s="1"/>
  <c r="AL34" i="1"/>
  <c r="AL38" i="1" s="1"/>
  <c r="AL29" i="1"/>
  <c r="V34" i="1"/>
  <c r="V38" i="1" s="1"/>
  <c r="V112" i="1"/>
  <c r="V232" i="1"/>
  <c r="V233" i="1" s="1"/>
  <c r="V29" i="1"/>
  <c r="W30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BX110" i="1"/>
  <c r="C250" i="1"/>
  <c r="C29" i="1"/>
  <c r="C30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V41" i="1" l="1"/>
  <c r="V40" i="1"/>
  <c r="BY203" i="1"/>
  <c r="BY201" i="1" s="1"/>
  <c r="AM29" i="1"/>
  <c r="AM34" i="1"/>
  <c r="AM38" i="1" s="1"/>
  <c r="AM40" i="1" s="1"/>
  <c r="AM250" i="1"/>
  <c r="AM232" i="1"/>
  <c r="AM233" i="1" s="1"/>
  <c r="AM31" i="1"/>
  <c r="AJ166" i="1"/>
  <c r="BX166" i="1"/>
  <c r="AM251" i="1"/>
  <c r="BX111" i="1"/>
  <c r="AM41" i="1"/>
  <c r="AM42" i="1" s="1"/>
  <c r="AM245" i="1" s="1"/>
  <c r="AL41" i="1"/>
  <c r="AL40" i="1"/>
  <c r="JI19" i="4"/>
  <c r="CC78" i="1" s="1"/>
  <c r="ID9" i="4"/>
  <c r="IZ20" i="4"/>
  <c r="BT79" i="1" s="1"/>
  <c r="BT108" i="1" s="1"/>
  <c r="IN15" i="4"/>
  <c r="IN20" i="4" s="1"/>
  <c r="BH79" i="1" s="1"/>
  <c r="BH108" i="1" s="1"/>
  <c r="HQ21" i="4"/>
  <c r="AK77" i="1" s="1"/>
  <c r="HU8" i="4"/>
  <c r="HS19" i="4"/>
  <c r="AM78" i="1" s="1"/>
  <c r="IS9" i="4"/>
  <c r="HZ19" i="4"/>
  <c r="AT78" i="1" s="1"/>
  <c r="AT107" i="1" s="1"/>
  <c r="HS8" i="4"/>
  <c r="IO15" i="4" s="1"/>
  <c r="D29" i="1"/>
  <c r="D232" i="1"/>
  <c r="D233" i="1" s="1"/>
  <c r="D250" i="1"/>
  <c r="E30" i="1"/>
  <c r="D34" i="1"/>
  <c r="D38" i="1" s="1"/>
  <c r="D112" i="1"/>
  <c r="D30" i="1"/>
  <c r="W41" i="1"/>
  <c r="W40" i="1"/>
  <c r="AJ40" i="1"/>
  <c r="AJ41" i="1"/>
  <c r="AK232" i="1"/>
  <c r="AK233" i="1" s="1"/>
  <c r="AL31" i="1"/>
  <c r="AK34" i="1"/>
  <c r="AK38" i="1" s="1"/>
  <c r="AM112" i="1"/>
  <c r="AL250" i="1"/>
  <c r="AL251" i="1" s="1"/>
  <c r="AM226" i="1"/>
  <c r="AK29" i="1"/>
  <c r="AK31" i="1"/>
  <c r="AL110" i="1"/>
  <c r="AL203" i="1"/>
  <c r="AL201" i="1" s="1"/>
  <c r="AK203" i="1"/>
  <c r="AK201" i="1" s="1"/>
  <c r="AJ42" i="1"/>
  <c r="AJ48" i="1"/>
  <c r="AJ234" i="1"/>
  <c r="BX38" i="1"/>
  <c r="CA55" i="1"/>
  <c r="W48" i="1"/>
  <c r="W52" i="1" s="1"/>
  <c r="W234" i="1"/>
  <c r="W42" i="1"/>
  <c r="W245" i="1" s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41" i="1" l="1"/>
  <c r="AK40" i="1"/>
  <c r="D41" i="1"/>
  <c r="V42" i="1"/>
  <c r="V245" i="1" s="1"/>
  <c r="V48" i="1"/>
  <c r="AL234" i="1"/>
  <c r="AM44" i="1"/>
  <c r="AL48" i="1"/>
  <c r="AL42" i="1"/>
  <c r="AL245" i="1" s="1"/>
  <c r="W43" i="1"/>
  <c r="D40" i="1"/>
  <c r="CC86" i="1"/>
  <c r="CC103" i="1"/>
  <c r="CC107" i="1"/>
  <c r="CC95" i="1"/>
  <c r="HU20" i="4"/>
  <c r="AO79" i="1" s="1"/>
  <c r="AO108" i="1" s="1"/>
  <c r="HP16" i="4"/>
  <c r="HP21" i="4" s="1"/>
  <c r="AJ77" i="1" s="1"/>
  <c r="AM107" i="1"/>
  <c r="AM103" i="1"/>
  <c r="IO20" i="4"/>
  <c r="BI79" i="1" s="1"/>
  <c r="BI108" i="1" s="1"/>
  <c r="JC7" i="4"/>
  <c r="AJ193" i="1"/>
  <c r="AJ195" i="1" s="1"/>
  <c r="AJ199" i="1" s="1"/>
  <c r="AJ213" i="1" s="1"/>
  <c r="AJ207" i="1"/>
  <c r="AJ205" i="1" s="1"/>
  <c r="AJ52" i="1"/>
  <c r="AJ66" i="1"/>
  <c r="AK48" i="1"/>
  <c r="AK119" i="1" s="1"/>
  <c r="AK120" i="1" s="1"/>
  <c r="AK129" i="1" s="1"/>
  <c r="AK42" i="1"/>
  <c r="AK44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L44" i="1"/>
  <c r="AL193" i="1"/>
  <c r="AL195" i="1" s="1"/>
  <c r="AL66" i="1"/>
  <c r="AL52" i="1"/>
  <c r="CF90" i="1"/>
  <c r="CE90" i="1"/>
  <c r="JC19" i="4"/>
  <c r="BW78" i="1" s="1"/>
  <c r="BW107" i="1" s="1"/>
  <c r="IH14" i="4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H19" i="4" l="1"/>
  <c r="BB78" i="1" s="1"/>
  <c r="BB107" i="1" s="1"/>
  <c r="HW9" i="4"/>
  <c r="HW21" i="4" s="1"/>
  <c r="AQ77" i="1" s="1"/>
  <c r="ID15" i="4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D20" i="4" l="1"/>
  <c r="AX79" i="1" s="1"/>
  <c r="AX108" i="1" s="1"/>
  <c r="IR16" i="4"/>
  <c r="IR21" i="4" s="1"/>
  <c r="BL77" i="1" s="1"/>
  <c r="BL94" i="1" s="1"/>
  <c r="IX8" i="4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X20" i="4" l="1"/>
  <c r="BR79" i="1" s="1"/>
  <c r="BR108" i="1" s="1"/>
  <c r="IV7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V19" i="4" l="1"/>
  <c r="BP78" i="1" s="1"/>
  <c r="BP107" i="1" s="1"/>
  <c r="HY9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HX14" i="4" l="1"/>
  <c r="HY21" i="4"/>
  <c r="AS77" i="1" s="1"/>
  <c r="IZ7" i="4" s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G97" i="2"/>
  <c r="C98" i="2"/>
  <c r="O58" i="2"/>
  <c r="L69" i="2"/>
  <c r="I56" i="2"/>
  <c r="M89" i="2"/>
  <c r="G110" i="2"/>
  <c r="C60" i="2"/>
  <c r="S76" i="2"/>
  <c r="M112" i="2"/>
  <c r="N43" i="2"/>
  <c r="R70" i="2"/>
  <c r="N83" i="2"/>
  <c r="U89" i="2"/>
  <c r="M58" i="2"/>
  <c r="J85" i="2"/>
  <c r="W53" i="2"/>
  <c r="L66" i="2"/>
  <c r="M109" i="2"/>
  <c r="D58" i="2"/>
  <c r="S47" i="2"/>
  <c r="O97" i="2"/>
  <c r="P58" i="2"/>
  <c r="H106" i="2"/>
  <c r="K85" i="2"/>
  <c r="J96" i="2"/>
  <c r="T52" i="2"/>
  <c r="D106" i="2"/>
  <c r="N54" i="2"/>
  <c r="S111" i="2"/>
  <c r="X74" i="2"/>
  <c r="Q44" i="2"/>
  <c r="J95" i="2"/>
  <c r="C79" i="2"/>
  <c r="H93" i="2"/>
  <c r="G60" i="2"/>
  <c r="M111" i="2"/>
  <c r="V83" i="2"/>
  <c r="E96" i="2"/>
  <c r="F93" i="2"/>
  <c r="AB61" i="3"/>
  <c r="AP93" i="3"/>
  <c r="AP88" i="3"/>
  <c r="AB94" i="3"/>
  <c r="AP92" i="3"/>
  <c r="AP85" i="3"/>
  <c r="AP89" i="3"/>
  <c r="AB95" i="3"/>
  <c r="I22" i="3"/>
  <c r="N24" i="3"/>
  <c r="C23" i="3"/>
  <c r="T17" i="3"/>
  <c r="W28" i="3"/>
  <c r="S16" i="3"/>
  <c r="U30" i="3"/>
  <c r="AH33" i="3"/>
  <c r="M34" i="3"/>
  <c r="O28" i="3"/>
  <c r="I19" i="3"/>
  <c r="U15" i="3"/>
  <c r="AQ38" i="3"/>
  <c r="AH17" i="3"/>
  <c r="M11" i="3"/>
  <c r="T33" i="3"/>
  <c r="K36" i="3"/>
  <c r="AM11" i="3"/>
  <c r="W29" i="3"/>
  <c r="H11" i="3"/>
  <c r="AE39" i="3"/>
  <c r="AH24" i="3"/>
  <c r="U31" i="3"/>
  <c r="T35" i="3"/>
  <c r="AE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W16" i="3"/>
  <c r="C9" i="3"/>
  <c r="H37" i="3"/>
  <c r="I42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C84" i="2"/>
  <c r="R57" i="2"/>
  <c r="N82" i="2"/>
  <c r="U45" i="2"/>
  <c r="W49" i="2"/>
  <c r="T79" i="2"/>
  <c r="C57" i="2"/>
  <c r="N52" i="2"/>
  <c r="J84" i="2"/>
  <c r="J73" i="2"/>
  <c r="Q112" i="2"/>
  <c r="Q75" i="2"/>
  <c r="O80" i="2"/>
  <c r="V47" i="2"/>
  <c r="U112" i="2"/>
  <c r="P53" i="2"/>
  <c r="U46" i="2"/>
  <c r="C77" i="2"/>
  <c r="E74" i="2"/>
  <c r="P86" i="2"/>
  <c r="O79" i="2"/>
  <c r="C97" i="2"/>
  <c r="V53" i="2"/>
  <c r="Q72" i="2"/>
  <c r="C110" i="2"/>
  <c r="R94" i="2"/>
  <c r="O91" i="2"/>
  <c r="V44" i="2"/>
  <c r="K41" i="2"/>
  <c r="I88" i="2"/>
  <c r="S58" i="2"/>
  <c r="G78" i="2"/>
  <c r="U85" i="2"/>
  <c r="K58" i="2"/>
  <c r="N98" i="2"/>
  <c r="Q47" i="2"/>
  <c r="C108" i="2"/>
  <c r="F82" i="2"/>
  <c r="X84" i="2"/>
  <c r="V79" i="2"/>
  <c r="AB81" i="3"/>
  <c r="C48" i="3"/>
  <c r="AP90" i="3"/>
  <c r="AB50" i="3"/>
  <c r="AP81" i="3"/>
  <c r="AP80" i="3"/>
  <c r="AB64" i="3"/>
  <c r="AB74" i="3"/>
  <c r="K13" i="3"/>
  <c r="M35" i="3"/>
  <c r="AQ13" i="3"/>
  <c r="O23" i="3"/>
  <c r="I38" i="3"/>
  <c r="AQ29" i="3"/>
  <c r="Y17" i="3"/>
  <c r="AK37" i="3"/>
  <c r="Z8" i="3"/>
  <c r="AH16" i="3"/>
  <c r="AA25" i="3"/>
  <c r="O38" i="3"/>
  <c r="R35" i="3"/>
  <c r="Y6" i="3"/>
  <c r="G37" i="3"/>
  <c r="S35" i="3"/>
  <c r="Q33" i="3"/>
  <c r="AI21" i="3"/>
  <c r="AQ8" i="3"/>
  <c r="AM8" i="3"/>
  <c r="AM41" i="3"/>
  <c r="Y11" i="3"/>
  <c r="Y18" i="3"/>
  <c r="AJ30" i="3"/>
  <c r="AG27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K19" i="3"/>
  <c r="AG38" i="3"/>
  <c r="L22" i="3"/>
  <c r="AE33" i="3"/>
  <c r="AJ34" i="3"/>
  <c r="AI32" i="3"/>
  <c r="AQ14" i="3"/>
  <c r="AB33" i="3"/>
  <c r="T53" i="2"/>
  <c r="X46" i="2"/>
  <c r="K60" i="2"/>
  <c r="R77" i="2"/>
  <c r="W109" i="2"/>
  <c r="K98" i="2"/>
  <c r="H72" i="2"/>
  <c r="X88" i="2"/>
  <c r="N62" i="2"/>
  <c r="L56" i="2"/>
  <c r="O51" i="2"/>
  <c r="N95" i="2"/>
  <c r="J113" i="2"/>
  <c r="H52" i="2"/>
  <c r="H69" i="2"/>
  <c r="K92" i="2"/>
  <c r="T60" i="2"/>
  <c r="O64" i="2"/>
  <c r="C75" i="2"/>
  <c r="H47" i="2"/>
  <c r="S52" i="2"/>
  <c r="X43" i="2"/>
  <c r="I81" i="2"/>
  <c r="C44" i="2"/>
  <c r="H58" i="2"/>
  <c r="H63" i="2"/>
  <c r="L106" i="2"/>
  <c r="P57" i="2"/>
  <c r="H88" i="2"/>
  <c r="L42" i="2"/>
  <c r="C61" i="2"/>
  <c r="N67" i="2"/>
  <c r="U107" i="2"/>
  <c r="Q51" i="2"/>
  <c r="S66" i="2"/>
  <c r="R50" i="2"/>
  <c r="N57" i="2"/>
  <c r="L105" i="2"/>
  <c r="M59" i="2"/>
  <c r="N77" i="2"/>
  <c r="AB60" i="3"/>
  <c r="AP66" i="3"/>
  <c r="AP83" i="3"/>
  <c r="AP65" i="3"/>
  <c r="AP62" i="3"/>
  <c r="AP76" i="3"/>
  <c r="AP67" i="3"/>
  <c r="H20" i="3"/>
  <c r="AI6" i="3"/>
  <c r="AJ38" i="3"/>
  <c r="U21" i="3"/>
  <c r="AO33" i="3"/>
  <c r="W26" i="3"/>
  <c r="AE10" i="3"/>
  <c r="AC20" i="3"/>
  <c r="AO15" i="3"/>
  <c r="AD35" i="3"/>
  <c r="W33" i="3"/>
  <c r="Z15" i="3"/>
  <c r="G42" i="3"/>
  <c r="L37" i="3"/>
  <c r="Z25" i="3"/>
  <c r="N39" i="3"/>
  <c r="AE25" i="3"/>
  <c r="AD20" i="3"/>
  <c r="AI30" i="3"/>
  <c r="AL37" i="3"/>
  <c r="AO21" i="3"/>
  <c r="AM21" i="3"/>
  <c r="W12" i="3"/>
  <c r="AH22" i="3"/>
  <c r="AG7" i="3"/>
  <c r="M32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J52" i="2"/>
  <c r="P72" i="2"/>
  <c r="P81" i="2"/>
  <c r="T75" i="2"/>
  <c r="T48" i="2"/>
  <c r="N66" i="2"/>
  <c r="R89" i="2"/>
  <c r="L53" i="2"/>
  <c r="R113" i="2"/>
  <c r="L49" i="2"/>
  <c r="E68" i="2"/>
  <c r="G88" i="2"/>
  <c r="K81" i="2"/>
  <c r="W58" i="2"/>
  <c r="I42" i="2"/>
  <c r="T89" i="2"/>
  <c r="N75" i="2"/>
  <c r="L64" i="2"/>
  <c r="N109" i="2"/>
  <c r="J48" i="2"/>
  <c r="O111" i="2"/>
  <c r="X91" i="2"/>
  <c r="T96" i="2"/>
  <c r="T61" i="2"/>
  <c r="T112" i="2"/>
  <c r="R45" i="2"/>
  <c r="E73" i="2"/>
  <c r="P52" i="2"/>
  <c r="J90" i="2"/>
  <c r="S42" i="2"/>
  <c r="U70" i="2"/>
  <c r="C51" i="2"/>
  <c r="L46" i="2"/>
  <c r="F62" i="2"/>
  <c r="S54" i="2"/>
  <c r="C95" i="2"/>
  <c r="W112" i="2"/>
  <c r="X85" i="2"/>
  <c r="G83" i="2"/>
  <c r="U113" i="2"/>
  <c r="AB89" i="3"/>
  <c r="AB78" i="3"/>
  <c r="AB93" i="3"/>
  <c r="AP57" i="3"/>
  <c r="AP82" i="3"/>
  <c r="AB49" i="3"/>
  <c r="AB91" i="3"/>
  <c r="T23" i="3"/>
  <c r="AG39" i="3"/>
  <c r="AI12" i="3"/>
  <c r="P39" i="3"/>
  <c r="AP25" i="3"/>
  <c r="T24" i="3"/>
  <c r="Y40" i="3"/>
  <c r="O21" i="3"/>
  <c r="I28" i="3"/>
  <c r="V24" i="3"/>
  <c r="H38" i="3"/>
  <c r="X27" i="3"/>
  <c r="AA9" i="3"/>
  <c r="AP19" i="3"/>
  <c r="AA12" i="3"/>
  <c r="I16" i="3"/>
  <c r="H13" i="3"/>
  <c r="Q35" i="3"/>
  <c r="I8" i="3"/>
  <c r="I26" i="3"/>
  <c r="V41" i="3"/>
  <c r="AB34" i="3"/>
  <c r="M23" i="3"/>
  <c r="Z35" i="3"/>
  <c r="AN20" i="3"/>
  <c r="V9" i="3"/>
  <c r="AC37" i="3"/>
  <c r="AL9" i="3"/>
  <c r="AE11" i="3"/>
  <c r="P20" i="3"/>
  <c r="V29" i="3"/>
  <c r="N35" i="3"/>
  <c r="I92" i="2"/>
  <c r="G61" i="2"/>
  <c r="V113" i="2"/>
  <c r="G57" i="2"/>
  <c r="D84" i="2"/>
  <c r="C99" i="2"/>
  <c r="U73" i="2"/>
  <c r="M41" i="2"/>
  <c r="O63" i="2"/>
  <c r="N111" i="2"/>
  <c r="H71" i="2"/>
  <c r="F61" i="2"/>
  <c r="E105" i="2"/>
  <c r="V66" i="2"/>
  <c r="P89" i="2"/>
  <c r="M72" i="2"/>
  <c r="O57" i="2"/>
  <c r="D81" i="2"/>
  <c r="D97" i="2"/>
  <c r="Q106" i="2"/>
  <c r="K109" i="2"/>
  <c r="E69" i="2"/>
  <c r="V76" i="2"/>
  <c r="R111" i="2"/>
  <c r="R47" i="2"/>
  <c r="C82" i="2"/>
  <c r="D71" i="2"/>
  <c r="H92" i="2"/>
  <c r="X76" i="2"/>
  <c r="M83" i="2"/>
  <c r="D64" i="2"/>
  <c r="E88" i="2"/>
  <c r="U69" i="2"/>
  <c r="E59" i="2"/>
  <c r="D59" i="2"/>
  <c r="E40" i="2"/>
  <c r="G54" i="2"/>
  <c r="K112" i="2"/>
  <c r="F98" i="2"/>
  <c r="O52" i="2"/>
  <c r="C78" i="2"/>
  <c r="U86" i="2"/>
  <c r="D56" i="2"/>
  <c r="G67" i="2"/>
  <c r="O70" i="2"/>
  <c r="J60" i="2"/>
  <c r="D41" i="2"/>
  <c r="G79" i="2"/>
  <c r="Q73" i="2"/>
  <c r="H97" i="2"/>
  <c r="H76" i="2"/>
  <c r="W96" i="2"/>
  <c r="M108" i="2"/>
  <c r="E43" i="2"/>
  <c r="R58" i="2"/>
  <c r="N76" i="2"/>
  <c r="D79" i="2"/>
  <c r="T68" i="2"/>
  <c r="X69" i="2"/>
  <c r="S93" i="2"/>
  <c r="R84" i="2"/>
  <c r="R93" i="2"/>
  <c r="S72" i="2"/>
  <c r="F91" i="2"/>
  <c r="P61" i="2"/>
  <c r="M81" i="2"/>
  <c r="K96" i="2"/>
  <c r="N86" i="2"/>
  <c r="E44" i="2"/>
  <c r="D82" i="2"/>
  <c r="J86" i="2"/>
  <c r="K69" i="2"/>
  <c r="M74" i="2"/>
  <c r="C83" i="2"/>
  <c r="S59" i="2"/>
  <c r="W76" i="2"/>
  <c r="M63" i="2"/>
  <c r="D40" i="2"/>
  <c r="G85" i="2"/>
  <c r="U110" i="2"/>
  <c r="V97" i="2"/>
  <c r="X80" i="2"/>
  <c r="P74" i="2"/>
  <c r="C66" i="2"/>
  <c r="R99" i="2"/>
  <c r="J98" i="2"/>
  <c r="V45" i="2"/>
  <c r="X54" i="2"/>
  <c r="H59" i="2"/>
  <c r="S64" i="2"/>
  <c r="O108" i="2"/>
  <c r="H55" i="2"/>
  <c r="V95" i="2"/>
  <c r="AB88" i="3"/>
  <c r="AB48" i="3"/>
  <c r="AP59" i="3"/>
  <c r="AB71" i="3"/>
  <c r="AB87" i="3"/>
  <c r="AB86" i="3"/>
  <c r="AP64" i="3"/>
  <c r="AM33" i="3"/>
  <c r="AP12" i="3"/>
  <c r="L32" i="3"/>
  <c r="AK5" i="3"/>
  <c r="AK77" i="3" s="1"/>
  <c r="J16" i="3"/>
  <c r="AL41" i="3"/>
  <c r="Z6" i="3"/>
  <c r="P34" i="3"/>
  <c r="AD24" i="3"/>
  <c r="S36" i="3"/>
  <c r="H28" i="3"/>
  <c r="AB41" i="3"/>
  <c r="E47" i="3"/>
  <c r="AN9" i="3"/>
  <c r="O17" i="3"/>
  <c r="W18" i="3"/>
  <c r="L29" i="3"/>
  <c r="AJ41" i="3"/>
  <c r="V12" i="3"/>
  <c r="AG37" i="3"/>
  <c r="I39" i="3"/>
  <c r="R15" i="3"/>
  <c r="AB22" i="3"/>
  <c r="AA17" i="3"/>
  <c r="AB37" i="3"/>
  <c r="AP40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S73" i="2"/>
  <c r="S46" i="2"/>
  <c r="M44" i="2"/>
  <c r="S105" i="2"/>
  <c r="C43" i="2"/>
  <c r="F86" i="2"/>
  <c r="S48" i="2"/>
  <c r="Q105" i="2"/>
  <c r="D46" i="2"/>
  <c r="L60" i="2"/>
  <c r="C105" i="2"/>
  <c r="D55" i="2"/>
  <c r="J64" i="2"/>
  <c r="R72" i="2"/>
  <c r="G63" i="2"/>
  <c r="R96" i="2"/>
  <c r="D60" i="2"/>
  <c r="M90" i="2"/>
  <c r="Q42" i="2"/>
  <c r="K55" i="2"/>
  <c r="K57" i="2"/>
  <c r="G49" i="2"/>
  <c r="D43" i="2"/>
  <c r="T93" i="2"/>
  <c r="I51" i="2"/>
  <c r="V91" i="2"/>
  <c r="O88" i="2"/>
  <c r="D75" i="2"/>
  <c r="I93" i="2"/>
  <c r="T49" i="2"/>
  <c r="T57" i="2"/>
  <c r="N44" i="2"/>
  <c r="I58" i="2"/>
  <c r="W52" i="2"/>
  <c r="I79" i="2"/>
  <c r="N61" i="2"/>
  <c r="O109" i="2"/>
  <c r="F97" i="2"/>
  <c r="C91" i="2"/>
  <c r="C87" i="2"/>
  <c r="AP56" i="3"/>
  <c r="AB77" i="3"/>
  <c r="AP71" i="3"/>
  <c r="AP91" i="3"/>
  <c r="AB54" i="3"/>
  <c r="AP50" i="3"/>
  <c r="AB76" i="3"/>
  <c r="C21" i="3"/>
  <c r="T8" i="3"/>
  <c r="AC18" i="3"/>
  <c r="N26" i="3"/>
  <c r="AP10" i="3"/>
  <c r="R25" i="3"/>
  <c r="N15" i="3"/>
  <c r="W22" i="3"/>
  <c r="AE31" i="3"/>
  <c r="S12" i="3"/>
  <c r="K38" i="3"/>
  <c r="Q27" i="3"/>
  <c r="I9" i="3"/>
  <c r="Z34" i="3"/>
  <c r="S32" i="3"/>
  <c r="AL30" i="3"/>
  <c r="W40" i="3"/>
  <c r="AJ33" i="3"/>
  <c r="AA30" i="3"/>
  <c r="AI15" i="3"/>
  <c r="S42" i="3"/>
  <c r="Y39" i="3"/>
  <c r="M36" i="3"/>
  <c r="AG15" i="3"/>
  <c r="X15" i="3"/>
  <c r="AM39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U71" i="2"/>
  <c r="W99" i="2"/>
  <c r="D52" i="2"/>
  <c r="L111" i="2"/>
  <c r="V111" i="2"/>
  <c r="F48" i="2"/>
  <c r="D74" i="2"/>
  <c r="Q90" i="2"/>
  <c r="R83" i="2"/>
  <c r="L73" i="2"/>
  <c r="V63" i="2"/>
  <c r="O99" i="2"/>
  <c r="V104" i="2"/>
  <c r="J97" i="2"/>
  <c r="S41" i="2"/>
  <c r="D95" i="2"/>
  <c r="C93" i="2"/>
  <c r="W82" i="2"/>
  <c r="G56" i="2"/>
  <c r="V70" i="2"/>
  <c r="C104" i="2"/>
  <c r="H108" i="2"/>
  <c r="C40" i="2"/>
  <c r="D67" i="2"/>
  <c r="F85" i="2"/>
  <c r="Q50" i="2"/>
  <c r="F77" i="2"/>
  <c r="P110" i="2"/>
  <c r="F59" i="2"/>
  <c r="X78" i="2"/>
  <c r="H45" i="2"/>
  <c r="P56" i="2"/>
  <c r="I40" i="2"/>
  <c r="R97" i="2"/>
  <c r="F81" i="2"/>
  <c r="P45" i="2"/>
  <c r="N92" i="2"/>
  <c r="F67" i="2"/>
  <c r="U51" i="2"/>
  <c r="F88" i="2"/>
  <c r="AB73" i="3"/>
  <c r="AP97" i="3"/>
  <c r="AP78" i="3"/>
  <c r="AP58" i="3"/>
  <c r="AB82" i="3"/>
  <c r="AB67" i="3"/>
  <c r="AP60" i="3"/>
  <c r="R29" i="3"/>
  <c r="O22" i="3"/>
  <c r="O39" i="3"/>
  <c r="G36" i="3"/>
  <c r="Q34" i="3"/>
  <c r="S31" i="3"/>
  <c r="X31" i="3"/>
  <c r="Q36" i="3"/>
  <c r="AC39" i="3"/>
  <c r="AE24" i="3"/>
  <c r="AP41" i="3"/>
  <c r="X7" i="3"/>
  <c r="AO7" i="3"/>
  <c r="L11" i="3"/>
  <c r="J37" i="3"/>
  <c r="X24" i="3"/>
  <c r="L33" i="3"/>
  <c r="AJ24" i="3"/>
  <c r="M15" i="3"/>
  <c r="W34" i="3"/>
  <c r="U41" i="3"/>
  <c r="AK17" i="3"/>
  <c r="AJ16" i="3"/>
  <c r="AI9" i="3"/>
  <c r="AC42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Q99" i="2"/>
  <c r="R66" i="2"/>
  <c r="O87" i="2"/>
  <c r="P99" i="2"/>
  <c r="G53" i="2"/>
  <c r="K72" i="2"/>
  <c r="W89" i="2"/>
  <c r="G68" i="2"/>
  <c r="R80" i="2"/>
  <c r="T47" i="2"/>
  <c r="L98" i="2"/>
  <c r="F54" i="2"/>
  <c r="G59" i="2"/>
  <c r="M107" i="2"/>
  <c r="O55" i="2"/>
  <c r="X52" i="2"/>
  <c r="M70" i="2"/>
  <c r="M75" i="2"/>
  <c r="U93" i="2"/>
  <c r="N49" i="2"/>
  <c r="R43" i="2"/>
  <c r="Q111" i="2"/>
  <c r="G80" i="2"/>
  <c r="Q60" i="2"/>
  <c r="C80" i="2"/>
  <c r="I105" i="2"/>
  <c r="N110" i="2"/>
  <c r="J88" i="2"/>
  <c r="F66" i="2"/>
  <c r="K83" i="2"/>
  <c r="L61" i="2"/>
  <c r="T70" i="2"/>
  <c r="H77" i="2"/>
  <c r="K106" i="2"/>
  <c r="K64" i="2"/>
  <c r="E77" i="2"/>
  <c r="T110" i="2"/>
  <c r="D42" i="2"/>
  <c r="S98" i="2"/>
  <c r="C63" i="2"/>
  <c r="AP96" i="3"/>
  <c r="AB72" i="3"/>
  <c r="C47" i="3"/>
  <c r="AB75" i="3"/>
  <c r="AP95" i="3"/>
  <c r="AP72" i="3"/>
  <c r="AP69" i="3"/>
  <c r="S7" i="3"/>
  <c r="AL33" i="3"/>
  <c r="AH23" i="3"/>
  <c r="AJ31" i="3"/>
  <c r="AH31" i="3"/>
  <c r="AD50" i="3"/>
  <c r="AH21" i="3"/>
  <c r="AB19" i="3"/>
  <c r="I23" i="3"/>
  <c r="AJ25" i="3"/>
  <c r="AI16" i="3"/>
  <c r="C38" i="3"/>
  <c r="P41" i="3"/>
  <c r="N14" i="3"/>
  <c r="AA8" i="3"/>
  <c r="T32" i="3"/>
  <c r="Y13" i="3"/>
  <c r="O5" i="3"/>
  <c r="H86" i="2"/>
  <c r="V92" i="2"/>
  <c r="X82" i="2"/>
  <c r="T107" i="2"/>
  <c r="K70" i="2"/>
  <c r="W55" i="2"/>
  <c r="I99" i="2"/>
  <c r="U109" i="2"/>
  <c r="N74" i="2"/>
  <c r="J40" i="2"/>
  <c r="G104" i="2"/>
  <c r="J87" i="2"/>
  <c r="L104" i="2"/>
  <c r="K68" i="2"/>
  <c r="D77" i="2"/>
  <c r="C52" i="2"/>
  <c r="V82" i="2"/>
  <c r="U106" i="2"/>
  <c r="K65" i="2"/>
  <c r="P93" i="2"/>
  <c r="T91" i="2"/>
  <c r="W110" i="2"/>
  <c r="W45" i="2"/>
  <c r="V59" i="2"/>
  <c r="W86" i="2"/>
  <c r="U43" i="2"/>
  <c r="N71" i="2"/>
  <c r="G42" i="2"/>
  <c r="T74" i="2"/>
  <c r="J45" i="2"/>
  <c r="R59" i="2"/>
  <c r="G55" i="2"/>
  <c r="I44" i="2"/>
  <c r="H109" i="2"/>
  <c r="K63" i="2"/>
  <c r="O61" i="2"/>
  <c r="X68" i="2"/>
  <c r="M42" i="2"/>
  <c r="L78" i="2"/>
  <c r="AP68" i="3"/>
  <c r="AB57" i="3"/>
  <c r="AP48" i="3"/>
  <c r="AP61" i="3"/>
  <c r="AP47" i="3"/>
  <c r="AP54" i="3"/>
  <c r="AP77" i="3"/>
  <c r="AB85" i="3"/>
  <c r="P32" i="3"/>
  <c r="L19" i="3"/>
  <c r="Y22" i="3"/>
  <c r="M17" i="3"/>
  <c r="M10" i="3"/>
  <c r="O29" i="3"/>
  <c r="AG42" i="3"/>
  <c r="AN31" i="3"/>
  <c r="X12" i="3"/>
  <c r="C7" i="3"/>
  <c r="AI41" i="3"/>
  <c r="K40" i="3"/>
  <c r="N19" i="3"/>
  <c r="Q16" i="3"/>
  <c r="V31" i="3"/>
  <c r="X34" i="3"/>
  <c r="AP36" i="3"/>
  <c r="X28" i="3"/>
  <c r="AH15" i="3"/>
  <c r="AN12" i="3"/>
  <c r="X36" i="3"/>
  <c r="R32" i="3"/>
  <c r="AC29" i="3"/>
  <c r="AC27" i="3"/>
  <c r="AN32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W47" i="2"/>
  <c r="F107" i="2"/>
  <c r="V109" i="2"/>
  <c r="H57" i="2"/>
  <c r="D113" i="2"/>
  <c r="L109" i="2"/>
  <c r="AB47" i="3"/>
  <c r="AB70" i="3"/>
  <c r="H41" i="3"/>
  <c r="AL27" i="3"/>
  <c r="AH13" i="3"/>
  <c r="AM22" i="3"/>
  <c r="AP37" i="3"/>
  <c r="AG28" i="3"/>
  <c r="AP34" i="3"/>
  <c r="AD32" i="3"/>
  <c r="C19" i="3"/>
  <c r="AL22" i="3"/>
  <c r="AG10" i="3"/>
  <c r="Z24" i="3"/>
  <c r="L23" i="3"/>
  <c r="AJ5" i="3"/>
  <c r="AJ94" i="3" s="1"/>
  <c r="V27" i="3"/>
  <c r="H32" i="3"/>
  <c r="I35" i="3"/>
  <c r="J21" i="3"/>
  <c r="AO29" i="3"/>
  <c r="AG36" i="3"/>
  <c r="P19" i="3"/>
  <c r="J29" i="3"/>
  <c r="S19" i="3"/>
  <c r="V32" i="3"/>
  <c r="O10" i="3"/>
  <c r="G38" i="3"/>
  <c r="I33" i="3"/>
  <c r="AL6" i="3"/>
  <c r="AH26" i="3"/>
  <c r="T7" i="3"/>
  <c r="X17" i="3"/>
  <c r="AJ35" i="3"/>
  <c r="S5" i="3"/>
  <c r="Q37" i="3"/>
  <c r="S8" i="3"/>
  <c r="AP24" i="3"/>
  <c r="AG12" i="3"/>
  <c r="Q20" i="3"/>
  <c r="N104" i="2"/>
  <c r="C68" i="2"/>
  <c r="R73" i="2"/>
  <c r="M56" i="2"/>
  <c r="R40" i="2"/>
  <c r="F69" i="2"/>
  <c r="AB90" i="3"/>
  <c r="AB66" i="3"/>
  <c r="AJ17" i="3"/>
  <c r="R36" i="3"/>
  <c r="I37" i="3"/>
  <c r="AG17" i="3"/>
  <c r="W19" i="3"/>
  <c r="X10" i="3"/>
  <c r="AC36" i="3"/>
  <c r="G40" i="3"/>
  <c r="O16" i="3"/>
  <c r="Y38" i="3"/>
  <c r="J7" i="3"/>
  <c r="X38" i="3"/>
  <c r="O24" i="3"/>
  <c r="AH35" i="3"/>
  <c r="AK41" i="3"/>
  <c r="W36" i="3"/>
  <c r="W11" i="3"/>
  <c r="I14" i="3"/>
  <c r="AK7" i="3"/>
  <c r="AP18" i="3"/>
  <c r="AA23" i="3"/>
  <c r="AI36" i="3"/>
  <c r="U23" i="3"/>
  <c r="P11" i="3"/>
  <c r="AC26" i="3"/>
  <c r="AB35" i="3"/>
  <c r="AB36" i="3"/>
  <c r="Q15" i="3"/>
  <c r="AM34" i="3"/>
  <c r="AB28" i="3"/>
  <c r="AL18" i="3"/>
  <c r="G33" i="3"/>
  <c r="Q24" i="3"/>
  <c r="AA22" i="3"/>
  <c r="J30" i="3"/>
  <c r="V21" i="3"/>
  <c r="V5" i="3"/>
  <c r="T18" i="3"/>
  <c r="AC38" i="3"/>
  <c r="N23" i="3"/>
  <c r="Z16" i="3"/>
  <c r="AO19" i="3"/>
  <c r="AM38" i="3"/>
  <c r="AJ27" i="3"/>
  <c r="AB16" i="3"/>
  <c r="AN15" i="3"/>
  <c r="AK18" i="3"/>
  <c r="AK16" i="3"/>
  <c r="AO8" i="3"/>
  <c r="AH12" i="3"/>
  <c r="AO22" i="3"/>
  <c r="AA37" i="3"/>
  <c r="N41" i="3"/>
  <c r="K16" i="3"/>
  <c r="N25" i="3"/>
  <c r="Y7" i="3"/>
  <c r="AO38" i="3"/>
  <c r="AJ12" i="3"/>
  <c r="AM23" i="3"/>
  <c r="AO28" i="3"/>
  <c r="P42" i="3"/>
  <c r="AB7" i="3"/>
  <c r="AK33" i="3"/>
  <c r="R27" i="3"/>
  <c r="N6" i="3"/>
  <c r="Y29" i="3"/>
  <c r="L12" i="3"/>
  <c r="AM28" i="3"/>
  <c r="P28" i="3"/>
  <c r="AI7" i="3"/>
  <c r="AE26" i="3"/>
  <c r="T15" i="3"/>
  <c r="H29" i="3"/>
  <c r="AB31" i="3"/>
  <c r="Y41" i="3"/>
  <c r="U20" i="3"/>
  <c r="N22" i="3"/>
  <c r="J19" i="3"/>
  <c r="AP21" i="3"/>
  <c r="K33" i="3"/>
  <c r="AC34" i="3"/>
  <c r="AL19" i="3"/>
  <c r="T5" i="3"/>
  <c r="AJ6" i="3"/>
  <c r="AO26" i="3"/>
  <c r="K20" i="3"/>
  <c r="AA24" i="3"/>
  <c r="C26" i="3"/>
  <c r="X42" i="3"/>
  <c r="Q7" i="3"/>
  <c r="AC5" i="3"/>
  <c r="R33" i="3"/>
  <c r="AO16" i="3"/>
  <c r="Z7" i="3"/>
  <c r="AH28" i="3"/>
  <c r="AP42" i="3"/>
  <c r="AN11" i="3"/>
  <c r="K12" i="3"/>
  <c r="AC32" i="3"/>
  <c r="AC11" i="3"/>
  <c r="N37" i="3"/>
  <c r="G47" i="3"/>
  <c r="Q32" i="3"/>
  <c r="P38" i="3"/>
  <c r="T13" i="3"/>
  <c r="O12" i="3"/>
  <c r="AM6" i="3"/>
  <c r="X18" i="3"/>
  <c r="J10" i="3"/>
  <c r="M40" i="3"/>
  <c r="X6" i="3"/>
  <c r="AC35" i="3"/>
  <c r="AQ28" i="3"/>
  <c r="AJ29" i="3"/>
  <c r="AK25" i="3"/>
  <c r="T6" i="3"/>
  <c r="U40" i="3"/>
  <c r="L35" i="3"/>
  <c r="S22" i="3"/>
  <c r="H8" i="3"/>
  <c r="AD23" i="3"/>
  <c r="AQ7" i="3"/>
  <c r="AH6" i="3"/>
  <c r="H61" i="2"/>
  <c r="O35" i="3"/>
  <c r="H10" i="3"/>
  <c r="M12" i="3"/>
  <c r="Z38" i="3"/>
  <c r="AH39" i="3"/>
  <c r="J22" i="3"/>
  <c r="X47" i="2"/>
  <c r="L80" i="2"/>
  <c r="S110" i="2"/>
  <c r="X86" i="2"/>
  <c r="U108" i="2"/>
  <c r="M47" i="2"/>
  <c r="AP55" i="3"/>
  <c r="AP49" i="3"/>
  <c r="R18" i="3"/>
  <c r="AJ22" i="3"/>
  <c r="AA34" i="3"/>
  <c r="W21" i="3"/>
  <c r="AE34" i="3"/>
  <c r="AB23" i="3"/>
  <c r="J25" i="3"/>
  <c r="L31" i="3"/>
  <c r="AB11" i="3"/>
  <c r="AN7" i="3"/>
  <c r="AL10" i="3"/>
  <c r="O9" i="3"/>
  <c r="L28" i="3"/>
  <c r="AH40" i="3"/>
  <c r="AI28" i="3"/>
  <c r="Z31" i="3"/>
  <c r="AA5" i="3"/>
  <c r="AA49" i="3" s="1"/>
  <c r="D50" i="3"/>
  <c r="W27" i="3"/>
  <c r="C39" i="3"/>
  <c r="H15" i="3"/>
  <c r="AQ35" i="3"/>
  <c r="AJ10" i="3"/>
  <c r="V28" i="3"/>
  <c r="AE16" i="3"/>
  <c r="S25" i="3"/>
  <c r="AE27" i="3"/>
  <c r="AE22" i="3"/>
  <c r="I5" i="3"/>
  <c r="L10" i="3"/>
  <c r="U13" i="3"/>
  <c r="R19" i="3"/>
  <c r="AN13" i="3"/>
  <c r="AD49" i="3"/>
  <c r="AK19" i="3"/>
  <c r="AQ11" i="3"/>
  <c r="AD39" i="3"/>
  <c r="AE12" i="3"/>
  <c r="Y21" i="3"/>
  <c r="AQ15" i="3"/>
  <c r="Q12" i="3"/>
  <c r="I27" i="3"/>
  <c r="AC30" i="3"/>
  <c r="S15" i="3"/>
  <c r="M16" i="3"/>
  <c r="N27" i="3"/>
  <c r="AK15" i="3"/>
  <c r="V15" i="3"/>
  <c r="AH18" i="3"/>
  <c r="AD29" i="3"/>
  <c r="AJ7" i="3"/>
  <c r="V39" i="3"/>
  <c r="K31" i="3"/>
  <c r="AK8" i="3"/>
  <c r="V42" i="3"/>
  <c r="U8" i="3"/>
  <c r="Q17" i="3"/>
  <c r="M41" i="3"/>
  <c r="W39" i="3"/>
  <c r="Q18" i="3"/>
  <c r="H33" i="3"/>
  <c r="AD41" i="3"/>
  <c r="AN41" i="3"/>
  <c r="M18" i="3"/>
  <c r="T31" i="3"/>
  <c r="W79" i="2"/>
  <c r="AE21" i="3"/>
  <c r="N21" i="3"/>
  <c r="C27" i="3"/>
  <c r="U27" i="3"/>
  <c r="Q21" i="3"/>
  <c r="AD42" i="3"/>
  <c r="AE13" i="3"/>
  <c r="M21" i="3"/>
  <c r="Q10" i="3"/>
  <c r="AM36" i="3"/>
  <c r="V36" i="3"/>
  <c r="K8" i="3"/>
  <c r="AB15" i="3"/>
  <c r="AN30" i="3"/>
  <c r="T46" i="2"/>
  <c r="W78" i="2"/>
  <c r="D73" i="2"/>
  <c r="M64" i="2"/>
  <c r="G69" i="2"/>
  <c r="R60" i="2"/>
  <c r="AB79" i="3"/>
  <c r="AP73" i="3"/>
  <c r="AK31" i="3"/>
  <c r="P10" i="3"/>
  <c r="O37" i="3"/>
  <c r="P30" i="3"/>
  <c r="H6" i="3"/>
  <c r="H27" i="3"/>
  <c r="P8" i="3"/>
  <c r="L6" i="3"/>
  <c r="AM5" i="3"/>
  <c r="AM83" i="3" s="1"/>
  <c r="W24" i="3"/>
  <c r="R17" i="3"/>
  <c r="J38" i="3"/>
  <c r="AC33" i="3"/>
  <c r="AQ12" i="3"/>
  <c r="AI19" i="3"/>
  <c r="AK36" i="3"/>
  <c r="T14" i="3"/>
  <c r="X13" i="3"/>
  <c r="K24" i="3"/>
  <c r="R38" i="3"/>
  <c r="AQ42" i="3"/>
  <c r="P40" i="3"/>
  <c r="T21" i="3"/>
  <c r="J32" i="3"/>
  <c r="J23" i="3"/>
  <c r="AD25" i="3"/>
  <c r="AK35" i="3"/>
  <c r="V6" i="3"/>
  <c r="R13" i="3"/>
  <c r="J40" i="3"/>
  <c r="AJ39" i="3"/>
  <c r="U29" i="3"/>
  <c r="K30" i="3"/>
  <c r="Q13" i="3"/>
  <c r="Q42" i="3"/>
  <c r="U7" i="3"/>
  <c r="R22" i="3"/>
  <c r="P26" i="3"/>
  <c r="R8" i="3"/>
  <c r="M19" i="3"/>
  <c r="AJ37" i="3"/>
  <c r="AH30" i="3"/>
  <c r="M60" i="2"/>
  <c r="F64" i="2"/>
  <c r="J49" i="2"/>
  <c r="H90" i="2"/>
  <c r="X109" i="2"/>
  <c r="L83" i="2"/>
  <c r="AP63" i="3"/>
  <c r="C28" i="3"/>
  <c r="AL20" i="3"/>
  <c r="P5" i="3"/>
  <c r="J12" i="3"/>
  <c r="AO20" i="3"/>
  <c r="N5" i="3"/>
  <c r="N77" i="3" s="1"/>
  <c r="P13" i="3"/>
  <c r="J42" i="3"/>
  <c r="M13" i="3"/>
  <c r="O18" i="3"/>
  <c r="AQ32" i="3"/>
  <c r="P6" i="3"/>
  <c r="AQ9" i="3"/>
  <c r="O6" i="3"/>
  <c r="O11" i="3"/>
  <c r="AO31" i="3"/>
  <c r="AJ11" i="3"/>
  <c r="AP33" i="3"/>
  <c r="AA41" i="3"/>
  <c r="AH41" i="3"/>
  <c r="AK13" i="3"/>
  <c r="AA10" i="3"/>
  <c r="U36" i="3"/>
  <c r="Y23" i="3"/>
  <c r="AO17" i="3"/>
  <c r="J13" i="3"/>
  <c r="H16" i="3"/>
  <c r="AE36" i="3"/>
  <c r="Z22" i="3"/>
  <c r="AN10" i="3"/>
  <c r="W38" i="3"/>
  <c r="N7" i="3"/>
  <c r="AD27" i="3"/>
  <c r="Y12" i="3"/>
  <c r="K11" i="3"/>
  <c r="Y10" i="3"/>
  <c r="AN18" i="3"/>
  <c r="C10" i="3"/>
  <c r="D49" i="3"/>
  <c r="AP27" i="3"/>
  <c r="K7" i="3"/>
  <c r="AH9" i="3"/>
  <c r="AB32" i="3"/>
  <c r="C18" i="3"/>
  <c r="AN26" i="3"/>
  <c r="M14" i="3"/>
  <c r="P14" i="3"/>
  <c r="V37" i="3"/>
  <c r="N18" i="3"/>
  <c r="V20" i="3"/>
  <c r="Z29" i="3"/>
  <c r="AD26" i="3"/>
  <c r="AM7" i="3"/>
  <c r="L13" i="3"/>
  <c r="AA29" i="3"/>
  <c r="AG16" i="3"/>
  <c r="AQ34" i="3"/>
  <c r="AG40" i="3"/>
  <c r="AH20" i="3"/>
  <c r="V19" i="3"/>
  <c r="AG35" i="3"/>
  <c r="J11" i="3"/>
  <c r="V35" i="3"/>
  <c r="N33" i="3"/>
  <c r="AB17" i="3"/>
  <c r="X20" i="3"/>
  <c r="Q39" i="3"/>
  <c r="Y9" i="3"/>
  <c r="AD22" i="3"/>
  <c r="AN36" i="3"/>
  <c r="AQ16" i="3"/>
  <c r="AC41" i="3"/>
  <c r="AC24" i="3"/>
  <c r="AO27" i="3"/>
  <c r="P9" i="3"/>
  <c r="U16" i="3"/>
  <c r="O31" i="3"/>
  <c r="W14" i="3"/>
  <c r="W8" i="3"/>
  <c r="AA35" i="3"/>
  <c r="G74" i="2"/>
  <c r="C49" i="3"/>
  <c r="L5" i="3"/>
  <c r="L75" i="3" s="1"/>
  <c r="AC25" i="3"/>
  <c r="Z37" i="3"/>
  <c r="W35" i="3"/>
  <c r="N9" i="3"/>
  <c r="AI25" i="3"/>
  <c r="S6" i="3"/>
  <c r="C29" i="3"/>
  <c r="K39" i="3"/>
  <c r="AG24" i="3"/>
  <c r="AA28" i="3"/>
  <c r="AO36" i="3"/>
  <c r="AO40" i="3"/>
  <c r="D47" i="3"/>
  <c r="X41" i="3"/>
  <c r="J31" i="3"/>
  <c r="S37" i="3"/>
  <c r="F60" i="2"/>
  <c r="S75" i="2"/>
  <c r="H80" i="2"/>
  <c r="R68" i="2"/>
  <c r="G51" i="2"/>
  <c r="E42" i="2"/>
  <c r="AB96" i="3"/>
  <c r="H34" i="3"/>
  <c r="AM32" i="3"/>
  <c r="AD37" i="3"/>
  <c r="H14" i="3"/>
  <c r="AP13" i="3"/>
  <c r="T34" i="3"/>
  <c r="AM14" i="3"/>
  <c r="AH14" i="3"/>
  <c r="V18" i="3"/>
  <c r="H36" i="3"/>
  <c r="W7" i="3"/>
  <c r="R20" i="3"/>
  <c r="L16" i="3"/>
  <c r="N36" i="3"/>
  <c r="L26" i="3"/>
  <c r="AG30" i="3"/>
  <c r="G48" i="3"/>
  <c r="AC23" i="3"/>
  <c r="AE5" i="3"/>
  <c r="L39" i="3"/>
  <c r="AP86" i="3"/>
  <c r="Y8" i="3"/>
  <c r="O14" i="3"/>
  <c r="N12" i="3"/>
  <c r="C36" i="3"/>
  <c r="K37" i="3"/>
  <c r="L41" i="3"/>
  <c r="AO13" i="3"/>
  <c r="G93" i="2"/>
  <c r="V81" i="2"/>
  <c r="P49" i="2"/>
  <c r="R65" i="2"/>
  <c r="S95" i="2"/>
  <c r="AB83" i="3"/>
  <c r="AB63" i="3"/>
  <c r="Z30" i="3"/>
  <c r="X30" i="3"/>
  <c r="H5" i="3"/>
  <c r="I36" i="3"/>
  <c r="P25" i="3"/>
  <c r="L8" i="3"/>
  <c r="Y25" i="3"/>
  <c r="AM12" i="3"/>
  <c r="O8" i="3"/>
  <c r="AK30" i="3"/>
  <c r="AJ15" i="3"/>
  <c r="P18" i="3"/>
  <c r="C34" i="3"/>
  <c r="U37" i="3"/>
  <c r="AI23" i="3"/>
  <c r="P16" i="3"/>
  <c r="AM20" i="3"/>
  <c r="AQ33" i="3"/>
  <c r="W31" i="3"/>
  <c r="AC14" i="3"/>
  <c r="S23" i="3"/>
  <c r="M5" i="3"/>
  <c r="M96" i="3" s="1"/>
  <c r="AH34" i="3"/>
  <c r="Q28" i="3"/>
  <c r="AA14" i="3"/>
  <c r="AN40" i="3"/>
  <c r="U39" i="3"/>
  <c r="P31" i="3"/>
  <c r="AG31" i="3"/>
  <c r="U34" i="3"/>
  <c r="X33" i="3"/>
  <c r="U10" i="3"/>
  <c r="R34" i="3"/>
  <c r="M28" i="3"/>
  <c r="R31" i="3"/>
  <c r="J33" i="3"/>
  <c r="AG41" i="3"/>
  <c r="T39" i="3"/>
  <c r="AI29" i="3"/>
  <c r="O33" i="3"/>
  <c r="AE15" i="3"/>
  <c r="AQ10" i="3"/>
  <c r="S10" i="3"/>
  <c r="AA38" i="3"/>
  <c r="AI26" i="3"/>
  <c r="AH8" i="3"/>
  <c r="AJ9" i="3"/>
  <c r="AO5" i="3"/>
  <c r="AO72" i="3" s="1"/>
  <c r="M24" i="3"/>
  <c r="W30" i="3"/>
  <c r="J26" i="3"/>
  <c r="O47" i="2"/>
  <c r="X35" i="3"/>
  <c r="T28" i="3"/>
  <c r="K21" i="3"/>
  <c r="T12" i="3"/>
  <c r="U17" i="3"/>
  <c r="AD34" i="3"/>
  <c r="V14" i="3"/>
  <c r="AP38" i="3"/>
  <c r="W80" i="2"/>
  <c r="X61" i="2"/>
  <c r="T86" i="2"/>
  <c r="T62" i="2"/>
  <c r="C56" i="2"/>
  <c r="AP84" i="3"/>
  <c r="AP87" i="3"/>
  <c r="AN8" i="3"/>
  <c r="J41" i="3"/>
  <c r="AK12" i="3"/>
  <c r="AI11" i="3"/>
  <c r="AE14" i="3"/>
  <c r="AC22" i="3"/>
  <c r="Z12" i="3"/>
  <c r="AK27" i="3"/>
  <c r="I13" i="3"/>
  <c r="C17" i="3"/>
  <c r="H9" i="3"/>
  <c r="AC19" i="3"/>
  <c r="AO11" i="3"/>
  <c r="AQ23" i="3"/>
  <c r="AG32" i="3"/>
  <c r="I7" i="3"/>
  <c r="M6" i="3"/>
  <c r="AH29" i="3"/>
  <c r="AL34" i="3"/>
  <c r="S41" i="3"/>
  <c r="AI27" i="3"/>
  <c r="M38" i="3"/>
  <c r="AK39" i="3"/>
  <c r="AN5" i="3"/>
  <c r="AN64" i="3" s="1"/>
  <c r="R39" i="3"/>
  <c r="AP39" i="3"/>
  <c r="J9" i="3"/>
  <c r="U35" i="3"/>
  <c r="AK14" i="3"/>
  <c r="J6" i="3"/>
  <c r="AK42" i="3"/>
  <c r="AL28" i="3"/>
  <c r="AO35" i="3"/>
  <c r="AQ25" i="3"/>
  <c r="K14" i="3"/>
  <c r="AK28" i="3"/>
  <c r="AA27" i="3"/>
  <c r="Q64" i="2"/>
  <c r="I111" i="2"/>
  <c r="V108" i="2"/>
  <c r="D94" i="2"/>
  <c r="D107" i="2"/>
  <c r="AP70" i="3"/>
  <c r="AP94" i="3"/>
  <c r="H17" i="3"/>
  <c r="T25" i="3"/>
  <c r="AI24" i="3"/>
  <c r="N40" i="3"/>
  <c r="U11" i="3"/>
  <c r="Y34" i="3"/>
  <c r="K35" i="3"/>
  <c r="AN37" i="3"/>
  <c r="AA40" i="3"/>
  <c r="AH7" i="3"/>
  <c r="AB21" i="3"/>
  <c r="AP28" i="3"/>
  <c r="M33" i="3"/>
  <c r="AP15" i="3"/>
  <c r="T26" i="3"/>
  <c r="AB6" i="3"/>
  <c r="U33" i="3"/>
  <c r="O30" i="3"/>
  <c r="U6" i="3"/>
  <c r="N29" i="3"/>
  <c r="W41" i="3"/>
  <c r="N28" i="3"/>
  <c r="AE28" i="3"/>
  <c r="C6" i="3"/>
  <c r="G49" i="3"/>
  <c r="L9" i="3"/>
  <c r="AJ18" i="3"/>
  <c r="Z13" i="3"/>
  <c r="L15" i="3"/>
  <c r="Z32" i="3"/>
  <c r="AG19" i="3"/>
  <c r="N38" i="3"/>
  <c r="AG5" i="3"/>
  <c r="AI8" i="3"/>
  <c r="C4" i="3"/>
  <c r="L7" i="3"/>
  <c r="AP29" i="3"/>
  <c r="AL24" i="3"/>
  <c r="AL14" i="3"/>
  <c r="AH5" i="3"/>
  <c r="AH57" i="3" s="1"/>
  <c r="V17" i="3"/>
  <c r="AO42" i="3"/>
  <c r="V10" i="3"/>
  <c r="I32" i="3"/>
  <c r="N53" i="2"/>
  <c r="Q80" i="2"/>
  <c r="W64" i="2"/>
  <c r="N46" i="2"/>
  <c r="O62" i="2"/>
  <c r="AP75" i="3"/>
  <c r="AP74" i="3"/>
  <c r="C37" i="3"/>
  <c r="AN22" i="3"/>
  <c r="AE32" i="3"/>
  <c r="U19" i="3"/>
  <c r="X14" i="3"/>
  <c r="AB38" i="3"/>
  <c r="AH36" i="3"/>
  <c r="C41" i="3"/>
  <c r="AN25" i="3"/>
  <c r="Y19" i="3"/>
  <c r="J8" i="3"/>
  <c r="L14" i="3"/>
  <c r="S30" i="3"/>
  <c r="R28" i="3"/>
  <c r="Y30" i="3"/>
  <c r="R42" i="3"/>
  <c r="AL15" i="3"/>
  <c r="V7" i="3"/>
  <c r="AO23" i="3"/>
  <c r="X29" i="3"/>
  <c r="V11" i="3"/>
  <c r="AL38" i="3"/>
  <c r="P17" i="3"/>
  <c r="M37" i="3"/>
  <c r="AQ24" i="3"/>
  <c r="X32" i="3"/>
  <c r="Z20" i="3"/>
  <c r="AC28" i="3"/>
  <c r="I20" i="3"/>
  <c r="AH19" i="3"/>
  <c r="W23" i="3"/>
  <c r="U18" i="3"/>
  <c r="AM31" i="3"/>
  <c r="V26" i="3"/>
  <c r="AH38" i="3"/>
  <c r="X8" i="3"/>
  <c r="K27" i="3"/>
  <c r="Y15" i="3"/>
  <c r="AI40" i="3"/>
  <c r="T38" i="3"/>
  <c r="O40" i="3"/>
  <c r="I31" i="3"/>
  <c r="AJ40" i="3"/>
  <c r="AL35" i="3"/>
  <c r="I17" i="3"/>
  <c r="R12" i="3"/>
  <c r="L21" i="3"/>
  <c r="AG25" i="3"/>
  <c r="AA26" i="3"/>
  <c r="X23" i="3"/>
  <c r="AL11" i="3"/>
  <c r="Q11" i="3"/>
  <c r="AI33" i="3"/>
  <c r="K5" i="3"/>
  <c r="H22" i="3"/>
  <c r="V23" i="3"/>
  <c r="R24" i="3"/>
  <c r="G41" i="3"/>
  <c r="AM25" i="3"/>
  <c r="Z11" i="3"/>
  <c r="AP23" i="3"/>
  <c r="AA36" i="3"/>
  <c r="O41" i="3"/>
  <c r="AP16" i="3"/>
  <c r="J34" i="3"/>
  <c r="L30" i="3"/>
  <c r="AA21" i="3"/>
  <c r="AJ20" i="3"/>
  <c r="P35" i="3"/>
  <c r="H35" i="3"/>
  <c r="AP31" i="3"/>
  <c r="L18" i="3"/>
  <c r="W9" i="3"/>
  <c r="W10" i="3"/>
  <c r="AL8" i="3"/>
  <c r="AD19" i="3"/>
  <c r="P29" i="3"/>
  <c r="R9" i="3"/>
  <c r="I30" i="3"/>
  <c r="AM37" i="3"/>
  <c r="AE23" i="3"/>
  <c r="AL17" i="3"/>
  <c r="W42" i="3"/>
  <c r="Q6" i="3"/>
  <c r="I12" i="3"/>
  <c r="Y14" i="3"/>
  <c r="AI39" i="3"/>
  <c r="AK6" i="3"/>
  <c r="AQ31" i="3"/>
  <c r="AK32" i="3"/>
  <c r="C13" i="3"/>
  <c r="AK38" i="3"/>
  <c r="H31" i="3"/>
  <c r="U42" i="3"/>
  <c r="S28" i="3"/>
  <c r="K26" i="3"/>
  <c r="O60" i="2"/>
  <c r="V16" i="3"/>
  <c r="E49" i="3"/>
  <c r="W37" i="3"/>
  <c r="W15" i="3"/>
  <c r="AI5" i="3"/>
  <c r="I41" i="3"/>
  <c r="AL42" i="3"/>
  <c r="AQ41" i="3"/>
  <c r="AJ13" i="3"/>
  <c r="I6" i="3"/>
  <c r="AH25" i="3"/>
  <c r="AC12" i="3"/>
  <c r="X39" i="3"/>
  <c r="Y27" i="3"/>
  <c r="T36" i="3"/>
  <c r="AP32" i="3"/>
  <c r="AL23" i="3"/>
  <c r="K22" i="3"/>
  <c r="F112" i="2"/>
  <c r="H42" i="2"/>
  <c r="V68" i="2"/>
  <c r="K77" i="2"/>
  <c r="K111" i="2"/>
  <c r="AB80" i="3"/>
  <c r="AB97" i="3"/>
  <c r="Z19" i="3"/>
  <c r="S18" i="3"/>
  <c r="AI14" i="3"/>
  <c r="H75" i="3"/>
  <c r="J91" i="3"/>
  <c r="P59" i="3"/>
  <c r="Q87" i="3"/>
  <c r="H97" i="3"/>
  <c r="J95" i="3"/>
  <c r="O50" i="3"/>
  <c r="Z80" i="3"/>
  <c r="AO97" i="3"/>
  <c r="W86" i="3"/>
  <c r="U48" i="3"/>
  <c r="V92" i="3"/>
  <c r="AG61" i="3"/>
  <c r="V54" i="3"/>
  <c r="X59" i="3"/>
  <c r="AL83" i="3"/>
  <c r="S96" i="3"/>
  <c r="U86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E87" i="3"/>
  <c r="T68" i="3"/>
  <c r="V76" i="3"/>
  <c r="AL48" i="3"/>
  <c r="W79" i="3"/>
  <c r="X72" i="3"/>
  <c r="AC66" i="3"/>
  <c r="R97" i="3"/>
  <c r="W63" i="3"/>
  <c r="I55" i="3"/>
  <c r="V72" i="3"/>
  <c r="K92" i="3"/>
  <c r="K93" i="3"/>
  <c r="K58" i="3"/>
  <c r="AG82" i="3"/>
  <c r="J74" i="3"/>
  <c r="K85" i="3"/>
  <c r="P55" i="3"/>
  <c r="N86" i="3"/>
  <c r="I78" i="3"/>
  <c r="Y91" i="3"/>
  <c r="X56" i="3"/>
  <c r="AI49" i="3"/>
  <c r="AN88" i="3"/>
  <c r="Z65" i="3"/>
  <c r="N54" i="3"/>
  <c r="N89" i="3"/>
  <c r="AM56" i="3"/>
  <c r="L79" i="3"/>
  <c r="AE83" i="3"/>
  <c r="J97" i="3"/>
  <c r="V67" i="3"/>
  <c r="AA63" i="3"/>
  <c r="AH94" i="3"/>
  <c r="R83" i="3"/>
  <c r="O70" i="3"/>
  <c r="AA86" i="3"/>
  <c r="AL79" i="3"/>
  <c r="AG94" i="3"/>
  <c r="U93" i="3"/>
  <c r="AO92" i="3"/>
  <c r="Q90" i="3"/>
  <c r="AO80" i="3"/>
  <c r="L95" i="3"/>
  <c r="P72" i="3"/>
  <c r="Y60" i="3"/>
  <c r="S60" i="3"/>
  <c r="AH58" i="3"/>
  <c r="S83" i="3"/>
  <c r="J84" i="3"/>
  <c r="AM63" i="3"/>
  <c r="H73" i="3"/>
  <c r="J94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N59" i="3"/>
  <c r="AK65" i="3"/>
  <c r="S63" i="3"/>
  <c r="X83" i="3"/>
  <c r="O64" i="3"/>
  <c r="AJ88" i="3"/>
  <c r="Y67" i="3"/>
  <c r="L58" i="3"/>
  <c r="K94" i="3"/>
  <c r="Q89" i="3"/>
  <c r="J59" i="3"/>
  <c r="N70" i="3"/>
  <c r="AM64" i="3"/>
  <c r="H93" i="3"/>
  <c r="J75" i="3"/>
  <c r="M88" i="3"/>
  <c r="X76" i="3"/>
  <c r="R49" i="3"/>
  <c r="AH87" i="3"/>
  <c r="AG91" i="3"/>
  <c r="T73" i="3"/>
  <c r="Y48" i="3"/>
  <c r="J79" i="3"/>
  <c r="M93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E90" i="3"/>
  <c r="Q97" i="3"/>
  <c r="AG95" i="3"/>
  <c r="AE56" i="3"/>
  <c r="AJ48" i="3"/>
  <c r="U9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N84" i="3"/>
  <c r="AL69" i="3"/>
  <c r="Y93" i="3"/>
  <c r="I74" i="3"/>
  <c r="AG55" i="3"/>
  <c r="X61" i="3"/>
  <c r="W61" i="3"/>
  <c r="AH90" i="3"/>
  <c r="W47" i="3"/>
  <c r="K78" i="3"/>
  <c r="AC8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J79" i="3"/>
  <c r="AN58" i="3"/>
  <c r="W80" i="3"/>
  <c r="V71" i="3"/>
  <c r="Z86" i="3"/>
  <c r="Y79" i="3"/>
  <c r="Q61" i="3"/>
  <c r="AO89" i="3"/>
  <c r="AK59" i="3"/>
  <c r="AA74" i="3"/>
  <c r="AN77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AC67" i="3"/>
  <c r="X50" i="3"/>
  <c r="AO95" i="3"/>
  <c r="I84" i="3"/>
  <c r="Z56" i="3"/>
  <c r="L76" i="3"/>
  <c r="N66" i="3"/>
  <c r="M66" i="3"/>
  <c r="U92" i="3"/>
  <c r="AN66" i="3"/>
  <c r="Y92" i="3"/>
  <c r="AL47" i="3"/>
  <c r="AE96" i="3"/>
  <c r="AN82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A80" i="3"/>
  <c r="Q48" i="3"/>
  <c r="U61" i="3"/>
  <c r="N87" i="3"/>
  <c r="AG75" i="3"/>
  <c r="AC94" i="3"/>
  <c r="Y85" i="3"/>
  <c r="AN69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W70" i="3"/>
  <c r="R76" i="3"/>
  <c r="Z61" i="3"/>
  <c r="K56" i="3"/>
  <c r="T70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P68" i="3"/>
  <c r="AN92" i="3"/>
  <c r="M80" i="3"/>
  <c r="N95" i="3"/>
  <c r="AG92" i="3"/>
  <c r="AO7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S88" i="3"/>
  <c r="V63" i="3"/>
  <c r="R91" i="3"/>
  <c r="AC93" i="3"/>
  <c r="I96" i="3"/>
  <c r="P82" i="3"/>
  <c r="AL62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I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T82" i="3"/>
  <c r="I61" i="3"/>
  <c r="H57" i="3"/>
  <c r="AN55" i="3"/>
  <c r="AE71" i="3"/>
  <c r="Q83" i="3"/>
  <c r="N63" i="3"/>
  <c r="H49" i="3"/>
  <c r="AI70" i="3"/>
  <c r="AC56" i="3"/>
  <c r="AG67" i="3"/>
  <c r="Y70" i="3"/>
  <c r="Z81" i="3"/>
  <c r="AM69" i="3"/>
  <c r="AI80" i="3"/>
  <c r="AO64" i="3"/>
  <c r="AA47" i="3"/>
  <c r="AG65" i="3"/>
  <c r="J64" i="3"/>
  <c r="Q79" i="3"/>
  <c r="AH82" i="3"/>
  <c r="AL76" i="3"/>
  <c r="U71" i="3"/>
  <c r="Q78" i="3"/>
  <c r="AM49" i="3"/>
  <c r="I85" i="3"/>
  <c r="AI50" i="3"/>
  <c r="L83" i="3"/>
  <c r="P74" i="3"/>
  <c r="O56" i="3"/>
  <c r="AC81" i="3"/>
  <c r="J58" i="3"/>
  <c r="P65" i="3"/>
  <c r="AO61" i="3"/>
  <c r="U72" i="3"/>
  <c r="P81" i="3"/>
  <c r="AI60" i="3"/>
  <c r="O87" i="3"/>
  <c r="U68" i="3"/>
  <c r="AG76" i="3"/>
  <c r="R61" i="3"/>
  <c r="K97" i="3"/>
  <c r="AK74" i="3"/>
  <c r="M86" i="3"/>
  <c r="AE66" i="3"/>
  <c r="AJ60" i="3"/>
  <c r="W67" i="3"/>
  <c r="T69" i="3"/>
  <c r="AN91" i="3"/>
  <c r="U91" i="3"/>
  <c r="AC63" i="3"/>
  <c r="AE62" i="3"/>
  <c r="AL57" i="3"/>
  <c r="AM65" i="3"/>
  <c r="L49" i="3"/>
  <c r="P49" i="3"/>
  <c r="L57" i="3"/>
  <c r="J93" i="3"/>
  <c r="X66" i="3"/>
  <c r="AO90" i="3"/>
  <c r="Z59" i="3"/>
  <c r="M82" i="3"/>
  <c r="AI91" i="3"/>
  <c r="U55" i="3"/>
  <c r="AJ68" i="3"/>
  <c r="AJ62" i="3"/>
  <c r="X64" i="3"/>
  <c r="AJ90" i="3"/>
  <c r="K95" i="3"/>
  <c r="H56" i="3"/>
  <c r="J63" i="3"/>
  <c r="R57" i="3"/>
  <c r="U70" i="3"/>
  <c r="AJ92" i="3"/>
  <c r="Y95" i="3"/>
  <c r="AG97" i="3"/>
  <c r="W83" i="3"/>
  <c r="L91" i="3"/>
  <c r="J65" i="3"/>
  <c r="AN97" i="3"/>
  <c r="T76" i="3"/>
  <c r="K49" i="3"/>
  <c r="J76" i="3"/>
  <c r="Z85" i="3"/>
  <c r="U78" i="3"/>
  <c r="T50" i="3"/>
  <c r="K48" i="3"/>
  <c r="S89" i="3"/>
  <c r="M78" i="3"/>
  <c r="S68" i="3"/>
  <c r="M79" i="3"/>
  <c r="AJ78" i="3"/>
  <c r="AG89" i="3"/>
  <c r="N49" i="3"/>
  <c r="Q57" i="3"/>
  <c r="X47" i="3"/>
  <c r="U65" i="3"/>
  <c r="R70" i="3"/>
  <c r="X88" i="3"/>
  <c r="Y58" i="3"/>
  <c r="N79" i="3"/>
  <c r="J89" i="3"/>
  <c r="Z90" i="3"/>
  <c r="AN54" i="3"/>
  <c r="W69" i="3"/>
  <c r="AO93" i="3"/>
  <c r="X82" i="3"/>
  <c r="U76" i="3"/>
  <c r="T92" i="3"/>
  <c r="V91" i="3"/>
  <c r="AG54" i="3"/>
  <c r="I94" i="3"/>
  <c r="AK94" i="3"/>
  <c r="AM82" i="3"/>
  <c r="V68" i="3"/>
  <c r="P70" i="3"/>
  <c r="X95" i="3"/>
  <c r="W84" i="3"/>
  <c r="V83" i="3"/>
  <c r="V58" i="3"/>
  <c r="P48" i="3"/>
  <c r="N60" i="3"/>
  <c r="AC89" i="3"/>
  <c r="X75" i="3"/>
  <c r="AA84" i="3"/>
  <c r="V75" i="3"/>
  <c r="Q49" i="3"/>
  <c r="AH97" i="3"/>
  <c r="M81" i="3"/>
  <c r="AC64" i="3"/>
  <c r="I83" i="3"/>
  <c r="Q95" i="3"/>
  <c r="K65" i="3"/>
  <c r="P96" i="3"/>
  <c r="M62" i="3"/>
  <c r="Z77" i="3"/>
  <c r="W60" i="3"/>
  <c r="AL92" i="3"/>
  <c r="Z79" i="3"/>
  <c r="P91" i="3"/>
  <c r="AO70" i="3"/>
  <c r="X60" i="3"/>
  <c r="N57" i="3"/>
  <c r="AM94" i="3"/>
  <c r="H90" i="3"/>
  <c r="W58" i="3"/>
  <c r="K88" i="3"/>
  <c r="T93" i="3"/>
  <c r="AA73" i="3"/>
  <c r="AL64" i="3"/>
  <c r="AA70" i="3"/>
  <c r="M54" i="3"/>
  <c r="R66" i="3"/>
  <c r="I65" i="3"/>
  <c r="AK50" i="3"/>
  <c r="AM95" i="3"/>
  <c r="AE63" i="3"/>
  <c r="AO87" i="3"/>
  <c r="H68" i="3"/>
  <c r="AE75" i="3"/>
  <c r="T63" i="3"/>
  <c r="AC77" i="3"/>
  <c r="I97" i="3"/>
  <c r="AE88" i="3"/>
  <c r="I76" i="3"/>
  <c r="AK81" i="3"/>
  <c r="AM47" i="3"/>
  <c r="AC97" i="3"/>
  <c r="AH72" i="3"/>
  <c r="AE70" i="3"/>
  <c r="K61" i="3"/>
  <c r="H86" i="3"/>
  <c r="AE50" i="3"/>
  <c r="AK83" i="3"/>
  <c r="O59" i="3"/>
  <c r="P93" i="3"/>
  <c r="AC72" i="3"/>
  <c r="W71" i="3"/>
  <c r="K84" i="3"/>
  <c r="AC54" i="3"/>
  <c r="Y81" i="3"/>
  <c r="J55" i="3"/>
  <c r="V74" i="3"/>
  <c r="AC70" i="3"/>
  <c r="AH81" i="3"/>
  <c r="AJ89" i="3"/>
  <c r="M85" i="3"/>
  <c r="AI48" i="3"/>
  <c r="O79" i="3"/>
  <c r="O73" i="3"/>
  <c r="K47" i="3"/>
  <c r="W49" i="3"/>
  <c r="S50" i="3"/>
  <c r="S86" i="3"/>
  <c r="Q65" i="3"/>
  <c r="V84" i="3"/>
  <c r="K69" i="3"/>
  <c r="V62" i="3"/>
  <c r="AE86" i="3"/>
  <c r="R94" i="3"/>
  <c r="Z62" i="3"/>
  <c r="I72" i="3"/>
  <c r="X85" i="3"/>
  <c r="V93" i="3"/>
  <c r="T71" i="3"/>
  <c r="AL74" i="3"/>
  <c r="AN68" i="3"/>
  <c r="S77" i="3"/>
  <c r="T72" i="3"/>
  <c r="W73" i="3"/>
  <c r="X71" i="3"/>
  <c r="Q77" i="3"/>
  <c r="I73" i="3"/>
  <c r="T91" i="3"/>
  <c r="R71" i="3"/>
  <c r="Z83" i="3"/>
  <c r="L55" i="3"/>
  <c r="AI79" i="3"/>
  <c r="P95" i="3"/>
  <c r="AM54" i="3"/>
  <c r="Y97" i="3"/>
  <c r="AE73" i="3"/>
  <c r="Z95" i="3"/>
  <c r="S64" i="3"/>
  <c r="X74" i="3"/>
  <c r="Z71" i="3"/>
  <c r="AH93" i="3"/>
  <c r="P97" i="3"/>
  <c r="J96" i="3"/>
  <c r="AH78" i="3"/>
  <c r="AK73" i="3"/>
  <c r="Z91" i="3"/>
  <c r="AE76" i="3"/>
  <c r="T78" i="3"/>
  <c r="P73" i="3"/>
  <c r="AH59" i="3"/>
  <c r="AL90" i="3"/>
  <c r="N72" i="3"/>
  <c r="M74" i="3"/>
  <c r="AL49" i="3"/>
  <c r="M84" i="3"/>
  <c r="O93" i="3"/>
  <c r="AM77" i="3"/>
  <c r="T89" i="3"/>
  <c r="O78" i="3"/>
  <c r="AH86" i="3"/>
  <c r="Y82" i="3"/>
  <c r="AJ73" i="3"/>
  <c r="AG77" i="3"/>
  <c r="AN47" i="3"/>
  <c r="AO91" i="3"/>
  <c r="AE77" i="3"/>
  <c r="AM70" i="3"/>
  <c r="O96" i="3"/>
  <c r="H82" i="3"/>
  <c r="W55" i="3"/>
  <c r="X67" i="3"/>
  <c r="O75" i="3"/>
  <c r="AL91" i="3"/>
  <c r="N73" i="3"/>
  <c r="O67" i="3"/>
  <c r="AA90" i="3"/>
  <c r="AA72" i="3"/>
  <c r="N92" i="3"/>
  <c r="AG59" i="3"/>
  <c r="V86" i="3"/>
  <c r="X62" i="3"/>
  <c r="R82" i="3"/>
  <c r="AO47" i="3"/>
  <c r="R68" i="3"/>
  <c r="AN73" i="3"/>
  <c r="V82" i="3"/>
  <c r="AI61" i="3"/>
  <c r="AA66" i="3"/>
  <c r="P63" i="3"/>
  <c r="AJ56" i="3"/>
  <c r="N74" i="3"/>
  <c r="U80" i="3"/>
  <c r="P77" i="3"/>
  <c r="AH63" i="3"/>
  <c r="AO94" i="3"/>
  <c r="AC92" i="3"/>
  <c r="V73" i="3"/>
  <c r="AA82" i="3"/>
  <c r="W88" i="3"/>
  <c r="I91" i="3"/>
  <c r="W72" i="3"/>
  <c r="T56" i="3"/>
  <c r="S62" i="3"/>
  <c r="AA67" i="3"/>
  <c r="AC62" i="3"/>
  <c r="R81" i="3"/>
  <c r="AL59" i="3"/>
  <c r="AK75" i="3"/>
  <c r="W95" i="3"/>
  <c r="V94" i="3"/>
  <c r="AC49" i="3"/>
  <c r="AH60" i="3"/>
  <c r="AN80" i="3"/>
  <c r="AE60" i="3"/>
  <c r="U90" i="3"/>
  <c r="AE55" i="3"/>
  <c r="U54" i="3"/>
  <c r="N58" i="3"/>
  <c r="AA61" i="3"/>
  <c r="I89" i="3"/>
  <c r="O80" i="3"/>
  <c r="AK76" i="3"/>
  <c r="AN87" i="3"/>
  <c r="L92" i="3"/>
  <c r="AC78" i="3"/>
  <c r="W57" i="3"/>
  <c r="AO83" i="3"/>
  <c r="AE92" i="3"/>
  <c r="AO67" i="3"/>
  <c r="L97" i="3"/>
  <c r="J88" i="3"/>
  <c r="Z60" i="3"/>
  <c r="N82" i="3"/>
  <c r="AG60" i="3"/>
  <c r="AL78" i="3"/>
  <c r="X84" i="3"/>
  <c r="J61" i="3"/>
  <c r="T94" i="3"/>
  <c r="I82" i="3"/>
  <c r="AH92" i="3"/>
  <c r="J67" i="3"/>
  <c r="AA68" i="3"/>
  <c r="AL80" i="3"/>
  <c r="AL72" i="3"/>
  <c r="AL84" i="3"/>
  <c r="O72" i="3"/>
  <c r="K57" i="3"/>
  <c r="AK88" i="3"/>
  <c r="AO85" i="3"/>
  <c r="AA65" i="3"/>
  <c r="Q82" i="3"/>
  <c r="N59" i="3"/>
  <c r="AL60" i="3"/>
  <c r="X93" i="3"/>
  <c r="T62" i="3"/>
  <c r="L90" i="3"/>
  <c r="AI73" i="3"/>
  <c r="AE81" i="3"/>
  <c r="AE95" i="3"/>
  <c r="J50" i="3"/>
  <c r="AK82" i="3"/>
  <c r="AH67" i="3"/>
  <c r="K74" i="3"/>
  <c r="R75" i="3"/>
  <c r="AC96" i="3"/>
  <c r="R72" i="3"/>
  <c r="Z94" i="3"/>
  <c r="V48" i="3"/>
  <c r="AO75" i="3"/>
  <c r="AJ64" i="3"/>
  <c r="AK72" i="3"/>
  <c r="AA78" i="3"/>
  <c r="J78" i="3"/>
  <c r="J62" i="3"/>
  <c r="V88" i="3"/>
  <c r="Y57" i="3"/>
  <c r="Y50" i="3"/>
  <c r="AI86" i="3"/>
  <c r="W54" i="3"/>
  <c r="AH47" i="3"/>
  <c r="R85" i="3"/>
  <c r="K76" i="3"/>
  <c r="AN56" i="3"/>
  <c r="N55" i="3"/>
  <c r="J86" i="3"/>
  <c r="V57" i="3"/>
  <c r="AM76" i="3"/>
  <c r="K77" i="3"/>
  <c r="AO79" i="3"/>
  <c r="W64" i="3"/>
  <c r="H71" i="3"/>
  <c r="AM66" i="3"/>
  <c r="T86" i="3"/>
  <c r="T64" i="3"/>
  <c r="X77" i="3"/>
  <c r="AM90" i="3"/>
  <c r="U81" i="3"/>
  <c r="K68" i="3"/>
  <c r="R64" i="3"/>
  <c r="T61" i="3"/>
  <c r="I71" i="3"/>
  <c r="W97" i="3"/>
  <c r="O94" i="3"/>
  <c r="AK86" i="3"/>
  <c r="U89" i="3"/>
  <c r="AO57" i="3"/>
  <c r="Y77" i="3"/>
  <c r="N68" i="3"/>
  <c r="N61" i="3"/>
  <c r="AH54" i="3"/>
  <c r="AJ80" i="3"/>
  <c r="AG72" i="3"/>
  <c r="M73" i="3"/>
  <c r="AH88" i="3"/>
  <c r="H94" i="3"/>
  <c r="U82" i="3"/>
  <c r="AO86" i="3"/>
  <c r="L68" i="3"/>
  <c r="O81" i="3"/>
  <c r="AM78" i="3"/>
  <c r="S66" i="3"/>
  <c r="AL87" i="3"/>
  <c r="AM68" i="3"/>
  <c r="AA60" i="3"/>
  <c r="L65" i="3"/>
  <c r="L50" i="3"/>
  <c r="V70" i="3"/>
  <c r="T96" i="3"/>
  <c r="AG84" i="3"/>
  <c r="R90" i="3"/>
  <c r="S82" i="3"/>
  <c r="I62" i="3"/>
  <c r="AL86" i="3"/>
  <c r="I67" i="3"/>
  <c r="N90" i="3"/>
  <c r="K81" i="3"/>
  <c r="V77" i="3"/>
  <c r="L81" i="3"/>
  <c r="AK92" i="3"/>
  <c r="AA94" i="3"/>
  <c r="AJ86" i="3"/>
  <c r="AE54" i="3"/>
  <c r="AG69" i="3"/>
  <c r="R65" i="3"/>
  <c r="AK79" i="3"/>
  <c r="X48" i="3"/>
  <c r="V50" i="3"/>
  <c r="I75" i="3"/>
  <c r="P85" i="3"/>
  <c r="AG80" i="3"/>
  <c r="Q80" i="3"/>
  <c r="P83" i="3"/>
  <c r="T77" i="3"/>
  <c r="AK63" i="3"/>
  <c r="AG79" i="3"/>
  <c r="N75" i="3"/>
  <c r="AI78" i="3"/>
  <c r="H95" i="3"/>
  <c r="P89" i="3"/>
  <c r="AC60" i="3"/>
  <c r="R67" i="3"/>
  <c r="Y71" i="3"/>
  <c r="V59" i="3"/>
  <c r="Q85" i="3"/>
  <c r="M47" i="3"/>
  <c r="AJ97" i="3"/>
  <c r="X70" i="3"/>
  <c r="L47" i="3"/>
  <c r="Q56" i="3"/>
  <c r="J47" i="3"/>
  <c r="AA79" i="3"/>
  <c r="U77" i="3"/>
  <c r="T57" i="3"/>
  <c r="I69" i="3"/>
  <c r="P54" i="3"/>
  <c r="U64" i="3"/>
  <c r="J49" i="3"/>
  <c r="AA96" i="3"/>
  <c r="AA64" i="3"/>
  <c r="AK70" i="3"/>
  <c r="U50" i="3"/>
  <c r="X87" i="3"/>
  <c r="O84" i="3" l="1"/>
  <c r="AI83" i="3"/>
  <c r="O55" i="3"/>
  <c r="AI77" i="3"/>
  <c r="HX19" i="4"/>
  <c r="AR78" i="1" s="1"/>
  <c r="AR107" i="1" s="1"/>
  <c r="HR15" i="4"/>
  <c r="IZ19" i="4"/>
  <c r="BT78" i="1" s="1"/>
  <c r="BT107" i="1" s="1"/>
  <c r="IQ8" i="4"/>
  <c r="AQ87" i="3"/>
  <c r="AQ71" i="3"/>
  <c r="AQ93" i="3"/>
  <c r="AQ66" i="3"/>
  <c r="AQ72" i="3"/>
  <c r="AQ94" i="3"/>
  <c r="AQ78" i="3"/>
  <c r="AQ91" i="3"/>
  <c r="AQ60" i="3"/>
  <c r="AQ58" i="3"/>
  <c r="AQ82" i="3"/>
  <c r="AQ92" i="3"/>
  <c r="AQ95" i="3"/>
  <c r="AQ97" i="3"/>
  <c r="AQ81" i="3"/>
  <c r="AQ48" i="3"/>
  <c r="AQ57" i="3"/>
  <c r="AQ86" i="3"/>
  <c r="AQ96" i="3"/>
  <c r="AQ79" i="3"/>
  <c r="AQ47" i="3"/>
  <c r="AQ67" i="3"/>
  <c r="AQ76" i="3"/>
  <c r="AQ49" i="3"/>
  <c r="BW73" i="1" s="1"/>
  <c r="AQ62" i="3"/>
  <c r="AQ59" i="3"/>
  <c r="AQ89" i="3"/>
  <c r="AQ80" i="3"/>
  <c r="AQ77" i="3"/>
  <c r="AQ90" i="3"/>
  <c r="AQ56" i="3"/>
  <c r="AQ70" i="3"/>
  <c r="AQ65" i="3"/>
  <c r="AQ75" i="3"/>
  <c r="AQ64" i="3"/>
  <c r="AQ50" i="3"/>
  <c r="BW74" i="1" s="1"/>
  <c r="AQ83" i="3"/>
  <c r="AQ68" i="3"/>
  <c r="AQ85" i="3"/>
  <c r="AQ88" i="3"/>
  <c r="AQ73" i="3"/>
  <c r="AQ74" i="3"/>
  <c r="AQ63" i="3"/>
  <c r="AQ69" i="3"/>
  <c r="AQ55" i="3"/>
  <c r="AQ84" i="3"/>
  <c r="AQ54" i="3"/>
  <c r="AQ61" i="3"/>
  <c r="R77" i="3"/>
  <c r="AX140" i="1" s="1"/>
  <c r="AY140" i="1" s="1"/>
  <c r="R96" i="3"/>
  <c r="AX163" i="1" s="1"/>
  <c r="AY163" i="1" s="1"/>
  <c r="S49" i="3"/>
  <c r="AY73" i="1" s="1"/>
  <c r="S61" i="3"/>
  <c r="AE72" i="3"/>
  <c r="AE97" i="3"/>
  <c r="K59" i="3"/>
  <c r="K82" i="3"/>
  <c r="BO23" i="1"/>
  <c r="AY25" i="1"/>
  <c r="BH159" i="1"/>
  <c r="J145" i="1"/>
  <c r="J180" i="1" s="1"/>
  <c r="U136" i="1"/>
  <c r="G118" i="1"/>
  <c r="E73" i="1"/>
  <c r="BR35" i="1"/>
  <c r="BI14" i="1"/>
  <c r="BN36" i="1"/>
  <c r="AO8" i="1"/>
  <c r="AO231" i="1" s="1"/>
  <c r="BR51" i="1"/>
  <c r="BC24" i="1"/>
  <c r="AK73" i="1"/>
  <c r="BB20" i="1"/>
  <c r="AQ47" i="1"/>
  <c r="AY32" i="1"/>
  <c r="AY194" i="1" s="1"/>
  <c r="BA51" i="1"/>
  <c r="BQ8" i="1"/>
  <c r="BE23" i="1"/>
  <c r="AO14" i="1"/>
  <c r="AW8" i="1"/>
  <c r="BC51" i="1"/>
  <c r="BR21" i="1"/>
  <c r="BK35" i="1"/>
  <c r="AV39" i="1"/>
  <c r="BC13" i="1"/>
  <c r="AR25" i="1"/>
  <c r="AN46" i="1"/>
  <c r="AV46" i="1"/>
  <c r="BP9" i="1"/>
  <c r="BG22" i="1"/>
  <c r="AP45" i="1"/>
  <c r="BV20" i="1"/>
  <c r="BV35" i="1"/>
  <c r="BF15" i="1"/>
  <c r="BS36" i="1"/>
  <c r="BB35" i="1"/>
  <c r="AW15" i="1"/>
  <c r="BR15" i="1"/>
  <c r="BD35" i="1"/>
  <c r="BG47" i="1"/>
  <c r="BM36" i="1"/>
  <c r="AR22" i="1"/>
  <c r="AX14" i="1"/>
  <c r="AO21" i="1"/>
  <c r="BR46" i="1"/>
  <c r="BE24" i="1"/>
  <c r="BB47" i="1"/>
  <c r="BA25" i="1"/>
  <c r="BC35" i="1"/>
  <c r="AO9" i="1"/>
  <c r="BI32" i="1"/>
  <c r="BF9" i="1"/>
  <c r="AV21" i="1"/>
  <c r="BB15" i="1"/>
  <c r="BD39" i="1"/>
  <c r="BU35" i="1"/>
  <c r="BR24" i="1"/>
  <c r="AX51" i="1"/>
  <c r="AX32" i="1"/>
  <c r="AX194" i="1" s="1"/>
  <c r="AR23" i="1"/>
  <c r="BT36" i="1"/>
  <c r="BD23" i="1"/>
  <c r="BV137" i="1"/>
  <c r="BW137" i="1" s="1"/>
  <c r="V133" i="1"/>
  <c r="P147" i="1"/>
  <c r="BB13" i="1"/>
  <c r="BU51" i="1"/>
  <c r="BB21" i="1"/>
  <c r="BR23" i="1"/>
  <c r="BV39" i="1"/>
  <c r="AR24" i="1"/>
  <c r="BP25" i="1"/>
  <c r="AM73" i="1"/>
  <c r="AI8" i="1"/>
  <c r="BK32" i="1"/>
  <c r="AT32" i="1"/>
  <c r="AT194" i="1" s="1"/>
  <c r="AT39" i="1"/>
  <c r="BA8" i="1"/>
  <c r="BA231" i="1" s="1"/>
  <c r="BH8" i="1"/>
  <c r="BH231" i="1" s="1"/>
  <c r="AZ47" i="1"/>
  <c r="BV24" i="1"/>
  <c r="BV32" i="1"/>
  <c r="BV194" i="1" s="1"/>
  <c r="BH22" i="1"/>
  <c r="AQ46" i="1"/>
  <c r="BE45" i="1"/>
  <c r="BA15" i="1"/>
  <c r="AZ36" i="1"/>
  <c r="AN21" i="1"/>
  <c r="BV133" i="1"/>
  <c r="C78" i="1"/>
  <c r="U79" i="1"/>
  <c r="P133" i="1"/>
  <c r="BQ32" i="1"/>
  <c r="BQ194" i="1" s="1"/>
  <c r="AQ23" i="1"/>
  <c r="BW36" i="1"/>
  <c r="BU46" i="1"/>
  <c r="BR32" i="1"/>
  <c r="BQ51" i="1"/>
  <c r="AP8" i="1"/>
  <c r="AP231" i="1" s="1"/>
  <c r="BQ23" i="1"/>
  <c r="BA46" i="1"/>
  <c r="BR45" i="1"/>
  <c r="BN39" i="1"/>
  <c r="AS8" i="1"/>
  <c r="AS231" i="1" s="1"/>
  <c r="BW35" i="1"/>
  <c r="BU15" i="1"/>
  <c r="AI21" i="1"/>
  <c r="BF14" i="1"/>
  <c r="BK23" i="1"/>
  <c r="BO15" i="1"/>
  <c r="BQ14" i="1"/>
  <c r="BV152" i="1"/>
  <c r="BW152" i="1" s="1"/>
  <c r="BV146" i="1"/>
  <c r="BW146" i="1" s="1"/>
  <c r="B127" i="1"/>
  <c r="S135" i="1"/>
  <c r="S131" i="1" s="1"/>
  <c r="V147" i="1"/>
  <c r="BB23" i="1"/>
  <c r="BJ45" i="1"/>
  <c r="BA21" i="1"/>
  <c r="AZ14" i="1"/>
  <c r="AQ22" i="1"/>
  <c r="AZ32" i="1"/>
  <c r="BD46" i="1"/>
  <c r="N124" i="1"/>
  <c r="AP47" i="1"/>
  <c r="BO47" i="1"/>
  <c r="AY13" i="1"/>
  <c r="BW13" i="1"/>
  <c r="BK24" i="1"/>
  <c r="BO39" i="1"/>
  <c r="AS32" i="1"/>
  <c r="AX45" i="1"/>
  <c r="BA13" i="1"/>
  <c r="BA45" i="1"/>
  <c r="BG23" i="1"/>
  <c r="AW32" i="1"/>
  <c r="AW194" i="1" s="1"/>
  <c r="BN45" i="1"/>
  <c r="AY35" i="1"/>
  <c r="BI23" i="1"/>
  <c r="BS9" i="1"/>
  <c r="AV20" i="1"/>
  <c r="BO35" i="1"/>
  <c r="AI45" i="1"/>
  <c r="AV25" i="1"/>
  <c r="BP24" i="1"/>
  <c r="BS14" i="1"/>
  <c r="BE36" i="1"/>
  <c r="AV36" i="1"/>
  <c r="BH125" i="1"/>
  <c r="BI125" i="1" s="1"/>
  <c r="BH160" i="1"/>
  <c r="BH161" i="1" s="1"/>
  <c r="R171" i="1"/>
  <c r="O163" i="1"/>
  <c r="F172" i="1"/>
  <c r="AT14" i="1"/>
  <c r="AU23" i="1"/>
  <c r="BI35" i="1"/>
  <c r="AR47" i="1"/>
  <c r="AR20" i="1"/>
  <c r="AX9" i="1"/>
  <c r="BB25" i="1"/>
  <c r="BN23" i="1"/>
  <c r="BS23" i="1"/>
  <c r="AZ45" i="1"/>
  <c r="AN23" i="1"/>
  <c r="AN45" i="1"/>
  <c r="BH163" i="1"/>
  <c r="BI163" i="1" s="1"/>
  <c r="D118" i="1"/>
  <c r="F150" i="1"/>
  <c r="Q136" i="1"/>
  <c r="G147" i="1"/>
  <c r="R159" i="1"/>
  <c r="BG32" i="1"/>
  <c r="BG194" i="1" s="1"/>
  <c r="AI39" i="1"/>
  <c r="AY8" i="1"/>
  <c r="BO36" i="1"/>
  <c r="BC46" i="1"/>
  <c r="BI36" i="1"/>
  <c r="AI73" i="1"/>
  <c r="BG46" i="1"/>
  <c r="BC23" i="1"/>
  <c r="BA20" i="1"/>
  <c r="BW20" i="1"/>
  <c r="BD9" i="1"/>
  <c r="BH21" i="1"/>
  <c r="BB46" i="1"/>
  <c r="AP15" i="1"/>
  <c r="BM46" i="1"/>
  <c r="BN9" i="1"/>
  <c r="BW45" i="1"/>
  <c r="BM20" i="1"/>
  <c r="BG39" i="1"/>
  <c r="BJ47" i="1"/>
  <c r="BF39" i="1"/>
  <c r="BB9" i="1"/>
  <c r="AT25" i="1"/>
  <c r="AV23" i="1"/>
  <c r="AS23" i="1"/>
  <c r="BT47" i="1"/>
  <c r="AI25" i="1"/>
  <c r="AJ73" i="1"/>
  <c r="AI13" i="1"/>
  <c r="BT25" i="1"/>
  <c r="BE13" i="1"/>
  <c r="AQ15" i="1"/>
  <c r="BE14" i="1"/>
  <c r="BT13" i="1"/>
  <c r="AN20" i="1"/>
  <c r="BU21" i="1"/>
  <c r="BE35" i="1"/>
  <c r="BG13" i="1"/>
  <c r="BP15" i="1"/>
  <c r="AU15" i="1"/>
  <c r="AU8" i="1"/>
  <c r="AV8" i="1"/>
  <c r="AV231" i="1" s="1"/>
  <c r="AU25" i="1"/>
  <c r="AP51" i="1"/>
  <c r="BU9" i="1"/>
  <c r="AP14" i="1"/>
  <c r="BR9" i="1"/>
  <c r="AI32" i="1"/>
  <c r="BV125" i="1"/>
  <c r="BW125" i="1" s="1"/>
  <c r="K164" i="1"/>
  <c r="I163" i="1"/>
  <c r="E133" i="1"/>
  <c r="AV47" i="1"/>
  <c r="AW51" i="1"/>
  <c r="BA39" i="1"/>
  <c r="BB8" i="1"/>
  <c r="BQ46" i="1"/>
  <c r="BJ36" i="1"/>
  <c r="BJ252" i="1" s="1"/>
  <c r="AP35" i="1"/>
  <c r="AZ22" i="1"/>
  <c r="BW51" i="1"/>
  <c r="AZ23" i="1"/>
  <c r="BW14" i="1"/>
  <c r="AX21" i="1"/>
  <c r="AR8" i="1"/>
  <c r="AR231" i="1" s="1"/>
  <c r="AN8" i="1"/>
  <c r="AV13" i="1"/>
  <c r="BH143" i="1"/>
  <c r="BI143" i="1" s="1"/>
  <c r="L133" i="1"/>
  <c r="C143" i="1"/>
  <c r="V160" i="1"/>
  <c r="BH24" i="1"/>
  <c r="AW13" i="1"/>
  <c r="AS22" i="1"/>
  <c r="BJ51" i="1"/>
  <c r="AW22" i="1"/>
  <c r="AT22" i="1"/>
  <c r="BK22" i="1"/>
  <c r="V146" i="1"/>
  <c r="AS25" i="1"/>
  <c r="AW25" i="1"/>
  <c r="AW21" i="1"/>
  <c r="BB51" i="1"/>
  <c r="BJ39" i="1"/>
  <c r="BN25" i="1"/>
  <c r="BB24" i="1"/>
  <c r="BQ24" i="1"/>
  <c r="AS20" i="1"/>
  <c r="AY24" i="1"/>
  <c r="AW14" i="1"/>
  <c r="BW24" i="1"/>
  <c r="BE22" i="1"/>
  <c r="BK14" i="1"/>
  <c r="BW15" i="1"/>
  <c r="BJ73" i="1"/>
  <c r="AR13" i="1"/>
  <c r="AY36" i="1"/>
  <c r="AY252" i="1" s="1"/>
  <c r="BK20" i="1"/>
  <c r="BB32" i="1"/>
  <c r="BP13" i="1"/>
  <c r="BW46" i="1"/>
  <c r="AN24" i="1"/>
  <c r="AJ74" i="1"/>
  <c r="BO32" i="1"/>
  <c r="AR32" i="1"/>
  <c r="AR194" i="1" s="1"/>
  <c r="BR13" i="1"/>
  <c r="BH15" i="1"/>
  <c r="AP36" i="1"/>
  <c r="AP252" i="1" s="1"/>
  <c r="BH35" i="1"/>
  <c r="BK45" i="1"/>
  <c r="BC22" i="1"/>
  <c r="BG45" i="1"/>
  <c r="AX25" i="1"/>
  <c r="BV73" i="1"/>
  <c r="L124" i="1"/>
  <c r="T79" i="1"/>
  <c r="W135" i="1"/>
  <c r="W131" i="1" s="1"/>
  <c r="W134" i="1" s="1"/>
  <c r="R67" i="1"/>
  <c r="K147" i="1"/>
  <c r="W124" i="1"/>
  <c r="AS14" i="1"/>
  <c r="AN13" i="1"/>
  <c r="AU46" i="1"/>
  <c r="BN8" i="1"/>
  <c r="BJ35" i="1"/>
  <c r="AR46" i="1"/>
  <c r="AZ8" i="1"/>
  <c r="BQ36" i="1"/>
  <c r="BP39" i="1"/>
  <c r="BW32" i="1"/>
  <c r="BW194" i="1" s="1"/>
  <c r="BI46" i="1"/>
  <c r="BD8" i="1"/>
  <c r="AP13" i="1"/>
  <c r="BD25" i="1"/>
  <c r="BS8" i="1"/>
  <c r="AU14" i="1"/>
  <c r="BI15" i="1"/>
  <c r="AQ14" i="1"/>
  <c r="BT15" i="1"/>
  <c r="BV51" i="1"/>
  <c r="BN32" i="1"/>
  <c r="BU20" i="1"/>
  <c r="BD51" i="1"/>
  <c r="AI47" i="1"/>
  <c r="AQ9" i="1"/>
  <c r="BU47" i="1"/>
  <c r="BP8" i="1"/>
  <c r="BI45" i="1"/>
  <c r="BV22" i="1"/>
  <c r="BA9" i="1"/>
  <c r="BA10" i="1" s="1"/>
  <c r="AN39" i="1"/>
  <c r="AZ24" i="1"/>
  <c r="BK47" i="1"/>
  <c r="AV32" i="1"/>
  <c r="AV194" i="1" s="1"/>
  <c r="BS32" i="1"/>
  <c r="AR14" i="1"/>
  <c r="BE39" i="1"/>
  <c r="AT8" i="1"/>
  <c r="AV51" i="1"/>
  <c r="BU32" i="1"/>
  <c r="BS35" i="1"/>
  <c r="BP14" i="1"/>
  <c r="AT36" i="1"/>
  <c r="AQ20" i="1"/>
  <c r="BN14" i="1"/>
  <c r="BU8" i="1"/>
  <c r="BQ20" i="1"/>
  <c r="BQ25" i="1"/>
  <c r="BT24" i="1"/>
  <c r="BH20" i="1"/>
  <c r="BF20" i="1"/>
  <c r="AT35" i="1"/>
  <c r="AZ25" i="1"/>
  <c r="BB22" i="1"/>
  <c r="BR25" i="1"/>
  <c r="BH32" i="1"/>
  <c r="BS45" i="1"/>
  <c r="AW24" i="1"/>
  <c r="BH46" i="1"/>
  <c r="BI47" i="1"/>
  <c r="AV15" i="1"/>
  <c r="BA35" i="1"/>
  <c r="BG35" i="1"/>
  <c r="BV25" i="1"/>
  <c r="AO23" i="1"/>
  <c r="BC15" i="1"/>
  <c r="BN46" i="1"/>
  <c r="AU20" i="1"/>
  <c r="BD13" i="1"/>
  <c r="BM21" i="1"/>
  <c r="BP21" i="1"/>
  <c r="BH151" i="1"/>
  <c r="BI151" i="1" s="1"/>
  <c r="BH126" i="1"/>
  <c r="BI126" i="1" s="1"/>
  <c r="L127" i="1"/>
  <c r="Q143" i="1"/>
  <c r="B136" i="1"/>
  <c r="AW9" i="1"/>
  <c r="BM14" i="1"/>
  <c r="BP46" i="1"/>
  <c r="BD21" i="1"/>
  <c r="BN47" i="1"/>
  <c r="BR8" i="1"/>
  <c r="AU13" i="1"/>
  <c r="AP39" i="1"/>
  <c r="BU39" i="1"/>
  <c r="AP22" i="1"/>
  <c r="AO46" i="1"/>
  <c r="AR35" i="1"/>
  <c r="BM13" i="1"/>
  <c r="BV45" i="1"/>
  <c r="BM32" i="1"/>
  <c r="BH133" i="1"/>
  <c r="C74" i="1"/>
  <c r="G155" i="1"/>
  <c r="E78" i="1"/>
  <c r="V124" i="1"/>
  <c r="BM8" i="1"/>
  <c r="BM231" i="1" s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BI39" i="1"/>
  <c r="BT14" i="1"/>
  <c r="BN24" i="1"/>
  <c r="BD32" i="1"/>
  <c r="BD194" i="1" s="1"/>
  <c r="BD45" i="1"/>
  <c r="AW20" i="1"/>
  <c r="BD14" i="1"/>
  <c r="BM51" i="1"/>
  <c r="AU39" i="1"/>
  <c r="AS13" i="1"/>
  <c r="AS21" i="1"/>
  <c r="BH147" i="1"/>
  <c r="BI147" i="1" s="1"/>
  <c r="BV140" i="1"/>
  <c r="BH118" i="1"/>
  <c r="BI118" i="1" s="1"/>
  <c r="BV131" i="1"/>
  <c r="K160" i="1"/>
  <c r="L118" i="1"/>
  <c r="W136" i="1"/>
  <c r="J132" i="1"/>
  <c r="I122" i="1"/>
  <c r="F118" i="1"/>
  <c r="M140" i="1"/>
  <c r="T119" i="1"/>
  <c r="V135" i="1"/>
  <c r="V131" i="1" s="1"/>
  <c r="V122" i="1"/>
  <c r="V67" i="1"/>
  <c r="O172" i="1"/>
  <c r="T77" i="1"/>
  <c r="B151" i="1"/>
  <c r="C145" i="1"/>
  <c r="C180" i="1" s="1"/>
  <c r="J136" i="1"/>
  <c r="I126" i="1"/>
  <c r="S78" i="1"/>
  <c r="G135" i="1"/>
  <c r="G131" i="1" s="1"/>
  <c r="AT23" i="1"/>
  <c r="BO20" i="1"/>
  <c r="BP36" i="1"/>
  <c r="AO35" i="1"/>
  <c r="BN22" i="1"/>
  <c r="BJ74" i="1"/>
  <c r="BN35" i="1"/>
  <c r="BV132" i="1"/>
  <c r="BV135" i="1"/>
  <c r="BW135" i="1" s="1"/>
  <c r="BV164" i="1"/>
  <c r="BW164" i="1" s="1"/>
  <c r="BH135" i="1"/>
  <c r="BI135" i="1" s="1"/>
  <c r="BV163" i="1"/>
  <c r="BW163" i="1" s="1"/>
  <c r="B132" i="1"/>
  <c r="C118" i="1"/>
  <c r="S67" i="1"/>
  <c r="D145" i="1"/>
  <c r="D180" i="1" s="1"/>
  <c r="J133" i="1"/>
  <c r="J77" i="1"/>
  <c r="G145" i="1"/>
  <c r="G180" i="1" s="1"/>
  <c r="J164" i="1"/>
  <c r="M67" i="1"/>
  <c r="B147" i="1"/>
  <c r="F147" i="1"/>
  <c r="Q119" i="1"/>
  <c r="M163" i="1"/>
  <c r="T172" i="1"/>
  <c r="L159" i="1"/>
  <c r="W151" i="1"/>
  <c r="L78" i="1"/>
  <c r="E153" i="1"/>
  <c r="E183" i="1" s="1"/>
  <c r="S124" i="1"/>
  <c r="Q147" i="1"/>
  <c r="F136" i="1"/>
  <c r="J142" i="1"/>
  <c r="N126" i="1"/>
  <c r="N154" i="1" s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I51" i="1"/>
  <c r="BP20" i="1"/>
  <c r="BQ21" i="1"/>
  <c r="BC45" i="1"/>
  <c r="AS24" i="1"/>
  <c r="AR15" i="1"/>
  <c r="AW45" i="1"/>
  <c r="AX39" i="1"/>
  <c r="BV122" i="1"/>
  <c r="BW122" i="1" s="1"/>
  <c r="BH145" i="1"/>
  <c r="BH180" i="1" s="1"/>
  <c r="BI180" i="1" s="1"/>
  <c r="BV119" i="1"/>
  <c r="BV142" i="1"/>
  <c r="BW142" i="1" s="1"/>
  <c r="T150" i="1"/>
  <c r="E137" i="1"/>
  <c r="O122" i="1"/>
  <c r="O127" i="1"/>
  <c r="G122" i="1"/>
  <c r="W160" i="1"/>
  <c r="O67" i="1"/>
  <c r="E145" i="1"/>
  <c r="E180" i="1" s="1"/>
  <c r="P149" i="1"/>
  <c r="E170" i="1"/>
  <c r="C137" i="1"/>
  <c r="G79" i="1"/>
  <c r="B63" i="1"/>
  <c r="F127" i="1"/>
  <c r="B172" i="1"/>
  <c r="C171" i="1"/>
  <c r="R117" i="1"/>
  <c r="U132" i="1"/>
  <c r="K143" i="1"/>
  <c r="Q164" i="1"/>
  <c r="E125" i="1"/>
  <c r="C151" i="1"/>
  <c r="T140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BA252" i="1" s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S10" i="1" s="1"/>
  <c r="BD24" i="1"/>
  <c r="BM24" i="1"/>
  <c r="AY51" i="1"/>
  <c r="BO24" i="1"/>
  <c r="BF45" i="1"/>
  <c r="AY14" i="1"/>
  <c r="AT24" i="1"/>
  <c r="AX36" i="1"/>
  <c r="AX252" i="1" s="1"/>
  <c r="BV13" i="1"/>
  <c r="AT47" i="1"/>
  <c r="BI25" i="1"/>
  <c r="AI22" i="1"/>
  <c r="BV74" i="1"/>
  <c r="BV154" i="1"/>
  <c r="BW154" i="1" s="1"/>
  <c r="BH140" i="1"/>
  <c r="BV117" i="1"/>
  <c r="BW117" i="1" s="1"/>
  <c r="B126" i="1"/>
  <c r="B154" i="1" s="1"/>
  <c r="H146" i="1"/>
  <c r="V151" i="1"/>
  <c r="S155" i="1"/>
  <c r="S163" i="1"/>
  <c r="H172" i="1"/>
  <c r="C159" i="1"/>
  <c r="H150" i="1"/>
  <c r="S172" i="1"/>
  <c r="C119" i="1"/>
  <c r="F163" i="1"/>
  <c r="J155" i="1"/>
  <c r="P118" i="1"/>
  <c r="F132" i="1"/>
  <c r="Q142" i="1"/>
  <c r="I133" i="1"/>
  <c r="B64" i="1"/>
  <c r="R125" i="1"/>
  <c r="E135" i="1"/>
  <c r="E131" i="1" s="1"/>
  <c r="B119" i="1"/>
  <c r="R143" i="1"/>
  <c r="AN14" i="1"/>
  <c r="AY9" i="1"/>
  <c r="AY10" i="1" s="1"/>
  <c r="AQ32" i="1"/>
  <c r="AQ194" i="1" s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AV26" i="1" s="1"/>
  <c r="BT21" i="1"/>
  <c r="AI51" i="1"/>
  <c r="AO36" i="1"/>
  <c r="AO252" i="1" s="1"/>
  <c r="BA14" i="1"/>
  <c r="BT45" i="1"/>
  <c r="BP23" i="1"/>
  <c r="AT9" i="1"/>
  <c r="AM47" i="1"/>
  <c r="BH25" i="1"/>
  <c r="BG51" i="1"/>
  <c r="AT13" i="1"/>
  <c r="BF32" i="1"/>
  <c r="BF194" i="1" s="1"/>
  <c r="BG21" i="1"/>
  <c r="AX24" i="1"/>
  <c r="BB14" i="1"/>
  <c r="AR39" i="1"/>
  <c r="BC25" i="1"/>
  <c r="AU21" i="1"/>
  <c r="AN32" i="1"/>
  <c r="AV45" i="1"/>
  <c r="BF8" i="1"/>
  <c r="AP20" i="1"/>
  <c r="BV14" i="1"/>
  <c r="BV149" i="1"/>
  <c r="BW149" i="1" s="1"/>
  <c r="BH152" i="1"/>
  <c r="BI152" i="1" s="1"/>
  <c r="BH127" i="1"/>
  <c r="BI127" i="1" s="1"/>
  <c r="U171" i="1"/>
  <c r="N79" i="1"/>
  <c r="R133" i="1"/>
  <c r="W153" i="1"/>
  <c r="U122" i="1"/>
  <c r="W147" i="1"/>
  <c r="T67" i="1"/>
  <c r="F170" i="1"/>
  <c r="L132" i="1"/>
  <c r="V144" i="1"/>
  <c r="V179" i="1" s="1"/>
  <c r="B164" i="1"/>
  <c r="I135" i="1"/>
  <c r="I131" i="1" s="1"/>
  <c r="M135" i="1"/>
  <c r="M131" i="1" s="1"/>
  <c r="R142" i="1"/>
  <c r="Q172" i="1"/>
  <c r="R172" i="1"/>
  <c r="S136" i="1"/>
  <c r="C146" i="1"/>
  <c r="M144" i="1"/>
  <c r="M179" i="1" s="1"/>
  <c r="D119" i="1"/>
  <c r="L79" i="1"/>
  <c r="G144" i="1"/>
  <c r="G179" i="1" s="1"/>
  <c r="P143" i="1"/>
  <c r="F146" i="1"/>
  <c r="C117" i="1"/>
  <c r="F137" i="1"/>
  <c r="C127" i="1"/>
  <c r="T135" i="1"/>
  <c r="T131" i="1" s="1"/>
  <c r="B160" i="1"/>
  <c r="N151" i="1"/>
  <c r="J73" i="1"/>
  <c r="F153" i="1"/>
  <c r="F183" i="1" s="1"/>
  <c r="C133" i="1"/>
  <c r="L164" i="1"/>
  <c r="W144" i="1"/>
  <c r="C140" i="1"/>
  <c r="Q124" i="1"/>
  <c r="U144" i="1"/>
  <c r="U179" i="1" s="1"/>
  <c r="P77" i="1"/>
  <c r="N155" i="1"/>
  <c r="L142" i="1"/>
  <c r="D64" i="1"/>
  <c r="G140" i="1"/>
  <c r="N132" i="1"/>
  <c r="L117" i="1"/>
  <c r="T143" i="1"/>
  <c r="F155" i="1"/>
  <c r="U74" i="1"/>
  <c r="AT46" i="1"/>
  <c r="BB39" i="1"/>
  <c r="AV9" i="1"/>
  <c r="BK15" i="1"/>
  <c r="BT9" i="1"/>
  <c r="BF46" i="1"/>
  <c r="AS35" i="1"/>
  <c r="BH45" i="1"/>
  <c r="AO47" i="1"/>
  <c r="AW46" i="1"/>
  <c r="AO20" i="1"/>
  <c r="BG14" i="1"/>
  <c r="AO32" i="1"/>
  <c r="AU22" i="1"/>
  <c r="BV36" i="1"/>
  <c r="BO14" i="1"/>
  <c r="AZ35" i="1"/>
  <c r="BH154" i="1"/>
  <c r="BI154" i="1" s="1"/>
  <c r="BH73" i="1"/>
  <c r="BV145" i="1"/>
  <c r="BV118" i="1"/>
  <c r="BW118" i="1" s="1"/>
  <c r="BH142" i="1"/>
  <c r="BI142" i="1" s="1"/>
  <c r="BH153" i="1"/>
  <c r="T74" i="1"/>
  <c r="F164" i="1"/>
  <c r="W170" i="1"/>
  <c r="V73" i="1"/>
  <c r="B171" i="1"/>
  <c r="R153" i="1"/>
  <c r="R183" i="1" s="1"/>
  <c r="B150" i="1"/>
  <c r="R118" i="1"/>
  <c r="O151" i="1"/>
  <c r="D143" i="1"/>
  <c r="Q122" i="1"/>
  <c r="S73" i="1"/>
  <c r="I125" i="1"/>
  <c r="K133" i="1"/>
  <c r="M159" i="1"/>
  <c r="H118" i="1"/>
  <c r="D136" i="1"/>
  <c r="K163" i="1"/>
  <c r="Q74" i="1"/>
  <c r="S125" i="1"/>
  <c r="S159" i="1"/>
  <c r="O142" i="1"/>
  <c r="I151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C14" i="1"/>
  <c r="BS22" i="1"/>
  <c r="BU22" i="1"/>
  <c r="BJ9" i="1"/>
  <c r="BJ10" i="1" s="1"/>
  <c r="BK36" i="1"/>
  <c r="BF36" i="1"/>
  <c r="AM51" i="1"/>
  <c r="BF24" i="1"/>
  <c r="BJ46" i="1"/>
  <c r="BU24" i="1"/>
  <c r="BI9" i="1"/>
  <c r="BK13" i="1"/>
  <c r="BC47" i="1"/>
  <c r="BA22" i="1"/>
  <c r="BO8" i="1"/>
  <c r="AN9" i="1"/>
  <c r="BV124" i="1"/>
  <c r="BW124" i="1" s="1"/>
  <c r="BV150" i="1"/>
  <c r="BW150" i="1" s="1"/>
  <c r="BV160" i="1"/>
  <c r="BV151" i="1"/>
  <c r="BW151" i="1" s="1"/>
  <c r="BH122" i="1"/>
  <c r="BI122" i="1" s="1"/>
  <c r="M145" i="1"/>
  <c r="M180" i="1" s="1"/>
  <c r="M155" i="1"/>
  <c r="Q149" i="1"/>
  <c r="P150" i="1"/>
  <c r="T78" i="1"/>
  <c r="M137" i="1"/>
  <c r="K118" i="1"/>
  <c r="O155" i="1"/>
  <c r="K77" i="1"/>
  <c r="G132" i="1"/>
  <c r="W119" i="1"/>
  <c r="R151" i="1"/>
  <c r="G124" i="1"/>
  <c r="B159" i="1"/>
  <c r="N133" i="1"/>
  <c r="G151" i="1"/>
  <c r="I74" i="1"/>
  <c r="M171" i="1"/>
  <c r="N150" i="1"/>
  <c r="K127" i="1"/>
  <c r="G142" i="1"/>
  <c r="Q145" i="1"/>
  <c r="Q180" i="1" s="1"/>
  <c r="BW23" i="1"/>
  <c r="BP45" i="1"/>
  <c r="BI8" i="1"/>
  <c r="AP21" i="1"/>
  <c r="BV23" i="1"/>
  <c r="AO24" i="1"/>
  <c r="BE32" i="1"/>
  <c r="BE194" i="1" s="1"/>
  <c r="BP35" i="1"/>
  <c r="AY15" i="1"/>
  <c r="AU51" i="1"/>
  <c r="AI14" i="1"/>
  <c r="BE25" i="1"/>
  <c r="BE15" i="1"/>
  <c r="BW8" i="1"/>
  <c r="BO22" i="1"/>
  <c r="AY46" i="1"/>
  <c r="BE8" i="1"/>
  <c r="BE231" i="1" s="1"/>
  <c r="AX46" i="1"/>
  <c r="BG36" i="1"/>
  <c r="BN20" i="1"/>
  <c r="BE21" i="1"/>
  <c r="BW39" i="1"/>
  <c r="AU35" i="1"/>
  <c r="AS46" i="1"/>
  <c r="BH137" i="1"/>
  <c r="BI137" i="1" s="1"/>
  <c r="BH149" i="1"/>
  <c r="BI149" i="1" s="1"/>
  <c r="BV159" i="1"/>
  <c r="BV144" i="1"/>
  <c r="BH74" i="1"/>
  <c r="BV126" i="1"/>
  <c r="BW126" i="1" s="1"/>
  <c r="BH144" i="1"/>
  <c r="U146" i="1"/>
  <c r="B79" i="1"/>
  <c r="P124" i="1"/>
  <c r="T170" i="1"/>
  <c r="F160" i="1"/>
  <c r="J117" i="1"/>
  <c r="B67" i="1"/>
  <c r="P142" i="1"/>
  <c r="N146" i="1"/>
  <c r="O135" i="1"/>
  <c r="O131" i="1" s="1"/>
  <c r="B145" i="1"/>
  <c r="B180" i="1" s="1"/>
  <c r="T73" i="1"/>
  <c r="U124" i="1"/>
  <c r="N147" i="1"/>
  <c r="P159" i="1"/>
  <c r="P161" i="1" s="1"/>
  <c r="Q209" i="1" s="1"/>
  <c r="P73" i="1"/>
  <c r="I143" i="1"/>
  <c r="M151" i="1"/>
  <c r="B155" i="1"/>
  <c r="S146" i="1"/>
  <c r="V163" i="1"/>
  <c r="T122" i="1"/>
  <c r="Q155" i="1"/>
  <c r="AU36" i="1"/>
  <c r="BO25" i="1"/>
  <c r="BH36" i="1"/>
  <c r="BP32" i="1"/>
  <c r="BA47" i="1"/>
  <c r="BS39" i="1"/>
  <c r="BD22" i="1"/>
  <c r="AY22" i="1"/>
  <c r="BF47" i="1"/>
  <c r="BK8" i="1"/>
  <c r="AO51" i="1"/>
  <c r="BC20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A253" i="1" s="1"/>
  <c r="BM22" i="1"/>
  <c r="AQ51" i="1"/>
  <c r="BB36" i="1"/>
  <c r="AS47" i="1"/>
  <c r="AY21" i="1"/>
  <c r="BT35" i="1"/>
  <c r="BB45" i="1"/>
  <c r="AQ35" i="1"/>
  <c r="AW47" i="1"/>
  <c r="BT46" i="1"/>
  <c r="AZ46" i="1"/>
  <c r="AN15" i="1"/>
  <c r="BC39" i="1"/>
  <c r="BS15" i="1"/>
  <c r="AS15" i="1"/>
  <c r="BN21" i="1"/>
  <c r="BA24" i="1"/>
  <c r="AU32" i="1"/>
  <c r="AU194" i="1" s="1"/>
  <c r="AS45" i="1"/>
  <c r="AY20" i="1"/>
  <c r="BC32" i="1"/>
  <c r="BC194" i="1" s="1"/>
  <c r="AZ21" i="1"/>
  <c r="AI35" i="1"/>
  <c r="BH164" i="1"/>
  <c r="BI164" i="1" s="1"/>
  <c r="BV153" i="1"/>
  <c r="BV147" i="1"/>
  <c r="BW147" i="1" s="1"/>
  <c r="BV155" i="1"/>
  <c r="BW155" i="1" s="1"/>
  <c r="BV127" i="1"/>
  <c r="BW127" i="1" s="1"/>
  <c r="E172" i="1"/>
  <c r="U164" i="1"/>
  <c r="G172" i="1"/>
  <c r="B146" i="1"/>
  <c r="I171" i="1"/>
  <c r="M153" i="1"/>
  <c r="M183" i="1" s="1"/>
  <c r="C77" i="1"/>
  <c r="S151" i="1"/>
  <c r="J170" i="1"/>
  <c r="G77" i="1"/>
  <c r="R124" i="1"/>
  <c r="I170" i="1"/>
  <c r="M164" i="1"/>
  <c r="M119" i="1"/>
  <c r="L73" i="1"/>
  <c r="R144" i="1"/>
  <c r="R179" i="1" s="1"/>
  <c r="F67" i="1"/>
  <c r="H127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C65" i="1" s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J171" i="1"/>
  <c r="J173" i="1" s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U209" i="1" s="1"/>
  <c r="C79" i="1"/>
  <c r="F124" i="1"/>
  <c r="J151" i="1"/>
  <c r="C170" i="1"/>
  <c r="J163" i="1"/>
  <c r="K172" i="1"/>
  <c r="E74" i="1"/>
  <c r="N136" i="1"/>
  <c r="D151" i="1"/>
  <c r="O133" i="1"/>
  <c r="L170" i="1"/>
  <c r="L173" i="1" s="1"/>
  <c r="H163" i="1"/>
  <c r="N171" i="1"/>
  <c r="H171" i="1"/>
  <c r="D77" i="1"/>
  <c r="D171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O128" i="1" s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S144" i="1"/>
  <c r="S179" i="1" s="1"/>
  <c r="O164" i="1"/>
  <c r="R147" i="1"/>
  <c r="N74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S202" i="1" s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J161" i="1" s="1"/>
  <c r="K209" i="1" s="1"/>
  <c r="N127" i="1"/>
  <c r="L77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Q161" i="1" s="1"/>
  <c r="R209" i="1" s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I183" i="1"/>
  <c r="AI185" i="1"/>
  <c r="AI182" i="1"/>
  <c r="BQ231" i="1"/>
  <c r="AL98" i="1"/>
  <c r="AL99" i="1" s="1"/>
  <c r="AW253" i="1"/>
  <c r="AI180" i="1"/>
  <c r="BR194" i="1"/>
  <c r="BK194" i="1"/>
  <c r="BK33" i="1"/>
  <c r="BK203" i="1"/>
  <c r="BK201" i="1" s="1"/>
  <c r="BI194" i="1"/>
  <c r="AZ194" i="1"/>
  <c r="AW231" i="1"/>
  <c r="AI179" i="1"/>
  <c r="AI231" i="1"/>
  <c r="AS253" i="1"/>
  <c r="AS194" i="1"/>
  <c r="CQ134" i="1"/>
  <c r="DB77" i="1"/>
  <c r="CY65" i="1"/>
  <c r="CZ63" i="1"/>
  <c r="AT252" i="1" l="1"/>
  <c r="AO26" i="1"/>
  <c r="V134" i="1"/>
  <c r="N128" i="1"/>
  <c r="P128" i="1"/>
  <c r="G120" i="1"/>
  <c r="H156" i="1"/>
  <c r="H185" i="1" s="1"/>
  <c r="AI37" i="1"/>
  <c r="I134" i="1"/>
  <c r="AS26" i="1"/>
  <c r="AN26" i="1"/>
  <c r="BQ26" i="1"/>
  <c r="BB26" i="1"/>
  <c r="BH183" i="1"/>
  <c r="BI183" i="1" s="1"/>
  <c r="BH252" i="1"/>
  <c r="BQ10" i="1"/>
  <c r="AY231" i="1"/>
  <c r="BP194" i="1"/>
  <c r="BC10" i="1"/>
  <c r="BK253" i="1"/>
  <c r="BC252" i="1"/>
  <c r="BC253" i="1"/>
  <c r="HR20" i="4"/>
  <c r="AL79" i="1" s="1"/>
  <c r="JB9" i="4"/>
  <c r="IQ20" i="4"/>
  <c r="BK79" i="1" s="1"/>
  <c r="BK108" i="1" s="1"/>
  <c r="JB16" i="4"/>
  <c r="R161" i="1"/>
  <c r="AW10" i="1"/>
  <c r="AW16" i="1" s="1"/>
  <c r="AR26" i="1"/>
  <c r="M134" i="1"/>
  <c r="M161" i="1"/>
  <c r="S128" i="1"/>
  <c r="AW252" i="1"/>
  <c r="AQ252" i="1"/>
  <c r="AI10" i="1"/>
  <c r="BK37" i="1"/>
  <c r="BH179" i="1"/>
  <c r="BI179" i="1" s="1"/>
  <c r="BK10" i="1"/>
  <c r="D65" i="1"/>
  <c r="V161" i="1"/>
  <c r="W209" i="1" s="1"/>
  <c r="K202" i="1"/>
  <c r="E202" i="1"/>
  <c r="C134" i="1"/>
  <c r="C138" i="1" s="1"/>
  <c r="J202" i="1"/>
  <c r="G202" i="1"/>
  <c r="BH10" i="1"/>
  <c r="BI128" i="1"/>
  <c r="D156" i="1"/>
  <c r="Q173" i="1"/>
  <c r="V148" i="1"/>
  <c r="F161" i="1"/>
  <c r="F173" i="1"/>
  <c r="N148" i="1"/>
  <c r="G161" i="1"/>
  <c r="L156" i="1"/>
  <c r="AY253" i="1"/>
  <c r="AI33" i="1"/>
  <c r="AU231" i="1"/>
  <c r="BB231" i="1"/>
  <c r="BB10" i="1"/>
  <c r="BB252" i="1"/>
  <c r="AU252" i="1"/>
  <c r="AU253" i="1"/>
  <c r="BP26" i="1"/>
  <c r="AP26" i="1"/>
  <c r="BU252" i="1"/>
  <c r="AZ26" i="1"/>
  <c r="AS252" i="1"/>
  <c r="BD26" i="1"/>
  <c r="K161" i="1"/>
  <c r="L120" i="1"/>
  <c r="N202" i="1"/>
  <c r="T120" i="1"/>
  <c r="O173" i="1"/>
  <c r="BG26" i="1"/>
  <c r="AP10" i="1"/>
  <c r="AN252" i="1"/>
  <c r="BM37" i="1"/>
  <c r="AU10" i="1"/>
  <c r="BF252" i="1"/>
  <c r="BA26" i="1"/>
  <c r="Q156" i="1"/>
  <c r="K120" i="1"/>
  <c r="G134" i="1"/>
  <c r="B161" i="1"/>
  <c r="C209" i="1" s="1"/>
  <c r="G156" i="1"/>
  <c r="BW26" i="1"/>
  <c r="BV26" i="1"/>
  <c r="BO26" i="1"/>
  <c r="BG252" i="1"/>
  <c r="D173" i="1"/>
  <c r="H134" i="1"/>
  <c r="V120" i="1"/>
  <c r="R120" i="1"/>
  <c r="B120" i="1"/>
  <c r="AR252" i="1"/>
  <c r="N156" i="1"/>
  <c r="N185" i="1" s="1"/>
  <c r="N184" i="1" s="1"/>
  <c r="AZ183" i="1"/>
  <c r="BA183" i="1" s="1"/>
  <c r="AP179" i="1"/>
  <c r="AQ179" i="1" s="1"/>
  <c r="BA16" i="1"/>
  <c r="BH26" i="1"/>
  <c r="AX253" i="1"/>
  <c r="AX10" i="1"/>
  <c r="AX231" i="1"/>
  <c r="BG253" i="1"/>
  <c r="BG10" i="1"/>
  <c r="BK11" i="1" s="1"/>
  <c r="BG231" i="1"/>
  <c r="BF10" i="1"/>
  <c r="BF231" i="1"/>
  <c r="BH202" i="1"/>
  <c r="BI140" i="1"/>
  <c r="BJ202" i="1" s="1"/>
  <c r="BI202" i="1"/>
  <c r="BV134" i="1"/>
  <c r="BS98" i="1"/>
  <c r="BS99" i="1" s="1"/>
  <c r="BP10" i="1"/>
  <c r="BQ12" i="1" s="1"/>
  <c r="BM252" i="1"/>
  <c r="BE26" i="1"/>
  <c r="AQ26" i="1"/>
  <c r="BI252" i="1"/>
  <c r="BM26" i="1"/>
  <c r="BW128" i="1"/>
  <c r="AN253" i="1"/>
  <c r="AT26" i="1"/>
  <c r="BK26" i="1"/>
  <c r="BK27" i="1" s="1"/>
  <c r="AY26" i="1"/>
  <c r="AY27" i="1" s="1"/>
  <c r="BO98" i="1"/>
  <c r="BO99" i="1" s="1"/>
  <c r="BI10" i="1"/>
  <c r="BN26" i="1"/>
  <c r="J134" i="1"/>
  <c r="AW26" i="1"/>
  <c r="AX26" i="1"/>
  <c r="BV120" i="1"/>
  <c r="BV92" i="1" s="1"/>
  <c r="AM48" i="1"/>
  <c r="BF26" i="1"/>
  <c r="BR26" i="1"/>
  <c r="BI26" i="1"/>
  <c r="C161" i="1"/>
  <c r="R128" i="1"/>
  <c r="E134" i="1"/>
  <c r="BU26" i="1"/>
  <c r="BC26" i="1"/>
  <c r="R148" i="1"/>
  <c r="T148" i="1"/>
  <c r="AU26" i="1"/>
  <c r="P148" i="1"/>
  <c r="BL98" i="1"/>
  <c r="BL99" i="1" s="1"/>
  <c r="AI26" i="1"/>
  <c r="BS26" i="1"/>
  <c r="S156" i="1"/>
  <c r="S185" i="1" s="1"/>
  <c r="H161" i="1"/>
  <c r="S120" i="1"/>
  <c r="E148" i="1"/>
  <c r="C202" i="1"/>
  <c r="F202" i="1"/>
  <c r="L128" i="1"/>
  <c r="C108" i="1"/>
  <c r="U173" i="1"/>
  <c r="O120" i="1"/>
  <c r="K156" i="1"/>
  <c r="Q128" i="1"/>
  <c r="K134" i="1"/>
  <c r="T134" i="1"/>
  <c r="M148" i="1"/>
  <c r="M182" i="1" s="1"/>
  <c r="S161" i="1"/>
  <c r="M202" i="1"/>
  <c r="K128" i="1"/>
  <c r="Q202" i="1"/>
  <c r="T128" i="1"/>
  <c r="D120" i="1"/>
  <c r="D54" i="1" s="1"/>
  <c r="K173" i="1"/>
  <c r="V128" i="1"/>
  <c r="P173" i="1"/>
  <c r="B173" i="1"/>
  <c r="R173" i="1"/>
  <c r="D134" i="1"/>
  <c r="F148" i="1"/>
  <c r="F182" i="1" s="1"/>
  <c r="D161" i="1"/>
  <c r="K148" i="1"/>
  <c r="W202" i="1"/>
  <c r="O202" i="1"/>
  <c r="I120" i="1"/>
  <c r="C173" i="1"/>
  <c r="V173" i="1"/>
  <c r="D128" i="1"/>
  <c r="S148" i="1"/>
  <c r="S182" i="1" s="1"/>
  <c r="H128" i="1"/>
  <c r="H37" i="1" s="1"/>
  <c r="U128" i="1"/>
  <c r="I202" i="1"/>
  <c r="N161" i="1"/>
  <c r="O209" i="1" s="1"/>
  <c r="P156" i="1"/>
  <c r="M173" i="1"/>
  <c r="B128" i="1"/>
  <c r="G128" i="1"/>
  <c r="F120" i="1"/>
  <c r="BP179" i="1"/>
  <c r="BQ179" i="1" s="1"/>
  <c r="AZ180" i="1"/>
  <c r="BA180" i="1" s="1"/>
  <c r="BT179" i="1"/>
  <c r="BU179" i="1" s="1"/>
  <c r="BR179" i="1"/>
  <c r="BS179" i="1" s="1"/>
  <c r="BT183" i="1"/>
  <c r="BU183" i="1" s="1"/>
  <c r="BP180" i="1"/>
  <c r="BQ180" i="1" s="1"/>
  <c r="AT179" i="1"/>
  <c r="AU179" i="1" s="1"/>
  <c r="BR180" i="1"/>
  <c r="BS180" i="1" s="1"/>
  <c r="AZ179" i="1"/>
  <c r="BA179" i="1" s="1"/>
  <c r="AT183" i="1"/>
  <c r="AU183" i="1" s="1"/>
  <c r="BB180" i="1"/>
  <c r="BC180" i="1" s="1"/>
  <c r="BB183" i="1"/>
  <c r="BC183" i="1" s="1"/>
  <c r="BP183" i="1"/>
  <c r="BQ183" i="1" s="1"/>
  <c r="BN179" i="1"/>
  <c r="BO179" i="1" s="1"/>
  <c r="BF180" i="1"/>
  <c r="BG180" i="1" s="1"/>
  <c r="AX180" i="1"/>
  <c r="AY180" i="1" s="1"/>
  <c r="BF183" i="1"/>
  <c r="BG183" i="1" s="1"/>
  <c r="BN180" i="1"/>
  <c r="BO180" i="1" s="1"/>
  <c r="BD180" i="1"/>
  <c r="BE180" i="1" s="1"/>
  <c r="AT180" i="1"/>
  <c r="AU180" i="1" s="1"/>
  <c r="BN183" i="1"/>
  <c r="BO183" i="1" s="1"/>
  <c r="BT180" i="1"/>
  <c r="BU180" i="1" s="1"/>
  <c r="BD183" i="1"/>
  <c r="BE183" i="1" s="1"/>
  <c r="AP183" i="1"/>
  <c r="AQ183" i="1" s="1"/>
  <c r="AX183" i="1"/>
  <c r="AY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BT26" i="1"/>
  <c r="AI194" i="1"/>
  <c r="AI203" i="1"/>
  <c r="AI201" i="1" s="1"/>
  <c r="BB253" i="1"/>
  <c r="BB194" i="1"/>
  <c r="BO194" i="1"/>
  <c r="BO253" i="1"/>
  <c r="BN252" i="1"/>
  <c r="BN231" i="1"/>
  <c r="BN10" i="1"/>
  <c r="BN27" i="1" s="1"/>
  <c r="BQ98" i="1"/>
  <c r="BQ99" i="1" s="1"/>
  <c r="BB98" i="1"/>
  <c r="BB99" i="1" s="1"/>
  <c r="AZ253" i="1"/>
  <c r="BC98" i="1"/>
  <c r="BC99" i="1" s="1"/>
  <c r="AZ231" i="1"/>
  <c r="AZ98" i="1"/>
  <c r="AZ99" i="1" s="1"/>
  <c r="AZ252" i="1"/>
  <c r="AZ10" i="1"/>
  <c r="BA98" i="1"/>
  <c r="BA99" i="1" s="1"/>
  <c r="BD10" i="1"/>
  <c r="BD231" i="1"/>
  <c r="BD98" i="1"/>
  <c r="BD99" i="1" s="1"/>
  <c r="BD252" i="1"/>
  <c r="BS231" i="1"/>
  <c r="BS252" i="1"/>
  <c r="BS10" i="1"/>
  <c r="BN194" i="1"/>
  <c r="BN253" i="1"/>
  <c r="BN33" i="1"/>
  <c r="BP231" i="1"/>
  <c r="BP253" i="1"/>
  <c r="BP252" i="1"/>
  <c r="BS194" i="1"/>
  <c r="BS253" i="1"/>
  <c r="AT231" i="1"/>
  <c r="AT10" i="1"/>
  <c r="AT253" i="1"/>
  <c r="BU253" i="1"/>
  <c r="BU194" i="1"/>
  <c r="BU231" i="1"/>
  <c r="BU10" i="1"/>
  <c r="BH194" i="1"/>
  <c r="BH253" i="1"/>
  <c r="BR231" i="1"/>
  <c r="BR10" i="1"/>
  <c r="BR253" i="1"/>
  <c r="BR252" i="1"/>
  <c r="BU98" i="1"/>
  <c r="BU99" i="1" s="1"/>
  <c r="BM203" i="1"/>
  <c r="BM201" i="1" s="1"/>
  <c r="BM33" i="1"/>
  <c r="BM194" i="1"/>
  <c r="BW140" i="1"/>
  <c r="BX202" i="1" s="1"/>
  <c r="BW202" i="1"/>
  <c r="I154" i="1"/>
  <c r="I156" i="1" s="1"/>
  <c r="I128" i="1"/>
  <c r="AN194" i="1"/>
  <c r="AN33" i="1"/>
  <c r="AO194" i="1"/>
  <c r="AO253" i="1"/>
  <c r="AP253" i="1"/>
  <c r="AP194" i="1"/>
  <c r="BT253" i="1"/>
  <c r="BT252" i="1"/>
  <c r="BT231" i="1"/>
  <c r="BT10" i="1"/>
  <c r="BJ16" i="1"/>
  <c r="BJ27" i="1"/>
  <c r="BO252" i="1"/>
  <c r="BO231" i="1"/>
  <c r="BO10" i="1"/>
  <c r="BI231" i="1"/>
  <c r="BI98" i="1"/>
  <c r="BI99" i="1" s="1"/>
  <c r="BI253" i="1"/>
  <c r="BK98" i="1"/>
  <c r="BK99" i="1" s="1"/>
  <c r="BJ98" i="1"/>
  <c r="BJ99" i="1" s="1"/>
  <c r="BW253" i="1"/>
  <c r="BZ98" i="1"/>
  <c r="BZ99" i="1" s="1"/>
  <c r="BW10" i="1"/>
  <c r="O179" i="1"/>
  <c r="O148" i="1"/>
  <c r="P196" i="1" s="1"/>
  <c r="BJ194" i="1"/>
  <c r="BJ253" i="1"/>
  <c r="C107" i="1"/>
  <c r="C66" i="1"/>
  <c r="T33" i="1"/>
  <c r="T138" i="1"/>
  <c r="T244" i="1" s="1"/>
  <c r="T168" i="1"/>
  <c r="T109" i="1" s="1"/>
  <c r="AR183" i="1"/>
  <c r="AS183" i="1" s="1"/>
  <c r="M156" i="1"/>
  <c r="O134" i="1"/>
  <c r="E156" i="1"/>
  <c r="V202" i="1"/>
  <c r="B148" i="1"/>
  <c r="BV161" i="1"/>
  <c r="BW209" i="1" s="1"/>
  <c r="D248" i="1"/>
  <c r="BX98" i="1"/>
  <c r="BX99" i="1" s="1"/>
  <c r="BV156" i="1"/>
  <c r="AN98" i="1"/>
  <c r="AN99" i="1" s="1"/>
  <c r="AX98" i="1"/>
  <c r="AX99" i="1" s="1"/>
  <c r="BR98" i="1"/>
  <c r="BR99" i="1" s="1"/>
  <c r="BR102" i="1" s="1"/>
  <c r="AN179" i="1"/>
  <c r="AO179" i="1" s="1"/>
  <c r="H148" i="1"/>
  <c r="U202" i="1"/>
  <c r="P134" i="1"/>
  <c r="R134" i="1"/>
  <c r="N134" i="1"/>
  <c r="Q134" i="1"/>
  <c r="I173" i="1"/>
  <c r="D202" i="1"/>
  <c r="E173" i="1"/>
  <c r="L161" i="1"/>
  <c r="M209" i="1" s="1"/>
  <c r="S134" i="1"/>
  <c r="S33" i="1" s="1"/>
  <c r="W173" i="1"/>
  <c r="AO98" i="1"/>
  <c r="AO99" i="1" s="1"/>
  <c r="BQ253" i="1"/>
  <c r="AV98" i="1"/>
  <c r="AV99" i="1" s="1"/>
  <c r="AN231" i="1"/>
  <c r="BG98" i="1"/>
  <c r="BG99" i="1" s="1"/>
  <c r="BP98" i="1"/>
  <c r="BP99" i="1" s="1"/>
  <c r="BP103" i="1" s="1"/>
  <c r="U134" i="1"/>
  <c r="O161" i="1"/>
  <c r="P209" i="1" s="1"/>
  <c r="M128" i="1"/>
  <c r="H173" i="1"/>
  <c r="H120" i="1"/>
  <c r="J120" i="1"/>
  <c r="AP98" i="1"/>
  <c r="AP99" i="1" s="1"/>
  <c r="BE253" i="1"/>
  <c r="AV252" i="1"/>
  <c r="BM253" i="1"/>
  <c r="BD253" i="1"/>
  <c r="BM10" i="1"/>
  <c r="AU98" i="1"/>
  <c r="AU99" i="1" s="1"/>
  <c r="AV183" i="1"/>
  <c r="AW183" i="1" s="1"/>
  <c r="AV179" i="1"/>
  <c r="AW179" i="1" s="1"/>
  <c r="U120" i="1"/>
  <c r="N173" i="1"/>
  <c r="J128" i="1"/>
  <c r="J129" i="1" s="1"/>
  <c r="J55" i="1" s="1"/>
  <c r="F134" i="1"/>
  <c r="S173" i="1"/>
  <c r="T173" i="1"/>
  <c r="G148" i="1"/>
  <c r="L134" i="1"/>
  <c r="L33" i="1" s="1"/>
  <c r="P120" i="1"/>
  <c r="B156" i="1"/>
  <c r="Q120" i="1"/>
  <c r="AV180" i="1"/>
  <c r="AW180" i="1" s="1"/>
  <c r="AQ98" i="1"/>
  <c r="AQ99" i="1" s="1"/>
  <c r="AO10" i="1"/>
  <c r="AW98" i="1"/>
  <c r="AW99" i="1" s="1"/>
  <c r="BF253" i="1"/>
  <c r="BN98" i="1"/>
  <c r="BN99" i="1" s="1"/>
  <c r="Q148" i="1"/>
  <c r="J148" i="1"/>
  <c r="AN180" i="1"/>
  <c r="AO180" i="1" s="1"/>
  <c r="W128" i="1"/>
  <c r="B134" i="1"/>
  <c r="AV253" i="1"/>
  <c r="AY98" i="1"/>
  <c r="AY99" i="1" s="1"/>
  <c r="BM98" i="1"/>
  <c r="BM99" i="1" s="1"/>
  <c r="AQ10" i="1"/>
  <c r="BH98" i="1"/>
  <c r="BH99" i="1" s="1"/>
  <c r="AR253" i="1"/>
  <c r="BQ252" i="1"/>
  <c r="BK252" i="1"/>
  <c r="AR179" i="1"/>
  <c r="AS179" i="1" s="1"/>
  <c r="D148" i="1"/>
  <c r="AN10" i="1"/>
  <c r="G173" i="1"/>
  <c r="BA194" i="1"/>
  <c r="AQ253" i="1"/>
  <c r="AV10" i="1"/>
  <c r="BK231" i="1"/>
  <c r="AS98" i="1"/>
  <c r="AS99" i="1" s="1"/>
  <c r="BT98" i="1"/>
  <c r="BT99" i="1" s="1"/>
  <c r="BE252" i="1"/>
  <c r="AT98" i="1"/>
  <c r="AT99" i="1" s="1"/>
  <c r="AN183" i="1"/>
  <c r="AO183" i="1" s="1"/>
  <c r="F128" i="1"/>
  <c r="BE98" i="1"/>
  <c r="BE99" i="1" s="1"/>
  <c r="BF98" i="1"/>
  <c r="BF99" i="1" s="1"/>
  <c r="AR98" i="1"/>
  <c r="AR99" i="1" s="1"/>
  <c r="BE10" i="1"/>
  <c r="AR10" i="1"/>
  <c r="I168" i="1"/>
  <c r="I109" i="1" s="1"/>
  <c r="H202" i="1"/>
  <c r="BV180" i="1"/>
  <c r="BW180" i="1" s="1"/>
  <c r="F156" i="1"/>
  <c r="BW231" i="1"/>
  <c r="BY98" i="1"/>
  <c r="BY99" i="1" s="1"/>
  <c r="BH128" i="1"/>
  <c r="V156" i="1"/>
  <c r="V185" i="1" s="1"/>
  <c r="E128" i="1"/>
  <c r="BV179" i="1"/>
  <c r="BW179" i="1" s="1"/>
  <c r="BW252" i="1"/>
  <c r="BV183" i="1"/>
  <c r="BW183" i="1" s="1"/>
  <c r="BH156" i="1"/>
  <c r="AR134" i="1"/>
  <c r="R156" i="1"/>
  <c r="C156" i="1"/>
  <c r="BV148" i="1"/>
  <c r="BW98" i="1"/>
  <c r="BW99" i="1" s="1"/>
  <c r="BH120" i="1"/>
  <c r="BH92" i="1" s="1"/>
  <c r="BH148" i="1"/>
  <c r="BH182" i="1" s="1"/>
  <c r="U156" i="1"/>
  <c r="U185" i="1" s="1"/>
  <c r="BV253" i="1"/>
  <c r="BV128" i="1"/>
  <c r="BV98" i="1"/>
  <c r="BV99" i="1" s="1"/>
  <c r="BV10" i="1"/>
  <c r="BH134" i="1"/>
  <c r="BH138" i="1" s="1"/>
  <c r="BV252" i="1"/>
  <c r="V37" i="1"/>
  <c r="T156" i="1"/>
  <c r="L202" i="1"/>
  <c r="I148" i="1"/>
  <c r="M120" i="1"/>
  <c r="N120" i="1"/>
  <c r="B65" i="1"/>
  <c r="C148" i="1"/>
  <c r="C182" i="1" s="1"/>
  <c r="C181" i="1" s="1"/>
  <c r="U161" i="1"/>
  <c r="V209" i="1" s="1"/>
  <c r="E120" i="1"/>
  <c r="F207" i="1" s="1"/>
  <c r="C128" i="1"/>
  <c r="D206" i="1" s="1"/>
  <c r="D175" i="1"/>
  <c r="O156" i="1"/>
  <c r="U148" i="1"/>
  <c r="U182" i="1" s="1"/>
  <c r="U181" i="1" s="1"/>
  <c r="AX179" i="1"/>
  <c r="AY179" i="1" s="1"/>
  <c r="C120" i="1"/>
  <c r="L148" i="1"/>
  <c r="J156" i="1"/>
  <c r="R202" i="1"/>
  <c r="P202" i="1"/>
  <c r="T202" i="1"/>
  <c r="Q168" i="1"/>
  <c r="Q109" i="1" s="1"/>
  <c r="BD161" i="1"/>
  <c r="BE209" i="1" s="1"/>
  <c r="O37" i="1"/>
  <c r="W138" i="1"/>
  <c r="W33" i="1"/>
  <c r="AN161" i="1"/>
  <c r="AO209" i="1" s="1"/>
  <c r="AV161" i="1"/>
  <c r="AW209" i="1" s="1"/>
  <c r="BN161" i="1"/>
  <c r="BO209" i="1" s="1"/>
  <c r="BR134" i="1"/>
  <c r="AX161" i="1"/>
  <c r="AY209" i="1" s="1"/>
  <c r="BS128" i="1"/>
  <c r="P206" i="1"/>
  <c r="P168" i="1"/>
  <c r="P109" i="1" s="1"/>
  <c r="P249" i="1"/>
  <c r="P251" i="1" s="1"/>
  <c r="P37" i="1"/>
  <c r="O249" i="1"/>
  <c r="O251" i="1" s="1"/>
  <c r="N37" i="1"/>
  <c r="V138" i="1"/>
  <c r="V33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R249" i="1" s="1"/>
  <c r="BD128" i="1"/>
  <c r="AZ156" i="1"/>
  <c r="AZ185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AY16" i="1"/>
  <c r="BQ27" i="1"/>
  <c r="BQ16" i="1"/>
  <c r="BQ28" i="1" s="1"/>
  <c r="BC202" i="1"/>
  <c r="BD202" i="1"/>
  <c r="AS16" i="1"/>
  <c r="BC16" i="1"/>
  <c r="BC11" i="1"/>
  <c r="BG202" i="1"/>
  <c r="AI181" i="1"/>
  <c r="AS27" i="1"/>
  <c r="AL102" i="1"/>
  <c r="AL103" i="1"/>
  <c r="BI209" i="1"/>
  <c r="CQ138" i="1"/>
  <c r="CR32" i="1"/>
  <c r="AE77" i="1"/>
  <c r="AB125" i="1"/>
  <c r="AB128" i="1" s="1"/>
  <c r="AB249" i="1" s="1"/>
  <c r="AD142" i="1"/>
  <c r="CZ65" i="1"/>
  <c r="DA63" i="1"/>
  <c r="AW17" i="1" l="1"/>
  <c r="BH16" i="1"/>
  <c r="BL11" i="1"/>
  <c r="BC27" i="1"/>
  <c r="AU27" i="1"/>
  <c r="AI27" i="1"/>
  <c r="O206" i="1"/>
  <c r="H138" i="1"/>
  <c r="H33" i="1"/>
  <c r="BI249" i="1"/>
  <c r="BW206" i="1"/>
  <c r="R175" i="1"/>
  <c r="V168" i="1"/>
  <c r="V109" i="1" s="1"/>
  <c r="T54" i="1"/>
  <c r="T175" i="1"/>
  <c r="H197" i="1"/>
  <c r="I138" i="1"/>
  <c r="G248" i="1"/>
  <c r="N182" i="1"/>
  <c r="T206" i="1"/>
  <c r="E197" i="1"/>
  <c r="H184" i="1"/>
  <c r="G54" i="1"/>
  <c r="N209" i="1"/>
  <c r="M248" i="1"/>
  <c r="C33" i="1"/>
  <c r="R168" i="1"/>
  <c r="R109" i="1" s="1"/>
  <c r="S209" i="1"/>
  <c r="BC12" i="1"/>
  <c r="S37" i="1"/>
  <c r="BQ11" i="1"/>
  <c r="BH181" i="1"/>
  <c r="G175" i="1"/>
  <c r="R54" i="1"/>
  <c r="G209" i="1"/>
  <c r="T248" i="1"/>
  <c r="N129" i="1"/>
  <c r="N55" i="1" s="1"/>
  <c r="L54" i="1"/>
  <c r="D107" i="1"/>
  <c r="L157" i="1"/>
  <c r="G138" i="1"/>
  <c r="I33" i="1"/>
  <c r="V182" i="1"/>
  <c r="V181" i="1" s="1"/>
  <c r="M138" i="1"/>
  <c r="M33" i="1"/>
  <c r="G33" i="1"/>
  <c r="H209" i="1"/>
  <c r="AT27" i="1"/>
  <c r="BU27" i="1"/>
  <c r="V249" i="1"/>
  <c r="V251" i="1" s="1"/>
  <c r="S184" i="1"/>
  <c r="U54" i="1"/>
  <c r="R207" i="1"/>
  <c r="E209" i="1"/>
  <c r="D168" i="1"/>
  <c r="D109" i="1" s="1"/>
  <c r="D110" i="1" s="1"/>
  <c r="D113" i="1" s="1"/>
  <c r="J248" i="1"/>
  <c r="K207" i="1"/>
  <c r="BK12" i="1"/>
  <c r="BL12" i="1"/>
  <c r="BK16" i="1"/>
  <c r="AP16" i="1"/>
  <c r="AP11" i="1"/>
  <c r="BA27" i="1"/>
  <c r="AP27" i="1"/>
  <c r="BA11" i="1"/>
  <c r="AW11" i="1"/>
  <c r="N58" i="1"/>
  <c r="AL244" i="1"/>
  <c r="AJ12" i="1"/>
  <c r="AM11" i="1"/>
  <c r="AL225" i="1"/>
  <c r="AI16" i="1"/>
  <c r="BA28" i="1"/>
  <c r="BA17" i="1"/>
  <c r="BI16" i="1"/>
  <c r="BL244" i="1"/>
  <c r="BL225" i="1"/>
  <c r="BA18" i="1"/>
  <c r="AY11" i="1"/>
  <c r="AU16" i="1"/>
  <c r="BK225" i="1"/>
  <c r="T58" i="1"/>
  <c r="BL188" i="1"/>
  <c r="BF27" i="1"/>
  <c r="AY12" i="1"/>
  <c r="BI225" i="1"/>
  <c r="BG12" i="1"/>
  <c r="BP27" i="1"/>
  <c r="BK188" i="1"/>
  <c r="BP11" i="1"/>
  <c r="BJ12" i="1"/>
  <c r="BI27" i="1"/>
  <c r="AX27" i="1"/>
  <c r="BB12" i="1"/>
  <c r="BB188" i="1"/>
  <c r="BB16" i="1"/>
  <c r="BB27" i="1"/>
  <c r="AX12" i="1"/>
  <c r="AX16" i="1"/>
  <c r="BB11" i="1"/>
  <c r="BI12" i="1"/>
  <c r="BC188" i="1"/>
  <c r="BG188" i="1"/>
  <c r="BG27" i="1"/>
  <c r="BJ225" i="1"/>
  <c r="BJ244" i="1"/>
  <c r="BH12" i="1"/>
  <c r="BG16" i="1"/>
  <c r="BF11" i="1"/>
  <c r="BG11" i="1"/>
  <c r="BR27" i="1"/>
  <c r="BJ249" i="1"/>
  <c r="BJ206" i="1"/>
  <c r="AX104" i="1"/>
  <c r="AX103" i="1"/>
  <c r="AL104" i="1"/>
  <c r="AL108" i="1"/>
  <c r="AL111" i="1" s="1"/>
  <c r="AL96" i="1"/>
  <c r="JB21" i="4"/>
  <c r="BV77" i="1" s="1"/>
  <c r="JF14" i="4" s="1"/>
  <c r="JF19" i="4" s="1"/>
  <c r="BZ78" i="1" s="1"/>
  <c r="V206" i="1"/>
  <c r="L175" i="1"/>
  <c r="S157" i="1"/>
  <c r="S206" i="1"/>
  <c r="F181" i="1"/>
  <c r="BV185" i="1"/>
  <c r="M181" i="1"/>
  <c r="T196" i="1"/>
  <c r="H249" i="1"/>
  <c r="H251" i="1" s="1"/>
  <c r="E33" i="1"/>
  <c r="E138" i="1"/>
  <c r="J175" i="1"/>
  <c r="J54" i="1"/>
  <c r="J207" i="1"/>
  <c r="D33" i="1"/>
  <c r="D138" i="1"/>
  <c r="D203" i="1" s="1"/>
  <c r="D201" i="1" s="1"/>
  <c r="L185" i="1"/>
  <c r="L184" i="1" s="1"/>
  <c r="L209" i="1"/>
  <c r="K248" i="1"/>
  <c r="B175" i="1"/>
  <c r="B54" i="1"/>
  <c r="B248" i="1"/>
  <c r="T37" i="1"/>
  <c r="T129" i="1"/>
  <c r="T55" i="1" s="1"/>
  <c r="T249" i="1"/>
  <c r="T251" i="1" s="1"/>
  <c r="B37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D209" i="1"/>
  <c r="W249" i="1"/>
  <c r="W251" i="1" s="1"/>
  <c r="W206" i="1"/>
  <c r="W37" i="1"/>
  <c r="X249" i="1"/>
  <c r="X251" i="1" s="1"/>
  <c r="X206" i="1"/>
  <c r="U175" i="1"/>
  <c r="S54" i="1"/>
  <c r="D66" i="1"/>
  <c r="D108" i="1"/>
  <c r="K33" i="1"/>
  <c r="K138" i="1"/>
  <c r="L129" i="1"/>
  <c r="L55" i="1" s="1"/>
  <c r="D185" i="1"/>
  <c r="R248" i="1"/>
  <c r="V248" i="1"/>
  <c r="N196" i="1"/>
  <c r="O196" i="1"/>
  <c r="P182" i="1"/>
  <c r="P157" i="1"/>
  <c r="R182" i="1"/>
  <c r="R181" i="1" s="1"/>
  <c r="S196" i="1"/>
  <c r="O182" i="1"/>
  <c r="O181" i="1" s="1"/>
  <c r="Q185" i="1"/>
  <c r="N168" i="1"/>
  <c r="N109" i="1" s="1"/>
  <c r="B182" i="1"/>
  <c r="O138" i="1"/>
  <c r="O33" i="1"/>
  <c r="V54" i="1"/>
  <c r="V129" i="1"/>
  <c r="V55" i="1" s="1"/>
  <c r="V175" i="1"/>
  <c r="N157" i="1"/>
  <c r="E185" i="1"/>
  <c r="G185" i="1"/>
  <c r="M197" i="1"/>
  <c r="N197" i="1"/>
  <c r="M157" i="1"/>
  <c r="M185" i="1"/>
  <c r="BH27" i="1"/>
  <c r="BJ11" i="1"/>
  <c r="BF16" i="1"/>
  <c r="BS27" i="1"/>
  <c r="BT27" i="1"/>
  <c r="T157" i="1"/>
  <c r="T165" i="1" s="1"/>
  <c r="T166" i="1" s="1"/>
  <c r="AP181" i="1"/>
  <c r="BF184" i="1"/>
  <c r="AZ184" i="1"/>
  <c r="BF28" i="1"/>
  <c r="BS104" i="1"/>
  <c r="BS103" i="1"/>
  <c r="J138" i="1"/>
  <c r="J33" i="1"/>
  <c r="AW28" i="1"/>
  <c r="AW27" i="1"/>
  <c r="R37" i="1"/>
  <c r="S249" i="1"/>
  <c r="S251" i="1" s="1"/>
  <c r="R129" i="1"/>
  <c r="R55" i="1" s="1"/>
  <c r="R206" i="1"/>
  <c r="R205" i="1" s="1"/>
  <c r="R249" i="1"/>
  <c r="R251" i="1" s="1"/>
  <c r="T182" i="1"/>
  <c r="T246" i="1"/>
  <c r="I209" i="1"/>
  <c r="H168" i="1"/>
  <c r="H109" i="1" s="1"/>
  <c r="T207" i="1"/>
  <c r="S175" i="1"/>
  <c r="E182" i="1"/>
  <c r="E181" i="1" s="1"/>
  <c r="E157" i="1"/>
  <c r="E165" i="1" s="1"/>
  <c r="F196" i="1"/>
  <c r="L206" i="1"/>
  <c r="L205" i="1" s="1"/>
  <c r="L37" i="1"/>
  <c r="L249" i="1"/>
  <c r="L251" i="1" s="1"/>
  <c r="O175" i="1"/>
  <c r="O129" i="1"/>
  <c r="O55" i="1" s="1"/>
  <c r="O54" i="1"/>
  <c r="K185" i="1"/>
  <c r="K184" i="1" s="1"/>
  <c r="L197" i="1"/>
  <c r="Q37" i="1"/>
  <c r="Q249" i="1"/>
  <c r="Q251" i="1" s="1"/>
  <c r="Q206" i="1"/>
  <c r="T209" i="1"/>
  <c r="S248" i="1"/>
  <c r="S168" i="1"/>
  <c r="S109" i="1" s="1"/>
  <c r="I248" i="1"/>
  <c r="I175" i="1"/>
  <c r="I54" i="1"/>
  <c r="D129" i="1"/>
  <c r="D55" i="1" s="1"/>
  <c r="D37" i="1"/>
  <c r="U249" i="1"/>
  <c r="U251" i="1" s="1"/>
  <c r="U206" i="1"/>
  <c r="U37" i="1"/>
  <c r="P185" i="1"/>
  <c r="P184" i="1" s="1"/>
  <c r="Q197" i="1"/>
  <c r="H206" i="1"/>
  <c r="G168" i="1"/>
  <c r="G109" i="1" s="1"/>
  <c r="G129" i="1"/>
  <c r="G55" i="1" s="1"/>
  <c r="G37" i="1"/>
  <c r="G207" i="1"/>
  <c r="F248" i="1"/>
  <c r="F175" i="1"/>
  <c r="F54" i="1"/>
  <c r="BC103" i="1"/>
  <c r="BC104" i="1"/>
  <c r="BC102" i="1"/>
  <c r="AZ12" i="1"/>
  <c r="BA12" i="1"/>
  <c r="BD11" i="1"/>
  <c r="BB225" i="1"/>
  <c r="BA104" i="1"/>
  <c r="BA103" i="1"/>
  <c r="BD12" i="1"/>
  <c r="BD16" i="1"/>
  <c r="BH11" i="1"/>
  <c r="BG225" i="1"/>
  <c r="BD27" i="1"/>
  <c r="BE12" i="1"/>
  <c r="BD188" i="1"/>
  <c r="AU12" i="1"/>
  <c r="AW225" i="1"/>
  <c r="AT11" i="1"/>
  <c r="AT12" i="1"/>
  <c r="AY188" i="1"/>
  <c r="AT188" i="1"/>
  <c r="BY11" i="1"/>
  <c r="BU188" i="1"/>
  <c r="BU11" i="1"/>
  <c r="BU16" i="1"/>
  <c r="BT225" i="1"/>
  <c r="BS12" i="1"/>
  <c r="BU225" i="1"/>
  <c r="BU102" i="1"/>
  <c r="BU103" i="1"/>
  <c r="BU104" i="1"/>
  <c r="I185" i="1"/>
  <c r="I184" i="1" s="1"/>
  <c r="I197" i="1"/>
  <c r="BJ17" i="1"/>
  <c r="BJ28" i="1"/>
  <c r="BO27" i="1"/>
  <c r="BR225" i="1"/>
  <c r="V58" i="1"/>
  <c r="BP12" i="1"/>
  <c r="BO16" i="1"/>
  <c r="BO11" i="1"/>
  <c r="H244" i="1"/>
  <c r="H246" i="1"/>
  <c r="BG104" i="1"/>
  <c r="BG103" i="1"/>
  <c r="BG102" i="1"/>
  <c r="M249" i="1"/>
  <c r="M251" i="1" s="1"/>
  <c r="M37" i="1"/>
  <c r="M129" i="1"/>
  <c r="M55" i="1" s="1"/>
  <c r="M168" i="1"/>
  <c r="M109" i="1" s="1"/>
  <c r="BT102" i="1"/>
  <c r="BT104" i="1"/>
  <c r="BT103" i="1"/>
  <c r="AT103" i="1"/>
  <c r="AT104" i="1"/>
  <c r="AT102" i="1"/>
  <c r="G249" i="1"/>
  <c r="G251" i="1" s="1"/>
  <c r="G206" i="1"/>
  <c r="BI188" i="1"/>
  <c r="BJ188" i="1"/>
  <c r="AU225" i="1"/>
  <c r="AR16" i="1"/>
  <c r="P197" i="1"/>
  <c r="P198" i="1" s="1"/>
  <c r="P199" i="1" s="1"/>
  <c r="AM193" i="1"/>
  <c r="AM195" i="1" s="1"/>
  <c r="AM66" i="1"/>
  <c r="AM69" i="1" s="1"/>
  <c r="BW134" i="1"/>
  <c r="BW33" i="1"/>
  <c r="BV138" i="1"/>
  <c r="BX249" i="1"/>
  <c r="BX206" i="1"/>
  <c r="BO102" i="1"/>
  <c r="BO103" i="1"/>
  <c r="BO104" i="1"/>
  <c r="AM52" i="1"/>
  <c r="AM119" i="1"/>
  <c r="AM120" i="1" s="1"/>
  <c r="BL104" i="1"/>
  <c r="BL102" i="1"/>
  <c r="BL103" i="1"/>
  <c r="BJ102" i="1"/>
  <c r="BJ103" i="1"/>
  <c r="BJ104" i="1"/>
  <c r="BZ103" i="1"/>
  <c r="BZ104" i="1"/>
  <c r="BZ102" i="1"/>
  <c r="BX188" i="1"/>
  <c r="X58" i="1"/>
  <c r="BW16" i="1"/>
  <c r="CA11" i="1"/>
  <c r="BZ225" i="1"/>
  <c r="BX12" i="1"/>
  <c r="BW27" i="1"/>
  <c r="BZ244" i="1"/>
  <c r="CB188" i="1"/>
  <c r="C69" i="1"/>
  <c r="C68" i="1"/>
  <c r="BX104" i="1"/>
  <c r="BX103" i="1"/>
  <c r="AO104" i="1"/>
  <c r="AO103" i="1"/>
  <c r="AP104" i="1"/>
  <c r="AP103" i="1"/>
  <c r="BV102" i="1"/>
  <c r="BV103" i="1"/>
  <c r="BV104" i="1"/>
  <c r="BV12" i="1"/>
  <c r="BV188" i="1"/>
  <c r="BV11" i="1"/>
  <c r="BW12" i="1"/>
  <c r="BY225" i="1"/>
  <c r="AT184" i="1"/>
  <c r="AX184" i="1"/>
  <c r="BN103" i="1"/>
  <c r="BN102" i="1"/>
  <c r="BW103" i="1"/>
  <c r="BW104" i="1"/>
  <c r="B157" i="1"/>
  <c r="AV188" i="1"/>
  <c r="BT184" i="1"/>
  <c r="BP184" i="1"/>
  <c r="BR184" i="1"/>
  <c r="BP181" i="1"/>
  <c r="BB184" i="1"/>
  <c r="BD184" i="1"/>
  <c r="BH206" i="1"/>
  <c r="AV184" i="1"/>
  <c r="BP16" i="1"/>
  <c r="BP188" i="1"/>
  <c r="BS225" i="1"/>
  <c r="S129" i="1"/>
  <c r="S55" i="1" s="1"/>
  <c r="S207" i="1"/>
  <c r="S205" i="1" s="1"/>
  <c r="K182" i="1"/>
  <c r="K157" i="1"/>
  <c r="K165" i="1" s="1"/>
  <c r="K166" i="1" s="1"/>
  <c r="S186" i="1"/>
  <c r="S181" i="1"/>
  <c r="BQ225" i="1"/>
  <c r="BN11" i="1"/>
  <c r="BR11" i="1"/>
  <c r="BN16" i="1"/>
  <c r="BN188" i="1"/>
  <c r="BO12" i="1"/>
  <c r="BQ102" i="1"/>
  <c r="BQ103" i="1"/>
  <c r="BQ104" i="1"/>
  <c r="BB104" i="1"/>
  <c r="BB103" i="1"/>
  <c r="AZ102" i="1"/>
  <c r="AZ104" i="1"/>
  <c r="AZ103" i="1"/>
  <c r="AZ16" i="1"/>
  <c r="R58" i="1"/>
  <c r="AZ225" i="1"/>
  <c r="AZ27" i="1"/>
  <c r="BA225" i="1"/>
  <c r="AZ188" i="1"/>
  <c r="BC225" i="1"/>
  <c r="BE225" i="1"/>
  <c r="S58" i="1"/>
  <c r="BD225" i="1"/>
  <c r="BH188" i="1"/>
  <c r="BF225" i="1"/>
  <c r="BD102" i="1"/>
  <c r="BD104" i="1"/>
  <c r="BD103" i="1"/>
  <c r="BW11" i="1"/>
  <c r="BS16" i="1"/>
  <c r="BT12" i="1"/>
  <c r="BS188" i="1"/>
  <c r="W58" i="1"/>
  <c r="BV225" i="1"/>
  <c r="AU188" i="1"/>
  <c r="AT16" i="1"/>
  <c r="AX188" i="1"/>
  <c r="AX11" i="1"/>
  <c r="AV225" i="1"/>
  <c r="BY188" i="1"/>
  <c r="BX225" i="1"/>
  <c r="BR12" i="1"/>
  <c r="BR16" i="1"/>
  <c r="I249" i="1"/>
  <c r="I251" i="1" s="1"/>
  <c r="I129" i="1"/>
  <c r="I55" i="1" s="1"/>
  <c r="I37" i="1"/>
  <c r="I206" i="1"/>
  <c r="BW225" i="1"/>
  <c r="BT16" i="1"/>
  <c r="BX11" i="1"/>
  <c r="BU12" i="1"/>
  <c r="BT188" i="1"/>
  <c r="BT11" i="1"/>
  <c r="BS11" i="1"/>
  <c r="BO188" i="1"/>
  <c r="BI104" i="1"/>
  <c r="BK104" i="1"/>
  <c r="BK103" i="1"/>
  <c r="AN103" i="1"/>
  <c r="AN102" i="1"/>
  <c r="AN104" i="1"/>
  <c r="I196" i="1"/>
  <c r="I198" i="1" s="1"/>
  <c r="I199" i="1" s="1"/>
  <c r="H182" i="1"/>
  <c r="H157" i="1"/>
  <c r="H165" i="1" s="1"/>
  <c r="P33" i="1"/>
  <c r="P138" i="1"/>
  <c r="R33" i="1"/>
  <c r="R138" i="1"/>
  <c r="N138" i="1"/>
  <c r="N33" i="1"/>
  <c r="Q138" i="1"/>
  <c r="Q33" i="1"/>
  <c r="AV103" i="1"/>
  <c r="AV102" i="1"/>
  <c r="AV104" i="1"/>
  <c r="U33" i="1"/>
  <c r="U138" i="1"/>
  <c r="M206" i="1"/>
  <c r="N249" i="1"/>
  <c r="N251" i="1" s="1"/>
  <c r="N206" i="1"/>
  <c r="H129" i="1"/>
  <c r="H55" i="1" s="1"/>
  <c r="H175" i="1"/>
  <c r="I207" i="1"/>
  <c r="I205" i="1" s="1"/>
  <c r="H207" i="1"/>
  <c r="H248" i="1"/>
  <c r="H54" i="1"/>
  <c r="U129" i="1"/>
  <c r="U55" i="1" s="1"/>
  <c r="V207" i="1"/>
  <c r="V205" i="1" s="1"/>
  <c r="U207" i="1"/>
  <c r="U205" i="1" s="1"/>
  <c r="J37" i="1"/>
  <c r="J168" i="1"/>
  <c r="J109" i="1" s="1"/>
  <c r="J249" i="1"/>
  <c r="J251" i="1" s="1"/>
  <c r="J206" i="1"/>
  <c r="J205" i="1" s="1"/>
  <c r="G182" i="1"/>
  <c r="G157" i="1"/>
  <c r="G165" i="1" s="1"/>
  <c r="G166" i="1" s="1"/>
  <c r="G196" i="1"/>
  <c r="P175" i="1"/>
  <c r="B185" i="1"/>
  <c r="C197" i="1"/>
  <c r="Q248" i="1"/>
  <c r="Q54" i="1"/>
  <c r="Q175" i="1"/>
  <c r="Q129" i="1"/>
  <c r="Q55" i="1" s="1"/>
  <c r="AQ104" i="1"/>
  <c r="AQ103" i="1"/>
  <c r="AQ102" i="1"/>
  <c r="AO188" i="1"/>
  <c r="AO16" i="1"/>
  <c r="AP12" i="1"/>
  <c r="AP188" i="1"/>
  <c r="AO27" i="1"/>
  <c r="AO11" i="1"/>
  <c r="AS11" i="1"/>
  <c r="AW103" i="1"/>
  <c r="AW104" i="1"/>
  <c r="Q182" i="1"/>
  <c r="Q157" i="1"/>
  <c r="B138" i="1"/>
  <c r="C203" i="1" s="1"/>
  <c r="C201" i="1" s="1"/>
  <c r="B33" i="1"/>
  <c r="AY103" i="1"/>
  <c r="AY102" i="1"/>
  <c r="AY104" i="1"/>
  <c r="BM103" i="1"/>
  <c r="BM104" i="1"/>
  <c r="AU11" i="1"/>
  <c r="AQ188" i="1"/>
  <c r="AQ12" i="1"/>
  <c r="AR12" i="1"/>
  <c r="AQ27" i="1"/>
  <c r="BH103" i="1"/>
  <c r="BH102" i="1"/>
  <c r="BH104" i="1"/>
  <c r="E196" i="1"/>
  <c r="E198" i="1" s="1"/>
  <c r="E199" i="1" s="1"/>
  <c r="D157" i="1"/>
  <c r="D165" i="1" s="1"/>
  <c r="D182" i="1"/>
  <c r="AQ225" i="1"/>
  <c r="AN27" i="1"/>
  <c r="AP225" i="1"/>
  <c r="AN11" i="1"/>
  <c r="AO225" i="1"/>
  <c r="AN16" i="1"/>
  <c r="AN12" i="1"/>
  <c r="AN225" i="1"/>
  <c r="AO12" i="1"/>
  <c r="AR11" i="1"/>
  <c r="AN188" i="1"/>
  <c r="O58" i="1"/>
  <c r="AX225" i="1"/>
  <c r="AW12" i="1"/>
  <c r="BA188" i="1"/>
  <c r="AZ11" i="1"/>
  <c r="AV12" i="1"/>
  <c r="Q58" i="1"/>
  <c r="AV27" i="1"/>
  <c r="AV16" i="1"/>
  <c r="AW188" i="1"/>
  <c r="AY225" i="1"/>
  <c r="AS102" i="1"/>
  <c r="AS104" i="1"/>
  <c r="F37" i="1"/>
  <c r="F129" i="1"/>
  <c r="F55" i="1" s="1"/>
  <c r="F206" i="1"/>
  <c r="F205" i="1" s="1"/>
  <c r="F168" i="1"/>
  <c r="F109" i="1" s="1"/>
  <c r="BE104" i="1"/>
  <c r="BE102" i="1"/>
  <c r="BF103" i="1"/>
  <c r="BF104" i="1"/>
  <c r="BF102" i="1"/>
  <c r="AR102" i="1"/>
  <c r="AR103" i="1"/>
  <c r="AR104" i="1"/>
  <c r="BH225" i="1"/>
  <c r="BE27" i="1"/>
  <c r="BE16" i="1"/>
  <c r="BE18" i="1" s="1"/>
  <c r="BE188" i="1"/>
  <c r="BF188" i="1"/>
  <c r="BI11" i="1"/>
  <c r="BF12" i="1"/>
  <c r="BE11" i="1"/>
  <c r="AS12" i="1"/>
  <c r="AS188" i="1"/>
  <c r="AR27" i="1"/>
  <c r="AV11" i="1"/>
  <c r="F157" i="1"/>
  <c r="F185" i="1"/>
  <c r="G197" i="1"/>
  <c r="F197" i="1"/>
  <c r="F198" i="1" s="1"/>
  <c r="F199" i="1" s="1"/>
  <c r="BY104" i="1"/>
  <c r="BY102" i="1"/>
  <c r="BY103" i="1"/>
  <c r="BI206" i="1"/>
  <c r="BH168" i="1"/>
  <c r="E206" i="1"/>
  <c r="E168" i="1"/>
  <c r="E109" i="1" s="1"/>
  <c r="BH185" i="1"/>
  <c r="BH157" i="1"/>
  <c r="BH165" i="1" s="1"/>
  <c r="AR138" i="1"/>
  <c r="AS33" i="1"/>
  <c r="AS134" i="1"/>
  <c r="S197" i="1"/>
  <c r="S198" i="1" s="1"/>
  <c r="S199" i="1" s="1"/>
  <c r="R197" i="1"/>
  <c r="R185" i="1"/>
  <c r="R157" i="1"/>
  <c r="D197" i="1"/>
  <c r="C185" i="1"/>
  <c r="BV182" i="1"/>
  <c r="BV157" i="1"/>
  <c r="BH96" i="1"/>
  <c r="BH95" i="1"/>
  <c r="BV129" i="1"/>
  <c r="BW249" i="1"/>
  <c r="BV16" i="1"/>
  <c r="BZ11" i="1"/>
  <c r="I182" i="1"/>
  <c r="I157" i="1"/>
  <c r="I165" i="1" s="1"/>
  <c r="I166" i="1" s="1"/>
  <c r="C248" i="1"/>
  <c r="C207" i="1"/>
  <c r="J197" i="1"/>
  <c r="J185" i="1"/>
  <c r="J184" i="1" s="1"/>
  <c r="L248" i="1"/>
  <c r="L168" i="1"/>
  <c r="L109" i="1" s="1"/>
  <c r="S138" i="1"/>
  <c r="T203" i="1" s="1"/>
  <c r="T201" i="1" s="1"/>
  <c r="BM27" i="1"/>
  <c r="O168" i="1"/>
  <c r="O109" i="1" s="1"/>
  <c r="L138" i="1"/>
  <c r="BV184" i="1"/>
  <c r="BV168" i="1"/>
  <c r="BW37" i="1" s="1"/>
  <c r="AQ11" i="1"/>
  <c r="U157" i="1"/>
  <c r="O157" i="1"/>
  <c r="O165" i="1" s="1"/>
  <c r="O166" i="1" s="1"/>
  <c r="J182" i="1"/>
  <c r="F33" i="1"/>
  <c r="F138" i="1"/>
  <c r="F203" i="1" s="1"/>
  <c r="F201" i="1" s="1"/>
  <c r="BP225" i="1"/>
  <c r="AQ16" i="1"/>
  <c r="BP104" i="1"/>
  <c r="BR103" i="1"/>
  <c r="U168" i="1"/>
  <c r="U109" i="1" s="1"/>
  <c r="J157" i="1"/>
  <c r="J165" i="1" s="1"/>
  <c r="J166" i="1" s="1"/>
  <c r="K196" i="1"/>
  <c r="U196" i="1"/>
  <c r="P58" i="1"/>
  <c r="U58" i="1"/>
  <c r="AR225" i="1"/>
  <c r="BR104" i="1"/>
  <c r="AU102" i="1"/>
  <c r="O197" i="1"/>
  <c r="O198" i="1" s="1"/>
  <c r="O199" i="1" s="1"/>
  <c r="P129" i="1"/>
  <c r="P55" i="1" s="1"/>
  <c r="Q207" i="1"/>
  <c r="Q205" i="1" s="1"/>
  <c r="AR188" i="1"/>
  <c r="AT225" i="1"/>
  <c r="BR188" i="1"/>
  <c r="AS225" i="1"/>
  <c r="AU104" i="1"/>
  <c r="O185" i="1"/>
  <c r="P248" i="1"/>
  <c r="Q196" i="1"/>
  <c r="BO225" i="1"/>
  <c r="BQ188" i="1"/>
  <c r="BM12" i="1"/>
  <c r="BM11" i="1"/>
  <c r="P54" i="1"/>
  <c r="H196" i="1"/>
  <c r="R196" i="1"/>
  <c r="C157" i="1"/>
  <c r="C165" i="1" s="1"/>
  <c r="C244" i="1" s="1"/>
  <c r="BN225" i="1"/>
  <c r="BN12" i="1"/>
  <c r="BM188" i="1"/>
  <c r="BM16" i="1"/>
  <c r="BM225" i="1"/>
  <c r="P207" i="1"/>
  <c r="P205" i="1" s="1"/>
  <c r="O248" i="1"/>
  <c r="BV248" i="1"/>
  <c r="K197" i="1"/>
  <c r="E129" i="1"/>
  <c r="E55" i="1" s="1"/>
  <c r="BI33" i="1"/>
  <c r="BH248" i="1"/>
  <c r="E37" i="1"/>
  <c r="BH129" i="1"/>
  <c r="C249" i="1"/>
  <c r="C251" i="1" s="1"/>
  <c r="BH94" i="1"/>
  <c r="BW188" i="1"/>
  <c r="V197" i="1"/>
  <c r="U197" i="1"/>
  <c r="CA188" i="1"/>
  <c r="BI134" i="1"/>
  <c r="V157" i="1"/>
  <c r="V165" i="1" s="1"/>
  <c r="T197" i="1"/>
  <c r="D249" i="1"/>
  <c r="D251" i="1" s="1"/>
  <c r="BX244" i="1"/>
  <c r="BZ188" i="1"/>
  <c r="BV27" i="1"/>
  <c r="F249" i="1"/>
  <c r="F251" i="1" s="1"/>
  <c r="T185" i="1"/>
  <c r="T184" i="1" s="1"/>
  <c r="AR181" i="1"/>
  <c r="U248" i="1"/>
  <c r="C37" i="1"/>
  <c r="C129" i="1"/>
  <c r="C55" i="1" s="1"/>
  <c r="C196" i="1"/>
  <c r="C175" i="1"/>
  <c r="C54" i="1"/>
  <c r="D207" i="1"/>
  <c r="D205" i="1" s="1"/>
  <c r="E175" i="1"/>
  <c r="E207" i="1"/>
  <c r="E54" i="1"/>
  <c r="M196" i="1"/>
  <c r="L196" i="1"/>
  <c r="L182" i="1"/>
  <c r="L181" i="1" s="1"/>
  <c r="V196" i="1"/>
  <c r="B108" i="1"/>
  <c r="B66" i="1"/>
  <c r="N54" i="1"/>
  <c r="N175" i="1"/>
  <c r="N207" i="1"/>
  <c r="N248" i="1"/>
  <c r="C168" i="1"/>
  <c r="C109" i="1" s="1"/>
  <c r="C110" i="1" s="1"/>
  <c r="C113" i="1" s="1"/>
  <c r="C206" i="1"/>
  <c r="D196" i="1"/>
  <c r="M207" i="1"/>
  <c r="M175" i="1"/>
  <c r="M54" i="1"/>
  <c r="AW202" i="1"/>
  <c r="J196" i="1"/>
  <c r="O207" i="1"/>
  <c r="O205" i="1" s="1"/>
  <c r="B107" i="1"/>
  <c r="X203" i="1"/>
  <c r="X201" i="1" s="1"/>
  <c r="W203" i="1"/>
  <c r="W201" i="1" s="1"/>
  <c r="G244" i="1"/>
  <c r="G246" i="1"/>
  <c r="H203" i="1"/>
  <c r="H201" i="1" s="1"/>
  <c r="I203" i="1"/>
  <c r="I201" i="1" s="1"/>
  <c r="I244" i="1"/>
  <c r="I246" i="1"/>
  <c r="M244" i="1"/>
  <c r="M246" i="1"/>
  <c r="AR202" i="1"/>
  <c r="AQ202" i="1"/>
  <c r="BB168" i="1"/>
  <c r="AV168" i="1"/>
  <c r="BS33" i="1"/>
  <c r="BS134" i="1"/>
  <c r="BR138" i="1"/>
  <c r="V244" i="1"/>
  <c r="V246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U184" i="1"/>
  <c r="U186" i="1"/>
  <c r="V184" i="1"/>
  <c r="V186" i="1"/>
  <c r="BN168" i="1"/>
  <c r="BN129" i="1"/>
  <c r="BC206" i="1"/>
  <c r="BC249" i="1"/>
  <c r="N186" i="1"/>
  <c r="N181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AY28" i="1"/>
  <c r="AY17" i="1"/>
  <c r="BQ17" i="1"/>
  <c r="BQ34" i="1"/>
  <c r="BQ38" i="1" s="1"/>
  <c r="BQ29" i="1"/>
  <c r="BQ232" i="1"/>
  <c r="BQ233" i="1" s="1"/>
  <c r="AS17" i="1"/>
  <c r="AS28" i="1"/>
  <c r="AW18" i="1"/>
  <c r="BN184" i="1"/>
  <c r="N59" i="1"/>
  <c r="BA29" i="1"/>
  <c r="BA232" i="1"/>
  <c r="BA233" i="1" s="1"/>
  <c r="BA34" i="1"/>
  <c r="BA38" i="1" s="1"/>
  <c r="AU28" i="1"/>
  <c r="AY18" i="1"/>
  <c r="AU17" i="1"/>
  <c r="BC28" i="1"/>
  <c r="BC17" i="1"/>
  <c r="BC18" i="1"/>
  <c r="BH28" i="1"/>
  <c r="BH17" i="1"/>
  <c r="BL18" i="1"/>
  <c r="AT95" i="1"/>
  <c r="AT96" i="1"/>
  <c r="AT94" i="1"/>
  <c r="AY19" i="1"/>
  <c r="BI19" i="1"/>
  <c r="BR96" i="1"/>
  <c r="BR94" i="1"/>
  <c r="BR95" i="1"/>
  <c r="BH246" i="1"/>
  <c r="BH244" i="1"/>
  <c r="BB17" i="1"/>
  <c r="BB28" i="1"/>
  <c r="BB19" i="1"/>
  <c r="CR194" i="1"/>
  <c r="CR132" i="1"/>
  <c r="CQ203" i="1"/>
  <c r="CQ201" i="1" s="1"/>
  <c r="AB206" i="1"/>
  <c r="DB63" i="1"/>
  <c r="DB65" i="1" s="1"/>
  <c r="DA65" i="1"/>
  <c r="Q165" i="1" l="1"/>
  <c r="Q166" i="1" s="1"/>
  <c r="H166" i="1"/>
  <c r="J244" i="1"/>
  <c r="H198" i="1"/>
  <c r="H199" i="1" s="1"/>
  <c r="R198" i="1"/>
  <c r="R199" i="1" s="1"/>
  <c r="T205" i="1"/>
  <c r="U244" i="1"/>
  <c r="G205" i="1"/>
  <c r="V166" i="1"/>
  <c r="T198" i="1"/>
  <c r="T199" i="1" s="1"/>
  <c r="E244" i="1"/>
  <c r="E246" i="1"/>
  <c r="E203" i="1"/>
  <c r="E201" i="1" s="1"/>
  <c r="Q184" i="1"/>
  <c r="E184" i="1"/>
  <c r="O244" i="1"/>
  <c r="G184" i="1"/>
  <c r="BJ232" i="1"/>
  <c r="BJ233" i="1" s="1"/>
  <c r="BJ29" i="1"/>
  <c r="BJ34" i="1"/>
  <c r="BJ38" i="1" s="1"/>
  <c r="B111" i="1"/>
  <c r="B114" i="1" s="1"/>
  <c r="D111" i="1"/>
  <c r="D114" i="1" s="1"/>
  <c r="K244" i="1"/>
  <c r="K246" i="1"/>
  <c r="P181" i="1"/>
  <c r="O246" i="1"/>
  <c r="BV94" i="1"/>
  <c r="BL19" i="1"/>
  <c r="BK17" i="1"/>
  <c r="BK28" i="1"/>
  <c r="BK19" i="1"/>
  <c r="AP28" i="1"/>
  <c r="AP18" i="1"/>
  <c r="AP17" i="1"/>
  <c r="BI17" i="1"/>
  <c r="BI28" i="1"/>
  <c r="BJ19" i="1"/>
  <c r="BP28" i="1"/>
  <c r="BP18" i="1"/>
  <c r="BP17" i="1"/>
  <c r="BQ19" i="1"/>
  <c r="BF17" i="1"/>
  <c r="BJ18" i="1"/>
  <c r="BC19" i="1"/>
  <c r="BF29" i="1"/>
  <c r="BF34" i="1"/>
  <c r="BF38" i="1" s="1"/>
  <c r="BF232" i="1"/>
  <c r="BF233" i="1" s="1"/>
  <c r="AJ19" i="1"/>
  <c r="AI17" i="1"/>
  <c r="AM18" i="1"/>
  <c r="AI28" i="1"/>
  <c r="BA30" i="1"/>
  <c r="AW232" i="1"/>
  <c r="AW233" i="1" s="1"/>
  <c r="AW29" i="1"/>
  <c r="AW34" i="1"/>
  <c r="AW38" i="1" s="1"/>
  <c r="AU19" i="1"/>
  <c r="BS28" i="1"/>
  <c r="BS17" i="1"/>
  <c r="BD19" i="1"/>
  <c r="S59" i="1"/>
  <c r="BR28" i="1"/>
  <c r="BR19" i="1"/>
  <c r="BR17" i="1"/>
  <c r="BH18" i="1"/>
  <c r="BB18" i="1"/>
  <c r="AX19" i="1"/>
  <c r="AX17" i="1"/>
  <c r="AX18" i="1"/>
  <c r="AX28" i="1"/>
  <c r="BN18" i="1"/>
  <c r="BR18" i="1"/>
  <c r="BN28" i="1"/>
  <c r="BN17" i="1"/>
  <c r="BG19" i="1"/>
  <c r="BG18" i="1"/>
  <c r="BG17" i="1"/>
  <c r="BH19" i="1"/>
  <c r="BK18" i="1"/>
  <c r="T59" i="1"/>
  <c r="BG28" i="1"/>
  <c r="AN28" i="1"/>
  <c r="AN18" i="1"/>
  <c r="AN19" i="1"/>
  <c r="AN17" i="1"/>
  <c r="AV28" i="1"/>
  <c r="AV17" i="1"/>
  <c r="AW19" i="1"/>
  <c r="AZ18" i="1"/>
  <c r="BU19" i="1"/>
  <c r="BT28" i="1"/>
  <c r="BX18" i="1"/>
  <c r="BT17" i="1"/>
  <c r="BT18" i="1"/>
  <c r="AQ28" i="1"/>
  <c r="AQ18" i="1"/>
  <c r="AQ17" i="1"/>
  <c r="R59" i="1"/>
  <c r="BF18" i="1"/>
  <c r="BT19" i="1"/>
  <c r="M198" i="1"/>
  <c r="M199" i="1" s="1"/>
  <c r="AV19" i="1"/>
  <c r="Q198" i="1"/>
  <c r="Q199" i="1" s="1"/>
  <c r="BJ30" i="1"/>
  <c r="BZ89" i="1"/>
  <c r="BZ95" i="1"/>
  <c r="BZ107" i="1"/>
  <c r="BZ110" i="1" s="1"/>
  <c r="E166" i="1"/>
  <c r="BS19" i="1"/>
  <c r="M205" i="1"/>
  <c r="H205" i="1"/>
  <c r="G198" i="1"/>
  <c r="G199" i="1" s="1"/>
  <c r="C198" i="1"/>
  <c r="C199" i="1" s="1"/>
  <c r="K198" i="1"/>
  <c r="K199" i="1" s="1"/>
  <c r="K205" i="1"/>
  <c r="B110" i="1"/>
  <c r="B113" i="1" s="1"/>
  <c r="D184" i="1"/>
  <c r="N198" i="1"/>
  <c r="N199" i="1" s="1"/>
  <c r="M165" i="1"/>
  <c r="D69" i="1"/>
  <c r="D68" i="1"/>
  <c r="B181" i="1"/>
  <c r="P186" i="1"/>
  <c r="E186" i="1"/>
  <c r="BE28" i="1"/>
  <c r="BF19" i="1"/>
  <c r="Q59" i="1"/>
  <c r="BI18" i="1"/>
  <c r="BE17" i="1"/>
  <c r="BV18" i="1"/>
  <c r="R165" i="1"/>
  <c r="R166" i="1" s="1"/>
  <c r="U165" i="1"/>
  <c r="U166" i="1" s="1"/>
  <c r="U198" i="1"/>
  <c r="U199" i="1" s="1"/>
  <c r="L198" i="1"/>
  <c r="L199" i="1" s="1"/>
  <c r="N205" i="1"/>
  <c r="D198" i="1"/>
  <c r="D199" i="1" s="1"/>
  <c r="J198" i="1"/>
  <c r="J199" i="1" s="1"/>
  <c r="AR165" i="1"/>
  <c r="J246" i="1"/>
  <c r="K203" i="1"/>
  <c r="K201" i="1" s="1"/>
  <c r="J203" i="1"/>
  <c r="J201" i="1" s="1"/>
  <c r="T181" i="1"/>
  <c r="T186" i="1"/>
  <c r="BE19" i="1"/>
  <c r="BD28" i="1"/>
  <c r="BD17" i="1"/>
  <c r="BD18" i="1"/>
  <c r="BU17" i="1"/>
  <c r="BU28" i="1"/>
  <c r="BY18" i="1"/>
  <c r="BU18" i="1"/>
  <c r="BS18" i="1"/>
  <c r="V59" i="1"/>
  <c r="BP19" i="1"/>
  <c r="BO28" i="1"/>
  <c r="BO19" i="1"/>
  <c r="BO17" i="1"/>
  <c r="BO18" i="1"/>
  <c r="AR28" i="1"/>
  <c r="AS19" i="1"/>
  <c r="AR17" i="1"/>
  <c r="AR18" i="1"/>
  <c r="AR19" i="1"/>
  <c r="P59" i="1"/>
  <c r="AV18" i="1"/>
  <c r="BX33" i="1"/>
  <c r="BW138" i="1"/>
  <c r="BV165" i="1"/>
  <c r="BV166" i="1" s="1"/>
  <c r="BV244" i="1"/>
  <c r="BV246" i="1"/>
  <c r="BW18" i="1"/>
  <c r="BX19" i="1"/>
  <c r="X59" i="1"/>
  <c r="BW17" i="1"/>
  <c r="BW28" i="1"/>
  <c r="CA18" i="1"/>
  <c r="BW19" i="1"/>
  <c r="K181" i="1"/>
  <c r="K186" i="1"/>
  <c r="BA19" i="1"/>
  <c r="AZ19" i="1"/>
  <c r="AT19" i="1"/>
  <c r="AT18" i="1"/>
  <c r="O203" i="1"/>
  <c r="O201" i="1" s="1"/>
  <c r="N165" i="1"/>
  <c r="N166" i="1" s="1"/>
  <c r="N203" i="1"/>
  <c r="N201" i="1" s="1"/>
  <c r="Q246" i="1"/>
  <c r="R203" i="1"/>
  <c r="R201" i="1" s="1"/>
  <c r="Q244" i="1"/>
  <c r="U203" i="1"/>
  <c r="U201" i="1" s="1"/>
  <c r="U246" i="1"/>
  <c r="V203" i="1"/>
  <c r="V201" i="1" s="1"/>
  <c r="G181" i="1"/>
  <c r="G186" i="1"/>
  <c r="B184" i="1"/>
  <c r="B186" i="1"/>
  <c r="AO17" i="1"/>
  <c r="AS18" i="1"/>
  <c r="AO19" i="1"/>
  <c r="AO18" i="1"/>
  <c r="O59" i="1"/>
  <c r="AP19" i="1"/>
  <c r="AO28" i="1"/>
  <c r="Q181" i="1"/>
  <c r="Q186" i="1"/>
  <c r="D181" i="1"/>
  <c r="D186" i="1"/>
  <c r="AR246" i="1"/>
  <c r="AR244" i="1"/>
  <c r="R186" i="1"/>
  <c r="R184" i="1"/>
  <c r="I181" i="1"/>
  <c r="I186" i="1"/>
  <c r="L165" i="1"/>
  <c r="L166" i="1" s="1"/>
  <c r="L203" i="1"/>
  <c r="L201" i="1" s="1"/>
  <c r="L246" i="1"/>
  <c r="M203" i="1"/>
  <c r="M201" i="1" s="1"/>
  <c r="AU18" i="1"/>
  <c r="AQ19" i="1"/>
  <c r="O186" i="1"/>
  <c r="O184" i="1"/>
  <c r="BM18" i="1"/>
  <c r="BM28" i="1"/>
  <c r="BM17" i="1"/>
  <c r="BQ18" i="1"/>
  <c r="BM19" i="1"/>
  <c r="U59" i="1"/>
  <c r="BN19" i="1"/>
  <c r="AM86" i="1"/>
  <c r="AM85" i="1"/>
  <c r="AM129" i="1"/>
  <c r="AM55" i="1" s="1"/>
  <c r="AM54" i="1"/>
  <c r="AM207" i="1"/>
  <c r="AM205" i="1" s="1"/>
  <c r="AM92" i="1"/>
  <c r="E205" i="1"/>
  <c r="C205" i="1"/>
  <c r="C86" i="1"/>
  <c r="C87" i="1"/>
  <c r="C85" i="1"/>
  <c r="B89" i="1"/>
  <c r="H181" i="1"/>
  <c r="H186" i="1"/>
  <c r="P246" i="1"/>
  <c r="P244" i="1"/>
  <c r="P165" i="1"/>
  <c r="Q203" i="1"/>
  <c r="Q201" i="1" s="1"/>
  <c r="P203" i="1"/>
  <c r="P201" i="1" s="1"/>
  <c r="P213" i="1" s="1"/>
  <c r="C184" i="1"/>
  <c r="C186" i="1"/>
  <c r="BV186" i="1"/>
  <c r="BV181" i="1"/>
  <c r="BV28" i="1"/>
  <c r="BV17" i="1"/>
  <c r="BV19" i="1"/>
  <c r="BZ18" i="1"/>
  <c r="J181" i="1"/>
  <c r="J186" i="1"/>
  <c r="BH109" i="1"/>
  <c r="BI37" i="1"/>
  <c r="AS138" i="1"/>
  <c r="AT33" i="1"/>
  <c r="BJ33" i="1"/>
  <c r="BI138" i="1"/>
  <c r="AZ28" i="1"/>
  <c r="AZ17" i="1"/>
  <c r="AT17" i="1"/>
  <c r="AT28" i="1"/>
  <c r="R246" i="1"/>
  <c r="R244" i="1"/>
  <c r="N244" i="1"/>
  <c r="N246" i="1"/>
  <c r="BH186" i="1"/>
  <c r="BL189" i="1" s="1"/>
  <c r="BH184" i="1"/>
  <c r="B165" i="1"/>
  <c r="BH166" i="1"/>
  <c r="F186" i="1"/>
  <c r="F184" i="1"/>
  <c r="L244" i="1"/>
  <c r="F165" i="1"/>
  <c r="F166" i="1" s="1"/>
  <c r="BV109" i="1"/>
  <c r="L186" i="1"/>
  <c r="M189" i="1" s="1"/>
  <c r="M190" i="1" s="1"/>
  <c r="G203" i="1"/>
  <c r="G201" i="1" s="1"/>
  <c r="S246" i="1"/>
  <c r="S203" i="1"/>
  <c r="S201" i="1" s="1"/>
  <c r="S213" i="1" s="1"/>
  <c r="S244" i="1"/>
  <c r="S165" i="1"/>
  <c r="S166" i="1" s="1"/>
  <c r="F246" i="1"/>
  <c r="F244" i="1"/>
  <c r="C111" i="1"/>
  <c r="C114" i="1" s="1"/>
  <c r="T210" i="1"/>
  <c r="T211" i="1" s="1"/>
  <c r="T213" i="1"/>
  <c r="V189" i="1"/>
  <c r="V190" i="1" s="1"/>
  <c r="C166" i="1"/>
  <c r="V198" i="1"/>
  <c r="V199" i="1" s="1"/>
  <c r="B68" i="1"/>
  <c r="B69" i="1"/>
  <c r="H213" i="1"/>
  <c r="D244" i="1"/>
  <c r="D166" i="1"/>
  <c r="I210" i="1"/>
  <c r="I211" i="1" s="1"/>
  <c r="I213" i="1"/>
  <c r="F213" i="1"/>
  <c r="F210" i="1"/>
  <c r="F211" i="1" s="1"/>
  <c r="E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AY29" i="1"/>
  <c r="AY232" i="1"/>
  <c r="AY233" i="1" s="1"/>
  <c r="AY34" i="1"/>
  <c r="AY38" i="1" s="1"/>
  <c r="AS232" i="1"/>
  <c r="AS233" i="1" s="1"/>
  <c r="AS34" i="1"/>
  <c r="AS38" i="1" s="1"/>
  <c r="AW30" i="1"/>
  <c r="AS29" i="1"/>
  <c r="BC31" i="1"/>
  <c r="AU232" i="1"/>
  <c r="AU233" i="1" s="1"/>
  <c r="AU29" i="1"/>
  <c r="AU34" i="1"/>
  <c r="AU38" i="1" s="1"/>
  <c r="AY30" i="1"/>
  <c r="BC34" i="1"/>
  <c r="BC29" i="1"/>
  <c r="BC232" i="1"/>
  <c r="BC233" i="1" s="1"/>
  <c r="BC30" i="1"/>
  <c r="BL30" i="1"/>
  <c r="BH29" i="1"/>
  <c r="BH34" i="1"/>
  <c r="BH38" i="1" s="1"/>
  <c r="BH232" i="1"/>
  <c r="BH233" i="1" s="1"/>
  <c r="BB34" i="1"/>
  <c r="BF30" i="1"/>
  <c r="BB232" i="1"/>
  <c r="BB233" i="1" s="1"/>
  <c r="BB29" i="1"/>
  <c r="BB250" i="1"/>
  <c r="BB251" i="1" s="1"/>
  <c r="BB31" i="1"/>
  <c r="BC250" i="1"/>
  <c r="BC251" i="1" s="1"/>
  <c r="BQ40" i="1"/>
  <c r="BQ41" i="1"/>
  <c r="BA41" i="1"/>
  <c r="BA40" i="1"/>
  <c r="CR134" i="1"/>
  <c r="AE142" i="1"/>
  <c r="AC124" i="1"/>
  <c r="P166" i="1" l="1"/>
  <c r="D210" i="1"/>
  <c r="D211" i="1" s="1"/>
  <c r="D213" i="1"/>
  <c r="U210" i="1"/>
  <c r="U211" i="1" s="1"/>
  <c r="M166" i="1"/>
  <c r="H210" i="1"/>
  <c r="H211" i="1" s="1"/>
  <c r="BJ40" i="1"/>
  <c r="BJ41" i="1"/>
  <c r="AT30" i="1"/>
  <c r="G213" i="1"/>
  <c r="M213" i="1"/>
  <c r="AQ250" i="1"/>
  <c r="AQ251" i="1" s="1"/>
  <c r="AQ31" i="1"/>
  <c r="BS226" i="1"/>
  <c r="BK31" i="1"/>
  <c r="BK232" i="1"/>
  <c r="BK233" i="1" s="1"/>
  <c r="BK250" i="1"/>
  <c r="BK251" i="1" s="1"/>
  <c r="AP29" i="1"/>
  <c r="AP232" i="1"/>
  <c r="AP233" i="1" s="1"/>
  <c r="AP34" i="1"/>
  <c r="AP38" i="1" s="1"/>
  <c r="BK112" i="1"/>
  <c r="BI34" i="1"/>
  <c r="BL226" i="1"/>
  <c r="BJ250" i="1"/>
  <c r="BJ251" i="1" s="1"/>
  <c r="BP29" i="1"/>
  <c r="BP232" i="1"/>
  <c r="BP233" i="1" s="1"/>
  <c r="BP34" i="1"/>
  <c r="BP38" i="1" s="1"/>
  <c r="BQ250" i="1"/>
  <c r="BQ251" i="1" s="1"/>
  <c r="BF40" i="1"/>
  <c r="BT250" i="1"/>
  <c r="BT251" i="1" s="1"/>
  <c r="AL112" i="1"/>
  <c r="AI34" i="1"/>
  <c r="AL226" i="1"/>
  <c r="AI232" i="1"/>
  <c r="AI233" i="1" s="1"/>
  <c r="AU30" i="1"/>
  <c r="BS232" i="1"/>
  <c r="BS233" i="1" s="1"/>
  <c r="BS250" i="1"/>
  <c r="BS251" i="1" s="1"/>
  <c r="BR250" i="1"/>
  <c r="BR251" i="1" s="1"/>
  <c r="BS31" i="1"/>
  <c r="AX112" i="1"/>
  <c r="AY31" i="1"/>
  <c r="BT31" i="1"/>
  <c r="AV34" i="1"/>
  <c r="AV232" i="1"/>
  <c r="AV233" i="1" s="1"/>
  <c r="AW250" i="1"/>
  <c r="AW251" i="1" s="1"/>
  <c r="BI226" i="1"/>
  <c r="BG31" i="1"/>
  <c r="BI31" i="1"/>
  <c r="AN226" i="1"/>
  <c r="BR30" i="1"/>
  <c r="BN232" i="1"/>
  <c r="BN233" i="1" s="1"/>
  <c r="AX250" i="1"/>
  <c r="AX251" i="1" s="1"/>
  <c r="BB30" i="1"/>
  <c r="BT232" i="1"/>
  <c r="BT233" i="1" s="1"/>
  <c r="AW40" i="1"/>
  <c r="AV250" i="1"/>
  <c r="AV251" i="1" s="1"/>
  <c r="BR29" i="1"/>
  <c r="AY112" i="1"/>
  <c r="BG29" i="1"/>
  <c r="BG250" i="1"/>
  <c r="BG251" i="1" s="1"/>
  <c r="BI112" i="1"/>
  <c r="AN29" i="1"/>
  <c r="BN34" i="1"/>
  <c r="BN31" i="1"/>
  <c r="AX31" i="1"/>
  <c r="AQ232" i="1"/>
  <c r="AQ233" i="1" s="1"/>
  <c r="BT34" i="1"/>
  <c r="BX30" i="1"/>
  <c r="BL112" i="1"/>
  <c r="BK30" i="1"/>
  <c r="BK29" i="1"/>
  <c r="BL31" i="1"/>
  <c r="BK34" i="1"/>
  <c r="BK38" i="1" s="1"/>
  <c r="BL250" i="1"/>
  <c r="BL251" i="1" s="1"/>
  <c r="AP30" i="1"/>
  <c r="BI232" i="1"/>
  <c r="BI233" i="1" s="1"/>
  <c r="BI29" i="1"/>
  <c r="BJ31" i="1"/>
  <c r="BQ31" i="1"/>
  <c r="BP30" i="1"/>
  <c r="BF41" i="1"/>
  <c r="AX226" i="1"/>
  <c r="AJ31" i="1"/>
  <c r="AI29" i="1"/>
  <c r="AM30" i="1"/>
  <c r="N60" i="1"/>
  <c r="AV31" i="1"/>
  <c r="BS34" i="1"/>
  <c r="BS38" i="1" s="1"/>
  <c r="BG30" i="1"/>
  <c r="BS112" i="1"/>
  <c r="BR31" i="1"/>
  <c r="BR34" i="1"/>
  <c r="AY226" i="1"/>
  <c r="AY250" i="1"/>
  <c r="AY251" i="1" s="1"/>
  <c r="BT112" i="1"/>
  <c r="BK226" i="1"/>
  <c r="AV29" i="1"/>
  <c r="AW31" i="1"/>
  <c r="BG232" i="1"/>
  <c r="BG233" i="1" s="1"/>
  <c r="BJ226" i="1"/>
  <c r="BI250" i="1"/>
  <c r="BI251" i="1" s="1"/>
  <c r="AN250" i="1"/>
  <c r="AN251" i="1" s="1"/>
  <c r="AN31" i="1"/>
  <c r="AN112" i="1"/>
  <c r="BN250" i="1"/>
  <c r="BN251" i="1" s="1"/>
  <c r="AX34" i="1"/>
  <c r="AQ29" i="1"/>
  <c r="AQ34" i="1"/>
  <c r="AQ30" i="1"/>
  <c r="BR232" i="1"/>
  <c r="BR233" i="1" s="1"/>
  <c r="BJ112" i="1"/>
  <c r="BH250" i="1"/>
  <c r="BH251" i="1" s="1"/>
  <c r="AN34" i="1"/>
  <c r="AN232" i="1"/>
  <c r="AN233" i="1" s="1"/>
  <c r="AN30" i="1"/>
  <c r="AX232" i="1"/>
  <c r="AX233" i="1" s="1"/>
  <c r="AX29" i="1"/>
  <c r="BT29" i="1"/>
  <c r="BT30" i="1"/>
  <c r="AW41" i="1"/>
  <c r="BS29" i="1"/>
  <c r="BT226" i="1"/>
  <c r="Q60" i="1"/>
  <c r="T60" i="1"/>
  <c r="BG34" i="1"/>
  <c r="BH31" i="1"/>
  <c r="BN29" i="1"/>
  <c r="BN30" i="1"/>
  <c r="C213" i="1"/>
  <c r="Q189" i="1"/>
  <c r="Q190" i="1" s="1"/>
  <c r="D85" i="1"/>
  <c r="D86" i="1"/>
  <c r="D87" i="1"/>
  <c r="C89" i="1"/>
  <c r="E189" i="1"/>
  <c r="E190" i="1" s="1"/>
  <c r="D189" i="1"/>
  <c r="D190" i="1" s="1"/>
  <c r="S189" i="1"/>
  <c r="S190" i="1" s="1"/>
  <c r="R189" i="1"/>
  <c r="R190" i="1" s="1"/>
  <c r="T189" i="1"/>
  <c r="T190" i="1" s="1"/>
  <c r="U189" i="1"/>
  <c r="U190" i="1" s="1"/>
  <c r="P189" i="1"/>
  <c r="P190" i="1" s="1"/>
  <c r="O189" i="1"/>
  <c r="O190" i="1" s="1"/>
  <c r="BX203" i="1"/>
  <c r="BX201" i="1" s="1"/>
  <c r="BW203" i="1"/>
  <c r="BW201" i="1" s="1"/>
  <c r="BO30" i="1"/>
  <c r="BX226" i="1"/>
  <c r="AM94" i="1"/>
  <c r="BV250" i="1"/>
  <c r="BV251" i="1" s="1"/>
  <c r="BV31" i="1"/>
  <c r="BM226" i="1"/>
  <c r="BU30" i="1"/>
  <c r="BU29" i="1"/>
  <c r="BU232" i="1"/>
  <c r="BU233" i="1" s="1"/>
  <c r="BY30" i="1"/>
  <c r="S60" i="1"/>
  <c r="AT31" i="1"/>
  <c r="BE30" i="1"/>
  <c r="BM31" i="1"/>
  <c r="BM232" i="1"/>
  <c r="BM233" i="1" s="1"/>
  <c r="BM250" i="1"/>
  <c r="BM251" i="1" s="1"/>
  <c r="O60" i="1"/>
  <c r="BD34" i="1"/>
  <c r="BD38" i="1" s="1"/>
  <c r="BD29" i="1"/>
  <c r="BI30" i="1"/>
  <c r="BF31" i="1"/>
  <c r="BO29" i="1"/>
  <c r="BO232" i="1"/>
  <c r="BO233" i="1" s="1"/>
  <c r="BP250" i="1"/>
  <c r="BP251" i="1" s="1"/>
  <c r="AW112" i="1"/>
  <c r="AU250" i="1"/>
  <c r="AU251" i="1" s="1"/>
  <c r="BS30" i="1"/>
  <c r="BD31" i="1"/>
  <c r="BV30" i="1"/>
  <c r="AQ226" i="1"/>
  <c r="BR226" i="1"/>
  <c r="BN226" i="1"/>
  <c r="AP112" i="1"/>
  <c r="AV112" i="1"/>
  <c r="BC112" i="1"/>
  <c r="AO112" i="1"/>
  <c r="BQ226" i="1"/>
  <c r="CA30" i="1"/>
  <c r="AO34" i="1"/>
  <c r="AO38" i="1" s="1"/>
  <c r="AO40" i="1" s="1"/>
  <c r="AO30" i="1"/>
  <c r="BU31" i="1"/>
  <c r="BU112" i="1"/>
  <c r="AM95" i="1"/>
  <c r="BM112" i="1"/>
  <c r="BU34" i="1"/>
  <c r="BU38" i="1" s="1"/>
  <c r="U60" i="1"/>
  <c r="AS250" i="1"/>
  <c r="AS251" i="1" s="1"/>
  <c r="BF250" i="1"/>
  <c r="BF251" i="1" s="1"/>
  <c r="BM34" i="1"/>
  <c r="BM38" i="1" s="1"/>
  <c r="BM29" i="1"/>
  <c r="BQ30" i="1"/>
  <c r="BM30" i="1"/>
  <c r="BD250" i="1"/>
  <c r="BD251" i="1" s="1"/>
  <c r="AP31" i="1"/>
  <c r="BE31" i="1"/>
  <c r="BD232" i="1"/>
  <c r="BD233" i="1" s="1"/>
  <c r="BE250" i="1"/>
  <c r="BE251" i="1" s="1"/>
  <c r="BE232" i="1"/>
  <c r="BE233" i="1" s="1"/>
  <c r="BE29" i="1"/>
  <c r="BE34" i="1"/>
  <c r="BE38" i="1" s="1"/>
  <c r="BO34" i="1"/>
  <c r="BO38" i="1" s="1"/>
  <c r="BP31" i="1"/>
  <c r="AW226" i="1"/>
  <c r="AU226" i="1"/>
  <c r="AU31" i="1"/>
  <c r="AU112" i="1"/>
  <c r="AV226" i="1"/>
  <c r="BF112" i="1"/>
  <c r="BV226" i="1"/>
  <c r="V60" i="1"/>
  <c r="BR112" i="1"/>
  <c r="BN112" i="1"/>
  <c r="AZ112" i="1"/>
  <c r="BV112" i="1"/>
  <c r="AP226" i="1"/>
  <c r="BB226" i="1"/>
  <c r="AO31" i="1"/>
  <c r="BQ112" i="1"/>
  <c r="BP112" i="1"/>
  <c r="BO112" i="1"/>
  <c r="AX30" i="1"/>
  <c r="AZ226" i="1"/>
  <c r="BD112" i="1"/>
  <c r="BY226" i="1"/>
  <c r="BE112" i="1"/>
  <c r="AR250" i="1"/>
  <c r="AR251" i="1" s="1"/>
  <c r="AO232" i="1"/>
  <c r="AO233" i="1" s="1"/>
  <c r="AR112" i="1"/>
  <c r="AO29" i="1"/>
  <c r="BU250" i="1"/>
  <c r="BU251" i="1" s="1"/>
  <c r="BF226" i="1"/>
  <c r="BA112" i="1"/>
  <c r="AQ112" i="1"/>
  <c r="AR226" i="1"/>
  <c r="AP250" i="1"/>
  <c r="AP251" i="1" s="1"/>
  <c r="BX112" i="1"/>
  <c r="BD226" i="1"/>
  <c r="BC226" i="1"/>
  <c r="AO226" i="1"/>
  <c r="BO250" i="1"/>
  <c r="BO251" i="1" s="1"/>
  <c r="BB112" i="1"/>
  <c r="BY112" i="1"/>
  <c r="BE226" i="1"/>
  <c r="AT226" i="1"/>
  <c r="P60" i="1"/>
  <c r="AT112" i="1"/>
  <c r="AS30" i="1"/>
  <c r="BW112" i="1"/>
  <c r="AV30" i="1"/>
  <c r="BH226" i="1"/>
  <c r="BH112" i="1"/>
  <c r="BO31" i="1"/>
  <c r="BW34" i="1"/>
  <c r="BX250" i="1"/>
  <c r="BX251" i="1" s="1"/>
  <c r="AR31" i="1"/>
  <c r="AO250" i="1"/>
  <c r="AO251" i="1" s="1"/>
  <c r="D70" i="1"/>
  <c r="U213" i="1"/>
  <c r="V210" i="1"/>
  <c r="V211" i="1" s="1"/>
  <c r="J213" i="1"/>
  <c r="N213" i="1"/>
  <c r="Q213" i="1"/>
  <c r="Q210" i="1"/>
  <c r="Q211" i="1" s="1"/>
  <c r="P210" i="1"/>
  <c r="P211" i="1" s="1"/>
  <c r="J210" i="1"/>
  <c r="J211" i="1" s="1"/>
  <c r="K210" i="1"/>
  <c r="K211" i="1" s="1"/>
  <c r="K213" i="1"/>
  <c r="N210" i="1"/>
  <c r="N211" i="1" s="1"/>
  <c r="M210" i="1"/>
  <c r="M211" i="1" s="1"/>
  <c r="I189" i="1"/>
  <c r="I190" i="1" s="1"/>
  <c r="E210" i="1"/>
  <c r="E211" i="1" s="1"/>
  <c r="C210" i="1"/>
  <c r="C211" i="1" s="1"/>
  <c r="O213" i="1"/>
  <c r="J189" i="1"/>
  <c r="J190" i="1" s="1"/>
  <c r="O210" i="1"/>
  <c r="O211" i="1" s="1"/>
  <c r="R210" i="1"/>
  <c r="R211" i="1" s="1"/>
  <c r="R213" i="1"/>
  <c r="L213" i="1"/>
  <c r="L210" i="1"/>
  <c r="L211" i="1" s="1"/>
  <c r="AR166" i="1"/>
  <c r="L189" i="1"/>
  <c r="L190" i="1" s="1"/>
  <c r="K189" i="1"/>
  <c r="K190" i="1" s="1"/>
  <c r="F189" i="1"/>
  <c r="F190" i="1" s="1"/>
  <c r="H189" i="1"/>
  <c r="H190" i="1" s="1"/>
  <c r="G189" i="1"/>
  <c r="G190" i="1" s="1"/>
  <c r="C189" i="1"/>
  <c r="C190" i="1" s="1"/>
  <c r="AT250" i="1"/>
  <c r="AT251" i="1" s="1"/>
  <c r="AS226" i="1"/>
  <c r="AS112" i="1"/>
  <c r="R60" i="1"/>
  <c r="AZ30" i="1"/>
  <c r="BG112" i="1"/>
  <c r="BG226" i="1"/>
  <c r="BH30" i="1"/>
  <c r="BW30" i="1"/>
  <c r="AR30" i="1"/>
  <c r="BW31" i="1"/>
  <c r="BP226" i="1"/>
  <c r="BO226" i="1"/>
  <c r="BW226" i="1"/>
  <c r="BW232" i="1"/>
  <c r="BW233" i="1" s="1"/>
  <c r="BX31" i="1"/>
  <c r="X60" i="1"/>
  <c r="BW29" i="1"/>
  <c r="BZ112" i="1"/>
  <c r="BZ226" i="1"/>
  <c r="BW250" i="1"/>
  <c r="BW251" i="1" s="1"/>
  <c r="AS31" i="1"/>
  <c r="AR34" i="1"/>
  <c r="AR38" i="1" s="1"/>
  <c r="AR232" i="1"/>
  <c r="AR233" i="1" s="1"/>
  <c r="AR29" i="1"/>
  <c r="BZ189" i="1"/>
  <c r="BV189" i="1"/>
  <c r="BV232" i="1"/>
  <c r="BV233" i="1" s="1"/>
  <c r="BZ30" i="1"/>
  <c r="BV34" i="1"/>
  <c r="BV38" i="1" s="1"/>
  <c r="BV29" i="1"/>
  <c r="BJ203" i="1"/>
  <c r="BJ201" i="1" s="1"/>
  <c r="BI203" i="1"/>
  <c r="BI201" i="1" s="1"/>
  <c r="BH110" i="1"/>
  <c r="BH113" i="1" s="1"/>
  <c r="BH111" i="1"/>
  <c r="BH114" i="1" s="1"/>
  <c r="AS203" i="1"/>
  <c r="AS201" i="1" s="1"/>
  <c r="AT203" i="1"/>
  <c r="AT201" i="1" s="1"/>
  <c r="BA31" i="1"/>
  <c r="BD30" i="1"/>
  <c r="AZ232" i="1"/>
  <c r="AZ233" i="1" s="1"/>
  <c r="AZ34" i="1"/>
  <c r="AZ38" i="1" s="1"/>
  <c r="BA250" i="1"/>
  <c r="BA251" i="1" s="1"/>
  <c r="AZ29" i="1"/>
  <c r="AT29" i="1"/>
  <c r="AT34" i="1"/>
  <c r="AT38" i="1" s="1"/>
  <c r="AT232" i="1"/>
  <c r="AT233" i="1" s="1"/>
  <c r="B244" i="1"/>
  <c r="B166" i="1"/>
  <c r="BA226" i="1"/>
  <c r="AZ250" i="1"/>
  <c r="AZ251" i="1" s="1"/>
  <c r="AZ31" i="1"/>
  <c r="BV110" i="1"/>
  <c r="BV113" i="1" s="1"/>
  <c r="BV111" i="1"/>
  <c r="BV114" i="1" s="1"/>
  <c r="V213" i="1"/>
  <c r="G210" i="1"/>
  <c r="G211" i="1" s="1"/>
  <c r="S210" i="1"/>
  <c r="S211" i="1" s="1"/>
  <c r="B87" i="1"/>
  <c r="C70" i="1"/>
  <c r="B86" i="1"/>
  <c r="B85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4" i="1" s="1"/>
  <c r="BD110" i="1"/>
  <c r="BD113" i="1" s="1"/>
  <c r="BO203" i="1"/>
  <c r="BO201" i="1" s="1"/>
  <c r="BP203" i="1"/>
  <c r="BP201" i="1" s="1"/>
  <c r="AX110" i="1"/>
  <c r="AX111" i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AY40" i="1"/>
  <c r="AY41" i="1"/>
  <c r="BU41" i="1"/>
  <c r="BY43" i="1" s="1"/>
  <c r="BU40" i="1"/>
  <c r="AS40" i="1"/>
  <c r="AS41" i="1"/>
  <c r="BM40" i="1"/>
  <c r="BM41" i="1"/>
  <c r="BE40" i="1"/>
  <c r="BE41" i="1"/>
  <c r="BO41" i="1"/>
  <c r="BO40" i="1"/>
  <c r="AU41" i="1"/>
  <c r="AU40" i="1"/>
  <c r="BC38" i="1"/>
  <c r="BX113" i="1"/>
  <c r="BX114" i="1"/>
  <c r="BR38" i="1"/>
  <c r="AO41" i="1"/>
  <c r="AX38" i="1"/>
  <c r="BH41" i="1"/>
  <c r="BH40" i="1"/>
  <c r="AQ38" i="1"/>
  <c r="BZ55" i="1"/>
  <c r="BW38" i="1"/>
  <c r="BB38" i="1"/>
  <c r="AN55" i="1"/>
  <c r="AN38" i="1"/>
  <c r="BJ113" i="1"/>
  <c r="BJ114" i="1"/>
  <c r="BZ113" i="1"/>
  <c r="BZ114" i="1"/>
  <c r="BG38" i="1"/>
  <c r="BH55" i="1"/>
  <c r="BS40" i="1"/>
  <c r="BS41" i="1"/>
  <c r="BQ42" i="1"/>
  <c r="BQ245" i="1" s="1"/>
  <c r="BQ48" i="1"/>
  <c r="BQ234" i="1"/>
  <c r="BA234" i="1"/>
  <c r="BA42" i="1"/>
  <c r="BA245" i="1" s="1"/>
  <c r="BA48" i="1"/>
  <c r="AW48" i="1"/>
  <c r="AW234" i="1"/>
  <c r="AW42" i="1"/>
  <c r="AW245" i="1" s="1"/>
  <c r="BA43" i="1"/>
  <c r="CR138" i="1"/>
  <c r="CS32" i="1"/>
  <c r="AX113" i="1" l="1"/>
  <c r="BL114" i="1"/>
  <c r="BF42" i="1"/>
  <c r="BF245" i="1" s="1"/>
  <c r="BV55" i="1"/>
  <c r="AI38" i="1"/>
  <c r="AL55" i="1"/>
  <c r="AR55" i="1"/>
  <c r="BP55" i="1"/>
  <c r="AV38" i="1"/>
  <c r="AX55" i="1"/>
  <c r="BK41" i="1"/>
  <c r="AP41" i="1"/>
  <c r="AP43" i="1" s="1"/>
  <c r="BP41" i="1"/>
  <c r="BQ44" i="1" s="1"/>
  <c r="BL55" i="1"/>
  <c r="BF234" i="1"/>
  <c r="BJ43" i="1"/>
  <c r="AL113" i="1"/>
  <c r="BR55" i="1"/>
  <c r="BN38" i="1"/>
  <c r="BT38" i="1"/>
  <c r="BN55" i="1"/>
  <c r="BJ55" i="1"/>
  <c r="BJ234" i="1"/>
  <c r="BJ48" i="1"/>
  <c r="BJ42" i="1"/>
  <c r="BJ245" i="1" s="1"/>
  <c r="AX114" i="1"/>
  <c r="BL113" i="1"/>
  <c r="BK40" i="1"/>
  <c r="AP40" i="1"/>
  <c r="BP40" i="1"/>
  <c r="BI38" i="1"/>
  <c r="BF48" i="1"/>
  <c r="AL114" i="1"/>
  <c r="AP55" i="1"/>
  <c r="BT55" i="1"/>
  <c r="AN114" i="1"/>
  <c r="AN113" i="1"/>
  <c r="BT114" i="1"/>
  <c r="BT113" i="1"/>
  <c r="BD55" i="1"/>
  <c r="BD40" i="1"/>
  <c r="BD41" i="1"/>
  <c r="BF55" i="1"/>
  <c r="AV113" i="1"/>
  <c r="AV114" i="1"/>
  <c r="BX55" i="1"/>
  <c r="BY55" i="1"/>
  <c r="AZ55" i="1"/>
  <c r="AT55" i="1"/>
  <c r="BB55" i="1"/>
  <c r="AV55" i="1"/>
  <c r="AR40" i="1"/>
  <c r="AR41" i="1"/>
  <c r="BV41" i="1"/>
  <c r="BV44" i="1" s="1"/>
  <c r="BV40" i="1"/>
  <c r="BJ52" i="1"/>
  <c r="BJ193" i="1"/>
  <c r="BJ195" i="1" s="1"/>
  <c r="BJ66" i="1"/>
  <c r="AZ40" i="1"/>
  <c r="AZ41" i="1"/>
  <c r="BD43" i="1" s="1"/>
  <c r="AT41" i="1"/>
  <c r="AT40" i="1"/>
  <c r="AY234" i="1"/>
  <c r="AY42" i="1"/>
  <c r="AY245" i="1" s="1"/>
  <c r="AY48" i="1"/>
  <c r="BU42" i="1"/>
  <c r="BU245" i="1" s="1"/>
  <c r="BU234" i="1"/>
  <c r="BU48" i="1"/>
  <c r="BK44" i="1"/>
  <c r="BK234" i="1"/>
  <c r="AS48" i="1"/>
  <c r="AS42" i="1"/>
  <c r="AS245" i="1" s="1"/>
  <c r="BU43" i="1"/>
  <c r="AS234" i="1"/>
  <c r="AW43" i="1"/>
  <c r="BP48" i="1"/>
  <c r="BP43" i="1"/>
  <c r="BP234" i="1"/>
  <c r="BP42" i="1"/>
  <c r="BP245" i="1" s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P44" i="1"/>
  <c r="AO48" i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L44" i="1" l="1"/>
  <c r="BK48" i="1"/>
  <c r="BK42" i="1"/>
  <c r="BK245" i="1" s="1"/>
  <c r="AP234" i="1"/>
  <c r="AP48" i="1"/>
  <c r="AP42" i="1"/>
  <c r="AP245" i="1" s="1"/>
  <c r="AZ44" i="1"/>
  <c r="BI41" i="1"/>
  <c r="BI44" i="1" s="1"/>
  <c r="BI40" i="1"/>
  <c r="AU227" i="1"/>
  <c r="AT43" i="1"/>
  <c r="AR42" i="1"/>
  <c r="AR245" i="1" s="1"/>
  <c r="AR48" i="1"/>
  <c r="AS44" i="1"/>
  <c r="AR234" i="1"/>
  <c r="BZ43" i="1"/>
  <c r="BV234" i="1"/>
  <c r="BV48" i="1"/>
  <c r="BV42" i="1"/>
  <c r="BV245" i="1" s="1"/>
  <c r="AT44" i="1"/>
  <c r="AU44" i="1"/>
  <c r="AZ42" i="1"/>
  <c r="AZ245" i="1" s="1"/>
  <c r="AZ48" i="1"/>
  <c r="AZ234" i="1"/>
  <c r="BA44" i="1"/>
  <c r="AT234" i="1"/>
  <c r="AT42" i="1"/>
  <c r="AT245" i="1" s="1"/>
  <c r="AT48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AR193" i="1" l="1"/>
  <c r="AR195" i="1" s="1"/>
  <c r="AR66" i="1"/>
  <c r="AR52" i="1"/>
  <c r="BV66" i="1"/>
  <c r="BV52" i="1"/>
  <c r="BV193" i="1"/>
  <c r="BV195" i="1" s="1"/>
  <c r="AZ193" i="1"/>
  <c r="AZ195" i="1" s="1"/>
  <c r="AZ52" i="1"/>
  <c r="AZ66" i="1"/>
  <c r="AT52" i="1"/>
  <c r="AT193" i="1"/>
  <c r="AT195" i="1" s="1"/>
  <c r="AT66" i="1"/>
  <c r="BK54" i="1"/>
  <c r="BM69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6" i="1"/>
  <c r="AW95" i="1"/>
  <c r="AW96" i="1"/>
  <c r="CS138" i="1"/>
  <c r="CT32" i="1"/>
  <c r="AD124" i="1"/>
  <c r="W59" i="1"/>
  <c r="BV69" i="1" l="1"/>
  <c r="BM87" i="1"/>
  <c r="BM86" i="1"/>
  <c r="BK96" i="1"/>
  <c r="BK95" i="1"/>
  <c r="BU94" i="1"/>
  <c r="BU96" i="1"/>
  <c r="BU95" i="1"/>
  <c r="AU87" i="1"/>
  <c r="AQ89" i="1"/>
  <c r="AU85" i="1"/>
  <c r="AY94" i="1"/>
  <c r="AY95" i="1"/>
  <c r="AY96" i="1"/>
  <c r="BL69" i="1"/>
  <c r="BK69" i="1"/>
  <c r="BR69" i="1"/>
  <c r="BR86" i="1" s="1"/>
  <c r="BT69" i="1"/>
  <c r="BS69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U69" i="1"/>
  <c r="BU85" i="1" s="1"/>
  <c r="BE94" i="1"/>
  <c r="BE96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6" i="1"/>
  <c r="AU94" i="1"/>
  <c r="AO96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5" i="1"/>
  <c r="BS96" i="1"/>
  <c r="AC32" i="1"/>
  <c r="CT194" i="1"/>
  <c r="CT132" i="1"/>
  <c r="CS203" i="1"/>
  <c r="CS201" i="1" s="1"/>
  <c r="W60" i="1"/>
  <c r="BR89" i="1" l="1"/>
  <c r="BV87" i="1"/>
  <c r="BV86" i="1"/>
  <c r="BV8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H89" i="1"/>
  <c r="BL87" i="1"/>
  <c r="BK86" i="1"/>
  <c r="BK87" i="1"/>
  <c r="BG89" i="1"/>
  <c r="BT70" i="1"/>
  <c r="BV89" i="1"/>
  <c r="BZ70" i="1"/>
  <c r="BY70" i="1"/>
  <c r="BI96" i="1"/>
  <c r="BQ89" i="1"/>
  <c r="BU87" i="1"/>
  <c r="BU86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6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AO87" i="1"/>
  <c r="AS70" i="1"/>
  <c r="AO86" i="1"/>
  <c r="BP70" i="1"/>
  <c r="BL89" i="1"/>
  <c r="BP86" i="1"/>
  <c r="BP87" i="1"/>
  <c r="AO89" i="1"/>
  <c r="AS87" i="1"/>
  <c r="AS85" i="1"/>
  <c r="AW70" i="1"/>
  <c r="AV86" i="1"/>
  <c r="AV85" i="1"/>
  <c r="AZ70" i="1"/>
  <c r="AV87" i="1"/>
  <c r="AR89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H87" i="1"/>
  <c r="BH85" i="1"/>
  <c r="BD89" i="1"/>
  <c r="BL70" i="1"/>
  <c r="BH86" i="1"/>
  <c r="AT70" i="1"/>
  <c r="AP87" i="1"/>
  <c r="AP70" i="1"/>
  <c r="AL89" i="1"/>
  <c r="AP86" i="1"/>
  <c r="BR70" i="1"/>
  <c r="BJ89" i="1"/>
  <c r="BN85" i="1"/>
  <c r="BN86" i="1"/>
  <c r="AN89" i="1"/>
  <c r="AR87" i="1"/>
  <c r="AR86" i="1"/>
  <c r="AR85" i="1"/>
  <c r="AV70" i="1"/>
  <c r="AX86" i="1"/>
  <c r="BB70" i="1"/>
  <c r="AT89" i="1"/>
  <c r="AX87" i="1"/>
  <c r="BX70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M90" i="1"/>
  <c r="BG90" i="1"/>
  <c r="BN90" i="1"/>
  <c r="BB90" i="1"/>
  <c r="BI90" i="1"/>
  <c r="AW90" i="1"/>
  <c r="BY90" i="1"/>
  <c r="AZ90" i="1"/>
  <c r="AR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O109" i="1" l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E89" i="1" l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U28" i="1" s="1"/>
  <c r="CY8" i="1"/>
  <c r="CU152" i="1"/>
  <c r="CU145" i="1"/>
  <c r="CU153" i="1"/>
  <c r="CU156" i="1" s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18" i="1"/>
  <c r="CY253" i="1"/>
  <c r="CY231" i="1"/>
  <c r="CY10" i="1"/>
  <c r="CU148" i="1"/>
  <c r="CU157" i="1" s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53" i="1"/>
  <c r="CY146" i="1"/>
  <c r="CY152" i="1"/>
  <c r="CY26" i="1"/>
  <c r="CY23" i="1" s="1"/>
  <c r="CY144" i="1"/>
  <c r="CU19" i="1"/>
  <c r="AD8" i="1"/>
  <c r="AD253" i="1" s="1"/>
  <c r="CY145" i="1" l="1"/>
  <c r="CY148" i="1" s="1"/>
  <c r="CY1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" i="1" l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IO9" i="4"/>
  <c r="IO21" i="4"/>
  <c r="IT8" i="4"/>
  <c r="HU9" i="4"/>
  <c r="HY7" i="4"/>
  <c r="JH9" i="4"/>
  <c r="JH21" i="4"/>
  <c r="CB77" i="1"/>
  <c r="IG9" i="4"/>
  <c r="IG21" i="4"/>
  <c r="HV16" i="4"/>
  <c r="IQ9" i="4"/>
  <c r="IV9" i="4"/>
  <c r="IK7" i="4"/>
  <c r="HQ7" i="4"/>
  <c r="HS15" i="4"/>
  <c r="IS16" i="4"/>
  <c r="IO14" i="4"/>
  <c r="JD9" i="4"/>
  <c r="JC9" i="4"/>
  <c r="JC21" i="4"/>
  <c r="BW77" i="1"/>
  <c r="IC16" i="4"/>
  <c r="IH9" i="4"/>
  <c r="IA7" i="4"/>
  <c r="IH21" i="4"/>
  <c r="BB77" i="1"/>
  <c r="IY16" i="4"/>
  <c r="JI8" i="4"/>
  <c r="ID16" i="4"/>
  <c r="HP14" i="4"/>
  <c r="JI20" i="4"/>
  <c r="BI77" i="1" l="1"/>
  <c r="IQ21" i="4"/>
  <c r="BK77" i="1" s="1"/>
  <c r="IV21" i="4"/>
  <c r="BP77" i="1" s="1"/>
  <c r="IO19" i="4"/>
  <c r="IY21" i="4"/>
  <c r="BS77" i="1" s="1"/>
  <c r="CB94" i="1"/>
  <c r="CB102" i="1"/>
  <c r="CB85" i="1"/>
  <c r="HP19" i="4"/>
  <c r="HS20" i="4"/>
  <c r="IS21" i="4"/>
  <c r="BM77" i="1" s="1"/>
  <c r="HU21" i="4"/>
  <c r="AO77" i="1" s="1"/>
  <c r="BA77" i="1"/>
  <c r="HV21" i="4"/>
  <c r="AP77" i="1" s="1"/>
  <c r="ID21" i="4"/>
  <c r="AX77" i="1" s="1"/>
  <c r="BI78" i="1"/>
  <c r="AJ78" i="1"/>
  <c r="IA19" i="4"/>
  <c r="AU78" i="1" s="1"/>
  <c r="IC21" i="4"/>
  <c r="AW77" i="1" s="1"/>
  <c r="AM79" i="1"/>
  <c r="HQ19" i="4"/>
  <c r="AK78" i="1" s="1"/>
  <c r="IT20" i="4"/>
  <c r="BN79" i="1" s="1"/>
  <c r="JD21" i="4"/>
  <c r="BX77" i="1" s="1"/>
  <c r="BB102" i="1"/>
  <c r="CC79" i="1"/>
  <c r="BW102" i="1"/>
  <c r="BB94" i="1"/>
  <c r="BW85" i="1"/>
  <c r="BB85" i="1"/>
  <c r="BW94" i="1"/>
  <c r="HY19" i="4"/>
  <c r="AS78" i="1" s="1"/>
  <c r="IK19" i="4"/>
  <c r="BE78" i="1" s="1"/>
  <c r="AX102" i="1" l="1"/>
  <c r="BP94" i="1"/>
  <c r="BS102" i="1"/>
  <c r="BK102" i="1"/>
  <c r="BM102" i="1"/>
  <c r="BK94" i="1"/>
  <c r="BS94" i="1"/>
  <c r="BI94" i="1"/>
  <c r="BI85" i="1"/>
  <c r="BP85" i="1"/>
  <c r="BI102" i="1"/>
  <c r="BP102" i="1"/>
  <c r="BM85" i="1"/>
  <c r="BM94" i="1"/>
  <c r="BS85" i="1"/>
  <c r="BK85" i="1"/>
  <c r="BI107" i="1"/>
  <c r="BI110" i="1" s="1"/>
  <c r="BI113" i="1" s="1"/>
  <c r="AU103" i="1"/>
  <c r="AO85" i="1"/>
  <c r="AO94" i="1"/>
  <c r="AO102" i="1"/>
  <c r="BA85" i="1"/>
  <c r="BA94" i="1"/>
  <c r="BA102" i="1"/>
  <c r="AP85" i="1"/>
  <c r="AP94" i="1"/>
  <c r="AP102" i="1"/>
  <c r="AX85" i="1"/>
  <c r="AX94" i="1"/>
  <c r="BI95" i="1"/>
  <c r="BI103" i="1"/>
  <c r="AU95" i="1"/>
  <c r="AU107" i="1"/>
  <c r="AU110" i="1" s="1"/>
  <c r="AU113" i="1" s="1"/>
  <c r="AW85" i="1"/>
  <c r="AW94" i="1"/>
  <c r="AW102" i="1"/>
  <c r="AM96" i="1"/>
  <c r="AM87" i="1"/>
  <c r="AM104" i="1"/>
  <c r="AM108" i="1"/>
  <c r="AM111" i="1" s="1"/>
  <c r="AM114" i="1" s="1"/>
  <c r="BN87" i="1"/>
  <c r="BN96" i="1"/>
  <c r="BN104" i="1"/>
  <c r="BN108" i="1"/>
  <c r="BN111" i="1" s="1"/>
  <c r="BN114" i="1" s="1"/>
  <c r="BX85" i="1"/>
  <c r="BX102" i="1"/>
  <c r="BX94" i="1"/>
  <c r="CC87" i="1"/>
  <c r="CC108" i="1"/>
  <c r="CC111" i="1" s="1"/>
  <c r="CC114" i="1" s="1"/>
  <c r="CC104" i="1"/>
  <c r="CC96" i="1"/>
  <c r="BI89" i="1"/>
  <c r="AU86" i="1"/>
  <c r="AX90" i="1" s="1"/>
  <c r="AU89" i="1"/>
  <c r="BI86" i="1"/>
  <c r="BL90" i="1" s="1"/>
  <c r="AS86" i="1"/>
  <c r="AV90" i="1" s="1"/>
  <c r="AS89" i="1"/>
  <c r="AS95" i="1"/>
  <c r="AS103" i="1"/>
  <c r="AS107" i="1"/>
  <c r="AS110" i="1" s="1"/>
  <c r="AS113" i="1" s="1"/>
  <c r="BE89" i="1"/>
  <c r="BE86" i="1"/>
  <c r="BH90" i="1" s="1"/>
  <c r="BE95" i="1"/>
  <c r="BE103" i="1"/>
  <c r="BE107" i="1"/>
  <c r="BE110" i="1" s="1"/>
  <c r="BE113" i="1" s="1"/>
  <c r="AB63" i="1" l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H65" i="1"/>
  <c r="H107" i="1"/>
  <c r="H110" i="1"/>
  <c r="T65" i="1"/>
  <c r="T108" i="1"/>
  <c r="T111" i="1"/>
  <c r="T114" i="1"/>
  <c r="AB64" i="1"/>
  <c r="AA64" i="1"/>
  <c r="AC64" i="1"/>
  <c r="Q65" i="1"/>
  <c r="Q108" i="1"/>
  <c r="Q111" i="1"/>
  <c r="Q114" i="1"/>
  <c r="I65" i="1"/>
  <c r="I66" i="1"/>
  <c r="I69" i="1"/>
  <c r="H89" i="1"/>
  <c r="S65" i="1"/>
  <c r="S66" i="1"/>
  <c r="S69" i="1"/>
  <c r="S70" i="1"/>
  <c r="N65" i="1"/>
  <c r="N107" i="1"/>
  <c r="N110" i="1"/>
  <c r="N113" i="1"/>
  <c r="Z65" i="1"/>
  <c r="Z92" i="1"/>
  <c r="Z9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D64" i="1"/>
  <c r="F64" i="1"/>
  <c r="E64" i="1"/>
  <c r="Z96" i="1"/>
  <c r="W65" i="1"/>
  <c r="W108" i="1"/>
  <c r="W111" i="1"/>
  <c r="W114" i="1"/>
  <c r="W107" i="1"/>
  <c r="W110" i="1"/>
  <c r="W113" i="1"/>
  <c r="AE64" i="1"/>
  <c r="Y65" i="1"/>
  <c r="Y99" i="1"/>
  <c r="Y103" i="1"/>
  <c r="G63" i="1"/>
  <c r="F63" i="1"/>
  <c r="F65" i="1"/>
  <c r="F66" i="1"/>
  <c r="F69" i="1"/>
  <c r="R65" i="1"/>
  <c r="R66" i="1"/>
  <c r="R69" i="1"/>
  <c r="M65" i="1"/>
  <c r="M66" i="1"/>
  <c r="M69" i="1"/>
  <c r="Y102" i="1"/>
  <c r="I70" i="1"/>
  <c r="Y104" i="1"/>
  <c r="Y92" i="1"/>
  <c r="Y95" i="1"/>
  <c r="Y94" i="1"/>
  <c r="Y96" i="1"/>
  <c r="M85" i="1"/>
  <c r="F70" i="1"/>
  <c r="F85" i="1"/>
  <c r="K65" i="1"/>
  <c r="K99" i="1"/>
  <c r="K103" i="1"/>
  <c r="F86" i="1"/>
  <c r="L89" i="1"/>
  <c r="S99" i="1"/>
  <c r="Q92" i="1"/>
  <c r="I99" i="1"/>
  <c r="R108" i="1"/>
  <c r="Q107" i="1"/>
  <c r="Z99" i="1"/>
  <c r="E63" i="1"/>
  <c r="R89" i="1"/>
  <c r="N66" i="1"/>
  <c r="N69" i="1"/>
  <c r="N86" i="1"/>
  <c r="K108" i="1"/>
  <c r="AA65" i="1"/>
  <c r="AA108" i="1"/>
  <c r="AA111" i="1"/>
  <c r="AA114" i="1"/>
  <c r="U65" i="1"/>
  <c r="H66" i="1"/>
  <c r="AA99" i="1"/>
  <c r="AA104" i="1"/>
  <c r="H69" i="1"/>
  <c r="K107" i="1"/>
  <c r="S85" i="1"/>
  <c r="F107" i="1"/>
  <c r="F108" i="1"/>
  <c r="Q89" i="1"/>
  <c r="R68" i="1"/>
  <c r="F68" i="1"/>
  <c r="M86" i="1"/>
  <c r="AB65" i="1"/>
  <c r="G65" i="1"/>
  <c r="G99" i="1"/>
  <c r="T66" i="1"/>
  <c r="H108" i="1"/>
  <c r="F92" i="1"/>
  <c r="G92" i="1"/>
  <c r="Z66" i="1"/>
  <c r="Y66" i="1"/>
  <c r="Y108" i="1"/>
  <c r="I92" i="1"/>
  <c r="AA66" i="1"/>
  <c r="I108" i="1"/>
  <c r="AC63" i="1"/>
  <c r="S104" i="1"/>
  <c r="R86" i="1"/>
  <c r="M70" i="1"/>
  <c r="S108" i="1"/>
  <c r="H113" i="1"/>
  <c r="K92" i="1"/>
  <c r="AC65" i="1"/>
  <c r="AC66" i="1"/>
  <c r="AC69" i="1"/>
  <c r="R70" i="1"/>
  <c r="W99" i="1"/>
  <c r="P65" i="1"/>
  <c r="P108" i="1"/>
  <c r="P111" i="1"/>
  <c r="P114" i="1"/>
  <c r="L65" i="1"/>
  <c r="L99" i="1"/>
  <c r="L102" i="1"/>
  <c r="I87" i="1"/>
  <c r="V65" i="1"/>
  <c r="V107" i="1"/>
  <c r="V110" i="1"/>
  <c r="I107" i="1"/>
  <c r="I110" i="1"/>
  <c r="I113" i="1"/>
  <c r="S68" i="1"/>
  <c r="F96" i="1"/>
  <c r="G108" i="1"/>
  <c r="G111" i="1"/>
  <c r="G107" i="1"/>
  <c r="G110" i="1"/>
  <c r="G113" i="1"/>
  <c r="J65" i="1"/>
  <c r="J107" i="1"/>
  <c r="J110" i="1"/>
  <c r="L103" i="1"/>
  <c r="P66" i="1"/>
  <c r="P69" i="1"/>
  <c r="P70" i="1"/>
  <c r="N99" i="1"/>
  <c r="N103" i="1"/>
  <c r="G103" i="1"/>
  <c r="G66" i="1"/>
  <c r="G68" i="1"/>
  <c r="G94" i="1"/>
  <c r="X65" i="1"/>
  <c r="X108" i="1"/>
  <c r="X111" i="1"/>
  <c r="X114" i="1"/>
  <c r="K95" i="1"/>
  <c r="Y107" i="1"/>
  <c r="AA69" i="1"/>
  <c r="K66" i="1"/>
  <c r="K68" i="1"/>
  <c r="X92" i="1"/>
  <c r="L66" i="1"/>
  <c r="N104" i="1"/>
  <c r="J99" i="1"/>
  <c r="S111" i="1"/>
  <c r="M89" i="1"/>
  <c r="N108" i="1"/>
  <c r="X66" i="1"/>
  <c r="X69" i="1"/>
  <c r="G96" i="1"/>
  <c r="F111" i="1"/>
  <c r="L92" i="1"/>
  <c r="K69" i="1"/>
  <c r="K70" i="1"/>
  <c r="H87" i="1"/>
  <c r="P107" i="1"/>
  <c r="P110" i="1"/>
  <c r="L69" i="1"/>
  <c r="K89" i="1"/>
  <c r="P86" i="1"/>
  <c r="L95" i="1"/>
  <c r="N87" i="1"/>
  <c r="R111" i="1"/>
  <c r="M87" i="1"/>
  <c r="L70" i="1"/>
  <c r="H92" i="1"/>
  <c r="R85" i="1"/>
  <c r="X86" i="1"/>
  <c r="I111" i="1"/>
  <c r="I114" i="1"/>
  <c r="Z104" i="1"/>
  <c r="Q95" i="1"/>
  <c r="L87" i="1"/>
  <c r="H94" i="1"/>
  <c r="U92" i="1"/>
  <c r="E65" i="1"/>
  <c r="E107" i="1"/>
  <c r="AB66" i="1"/>
  <c r="AB69" i="1"/>
  <c r="L108" i="1"/>
  <c r="L111" i="1"/>
  <c r="E108" i="1"/>
  <c r="E111" i="1"/>
  <c r="E114" i="1"/>
  <c r="N92" i="1"/>
  <c r="N96" i="1"/>
  <c r="N94" i="1"/>
  <c r="M92" i="1"/>
  <c r="M96" i="1"/>
  <c r="AB92" i="1"/>
  <c r="AB87" i="1"/>
  <c r="AB108" i="1"/>
  <c r="AB111" i="1"/>
  <c r="AB114" i="1"/>
  <c r="AB107" i="1"/>
  <c r="AB110" i="1"/>
  <c r="AD63" i="1"/>
  <c r="AD65" i="1"/>
  <c r="AD66" i="1"/>
  <c r="AD69" i="1"/>
  <c r="AC89" i="1"/>
  <c r="AB94" i="1"/>
  <c r="P85" i="1"/>
  <c r="T69" i="1"/>
  <c r="S103" i="1"/>
  <c r="AD92" i="1"/>
  <c r="W66" i="1"/>
  <c r="U108" i="1"/>
  <c r="N70" i="1"/>
  <c r="J89" i="1"/>
  <c r="F114" i="1"/>
  <c r="AE63" i="1"/>
  <c r="AE65" i="1"/>
  <c r="AE99" i="1"/>
  <c r="AE102" i="1"/>
  <c r="AA87" i="1"/>
  <c r="K110" i="1"/>
  <c r="T68" i="1"/>
  <c r="AC87" i="1"/>
  <c r="N102" i="1"/>
  <c r="Q110" i="1"/>
  <c r="J92" i="1"/>
  <c r="J94" i="1"/>
  <c r="N111" i="1"/>
  <c r="V108" i="1"/>
  <c r="V111" i="1"/>
  <c r="Y110" i="1"/>
  <c r="V92" i="1"/>
  <c r="V95" i="1"/>
  <c r="U107" i="1"/>
  <c r="L114" i="1"/>
  <c r="F99" i="1"/>
  <c r="H99" i="1"/>
  <c r="H102" i="1"/>
  <c r="J103" i="1"/>
  <c r="K102" i="1"/>
  <c r="AC99" i="1"/>
  <c r="AC104" i="1"/>
  <c r="O65" i="1"/>
  <c r="O107" i="1"/>
  <c r="O110" i="1"/>
  <c r="O113" i="1"/>
  <c r="N95" i="1"/>
  <c r="M95" i="1"/>
  <c r="M94" i="1"/>
  <c r="AB95" i="1"/>
  <c r="AB113" i="1"/>
  <c r="AC103" i="1"/>
  <c r="J66" i="1"/>
  <c r="J69" i="1"/>
  <c r="J85" i="1"/>
  <c r="AD95" i="1"/>
  <c r="F104" i="1"/>
  <c r="AC92" i="1"/>
  <c r="AC95" i="1"/>
  <c r="G89" i="1"/>
  <c r="AC107" i="1"/>
  <c r="AC110" i="1"/>
  <c r="AC113" i="1"/>
  <c r="J68" i="1"/>
  <c r="H85" i="1"/>
  <c r="AB96" i="1"/>
  <c r="J87" i="1"/>
  <c r="AD87" i="1"/>
  <c r="AD86" i="1"/>
  <c r="Q113" i="1"/>
  <c r="Q96" i="1"/>
  <c r="AB99" i="1"/>
  <c r="N114" i="1"/>
  <c r="F94" i="1"/>
  <c r="X87" i="1"/>
  <c r="L86" i="1"/>
  <c r="R107" i="1"/>
  <c r="T86" i="1"/>
  <c r="K87" i="1"/>
  <c r="AB89" i="1"/>
  <c r="R114" i="1"/>
  <c r="I103" i="1"/>
  <c r="U94" i="1"/>
  <c r="G95" i="1"/>
  <c r="T92" i="1"/>
  <c r="T95" i="1"/>
  <c r="F103" i="1"/>
  <c r="H103" i="1"/>
  <c r="T96" i="1"/>
  <c r="T94" i="1"/>
  <c r="P99" i="1"/>
  <c r="T87" i="1"/>
  <c r="V114" i="1"/>
  <c r="U110" i="1"/>
  <c r="X96" i="1"/>
  <c r="P103" i="1"/>
  <c r="N85" i="1"/>
  <c r="J104" i="1"/>
  <c r="J108" i="1"/>
  <c r="J111" i="1"/>
  <c r="J114" i="1"/>
  <c r="L96" i="1"/>
  <c r="Y113" i="1"/>
  <c r="AC94" i="1"/>
  <c r="H68" i="1"/>
  <c r="E66" i="1"/>
  <c r="E69" i="1"/>
  <c r="E85" i="1"/>
  <c r="S102" i="1"/>
  <c r="F87" i="1"/>
  <c r="R87" i="1"/>
  <c r="AD108" i="1"/>
  <c r="AD111" i="1"/>
  <c r="AD114" i="1"/>
  <c r="U99" i="1"/>
  <c r="U104" i="1"/>
  <c r="E86" i="1"/>
  <c r="E87" i="1"/>
  <c r="L107" i="1"/>
  <c r="L110" i="1"/>
  <c r="L113" i="1"/>
  <c r="E70" i="1"/>
  <c r="D89" i="1"/>
  <c r="AE66" i="1"/>
  <c r="AE69" i="1"/>
  <c r="AD89" i="1"/>
  <c r="M99" i="1"/>
  <c r="T99" i="1"/>
  <c r="T104" i="1"/>
  <c r="R99" i="1"/>
  <c r="AE92" i="1"/>
  <c r="M68" i="1"/>
  <c r="X107" i="1"/>
  <c r="X110" i="1"/>
  <c r="M108" i="1"/>
  <c r="Q99" i="1"/>
  <c r="E92" i="1"/>
  <c r="R92" i="1"/>
  <c r="Y69" i="1"/>
  <c r="I86" i="1"/>
  <c r="X99" i="1"/>
  <c r="X104" i="1"/>
  <c r="AE96" i="1"/>
  <c r="AE86" i="1"/>
  <c r="AE95" i="1"/>
  <c r="AE87" i="1"/>
  <c r="AE108" i="1"/>
  <c r="AE111" i="1"/>
  <c r="AE114" i="1"/>
  <c r="AE107" i="1"/>
  <c r="AE110" i="1"/>
  <c r="Z107" i="1"/>
  <c r="Z110" i="1"/>
  <c r="Z113" i="1"/>
  <c r="R103" i="1"/>
  <c r="P92" i="1"/>
  <c r="P94" i="1"/>
  <c r="AA107" i="1"/>
  <c r="AA110" i="1"/>
  <c r="AA103" i="1"/>
  <c r="X95" i="1"/>
  <c r="E110" i="1"/>
  <c r="Z89" i="1"/>
  <c r="I68" i="1"/>
  <c r="AA68" i="1"/>
  <c r="Y85" i="1"/>
  <c r="N68" i="1"/>
  <c r="O89" i="1"/>
  <c r="U103" i="1"/>
  <c r="Z68" i="1"/>
  <c r="S107" i="1"/>
  <c r="S110" i="1"/>
  <c r="S113" i="1"/>
  <c r="U111" i="1"/>
  <c r="U114" i="1"/>
  <c r="U66" i="1"/>
  <c r="U69" i="1"/>
  <c r="U85" i="1"/>
  <c r="AA86" i="1"/>
  <c r="AA113" i="1"/>
  <c r="AE103" i="1"/>
  <c r="Q94" i="1"/>
  <c r="Z108" i="1"/>
  <c r="R104" i="1"/>
  <c r="E68" i="1"/>
  <c r="Q66" i="1"/>
  <c r="Q69" i="1"/>
  <c r="P89" i="1"/>
  <c r="AC85" i="1"/>
  <c r="G69" i="1"/>
  <c r="V66" i="1"/>
  <c r="V69" i="1"/>
  <c r="U89" i="1"/>
  <c r="T107" i="1"/>
  <c r="S86" i="1"/>
  <c r="W69" i="1"/>
  <c r="P95" i="1"/>
  <c r="O92" i="1"/>
  <c r="O95" i="1"/>
  <c r="M104" i="1"/>
  <c r="AC70" i="1"/>
  <c r="AC108" i="1"/>
  <c r="AC111" i="1"/>
  <c r="K96" i="1"/>
  <c r="O108" i="1"/>
  <c r="U70" i="1"/>
  <c r="P113" i="1"/>
  <c r="Q85" i="1"/>
  <c r="Y111" i="1"/>
  <c r="E95" i="1"/>
  <c r="I96" i="1"/>
  <c r="O96" i="1"/>
  <c r="Z111" i="1"/>
  <c r="Q87" i="1"/>
  <c r="W89" i="1"/>
  <c r="I104" i="1"/>
  <c r="I102" i="1"/>
  <c r="H111" i="1"/>
  <c r="P96" i="1"/>
  <c r="E99" i="1"/>
  <c r="AD99" i="1"/>
  <c r="AD102" i="1"/>
  <c r="K104" i="1"/>
  <c r="W92" i="1"/>
  <c r="O66" i="1"/>
  <c r="S92" i="1"/>
  <c r="O69" i="1"/>
  <c r="I95" i="1"/>
  <c r="G104" i="1"/>
  <c r="U87" i="1"/>
  <c r="T89" i="1"/>
  <c r="W96" i="1"/>
  <c r="AD103" i="1"/>
  <c r="E96" i="1"/>
  <c r="O99" i="1"/>
  <c r="O104" i="1"/>
  <c r="Q102" i="1"/>
  <c r="W94" i="1"/>
  <c r="V87" i="1"/>
  <c r="Q104" i="1"/>
  <c r="X89" i="1"/>
  <c r="R95" i="1"/>
  <c r="V70" i="1"/>
  <c r="O87" i="1"/>
  <c r="AA92" i="1"/>
  <c r="AA94" i="1"/>
  <c r="E104" i="1"/>
  <c r="E94" i="1"/>
  <c r="AD104" i="1"/>
  <c r="V86" i="1"/>
  <c r="M111" i="1"/>
  <c r="M114" i="1"/>
  <c r="AA96" i="1"/>
  <c r="S96" i="1"/>
  <c r="X103" i="1"/>
  <c r="W95" i="1"/>
  <c r="E103" i="1"/>
  <c r="P68" i="1"/>
  <c r="U68" i="1"/>
  <c r="O86" i="1"/>
  <c r="O85" i="1"/>
  <c r="E102" i="1"/>
  <c r="S94" i="1"/>
  <c r="V68" i="1"/>
  <c r="S95" i="1"/>
  <c r="AA95" i="1"/>
  <c r="O102" i="1"/>
  <c r="O68" i="1"/>
  <c r="N89" i="1"/>
  <c r="H114" i="1"/>
  <c r="Q68" i="1"/>
  <c r="O70" i="1"/>
  <c r="Y70" i="1"/>
  <c r="W68" i="1"/>
  <c r="Z102" i="1"/>
  <c r="F110" i="1"/>
  <c r="I85" i="1"/>
  <c r="V85" i="1"/>
  <c r="K111" i="1"/>
  <c r="O103" i="1"/>
  <c r="G114" i="1"/>
  <c r="T102" i="1"/>
  <c r="J95" i="1"/>
  <c r="F113" i="1"/>
  <c r="T85" i="1"/>
  <c r="Z103" i="1"/>
  <c r="H96" i="1"/>
  <c r="U113" i="1"/>
  <c r="L85" i="1"/>
  <c r="M102" i="1"/>
  <c r="L104" i="1"/>
  <c r="X94" i="1"/>
  <c r="L68" i="1"/>
  <c r="F95" i="1"/>
  <c r="S114" i="1"/>
  <c r="K85" i="1"/>
  <c r="X70" i="1"/>
  <c r="H104" i="1"/>
  <c r="AB85" i="1"/>
  <c r="O111" i="1"/>
  <c r="O114" i="1"/>
  <c r="P104" i="1"/>
  <c r="Q103" i="1"/>
  <c r="AB102" i="1"/>
  <c r="I94" i="1"/>
  <c r="V113" i="1"/>
  <c r="J96" i="1"/>
  <c r="R94" i="1"/>
  <c r="J113" i="1"/>
  <c r="K86" i="1"/>
  <c r="AA85" i="1"/>
  <c r="AE113" i="1"/>
  <c r="L94" i="1"/>
  <c r="H95" i="1"/>
  <c r="H86" i="1"/>
  <c r="Q70" i="1"/>
  <c r="AC96" i="1"/>
  <c r="AD96" i="1"/>
  <c r="AB103" i="1"/>
  <c r="K114" i="1"/>
  <c r="V94" i="1"/>
  <c r="AD68" i="1"/>
  <c r="M103" i="1"/>
  <c r="AE104" i="1"/>
  <c r="R102" i="1"/>
  <c r="AE68" i="1"/>
  <c r="Y87" i="1"/>
  <c r="X102" i="1"/>
  <c r="J86" i="1"/>
  <c r="AD85" i="1"/>
  <c r="AD70" i="1"/>
  <c r="V99" i="1"/>
  <c r="W104" i="1"/>
  <c r="W102" i="1"/>
  <c r="AC86" i="1"/>
  <c r="G70" i="1"/>
  <c r="Y68" i="1"/>
  <c r="AB104" i="1"/>
  <c r="U86" i="1"/>
  <c r="S89" i="1"/>
  <c r="U102" i="1"/>
  <c r="Z95" i="1"/>
  <c r="E89" i="1"/>
  <c r="S87" i="1"/>
  <c r="T110" i="1"/>
  <c r="K94" i="1"/>
  <c r="R96" i="1"/>
  <c r="AA70" i="1"/>
  <c r="X68" i="1"/>
  <c r="AD107" i="1"/>
  <c r="AD110" i="1"/>
  <c r="AD113" i="1"/>
  <c r="R110" i="1"/>
  <c r="P87" i="1"/>
  <c r="U95" i="1"/>
  <c r="T103" i="1"/>
  <c r="M107" i="1"/>
  <c r="M110" i="1"/>
  <c r="M113" i="1"/>
  <c r="G102" i="1"/>
  <c r="Z69" i="1"/>
  <c r="J102" i="1"/>
  <c r="AC68" i="1"/>
  <c r="AA89" i="1"/>
  <c r="AB86" i="1"/>
  <c r="AB68" i="1"/>
  <c r="H70" i="1"/>
  <c r="V104" i="1"/>
  <c r="W103" i="1"/>
  <c r="AE94" i="1"/>
  <c r="V89" i="1"/>
  <c r="G87" i="1"/>
  <c r="V102" i="1"/>
  <c r="AA102" i="1"/>
  <c r="X85" i="1"/>
  <c r="AD94" i="1"/>
  <c r="O94" i="1"/>
  <c r="E113" i="1"/>
  <c r="W85" i="1"/>
  <c r="F89" i="1"/>
  <c r="J70" i="1"/>
  <c r="I89" i="1"/>
  <c r="AC102" i="1"/>
  <c r="AB70" i="1"/>
  <c r="F102" i="1"/>
  <c r="AC114" i="1"/>
  <c r="V96" i="1"/>
  <c r="W87" i="1"/>
  <c r="W70" i="1"/>
  <c r="P102" i="1"/>
  <c r="T70" i="1"/>
  <c r="T113" i="1"/>
  <c r="X113" i="1"/>
  <c r="Q86" i="1"/>
  <c r="W86" i="1"/>
  <c r="K113" i="1"/>
  <c r="U96" i="1"/>
  <c r="Y114" i="1"/>
  <c r="AE70" i="1"/>
  <c r="G86" i="1"/>
  <c r="AE85" i="1"/>
  <c r="G85" i="1"/>
  <c r="Y86" i="1"/>
  <c r="R113" i="1"/>
  <c r="Z114" i="1"/>
  <c r="Z70" i="1"/>
  <c r="Y89" i="1"/>
  <c r="Z86" i="1"/>
  <c r="Z85" i="1"/>
  <c r="Z87" i="1"/>
  <c r="V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<sst xmlns="http://schemas.openxmlformats.org/spreadsheetml/2006/main" count="663" uniqueCount="524">
  <si>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</si>
  <si>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</si>
  <si>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</si>
  <si>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</si>
  <si>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</si>
  <si>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</si>
  <si>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</si>
  <si>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</si>
  <si>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</si>
  <si>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</si>
  <si>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</si>
  <si>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</si>
  <si>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</si>
  <si>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</si>
  <si>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</si>
  <si>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</si>
  <si>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</si>
  <si>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</si>
  <si>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</si>
  <si>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</si>
  <si>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</si>
  <si>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</si>
  <si>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</si>
  <si>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</si>
  <si>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</si>
  <si>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</si>
  <si>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</si>
  <si>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</si>
  <si>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</si>
  <si>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</si>
  <si>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</si>
  <si>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</si>
  <si>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</si>
  <si>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</si>
  <si>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</si>
  <si>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</si>
  <si>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</si>
  <si>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</si>
  <si>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</si>
  <si>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</si>
  <si>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</si>
  <si>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</si>
  <si>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</si>
  <si>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</si>
  <si>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</si>
  <si>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</si>
  <si>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</si>
  <si>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</si>
  <si>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</si>
  <si>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</si>
  <si>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</si>
  <si>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</si>
  <si>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</si>
  <si>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</si>
  <si>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</si>
  <si>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</si>
  <si>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</si>
  <si>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</si>
  <si>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</si>
  <si>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</si>
  <si>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</si>
  <si>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</si>
  <si>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</si>
  <si>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</si>
  <si>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</si>
  <si>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</si>
  <si>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</si>
  <si>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</si>
  <si>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</si>
  <si>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</si>
  <si>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</si>
  <si>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</si>
  <si>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</si>
  <si>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</si>
  <si>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</si>
  <si>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</si>
  <si>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</si>
  <si>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</si>
  <si>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</si>
  <si>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</si>
  <si>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</si>
  <si>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</si>
  <si>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</si>
  <si>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</si>
  <si>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</si>
  <si>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</si>
  <si>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</si>
  <si>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</si>
  <si>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</si>
  <si>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</si>
  <si>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</si>
  <si>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</si>
  <si>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</si>
  <si>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</si>
  <si>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</si>
  <si>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</si>
  <si>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</si>
  <si>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</si>
  <si>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</si>
  <si>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</si>
  <si>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</si>
  <si>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</si>
  <si>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</si>
  <si>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</si>
  <si>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</si>
  <si>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</si>
  <si>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</si>
  <si>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</si>
  <si>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</si>
  <si>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</si>
  <si>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</si>
  <si>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</si>
  <si>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</si>
  <si>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</si>
  <si>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</si>
  <si>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</si>
  <si>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</si>
  <si>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</si>
  <si>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</si>
  <si>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</si>
  <si>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</si>
  <si>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</si>
  <si>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</si>
  <si>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</si>
  <si>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</si>
  <si>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</si>
  <si>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</si>
  <si>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</si>
  <si>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</si>
  <si>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</si>
  <si>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</si>
  <si>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</si>
  <si>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</si>
  <si>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</si>
  <si>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</si>
  <si>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</si>
  <si>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</si>
  <si>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</si>
  <si>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</si>
  <si>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</si>
  <si>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</si>
  <si>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</si>
  <si>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</si>
  <si>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</si>
  <si>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</si>
  <si>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</si>
  <si>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</si>
  <si>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</si>
  <si>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</si>
  <si>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</si>
  <si>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</si>
  <si>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</si>
  <si>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</si>
  <si>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</si>
  <si>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</si>
  <si>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</si>
  <si>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</si>
  <si>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</si>
  <si>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</si>
  <si>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</si>
  <si>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</si>
  <si>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</si>
  <si>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</si>
  <si>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</si>
  <si>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</si>
  <si>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</si>
  <si>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</si>
  <si>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</si>
  <si>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</si>
  <si>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</si>
  <si>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</si>
  <si>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</si>
  <si>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</si>
  <si>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</si>
  <si>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</si>
  <si>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</si>
  <si>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</si>
  <si>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</si>
  <si>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</si>
  <si>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</si>
  <si>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</si>
  <si>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</si>
  <si>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</si>
  <si>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</si>
  <si>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</si>
  <si>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</si>
  <si>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</si>
  <si>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</si>
  <si>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</si>
  <si>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</si>
  <si>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</si>
  <si>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</si>
  <si>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</si>
  <si>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</si>
  <si>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</si>
  <si>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</si>
  <si>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</si>
  <si>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</si>
  <si>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</si>
  <si>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</si>
  <si>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</si>
  <si>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</si>
  <si>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</si>
  <si>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</si>
  <si>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</si>
  <si>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</si>
  <si>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</si>
  <si>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</si>
  <si>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</si>
  <si>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</si>
  <si>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</si>
  <si>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</si>
  <si>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</si>
  <si>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</si>
  <si>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</si>
  <si>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</si>
  <si>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</si>
  <si>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</si>
  <si>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</si>
  <si>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</si>
  <si>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</si>
  <si>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</si>
  <si>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</si>
  <si>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</si>
  <si>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</si>
  <si>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</si>
  <si>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</si>
  <si>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</si>
  <si>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</si>
  <si>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</si>
  <si>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</si>
  <si>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</si>
  <si>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</si>
  <si>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</si>
  <si>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</si>
  <si>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</si>
  <si>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</si>
  <si>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</si>
  <si>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</si>
  <si>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</si>
  <si>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</si>
  <si>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</si>
  <si>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</si>
  <si>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</si>
  <si>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</si>
  <si>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</si>
  <si>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</si>
  <si>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</si>
  <si>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</si>
  <si>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</si>
  <si>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</si>
  <si>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</si>
  <si>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</si>
  <si>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</si>
  <si>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</si>
  <si>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</si>
  <si>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</si>
  <si>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</si>
  <si>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</si>
  <si>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</si>
  <si>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</si>
  <si>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</si>
  <si>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</si>
  <si>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</si>
  <si>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</si>
  <si>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</si>
  <si>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</si>
  <si>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</si>
  <si>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</si>
  <si>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</si>
  <si>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</si>
  <si>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</si>
  <si>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</si>
  <si>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</si>
  <si>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</si>
  <si>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</si>
  <si>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</si>
  <si>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</si>
  <si>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</si>
  <si>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</si>
  <si>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</si>
  <si>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</si>
  <si>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</si>
  <si>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</si>
  <si>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</si>
  <si>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</si>
  <si>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</si>
  <si>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</si>
  <si>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</si>
  <si>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</si>
  <si>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</si>
  <si>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</si>
  <si>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</si>
  <si>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</si>
  <si>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</si>
  <si>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</si>
  <si>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</si>
  <si>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</si>
  <si>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</si>
  <si>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</si>
  <si>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</si>
  <si>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</si>
  <si>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</si>
  <si>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</si>
  <si>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</si>
  <si>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</si>
  <si>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</si>
  <si>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</si>
  <si>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</si>
  <si>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</si>
  <si>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</si>
  <si>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</si>
  <si>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</si>
  <si>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</si>
  <si>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</si>
  <si>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</si>
  <si>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</si>
  <si>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</si>
  <si>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</si>
  <si>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</si>
  <si>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</si>
  <si>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</si>
  <si>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</si>
  <si>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</si>
  <si>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</si>
  <si>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</si>
  <si>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</si>
  <si>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</si>
  <si>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</si>
  <si>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</si>
  <si>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</si>
  <si>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</si>
  <si>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</si>
  <si>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</si>
  <si>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</si>
  <si>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</si>
  <si>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</si>
  <si>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</si>
  <si>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</si>
  <si>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</si>
  <si>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</si>
  <si>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</si>
  <si>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</si>
  <si>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</si>
  <si>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</si>
  <si>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</si>
  <si>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</si>
  <si>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</si>
  <si>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</si>
  <si>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</si>
  <si>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</si>
  <si>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</si>
  <si>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</si>
  <si>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</si>
  <si>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</si>
  <si>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</si>
  <si>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</si>
  <si>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</si>
  <si>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</si>
  <si>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</si>
  <si>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</si>
  <si>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</si>
  <si>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</si>
  <si>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</si>
  <si>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</si>
  <si>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</si>
  <si>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</si>
  <si>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</si>
  <si>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</si>
  <si>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</si>
  <si>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</si>
  <si>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</si>
  <si>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</si>
  <si>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</si>
  <si>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</si>
  <si>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</si>
  <si>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</si>
  <si>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</si>
  <si>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</si>
  <si>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</si>
  <si>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</si>
  <si>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</si>
  <si>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</si>
  <si>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</si>
  <si>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</si>
  <si>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</si>
  <si>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</si>
  <si>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</si>
  <si>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</si>
  <si>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</si>
  <si>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</si>
  <si>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</si>
  <si>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</si>
  <si>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</si>
  <si>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</si>
  <si>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</si>
  <si>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</si>
  <si>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</si>
  <si>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</si>
  <si>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</si>
  <si>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</si>
  <si>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</si>
  <si>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</si>
  <si>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</si>
  <si>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</si>
  <si>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</si>
  <si>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</si>
  <si>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</si>
  <si>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</si>
  <si>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</si>
  <si>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</si>
  <si>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</si>
  <si>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</si>
  <si>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</si>
  <si>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</si>
  <si>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</si>
  <si>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</si>
  <si>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</si>
  <si>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</si>
  <si>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</si>
  <si>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</si>
  <si>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</si>
  <si>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</si>
  <si>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</si>
  <si>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</si>
  <si>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</si>
  <si>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</si>
  <si>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</si>
  <si>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</si>
  <si>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</si>
  <si>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</si>
  <si>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</si>
  <si>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</si>
  <si>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</si>
  <si>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</si>
  <si>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</si>
  <si>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</si>
  <si>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</si>
  <si>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</si>
  <si>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</si>
  <si>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</si>
  <si>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</si>
  <si>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</si>
  <si>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</si>
  <si>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</si>
  <si>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</si>
  <si>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</si>
  <si>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</si>
  <si>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</si>
  <si>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</si>
  <si>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</si>
  <si>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</si>
  <si>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</si>
  <si>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</si>
  <si>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</si>
  <si>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</si>
  <si>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</si>
  <si>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</si>
  <si>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</si>
  <si>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</si>
  <si>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</si>
  <si>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</si>
  <si>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</si>
  <si>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</si>
  <si>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</si>
  <si>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</si>
  <si>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</si>
  <si>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</si>
  <si>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</si>
  <si>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</si>
  <si>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</si>
  <si>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</si>
  <si>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</si>
  <si>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</si>
  <si>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</si>
  <si>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</si>
  <si>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</si>
  <si>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</si>
  <si>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</si>
  <si>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</si>
  <si>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</si>
  <si>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</si>
  <si>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</si>
  <si>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</si>
  <si>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</si>
  <si>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</si>
  <si>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</si>
  <si>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</si>
  <si>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</si>
  <si>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</si>
  <si>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</si>
  <si>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</si>
  <si>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</si>
  <si>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</si>
  <si>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</si>
  <si>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</si>
  <si>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</si>
  <si>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</si>
  <si>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</si>
  <si>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</si>
  <si>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</si>
  <si>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</si>
  <si>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</si>
  <si>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</si>
  <si>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</si>
  <si>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</si>
  <si>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</si>
  <si>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</si>
  <si>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</si>
  <si>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</si>
  <si>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</si>
  <si>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</si>
  <si>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</si>
  <si>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</si>
  <si>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</si>
  <si>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PNGS Gargi Fashion Jewellery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</si>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</sst>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PNGS Gargi Fashion Jewellery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6.0000000000000001E-3</v>
      </c>
      <c r="W8" s="25">
        <f>'Annual Raw'!X6</f>
        <v>5.9393000000000002</v>
      </c>
      <c r="X8" s="25">
        <f>'Annual Raw'!Y6</f>
        <v>28.6736</v>
      </c>
      <c r="Y8" s="25">
        <f>'Annual Raw'!Z6</f>
        <v>50.509399999999999</v>
      </c>
      <c r="Z8" s="25">
        <f>'Annual Raw'!AA6</f>
        <v>126.3224</v>
      </c>
      <c r="AA8" s="25">
        <f>'Annual Raw'!AB6</f>
        <v>149.4014</v>
      </c>
      <c r="AB8" s="17">
        <f>+SUM(CM8:CP8)</f>
        <v>205.86680883433232</v>
      </c>
      <c r="AC8" s="17">
        <f>+SUM(CQ8:CT8)</f>
        <v>282.32272379557361</v>
      </c>
      <c r="AD8" s="17">
        <f>+SUM(CU8:CX8)</f>
        <v>386.61790090754499</v>
      </c>
      <c r="AE8" s="17">
        <f>+SUM(CY8:DB8)</f>
        <v>529.31958076258104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1.24</v>
      </c>
      <c r="BV8" s="25">
        <f>'QTR Raw'!AP6+'QTR Raw'!AP8</f>
        <v>4.7</v>
      </c>
      <c r="BW8" s="25">
        <f>'QTR Raw'!AQ6+'QTR Raw'!AQ8</f>
        <v>5.3280000000000003</v>
      </c>
      <c r="BX8" s="25">
        <f>'QTR Raw'!AR6+'QTR Raw'!AR8</f>
        <v>6.5629999999999997</v>
      </c>
      <c r="BY8" s="25">
        <f>'QTR Raw'!AS6+'QTR Raw'!AS8</f>
        <v>9.6920000000000002</v>
      </c>
      <c r="BZ8" s="25">
        <f>'QTR Raw'!AT6+'QTR Raw'!AT8</f>
        <v>7.09</v>
      </c>
      <c r="CA8" s="25">
        <f>'QTR Raw'!AU6+'QTR Raw'!AU8</f>
        <v>6.5250000000000004</v>
      </c>
      <c r="CB8" s="25">
        <f>'QTR Raw'!AV6+'QTR Raw'!AV8</f>
        <v>10.798</v>
      </c>
      <c r="CC8" s="25">
        <f>'QTR Raw'!AW6+'QTR Raw'!AW8</f>
        <v>17.782</v>
      </c>
      <c r="CD8" s="25">
        <f>'QTR Raw'!AX6+'QTR Raw'!AX8</f>
        <v>15.384</v>
      </c>
      <c r="CE8" s="25">
        <f>'QTR Raw'!AY6+'QTR Raw'!AY8</f>
        <v>44.454999999999998</v>
      </c>
      <c r="CF8" s="25">
        <f>'QTR Raw'!AZ6+'QTR Raw'!AZ8</f>
        <v>22.951000000000001</v>
      </c>
      <c r="CG8" s="25">
        <f>'QTR Raw'!BA6+'QTR Raw'!BA8</f>
        <v>36.244</v>
      </c>
      <c r="CH8" s="25">
        <f>'QTR Raw'!BB6+'QTR Raw'!BB8</f>
        <v>22.687000000000001</v>
      </c>
      <c r="CI8" s="25">
        <f>'QTR Raw'!BC6+'QTR Raw'!BC8</f>
        <v>27.311</v>
      </c>
      <c r="CJ8" s="25">
        <f>'QTR Raw'!BD6+'QTR Raw'!BD8</f>
        <v>46.448</v>
      </c>
      <c r="CK8" s="25">
        <f>'QTR Raw'!BE6+'QTR Raw'!BE8</f>
        <v>46.055999999999997</v>
      </c>
      <c r="CL8" s="25">
        <f>'QTR Raw'!BF6+'QTR Raw'!BF8</f>
        <v>29.587</v>
      </c>
      <c r="CM8" s="17">
        <f t="shared" ref="CM8:DB8" si="33">+CI10+(CM11*CI10)</f>
        <v>35.593067644498504</v>
      </c>
      <c r="CN8" s="17">
        <f t="shared" si="33"/>
        <v>68.532858976436145</v>
      </c>
      <c r="CO8" s="17">
        <f t="shared" si="33"/>
        <v>61.641175103078027</v>
      </c>
      <c r="CP8" s="17">
        <f t="shared" si="33"/>
        <v>40.099707110319656</v>
      </c>
      <c r="CQ8" s="17">
        <f t="shared" si="33"/>
        <v>48.695200083870539</v>
      </c>
      <c r="CR8" s="17">
        <f t="shared" si="33"/>
        <v>94.8716694022865</v>
      </c>
      <c r="CS8" s="17">
        <f t="shared" si="33"/>
        <v>83.92668209661764</v>
      </c>
      <c r="CT8" s="17">
        <f t="shared" si="33"/>
        <v>54.829172212798923</v>
      </c>
      <c r="CU8" s="17">
        <f t="shared" si="33"/>
        <v>66.728128300579868</v>
      </c>
      <c r="CV8" s="17">
        <f t="shared" si="33"/>
        <v>130.05728016472054</v>
      </c>
      <c r="CW8" s="17">
        <f t="shared" si="33"/>
        <v>114.77090040250123</v>
      </c>
      <c r="CX8" s="17">
        <f t="shared" si="33"/>
        <v>75.061592039743346</v>
      </c>
      <c r="CY8" s="17">
        <f t="shared" si="33"/>
        <v>91.379509137131777</v>
      </c>
      <c r="CZ8" s="17">
        <f t="shared" si="33"/>
        <v>178.07534261767694</v>
      </c>
      <c r="DA8" s="17">
        <f t="shared" si="33"/>
        <v>157.0972411038766</v>
      </c>
      <c r="DB8" s="17">
        <f t="shared" si="33"/>
        <v>102.76748790389574</v>
      </c>
      <c r="DE8" s="119"/>
      <c r="DF8" s="25">
        <v>30.534297541809963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6.0000000000000001E-3</v>
      </c>
      <c r="W10" s="26">
        <f>+W8-W9</f>
        <v>5.9393000000000002</v>
      </c>
      <c r="X10" s="26">
        <f>+X8-X9</f>
        <v>28.6736</v>
      </c>
      <c r="Y10" s="26">
        <f>+Y8-Y9</f>
        <v>50.509399999999999</v>
      </c>
      <c r="Z10" s="26">
        <f>+Z8-Z9</f>
        <v>126.3224</v>
      </c>
      <c r="AA10" s="26">
        <f>+AA8-AA9</f>
        <v>149.4014</v>
      </c>
      <c r="AB10" s="27">
        <f t="shared" ref="AB10:AD10" si="35">+AB8-AB9</f>
        <v>205.86680883433232</v>
      </c>
      <c r="AC10" s="27">
        <f t="shared" si="35"/>
        <v>282.32272379557361</v>
      </c>
      <c r="AD10" s="27">
        <f t="shared" si="35"/>
        <v>386.61790090754499</v>
      </c>
      <c r="AE10" s="27">
        <f t="shared" ref="AE10" si="36">+AE8-AE9</f>
        <v>529.31958076258104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0</v>
      </c>
      <c r="BS10" s="26">
        <f t="shared" si="42"/>
        <v>0</v>
      </c>
      <c r="BT10" s="26">
        <f t="shared" si="42"/>
        <v>0</v>
      </c>
      <c r="BU10" s="26">
        <f t="shared" si="42"/>
        <v>1.24</v>
      </c>
      <c r="BV10" s="26">
        <f t="shared" si="42"/>
        <v>4.7</v>
      </c>
      <c r="BW10" s="26">
        <f t="shared" si="42"/>
        <v>5.3280000000000003</v>
      </c>
      <c r="BX10" s="26">
        <f t="shared" si="42"/>
        <v>6.5629999999999997</v>
      </c>
      <c r="BY10" s="26">
        <f t="shared" si="42"/>
        <v>9.6920000000000002</v>
      </c>
      <c r="BZ10" s="26">
        <f t="shared" si="42"/>
        <v>7.09</v>
      </c>
      <c r="CA10" s="26">
        <f t="shared" si="42"/>
        <v>6.5250000000000004</v>
      </c>
      <c r="CB10" s="26">
        <f t="shared" si="42"/>
        <v>10.798</v>
      </c>
      <c r="CC10" s="26">
        <f t="shared" si="42"/>
        <v>17.782</v>
      </c>
      <c r="CD10" s="26">
        <f t="shared" si="42"/>
        <v>15.384</v>
      </c>
      <c r="CE10" s="26">
        <f t="shared" si="42"/>
        <v>44.454999999999998</v>
      </c>
      <c r="CF10" s="26">
        <f t="shared" si="42"/>
        <v>22.951000000000001</v>
      </c>
      <c r="CG10" s="26">
        <f t="shared" ref="CG10:CH10" si="43">+CG8-CG9</f>
        <v>36.244</v>
      </c>
      <c r="CH10" s="26">
        <f t="shared" si="43"/>
        <v>22.687000000000001</v>
      </c>
      <c r="CI10" s="26">
        <f t="shared" ref="CI10:CJ10" si="44">+CI8-CI9</f>
        <v>27.311</v>
      </c>
      <c r="CJ10" s="26">
        <f t="shared" si="44"/>
        <v>46.448</v>
      </c>
      <c r="CK10" s="26">
        <f t="shared" ref="CK10:CL10" si="45">+CK8-CK9</f>
        <v>46.055999999999997</v>
      </c>
      <c r="CL10" s="26">
        <f t="shared" si="45"/>
        <v>29.587</v>
      </c>
      <c r="CM10" s="27">
        <f t="shared" ref="CM10:DB10" si="46">+CM8-CM9</f>
        <v>35.593067644498504</v>
      </c>
      <c r="CN10" s="27">
        <f t="shared" si="46"/>
        <v>68.532858976436145</v>
      </c>
      <c r="CO10" s="27">
        <f t="shared" si="46"/>
        <v>61.641175103078027</v>
      </c>
      <c r="CP10" s="27">
        <f t="shared" si="46"/>
        <v>40.099707110319656</v>
      </c>
      <c r="CQ10" s="27">
        <f t="shared" si="46"/>
        <v>48.695200083870539</v>
      </c>
      <c r="CR10" s="27">
        <f t="shared" si="46"/>
        <v>94.8716694022865</v>
      </c>
      <c r="CS10" s="27">
        <f t="shared" si="46"/>
        <v>83.92668209661764</v>
      </c>
      <c r="CT10" s="27">
        <f t="shared" si="46"/>
        <v>54.829172212798923</v>
      </c>
      <c r="CU10" s="27">
        <f t="shared" si="46"/>
        <v>66.728128300579868</v>
      </c>
      <c r="CV10" s="27">
        <f t="shared" si="46"/>
        <v>130.05728016472054</v>
      </c>
      <c r="CW10" s="27">
        <f t="shared" si="46"/>
        <v>114.77090040250123</v>
      </c>
      <c r="CX10" s="27">
        <f t="shared" si="46"/>
        <v>75.061592039743346</v>
      </c>
      <c r="CY10" s="27">
        <f t="shared" si="46"/>
        <v>91.379509137131777</v>
      </c>
      <c r="CZ10" s="27">
        <f t="shared" si="46"/>
        <v>178.07534261767694</v>
      </c>
      <c r="DA10" s="27">
        <f t="shared" si="46"/>
        <v>157.0972411038766</v>
      </c>
      <c r="DB10" s="27">
        <f t="shared" si="46"/>
        <v>102.76748790389574</v>
      </c>
      <c r="DE10" s="121"/>
      <c r="DF10" s="26">
        <v>30.534297541809963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 t="e">
        <f t="shared" si="50"/>
        <v>#DIV/0!</v>
      </c>
      <c r="P11" s="39" t="e">
        <f t="shared" si="50"/>
        <v>#DIV/0!</v>
      </c>
      <c r="Q11" s="39" t="e">
        <f t="shared" si="50"/>
        <v>#DIV/0!</v>
      </c>
      <c r="R11" s="39" t="e">
        <f t="shared" si="50"/>
        <v>#DIV/0!</v>
      </c>
      <c r="S11" s="39" t="e">
        <f t="shared" ref="S11:AA11" si="51">S10/R10-1</f>
        <v>#DIV/0!</v>
      </c>
      <c r="T11" s="39" t="e">
        <f t="shared" si="51"/>
        <v>#DIV/0!</v>
      </c>
      <c r="U11" s="39" t="e">
        <f t="shared" si="51"/>
        <v>#DIV/0!</v>
      </c>
      <c r="V11" s="39" t="e">
        <f t="shared" si="51"/>
        <v>#DIV/0!</v>
      </c>
      <c r="W11" s="39">
        <f t="shared" si="51"/>
        <v>988.88333333333333</v>
      </c>
      <c r="X11" s="39">
        <f t="shared" si="51"/>
        <v>3.8277743168386849</v>
      </c>
      <c r="Y11" s="39">
        <f t="shared" si="51"/>
        <v>0.76152976954411011</v>
      </c>
      <c r="Z11" s="39">
        <f t="shared" si="51"/>
        <v>1.5009681366240741</v>
      </c>
      <c r="AA11" s="39">
        <f t="shared" si="51"/>
        <v>0.18269918874245583</v>
      </c>
      <c r="AB11" s="40">
        <f t="shared" ref="AB11" si="52">AB10/AA10-1</f>
        <v>0.37794430864993456</v>
      </c>
      <c r="AC11" s="40">
        <f t="shared" ref="AC11" si="53">AC10/AB10-1</f>
        <v>0.37138534081405927</v>
      </c>
      <c r="AD11" s="40">
        <f t="shared" ref="AD11" si="54">AD10/AC10-1</f>
        <v>0.36941828737629434</v>
      </c>
      <c r="AE11" s="40">
        <f t="shared" ref="AE11" si="55">AE10/AD10-1</f>
        <v>0.36910261920117726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 t="e">
        <f t="shared" si="56"/>
        <v>#DIV/0!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 t="e">
        <f t="shared" si="56"/>
        <v>#DIV/0!</v>
      </c>
      <c r="BW11" s="39" t="e">
        <f t="shared" si="56"/>
        <v>#DIV/0!</v>
      </c>
      <c r="BX11" s="39" t="e">
        <f t="shared" si="56"/>
        <v>#DIV/0!</v>
      </c>
      <c r="BY11" s="39">
        <f t="shared" si="56"/>
        <v>6.8161290322580648</v>
      </c>
      <c r="BZ11" s="39">
        <f t="shared" si="56"/>
        <v>0.50851063829787235</v>
      </c>
      <c r="CA11" s="39">
        <f t="shared" si="56"/>
        <v>0.22466216216216206</v>
      </c>
      <c r="CB11" s="39">
        <f t="shared" si="56"/>
        <v>0.64528416882523243</v>
      </c>
      <c r="CC11" s="39">
        <f t="shared" si="56"/>
        <v>0.83470903838217092</v>
      </c>
      <c r="CD11" s="39">
        <f t="shared" si="56"/>
        <v>1.1698166431593795</v>
      </c>
      <c r="CE11" s="39">
        <f t="shared" si="56"/>
        <v>5.8130268199233708</v>
      </c>
      <c r="CF11" s="39">
        <f t="shared" si="56"/>
        <v>1.1254862011483611</v>
      </c>
      <c r="CG11" s="39">
        <f t="shared" si="56"/>
        <v>1.0382409177820269</v>
      </c>
      <c r="CH11" s="39">
        <f t="shared" si="56"/>
        <v>0.47471398855954239</v>
      </c>
      <c r="CI11" s="39">
        <f t="shared" si="56"/>
        <v>-0.38564840850298054</v>
      </c>
      <c r="CJ11" s="39">
        <f>+IF(CF10&lt;0,1-CJ10/CF10,CJ10/CF10-1)</f>
        <v>1.02378981308004</v>
      </c>
      <c r="CK11" s="39">
        <f>+IF(CG10&lt;0,1-CK10/CG10,CK10/CG10-1)</f>
        <v>0.2707206710076151</v>
      </c>
      <c r="CL11" s="39">
        <f>+IF(CH10&lt;0,1-CL10/CH10,CL10/CH10-1)</f>
        <v>0.30413893419138716</v>
      </c>
      <c r="CM11" s="40">
        <f t="shared" ref="CM11" si="57">+AVERAGE(CI11:CL11)</f>
        <v>0.30325025244401543</v>
      </c>
      <c r="CN11" s="40">
        <f t="shared" ref="CN11" si="58">+AVERAGE(CJ11:CM11)</f>
        <v>0.47547491768076444</v>
      </c>
      <c r="CO11" s="40">
        <f t="shared" ref="CO11" si="59">+AVERAGE(CK11:CN11)</f>
        <v>0.33839619383094555</v>
      </c>
      <c r="CP11" s="40">
        <f t="shared" ref="CP11" si="60">+AVERAGE(CL11:CO11)</f>
        <v>0.35531507453677813</v>
      </c>
      <c r="CQ11" s="40">
        <f t="shared" ref="CQ11" si="61">+AVERAGE(CM11:CP11)</f>
        <v>0.36810910962312593</v>
      </c>
      <c r="CR11" s="40">
        <f t="shared" ref="CR11" si="62">+AVERAGE(CN11:CQ11)</f>
        <v>0.38432382391790348</v>
      </c>
      <c r="CS11" s="40">
        <f t="shared" ref="CS11" si="63">+AVERAGE(CO11:CR11)</f>
        <v>0.36153605047718829</v>
      </c>
      <c r="CT11" s="40">
        <f t="shared" ref="CT11" si="64">+AVERAGE(CP11:CS11)</f>
        <v>0.36732101463874894</v>
      </c>
      <c r="CU11" s="40">
        <f t="shared" ref="CU11" si="65">+AVERAGE(CQ11:CT11)</f>
        <v>0.37032249966424163</v>
      </c>
      <c r="CV11" s="40">
        <f t="shared" ref="CV11" si="66">+AVERAGE(CR11:CU11)</f>
        <v>0.37087584717452055</v>
      </c>
      <c r="CW11" s="40">
        <f t="shared" ref="CW11" si="67">+AVERAGE(CS11:CV11)</f>
        <v>0.36751385298867484</v>
      </c>
      <c r="CX11" s="40">
        <f t="shared" ref="CX11" si="68">+AVERAGE(CT11:CW11)</f>
        <v>0.36900830361654646</v>
      </c>
      <c r="CY11" s="40">
        <f t="shared" ref="CY11" si="69">+AVERAGE(CU11:CX11)</f>
        <v>0.36943012586099588</v>
      </c>
      <c r="CZ11" s="40">
        <f t="shared" ref="CZ11" si="70">+AVERAGE(CV11:CY11)</f>
        <v>0.36920703241018438</v>
      </c>
      <c r="DA11" s="40">
        <f t="shared" ref="DA11" si="71">+AVERAGE(CW11:CZ11)</f>
        <v>0.36878982871910043</v>
      </c>
      <c r="DB11" s="40">
        <f t="shared" ref="DB11" si="72">+AVERAGE(CX11:DA11)</f>
        <v>0.3691088226517068</v>
      </c>
      <c r="DE11" s="122"/>
      <c r="DF11" s="39">
        <v>0.34589401603605424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 t="e">
        <f t="shared" si="74"/>
        <v>#DIV/0!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 t="e">
        <f t="shared" si="74"/>
        <v>#DIV/0!</v>
      </c>
      <c r="BT12" s="39" t="e">
        <f t="shared" si="74"/>
        <v>#DIV/0!</v>
      </c>
      <c r="BU12" s="39" t="e">
        <f t="shared" si="74"/>
        <v>#DIV/0!</v>
      </c>
      <c r="BV12" s="39">
        <f t="shared" si="74"/>
        <v>2.7903225806451615</v>
      </c>
      <c r="BW12" s="39">
        <f t="shared" si="74"/>
        <v>0.13361702127659569</v>
      </c>
      <c r="BX12" s="39">
        <f t="shared" si="74"/>
        <v>0.2317942942942941</v>
      </c>
      <c r="BY12" s="39">
        <f t="shared" si="74"/>
        <v>0.47676367514856022</v>
      </c>
      <c r="BZ12" s="39">
        <f t="shared" si="74"/>
        <v>-0.26846884028064388</v>
      </c>
      <c r="CA12" s="39">
        <f t="shared" si="74"/>
        <v>-7.9689703808180412E-2</v>
      </c>
      <c r="CB12" s="39">
        <f t="shared" si="74"/>
        <v>0.65486590038314163</v>
      </c>
      <c r="CC12" s="39">
        <f t="shared" si="74"/>
        <v>0.6467864419336915</v>
      </c>
      <c r="CD12" s="39">
        <f t="shared" si="74"/>
        <v>-0.13485547182544144</v>
      </c>
      <c r="CE12" s="39">
        <f t="shared" si="74"/>
        <v>1.8896905876235048</v>
      </c>
      <c r="CF12" s="39">
        <f t="shared" si="74"/>
        <v>-0.48372511528511974</v>
      </c>
      <c r="CG12" s="39">
        <f t="shared" si="74"/>
        <v>0.57919044921789897</v>
      </c>
      <c r="CH12" s="39">
        <f t="shared" si="74"/>
        <v>-0.37404811830923734</v>
      </c>
      <c r="CI12" s="39">
        <f t="shared" si="74"/>
        <v>0.20381716401463379</v>
      </c>
      <c r="CJ12" s="39">
        <f>+IF(CI10&lt;0,1-CJ10/CI10,CJ10/CI10-1)</f>
        <v>0.70070667496613082</v>
      </c>
      <c r="CK12" s="39">
        <f>+IF(CJ10&lt;0,1-CK10/CJ10,CK10/CJ10-1)</f>
        <v>-8.4395452979676433E-3</v>
      </c>
      <c r="CL12" s="39">
        <f>+IF(CK10&lt;0,1-CL10/CK10,CL10/CK10-1)</f>
        <v>-0.35758641653639045</v>
      </c>
      <c r="CM12" s="40">
        <f t="shared" ref="CM12" si="75">+CM10/CL10-1</f>
        <v>0.20299684471215418</v>
      </c>
      <c r="CN12" s="40">
        <f t="shared" ref="CN12" si="76">+CN10/CM10-1</f>
        <v>0.92545525047007371</v>
      </c>
      <c r="CO12" s="40">
        <f t="shared" ref="CO12" si="77">+CO10/CN10-1</f>
        <v>-0.10056028562485197</v>
      </c>
      <c r="CP12" s="40">
        <f t="shared" ref="CP12" si="78">+CP10/CO10-1</f>
        <v>-0.34946556350906921</v>
      </c>
      <c r="CQ12" s="40">
        <f t="shared" ref="CQ12" si="79">+CQ10/CP10-1</f>
        <v>0.21435301135500895</v>
      </c>
      <c r="CR12" s="40">
        <f t="shared" ref="CR12" si="80">+CR10/CQ10-1</f>
        <v>0.94827558442892879</v>
      </c>
      <c r="CS12" s="40">
        <f t="shared" ref="CS12" si="81">+CS10/CR10-1</f>
        <v>-0.11536623498484655</v>
      </c>
      <c r="CT12" s="40">
        <f t="shared" ref="CT12" si="82">+CT10/CS10-1</f>
        <v>-0.34670153944988835</v>
      </c>
      <c r="CU12" s="40">
        <f t="shared" ref="CU12" si="83">+CU10/CT10-1</f>
        <v>0.21701870751576546</v>
      </c>
      <c r="CV12" s="40">
        <f t="shared" ref="CV12" si="84">+CV10/CU10-1</f>
        <v>0.94906231415440945</v>
      </c>
      <c r="CW12" s="40">
        <f t="shared" ref="CW12" si="85">+CW10/CV10-1</f>
        <v>-0.11753574842453074</v>
      </c>
      <c r="CX12" s="40">
        <f t="shared" ref="CX12" si="86">+CX10/CW10-1</f>
        <v>-0.34598759984889416</v>
      </c>
      <c r="CY12" s="40">
        <f t="shared" ref="CY12" si="87">+CY10/CX10-1</f>
        <v>0.21739369834773137</v>
      </c>
      <c r="CZ12" s="40">
        <f t="shared" ref="CZ12" si="88">+CZ10/CY10-1</f>
        <v>0.94874479299776171</v>
      </c>
      <c r="DA12" s="40">
        <f t="shared" ref="DA12" si="89">+DA10/CZ10-1</f>
        <v>-0.11780463934773822</v>
      </c>
      <c r="DB12" s="40">
        <f t="shared" ref="DB12" si="90">+DB10/DA10-1</f>
        <v>-0.345835183471215</v>
      </c>
      <c r="DE12" s="122"/>
      <c r="DF12" s="39">
        <v>-0.33701803148753773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-6.82</v>
      </c>
      <c r="X13" s="23">
        <f>'Annual Raw'!Y11</f>
        <v>-3.63</v>
      </c>
      <c r="Y13" s="23">
        <f>'Annual Raw'!Z11</f>
        <v>-21.655999999999999</v>
      </c>
      <c r="Z13" s="23">
        <f>'Annual Raw'!AA11</f>
        <v>0.32790000000000002</v>
      </c>
      <c r="AA13" s="23">
        <f>'Annual Raw'!AB11</f>
        <v>-16.464400000000001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-5.91</v>
      </c>
      <c r="BV13" s="23">
        <f>'QTR Raw'!AP10</f>
        <v>-0.91</v>
      </c>
      <c r="BW13" s="23">
        <f>'QTR Raw'!AQ10</f>
        <v>-0.59</v>
      </c>
      <c r="BX13" s="23">
        <f>'QTR Raw'!AR10</f>
        <v>-1.94</v>
      </c>
      <c r="BY13" s="23">
        <f>'QTR Raw'!AS10</f>
        <v>0.27400000000000002</v>
      </c>
      <c r="BZ13" s="23">
        <f>'QTR Raw'!AT10</f>
        <v>-1.3740000000000001</v>
      </c>
      <c r="CA13" s="23">
        <f>'QTR Raw'!AU10</f>
        <v>-1.4470000000000001</v>
      </c>
      <c r="CB13" s="23">
        <f>'QTR Raw'!AV10</f>
        <v>1.0920000000000001</v>
      </c>
      <c r="CC13" s="23">
        <f>'QTR Raw'!AW10</f>
        <v>-15.055</v>
      </c>
      <c r="CD13" s="23">
        <f>'QTR Raw'!AX10</f>
        <v>-6.2460000000000004</v>
      </c>
      <c r="CE13" s="23">
        <f>'QTR Raw'!AY10</f>
        <v>18.638999999999999</v>
      </c>
      <c r="CF13" s="23">
        <f>'QTR Raw'!AZ10</f>
        <v>-7.2880000000000003</v>
      </c>
      <c r="CG13" s="23">
        <f>'QTR Raw'!BA10</f>
        <v>1.298</v>
      </c>
      <c r="CH13" s="23">
        <f>'QTR Raw'!BB10</f>
        <v>-12.32</v>
      </c>
      <c r="CI13" s="23">
        <f>'QTR Raw'!BC10</f>
        <v>-2.3660000000000001</v>
      </c>
      <c r="CJ13" s="23">
        <f>'QTR Raw'!BD10</f>
        <v>-16.103000000000002</v>
      </c>
      <c r="CK13" s="23">
        <f>'QTR Raw'!BE10</f>
        <v>5.827</v>
      </c>
      <c r="CL13" s="23">
        <f>'QTR Raw'!BF10</f>
        <v>-3.8210000000000002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-16.463000000000001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6.66</v>
      </c>
      <c r="BV14" s="23">
        <f>'QTR Raw'!AP12</f>
        <v>3.601</v>
      </c>
      <c r="BW14" s="23">
        <f>'QTR Raw'!AQ12</f>
        <v>3.415</v>
      </c>
      <c r="BX14" s="23">
        <f>'QTR Raw'!AR12</f>
        <v>5.3959999999999999</v>
      </c>
      <c r="BY14" s="23">
        <f>'QTR Raw'!AS12</f>
        <v>5.8840000000000003</v>
      </c>
      <c r="BZ14" s="23">
        <f>'QTR Raw'!AT12</f>
        <v>5.0739999999999998</v>
      </c>
      <c r="CA14" s="23">
        <f>'QTR Raw'!AU12</f>
        <v>4.6109999999999998</v>
      </c>
      <c r="CB14" s="23">
        <f>'QTR Raw'!AV12</f>
        <v>4.7649999999999997</v>
      </c>
      <c r="CC14" s="23">
        <f>'QTR Raw'!AW12</f>
        <v>26.018000000000001</v>
      </c>
      <c r="CD14" s="23">
        <f>'QTR Raw'!AX12</f>
        <v>15.368</v>
      </c>
      <c r="CE14" s="23">
        <f>'QTR Raw'!AY12</f>
        <v>9.7219999999999995</v>
      </c>
      <c r="CF14" s="23">
        <f>'QTR Raw'!AZ12</f>
        <v>20.512</v>
      </c>
      <c r="CG14" s="23">
        <f>'QTR Raw'!BA12</f>
        <v>19.274999999999999</v>
      </c>
      <c r="CH14" s="23">
        <f>'QTR Raw'!BB12</f>
        <v>26.154</v>
      </c>
      <c r="CI14" s="23">
        <f>'QTR Raw'!BC12</f>
        <v>18.571999999999999</v>
      </c>
      <c r="CJ14" s="23">
        <f>'QTR Raw'!BD12</f>
        <v>43.747</v>
      </c>
      <c r="CK14" s="23">
        <f>'QTR Raw'!BE12</f>
        <v>19.645</v>
      </c>
      <c r="CL14" s="23">
        <f>'QTR Raw'!BF12</f>
        <v>19.771999999999998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101.73599999999999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10.031700000000001</v>
      </c>
      <c r="X15" s="23">
        <f>'Annual Raw'!Y12</f>
        <v>19.768799999999999</v>
      </c>
      <c r="Y15" s="23">
        <f>'Annual Raw'!Z12</f>
        <v>50.761099999999999</v>
      </c>
      <c r="Z15" s="23">
        <f>'Annual Raw'!AA12</f>
        <v>75.663399999999996</v>
      </c>
      <c r="AA15" s="23">
        <f>'Annual Raw'!AB12</f>
        <v>101.7363</v>
      </c>
      <c r="AB15" s="24">
        <f>+SUM(CM15:CP15)</f>
        <v>115.64767581954644</v>
      </c>
      <c r="AC15" s="24">
        <f>+SUM(CQ15:CT15)</f>
        <v>158.14946718078701</v>
      </c>
      <c r="AD15" s="24">
        <f>+SUM(CU15:CX15)</f>
        <v>216.48982407718159</v>
      </c>
      <c r="AE15" s="24">
        <f>+SUM(CY15:DB15)</f>
        <v>296.38632198283449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20.294590594564653</v>
      </c>
      <c r="CN15" s="24">
        <f t="shared" si="91"/>
        <v>38.678775828453141</v>
      </c>
      <c r="CO15" s="24">
        <f t="shared" si="91"/>
        <v>34.314940650448833</v>
      </c>
      <c r="CP15" s="24">
        <f t="shared" si="91"/>
        <v>22.359368746079813</v>
      </c>
      <c r="CQ15" s="24">
        <f t="shared" si="91"/>
        <v>27.377046121645268</v>
      </c>
      <c r="CR15" s="24">
        <f t="shared" si="91"/>
        <v>53.148965901795741</v>
      </c>
      <c r="CS15" s="24">
        <f t="shared" si="91"/>
        <v>46.930015554845546</v>
      </c>
      <c r="CT15" s="24">
        <f t="shared" si="91"/>
        <v>30.693439602500451</v>
      </c>
      <c r="CU15" s="24">
        <f t="shared" si="91"/>
        <v>37.391306483330105</v>
      </c>
      <c r="CV15" s="24">
        <f t="shared" si="91"/>
        <v>72.817528481325311</v>
      </c>
      <c r="CW15" s="24">
        <f t="shared" si="91"/>
        <v>64.249356078684144</v>
      </c>
      <c r="CX15" s="24">
        <f t="shared" si="91"/>
        <v>42.031633033842027</v>
      </c>
      <c r="CY15" s="24">
        <f t="shared" si="91"/>
        <v>51.172715431283819</v>
      </c>
      <c r="CZ15" s="24">
        <f t="shared" si="91"/>
        <v>99.706940572931359</v>
      </c>
      <c r="DA15" s="24">
        <f t="shared" si="91"/>
        <v>87.962030029113407</v>
      </c>
      <c r="DB15" s="24">
        <f t="shared" si="91"/>
        <v>57.54463594950591</v>
      </c>
      <c r="DE15" s="123"/>
      <c r="DF15" s="23">
        <v>17.949509068679237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0</v>
      </c>
      <c r="O16" s="31">
        <f t="shared" si="92"/>
        <v>0</v>
      </c>
      <c r="P16" s="31">
        <f t="shared" si="92"/>
        <v>0</v>
      </c>
      <c r="Q16" s="31">
        <f t="shared" si="92"/>
        <v>0</v>
      </c>
      <c r="R16" s="31">
        <f t="shared" si="92"/>
        <v>0</v>
      </c>
      <c r="S16" s="31">
        <f t="shared" si="92"/>
        <v>0</v>
      </c>
      <c r="T16" s="31">
        <f t="shared" si="92"/>
        <v>0</v>
      </c>
      <c r="U16" s="31">
        <f t="shared" ref="U16:Z16" si="93">U10-U13-U15-U14</f>
        <v>0</v>
      </c>
      <c r="V16" s="31">
        <f t="shared" si="93"/>
        <v>6.0000000000000001E-3</v>
      </c>
      <c r="W16" s="31">
        <f t="shared" si="93"/>
        <v>2.7275999999999989</v>
      </c>
      <c r="X16" s="31">
        <f t="shared" si="93"/>
        <v>12.534800000000004</v>
      </c>
      <c r="Y16" s="31">
        <f t="shared" si="93"/>
        <v>21.404300000000006</v>
      </c>
      <c r="Z16" s="31">
        <f t="shared" si="93"/>
        <v>50.331100000000006</v>
      </c>
      <c r="AA16" s="31">
        <f t="shared" ref="AA16" si="94">AA10-AA13-AA15-AA14</f>
        <v>64.129500000000007</v>
      </c>
      <c r="AB16" s="32">
        <f t="shared" ref="AA16:AD16" si="95">AB10-AB13-AB15-AB14</f>
        <v>90.219133014785882</v>
      </c>
      <c r="AC16" s="32">
        <f t="shared" si="95"/>
        <v>124.1732566147866</v>
      </c>
      <c r="AD16" s="32">
        <f t="shared" si="95"/>
        <v>170.1280768303634</v>
      </c>
      <c r="AE16" s="32">
        <f t="shared" ref="AE16" si="96">AE10-AE13-AE15-AE14</f>
        <v>232.93325877974655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0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0</v>
      </c>
      <c r="BS16" s="31">
        <f t="shared" si="101"/>
        <v>0</v>
      </c>
      <c r="BT16" s="31">
        <f t="shared" si="101"/>
        <v>0</v>
      </c>
      <c r="BU16" s="31">
        <f t="shared" si="101"/>
        <v>0.49000000000000021</v>
      </c>
      <c r="BV16" s="31">
        <f t="shared" si="101"/>
        <v>2.0090000000000003</v>
      </c>
      <c r="BW16" s="31">
        <f t="shared" si="101"/>
        <v>2.5030000000000001</v>
      </c>
      <c r="BX16" s="31">
        <f t="shared" si="101"/>
        <v>3.1070000000000002</v>
      </c>
      <c r="BY16" s="31">
        <f t="shared" si="101"/>
        <v>3.5339999999999989</v>
      </c>
      <c r="BZ16" s="31">
        <f t="shared" si="101"/>
        <v>3.3900000000000006</v>
      </c>
      <c r="CA16" s="31">
        <f t="shared" si="101"/>
        <v>3.3610000000000007</v>
      </c>
      <c r="CB16" s="31">
        <f t="shared" si="101"/>
        <v>4.9409999999999998</v>
      </c>
      <c r="CC16" s="31">
        <f t="shared" si="101"/>
        <v>6.8190000000000026</v>
      </c>
      <c r="CD16" s="31">
        <f t="shared" si="101"/>
        <v>6.2620000000000022</v>
      </c>
      <c r="CE16" s="31">
        <f t="shared" ref="CE16:CF16" si="102">CE10-CE13-CE15-CE14</f>
        <v>16.094000000000001</v>
      </c>
      <c r="CF16" s="31">
        <f t="shared" si="102"/>
        <v>9.7270000000000003</v>
      </c>
      <c r="CG16" s="31">
        <f t="shared" ref="CG16:CH16" si="103">CG10-CG13-CG15-CG14</f>
        <v>15.670999999999999</v>
      </c>
      <c r="CH16" s="31">
        <f t="shared" si="103"/>
        <v>8.8530000000000051</v>
      </c>
      <c r="CI16" s="31">
        <f t="shared" ref="CI16:CJ16" si="104">CI10-CI13-CI15-CI14</f>
        <v>11.105</v>
      </c>
      <c r="CJ16" s="31">
        <f t="shared" si="104"/>
        <v>18.804000000000002</v>
      </c>
      <c r="CK16" s="31">
        <f t="shared" ref="CK16:CL16" si="105">CK10-CK13-CK15-CK14</f>
        <v>20.584</v>
      </c>
      <c r="CL16" s="31">
        <f t="shared" si="105"/>
        <v>13.636000000000003</v>
      </c>
      <c r="CM16" s="32">
        <f t="shared" ref="CM16:DB16" si="106">+CM17*CM10</f>
        <v>15.298477049933849</v>
      </c>
      <c r="CN16" s="32">
        <f t="shared" si="106"/>
        <v>29.854083147983005</v>
      </c>
      <c r="CO16" s="32">
        <f t="shared" si="106"/>
        <v>27.326234452629194</v>
      </c>
      <c r="CP16" s="32">
        <f t="shared" si="106"/>
        <v>17.740338364239843</v>
      </c>
      <c r="CQ16" s="32">
        <f t="shared" si="106"/>
        <v>21.318153962225271</v>
      </c>
      <c r="CR16" s="32">
        <f t="shared" si="106"/>
        <v>41.722703500490759</v>
      </c>
      <c r="CS16" s="32">
        <f t="shared" si="106"/>
        <v>36.996666541772093</v>
      </c>
      <c r="CT16" s="32">
        <f t="shared" si="106"/>
        <v>24.135732610298472</v>
      </c>
      <c r="CU16" s="32">
        <f t="shared" si="106"/>
        <v>29.336821817249763</v>
      </c>
      <c r="CV16" s="32">
        <f t="shared" si="106"/>
        <v>57.239751683395227</v>
      </c>
      <c r="CW16" s="32">
        <f t="shared" si="106"/>
        <v>50.521544323817075</v>
      </c>
      <c r="CX16" s="32">
        <f t="shared" si="106"/>
        <v>33.029959005901318</v>
      </c>
      <c r="CY16" s="32">
        <f t="shared" si="106"/>
        <v>40.206793705847957</v>
      </c>
      <c r="CZ16" s="32">
        <f t="shared" si="106"/>
        <v>78.368402044745579</v>
      </c>
      <c r="DA16" s="32">
        <f t="shared" si="106"/>
        <v>69.135211074763191</v>
      </c>
      <c r="DB16" s="32">
        <f t="shared" si="106"/>
        <v>45.222851954389832</v>
      </c>
      <c r="DE16" s="124"/>
      <c r="DF16" s="31">
        <v>12.584788473130725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>
        <f>V16/V10</f>
        <v>1</v>
      </c>
      <c r="W17" s="41">
        <f>W16/W10</f>
        <v>0.45924603909551609</v>
      </c>
      <c r="X17" s="41">
        <f>X16/X10</f>
        <v>0.43715473466882443</v>
      </c>
      <c r="Y17" s="41">
        <f>Y16/Y10</f>
        <v>0.42376864504428891</v>
      </c>
      <c r="Z17" s="41">
        <f>Z16/Z10</f>
        <v>0.39843369030354081</v>
      </c>
      <c r="AA17" s="41">
        <f>AA16/AA10</f>
        <v>0.42924296559469999</v>
      </c>
      <c r="AB17" s="42">
        <f t="shared" ref="AA17:AD17" si="108">AB16/AB10</f>
        <v>0.43824030462039237</v>
      </c>
      <c r="AC17" s="42">
        <f t="shared" si="108"/>
        <v>0.43982735411939039</v>
      </c>
      <c r="AD17" s="42">
        <f t="shared" si="108"/>
        <v>0.44004190295122281</v>
      </c>
      <c r="AE17" s="42">
        <f t="shared" ref="AE17" si="109">AE16/AE10</f>
        <v>0.44006167019962472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 t="e">
        <f t="shared" si="114"/>
        <v>#DIV/0!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 t="e">
        <f t="shared" si="114"/>
        <v>#DIV/0!</v>
      </c>
      <c r="BS17" s="41" t="e">
        <f t="shared" si="114"/>
        <v>#DIV/0!</v>
      </c>
      <c r="BT17" s="41" t="e">
        <f t="shared" si="114"/>
        <v>#DIV/0!</v>
      </c>
      <c r="BU17" s="41">
        <f t="shared" si="114"/>
        <v>0.39516129032258079</v>
      </c>
      <c r="BV17" s="41">
        <f t="shared" si="114"/>
        <v>0.42744680851063838</v>
      </c>
      <c r="BW17" s="41">
        <f t="shared" si="114"/>
        <v>0.4697822822822823</v>
      </c>
      <c r="BX17" s="41">
        <f t="shared" si="114"/>
        <v>0.47341154959622128</v>
      </c>
      <c r="BY17" s="41">
        <f t="shared" si="114"/>
        <v>0.36463062319438699</v>
      </c>
      <c r="BZ17" s="41">
        <f t="shared" si="114"/>
        <v>0.47813822284908331</v>
      </c>
      <c r="CA17" s="41">
        <f t="shared" si="114"/>
        <v>0.51509578544061307</v>
      </c>
      <c r="CB17" s="41">
        <f t="shared" si="114"/>
        <v>0.45758473791442861</v>
      </c>
      <c r="CC17" s="41">
        <f t="shared" si="114"/>
        <v>0.38347767405241268</v>
      </c>
      <c r="CD17" s="41">
        <f t="shared" si="114"/>
        <v>0.40704628185127417</v>
      </c>
      <c r="CE17" s="41">
        <f t="shared" ref="CE17:CF17" si="115">CE16/CE10</f>
        <v>0.36202901810819932</v>
      </c>
      <c r="CF17" s="41">
        <f t="shared" si="115"/>
        <v>0.42381595573177638</v>
      </c>
      <c r="CG17" s="41">
        <f t="shared" ref="CG17:CH17" si="116">CG16/CG10</f>
        <v>0.43237501379538679</v>
      </c>
      <c r="CH17" s="41">
        <f t="shared" si="116"/>
        <v>0.39022347599947127</v>
      </c>
      <c r="CI17" s="41">
        <f t="shared" ref="CI17:CJ17" si="117">CI16/CI10</f>
        <v>0.40661272014939037</v>
      </c>
      <c r="CJ17" s="41">
        <f t="shared" si="117"/>
        <v>0.40483982087495696</v>
      </c>
      <c r="CK17" s="41">
        <f t="shared" ref="CK17:CL17" si="118">CK16/CK10</f>
        <v>0.44693416710092065</v>
      </c>
      <c r="CL17" s="41">
        <f t="shared" si="118"/>
        <v>0.46087808834961308</v>
      </c>
      <c r="CM17" s="42">
        <f t="shared" ref="CM17:DB17" si="119">AVERAGE(CI17:CL17)</f>
        <v>0.42981619911872027</v>
      </c>
      <c r="CN17" s="42">
        <f t="shared" si="119"/>
        <v>0.43561706886105278</v>
      </c>
      <c r="CO17" s="42">
        <f t="shared" si="119"/>
        <v>0.44331138085757665</v>
      </c>
      <c r="CP17" s="42">
        <f t="shared" si="119"/>
        <v>0.44240568429674065</v>
      </c>
      <c r="CQ17" s="42">
        <f t="shared" si="119"/>
        <v>0.43778758328352263</v>
      </c>
      <c r="CR17" s="42">
        <f t="shared" si="119"/>
        <v>0.43978042932472317</v>
      </c>
      <c r="CS17" s="42">
        <f t="shared" si="119"/>
        <v>0.44082126944064082</v>
      </c>
      <c r="CT17" s="42">
        <f t="shared" si="119"/>
        <v>0.44019874158640682</v>
      </c>
      <c r="CU17" s="42">
        <f t="shared" si="119"/>
        <v>0.43964700590882339</v>
      </c>
      <c r="CV17" s="42">
        <f t="shared" si="119"/>
        <v>0.44011186156514853</v>
      </c>
      <c r="CW17" s="42">
        <f t="shared" si="119"/>
        <v>0.44019471962525486</v>
      </c>
      <c r="CX17" s="42">
        <f t="shared" si="119"/>
        <v>0.44003808217140838</v>
      </c>
      <c r="CY17" s="42">
        <f t="shared" si="119"/>
        <v>0.4399979173176588</v>
      </c>
      <c r="CZ17" s="42">
        <f t="shared" si="119"/>
        <v>0.44008564516986759</v>
      </c>
      <c r="DA17" s="42">
        <f t="shared" si="119"/>
        <v>0.44007909107104737</v>
      </c>
      <c r="DB17" s="42">
        <f t="shared" si="119"/>
        <v>0.44005018393249551</v>
      </c>
      <c r="DE17" s="125"/>
      <c r="DF17" s="41">
        <v>0.41215254603118484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>
        <f t="shared" si="120"/>
        <v>453.5999999999998</v>
      </c>
      <c r="X18" s="39">
        <f t="shared" si="120"/>
        <v>3.59554186830914</v>
      </c>
      <c r="Y18" s="39">
        <f t="shared" si="120"/>
        <v>0.70759006924721568</v>
      </c>
      <c r="Z18" s="39">
        <f t="shared" si="120"/>
        <v>1.3514480735179375</v>
      </c>
      <c r="AA18" s="39">
        <f t="shared" si="120"/>
        <v>0.27415256173618308</v>
      </c>
      <c r="AB18" s="40">
        <f t="shared" si="120"/>
        <v>0.40682732618819539</v>
      </c>
      <c r="AC18" s="40">
        <f t="shared" si="120"/>
        <v>0.37635169465035778</v>
      </c>
      <c r="AD18" s="40">
        <f t="shared" si="120"/>
        <v>0.37008629288139727</v>
      </c>
      <c r="AE18" s="40">
        <f t="shared" si="120"/>
        <v>0.3691641210522052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 t="e">
        <f t="shared" ref="BR18" si="151">+IF(BN16&lt;0,1-BR16/BN16,BR16/BN16-1)</f>
        <v>#DIV/0!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 t="e">
        <f t="shared" ref="BV18" si="155">+IF(BR16&lt;0,1-BV16/BR16,BV16/BR16-1)</f>
        <v>#DIV/0!</v>
      </c>
      <c r="BW18" s="39" t="e">
        <f t="shared" ref="BW18" si="156">+IF(BS16&lt;0,1-BW16/BS16,BW16/BS16-1)</f>
        <v>#DIV/0!</v>
      </c>
      <c r="BX18" s="39" t="e">
        <f t="shared" ref="BX18" si="157">+IF(BT16&lt;0,1-BX16/BT16,BX16/BT16-1)</f>
        <v>#DIV/0!</v>
      </c>
      <c r="BY18" s="39">
        <f t="shared" ref="BY18" si="158">+IF(BU16&lt;0,1-BY16/BU16,BY16/BU16-1)</f>
        <v>6.2122448979591782</v>
      </c>
      <c r="BZ18" s="39">
        <f t="shared" ref="BZ18" si="159">+IF(BV16&lt;0,1-BZ16/BV16,BZ16/BV16-1)</f>
        <v>0.68740666998506716</v>
      </c>
      <c r="CA18" s="39">
        <f t="shared" ref="CA18" si="160">+IF(BW16&lt;0,1-CA16/BW16,CA16/BW16-1)</f>
        <v>0.34278865361566146</v>
      </c>
      <c r="CB18" s="39">
        <f t="shared" ref="CB18" si="161">+IF(BX16&lt;0,1-CB16/BX16,CB16/BX16-1)</f>
        <v>0.59028001287415499</v>
      </c>
      <c r="CC18" s="39">
        <f t="shared" ref="CC18" si="162">+IF(BY16&lt;0,1-CC16/BY16,CC16/BY16-1)</f>
        <v>0.92954159592529839</v>
      </c>
      <c r="CD18" s="39">
        <f t="shared" ref="CD18" si="163">+IF(BZ16&lt;0,1-CD16/BZ16,CD16/BZ16-1)</f>
        <v>0.84719764011799437</v>
      </c>
      <c r="CE18" s="39">
        <f t="shared" ref="CE18" si="164">+IF(CA16&lt;0,1-CE16/CA16,CE16/CA16-1)</f>
        <v>3.7884558167212132</v>
      </c>
      <c r="CF18" s="39">
        <f t="shared" ref="CF18" si="165">+IF(CB16&lt;0,1-CF16/CB16,CF16/CB16-1)</f>
        <v>0.96862983201781039</v>
      </c>
      <c r="CG18" s="39">
        <f t="shared" ref="CG18" si="166">+IF(CC16&lt;0,1-CG16/CC16,CG16/CC16-1)</f>
        <v>1.298137556826513</v>
      </c>
      <c r="CH18" s="39">
        <f t="shared" ref="CH18:CL18" si="167">+IF(CD16&lt;0,1-CH16/CD16,CH16/CD16-1)</f>
        <v>0.41376557010539794</v>
      </c>
      <c r="CI18" s="39">
        <f t="shared" si="167"/>
        <v>-0.30999130110600226</v>
      </c>
      <c r="CJ18" s="39">
        <f t="shared" si="167"/>
        <v>0.93317569651485566</v>
      </c>
      <c r="CK18" s="39">
        <f t="shared" si="167"/>
        <v>0.31350902941739522</v>
      </c>
      <c r="CL18" s="39">
        <f t="shared" si="167"/>
        <v>0.54026883542301984</v>
      </c>
      <c r="CM18" s="40">
        <f t="shared" ref="CM18" si="168">+CM16/CI16-1</f>
        <v>0.37762062583825751</v>
      </c>
      <c r="CN18" s="40">
        <f t="shared" ref="CN18" si="169">+CN16/CJ16-1</f>
        <v>0.58764534928648171</v>
      </c>
      <c r="CO18" s="40">
        <f t="shared" ref="CO18" si="170">+CO16/CK16-1</f>
        <v>0.32754734029485011</v>
      </c>
      <c r="CP18" s="40">
        <f t="shared" ref="CP18" si="171">+CP16/CL16-1</f>
        <v>0.30099283985331771</v>
      </c>
      <c r="CQ18" s="40">
        <f t="shared" ref="CQ18" si="172">+CQ16/CM16-1</f>
        <v>0.39348210234543912</v>
      </c>
      <c r="CR18" s="40">
        <f t="shared" ref="CR18" si="173">+CR16/CN16-1</f>
        <v>0.39755434101514586</v>
      </c>
      <c r="CS18" s="40">
        <f t="shared" ref="CS18" si="174">+CS16/CO16-1</f>
        <v>0.35388820607196614</v>
      </c>
      <c r="CT18" s="40">
        <f t="shared" ref="CT18" si="175">+CT16/CP16-1</f>
        <v>0.36050012771741557</v>
      </c>
      <c r="CU18" s="40">
        <f t="shared" ref="CU18" si="176">+CU16/CQ16-1</f>
        <v>0.37614269365129749</v>
      </c>
      <c r="CV18" s="40">
        <f t="shared" ref="CV18" si="177">+CV16/CR16-1</f>
        <v>0.37190898194605126</v>
      </c>
      <c r="CW18" s="40">
        <f t="shared" ref="CW18" si="178">+CW16/CS16-1</f>
        <v>0.36557017283636495</v>
      </c>
      <c r="CX18" s="40">
        <f t="shared" ref="CX18" si="179">+CX16/CT16-1</f>
        <v>0.36850865640630159</v>
      </c>
      <c r="CY18" s="40">
        <f t="shared" ref="CY18" si="180">+CY16/CU16-1</f>
        <v>0.37052315879038944</v>
      </c>
      <c r="CZ18" s="40">
        <f t="shared" ref="CZ18" si="181">+CZ16/CV16-1</f>
        <v>0.36912547207083013</v>
      </c>
      <c r="DA18" s="40">
        <f t="shared" ref="DA18" si="182">+DA16/CW16-1</f>
        <v>0.3684302805876658</v>
      </c>
      <c r="DB18" s="40">
        <f t="shared" ref="DB18" si="183">+DB16/CX16-1</f>
        <v>0.36914647536529066</v>
      </c>
      <c r="DE18" s="122"/>
      <c r="DF18" s="39">
        <v>0.42152812302391474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 t="e">
        <f t="shared" ref="BO19" si="214">+IF(BN16&lt;0,1-BO16/BN16,BO16/BN16-1)</f>
        <v>#DIV/0!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 t="e">
        <f t="shared" ref="BS19" si="218">+IF(BR16&lt;0,1-BS16/BR16,BS16/BR16-1)</f>
        <v>#DIV/0!</v>
      </c>
      <c r="BT19" s="39" t="e">
        <f t="shared" ref="BT19" si="219">+IF(BS16&lt;0,1-BT16/BS16,BT16/BS16-1)</f>
        <v>#DIV/0!</v>
      </c>
      <c r="BU19" s="39" t="e">
        <f t="shared" ref="BU19" si="220">+IF(BT16&lt;0,1-BU16/BT16,BU16/BT16-1)</f>
        <v>#DIV/0!</v>
      </c>
      <c r="BV19" s="39">
        <f t="shared" ref="BV19" si="221">+IF(BU16&lt;0,1-BV16/BU16,BV16/BU16-1)</f>
        <v>3.0999999999999988</v>
      </c>
      <c r="BW19" s="39">
        <f t="shared" ref="BW19" si="222">+IF(BV16&lt;0,1-BW16/BV16,BW16/BV16-1)</f>
        <v>0.24589347934295658</v>
      </c>
      <c r="BX19" s="39">
        <f t="shared" ref="BX19" si="223">+IF(BW16&lt;0,1-BX16/BW16,BX16/BW16-1)</f>
        <v>0.2413104274870157</v>
      </c>
      <c r="BY19" s="39">
        <f t="shared" ref="BY19" si="224">+IF(BX16&lt;0,1-BY16/BX16,BY16/BX16-1)</f>
        <v>0.13743160605085247</v>
      </c>
      <c r="BZ19" s="39">
        <f t="shared" ref="BZ19" si="225">+IF(BY16&lt;0,1-BZ16/BY16,BZ16/BY16-1)</f>
        <v>-4.0747028862478274E-2</v>
      </c>
      <c r="CA19" s="39">
        <f t="shared" ref="CA19" si="226">+IF(BZ16&lt;0,1-CA16/BZ16,CA16/BZ16-1)</f>
        <v>-8.5545722713864514E-3</v>
      </c>
      <c r="CB19" s="39">
        <f t="shared" ref="CB19" si="227">+IF(CA16&lt;0,1-CB16/CA16,CB16/CA16-1)</f>
        <v>0.47009818506396872</v>
      </c>
      <c r="CC19" s="39">
        <f t="shared" ref="CC19" si="228">+IF(CB16&lt;0,1-CC16/CB16,CC16/CB16-1)</f>
        <v>0.38008500303582338</v>
      </c>
      <c r="CD19" s="39">
        <f t="shared" ref="CD19" si="229">+IF(CC16&lt;0,1-CD16/CC16,CD16/CC16-1)</f>
        <v>-8.1683531309576174E-2</v>
      </c>
      <c r="CE19" s="39">
        <f t="shared" ref="CE19" si="230">+IF(CD16&lt;0,1-CE16/CD16,CE16/CD16-1)</f>
        <v>1.5701053976365373</v>
      </c>
      <c r="CF19" s="39">
        <f t="shared" ref="CF19" si="231">+IF(CE16&lt;0,1-CF16/CE16,CF16/CE16-1)</f>
        <v>-0.39561327202684238</v>
      </c>
      <c r="CG19" s="39">
        <f t="shared" ref="CG19" si="232">+IF(CF16&lt;0,1-CG16/CF16,CG16/CF16-1)</f>
        <v>0.61108255371645925</v>
      </c>
      <c r="CH19" s="39">
        <f t="shared" ref="CH19:CL19" si="233">+IF(CG16&lt;0,1-CH16/CG16,CH16/CG16-1)</f>
        <v>-0.43507115053283096</v>
      </c>
      <c r="CI19" s="39">
        <f t="shared" si="233"/>
        <v>0.25437704732858846</v>
      </c>
      <c r="CJ19" s="39">
        <f t="shared" si="233"/>
        <v>0.69329131022062152</v>
      </c>
      <c r="CK19" s="39">
        <f t="shared" si="233"/>
        <v>9.4660710487130206E-2</v>
      </c>
      <c r="CL19" s="39">
        <f t="shared" si="233"/>
        <v>-0.33754372328021753</v>
      </c>
      <c r="CM19" s="40">
        <f t="shared" ref="CM19" si="234">+CM16/CL16-1</f>
        <v>0.12191823481474384</v>
      </c>
      <c r="CN19" s="40">
        <f t="shared" ref="CN19" si="235">+CN16/CM16-1</f>
        <v>0.951441509539807</v>
      </c>
      <c r="CO19" s="40">
        <f t="shared" ref="CO19" si="236">+CO16/CN16-1</f>
        <v>-8.4673466032220035E-2</v>
      </c>
      <c r="CP19" s="40">
        <f t="shared" ref="CP19" si="237">+CP16/CO16-1</f>
        <v>-0.35079462210597567</v>
      </c>
      <c r="CQ19" s="40">
        <f t="shared" ref="CQ19" si="238">+CQ16/CP16-1</f>
        <v>0.20167685218436548</v>
      </c>
      <c r="CR19" s="40">
        <f t="shared" ref="CR19" si="239">+CR16/CQ16-1</f>
        <v>0.95714429938076973</v>
      </c>
      <c r="CS19" s="40">
        <f t="shared" ref="CS19" si="240">+CS16/CR16-1</f>
        <v>-0.11327254856970326</v>
      </c>
      <c r="CT19" s="40">
        <f t="shared" ref="CT19" si="241">+CT16/CS16-1</f>
        <v>-0.3476241276211367</v>
      </c>
      <c r="CU19" s="40">
        <f t="shared" ref="CU19" si="242">+CU16/CT16-1</f>
        <v>0.21549332232542384</v>
      </c>
      <c r="CV19" s="40">
        <f t="shared" ref="CV19" si="243">+CV16/CU16-1</f>
        <v>0.95112313255892</v>
      </c>
      <c r="CW19" s="40">
        <f t="shared" ref="CW19" si="244">+CW16/CV16-1</f>
        <v>-0.1173696104891917</v>
      </c>
      <c r="CX19" s="40">
        <f t="shared" ref="CX19" si="245">+CX16/CW16-1</f>
        <v>-0.34622032148906023</v>
      </c>
      <c r="CY19" s="40">
        <f t="shared" ref="CY19" si="246">+CY16/CX16-1</f>
        <v>0.21728257969270826</v>
      </c>
      <c r="CZ19" s="40">
        <f t="shared" ref="CZ19" si="247">+CZ16/CY16-1</f>
        <v>0.94913333846232883</v>
      </c>
      <c r="DA19" s="40">
        <f t="shared" ref="DA19" si="248">+DA16/CZ16-1</f>
        <v>-0.11781777768941315</v>
      </c>
      <c r="DB19" s="40">
        <f t="shared" ref="DB19" si="249">+DB16/DA16-1</f>
        <v>-0.34587815309501846</v>
      </c>
      <c r="DE19" s="122"/>
      <c r="DF19" s="39">
        <v>-0.3886130745661327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0.25</v>
      </c>
      <c r="X20" s="23">
        <f>'Annual Raw'!Y14</f>
        <v>0.94320000000000004</v>
      </c>
      <c r="Y20" s="23">
        <f>'Annual Raw'!Z14</f>
        <v>1.5524</v>
      </c>
      <c r="Z20" s="23">
        <f>'Annual Raw'!AA14</f>
        <v>2.0783999999999998</v>
      </c>
      <c r="AA20" s="23">
        <f>'Annual Raw'!AB14</f>
        <v>3.2115999999999998</v>
      </c>
      <c r="AB20" s="76">
        <f t="shared" ref="AB20:AB25" si="250">+SUM(CM20:CP20)</f>
        <v>3.4368400000000001</v>
      </c>
      <c r="AC20" s="76">
        <f t="shared" ref="AC20:AC25" si="251">+SUM(CQ20:CT20)</f>
        <v>3.6774188000000008</v>
      </c>
      <c r="AD20" s="76">
        <f t="shared" ref="AD20:AD25" si="252">+SUM(CU20:CX20)</f>
        <v>3.9348381160000008</v>
      </c>
      <c r="AE20" s="76">
        <f t="shared" ref="AE20:AE25" si="253">+SUM(CY20:DB20)</f>
        <v>4.2102767841200013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4.7E-2</v>
      </c>
      <c r="BV20" s="23">
        <f>'QTR Raw'!AP16</f>
        <v>0.20300000000000001</v>
      </c>
      <c r="BW20" s="23">
        <f>'QTR Raw'!AQ16</f>
        <v>0.20899999999999999</v>
      </c>
      <c r="BX20" s="23">
        <f>'QTR Raw'!AR16</f>
        <v>0.214</v>
      </c>
      <c r="BY20" s="23">
        <f>'QTR Raw'!AS16</f>
        <v>0.30599999999999999</v>
      </c>
      <c r="BZ20" s="23">
        <f>'QTR Raw'!AT16</f>
        <v>0.27</v>
      </c>
      <c r="CA20" s="23">
        <f>'QTR Raw'!AU16</f>
        <v>0.34100000000000003</v>
      </c>
      <c r="CB20" s="23">
        <f>'QTR Raw'!AV16</f>
        <v>0.34799999999999998</v>
      </c>
      <c r="CC20" s="23">
        <f>'QTR Raw'!AW16</f>
        <v>0.38900000000000001</v>
      </c>
      <c r="CD20" s="23">
        <f>'QTR Raw'!AX16</f>
        <v>0.47499999999999998</v>
      </c>
      <c r="CE20" s="23">
        <f>'QTR Raw'!AY16</f>
        <v>0.48399999999999999</v>
      </c>
      <c r="CF20" s="23">
        <f>'QTR Raw'!AZ16</f>
        <v>0.503</v>
      </c>
      <c r="CG20" s="23">
        <f>'QTR Raw'!BA16</f>
        <v>0.50600000000000001</v>
      </c>
      <c r="CH20" s="23">
        <f>'QTR Raw'!BB16</f>
        <v>0.58599999999999997</v>
      </c>
      <c r="CI20" s="23">
        <f>'QTR Raw'!BC16</f>
        <v>0.68200000000000005</v>
      </c>
      <c r="CJ20" s="23">
        <f>'QTR Raw'!BD16</f>
        <v>0.73899999999999999</v>
      </c>
      <c r="CK20" s="23">
        <f>'QTR Raw'!BE16</f>
        <v>0.86199999999999999</v>
      </c>
      <c r="CL20" s="23">
        <f>'QTR Raw'!BF16</f>
        <v>0.92900000000000005</v>
      </c>
      <c r="CM20" s="24">
        <f t="shared" ref="CM20:DB20" si="254">CI20*107%</f>
        <v>0.72974000000000006</v>
      </c>
      <c r="CN20" s="24">
        <f t="shared" si="254"/>
        <v>0.79073000000000004</v>
      </c>
      <c r="CO20" s="24">
        <f t="shared" si="254"/>
        <v>0.92234000000000005</v>
      </c>
      <c r="CP20" s="24">
        <f t="shared" si="254"/>
        <v>0.99403000000000008</v>
      </c>
      <c r="CQ20" s="24">
        <f t="shared" si="254"/>
        <v>0.78082180000000012</v>
      </c>
      <c r="CR20" s="24">
        <f t="shared" si="254"/>
        <v>0.84608110000000014</v>
      </c>
      <c r="CS20" s="24">
        <f t="shared" si="254"/>
        <v>0.98690380000000011</v>
      </c>
      <c r="CT20" s="24">
        <f t="shared" si="254"/>
        <v>1.0636121000000001</v>
      </c>
      <c r="CU20" s="24">
        <f t="shared" si="254"/>
        <v>0.83547932600000019</v>
      </c>
      <c r="CV20" s="24">
        <f t="shared" si="254"/>
        <v>0.90530677700000017</v>
      </c>
      <c r="CW20" s="24">
        <f t="shared" si="254"/>
        <v>1.0559870660000001</v>
      </c>
      <c r="CX20" s="24">
        <f t="shared" si="254"/>
        <v>1.1380649470000002</v>
      </c>
      <c r="CY20" s="24">
        <f t="shared" si="254"/>
        <v>0.89396287882000025</v>
      </c>
      <c r="CZ20" s="24">
        <f t="shared" si="254"/>
        <v>0.96867825139000019</v>
      </c>
      <c r="DA20" s="24">
        <f t="shared" si="254"/>
        <v>1.1299061606200003</v>
      </c>
      <c r="DB20" s="24">
        <f t="shared" si="254"/>
        <v>1.2177294932900002</v>
      </c>
      <c r="DE20" s="123"/>
      <c r="DF20" s="23">
        <v>0.62702000000000002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5.9999999999999995E-4</v>
      </c>
      <c r="V21" s="23">
        <f>'Annual Raw'!W17</f>
        <v>8.9999999999999998E-4</v>
      </c>
      <c r="W21" s="23">
        <f>'Annual Raw'!X17</f>
        <v>0.2031</v>
      </c>
      <c r="X21" s="23">
        <f>'Annual Raw'!Y17</f>
        <v>1.0285</v>
      </c>
      <c r="Y21" s="23">
        <f>'Annual Raw'!Z17</f>
        <v>1.6979</v>
      </c>
      <c r="Z21" s="23">
        <f>'Annual Raw'!AA17</f>
        <v>2.5865999999999998</v>
      </c>
      <c r="AA21" s="23">
        <f>'Annual Raw'!AB17</f>
        <v>4.7380000000000004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2.0000000000000001E-4</v>
      </c>
      <c r="V22" s="23">
        <f>'Annual Raw'!W19-'Annual Raw'!W20</f>
        <v>1.1999999999999999E-3</v>
      </c>
      <c r="W22" s="23">
        <f>'Annual Raw'!X19-'Annual Raw'!X20</f>
        <v>4.4000000000000003E-3</v>
      </c>
      <c r="X22" s="23">
        <f>'Annual Raw'!Y19-'Annual Raw'!Y20</f>
        <v>2.75E-2</v>
      </c>
      <c r="Y22" s="23">
        <f>'Annual Raw'!Z19-'Annual Raw'!Z20</f>
        <v>0.43440000000000001</v>
      </c>
      <c r="Z22" s="23">
        <f>'Annual Raw'!AA19-'Annual Raw'!AA20</f>
        <v>0.43230000000000002</v>
      </c>
      <c r="AA22" s="23">
        <f>'Annual Raw'!AB19-'Annual Raw'!AB20</f>
        <v>2.0710000000000002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0.22889999999999999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>
        <f t="shared" si="250"/>
        <v>32.928039148336509</v>
      </c>
      <c r="AC23" s="76">
        <f t="shared" si="251"/>
        <v>47.006776930260727</v>
      </c>
      <c r="AD23" s="76">
        <f t="shared" si="252"/>
        <v>65.666420019249642</v>
      </c>
      <c r="AE23" s="76">
        <f t="shared" si="253"/>
        <v>91.118136567487568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0.14399999999999999</v>
      </c>
      <c r="BV23" s="23">
        <f>'QTR Raw'!AP14</f>
        <v>0.58099999999999996</v>
      </c>
      <c r="BW23" s="23">
        <f>'QTR Raw'!AQ14</f>
        <v>0.98899999999999999</v>
      </c>
      <c r="BX23" s="23">
        <f>'QTR Raw'!AR14</f>
        <v>1.1830000000000001</v>
      </c>
      <c r="BY23" s="23">
        <f>'QTR Raw'!AS14</f>
        <v>1.5209999999999999</v>
      </c>
      <c r="BZ23" s="23">
        <f>'QTR Raw'!AT14</f>
        <v>1.28</v>
      </c>
      <c r="CA23" s="23">
        <f>'QTR Raw'!AU14</f>
        <v>1.591</v>
      </c>
      <c r="CB23" s="23">
        <f>'QTR Raw'!AV14</f>
        <v>2.1480000000000001</v>
      </c>
      <c r="CC23" s="23">
        <f>'QTR Raw'!AW14</f>
        <v>2.2440000000000002</v>
      </c>
      <c r="CD23" s="23">
        <f>'QTR Raw'!AX14</f>
        <v>2.6160000000000001</v>
      </c>
      <c r="CE23" s="23">
        <f>'QTR Raw'!AY14</f>
        <v>1.4430000000000001</v>
      </c>
      <c r="CF23" s="23">
        <f>'QTR Raw'!AZ14</f>
        <v>2.2810000000000001</v>
      </c>
      <c r="CG23" s="23">
        <f>'QTR Raw'!BA14</f>
        <v>3.5659999999999998</v>
      </c>
      <c r="CH23" s="23">
        <f>'QTR Raw'!BB14</f>
        <v>3.53</v>
      </c>
      <c r="CI23" s="23">
        <f>'QTR Raw'!BC14</f>
        <v>4.0780000000000003</v>
      </c>
      <c r="CJ23" s="23">
        <f>'QTR Raw'!BD14</f>
        <v>5.0540000000000003</v>
      </c>
      <c r="CK23" s="23">
        <f>'QTR Raw'!BE14</f>
        <v>6.391</v>
      </c>
      <c r="CL23" s="23">
        <f>'QTR Raw'!BF14</f>
        <v>5.7640000000000002</v>
      </c>
      <c r="CM23" s="24">
        <f t="shared" ref="CM23:DB23" si="255">CM26-CM20-CM21-CM22-CM24-CM25</f>
        <v>5.3451537722372144</v>
      </c>
      <c r="CN23" s="24">
        <f t="shared" si="255"/>
        <v>10.844313588171332</v>
      </c>
      <c r="CO23" s="24">
        <f t="shared" si="255"/>
        <v>10.236961707538049</v>
      </c>
      <c r="CP23" s="24">
        <f t="shared" si="255"/>
        <v>6.5016100803899164</v>
      </c>
      <c r="CQ23" s="24">
        <f t="shared" si="255"/>
        <v>7.843232955702053</v>
      </c>
      <c r="CR23" s="24">
        <f t="shared" si="255"/>
        <v>16.10837621822947</v>
      </c>
      <c r="CS23" s="24">
        <f t="shared" si="255"/>
        <v>14.199077368394551</v>
      </c>
      <c r="CT23" s="24">
        <f t="shared" si="255"/>
        <v>8.8560903879346551</v>
      </c>
      <c r="CU23" s="24">
        <f t="shared" si="255"/>
        <v>11.136810235552248</v>
      </c>
      <c r="CV23" s="24">
        <f t="shared" si="255"/>
        <v>22.504740120552444</v>
      </c>
      <c r="CW23" s="24">
        <f t="shared" si="255"/>
        <v>19.639515684073121</v>
      </c>
      <c r="CX23" s="24">
        <f t="shared" si="255"/>
        <v>12.385353979071828</v>
      </c>
      <c r="CY23" s="24">
        <f t="shared" si="255"/>
        <v>15.5520945442347</v>
      </c>
      <c r="CZ23" s="24">
        <f t="shared" si="255"/>
        <v>31.105260730568016</v>
      </c>
      <c r="DA23" s="24">
        <f t="shared" si="255"/>
        <v>27.170147780002594</v>
      </c>
      <c r="DB23" s="24">
        <f t="shared" si="255"/>
        <v>17.29063351268227</v>
      </c>
      <c r="DE23" s="123"/>
      <c r="DF23" s="23">
        <v>4.242563411653749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1.0500000000000001E-2</v>
      </c>
      <c r="Y24" s="23">
        <f>'Annual Raw'!Z13</f>
        <v>1.7999999999999999E-2</v>
      </c>
      <c r="Z24" s="23">
        <f>'Annual Raw'!AA13</f>
        <v>2.6200000000000001E-2</v>
      </c>
      <c r="AA24" s="23">
        <f>'Annual Raw'!AB13</f>
        <v>0.1159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0.51759999999999995</v>
      </c>
      <c r="X25" s="23">
        <f>'Annual Raw'!Y18</f>
        <v>3.9630000000000001</v>
      </c>
      <c r="Y25" s="23">
        <f>'Annual Raw'!Z18</f>
        <v>6.2224000000000004</v>
      </c>
      <c r="Z25" s="23">
        <f>'Annual Raw'!AA18</f>
        <v>7.7262000000000004</v>
      </c>
      <c r="AA25" s="23">
        <f>'Annual Raw'!AB18</f>
        <v>14.277799999999999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0</v>
      </c>
      <c r="N26" s="22">
        <f t="shared" si="257"/>
        <v>0</v>
      </c>
      <c r="O26" s="22">
        <f t="shared" si="257"/>
        <v>0</v>
      </c>
      <c r="P26" s="22">
        <f t="shared" si="257"/>
        <v>0</v>
      </c>
      <c r="Q26" s="22">
        <f t="shared" si="257"/>
        <v>0</v>
      </c>
      <c r="R26" s="22">
        <f t="shared" si="257"/>
        <v>0</v>
      </c>
      <c r="S26" s="22">
        <f t="shared" si="257"/>
        <v>0</v>
      </c>
      <c r="T26" s="22">
        <f t="shared" si="257"/>
        <v>0</v>
      </c>
      <c r="U26" s="22">
        <f t="shared" si="257"/>
        <v>7.9999999999999993E-4</v>
      </c>
      <c r="V26" s="22">
        <f t="shared" si="257"/>
        <v>2.0999999999999999E-3</v>
      </c>
      <c r="W26" s="22">
        <f t="shared" si="257"/>
        <v>1.204</v>
      </c>
      <c r="X26" s="22">
        <f t="shared" si="257"/>
        <v>5.9726999999999997</v>
      </c>
      <c r="Y26" s="22">
        <f t="shared" si="257"/>
        <v>9.9251000000000005</v>
      </c>
      <c r="Z26" s="22">
        <f t="shared" ref="Z26:AA26" si="258">+SUM(Z20:Z25)</f>
        <v>12.849699999999999</v>
      </c>
      <c r="AA26" s="22">
        <f t="shared" si="258"/>
        <v>24.414299999999997</v>
      </c>
      <c r="AB26" s="21">
        <f t="shared" si="257"/>
        <v>36.364879148336513</v>
      </c>
      <c r="AC26" s="21">
        <f t="shared" si="257"/>
        <v>50.684195730260726</v>
      </c>
      <c r="AD26" s="21">
        <f t="shared" si="257"/>
        <v>69.601258135249637</v>
      </c>
      <c r="AE26" s="21">
        <f t="shared" si="257"/>
        <v>95.328413351607566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0</v>
      </c>
      <c r="BN26" s="22">
        <f t="shared" si="259"/>
        <v>0</v>
      </c>
      <c r="BO26" s="22">
        <f t="shared" ref="BO26:CH26" si="260">+SUM(BO20:BO25)</f>
        <v>0</v>
      </c>
      <c r="BP26" s="22">
        <f t="shared" si="260"/>
        <v>0</v>
      </c>
      <c r="BQ26" s="22">
        <f t="shared" si="260"/>
        <v>0</v>
      </c>
      <c r="BR26" s="22">
        <f t="shared" si="260"/>
        <v>0</v>
      </c>
      <c r="BS26" s="22">
        <f t="shared" si="260"/>
        <v>0</v>
      </c>
      <c r="BT26" s="22">
        <f t="shared" si="260"/>
        <v>0</v>
      </c>
      <c r="BU26" s="22">
        <f t="shared" si="260"/>
        <v>0.191</v>
      </c>
      <c r="BV26" s="22">
        <f t="shared" si="260"/>
        <v>0.78400000000000003</v>
      </c>
      <c r="BW26" s="22">
        <f t="shared" si="260"/>
        <v>1.198</v>
      </c>
      <c r="BX26" s="22">
        <f t="shared" si="260"/>
        <v>1.397</v>
      </c>
      <c r="BY26" s="22">
        <f t="shared" si="260"/>
        <v>1.827</v>
      </c>
      <c r="BZ26" s="22">
        <f t="shared" si="260"/>
        <v>1.55</v>
      </c>
      <c r="CA26" s="22">
        <f t="shared" si="260"/>
        <v>1.9319999999999999</v>
      </c>
      <c r="CB26" s="22">
        <f t="shared" si="260"/>
        <v>2.496</v>
      </c>
      <c r="CC26" s="22">
        <f t="shared" si="260"/>
        <v>2.633</v>
      </c>
      <c r="CD26" s="22">
        <f t="shared" si="260"/>
        <v>3.0910000000000002</v>
      </c>
      <c r="CE26" s="22">
        <f t="shared" si="260"/>
        <v>1.927</v>
      </c>
      <c r="CF26" s="22">
        <f t="shared" si="260"/>
        <v>2.7840000000000003</v>
      </c>
      <c r="CG26" s="22">
        <f t="shared" si="260"/>
        <v>4.0720000000000001</v>
      </c>
      <c r="CH26" s="22">
        <f t="shared" si="260"/>
        <v>4.1159999999999997</v>
      </c>
      <c r="CI26" s="22">
        <f t="shared" ref="CI26:CJ26" si="261">+SUM(CI20:CI25)</f>
        <v>4.7600000000000007</v>
      </c>
      <c r="CJ26" s="22">
        <f t="shared" si="261"/>
        <v>5.7930000000000001</v>
      </c>
      <c r="CK26" s="22">
        <f t="shared" ref="CK26:CL26" si="262">+SUM(CK20:CK25)</f>
        <v>7.2530000000000001</v>
      </c>
      <c r="CL26" s="22">
        <f t="shared" si="262"/>
        <v>6.6930000000000005</v>
      </c>
      <c r="CM26" s="21">
        <f t="shared" ref="CM26:DB26" si="263">CM27*CM10</f>
        <v>6.0748937722372141</v>
      </c>
      <c r="CN26" s="21">
        <f t="shared" si="263"/>
        <v>11.635043588171332</v>
      </c>
      <c r="CO26" s="21">
        <f t="shared" si="263"/>
        <v>11.159301707538049</v>
      </c>
      <c r="CP26" s="21">
        <f t="shared" si="263"/>
        <v>7.4956400803899168</v>
      </c>
      <c r="CQ26" s="21">
        <f t="shared" si="263"/>
        <v>8.624054755702053</v>
      </c>
      <c r="CR26" s="21">
        <f t="shared" si="263"/>
        <v>16.954457318229469</v>
      </c>
      <c r="CS26" s="21">
        <f t="shared" si="263"/>
        <v>15.185981168394552</v>
      </c>
      <c r="CT26" s="21">
        <f t="shared" si="263"/>
        <v>9.9197024879346554</v>
      </c>
      <c r="CU26" s="21">
        <f t="shared" si="263"/>
        <v>11.972289561552248</v>
      </c>
      <c r="CV26" s="21">
        <f t="shared" si="263"/>
        <v>23.410046897552444</v>
      </c>
      <c r="CW26" s="21">
        <f t="shared" si="263"/>
        <v>20.695502750073121</v>
      </c>
      <c r="CX26" s="21">
        <f t="shared" si="263"/>
        <v>13.523418926071828</v>
      </c>
      <c r="CY26" s="21">
        <f t="shared" si="263"/>
        <v>16.4460574230547</v>
      </c>
      <c r="CZ26" s="21">
        <f t="shared" si="263"/>
        <v>32.073938981958015</v>
      </c>
      <c r="DA26" s="21">
        <f t="shared" si="263"/>
        <v>28.300053940622593</v>
      </c>
      <c r="DB26" s="21">
        <f t="shared" si="263"/>
        <v>18.508363005972271</v>
      </c>
      <c r="DE26" s="126"/>
      <c r="DF26" s="22">
        <v>4.8695834116537489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 t="e">
        <f t="shared" si="265"/>
        <v>#DIV/0!</v>
      </c>
      <c r="P27" s="44" t="e">
        <f t="shared" si="265"/>
        <v>#DIV/0!</v>
      </c>
      <c r="Q27" s="44" t="e">
        <f t="shared" si="265"/>
        <v>#DIV/0!</v>
      </c>
      <c r="R27" s="44" t="e">
        <f t="shared" si="265"/>
        <v>#DIV/0!</v>
      </c>
      <c r="S27" s="44" t="e">
        <f t="shared" si="265"/>
        <v>#DIV/0!</v>
      </c>
      <c r="T27" s="44" t="e">
        <f t="shared" si="265"/>
        <v>#DIV/0!</v>
      </c>
      <c r="U27" s="44" t="e">
        <f t="shared" si="265"/>
        <v>#DIV/0!</v>
      </c>
      <c r="V27" s="44">
        <f t="shared" si="265"/>
        <v>0.35</v>
      </c>
      <c r="W27" s="44">
        <f t="shared" si="265"/>
        <v>0.20271749196033201</v>
      </c>
      <c r="X27" s="44">
        <f t="shared" si="265"/>
        <v>0.20829962055688855</v>
      </c>
      <c r="Y27" s="44">
        <f t="shared" si="265"/>
        <v>0.19650005741505544</v>
      </c>
      <c r="Z27" s="44">
        <f t="shared" ref="Z27:AA27" si="266">Z26/Z10</f>
        <v>0.10172146824316193</v>
      </c>
      <c r="AA27" s="44">
        <f t="shared" si="266"/>
        <v>0.16341413132674792</v>
      </c>
      <c r="AB27" s="52">
        <f t="shared" si="265"/>
        <v>0.17664274952452635</v>
      </c>
      <c r="AC27" s="52">
        <f t="shared" si="265"/>
        <v>0.17952573936967442</v>
      </c>
      <c r="AD27" s="52">
        <f t="shared" si="265"/>
        <v>0.18002595837354654</v>
      </c>
      <c r="AE27" s="52">
        <f t="shared" si="265"/>
        <v>0.18009614005639024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 t="e">
        <f t="shared" si="267"/>
        <v>#DIV/0!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 t="e">
        <f t="shared" si="268"/>
        <v>#DIV/0!</v>
      </c>
      <c r="BS27" s="44" t="e">
        <f t="shared" si="268"/>
        <v>#DIV/0!</v>
      </c>
      <c r="BT27" s="44" t="e">
        <f t="shared" si="268"/>
        <v>#DIV/0!</v>
      </c>
      <c r="BU27" s="44">
        <f t="shared" si="268"/>
        <v>0.15403225806451612</v>
      </c>
      <c r="BV27" s="44">
        <f t="shared" si="268"/>
        <v>0.16680851063829788</v>
      </c>
      <c r="BW27" s="44">
        <f t="shared" si="268"/>
        <v>0.22484984984984982</v>
      </c>
      <c r="BX27" s="44">
        <f t="shared" si="268"/>
        <v>0.21285997257351821</v>
      </c>
      <c r="BY27" s="44">
        <f t="shared" si="268"/>
        <v>0.18850598431696244</v>
      </c>
      <c r="BZ27" s="44">
        <f t="shared" si="268"/>
        <v>0.21861777150916786</v>
      </c>
      <c r="CA27" s="44">
        <f t="shared" si="268"/>
        <v>0.29609195402298849</v>
      </c>
      <c r="CB27" s="44">
        <f t="shared" si="268"/>
        <v>0.23115391739210964</v>
      </c>
      <c r="CC27" s="44">
        <f t="shared" si="268"/>
        <v>0.14807108311775954</v>
      </c>
      <c r="CD27" s="44">
        <f t="shared" si="268"/>
        <v>0.20092303692147687</v>
      </c>
      <c r="CE27" s="44">
        <f t="shared" si="268"/>
        <v>4.3347205038803287E-2</v>
      </c>
      <c r="CF27" s="44">
        <f t="shared" si="268"/>
        <v>0.12130190405646814</v>
      </c>
      <c r="CG27" s="44">
        <f t="shared" si="268"/>
        <v>0.11234963028363315</v>
      </c>
      <c r="CH27" s="44">
        <f t="shared" si="268"/>
        <v>0.1814254859611231</v>
      </c>
      <c r="CI27" s="44">
        <f t="shared" ref="CI27:CJ27" si="269">CI26/CI10</f>
        <v>0.17428874812346676</v>
      </c>
      <c r="CJ27" s="44">
        <f t="shared" si="269"/>
        <v>0.12472011712022046</v>
      </c>
      <c r="CK27" s="44">
        <f t="shared" ref="CK27:CL27" si="270">CK26/CK10</f>
        <v>0.15748219558797985</v>
      </c>
      <c r="CL27" s="44">
        <f t="shared" si="270"/>
        <v>0.22621421570284247</v>
      </c>
      <c r="CM27" s="52">
        <f t="shared" ref="CM27:DB27" si="271">AVERAGE(CI27:CL27)</f>
        <v>0.17067631913362738</v>
      </c>
      <c r="CN27" s="52">
        <f t="shared" si="271"/>
        <v>0.16977321188616754</v>
      </c>
      <c r="CO27" s="52">
        <f t="shared" si="271"/>
        <v>0.18103648557765431</v>
      </c>
      <c r="CP27" s="52">
        <f t="shared" si="271"/>
        <v>0.18692505807507293</v>
      </c>
      <c r="CQ27" s="52">
        <f t="shared" si="271"/>
        <v>0.17710276866813052</v>
      </c>
      <c r="CR27" s="52">
        <f t="shared" si="271"/>
        <v>0.17870938105175632</v>
      </c>
      <c r="CS27" s="52">
        <f t="shared" si="271"/>
        <v>0.18094342334315355</v>
      </c>
      <c r="CT27" s="52">
        <f t="shared" si="271"/>
        <v>0.1809201577845283</v>
      </c>
      <c r="CU27" s="52">
        <f t="shared" si="271"/>
        <v>0.17941893271189219</v>
      </c>
      <c r="CV27" s="52">
        <f t="shared" si="271"/>
        <v>0.1799979737228326</v>
      </c>
      <c r="CW27" s="52">
        <f t="shared" si="271"/>
        <v>0.18032012189060165</v>
      </c>
      <c r="CX27" s="52">
        <f t="shared" si="271"/>
        <v>0.18016429652746369</v>
      </c>
      <c r="CY27" s="52">
        <f t="shared" si="271"/>
        <v>0.17997533121319753</v>
      </c>
      <c r="CZ27" s="52">
        <f t="shared" si="271"/>
        <v>0.18011443083852385</v>
      </c>
      <c r="DA27" s="52">
        <f t="shared" si="271"/>
        <v>0.18014354511744668</v>
      </c>
      <c r="DB27" s="52">
        <f t="shared" si="271"/>
        <v>0.18009940092415794</v>
      </c>
      <c r="DE27" s="128"/>
      <c r="DF27" s="44">
        <v>0.15947913669819755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0</v>
      </c>
      <c r="K28" s="26">
        <f t="shared" si="273"/>
        <v>0</v>
      </c>
      <c r="L28" s="26">
        <f t="shared" si="273"/>
        <v>0</v>
      </c>
      <c r="M28" s="26">
        <f t="shared" si="273"/>
        <v>0</v>
      </c>
      <c r="N28" s="26">
        <f t="shared" si="273"/>
        <v>0</v>
      </c>
      <c r="O28" s="26">
        <f t="shared" si="273"/>
        <v>0</v>
      </c>
      <c r="P28" s="26">
        <f t="shared" si="273"/>
        <v>0</v>
      </c>
      <c r="Q28" s="26">
        <f t="shared" si="273"/>
        <v>0</v>
      </c>
      <c r="R28" s="26">
        <f t="shared" si="273"/>
        <v>0</v>
      </c>
      <c r="S28" s="26">
        <f t="shared" si="273"/>
        <v>0</v>
      </c>
      <c r="T28" s="26">
        <f t="shared" si="273"/>
        <v>0</v>
      </c>
      <c r="U28" s="26">
        <f t="shared" si="273"/>
        <v>-7.9999999999999993E-4</v>
      </c>
      <c r="V28" s="26">
        <f t="shared" si="273"/>
        <v>3.9000000000000003E-3</v>
      </c>
      <c r="W28" s="26">
        <f t="shared" si="273"/>
        <v>1.523599999999999</v>
      </c>
      <c r="X28" s="26">
        <f t="shared" si="273"/>
        <v>6.5621000000000045</v>
      </c>
      <c r="Y28" s="26">
        <f t="shared" si="273"/>
        <v>11.479200000000006</v>
      </c>
      <c r="Z28" s="26">
        <f t="shared" ref="Z28:AA28" si="274">Z16-Z26</f>
        <v>37.481400000000008</v>
      </c>
      <c r="AA28" s="26">
        <f t="shared" si="274"/>
        <v>39.71520000000001</v>
      </c>
      <c r="AB28" s="27">
        <f t="shared" si="273"/>
        <v>53.854253866449369</v>
      </c>
      <c r="AC28" s="27">
        <f t="shared" si="273"/>
        <v>73.48906088452587</v>
      </c>
      <c r="AD28" s="27">
        <f t="shared" si="273"/>
        <v>100.52681869511376</v>
      </c>
      <c r="AE28" s="27">
        <f t="shared" si="273"/>
        <v>137.60484542813899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0</v>
      </c>
      <c r="BN28" s="26">
        <f t="shared" si="275"/>
        <v>0</v>
      </c>
      <c r="BO28" s="26">
        <f t="shared" ref="BO28:CT28" si="276">BO16-BO26</f>
        <v>0</v>
      </c>
      <c r="BP28" s="26">
        <f t="shared" si="276"/>
        <v>0</v>
      </c>
      <c r="BQ28" s="26">
        <f t="shared" si="276"/>
        <v>0</v>
      </c>
      <c r="BR28" s="26">
        <f t="shared" si="276"/>
        <v>0</v>
      </c>
      <c r="BS28" s="26">
        <f t="shared" si="276"/>
        <v>0</v>
      </c>
      <c r="BT28" s="26">
        <f t="shared" si="276"/>
        <v>0</v>
      </c>
      <c r="BU28" s="26">
        <f t="shared" si="276"/>
        <v>0.29900000000000021</v>
      </c>
      <c r="BV28" s="26">
        <f t="shared" si="276"/>
        <v>1.2250000000000003</v>
      </c>
      <c r="BW28" s="26">
        <f t="shared" si="276"/>
        <v>1.3050000000000002</v>
      </c>
      <c r="BX28" s="26">
        <f t="shared" si="276"/>
        <v>1.7100000000000002</v>
      </c>
      <c r="BY28" s="26">
        <f t="shared" si="276"/>
        <v>1.706999999999999</v>
      </c>
      <c r="BZ28" s="26">
        <f t="shared" si="276"/>
        <v>1.8400000000000005</v>
      </c>
      <c r="CA28" s="26">
        <f t="shared" si="276"/>
        <v>1.4290000000000007</v>
      </c>
      <c r="CB28" s="26">
        <f t="shared" si="276"/>
        <v>2.4449999999999998</v>
      </c>
      <c r="CC28" s="26">
        <f t="shared" si="276"/>
        <v>4.1860000000000026</v>
      </c>
      <c r="CD28" s="26">
        <f t="shared" si="276"/>
        <v>3.171000000000002</v>
      </c>
      <c r="CE28" s="26">
        <f t="shared" si="276"/>
        <v>14.167000000000002</v>
      </c>
      <c r="CF28" s="26">
        <f t="shared" si="276"/>
        <v>6.9429999999999996</v>
      </c>
      <c r="CG28" s="26">
        <f t="shared" si="276"/>
        <v>11.599</v>
      </c>
      <c r="CH28" s="26">
        <f t="shared" si="276"/>
        <v>4.7370000000000054</v>
      </c>
      <c r="CI28" s="26">
        <f t="shared" ref="CI28:CJ28" si="277">CI16-CI26</f>
        <v>6.3449999999999998</v>
      </c>
      <c r="CJ28" s="26">
        <f t="shared" si="277"/>
        <v>13.011000000000003</v>
      </c>
      <c r="CK28" s="26">
        <f t="shared" ref="CK28:CL28" si="278">CK16-CK26</f>
        <v>13.331</v>
      </c>
      <c r="CL28" s="26">
        <f t="shared" si="278"/>
        <v>6.9430000000000023</v>
      </c>
      <c r="CM28" s="27">
        <f t="shared" si="276"/>
        <v>9.2235832776966351</v>
      </c>
      <c r="CN28" s="27">
        <f t="shared" si="276"/>
        <v>18.219039559811673</v>
      </c>
      <c r="CO28" s="27">
        <f t="shared" si="276"/>
        <v>16.166932745091145</v>
      </c>
      <c r="CP28" s="27">
        <f t="shared" si="276"/>
        <v>10.244698283849926</v>
      </c>
      <c r="CQ28" s="27">
        <f t="shared" si="276"/>
        <v>12.694099206523218</v>
      </c>
      <c r="CR28" s="27">
        <f t="shared" si="276"/>
        <v>24.76824618226129</v>
      </c>
      <c r="CS28" s="27">
        <f t="shared" si="276"/>
        <v>21.810685373377542</v>
      </c>
      <c r="CT28" s="27">
        <f t="shared" si="276"/>
        <v>14.216030122363817</v>
      </c>
      <c r="CU28" s="27">
        <f t="shared" ref="CU28:DB28" si="279">CU16-CU26</f>
        <v>17.364532255697515</v>
      </c>
      <c r="CV28" s="27">
        <f t="shared" si="279"/>
        <v>33.829704785842779</v>
      </c>
      <c r="CW28" s="27">
        <f t="shared" si="279"/>
        <v>29.826041573743954</v>
      </c>
      <c r="CX28" s="27">
        <f t="shared" si="279"/>
        <v>19.506540079829492</v>
      </c>
      <c r="CY28" s="27">
        <f t="shared" si="279"/>
        <v>23.760736282793257</v>
      </c>
      <c r="CZ28" s="27">
        <f t="shared" si="279"/>
        <v>46.294463062787564</v>
      </c>
      <c r="DA28" s="27">
        <f t="shared" si="279"/>
        <v>40.835157134140601</v>
      </c>
      <c r="DB28" s="27">
        <f t="shared" si="279"/>
        <v>26.714488948417561</v>
      </c>
      <c r="DE28" s="121"/>
      <c r="DF28" s="26">
        <v>7.7152050614769765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 t="e">
        <f t="shared" si="281"/>
        <v>#DIV/0!</v>
      </c>
      <c r="O29" s="166" t="e">
        <f t="shared" si="281"/>
        <v>#DIV/0!</v>
      </c>
      <c r="P29" s="166" t="e">
        <f t="shared" si="281"/>
        <v>#DIV/0!</v>
      </c>
      <c r="Q29" s="166" t="e">
        <f t="shared" si="281"/>
        <v>#DIV/0!</v>
      </c>
      <c r="R29" s="166" t="e">
        <f t="shared" si="281"/>
        <v>#DIV/0!</v>
      </c>
      <c r="S29" s="166" t="e">
        <f t="shared" si="281"/>
        <v>#DIV/0!</v>
      </c>
      <c r="T29" s="166" t="e">
        <f t="shared" si="281"/>
        <v>#DIV/0!</v>
      </c>
      <c r="U29" s="166" t="e">
        <f t="shared" si="281"/>
        <v>#DIV/0!</v>
      </c>
      <c r="V29" s="166">
        <f t="shared" si="281"/>
        <v>0.65</v>
      </c>
      <c r="W29" s="166">
        <f t="shared" si="281"/>
        <v>0.25652854713518408</v>
      </c>
      <c r="X29" s="166">
        <f t="shared" si="281"/>
        <v>0.22885511411193588</v>
      </c>
      <c r="Y29" s="166">
        <f t="shared" si="281"/>
        <v>0.22726858762923349</v>
      </c>
      <c r="Z29" s="166">
        <f t="shared" ref="Z29:AA29" si="282">Z28/Z10</f>
        <v>0.29671222206037889</v>
      </c>
      <c r="AA29" s="166">
        <f t="shared" si="282"/>
        <v>0.26582883426795206</v>
      </c>
      <c r="AB29" s="167">
        <f t="shared" si="281"/>
        <v>0.26159755509586602</v>
      </c>
      <c r="AC29" s="167">
        <f t="shared" si="281"/>
        <v>0.26030161474971597</v>
      </c>
      <c r="AD29" s="167">
        <f t="shared" si="281"/>
        <v>0.26001594457767629</v>
      </c>
      <c r="AE29" s="167">
        <f t="shared" si="281"/>
        <v>0.25996553014323448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 t="e">
        <f t="shared" si="283"/>
        <v>#DIV/0!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 t="e">
        <f t="shared" si="284"/>
        <v>#DIV/0!</v>
      </c>
      <c r="BS29" s="166" t="e">
        <f t="shared" si="284"/>
        <v>#DIV/0!</v>
      </c>
      <c r="BT29" s="166" t="e">
        <f t="shared" si="284"/>
        <v>#DIV/0!</v>
      </c>
      <c r="BU29" s="166">
        <f t="shared" si="284"/>
        <v>0.24112903225806467</v>
      </c>
      <c r="BV29" s="166">
        <f t="shared" si="284"/>
        <v>0.2606382978723405</v>
      </c>
      <c r="BW29" s="166">
        <f t="shared" si="284"/>
        <v>0.24493243243243246</v>
      </c>
      <c r="BX29" s="166">
        <f t="shared" si="284"/>
        <v>0.2605515770227031</v>
      </c>
      <c r="BY29" s="166">
        <f t="shared" si="284"/>
        <v>0.17612463887742458</v>
      </c>
      <c r="BZ29" s="166">
        <f t="shared" si="284"/>
        <v>0.25952045133991547</v>
      </c>
      <c r="CA29" s="166">
        <f t="shared" si="284"/>
        <v>0.21900383141762461</v>
      </c>
      <c r="CB29" s="166">
        <f t="shared" si="284"/>
        <v>0.22643082052231894</v>
      </c>
      <c r="CC29" s="166">
        <f t="shared" si="284"/>
        <v>0.23540659093465316</v>
      </c>
      <c r="CD29" s="166">
        <f t="shared" si="284"/>
        <v>0.20612324492979733</v>
      </c>
      <c r="CE29" s="166">
        <f t="shared" si="284"/>
        <v>0.31868181306939608</v>
      </c>
      <c r="CF29" s="166">
        <f t="shared" si="284"/>
        <v>0.30251405167530826</v>
      </c>
      <c r="CG29" s="166">
        <f t="shared" si="284"/>
        <v>0.32002538351175369</v>
      </c>
      <c r="CH29" s="166">
        <f t="shared" si="284"/>
        <v>0.20879799003834817</v>
      </c>
      <c r="CI29" s="166">
        <f t="shared" ref="CI29:CJ29" si="285">CI28/CI10</f>
        <v>0.23232397202592361</v>
      </c>
      <c r="CJ29" s="166">
        <f t="shared" si="285"/>
        <v>0.28011970375473655</v>
      </c>
      <c r="CK29" s="166">
        <f t="shared" ref="CK29:CL29" si="286">CK28/CK10</f>
        <v>0.28945197151294078</v>
      </c>
      <c r="CL29" s="166">
        <f t="shared" si="286"/>
        <v>0.23466387264677063</v>
      </c>
      <c r="CM29" s="167">
        <f t="shared" si="284"/>
        <v>0.25913987998509291</v>
      </c>
      <c r="CN29" s="167">
        <f t="shared" si="284"/>
        <v>0.26584385697488527</v>
      </c>
      <c r="CO29" s="167">
        <f t="shared" si="284"/>
        <v>0.26227489527992232</v>
      </c>
      <c r="CP29" s="167">
        <f t="shared" si="284"/>
        <v>0.25548062622166767</v>
      </c>
      <c r="CQ29" s="167">
        <f t="shared" si="284"/>
        <v>0.26068481461539211</v>
      </c>
      <c r="CR29" s="167">
        <f t="shared" si="284"/>
        <v>0.26107104827296684</v>
      </c>
      <c r="CS29" s="167">
        <f t="shared" si="284"/>
        <v>0.25987784609748732</v>
      </c>
      <c r="CT29" s="167">
        <f t="shared" si="284"/>
        <v>0.25927858380187857</v>
      </c>
      <c r="CU29" s="167">
        <f t="shared" ref="CU29:DB29" si="287">CU28/CU10</f>
        <v>0.2602280731969312</v>
      </c>
      <c r="CV29" s="167">
        <f t="shared" si="287"/>
        <v>0.26011388784231593</v>
      </c>
      <c r="CW29" s="167">
        <f t="shared" si="287"/>
        <v>0.25987459773465321</v>
      </c>
      <c r="CX29" s="167">
        <f t="shared" si="287"/>
        <v>0.25987378564394475</v>
      </c>
      <c r="CY29" s="167">
        <f t="shared" si="287"/>
        <v>0.26002258610446133</v>
      </c>
      <c r="CZ29" s="167">
        <f t="shared" si="287"/>
        <v>0.25997121433134374</v>
      </c>
      <c r="DA29" s="167">
        <f t="shared" si="287"/>
        <v>0.25993554595360069</v>
      </c>
      <c r="DB29" s="167">
        <f t="shared" si="287"/>
        <v>0.25995078300833757</v>
      </c>
      <c r="DE29" s="169"/>
      <c r="DF29" s="168">
        <v>0.25267340933298732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 t="e">
        <f t="shared" si="289"/>
        <v>#DIV/0!</v>
      </c>
      <c r="L30" s="39" t="e">
        <f t="shared" si="289"/>
        <v>#DIV/0!</v>
      </c>
      <c r="M30" s="39" t="e">
        <f t="shared" si="289"/>
        <v>#DIV/0!</v>
      </c>
      <c r="N30" s="39" t="e">
        <f t="shared" si="289"/>
        <v>#DIV/0!</v>
      </c>
      <c r="O30" s="39" t="e">
        <f t="shared" si="289"/>
        <v>#DIV/0!</v>
      </c>
      <c r="P30" s="39" t="e">
        <f t="shared" si="289"/>
        <v>#DIV/0!</v>
      </c>
      <c r="Q30" s="39" t="e">
        <f t="shared" si="289"/>
        <v>#DIV/0!</v>
      </c>
      <c r="R30" s="39" t="e">
        <f t="shared" si="289"/>
        <v>#DIV/0!</v>
      </c>
      <c r="S30" s="39" t="e">
        <f t="shared" si="289"/>
        <v>#DIV/0!</v>
      </c>
      <c r="T30" s="39" t="e">
        <f t="shared" si="289"/>
        <v>#DIV/0!</v>
      </c>
      <c r="U30" s="39" t="e">
        <f t="shared" si="289"/>
        <v>#DIV/0!</v>
      </c>
      <c r="V30" s="39">
        <f t="shared" si="289"/>
        <v>5.8750000000000009</v>
      </c>
      <c r="W30" s="39">
        <f t="shared" si="289"/>
        <v>389.6666666666664</v>
      </c>
      <c r="X30" s="39">
        <f t="shared" si="289"/>
        <v>3.3069703334208516</v>
      </c>
      <c r="Y30" s="39">
        <f t="shared" si="289"/>
        <v>0.74931805367184245</v>
      </c>
      <c r="Z30" s="39">
        <f t="shared" ref="Z30:AE30" si="290">+IF(Y28&lt;0,1-Z28/Y28,Z28/Y28-1)</f>
        <v>2.2651578507213035</v>
      </c>
      <c r="AA30" s="39">
        <f t="shared" si="290"/>
        <v>5.9597560389953452E-2</v>
      </c>
      <c r="AB30" s="40">
        <f t="shared" si="290"/>
        <v>0.35601114602090278</v>
      </c>
      <c r="AC30" s="40">
        <f t="shared" si="290"/>
        <v>0.36459157092340244</v>
      </c>
      <c r="AD30" s="40">
        <f t="shared" si="290"/>
        <v>0.3679154078873399</v>
      </c>
      <c r="AE30" s="40">
        <f t="shared" si="290"/>
        <v>0.36883716419474699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 t="e">
        <f t="shared" ref="BQ30" si="320">+IF(BM28&lt;0,1-BQ28/BM28,BQ28/BM28-1)</f>
        <v>#DIV/0!</v>
      </c>
      <c r="BR30" s="39" t="e">
        <f t="shared" ref="BR30" si="321">+IF(BN28&lt;0,1-BR28/BN28,BR28/BN28-1)</f>
        <v>#DIV/0!</v>
      </c>
      <c r="BS30" s="39" t="e">
        <f t="shared" ref="BS30" si="322">+IF(BO28&lt;0,1-BS28/BO28,BS28/BO28-1)</f>
        <v>#DIV/0!</v>
      </c>
      <c r="BT30" s="39" t="e">
        <f t="shared" ref="BT30" si="323">+IF(BP28&lt;0,1-BT28/BP28,BT28/BP28-1)</f>
        <v>#DIV/0!</v>
      </c>
      <c r="BU30" s="39" t="e">
        <f t="shared" ref="BU30" si="324">+IF(BQ28&lt;0,1-BU28/BQ28,BU28/BQ28-1)</f>
        <v>#DIV/0!</v>
      </c>
      <c r="BV30" s="39" t="e">
        <f t="shared" ref="BV30" si="325">+IF(BR28&lt;0,1-BV28/BR28,BV28/BR28-1)</f>
        <v>#DIV/0!</v>
      </c>
      <c r="BW30" s="39" t="e">
        <f t="shared" ref="BW30" si="326">+IF(BS28&lt;0,1-BW28/BS28,BW28/BS28-1)</f>
        <v>#DIV/0!</v>
      </c>
      <c r="BX30" s="39" t="e">
        <f t="shared" ref="BX30" si="327">+IF(BT28&lt;0,1-BX28/BT28,BX28/BT28-1)</f>
        <v>#DIV/0!</v>
      </c>
      <c r="BY30" s="39">
        <f t="shared" ref="BY30" si="328">+IF(BU28&lt;0,1-BY28/BU28,BY28/BU28-1)</f>
        <v>4.7090301003344406</v>
      </c>
      <c r="BZ30" s="39">
        <f t="shared" ref="BZ30" si="329">+IF(BV28&lt;0,1-BZ28/BV28,BZ28/BV28-1)</f>
        <v>0.50204081632653064</v>
      </c>
      <c r="CA30" s="39">
        <f t="shared" ref="CA30" si="330">+IF(BW28&lt;0,1-CA28/BW28,CA28/BW28-1)</f>
        <v>9.5019157088122919E-2</v>
      </c>
      <c r="CB30" s="39">
        <f t="shared" ref="CB30" si="331">+IF(BX28&lt;0,1-CB28/BX28,CB28/BX28-1)</f>
        <v>0.42982456140350855</v>
      </c>
      <c r="CC30" s="39">
        <f t="shared" ref="CC30" si="332">+IF(BY28&lt;0,1-CC28/BY28,CC28/BY28-1)</f>
        <v>1.4522554188635062</v>
      </c>
      <c r="CD30" s="39">
        <f t="shared" ref="CD30" si="333">+IF(BZ28&lt;0,1-CD28/BZ28,CD28/BZ28-1)</f>
        <v>0.72336956521739193</v>
      </c>
      <c r="CE30" s="39">
        <f t="shared" ref="CE30" si="334">+IF(CA28&lt;0,1-CE28/CA28,CE28/CA28-1)</f>
        <v>8.9139258222533204</v>
      </c>
      <c r="CF30" s="39">
        <f t="shared" ref="CF30" si="335">+IF(CB28&lt;0,1-CF28/CB28,CF28/CB28-1)</f>
        <v>1.839672801635992</v>
      </c>
      <c r="CG30" s="39">
        <f t="shared" ref="CG30" si="336">+IF(CC28&lt;0,1-CG28/CC28,CG28/CC28-1)</f>
        <v>1.7709030100334431</v>
      </c>
      <c r="CH30" s="39">
        <f t="shared" ref="CH30:CL30" si="337">+IF(CD28&lt;0,1-CH28/CD28,CH28/CD28-1)</f>
        <v>0.49385052034058741</v>
      </c>
      <c r="CI30" s="39">
        <f t="shared" si="337"/>
        <v>-0.5521281852191714</v>
      </c>
      <c r="CJ30" s="39">
        <f t="shared" si="337"/>
        <v>0.87397378654760249</v>
      </c>
      <c r="CK30" s="39">
        <f t="shared" si="337"/>
        <v>0.14932321751875155</v>
      </c>
      <c r="CL30" s="39">
        <f t="shared" si="337"/>
        <v>0.46569558792484567</v>
      </c>
      <c r="CM30" s="40">
        <f t="shared" ref="CM30" si="338">+CM28/CI28-1</f>
        <v>0.4536774275329607</v>
      </c>
      <c r="CN30" s="40">
        <f t="shared" ref="CN30" si="339">+CN28/CJ28-1</f>
        <v>0.40027972944521317</v>
      </c>
      <c r="CO30" s="40">
        <f t="shared" ref="CO30" si="340">+CO28/CK28-1</f>
        <v>0.21273218401403837</v>
      </c>
      <c r="CP30" s="40">
        <f t="shared" ref="CP30" si="341">+CP28/CL28-1</f>
        <v>0.47554346591529928</v>
      </c>
      <c r="CQ30" s="40">
        <f t="shared" ref="CQ30" si="342">+CQ28/CM28-1</f>
        <v>0.37626547344333838</v>
      </c>
      <c r="CR30" s="40">
        <f t="shared" ref="CR30" si="343">+CR28/CN28-1</f>
        <v>0.35947046500168622</v>
      </c>
      <c r="CS30" s="40">
        <f t="shared" ref="CS30" si="344">+CS28/CO28-1</f>
        <v>0.3490923551964451</v>
      </c>
      <c r="CT30" s="40">
        <f t="shared" ref="CT30" si="345">+CT28/CP28-1</f>
        <v>0.3876475156690975</v>
      </c>
      <c r="CU30" s="40">
        <f t="shared" ref="CU30" si="346">+CU28/CQ28-1</f>
        <v>0.36792158097947314</v>
      </c>
      <c r="CV30" s="40">
        <f t="shared" ref="CV30" si="347">+CV28/CR28-1</f>
        <v>0.36584982791681031</v>
      </c>
      <c r="CW30" s="40">
        <f t="shared" ref="CW30" si="348">+CW28/CS28-1</f>
        <v>0.36749675964562201</v>
      </c>
      <c r="CX30" s="40">
        <f t="shared" ref="CX30" si="349">+CX28/CT28-1</f>
        <v>0.37215100924293609</v>
      </c>
      <c r="CY30" s="40">
        <f t="shared" ref="CY30" si="350">+CY28/CU28-1</f>
        <v>0.3683487659160567</v>
      </c>
      <c r="CZ30" s="40">
        <f t="shared" ref="CZ30" si="351">+CZ28/CV28-1</f>
        <v>0.36845601686010276</v>
      </c>
      <c r="DA30" s="40">
        <f t="shared" ref="DA30" si="352">+DA28/CW28-1</f>
        <v>0.36911085009980127</v>
      </c>
      <c r="DB30" s="40">
        <f t="shared" ref="DB30" si="353">+DB28/CX28-1</f>
        <v>0.36951447253536074</v>
      </c>
      <c r="DE30" s="122"/>
      <c r="DF30" s="38">
        <v>0.62871122260438406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 t="e">
        <f t="shared" ref="BN31" si="381">+IF(BM28&lt;0,1-BN28/BM28,BN28/BM28-1)</f>
        <v>#DIV/0!</v>
      </c>
      <c r="BO31" s="39" t="e">
        <f t="shared" ref="BO31" si="382">+IF(BN28&lt;0,1-BO28/BN28,BO28/BN28-1)</f>
        <v>#DIV/0!</v>
      </c>
      <c r="BP31" s="39" t="e">
        <f t="shared" ref="BP31" si="383">+IF(BO28&lt;0,1-BP28/BO28,BP28/BO28-1)</f>
        <v>#DIV/0!</v>
      </c>
      <c r="BQ31" s="39" t="e">
        <f t="shared" ref="BQ31" si="384">+IF(BP28&lt;0,1-BQ28/BP28,BQ28/BP28-1)</f>
        <v>#DIV/0!</v>
      </c>
      <c r="BR31" s="39" t="e">
        <f t="shared" ref="BR31" si="385">+IF(BQ28&lt;0,1-BR28/BQ28,BR28/BQ28-1)</f>
        <v>#DIV/0!</v>
      </c>
      <c r="BS31" s="39" t="e">
        <f t="shared" ref="BS31" si="386">+IF(BR28&lt;0,1-BS28/BR28,BS28/BR28-1)</f>
        <v>#DIV/0!</v>
      </c>
      <c r="BT31" s="39" t="e">
        <f t="shared" ref="BT31" si="387">+IF(BS28&lt;0,1-BT28/BS28,BT28/BS28-1)</f>
        <v>#DIV/0!</v>
      </c>
      <c r="BU31" s="39" t="e">
        <f t="shared" ref="BU31" si="388">+IF(BT28&lt;0,1-BU28/BT28,BU28/BT28-1)</f>
        <v>#DIV/0!</v>
      </c>
      <c r="BV31" s="39">
        <f t="shared" ref="BV31" si="389">+IF(BU28&lt;0,1-BV28/BU28,BV28/BU28-1)</f>
        <v>3.0969899665551823</v>
      </c>
      <c r="BW31" s="39">
        <f t="shared" ref="BW31" si="390">+IF(BV28&lt;0,1-BW28/BV28,BW28/BV28-1)</f>
        <v>6.5306122448979487E-2</v>
      </c>
      <c r="BX31" s="39">
        <f t="shared" ref="BX31" si="391">+IF(BW28&lt;0,1-BX28/BW28,BX28/BW28-1)</f>
        <v>0.31034482758620685</v>
      </c>
      <c r="BY31" s="39">
        <f t="shared" ref="BY31" si="392">+IF(BX28&lt;0,1-BY28/BX28,BY28/BX28-1)</f>
        <v>-1.7543859649129523E-3</v>
      </c>
      <c r="BZ31" s="39">
        <f t="shared" ref="BZ31" si="393">+IF(BY28&lt;0,1-BZ28/BY28,BZ28/BY28-1)</f>
        <v>7.7914469830112187E-2</v>
      </c>
      <c r="CA31" s="39">
        <f t="shared" ref="CA31" si="394">+IF(BZ28&lt;0,1-CA28/BZ28,CA28/BZ28-1)</f>
        <v>-0.22336956521739115</v>
      </c>
      <c r="CB31" s="39">
        <f t="shared" ref="CB31" si="395">+IF(CA28&lt;0,1-CB28/CA28,CB28/CA28-1)</f>
        <v>0.71098670398880248</v>
      </c>
      <c r="CC31" s="39">
        <f t="shared" ref="CC31" si="396">+IF(CB28&lt;0,1-CC28/CB28,CC28/CB28-1)</f>
        <v>0.71206543967280278</v>
      </c>
      <c r="CD31" s="39">
        <f t="shared" ref="CD31" si="397">+IF(CC28&lt;0,1-CD28/CC28,CD28/CC28-1)</f>
        <v>-0.24247491638795982</v>
      </c>
      <c r="CE31" s="39">
        <f t="shared" ref="CE31" si="398">+IF(CD28&lt;0,1-CE28/CD28,CE28/CD28-1)</f>
        <v>3.4676758120466706</v>
      </c>
      <c r="CF31" s="39">
        <f t="shared" ref="CF31" si="399">+IF(CE28&lt;0,1-CF28/CE28,CF28/CE28-1)</f>
        <v>-0.50991741370791277</v>
      </c>
      <c r="CG31" s="39">
        <f t="shared" ref="CG31" si="400">+IF(CF28&lt;0,1-CG28/CF28,CG28/CF28-1)</f>
        <v>0.67060348552498938</v>
      </c>
      <c r="CH31" s="39">
        <f t="shared" ref="CH31:CI31" si="401">+IF(CG28&lt;0,1-CH28/CG28,CH28/CG28-1)</f>
        <v>-0.59160272437279038</v>
      </c>
      <c r="CI31" s="39">
        <f t="shared" si="401"/>
        <v>0.3394553514882821</v>
      </c>
      <c r="CJ31" s="39">
        <f>+IF(CI28&gt;1,CJ28/CI28-1,1-CJ28/CI28)</f>
        <v>1.0505910165484638</v>
      </c>
      <c r="CK31" s="39">
        <f>+IF(CJ28&gt;1,CK28/CJ28-1,1-CK28/CJ28)</f>
        <v>2.4594573822150245E-2</v>
      </c>
      <c r="CL31" s="39">
        <f>+IF(CK28&gt;1,CL28/CK28-1,1-CL28/CK28)</f>
        <v>-0.47918385717500545</v>
      </c>
      <c r="CM31" s="40">
        <f t="shared" ref="CM31" si="402">+CM28/CL28-1</f>
        <v>0.32847231422967482</v>
      </c>
      <c r="CN31" s="40">
        <f t="shared" ref="CN31" si="403">+CN28/CM28-1</f>
        <v>0.97526698803346568</v>
      </c>
      <c r="CO31" s="40">
        <f t="shared" ref="CO31" si="404">+CO28/CN28-1</f>
        <v>-0.11263529056971544</v>
      </c>
      <c r="CP31" s="40">
        <f t="shared" ref="CP31" si="405">+CP28/CO28-1</f>
        <v>-0.36631775208191053</v>
      </c>
      <c r="CQ31" s="40">
        <f t="shared" ref="CQ31" si="406">+CQ28/CP28-1</f>
        <v>0.23908961052904854</v>
      </c>
      <c r="CR31" s="40">
        <f t="shared" ref="CR31" si="407">+CR28/CQ28-1</f>
        <v>0.9511621722267174</v>
      </c>
      <c r="CS31" s="40">
        <f t="shared" ref="CS31" si="408">+CS28/CR28-1</f>
        <v>-0.1194093755011979</v>
      </c>
      <c r="CT31" s="40">
        <f t="shared" ref="CT31" si="409">+CT28/CS28-1</f>
        <v>-0.34820800543406483</v>
      </c>
      <c r="CU31" s="40">
        <f t="shared" ref="CU31" si="410">+CU28/CT28-1</f>
        <v>0.22147548269334782</v>
      </c>
      <c r="CV31" s="40">
        <f t="shared" ref="CV31" si="411">+CV28/CU28-1</f>
        <v>0.94820708601251491</v>
      </c>
      <c r="CW31" s="40">
        <f t="shared" ref="CW31" si="412">+CW28/CV28-1</f>
        <v>-0.11834756576930872</v>
      </c>
      <c r="CX31" s="40">
        <f t="shared" ref="CX31" si="413">+CX28/CW28-1</f>
        <v>-0.34598964359383122</v>
      </c>
      <c r="CY31" s="40">
        <f t="shared" ref="CY31" si="414">+CY28/CX28-1</f>
        <v>0.218090762664916</v>
      </c>
      <c r="CZ31" s="40">
        <f t="shared" ref="CZ31" si="415">+CZ28/CY28-1</f>
        <v>0.94835978615328065</v>
      </c>
      <c r="DA31" s="40">
        <f t="shared" ref="DA31" si="416">+DA28/CZ28-1</f>
        <v>-0.1179256776613371</v>
      </c>
      <c r="DB31" s="40">
        <f t="shared" ref="DB31" si="417">+DB28/DA28-1</f>
        <v>-0.34579683725319443</v>
      </c>
      <c r="DE31" s="122"/>
      <c r="DF31" s="38">
        <v>-0.42125834059883149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2.0000000000000001E-4</v>
      </c>
      <c r="V32" s="23">
        <f>'Annual Raw'!W27</f>
        <v>0</v>
      </c>
      <c r="W32" s="23">
        <f>'Annual Raw'!X27</f>
        <v>2.0500000000000001E-2</v>
      </c>
      <c r="X32" s="23">
        <f>'Annual Raw'!Y27</f>
        <v>0.17710000000000001</v>
      </c>
      <c r="Y32" s="23">
        <f>'Annual Raw'!Z27</f>
        <v>0.33210000000000001</v>
      </c>
      <c r="Z32" s="23">
        <f>'Annual Raw'!AA27</f>
        <v>0.59530000000000005</v>
      </c>
      <c r="AA32" s="23">
        <f>'Annual Raw'!AB27</f>
        <v>1.5769</v>
      </c>
      <c r="AB32" s="76">
        <f>+SUM(CM32:CP32)</f>
        <v>3.6999509821045553</v>
      </c>
      <c r="AC32" s="76">
        <f>+SUM(CQ32:CT32)</f>
        <v>1.2931933748653741</v>
      </c>
      <c r="AD32" s="76">
        <f>+SUM(CU32:CX32)</f>
        <v>0.45199223256856591</v>
      </c>
      <c r="AE32" s="76">
        <f>+SUM(CY32:DB32)</f>
        <v>0.15797867687311953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6.0000000000000001E-3</v>
      </c>
      <c r="BV32" s="23">
        <f>'QTR Raw'!AP28</f>
        <v>1.4999999999999999E-2</v>
      </c>
      <c r="BW32" s="23">
        <f>'QTR Raw'!AQ28</f>
        <v>1.6E-2</v>
      </c>
      <c r="BX32" s="23">
        <f>'QTR Raw'!AR28</f>
        <v>3.2000000000000001E-2</v>
      </c>
      <c r="BY32" s="23">
        <f>'QTR Raw'!AS28</f>
        <v>5.8999999999999997E-2</v>
      </c>
      <c r="BZ32" s="23">
        <f>'QTR Raw'!AT28</f>
        <v>6.9000000000000006E-2</v>
      </c>
      <c r="CA32" s="23">
        <f>'QTR Raw'!AU28</f>
        <v>7.3999999999999996E-2</v>
      </c>
      <c r="CB32" s="23">
        <f>'QTR Raw'!AV28</f>
        <v>0.08</v>
      </c>
      <c r="CC32" s="23">
        <f>'QTR Raw'!AW28</f>
        <v>8.5999999999999993E-2</v>
      </c>
      <c r="CD32" s="23">
        <f>'QTR Raw'!AX28</f>
        <v>9.2999999999999999E-2</v>
      </c>
      <c r="CE32" s="23">
        <f>'QTR Raw'!AY28</f>
        <v>0.10299999999999999</v>
      </c>
      <c r="CF32" s="23">
        <f>'QTR Raw'!AZ28</f>
        <v>0.107</v>
      </c>
      <c r="CG32" s="23">
        <f>'QTR Raw'!BA28</f>
        <v>0.156</v>
      </c>
      <c r="CH32" s="23">
        <f>'QTR Raw'!BB28</f>
        <v>0.22900000000000001</v>
      </c>
      <c r="CI32" s="23">
        <f>'QTR Raw'!BC28</f>
        <v>0.27300000000000002</v>
      </c>
      <c r="CJ32" s="23">
        <f>'QTR Raw'!BD28</f>
        <v>0.37</v>
      </c>
      <c r="CK32" s="23">
        <f>'QTR Raw'!BE28</f>
        <v>0.40600000000000003</v>
      </c>
      <c r="CL32" s="23">
        <f>'QTR Raw'!BF28</f>
        <v>0.52900000000000003</v>
      </c>
      <c r="CM32" s="24">
        <f t="shared" ref="CM32:DB32" si="418">CM33*CL134</f>
        <v>1.314526867627785</v>
      </c>
      <c r="CN32" s="24">
        <f t="shared" si="418"/>
        <v>1.0107327597312807</v>
      </c>
      <c r="CO32" s="24">
        <f t="shared" si="418"/>
        <v>0.77714707607123368</v>
      </c>
      <c r="CP32" s="24">
        <f t="shared" si="418"/>
        <v>0.59754427867425564</v>
      </c>
      <c r="CQ32" s="24">
        <f t="shared" si="418"/>
        <v>0.45944863716325474</v>
      </c>
      <c r="CR32" s="24">
        <f t="shared" si="418"/>
        <v>0.35326762839988135</v>
      </c>
      <c r="CS32" s="24">
        <f t="shared" si="418"/>
        <v>0.27162561205058594</v>
      </c>
      <c r="CT32" s="24">
        <f t="shared" si="418"/>
        <v>0.208851497251652</v>
      </c>
      <c r="CU32" s="24">
        <f t="shared" si="418"/>
        <v>0.16058481221621115</v>
      </c>
      <c r="CV32" s="24">
        <f t="shared" si="418"/>
        <v>0.12347281323745382</v>
      </c>
      <c r="CW32" s="24">
        <f t="shared" si="418"/>
        <v>9.4937593402323606E-2</v>
      </c>
      <c r="CX32" s="24">
        <f t="shared" si="418"/>
        <v>7.2997013712577358E-2</v>
      </c>
      <c r="CY32" s="24">
        <f t="shared" si="418"/>
        <v>5.6127017970352092E-2</v>
      </c>
      <c r="CZ32" s="24">
        <f t="shared" si="418"/>
        <v>4.3155767421502643E-2</v>
      </c>
      <c r="DA32" s="24">
        <f t="shared" si="418"/>
        <v>3.3182241442483419E-2</v>
      </c>
      <c r="DB32" s="24">
        <f t="shared" si="418"/>
        <v>2.5513650038781387E-2</v>
      </c>
      <c r="DE32" s="123"/>
      <c r="DF32" s="23">
        <v>0.34483636363636372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 t="e">
        <f t="shared" si="420"/>
        <v>#DIV/0!</v>
      </c>
      <c r="L33" s="46" t="e">
        <f t="shared" si="420"/>
        <v>#DIV/0!</v>
      </c>
      <c r="M33" s="46" t="e">
        <f t="shared" si="420"/>
        <v>#DIV/0!</v>
      </c>
      <c r="N33" s="46" t="e">
        <f t="shared" si="420"/>
        <v>#DIV/0!</v>
      </c>
      <c r="O33" s="46" t="e">
        <f t="shared" si="420"/>
        <v>#DIV/0!</v>
      </c>
      <c r="P33" s="46" t="e">
        <f t="shared" si="420"/>
        <v>#DIV/0!</v>
      </c>
      <c r="Q33" s="46" t="e">
        <f t="shared" si="420"/>
        <v>#DIV/0!</v>
      </c>
      <c r="R33" s="46" t="e">
        <f t="shared" si="420"/>
        <v>#DIV/0!</v>
      </c>
      <c r="S33" s="46" t="e">
        <f t="shared" si="420"/>
        <v>#DIV/0!</v>
      </c>
      <c r="T33" s="46" t="e">
        <f t="shared" si="420"/>
        <v>#DIV/0!</v>
      </c>
      <c r="U33" s="46">
        <f t="shared" si="420"/>
        <v>1.0000000000000018</v>
      </c>
      <c r="V33" s="46" t="e">
        <f t="shared" si="420"/>
        <v>#DIV/0!</v>
      </c>
      <c r="W33" s="46">
        <f t="shared" si="420"/>
        <v>5.7487380818844649E-2</v>
      </c>
      <c r="X33" s="46">
        <f t="shared" si="420"/>
        <v>0.13712737127371274</v>
      </c>
      <c r="Y33" s="46">
        <f t="shared" si="420"/>
        <v>0.22246784565916397</v>
      </c>
      <c r="Z33" s="46">
        <f t="shared" si="420"/>
        <v>0.12779888795860977</v>
      </c>
      <c r="AA33" s="46">
        <f t="shared" ref="AA33" si="421">+AA32/AA134</f>
        <v>0.11192816836426873</v>
      </c>
      <c r="AB33" s="110">
        <f t="shared" si="420"/>
        <v>1.8610964562741699</v>
      </c>
      <c r="AC33" s="110">
        <f t="shared" si="420"/>
        <v>1.8610964562741703</v>
      </c>
      <c r="AD33" s="110">
        <f t="shared" si="420"/>
        <v>1.8610964562741721</v>
      </c>
      <c r="AE33" s="110">
        <f t="shared" si="420"/>
        <v>1.8610964562741923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 t="e">
        <f t="shared" ref="BO33:CL33" si="423">+BO32/BN134</f>
        <v>#DIV/0!</v>
      </c>
      <c r="BP33" s="46" t="e">
        <f t="shared" si="423"/>
        <v>#DIV/0!</v>
      </c>
      <c r="BQ33" s="46" t="e">
        <f t="shared" si="423"/>
        <v>#DIV/0!</v>
      </c>
      <c r="BR33" s="46" t="e">
        <f t="shared" si="423"/>
        <v>#DIV/0!</v>
      </c>
      <c r="BS33" s="46" t="e">
        <f t="shared" si="423"/>
        <v>#DIV/0!</v>
      </c>
      <c r="BT33" s="46" t="e">
        <f t="shared" si="423"/>
        <v>#DIV/0!</v>
      </c>
      <c r="BU33" s="46" t="e">
        <f t="shared" si="423"/>
        <v>#DIV/0!</v>
      </c>
      <c r="BV33" s="46" t="e">
        <f t="shared" si="423"/>
        <v>#DIV/0!</v>
      </c>
      <c r="BW33" s="46">
        <f t="shared" si="423"/>
        <v>4.4943820224719107E-2</v>
      </c>
      <c r="BX33" s="46">
        <f t="shared" si="423"/>
        <v>8.9887640449438214E-2</v>
      </c>
      <c r="BY33" s="46" t="e">
        <f t="shared" si="423"/>
        <v>#DIV/0!</v>
      </c>
      <c r="BZ33" s="46" t="e">
        <f t="shared" si="423"/>
        <v>#DIV/0!</v>
      </c>
      <c r="CA33" s="46">
        <f t="shared" si="423"/>
        <v>9.002433090024331E-2</v>
      </c>
      <c r="CB33" s="46">
        <f t="shared" si="423"/>
        <v>9.7323600973236016E-2</v>
      </c>
      <c r="CC33" s="46">
        <f t="shared" si="423"/>
        <v>0.10324129651860744</v>
      </c>
      <c r="CD33" s="46">
        <f t="shared" si="423"/>
        <v>0.11164465786314526</v>
      </c>
      <c r="CE33" s="46">
        <f t="shared" si="423"/>
        <v>9.12311780336581E-2</v>
      </c>
      <c r="CF33" s="46">
        <f t="shared" si="423"/>
        <v>9.4774136403897258E-2</v>
      </c>
      <c r="CG33" s="46">
        <f t="shared" si="423"/>
        <v>0.13142375737152484</v>
      </c>
      <c r="CH33" s="46">
        <f t="shared" si="423"/>
        <v>0.19292333614153329</v>
      </c>
      <c r="CI33" s="46">
        <f t="shared" si="423"/>
        <v>5.8607586784311216E-2</v>
      </c>
      <c r="CJ33" s="46">
        <f t="shared" si="423"/>
        <v>8.4376639073225249E-2</v>
      </c>
      <c r="CK33" s="46">
        <f t="shared" si="423"/>
        <v>0.15064935064935067</v>
      </c>
      <c r="CL33" s="46">
        <f t="shared" si="423"/>
        <v>0.23110528615115772</v>
      </c>
      <c r="CM33" s="47">
        <f t="shared" ref="CM33" si="424">CL33</f>
        <v>0.23110528615115772</v>
      </c>
      <c r="CN33" s="47">
        <f t="shared" ref="CN33" si="425">CM33</f>
        <v>0.23110528615115772</v>
      </c>
      <c r="CO33" s="47">
        <f t="shared" ref="CO33" si="426">CN33</f>
        <v>0.23110528615115772</v>
      </c>
      <c r="CP33" s="47">
        <f t="shared" ref="CP33" si="427">CO33</f>
        <v>0.23110528615115772</v>
      </c>
      <c r="CQ33" s="47">
        <f t="shared" ref="CQ33" si="428">CP33</f>
        <v>0.23110528615115772</v>
      </c>
      <c r="CR33" s="47">
        <f t="shared" ref="CR33" si="429">CQ33</f>
        <v>0.23110528615115772</v>
      </c>
      <c r="CS33" s="47">
        <f t="shared" ref="CS33" si="430">CR33</f>
        <v>0.23110528615115772</v>
      </c>
      <c r="CT33" s="47">
        <f t="shared" ref="CT33" si="431">CS33</f>
        <v>0.23110528615115772</v>
      </c>
      <c r="CU33" s="47">
        <f t="shared" ref="CU33" si="432">CT33</f>
        <v>0.23110528615115772</v>
      </c>
      <c r="CV33" s="47">
        <f t="shared" ref="CV33" si="433">CU33</f>
        <v>0.23110528615115772</v>
      </c>
      <c r="CW33" s="47">
        <f t="shared" ref="CW33" si="434">CV33</f>
        <v>0.23110528615115772</v>
      </c>
      <c r="CX33" s="47">
        <f t="shared" ref="CX33" si="435">CW33</f>
        <v>0.23110528615115772</v>
      </c>
      <c r="CY33" s="47">
        <f t="shared" ref="CY33" si="436">CX33</f>
        <v>0.23110528615115772</v>
      </c>
      <c r="CZ33" s="47">
        <f t="shared" ref="CZ33" si="437">CY33</f>
        <v>0.23110528615115772</v>
      </c>
      <c r="DA33" s="47">
        <f t="shared" ref="DA33" si="438">CZ33</f>
        <v>0.23110528615115772</v>
      </c>
      <c r="DB33" s="47">
        <f t="shared" ref="DB33" si="439">DA33</f>
        <v>0.23110528615115772</v>
      </c>
      <c r="DE33" s="130"/>
      <c r="DF33" s="46">
        <v>0.15064935064935067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</v>
      </c>
      <c r="K34" s="26">
        <f t="shared" si="440"/>
        <v>0</v>
      </c>
      <c r="L34" s="26">
        <f t="shared" si="440"/>
        <v>0</v>
      </c>
      <c r="M34" s="26">
        <f t="shared" si="440"/>
        <v>0</v>
      </c>
      <c r="N34" s="26">
        <f t="shared" si="440"/>
        <v>0</v>
      </c>
      <c r="O34" s="26">
        <f t="shared" si="440"/>
        <v>0</v>
      </c>
      <c r="P34" s="26">
        <f t="shared" si="440"/>
        <v>0</v>
      </c>
      <c r="Q34" s="26">
        <f t="shared" si="440"/>
        <v>0</v>
      </c>
      <c r="R34" s="26">
        <f t="shared" si="440"/>
        <v>0</v>
      </c>
      <c r="S34" s="26">
        <f t="shared" si="440"/>
        <v>0</v>
      </c>
      <c r="T34" s="26">
        <f t="shared" si="440"/>
        <v>0</v>
      </c>
      <c r="U34" s="26">
        <f t="shared" ref="U34:Z34" si="441">U28-U32</f>
        <v>-1E-3</v>
      </c>
      <c r="V34" s="26">
        <f t="shared" si="441"/>
        <v>3.9000000000000003E-3</v>
      </c>
      <c r="W34" s="26">
        <f t="shared" si="441"/>
        <v>1.503099999999999</v>
      </c>
      <c r="X34" s="26">
        <f t="shared" si="441"/>
        <v>6.3850000000000042</v>
      </c>
      <c r="Y34" s="26">
        <f t="shared" si="441"/>
        <v>11.147100000000005</v>
      </c>
      <c r="Z34" s="26">
        <f t="shared" si="441"/>
        <v>36.886100000000006</v>
      </c>
      <c r="AA34" s="26">
        <f t="shared" ref="AA34" si="442">AA28-AA32</f>
        <v>38.138300000000008</v>
      </c>
      <c r="AB34" s="27">
        <f t="shared" ref="AA34:AD34" si="443">AB28-AB32</f>
        <v>50.154302884344816</v>
      </c>
      <c r="AC34" s="27">
        <f t="shared" si="443"/>
        <v>72.195867509660502</v>
      </c>
      <c r="AD34" s="27">
        <f t="shared" si="443"/>
        <v>100.07482646254519</v>
      </c>
      <c r="AE34" s="27">
        <f t="shared" ref="AE34" si="444">AE28-AE32</f>
        <v>137.44686675126587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0</v>
      </c>
      <c r="BN34" s="26">
        <f t="shared" si="449"/>
        <v>0</v>
      </c>
      <c r="BO34" s="26">
        <f t="shared" si="449"/>
        <v>0</v>
      </c>
      <c r="BP34" s="26">
        <f t="shared" si="449"/>
        <v>0</v>
      </c>
      <c r="BQ34" s="26">
        <f t="shared" si="449"/>
        <v>0</v>
      </c>
      <c r="BR34" s="26">
        <f t="shared" si="449"/>
        <v>0</v>
      </c>
      <c r="BS34" s="26">
        <f t="shared" si="449"/>
        <v>0</v>
      </c>
      <c r="BT34" s="26">
        <f t="shared" si="449"/>
        <v>0</v>
      </c>
      <c r="BU34" s="26">
        <f t="shared" si="449"/>
        <v>0.2930000000000002</v>
      </c>
      <c r="BV34" s="26">
        <f t="shared" si="449"/>
        <v>1.2100000000000004</v>
      </c>
      <c r="BW34" s="26">
        <f t="shared" si="449"/>
        <v>1.2890000000000001</v>
      </c>
      <c r="BX34" s="26">
        <f t="shared" si="449"/>
        <v>1.6780000000000002</v>
      </c>
      <c r="BY34" s="26">
        <f t="shared" si="449"/>
        <v>1.647999999999999</v>
      </c>
      <c r="BZ34" s="26">
        <f t="shared" si="449"/>
        <v>1.7710000000000006</v>
      </c>
      <c r="CA34" s="26">
        <f t="shared" si="449"/>
        <v>1.3550000000000006</v>
      </c>
      <c r="CB34" s="26">
        <f t="shared" si="449"/>
        <v>2.3649999999999998</v>
      </c>
      <c r="CC34" s="26">
        <f t="shared" si="449"/>
        <v>4.1000000000000023</v>
      </c>
      <c r="CD34" s="26">
        <f t="shared" si="449"/>
        <v>3.0780000000000021</v>
      </c>
      <c r="CE34" s="26">
        <f t="shared" ref="CE34:CF34" si="450">CE28-CE32</f>
        <v>14.064000000000002</v>
      </c>
      <c r="CF34" s="26">
        <f t="shared" si="450"/>
        <v>6.8359999999999994</v>
      </c>
      <c r="CG34" s="26">
        <f t="shared" ref="CG34:CH34" si="451">CG28-CG32</f>
        <v>11.443</v>
      </c>
      <c r="CH34" s="26">
        <f t="shared" si="451"/>
        <v>4.5080000000000053</v>
      </c>
      <c r="CI34" s="26">
        <f t="shared" ref="CI34:CJ34" si="452">CI28-CI32</f>
        <v>6.0720000000000001</v>
      </c>
      <c r="CJ34" s="26">
        <f t="shared" si="452"/>
        <v>12.641000000000004</v>
      </c>
      <c r="CK34" s="26">
        <f t="shared" ref="CK34:CL34" si="453">CK28-CK32</f>
        <v>12.924999999999999</v>
      </c>
      <c r="CL34" s="26">
        <f t="shared" si="453"/>
        <v>6.4140000000000024</v>
      </c>
      <c r="CM34" s="27">
        <f t="shared" ref="CM34:DB34" si="454">CM28-CM32</f>
        <v>7.9090564100688496</v>
      </c>
      <c r="CN34" s="27">
        <f t="shared" si="454"/>
        <v>17.208306800080393</v>
      </c>
      <c r="CO34" s="27">
        <f t="shared" si="454"/>
        <v>15.389785669019911</v>
      </c>
      <c r="CP34" s="27">
        <f t="shared" si="454"/>
        <v>9.6471540051756701</v>
      </c>
      <c r="CQ34" s="27">
        <f t="shared" si="454"/>
        <v>12.234650569359962</v>
      </c>
      <c r="CR34" s="27">
        <f t="shared" si="454"/>
        <v>24.41497855386141</v>
      </c>
      <c r="CS34" s="27">
        <f t="shared" si="454"/>
        <v>21.539059761326957</v>
      </c>
      <c r="CT34" s="27">
        <f t="shared" si="454"/>
        <v>14.007178625112164</v>
      </c>
      <c r="CU34" s="27">
        <f t="shared" si="454"/>
        <v>17.203947443481304</v>
      </c>
      <c r="CV34" s="27">
        <f t="shared" si="454"/>
        <v>33.706231972605323</v>
      </c>
      <c r="CW34" s="27">
        <f t="shared" si="454"/>
        <v>29.731103980341629</v>
      </c>
      <c r="CX34" s="27">
        <f t="shared" si="454"/>
        <v>19.433543066116915</v>
      </c>
      <c r="CY34" s="27">
        <f t="shared" si="454"/>
        <v>23.704609264822906</v>
      </c>
      <c r="CZ34" s="27">
        <f t="shared" si="454"/>
        <v>46.251307295366061</v>
      </c>
      <c r="DA34" s="27">
        <f t="shared" si="454"/>
        <v>40.801974892698119</v>
      </c>
      <c r="DB34" s="27">
        <f t="shared" si="454"/>
        <v>26.688975298378779</v>
      </c>
      <c r="DE34" s="121"/>
      <c r="DF34" s="26">
        <v>7.3703686978406129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2.9999999999999997E-4</v>
      </c>
      <c r="W35" s="23">
        <f>'Annual Raw'!X23</f>
        <v>1E-4</v>
      </c>
      <c r="X35" s="23">
        <f>'Annual Raw'!Y23</f>
        <v>0.15379999999999999</v>
      </c>
      <c r="Y35" s="23">
        <f>'Annual Raw'!Z23</f>
        <v>0.59179999999999999</v>
      </c>
      <c r="Z35" s="23">
        <f>'Annual Raw'!AA23</f>
        <v>2.1261000000000001</v>
      </c>
      <c r="AA35" s="23">
        <f>'Annual Raw'!AB23</f>
        <v>5.3426999999999998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2.9000000000000001E-2</v>
      </c>
      <c r="BZ35" s="23">
        <f>'QTR Raw'!AT23</f>
        <v>0.125</v>
      </c>
      <c r="CA35" s="23">
        <f>'QTR Raw'!AU23</f>
        <v>0.17199999999999999</v>
      </c>
      <c r="CB35" s="23">
        <f>'QTR Raw'!AV23</f>
        <v>0.17299999999999999</v>
      </c>
      <c r="CC35" s="23">
        <f>'QTR Raw'!AW23</f>
        <v>0.129</v>
      </c>
      <c r="CD35" s="23">
        <f>'QTR Raw'!AX23</f>
        <v>0.13800000000000001</v>
      </c>
      <c r="CE35" s="23">
        <f>'QTR Raw'!AY23</f>
        <v>7.0000000000000001E-3</v>
      </c>
      <c r="CF35" s="23">
        <f>'QTR Raw'!AZ23</f>
        <v>0.106</v>
      </c>
      <c r="CG35" s="23">
        <f>'QTR Raw'!BA23</f>
        <v>0.94199999999999995</v>
      </c>
      <c r="CH35" s="23">
        <f>'QTR Raw'!BB23</f>
        <v>1.056</v>
      </c>
      <c r="CI35" s="23">
        <f>'QTR Raw'!BC23</f>
        <v>1.2050000000000001</v>
      </c>
      <c r="CJ35" s="23">
        <f>'QTR Raw'!BD23</f>
        <v>1.2829999999999999</v>
      </c>
      <c r="CK35" s="23">
        <f>'QTR Raw'!BE23</f>
        <v>1.667</v>
      </c>
      <c r="CL35" s="23">
        <f>'QTR Raw'!BF23</f>
        <v>1.1879999999999999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5.343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1E-4</v>
      </c>
      <c r="W36" s="23">
        <f>'Annual Raw'!X25</f>
        <v>1.95E-2</v>
      </c>
      <c r="X36" s="23">
        <f>'Annual Raw'!Y25</f>
        <v>0.19689999999999999</v>
      </c>
      <c r="Y36" s="23">
        <f>'Annual Raw'!Z25</f>
        <v>0.38479999999999998</v>
      </c>
      <c r="Z36" s="23">
        <f>'Annual Raw'!AA25</f>
        <v>0.30990000000000001</v>
      </c>
      <c r="AA36" s="23">
        <f>'Annual Raw'!AB25</f>
        <v>0.95320000000000005</v>
      </c>
      <c r="AB36" s="76">
        <f t="shared" si="455"/>
        <v>-2.1262326004429428</v>
      </c>
      <c r="AC36" s="76">
        <f t="shared" si="456"/>
        <v>-2.5111353745699505</v>
      </c>
      <c r="AD36" s="76">
        <f t="shared" si="457"/>
        <v>-2.9867590802232447</v>
      </c>
      <c r="AE36" s="76">
        <f t="shared" si="458"/>
        <v>-3.6104327550040063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0.02</v>
      </c>
      <c r="BW36" s="23">
        <f>'QTR Raw'!AQ25</f>
        <v>0.06</v>
      </c>
      <c r="BX36" s="23">
        <f>'QTR Raw'!AR25</f>
        <v>5.1999999999999998E-2</v>
      </c>
      <c r="BY36" s="23">
        <f>'QTR Raw'!AS25</f>
        <v>6.7000000000000004E-2</v>
      </c>
      <c r="BZ36" s="23">
        <f>'QTR Raw'!AT25</f>
        <v>1.7000000000000001E-2</v>
      </c>
      <c r="CA36" s="23">
        <f>'QTR Raw'!AU25</f>
        <v>2.4E-2</v>
      </c>
      <c r="CB36" s="23">
        <f>'QTR Raw'!AV25</f>
        <v>2.5999999999999999E-2</v>
      </c>
      <c r="CC36" s="23">
        <f>'QTR Raw'!AW25</f>
        <v>1.4E-2</v>
      </c>
      <c r="CD36" s="23">
        <f>'QTR Raw'!AX25</f>
        <v>9.4E-2</v>
      </c>
      <c r="CE36" s="23">
        <f>'QTR Raw'!AY25</f>
        <v>4.4999999999999998E-2</v>
      </c>
      <c r="CF36" s="23">
        <f>'QTR Raw'!AZ25</f>
        <v>3.3000000000000002E-2</v>
      </c>
      <c r="CG36" s="23">
        <f>'QTR Raw'!BA25</f>
        <v>0.123</v>
      </c>
      <c r="CH36" s="23">
        <f>'QTR Raw'!BB25</f>
        <v>6.0999999999999999E-2</v>
      </c>
      <c r="CI36" s="23">
        <f>'QTR Raw'!BC25</f>
        <v>0.13900000000000001</v>
      </c>
      <c r="CJ36" s="23">
        <f>'QTR Raw'!BD25</f>
        <v>0.183</v>
      </c>
      <c r="CK36" s="23">
        <f>'QTR Raw'!BE25</f>
        <v>0.25700000000000001</v>
      </c>
      <c r="CL36" s="23">
        <f>'QTR Raw'!BF25</f>
        <v>0.29099999999999998</v>
      </c>
      <c r="CM36" s="24">
        <f t="shared" ref="CM36:DB36" si="459">CM37*CL168</f>
        <v>-0.81141566193710357</v>
      </c>
      <c r="CN36" s="24">
        <f t="shared" si="459"/>
        <v>-0.75494202220745377</v>
      </c>
      <c r="CO36" s="24">
        <f t="shared" si="459"/>
        <v>-0.13044918785248344</v>
      </c>
      <c r="CP36" s="24">
        <f t="shared" si="459"/>
        <v>-0.42942572844590182</v>
      </c>
      <c r="CQ36" s="24">
        <f t="shared" si="459"/>
        <v>-1.0296606014362453</v>
      </c>
      <c r="CR36" s="24">
        <f t="shared" si="459"/>
        <v>-0.93877041956450114</v>
      </c>
      <c r="CS36" s="24">
        <f t="shared" si="459"/>
        <v>-5.189154173576415E-2</v>
      </c>
      <c r="CT36" s="24">
        <f t="shared" si="459"/>
        <v>-0.49081281183344011</v>
      </c>
      <c r="CU36" s="24">
        <f t="shared" si="459"/>
        <v>-1.3026779044178043</v>
      </c>
      <c r="CV36" s="24">
        <f t="shared" si="459"/>
        <v>-1.1724607294878138</v>
      </c>
      <c r="CW36" s="24">
        <f t="shared" si="459"/>
        <v>4.7226191234691017E-2</v>
      </c>
      <c r="CX36" s="24">
        <f t="shared" si="459"/>
        <v>-0.55884663755231745</v>
      </c>
      <c r="CY36" s="24">
        <f t="shared" si="459"/>
        <v>-1.666222145606036</v>
      </c>
      <c r="CZ36" s="24">
        <f t="shared" si="459"/>
        <v>-1.4856585142080512</v>
      </c>
      <c r="DA36" s="24">
        <f t="shared" si="459"/>
        <v>0.18557950660912945</v>
      </c>
      <c r="DB36" s="24">
        <f t="shared" si="459"/>
        <v>-0.64413160179904883</v>
      </c>
      <c r="DE36" s="123"/>
      <c r="DF36" s="23">
        <v>-1.6444079048648585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>
        <f t="shared" si="461"/>
        <v>0</v>
      </c>
      <c r="V37" s="46">
        <f t="shared" si="461"/>
        <v>2.777777777777778E-2</v>
      </c>
      <c r="W37" s="46">
        <f t="shared" si="461"/>
        <v>3.6703809667218792E-3</v>
      </c>
      <c r="X37" s="46">
        <f t="shared" si="461"/>
        <v>0.23031933559480641</v>
      </c>
      <c r="Y37" s="46">
        <f t="shared" si="461"/>
        <v>0.22226072893201637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 t="e">
        <f t="shared" ref="BO37:CL37" si="464">(BO36-BO35)/BN168</f>
        <v>#DIV/0!</v>
      </c>
      <c r="BP37" s="46" t="e">
        <f t="shared" si="464"/>
        <v>#DIV/0!</v>
      </c>
      <c r="BQ37" s="46" t="e">
        <f t="shared" si="464"/>
        <v>#DIV/0!</v>
      </c>
      <c r="BR37" s="46" t="e">
        <f t="shared" si="464"/>
        <v>#DIV/0!</v>
      </c>
      <c r="BS37" s="46" t="e">
        <f t="shared" si="464"/>
        <v>#DIV/0!</v>
      </c>
      <c r="BT37" s="46" t="e">
        <f t="shared" si="464"/>
        <v>#DIV/0!</v>
      </c>
      <c r="BU37" s="46" t="e">
        <f t="shared" si="464"/>
        <v>#DIV/0!</v>
      </c>
      <c r="BV37" s="46" t="e">
        <f t="shared" si="464"/>
        <v>#DIV/0!</v>
      </c>
      <c r="BW37" s="46">
        <f t="shared" si="464"/>
        <v>1.2801365478984425E-2</v>
      </c>
      <c r="BX37" s="46">
        <f t="shared" si="464"/>
        <v>1.153922713996006E-2</v>
      </c>
      <c r="BY37" s="46" t="e">
        <f t="shared" si="464"/>
        <v>#DIV/0!</v>
      </c>
      <c r="BZ37" s="46">
        <f t="shared" si="464"/>
        <v>9.1836734693877625E-2</v>
      </c>
      <c r="CA37" s="46">
        <f t="shared" si="464"/>
        <v>1.4119442854417096E-2</v>
      </c>
      <c r="CB37" s="46">
        <f t="shared" si="464"/>
        <v>1.1777093229925701E-2</v>
      </c>
      <c r="CC37" s="46">
        <f t="shared" si="464"/>
        <v>8.0560420315236424E-3</v>
      </c>
      <c r="CD37" s="46">
        <f t="shared" si="464"/>
        <v>3.8438047304609523E-3</v>
      </c>
      <c r="CE37" s="46">
        <f t="shared" si="464"/>
        <v>4.0728831725616282E-2</v>
      </c>
      <c r="CF37" s="46">
        <f t="shared" si="464"/>
        <v>-1.6290583608599852E-3</v>
      </c>
      <c r="CG37" s="46">
        <f t="shared" si="464"/>
        <v>1.6124586549062844E-2</v>
      </c>
      <c r="CH37" s="46">
        <f t="shared" si="464"/>
        <v>2.5750511732931955E-2</v>
      </c>
      <c r="CI37" s="46">
        <f t="shared" si="464"/>
        <v>1.969347639738701E-2</v>
      </c>
      <c r="CJ37" s="46">
        <f t="shared" si="464"/>
        <v>2.1384089634683832E-2</v>
      </c>
      <c r="CK37" s="46">
        <f t="shared" si="464"/>
        <v>2.044633923521991E-2</v>
      </c>
      <c r="CL37" s="46">
        <f t="shared" si="464"/>
        <v>1.1153173272722449E-2</v>
      </c>
      <c r="CM37" s="47">
        <f t="shared" ref="CM37" si="465">+CL37</f>
        <v>1.1153173272722449E-2</v>
      </c>
      <c r="CN37" s="47">
        <f t="shared" ref="CN37" si="466">+CM37</f>
        <v>1.1153173272722449E-2</v>
      </c>
      <c r="CO37" s="47">
        <f t="shared" ref="CO37" si="467">+CN37</f>
        <v>1.1153173272722449E-2</v>
      </c>
      <c r="CP37" s="47">
        <f t="shared" ref="CP37" si="468">+CO37</f>
        <v>1.1153173272722449E-2</v>
      </c>
      <c r="CQ37" s="47">
        <f t="shared" ref="CQ37" si="469">+CP37</f>
        <v>1.1153173272722449E-2</v>
      </c>
      <c r="CR37" s="47">
        <f t="shared" ref="CR37" si="470">+CQ37</f>
        <v>1.1153173272722449E-2</v>
      </c>
      <c r="CS37" s="47">
        <f t="shared" ref="CS37" si="471">+CR37</f>
        <v>1.1153173272722449E-2</v>
      </c>
      <c r="CT37" s="47">
        <f t="shared" ref="CT37" si="472">+CS37</f>
        <v>1.1153173272722449E-2</v>
      </c>
      <c r="CU37" s="47">
        <f t="shared" ref="CU37" si="473">+CT37</f>
        <v>1.1153173272722449E-2</v>
      </c>
      <c r="CV37" s="47">
        <f t="shared" ref="CV37" si="474">+CU37</f>
        <v>1.1153173272722449E-2</v>
      </c>
      <c r="CW37" s="47">
        <f t="shared" ref="CW37" si="475">+CV37</f>
        <v>1.1153173272722449E-2</v>
      </c>
      <c r="CX37" s="47">
        <f t="shared" ref="CX37" si="476">+CW37</f>
        <v>1.1153173272722449E-2</v>
      </c>
      <c r="CY37" s="47">
        <f t="shared" ref="CY37" si="477">+CX37</f>
        <v>1.1153173272722449E-2</v>
      </c>
      <c r="CZ37" s="47">
        <f t="shared" ref="CZ37" si="478">+CY37</f>
        <v>1.1153173272722449E-2</v>
      </c>
      <c r="DA37" s="47">
        <f t="shared" ref="DA37" si="479">+CZ37</f>
        <v>1.1153173272722449E-2</v>
      </c>
      <c r="DB37" s="47">
        <f t="shared" ref="DB37" si="480">+DA37</f>
        <v>1.1153173272722449E-2</v>
      </c>
      <c r="DE37" s="130"/>
      <c r="DF37" s="46">
        <v>2.044633923521991E-2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0</v>
      </c>
      <c r="N38" s="26">
        <f t="shared" si="481"/>
        <v>0</v>
      </c>
      <c r="O38" s="26">
        <f t="shared" si="481"/>
        <v>0</v>
      </c>
      <c r="P38" s="26">
        <f t="shared" si="481"/>
        <v>0</v>
      </c>
      <c r="Q38" s="26">
        <f t="shared" si="481"/>
        <v>0</v>
      </c>
      <c r="R38" s="26">
        <f t="shared" si="481"/>
        <v>0</v>
      </c>
      <c r="S38" s="26">
        <f t="shared" si="481"/>
        <v>0</v>
      </c>
      <c r="T38" s="26">
        <f t="shared" si="481"/>
        <v>0</v>
      </c>
      <c r="U38" s="26">
        <f t="shared" ref="U38:Z38" si="482">U34+U35-U36</f>
        <v>-1E-3</v>
      </c>
      <c r="V38" s="26">
        <f t="shared" si="482"/>
        <v>4.1000000000000003E-3</v>
      </c>
      <c r="W38" s="26">
        <f t="shared" si="482"/>
        <v>1.4836999999999989</v>
      </c>
      <c r="X38" s="26">
        <f t="shared" si="482"/>
        <v>6.3419000000000043</v>
      </c>
      <c r="Y38" s="26">
        <f t="shared" si="482"/>
        <v>11.354100000000004</v>
      </c>
      <c r="Z38" s="26">
        <f t="shared" si="482"/>
        <v>38.702300000000008</v>
      </c>
      <c r="AA38" s="26">
        <f t="shared" ref="AA38" si="483">AA34+AA35-AA36</f>
        <v>42.527800000000006</v>
      </c>
      <c r="AB38" s="27">
        <f t="shared" ref="AB38:AD38" si="484">AB34+AB35-AB36</f>
        <v>52.280535484787755</v>
      </c>
      <c r="AC38" s="27">
        <f t="shared" si="484"/>
        <v>74.707002884230448</v>
      </c>
      <c r="AD38" s="27">
        <f t="shared" si="484"/>
        <v>103.06158554276844</v>
      </c>
      <c r="AE38" s="27">
        <f t="shared" ref="AE38" si="485">AE34+AE35-AE36</f>
        <v>141.05729950626989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0</v>
      </c>
      <c r="BN38" s="26">
        <f t="shared" si="489"/>
        <v>0</v>
      </c>
      <c r="BO38" s="26">
        <f t="shared" si="489"/>
        <v>0</v>
      </c>
      <c r="BP38" s="26">
        <f t="shared" si="489"/>
        <v>0</v>
      </c>
      <c r="BQ38" s="26">
        <f t="shared" si="489"/>
        <v>0</v>
      </c>
      <c r="BR38" s="26">
        <f t="shared" si="489"/>
        <v>0</v>
      </c>
      <c r="BS38" s="26">
        <f t="shared" si="489"/>
        <v>0</v>
      </c>
      <c r="BT38" s="26">
        <f t="shared" si="489"/>
        <v>0</v>
      </c>
      <c r="BU38" s="26">
        <f t="shared" si="489"/>
        <v>0.2930000000000002</v>
      </c>
      <c r="BV38" s="26">
        <f t="shared" si="489"/>
        <v>1.1900000000000004</v>
      </c>
      <c r="BW38" s="26">
        <f t="shared" si="489"/>
        <v>1.2290000000000001</v>
      </c>
      <c r="BX38" s="26">
        <f t="shared" si="489"/>
        <v>1.6260000000000001</v>
      </c>
      <c r="BY38" s="26">
        <f t="shared" si="489"/>
        <v>1.609999999999999</v>
      </c>
      <c r="BZ38" s="26">
        <f t="shared" si="489"/>
        <v>1.8790000000000007</v>
      </c>
      <c r="CA38" s="26">
        <f t="shared" si="489"/>
        <v>1.5030000000000006</v>
      </c>
      <c r="CB38" s="26">
        <f t="shared" si="489"/>
        <v>2.512</v>
      </c>
      <c r="CC38" s="26">
        <f t="shared" si="489"/>
        <v>4.2150000000000025</v>
      </c>
      <c r="CD38" s="26">
        <f t="shared" si="489"/>
        <v>3.1220000000000021</v>
      </c>
      <c r="CE38" s="26">
        <f t="shared" ref="CE38:CF38" si="490">CE34+CE35-CE36</f>
        <v>14.026000000000002</v>
      </c>
      <c r="CF38" s="26">
        <f t="shared" si="490"/>
        <v>6.9089999999999989</v>
      </c>
      <c r="CG38" s="26">
        <f t="shared" ref="CG38:CH38" si="491">CG34+CG35-CG36</f>
        <v>12.262</v>
      </c>
      <c r="CH38" s="26">
        <f t="shared" si="491"/>
        <v>5.5030000000000054</v>
      </c>
      <c r="CI38" s="26">
        <f t="shared" ref="CI38:CJ38" si="492">CI34+CI35-CI36</f>
        <v>7.1379999999999999</v>
      </c>
      <c r="CJ38" s="26">
        <f t="shared" si="492"/>
        <v>13.741000000000003</v>
      </c>
      <c r="CK38" s="26">
        <f t="shared" ref="CK38:CL38" si="493">CK34+CK35-CK36</f>
        <v>14.334999999999999</v>
      </c>
      <c r="CL38" s="26">
        <f t="shared" si="493"/>
        <v>7.3110000000000017</v>
      </c>
      <c r="CM38" s="27">
        <f t="shared" ref="CM38:DB38" si="494">CM34+CM35-CM36</f>
        <v>8.7204720720059541</v>
      </c>
      <c r="CN38" s="27">
        <f t="shared" si="494"/>
        <v>17.963248822287849</v>
      </c>
      <c r="CO38" s="27">
        <f t="shared" si="494"/>
        <v>15.520234856872396</v>
      </c>
      <c r="CP38" s="27">
        <f t="shared" si="494"/>
        <v>10.076579733621571</v>
      </c>
      <c r="CQ38" s="27">
        <f t="shared" si="494"/>
        <v>13.264311170796207</v>
      </c>
      <c r="CR38" s="27">
        <f t="shared" si="494"/>
        <v>25.353748973425912</v>
      </c>
      <c r="CS38" s="27">
        <f t="shared" si="494"/>
        <v>21.59095130306272</v>
      </c>
      <c r="CT38" s="27">
        <f t="shared" si="494"/>
        <v>14.497991436945604</v>
      </c>
      <c r="CU38" s="27">
        <f t="shared" si="494"/>
        <v>18.50662534789911</v>
      </c>
      <c r="CV38" s="27">
        <f t="shared" si="494"/>
        <v>34.87869270209314</v>
      </c>
      <c r="CW38" s="27">
        <f t="shared" si="494"/>
        <v>29.683877789106937</v>
      </c>
      <c r="CX38" s="27">
        <f t="shared" si="494"/>
        <v>19.992389703669232</v>
      </c>
      <c r="CY38" s="27">
        <f t="shared" si="494"/>
        <v>25.370831410428941</v>
      </c>
      <c r="CZ38" s="27">
        <f t="shared" si="494"/>
        <v>47.736965809574116</v>
      </c>
      <c r="DA38" s="27">
        <f t="shared" si="494"/>
        <v>40.616395386088989</v>
      </c>
      <c r="DB38" s="27">
        <f t="shared" si="494"/>
        <v>27.333106900177828</v>
      </c>
      <c r="DE38" s="121"/>
      <c r="DF38" s="26">
        <v>9.0147766027054708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5.9999999999999995E-4</v>
      </c>
      <c r="W39" s="23">
        <f>'Annual Raw'!X30</f>
        <v>0.37840000000000001</v>
      </c>
      <c r="X39" s="23">
        <f>'Annual Raw'!Y30</f>
        <v>1.6524000000000001</v>
      </c>
      <c r="Y39" s="23">
        <f>'Annual Raw'!Z30</f>
        <v>2.8956</v>
      </c>
      <c r="Z39" s="23">
        <f>'Annual Raw'!AA30</f>
        <v>9.8955000000000002</v>
      </c>
      <c r="AA39" s="23">
        <f>'Annual Raw'!AB30</f>
        <v>11.0463</v>
      </c>
      <c r="AB39" s="24">
        <f>+SUM(CM39:CP39)</f>
        <v>14.010613486103694</v>
      </c>
      <c r="AC39" s="24">
        <f>+SUM(CQ39:CT39)</f>
        <v>20.133760404600125</v>
      </c>
      <c r="AD39" s="24">
        <f>+SUM(CU39:CX39)</f>
        <v>27.804000319169901</v>
      </c>
      <c r="AE39" s="24">
        <f>+SUM(CY39:DB39)</f>
        <v>38.060418861909071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7.3999999999999996E-2</v>
      </c>
      <c r="BV39" s="23">
        <f>'QTR Raw'!AP29</f>
        <v>0.30499999999999999</v>
      </c>
      <c r="BW39" s="23">
        <f>'QTR Raw'!AQ29</f>
        <v>0.31</v>
      </c>
      <c r="BX39" s="23">
        <f>'QTR Raw'!AR29</f>
        <v>0.41299999999999998</v>
      </c>
      <c r="BY39" s="23">
        <f>'QTR Raw'!AS29</f>
        <v>0.434</v>
      </c>
      <c r="BZ39" s="23">
        <f>'QTR Raw'!AT29</f>
        <v>0.52800000000000002</v>
      </c>
      <c r="CA39" s="23">
        <f>'QTR Raw'!AU29</f>
        <v>0.22800000000000001</v>
      </c>
      <c r="CB39" s="23">
        <f>'QTR Raw'!AV29</f>
        <v>0.83499999999999996</v>
      </c>
      <c r="CC39" s="23">
        <f>'QTR Raw'!AW29</f>
        <v>1.0569999999999999</v>
      </c>
      <c r="CD39" s="23">
        <f>'QTR Raw'!AX29</f>
        <v>0.77500000000000002</v>
      </c>
      <c r="CE39" s="23">
        <f>'QTR Raw'!AY29</f>
        <v>3.5680000000000001</v>
      </c>
      <c r="CF39" s="23">
        <f>'QTR Raw'!AZ29</f>
        <v>1.8160000000000001</v>
      </c>
      <c r="CG39" s="23">
        <f>'QTR Raw'!BA29</f>
        <v>3.1160000000000001</v>
      </c>
      <c r="CH39" s="23">
        <f>'QTR Raw'!BB29</f>
        <v>1.395</v>
      </c>
      <c r="CI39" s="23">
        <f>'QTR Raw'!BC29</f>
        <v>1.825</v>
      </c>
      <c r="CJ39" s="23">
        <f>'QTR Raw'!BD29</f>
        <v>3.4670000000000001</v>
      </c>
      <c r="CK39" s="23">
        <f>'QTR Raw'!BE29</f>
        <v>3.5819999999999999</v>
      </c>
      <c r="CL39" s="23">
        <f>'QTR Raw'!BF29</f>
        <v>2.1720000000000002</v>
      </c>
      <c r="CM39" s="24">
        <f t="shared" ref="CM39:DB39" si="495">+CM38*CM40</f>
        <v>2.2999132457146669</v>
      </c>
      <c r="CN39" s="24">
        <f t="shared" si="495"/>
        <v>4.7737888247346536</v>
      </c>
      <c r="CO39" s="24">
        <f t="shared" si="495"/>
        <v>4.1767079476598656</v>
      </c>
      <c r="CP39" s="24">
        <f t="shared" si="495"/>
        <v>2.7602034679945073</v>
      </c>
      <c r="CQ39" s="24">
        <f t="shared" si="495"/>
        <v>3.5565819393847096</v>
      </c>
      <c r="CR39" s="24">
        <f t="shared" si="495"/>
        <v>6.825996945211962</v>
      </c>
      <c r="CS39" s="24">
        <f t="shared" si="495"/>
        <v>5.8317068523705657</v>
      </c>
      <c r="CT39" s="24">
        <f t="shared" si="495"/>
        <v>3.919474667632886</v>
      </c>
      <c r="CU39" s="24">
        <f t="shared" si="495"/>
        <v>4.9866452619555899</v>
      </c>
      <c r="CV39" s="24">
        <f t="shared" si="495"/>
        <v>9.4096417329664277</v>
      </c>
      <c r="CW39" s="24">
        <f t="shared" si="495"/>
        <v>8.0122683592759127</v>
      </c>
      <c r="CX39" s="24">
        <f t="shared" si="495"/>
        <v>5.3954449649719711</v>
      </c>
      <c r="CY39" s="24">
        <f t="shared" si="495"/>
        <v>6.8439635028127253</v>
      </c>
      <c r="CZ39" s="24">
        <f t="shared" si="495"/>
        <v>12.88103161092582</v>
      </c>
      <c r="DA39" s="24">
        <f t="shared" si="495"/>
        <v>10.960186554122572</v>
      </c>
      <c r="DB39" s="24">
        <f t="shared" si="495"/>
        <v>7.3752371940479513</v>
      </c>
      <c r="DE39" s="123"/>
      <c r="DF39" s="23">
        <v>2.2792971859425712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 t="e">
        <f t="shared" si="497"/>
        <v>#DIV/0!</v>
      </c>
      <c r="N40" s="90" t="e">
        <f t="shared" si="497"/>
        <v>#DIV/0!</v>
      </c>
      <c r="O40" s="90" t="e">
        <f t="shared" si="497"/>
        <v>#DIV/0!</v>
      </c>
      <c r="P40" s="90" t="e">
        <f t="shared" si="497"/>
        <v>#DIV/0!</v>
      </c>
      <c r="Q40" s="90" t="e">
        <f t="shared" si="497"/>
        <v>#DIV/0!</v>
      </c>
      <c r="R40" s="90" t="e">
        <f t="shared" si="497"/>
        <v>#DIV/0!</v>
      </c>
      <c r="S40" s="90" t="e">
        <f t="shared" si="497"/>
        <v>#DIV/0!</v>
      </c>
      <c r="T40" s="90" t="e">
        <f t="shared" si="497"/>
        <v>#DIV/0!</v>
      </c>
      <c r="U40" s="90">
        <f t="shared" ref="U40:Z40" si="498">U39/U38</f>
        <v>0</v>
      </c>
      <c r="V40" s="90">
        <f t="shared" si="498"/>
        <v>0.14634146341463411</v>
      </c>
      <c r="W40" s="90">
        <f t="shared" si="498"/>
        <v>0.25503808047448967</v>
      </c>
      <c r="X40" s="90">
        <f t="shared" si="498"/>
        <v>0.26055283117046923</v>
      </c>
      <c r="Y40" s="90">
        <f t="shared" si="498"/>
        <v>0.25502681850609021</v>
      </c>
      <c r="Z40" s="90">
        <f t="shared" si="498"/>
        <v>0.25568247881908823</v>
      </c>
      <c r="AA40" s="90">
        <f t="shared" ref="AA40" si="499">AA39/AA38</f>
        <v>0.25974303867117504</v>
      </c>
      <c r="AB40" s="91">
        <f t="shared" ref="AA40:AD40" si="500">AB39/AB38</f>
        <v>0.26798909682515415</v>
      </c>
      <c r="AC40" s="91">
        <f t="shared" si="500"/>
        <v>0.26950298669858785</v>
      </c>
      <c r="AD40" s="91">
        <f t="shared" si="500"/>
        <v>0.26978044411738467</v>
      </c>
      <c r="AE40" s="91">
        <f t="shared" ref="AE40" si="501">AE39/AE38</f>
        <v>0.2698223983808602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 t="e">
        <f t="shared" si="506"/>
        <v>#DIV/0!</v>
      </c>
      <c r="BN40" s="90" t="e">
        <f t="shared" si="506"/>
        <v>#DIV/0!</v>
      </c>
      <c r="BO40" s="90" t="e">
        <f t="shared" si="506"/>
        <v>#DIV/0!</v>
      </c>
      <c r="BP40" s="90" t="e">
        <f t="shared" si="506"/>
        <v>#DIV/0!</v>
      </c>
      <c r="BQ40" s="90" t="e">
        <f t="shared" si="506"/>
        <v>#DIV/0!</v>
      </c>
      <c r="BR40" s="90" t="e">
        <f t="shared" si="506"/>
        <v>#DIV/0!</v>
      </c>
      <c r="BS40" s="90" t="e">
        <f t="shared" si="506"/>
        <v>#DIV/0!</v>
      </c>
      <c r="BT40" s="90" t="e">
        <f t="shared" si="506"/>
        <v>#DIV/0!</v>
      </c>
      <c r="BU40" s="90">
        <f t="shared" si="506"/>
        <v>0.25255972696245715</v>
      </c>
      <c r="BV40" s="90">
        <f t="shared" si="506"/>
        <v>0.25630252100840328</v>
      </c>
      <c r="BW40" s="90">
        <f t="shared" si="506"/>
        <v>0.25223759153783559</v>
      </c>
      <c r="BX40" s="90">
        <f t="shared" si="506"/>
        <v>0.2539975399753997</v>
      </c>
      <c r="BY40" s="90">
        <f t="shared" si="506"/>
        <v>0.26956521739130451</v>
      </c>
      <c r="BZ40" s="90">
        <f t="shared" si="506"/>
        <v>0.28100053219797755</v>
      </c>
      <c r="CA40" s="90">
        <f t="shared" si="506"/>
        <v>0.1516966067864271</v>
      </c>
      <c r="CB40" s="90">
        <f t="shared" si="506"/>
        <v>0.33240445859872608</v>
      </c>
      <c r="CC40" s="90">
        <f t="shared" si="506"/>
        <v>0.25077105575326197</v>
      </c>
      <c r="CD40" s="90">
        <f t="shared" si="506"/>
        <v>0.24823830877642522</v>
      </c>
      <c r="CE40" s="90">
        <f t="shared" ref="CE40:CF40" si="507">CE39/CE38</f>
        <v>0.25438471410238128</v>
      </c>
      <c r="CF40" s="90">
        <f t="shared" si="507"/>
        <v>0.26284556375741791</v>
      </c>
      <c r="CG40" s="90">
        <f t="shared" ref="CG40:CH40" si="508">CG39/CG38</f>
        <v>0.25411841461425544</v>
      </c>
      <c r="CH40" s="90">
        <f t="shared" si="508"/>
        <v>0.25349809194984529</v>
      </c>
      <c r="CI40" s="90">
        <f t="shared" ref="CI40:CJ40" si="509">CI39/CI38</f>
        <v>0.25567385822359207</v>
      </c>
      <c r="CJ40" s="90">
        <f t="shared" si="509"/>
        <v>0.25231060330398075</v>
      </c>
      <c r="CK40" s="90">
        <f t="shared" ref="CK40:CL40" si="510">CK39/CK38</f>
        <v>0.24987792117195676</v>
      </c>
      <c r="CL40" s="90">
        <f t="shared" si="510"/>
        <v>0.29708658186294618</v>
      </c>
      <c r="CM40" s="91">
        <f t="shared" ref="CM40:DB40" si="511">AVERAGE(CI40:CL40)</f>
        <v>0.26373724114061892</v>
      </c>
      <c r="CN40" s="91">
        <f t="shared" si="511"/>
        <v>0.26575308686987564</v>
      </c>
      <c r="CO40" s="91">
        <f t="shared" si="511"/>
        <v>0.26911370776134935</v>
      </c>
      <c r="CP40" s="91">
        <f t="shared" si="511"/>
        <v>0.27392265440869756</v>
      </c>
      <c r="CQ40" s="91">
        <f t="shared" si="511"/>
        <v>0.26813167254513537</v>
      </c>
      <c r="CR40" s="91">
        <f t="shared" si="511"/>
        <v>0.26923028039626451</v>
      </c>
      <c r="CS40" s="91">
        <f t="shared" si="511"/>
        <v>0.27009957877786173</v>
      </c>
      <c r="CT40" s="91">
        <f t="shared" si="511"/>
        <v>0.27034604653198979</v>
      </c>
      <c r="CU40" s="91">
        <f t="shared" si="511"/>
        <v>0.26945189456281282</v>
      </c>
      <c r="CV40" s="91">
        <f t="shared" si="511"/>
        <v>0.26978195006723221</v>
      </c>
      <c r="CW40" s="91">
        <f t="shared" si="511"/>
        <v>0.26991986748497415</v>
      </c>
      <c r="CX40" s="91">
        <f t="shared" si="511"/>
        <v>0.26987493966175224</v>
      </c>
      <c r="CY40" s="91">
        <f t="shared" si="511"/>
        <v>0.26975716294419283</v>
      </c>
      <c r="CZ40" s="91">
        <f t="shared" si="511"/>
        <v>0.26983348003953789</v>
      </c>
      <c r="DA40" s="91">
        <f t="shared" si="511"/>
        <v>0.26984636253261429</v>
      </c>
      <c r="DB40" s="91">
        <f t="shared" si="511"/>
        <v>0.26982798629452431</v>
      </c>
      <c r="DE40" s="127"/>
      <c r="DF40" s="90">
        <v>0.25284011866234374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0</v>
      </c>
      <c r="N41" s="26">
        <f t="shared" si="513"/>
        <v>0</v>
      </c>
      <c r="O41" s="26">
        <f t="shared" si="513"/>
        <v>0</v>
      </c>
      <c r="P41" s="26">
        <f t="shared" si="513"/>
        <v>0</v>
      </c>
      <c r="Q41" s="26">
        <f t="shared" si="513"/>
        <v>0</v>
      </c>
      <c r="R41" s="26">
        <f t="shared" si="513"/>
        <v>0</v>
      </c>
      <c r="S41" s="26">
        <f t="shared" si="513"/>
        <v>0</v>
      </c>
      <c r="T41" s="26">
        <f t="shared" si="513"/>
        <v>0</v>
      </c>
      <c r="U41" s="26">
        <f t="shared" ref="U41:Z41" si="514">U38-U39</f>
        <v>-1E-3</v>
      </c>
      <c r="V41" s="26">
        <f t="shared" si="514"/>
        <v>3.5000000000000005E-3</v>
      </c>
      <c r="W41" s="26">
        <f t="shared" si="514"/>
        <v>1.1052999999999988</v>
      </c>
      <c r="X41" s="26">
        <f t="shared" si="514"/>
        <v>4.6895000000000042</v>
      </c>
      <c r="Y41" s="26">
        <f t="shared" si="514"/>
        <v>8.4585000000000043</v>
      </c>
      <c r="Z41" s="26">
        <f t="shared" si="514"/>
        <v>28.80680000000001</v>
      </c>
      <c r="AA41" s="26">
        <f t="shared" ref="AA41" si="515">AA38-AA39</f>
        <v>31.481500000000004</v>
      </c>
      <c r="AB41" s="27">
        <f t="shared" ref="AA41:AD41" si="516">AB38-AB39</f>
        <v>38.269921998684062</v>
      </c>
      <c r="AC41" s="27">
        <f t="shared" si="516"/>
        <v>54.573242479630323</v>
      </c>
      <c r="AD41" s="27">
        <f t="shared" si="516"/>
        <v>75.257585223598539</v>
      </c>
      <c r="AE41" s="27">
        <f t="shared" ref="AE41" si="517">AE38-AE39</f>
        <v>102.99688064436081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0</v>
      </c>
      <c r="BN41" s="26">
        <f t="shared" si="521"/>
        <v>0</v>
      </c>
      <c r="BO41" s="26">
        <f t="shared" si="521"/>
        <v>0</v>
      </c>
      <c r="BP41" s="26">
        <f t="shared" si="521"/>
        <v>0</v>
      </c>
      <c r="BQ41" s="26">
        <f t="shared" si="521"/>
        <v>0</v>
      </c>
      <c r="BR41" s="26">
        <f t="shared" si="521"/>
        <v>0</v>
      </c>
      <c r="BS41" s="26">
        <f t="shared" si="521"/>
        <v>0</v>
      </c>
      <c r="BT41" s="26">
        <f t="shared" si="521"/>
        <v>0</v>
      </c>
      <c r="BU41" s="26">
        <f t="shared" si="521"/>
        <v>0.21900000000000019</v>
      </c>
      <c r="BV41" s="26">
        <f t="shared" si="521"/>
        <v>0.88500000000000045</v>
      </c>
      <c r="BW41" s="26">
        <f t="shared" si="521"/>
        <v>0.91900000000000004</v>
      </c>
      <c r="BX41" s="26">
        <f t="shared" si="521"/>
        <v>1.2130000000000001</v>
      </c>
      <c r="BY41" s="26">
        <f t="shared" si="521"/>
        <v>1.175999999999999</v>
      </c>
      <c r="BZ41" s="26">
        <f t="shared" si="521"/>
        <v>1.3510000000000006</v>
      </c>
      <c r="CA41" s="26">
        <f t="shared" si="521"/>
        <v>1.2750000000000006</v>
      </c>
      <c r="CB41" s="26">
        <f t="shared" si="521"/>
        <v>1.677</v>
      </c>
      <c r="CC41" s="26">
        <f t="shared" si="521"/>
        <v>3.1580000000000026</v>
      </c>
      <c r="CD41" s="26">
        <f t="shared" si="521"/>
        <v>2.3470000000000022</v>
      </c>
      <c r="CE41" s="26">
        <f t="shared" ref="CE41:CF41" si="522">CE38-CE39</f>
        <v>10.458000000000002</v>
      </c>
      <c r="CF41" s="26">
        <f t="shared" si="522"/>
        <v>5.0929999999999991</v>
      </c>
      <c r="CG41" s="26">
        <f t="shared" ref="CG41:CH41" si="523">CG38-CG39</f>
        <v>9.1460000000000008</v>
      </c>
      <c r="CH41" s="26">
        <f t="shared" si="523"/>
        <v>4.1080000000000059</v>
      </c>
      <c r="CI41" s="26">
        <f t="shared" ref="CI41:CJ41" si="524">CI38-CI39</f>
        <v>5.3129999999999997</v>
      </c>
      <c r="CJ41" s="26">
        <f t="shared" si="524"/>
        <v>10.274000000000003</v>
      </c>
      <c r="CK41" s="26">
        <f t="shared" ref="CK41:CL41" si="525">CK38-CK39</f>
        <v>10.753</v>
      </c>
      <c r="CL41" s="26">
        <f t="shared" si="525"/>
        <v>5.1390000000000011</v>
      </c>
      <c r="CM41" s="27">
        <f t="shared" ref="CM41:DB41" si="526">CM38-CM39</f>
        <v>6.4205588262912876</v>
      </c>
      <c r="CN41" s="27">
        <f t="shared" si="526"/>
        <v>13.189459997553195</v>
      </c>
      <c r="CO41" s="27">
        <f t="shared" si="526"/>
        <v>11.34352690921253</v>
      </c>
      <c r="CP41" s="27">
        <f t="shared" si="526"/>
        <v>7.3163762656270634</v>
      </c>
      <c r="CQ41" s="27">
        <f t="shared" si="526"/>
        <v>9.7077292314114967</v>
      </c>
      <c r="CR41" s="27">
        <f t="shared" si="526"/>
        <v>18.52775202821395</v>
      </c>
      <c r="CS41" s="27">
        <f t="shared" si="526"/>
        <v>15.759244450692155</v>
      </c>
      <c r="CT41" s="27">
        <f t="shared" si="526"/>
        <v>10.578516769312717</v>
      </c>
      <c r="CU41" s="27">
        <f t="shared" si="526"/>
        <v>13.519980085943519</v>
      </c>
      <c r="CV41" s="27">
        <f t="shared" si="526"/>
        <v>25.469050969126712</v>
      </c>
      <c r="CW41" s="27">
        <f t="shared" si="526"/>
        <v>21.671609429831022</v>
      </c>
      <c r="CX41" s="27">
        <f t="shared" si="526"/>
        <v>14.59694473869726</v>
      </c>
      <c r="CY41" s="27">
        <f t="shared" si="526"/>
        <v>18.526867907616214</v>
      </c>
      <c r="CZ41" s="27">
        <f t="shared" si="526"/>
        <v>34.855934198648299</v>
      </c>
      <c r="DA41" s="27">
        <f t="shared" si="526"/>
        <v>29.656208831966417</v>
      </c>
      <c r="DB41" s="27">
        <f t="shared" si="526"/>
        <v>19.957869706129877</v>
      </c>
      <c r="DE41" s="121"/>
      <c r="DF41" s="26">
        <v>6.7354794167628995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 t="e">
        <f t="shared" si="528"/>
        <v>#DIV/0!</v>
      </c>
      <c r="P42" s="45" t="e">
        <f t="shared" si="528"/>
        <v>#DIV/0!</v>
      </c>
      <c r="Q42" s="45" t="e">
        <f t="shared" si="528"/>
        <v>#DIV/0!</v>
      </c>
      <c r="R42" s="45" t="e">
        <f t="shared" si="528"/>
        <v>#DIV/0!</v>
      </c>
      <c r="S42" s="45" t="e">
        <f t="shared" si="528"/>
        <v>#DIV/0!</v>
      </c>
      <c r="T42" s="45" t="e">
        <f t="shared" si="528"/>
        <v>#DIV/0!</v>
      </c>
      <c r="U42" s="45" t="e">
        <f t="shared" si="528"/>
        <v>#DIV/0!</v>
      </c>
      <c r="V42" s="45">
        <f t="shared" si="528"/>
        <v>0.58333333333333337</v>
      </c>
      <c r="W42" s="45">
        <f t="shared" si="528"/>
        <v>0.18609937197986273</v>
      </c>
      <c r="X42" s="45">
        <f t="shared" si="528"/>
        <v>0.1635476535907596</v>
      </c>
      <c r="Y42" s="45">
        <f t="shared" si="528"/>
        <v>0.1674638780108258</v>
      </c>
      <c r="Z42" s="45">
        <f t="shared" ref="Z42:AA42" si="529">+Z41/Z10</f>
        <v>0.22804189914061171</v>
      </c>
      <c r="AA42" s="45">
        <f t="shared" si="529"/>
        <v>0.21071757025034574</v>
      </c>
      <c r="AB42" s="48">
        <f t="shared" si="528"/>
        <v>0.18589651345633432</v>
      </c>
      <c r="AC42" s="48">
        <f t="shared" si="528"/>
        <v>0.19330092082543854</v>
      </c>
      <c r="AD42" s="48">
        <f t="shared" si="528"/>
        <v>0.19465623564490742</v>
      </c>
      <c r="AE42" s="48">
        <f t="shared" si="528"/>
        <v>0.19458354534320285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 t="e">
        <f t="shared" si="530"/>
        <v>#DIV/0!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 t="e">
        <f t="shared" si="531"/>
        <v>#DIV/0!</v>
      </c>
      <c r="BS42" s="45" t="e">
        <f t="shared" si="531"/>
        <v>#DIV/0!</v>
      </c>
      <c r="BT42" s="45" t="e">
        <f t="shared" si="531"/>
        <v>#DIV/0!</v>
      </c>
      <c r="BU42" s="45">
        <f t="shared" si="531"/>
        <v>0.17661290322580661</v>
      </c>
      <c r="BV42" s="45">
        <f t="shared" si="531"/>
        <v>0.18829787234042561</v>
      </c>
      <c r="BW42" s="45">
        <f t="shared" si="531"/>
        <v>0.17248498498498499</v>
      </c>
      <c r="BX42" s="45">
        <f t="shared" si="531"/>
        <v>0.18482401340850224</v>
      </c>
      <c r="BY42" s="45">
        <f t="shared" si="531"/>
        <v>0.12133718530746998</v>
      </c>
      <c r="BZ42" s="45">
        <f t="shared" si="531"/>
        <v>0.19055007052186188</v>
      </c>
      <c r="CA42" s="45">
        <f t="shared" si="531"/>
        <v>0.19540229885057478</v>
      </c>
      <c r="CB42" s="45">
        <f t="shared" si="531"/>
        <v>0.15530653824782367</v>
      </c>
      <c r="CC42" s="45">
        <f t="shared" si="531"/>
        <v>0.17759532111123622</v>
      </c>
      <c r="CD42" s="45">
        <f t="shared" si="531"/>
        <v>0.1525611024440979</v>
      </c>
      <c r="CE42" s="45">
        <f t="shared" si="531"/>
        <v>0.23524912833202119</v>
      </c>
      <c r="CF42" s="45">
        <f t="shared" si="531"/>
        <v>0.22190754215502587</v>
      </c>
      <c r="CG42" s="45">
        <f t="shared" si="531"/>
        <v>0.25234521575984992</v>
      </c>
      <c r="CH42" s="45">
        <f t="shared" si="531"/>
        <v>0.18107286110988696</v>
      </c>
      <c r="CI42" s="45">
        <f t="shared" ref="CI42:CJ42" si="532">+CI41/CI10</f>
        <v>0.19453699974369301</v>
      </c>
      <c r="CJ42" s="45">
        <f t="shared" si="532"/>
        <v>0.22119359283499834</v>
      </c>
      <c r="CK42" s="45">
        <f t="shared" ref="CK42:CL42" si="533">+CK41/CK10</f>
        <v>0.23347663713739797</v>
      </c>
      <c r="CL42" s="45">
        <f t="shared" si="533"/>
        <v>0.17369114813938558</v>
      </c>
      <c r="CM42" s="48">
        <f t="shared" si="531"/>
        <v>0.18038790279105632</v>
      </c>
      <c r="CN42" s="48">
        <f t="shared" si="531"/>
        <v>0.19245454216477625</v>
      </c>
      <c r="CO42" s="48">
        <f t="shared" si="531"/>
        <v>0.18402515672752151</v>
      </c>
      <c r="CP42" s="48">
        <f t="shared" si="531"/>
        <v>0.18245460610220254</v>
      </c>
      <c r="CQ42" s="48">
        <f t="shared" si="531"/>
        <v>0.1993570046881688</v>
      </c>
      <c r="CR42" s="48">
        <f t="shared" si="531"/>
        <v>0.195292779656383</v>
      </c>
      <c r="CS42" s="48">
        <f t="shared" si="531"/>
        <v>0.18777394812950998</v>
      </c>
      <c r="CT42" s="48">
        <f t="shared" si="531"/>
        <v>0.19293591973732818</v>
      </c>
      <c r="CU42" s="48">
        <f t="shared" ref="CU42:DB42" si="534">+CU41/CU10</f>
        <v>0.20261290748396477</v>
      </c>
      <c r="CV42" s="48">
        <f t="shared" si="534"/>
        <v>0.19582949095098384</v>
      </c>
      <c r="CW42" s="48">
        <f t="shared" si="534"/>
        <v>0.18882494912759898</v>
      </c>
      <c r="CX42" s="48">
        <f t="shared" si="534"/>
        <v>0.19446622889331366</v>
      </c>
      <c r="CY42" s="48">
        <f t="shared" si="534"/>
        <v>0.2027464152801832</v>
      </c>
      <c r="CZ42" s="48">
        <f t="shared" si="534"/>
        <v>0.19573700483330289</v>
      </c>
      <c r="DA42" s="48">
        <f t="shared" si="534"/>
        <v>0.1887761275983007</v>
      </c>
      <c r="DB42" s="48">
        <f t="shared" si="534"/>
        <v>0.19420412149019076</v>
      </c>
      <c r="DE42" s="129"/>
      <c r="DF42" s="45">
        <v>0.22058733814131964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 t="e">
        <f t="shared" si="536"/>
        <v>#DIV/0!</v>
      </c>
      <c r="O43" s="39" t="e">
        <f t="shared" si="536"/>
        <v>#DIV/0!</v>
      </c>
      <c r="P43" s="39" t="e">
        <f t="shared" si="536"/>
        <v>#DIV/0!</v>
      </c>
      <c r="Q43" s="39" t="e">
        <f t="shared" si="536"/>
        <v>#DIV/0!</v>
      </c>
      <c r="R43" s="39" t="e">
        <f t="shared" si="536"/>
        <v>#DIV/0!</v>
      </c>
      <c r="S43" s="39" t="e">
        <f t="shared" si="536"/>
        <v>#DIV/0!</v>
      </c>
      <c r="T43" s="39" t="e">
        <f t="shared" si="536"/>
        <v>#DIV/0!</v>
      </c>
      <c r="U43" s="39" t="e">
        <f t="shared" si="536"/>
        <v>#DIV/0!</v>
      </c>
      <c r="V43" s="39">
        <f t="shared" si="536"/>
        <v>4.5</v>
      </c>
      <c r="W43" s="39">
        <f t="shared" si="536"/>
        <v>314.79999999999961</v>
      </c>
      <c r="X43" s="39">
        <f t="shared" si="536"/>
        <v>3.2427395277300359</v>
      </c>
      <c r="Y43" s="39">
        <f t="shared" si="536"/>
        <v>0.80371041688879341</v>
      </c>
      <c r="Z43" s="39">
        <f t="shared" ref="Z43:AA43" si="537">+IF(Y41&lt;0,1-Z41/Y41,Z41/Y41-1)</f>
        <v>2.4056629426021154</v>
      </c>
      <c r="AA43" s="39">
        <f t="shared" si="537"/>
        <v>9.2849604954385434E-2</v>
      </c>
      <c r="AB43" s="40">
        <f t="shared" si="536"/>
        <v>0.21563210135108091</v>
      </c>
      <c r="AC43" s="40">
        <f t="shared" si="536"/>
        <v>0.42600871988991407</v>
      </c>
      <c r="AD43" s="40">
        <f t="shared" si="536"/>
        <v>0.37901986035901625</v>
      </c>
      <c r="AE43" s="40">
        <f t="shared" si="536"/>
        <v>0.36859135645059271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 t="e">
        <f t="shared" ref="BQ43" si="567">+IF(BM41&lt;0,1-BQ41/BM41,BQ41/BM41-1)</f>
        <v>#DIV/0!</v>
      </c>
      <c r="BR43" s="39" t="e">
        <f t="shared" ref="BR43" si="568">+IF(BN41&lt;0,1-BR41/BN41,BR41/BN41-1)</f>
        <v>#DIV/0!</v>
      </c>
      <c r="BS43" s="39" t="e">
        <f t="shared" ref="BS43" si="569">+IF(BO41&lt;0,1-BS41/BO41,BS41/BO41-1)</f>
        <v>#DIV/0!</v>
      </c>
      <c r="BT43" s="39" t="e">
        <f t="shared" ref="BT43" si="570">+IF(BP41&lt;0,1-BT41/BP41,BT41/BP41-1)</f>
        <v>#DIV/0!</v>
      </c>
      <c r="BU43" s="39" t="e">
        <f t="shared" ref="BU43" si="571">+IF(BQ41&lt;0,1-BU41/BQ41,BU41/BQ41-1)</f>
        <v>#DIV/0!</v>
      </c>
      <c r="BV43" s="39" t="e">
        <f t="shared" ref="BV43" si="572">+IF(BR41&lt;0,1-BV41/BR41,BV41/BR41-1)</f>
        <v>#DIV/0!</v>
      </c>
      <c r="BW43" s="39" t="e">
        <f t="shared" ref="BW43" si="573">+IF(BS41&lt;0,1-BW41/BS41,BW41/BS41-1)</f>
        <v>#DIV/0!</v>
      </c>
      <c r="BX43" s="39" t="e">
        <f t="shared" ref="BX43" si="574">+IF(BT41&lt;0,1-BX41/BT41,BX41/BT41-1)</f>
        <v>#DIV/0!</v>
      </c>
      <c r="BY43" s="39">
        <f t="shared" ref="BY43" si="575">+IF(BU41&lt;0,1-BY41/BU41,BY41/BU41-1)</f>
        <v>4.3698630136986214</v>
      </c>
      <c r="BZ43" s="39">
        <f t="shared" ref="BZ43" si="576">+IF(BV41&lt;0,1-BZ41/BV41,BZ41/BV41-1)</f>
        <v>0.52655367231638417</v>
      </c>
      <c r="CA43" s="39">
        <f t="shared" ref="CA43" si="577">+IF(BW41&lt;0,1-CA41/BW41,CA41/BW41-1)</f>
        <v>0.38737758433079494</v>
      </c>
      <c r="CB43" s="39">
        <f t="shared" ref="CB43" si="578">+IF(BX41&lt;0,1-CB41/BX41,CB41/BX41-1)</f>
        <v>0.38252267106347904</v>
      </c>
      <c r="CC43" s="39">
        <f t="shared" ref="CC43" si="579">+IF(BY41&lt;0,1-CC41/BY41,CC41/BY41-1)</f>
        <v>1.6853741496598684</v>
      </c>
      <c r="CD43" s="39">
        <f t="shared" ref="CD43" si="580">+IF(BZ41&lt;0,1-CD41/BZ41,CD41/BZ41-1)</f>
        <v>0.73723168023686236</v>
      </c>
      <c r="CE43" s="39">
        <f t="shared" ref="CE43" si="581">+IF(CA41&lt;0,1-CE41/CA41,CE41/CA41-1)</f>
        <v>7.2023529411764677</v>
      </c>
      <c r="CF43" s="39">
        <f t="shared" ref="CF43" si="582">+IF(CB41&lt;0,1-CF41/CB41,CF41/CB41-1)</f>
        <v>2.0369707811568269</v>
      </c>
      <c r="CG43" s="39">
        <f t="shared" ref="CG43" si="583">+IF(CC41&lt;0,1-CG41/CC41,CG41/CC41-1)</f>
        <v>1.89613679544015</v>
      </c>
      <c r="CH43" s="39">
        <f t="shared" ref="CH43:CL43" si="584">+IF(CD41&lt;0,1-CH41/CD41,CH41/CD41-1)</f>
        <v>0.75031955688112562</v>
      </c>
      <c r="CI43" s="39">
        <f t="shared" si="584"/>
        <v>-0.4919678714859439</v>
      </c>
      <c r="CJ43" s="39">
        <f t="shared" si="584"/>
        <v>1.0172786177105841</v>
      </c>
      <c r="CK43" s="39">
        <f t="shared" si="584"/>
        <v>0.17570522632844954</v>
      </c>
      <c r="CL43" s="39">
        <f t="shared" si="584"/>
        <v>0.25097370983446776</v>
      </c>
      <c r="CM43" s="40">
        <f t="shared" ref="CM43" si="585">+CM41/CI41-1</f>
        <v>0.20846204146269298</v>
      </c>
      <c r="CN43" s="40">
        <f t="shared" ref="CN43" si="586">+CN41/CJ41-1</f>
        <v>0.28377068304002262</v>
      </c>
      <c r="CO43" s="40">
        <f t="shared" ref="CO43" si="587">+CO41/CK41-1</f>
        <v>5.4917409951876772E-2</v>
      </c>
      <c r="CP43" s="40">
        <f t="shared" ref="CP43" si="588">+CP41/CL41-1</f>
        <v>0.42369649068438653</v>
      </c>
      <c r="CQ43" s="40">
        <f t="shared" ref="CQ43" si="589">+CQ41/CM41-1</f>
        <v>0.51197574760310705</v>
      </c>
      <c r="CR43" s="40">
        <f t="shared" ref="CR43" si="590">+CR41/CN41-1</f>
        <v>0.40473924115551907</v>
      </c>
      <c r="CS43" s="40">
        <f t="shared" ref="CS43" si="591">+CS41/CO41-1</f>
        <v>0.38927201185492355</v>
      </c>
      <c r="CT43" s="40">
        <f t="shared" ref="CT43" si="592">+CT41/CP41-1</f>
        <v>0.4458683349859216</v>
      </c>
      <c r="CU43" s="40">
        <f t="shared" ref="CU43" si="593">+CU41/CQ41-1</f>
        <v>0.39270263556554963</v>
      </c>
      <c r="CV43" s="40">
        <f t="shared" ref="CV43" si="594">+CV41/CR41-1</f>
        <v>0.3746433420709967</v>
      </c>
      <c r="CW43" s="40">
        <f t="shared" ref="CW43" si="595">+CW41/CS41-1</f>
        <v>0.37516804803920611</v>
      </c>
      <c r="CX43" s="40">
        <f t="shared" ref="CX43" si="596">+CX41/CT41-1</f>
        <v>0.37986686196325992</v>
      </c>
      <c r="CY43" s="40">
        <f t="shared" ref="CY43" si="597">+CY41/CU41-1</f>
        <v>0.370332484947834</v>
      </c>
      <c r="CZ43" s="40">
        <f t="shared" ref="CZ43" si="598">+CZ41/CV41-1</f>
        <v>0.36856038495114163</v>
      </c>
      <c r="DA43" s="40">
        <f t="shared" ref="DA43" si="599">+DA41/CW41-1</f>
        <v>0.3684359220291491</v>
      </c>
      <c r="DB43" s="40">
        <f t="shared" ref="DB43" si="600">+DB41/CX41-1</f>
        <v>0.36726349680700809</v>
      </c>
      <c r="DE43" s="122"/>
      <c r="DF43" s="39">
        <v>0.63960063699194003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 t="e">
        <f t="shared" ref="BN44" si="628">+IF(BM41&lt;0,1-BN41/BM41,BN41/BM41-1)</f>
        <v>#DIV/0!</v>
      </c>
      <c r="BO44" s="39" t="e">
        <f t="shared" ref="BO44" si="629">+IF(BN41&lt;0,1-BO41/BN41,BO41/BN41-1)</f>
        <v>#DIV/0!</v>
      </c>
      <c r="BP44" s="39" t="e">
        <f t="shared" ref="BP44" si="630">+IF(BO41&lt;0,1-BP41/BO41,BP41/BO41-1)</f>
        <v>#DIV/0!</v>
      </c>
      <c r="BQ44" s="39" t="e">
        <f t="shared" ref="BQ44" si="631">+IF(BP41&lt;0,1-BQ41/BP41,BQ41/BP41-1)</f>
        <v>#DIV/0!</v>
      </c>
      <c r="BR44" s="39" t="e">
        <f t="shared" ref="BR44" si="632">+IF(BQ41&lt;0,1-BR41/BQ41,BR41/BQ41-1)</f>
        <v>#DIV/0!</v>
      </c>
      <c r="BS44" s="39" t="e">
        <f t="shared" ref="BS44" si="633">+IF(BR41&lt;0,1-BS41/BR41,BS41/BR41-1)</f>
        <v>#DIV/0!</v>
      </c>
      <c r="BT44" s="39" t="e">
        <f t="shared" ref="BT44" si="634">+IF(BS41&lt;0,1-BT41/BS41,BT41/BS41-1)</f>
        <v>#DIV/0!</v>
      </c>
      <c r="BU44" s="39" t="e">
        <f t="shared" ref="BU44" si="635">+IF(BT41&lt;0,1-BU41/BT41,BU41/BT41-1)</f>
        <v>#DIV/0!</v>
      </c>
      <c r="BV44" s="39">
        <f t="shared" ref="BV44" si="636">+IF(BU41&lt;0,1-BV41/BU41,BV41/BU41-1)</f>
        <v>3.0410958904109577</v>
      </c>
      <c r="BW44" s="39">
        <f t="shared" ref="BW44" si="637">+IF(BV41&lt;0,1-BW41/BV41,BW41/BV41-1)</f>
        <v>3.8418079096044666E-2</v>
      </c>
      <c r="BX44" s="39">
        <f t="shared" ref="BX44" si="638">+IF(BW41&lt;0,1-BX41/BW41,BX41/BW41-1)</f>
        <v>0.31991294885745369</v>
      </c>
      <c r="BY44" s="39">
        <f t="shared" ref="BY44" si="639">+IF(BX41&lt;0,1-BY41/BX41,BY41/BX41-1)</f>
        <v>-3.0502885408079994E-2</v>
      </c>
      <c r="BZ44" s="39">
        <f t="shared" ref="BZ44" si="640">+IF(BY41&lt;0,1-BZ41/BY41,BZ41/BY41-1)</f>
        <v>0.14880952380952528</v>
      </c>
      <c r="CA44" s="39">
        <f t="shared" ref="CA44" si="641">+IF(BZ41&lt;0,1-CA41/BZ41,CA41/BZ41-1)</f>
        <v>-5.6254626202812741E-2</v>
      </c>
      <c r="CB44" s="39">
        <f t="shared" ref="CB44" si="642">+IF(CA41&lt;0,1-CB41/CA41,CB41/CA41-1)</f>
        <v>0.31529411764705828</v>
      </c>
      <c r="CC44" s="39">
        <f t="shared" ref="CC44" si="643">+IF(CB41&lt;0,1-CC41/CB41,CC41/CB41-1)</f>
        <v>0.8831246273106752</v>
      </c>
      <c r="CD44" s="39">
        <f t="shared" ref="CD44" si="644">+IF(CC41&lt;0,1-CD41/CC41,CD41/CC41-1)</f>
        <v>-0.25680810639645335</v>
      </c>
      <c r="CE44" s="39">
        <f t="shared" ref="CE44" si="645">+IF(CD41&lt;0,1-CE41/CD41,CE41/CD41-1)</f>
        <v>3.4559011504047685</v>
      </c>
      <c r="CF44" s="39">
        <f t="shared" ref="CF44" si="646">+IF(CE41&lt;0,1-CF41/CE41,CF41/CE41-1)</f>
        <v>-0.51300439854656732</v>
      </c>
      <c r="CG44" s="39">
        <f t="shared" ref="CG44" si="647">+IF(CF41&lt;0,1-CG41/CF41,CG41/CF41-1)</f>
        <v>0.79579815432947232</v>
      </c>
      <c r="CH44" s="39">
        <f t="shared" ref="CH44:CL44" si="648">+IF(CG41&lt;0,1-CH41/CG41,CH41/CG41-1)</f>
        <v>-0.55084189809752837</v>
      </c>
      <c r="CI44" s="39">
        <f t="shared" si="648"/>
        <v>0.29333008763388313</v>
      </c>
      <c r="CJ44" s="39">
        <f t="shared" si="648"/>
        <v>0.93374741200828226</v>
      </c>
      <c r="CK44" s="39">
        <f t="shared" si="648"/>
        <v>4.6622542339886941E-2</v>
      </c>
      <c r="CL44" s="39">
        <f t="shared" si="648"/>
        <v>-0.52208685948107503</v>
      </c>
      <c r="CM44" s="40">
        <f t="shared" ref="CM44" si="649">+CM41/CL41-1</f>
        <v>0.24937902827228764</v>
      </c>
      <c r="CN44" s="40">
        <f t="shared" ref="CN44" si="650">+CN41/CM41-1</f>
        <v>1.0542542097027763</v>
      </c>
      <c r="CO44" s="40">
        <f t="shared" ref="CO44" si="651">+CO41/CN41-1</f>
        <v>-0.139955167890354</v>
      </c>
      <c r="CP44" s="40">
        <f t="shared" ref="CP44" si="652">+CP41/CO41-1</f>
        <v>-0.35501750697262036</v>
      </c>
      <c r="CQ44" s="40">
        <f t="shared" ref="CQ44" si="653">+CQ41/CP41-1</f>
        <v>0.32684936899967898</v>
      </c>
      <c r="CR44" s="40">
        <f t="shared" ref="CR44" si="654">+CR41/CQ41-1</f>
        <v>0.90855673727109387</v>
      </c>
      <c r="CS44" s="40">
        <f t="shared" ref="CS44" si="655">+CS41/CR41-1</f>
        <v>-0.14942490450573431</v>
      </c>
      <c r="CT44" s="40">
        <f t="shared" ref="CT44" si="656">+CT41/CS41-1</f>
        <v>-0.32874213593100887</v>
      </c>
      <c r="CU44" s="40">
        <f t="shared" ref="CU44" si="657">+CU41/CT41-1</f>
        <v>0.27806008921436987</v>
      </c>
      <c r="CV44" s="40">
        <f t="shared" ref="CV44" si="658">+CV41/CU41-1</f>
        <v>0.88380831977751417</v>
      </c>
      <c r="CW44" s="40">
        <f t="shared" ref="CW44" si="659">+CW41/CV41-1</f>
        <v>-0.14910023714267584</v>
      </c>
      <c r="CX44" s="40">
        <f t="shared" ref="CX44" si="660">+CX41/CW41-1</f>
        <v>-0.32644851385128182</v>
      </c>
      <c r="CY44" s="40">
        <f t="shared" ref="CY44" si="661">+CY41/CX41-1</f>
        <v>0.269229159887173</v>
      </c>
      <c r="CZ44" s="40">
        <f t="shared" ref="CZ44" si="662">+CZ41/CY41-1</f>
        <v>0.88137219806696865</v>
      </c>
      <c r="DA44" s="40">
        <f t="shared" ref="DA44" si="663">+DA41/CZ41-1</f>
        <v>-0.14917762172283211</v>
      </c>
      <c r="DB44" s="40">
        <f t="shared" ref="DB44" si="664">+DB41/DA41-1</f>
        <v>-0.32702558782168756</v>
      </c>
      <c r="DE44" s="122"/>
      <c r="DF44" s="39">
        <v>-0.37361857930225062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-0.15179999999999999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-0.152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-0.152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0</v>
      </c>
      <c r="N48" s="26">
        <f t="shared" si="685"/>
        <v>0</v>
      </c>
      <c r="O48" s="26">
        <f t="shared" si="685"/>
        <v>0</v>
      </c>
      <c r="P48" s="26">
        <f t="shared" si="685"/>
        <v>0</v>
      </c>
      <c r="Q48" s="26">
        <f t="shared" si="685"/>
        <v>0</v>
      </c>
      <c r="R48" s="26">
        <f t="shared" si="685"/>
        <v>0</v>
      </c>
      <c r="S48" s="26">
        <f t="shared" si="685"/>
        <v>0</v>
      </c>
      <c r="T48" s="26">
        <f t="shared" si="685"/>
        <v>0</v>
      </c>
      <c r="U48" s="26">
        <f t="shared" si="685"/>
        <v>-1E-3</v>
      </c>
      <c r="V48" s="26">
        <f>V41+V45+V46+V47</f>
        <v>3.5000000000000005E-3</v>
      </c>
      <c r="W48" s="26">
        <f>W41+W45+W46+W47</f>
        <v>1.1052999999999988</v>
      </c>
      <c r="X48" s="26">
        <f>X41+X45+X46+X47</f>
        <v>4.6895000000000042</v>
      </c>
      <c r="Y48" s="26">
        <f>Y41+Y45+Y46+Y47</f>
        <v>8.4585000000000043</v>
      </c>
      <c r="Z48" s="26">
        <f>Z41+Z45+Z46+Z47</f>
        <v>28.80680000000001</v>
      </c>
      <c r="AA48" s="26">
        <f>AA41+AA45+AA46+AA47</f>
        <v>31.329700000000003</v>
      </c>
      <c r="AB48" s="27">
        <f t="shared" ref="AA48:AD48" si="686">AB41+AB45+AB46+AB47</f>
        <v>38.269921998684062</v>
      </c>
      <c r="AC48" s="27">
        <f t="shared" si="686"/>
        <v>54.573242479630323</v>
      </c>
      <c r="AD48" s="27">
        <f t="shared" si="686"/>
        <v>75.257585223598539</v>
      </c>
      <c r="AE48" s="27">
        <f t="shared" ref="AE48" si="687">AE41+AE45+AE46+AE47</f>
        <v>102.99688064436081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0</v>
      </c>
      <c r="BN48" s="26">
        <f t="shared" si="692"/>
        <v>0</v>
      </c>
      <c r="BO48" s="26">
        <f t="shared" si="692"/>
        <v>0</v>
      </c>
      <c r="BP48" s="26">
        <f t="shared" si="692"/>
        <v>0</v>
      </c>
      <c r="BQ48" s="26">
        <f t="shared" si="692"/>
        <v>0</v>
      </c>
      <c r="BR48" s="26">
        <f t="shared" si="692"/>
        <v>0</v>
      </c>
      <c r="BS48" s="26">
        <f t="shared" si="692"/>
        <v>0</v>
      </c>
      <c r="BT48" s="26">
        <f t="shared" si="692"/>
        <v>0</v>
      </c>
      <c r="BU48" s="26">
        <f t="shared" si="692"/>
        <v>0.21900000000000019</v>
      </c>
      <c r="BV48" s="26">
        <f t="shared" si="692"/>
        <v>0.88500000000000045</v>
      </c>
      <c r="BW48" s="26">
        <f t="shared" si="692"/>
        <v>0.91900000000000004</v>
      </c>
      <c r="BX48" s="26">
        <f t="shared" si="692"/>
        <v>1.2130000000000001</v>
      </c>
      <c r="BY48" s="26">
        <f t="shared" si="692"/>
        <v>1.175999999999999</v>
      </c>
      <c r="BZ48" s="26">
        <f t="shared" si="692"/>
        <v>1.3510000000000006</v>
      </c>
      <c r="CA48" s="26">
        <f t="shared" si="692"/>
        <v>1.2750000000000006</v>
      </c>
      <c r="CB48" s="26">
        <f t="shared" si="692"/>
        <v>1.677</v>
      </c>
      <c r="CC48" s="26">
        <f t="shared" si="692"/>
        <v>3.1580000000000026</v>
      </c>
      <c r="CD48" s="26">
        <f t="shared" si="692"/>
        <v>2.3470000000000022</v>
      </c>
      <c r="CE48" s="26">
        <f t="shared" ref="CE48:CF48" si="693">CE41+CE45+CE46+CE47</f>
        <v>10.458000000000002</v>
      </c>
      <c r="CF48" s="26">
        <f t="shared" si="693"/>
        <v>5.0929999999999991</v>
      </c>
      <c r="CG48" s="26">
        <f t="shared" ref="CG48:CH48" si="694">CG41+CG45+CG46+CG47</f>
        <v>9.1460000000000008</v>
      </c>
      <c r="CH48" s="26">
        <f t="shared" si="694"/>
        <v>4.1080000000000059</v>
      </c>
      <c r="CI48" s="26">
        <f t="shared" ref="CI48:CJ48" si="695">CI41+CI45+CI46+CI47</f>
        <v>5.3129999999999997</v>
      </c>
      <c r="CJ48" s="26">
        <f t="shared" si="695"/>
        <v>10.274000000000003</v>
      </c>
      <c r="CK48" s="26">
        <f t="shared" ref="CK48:CL48" si="696">CK41+CK45+CK46+CK47</f>
        <v>10.601000000000001</v>
      </c>
      <c r="CL48" s="26">
        <f t="shared" si="696"/>
        <v>5.1390000000000011</v>
      </c>
      <c r="CM48" s="27">
        <f t="shared" ref="CM48:DB48" si="697">CM41+CM45+CM46+CM47</f>
        <v>6.4205588262912876</v>
      </c>
      <c r="CN48" s="27">
        <f t="shared" si="697"/>
        <v>13.189459997553195</v>
      </c>
      <c r="CO48" s="27">
        <f t="shared" si="697"/>
        <v>11.34352690921253</v>
      </c>
      <c r="CP48" s="27">
        <f t="shared" si="697"/>
        <v>7.3163762656270634</v>
      </c>
      <c r="CQ48" s="27">
        <f t="shared" si="697"/>
        <v>9.7077292314114967</v>
      </c>
      <c r="CR48" s="27">
        <f t="shared" si="697"/>
        <v>18.52775202821395</v>
      </c>
      <c r="CS48" s="27">
        <f t="shared" si="697"/>
        <v>15.759244450692155</v>
      </c>
      <c r="CT48" s="27">
        <f t="shared" si="697"/>
        <v>10.578516769312717</v>
      </c>
      <c r="CU48" s="27">
        <f t="shared" si="697"/>
        <v>13.519980085943519</v>
      </c>
      <c r="CV48" s="27">
        <f t="shared" si="697"/>
        <v>25.469050969126712</v>
      </c>
      <c r="CW48" s="27">
        <f t="shared" si="697"/>
        <v>21.671609429831022</v>
      </c>
      <c r="CX48" s="27">
        <f t="shared" si="697"/>
        <v>14.59694473869726</v>
      </c>
      <c r="CY48" s="27">
        <f t="shared" si="697"/>
        <v>18.526867907616214</v>
      </c>
      <c r="CZ48" s="27">
        <f t="shared" si="697"/>
        <v>34.855934198648299</v>
      </c>
      <c r="DA48" s="27">
        <f t="shared" si="697"/>
        <v>29.656208831966417</v>
      </c>
      <c r="DB48" s="27">
        <f t="shared" si="697"/>
        <v>19.957869706129877</v>
      </c>
      <c r="DE48" s="121"/>
      <c r="DF48" s="26">
        <v>6.7354794167628995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-1E-3</v>
      </c>
      <c r="V51" s="22">
        <f>'Annual Raw'!W35</f>
        <v>3.5000000000000001E-3</v>
      </c>
      <c r="W51" s="22">
        <f>'Annual Raw'!X35</f>
        <v>1.1052999999999999</v>
      </c>
      <c r="X51" s="22">
        <f>'Annual Raw'!Y35</f>
        <v>4.6894999999999998</v>
      </c>
      <c r="Y51" s="22">
        <f>'Annual Raw'!Z35</f>
        <v>8.4585000000000008</v>
      </c>
      <c r="Z51" s="22">
        <f>'Annual Raw'!AA35</f>
        <v>28.806799999999999</v>
      </c>
      <c r="AA51" s="22">
        <f>'Annual Raw'!AB35</f>
        <v>31.329699999999999</v>
      </c>
      <c r="AB51" s="21">
        <f t="shared" ref="AA51:AD51" si="698">+AB48</f>
        <v>38.269921998684062</v>
      </c>
      <c r="AC51" s="21">
        <f t="shared" si="698"/>
        <v>54.573242479630323</v>
      </c>
      <c r="AD51" s="21">
        <f t="shared" si="698"/>
        <v>75.257585223598539</v>
      </c>
      <c r="AE51" s="21">
        <f t="shared" ref="AE51" si="699">+AE48</f>
        <v>102.99688064436081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0.219000000000001</v>
      </c>
      <c r="BV51" s="22">
        <f>'QTR Raw'!AP42</f>
        <v>0.88500000000000001</v>
      </c>
      <c r="BW51" s="22">
        <f>'QTR Raw'!AQ42</f>
        <v>0.91900000000000004</v>
      </c>
      <c r="BX51" s="22">
        <f>'QTR Raw'!AR42</f>
        <v>1.2130000000000001</v>
      </c>
      <c r="BY51" s="22">
        <f>'QTR Raw'!AS42</f>
        <v>1.1759999999999999</v>
      </c>
      <c r="BZ51" s="22">
        <f>'QTR Raw'!AT42</f>
        <v>1.35</v>
      </c>
      <c r="CA51" s="22">
        <f>'QTR Raw'!AU42</f>
        <v>1.2749999999999999</v>
      </c>
      <c r="CB51" s="22">
        <f>'QTR Raw'!AV42</f>
        <v>1.6779999999999999</v>
      </c>
      <c r="CC51" s="22">
        <f>'QTR Raw'!AW42</f>
        <v>3.1579999999999999</v>
      </c>
      <c r="CD51" s="22">
        <f>'QTR Raw'!AX42</f>
        <v>2.347</v>
      </c>
      <c r="CE51" s="22">
        <f>'QTR Raw'!AY42</f>
        <v>10.458</v>
      </c>
      <c r="CF51" s="22">
        <f>'QTR Raw'!AZ42</f>
        <v>5.093</v>
      </c>
      <c r="CG51" s="22">
        <f>'QTR Raw'!BA42</f>
        <v>9.1460000000000008</v>
      </c>
      <c r="CH51" s="22">
        <f>'QTR Raw'!BB42</f>
        <v>4.109</v>
      </c>
      <c r="CI51" s="22">
        <f>'QTR Raw'!BC42</f>
        <v>5.3129999999999997</v>
      </c>
      <c r="CJ51" s="22">
        <f>'QTR Raw'!BD42</f>
        <v>10.273999999999999</v>
      </c>
      <c r="CK51" s="22">
        <f>'QTR Raw'!BE42</f>
        <v>10.6</v>
      </c>
      <c r="CL51" s="22">
        <f>'QTR Raw'!BF42</f>
        <v>5.1390000000000002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31.326999999999984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8.0491169285323849E-16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-1.000000000000556E-3</v>
      </c>
      <c r="CA52" s="25">
        <f t="shared" si="710"/>
        <v>0</v>
      </c>
      <c r="CB52" s="25">
        <f t="shared" si="710"/>
        <v>9.9999999999988987E-4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9.9999999999411671E-4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-1.0000000000012221E-3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 t="e">
        <f t="shared" si="715"/>
        <v>#DIV/0!</v>
      </c>
      <c r="K54" s="39" t="e">
        <f t="shared" si="715"/>
        <v>#DIV/0!</v>
      </c>
      <c r="L54" s="39" t="e">
        <f t="shared" si="715"/>
        <v>#DIV/0!</v>
      </c>
      <c r="M54" s="39" t="e">
        <f t="shared" si="715"/>
        <v>#DIV/0!</v>
      </c>
      <c r="N54" s="39" t="e">
        <f t="shared" si="715"/>
        <v>#DIV/0!</v>
      </c>
      <c r="O54" s="39" t="e">
        <f t="shared" si="715"/>
        <v>#DIV/0!</v>
      </c>
      <c r="P54" s="39" t="e">
        <f t="shared" si="715"/>
        <v>#DIV/0!</v>
      </c>
      <c r="Q54" s="39" t="e">
        <f t="shared" si="715"/>
        <v>#DIV/0!</v>
      </c>
      <c r="R54" s="39" t="e">
        <f t="shared" si="715"/>
        <v>#DIV/0!</v>
      </c>
      <c r="S54" s="39" t="e">
        <f t="shared" si="715"/>
        <v>#DIV/0!</v>
      </c>
      <c r="T54" s="39" t="e">
        <f t="shared" si="715"/>
        <v>#DIV/0!</v>
      </c>
      <c r="U54" s="39">
        <f t="shared" si="715"/>
        <v>-7.8125E-2</v>
      </c>
      <c r="V54" s="39">
        <f t="shared" si="715"/>
        <v>0.21604938271604943</v>
      </c>
      <c r="W54" s="39">
        <f t="shared" si="715"/>
        <v>0.98705125915341929</v>
      </c>
      <c r="X54" s="39">
        <f t="shared" si="715"/>
        <v>0.22783475603534992</v>
      </c>
      <c r="Y54" s="39">
        <f t="shared" si="715"/>
        <v>0.29125762276482131</v>
      </c>
      <c r="Z54" s="39">
        <f t="shared" si="715"/>
        <v>0.28897509281635064</v>
      </c>
      <c r="AA54" s="39">
        <f t="shared" ref="AA54" si="716">(AA48-AA47)/AA120</f>
        <v>0.2218508441276103</v>
      </c>
      <c r="AB54" s="40">
        <f t="shared" si="715"/>
        <v>0.21240544455131288</v>
      </c>
      <c r="AC54" s="40">
        <f t="shared" si="715"/>
        <v>0.23247668444008712</v>
      </c>
      <c r="AD54" s="40">
        <f t="shared" si="715"/>
        <v>0.24276268442971585</v>
      </c>
      <c r="AE54" s="40">
        <f t="shared" si="715"/>
        <v>0.24938613573511789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 t="e">
        <f t="shared" si="717"/>
        <v>#DIV/0!</v>
      </c>
      <c r="BN54" s="39" t="e">
        <f t="shared" si="717"/>
        <v>#DIV/0!</v>
      </c>
      <c r="BO54" s="39" t="e">
        <f t="shared" si="717"/>
        <v>#DIV/0!</v>
      </c>
      <c r="BP54" s="39" t="e">
        <f t="shared" si="717"/>
        <v>#DIV/0!</v>
      </c>
      <c r="BQ54" s="39" t="e">
        <f t="shared" si="717"/>
        <v>#DIV/0!</v>
      </c>
      <c r="BR54" s="39" t="e">
        <f t="shared" ref="BR54:CW54" si="718">(SUM(BO48:BR48)-SUM(BO47:BR47))/BR120</f>
        <v>#DIV/0!</v>
      </c>
      <c r="BS54" s="39" t="e">
        <f t="shared" si="718"/>
        <v>#DIV/0!</v>
      </c>
      <c r="BT54" s="39" t="e">
        <f t="shared" si="718"/>
        <v>#DIV/0!</v>
      </c>
      <c r="BU54" s="39">
        <f t="shared" si="718"/>
        <v>1</v>
      </c>
      <c r="BV54" s="39">
        <f t="shared" si="718"/>
        <v>0.9857142857142861</v>
      </c>
      <c r="BW54" s="39">
        <f t="shared" si="718"/>
        <v>0.99215301618440455</v>
      </c>
      <c r="BX54" s="39" t="e">
        <f t="shared" si="718"/>
        <v>#DIV/0!</v>
      </c>
      <c r="BY54" s="39">
        <f t="shared" si="718"/>
        <v>3.5654761904761929</v>
      </c>
      <c r="BZ54" s="39">
        <f t="shared" si="718"/>
        <v>0.22635184375455475</v>
      </c>
      <c r="CA54" s="39">
        <f t="shared" si="718"/>
        <v>0.2294354469759356</v>
      </c>
      <c r="CB54" s="39">
        <f t="shared" si="718"/>
        <v>0.23282199464581654</v>
      </c>
      <c r="CC54" s="39">
        <f t="shared" si="718"/>
        <v>0.27953242666067224</v>
      </c>
      <c r="CD54" s="39">
        <f t="shared" si="718"/>
        <v>0.29120898040701093</v>
      </c>
      <c r="CE54" s="39">
        <f t="shared" si="718"/>
        <v>0.44659358464771276</v>
      </c>
      <c r="CF54" s="39">
        <f t="shared" si="718"/>
        <v>0.24356275303643729</v>
      </c>
      <c r="CG54" s="39">
        <f t="shared" si="718"/>
        <v>0.28289886606134151</v>
      </c>
      <c r="CH54" s="39">
        <f t="shared" si="718"/>
        <v>0.28895703613643237</v>
      </c>
      <c r="CI54" s="39">
        <f t="shared" si="718"/>
        <v>0.22533526477846008</v>
      </c>
      <c r="CJ54" s="39">
        <f t="shared" si="718"/>
        <v>0.22861559193056166</v>
      </c>
      <c r="CK54" s="39">
        <f t="shared" si="718"/>
        <v>0.22264471028693444</v>
      </c>
      <c r="CL54" s="39">
        <f t="shared" si="718"/>
        <v>0.2218330702446725</v>
      </c>
      <c r="CM54" s="40">
        <f t="shared" si="718"/>
        <v>0.21969766223579126</v>
      </c>
      <c r="CN54" s="40">
        <f t="shared" si="718"/>
        <v>0.21980766178919009</v>
      </c>
      <c r="CO54" s="40">
        <f t="shared" si="718"/>
        <v>0.20879936470227653</v>
      </c>
      <c r="CP54" s="40">
        <f t="shared" si="718"/>
        <v>0.21240544455131294</v>
      </c>
      <c r="CQ54" s="40">
        <f t="shared" si="718"/>
        <v>0.21885786296141937</v>
      </c>
      <c r="CR54" s="40">
        <f t="shared" si="718"/>
        <v>0.22501568403965608</v>
      </c>
      <c r="CS54" s="40">
        <f t="shared" si="718"/>
        <v>0.22889508635727129</v>
      </c>
      <c r="CT54" s="40">
        <f t="shared" si="718"/>
        <v>0.23247668444008704</v>
      </c>
      <c r="CU54" s="40">
        <f t="shared" si="718"/>
        <v>0.23517204999733932</v>
      </c>
      <c r="CV54" s="40">
        <f t="shared" si="718"/>
        <v>0.23864871851449365</v>
      </c>
      <c r="CW54" s="40">
        <f t="shared" si="718"/>
        <v>0.24115529805681579</v>
      </c>
      <c r="CX54" s="40">
        <f t="shared" ref="CX54:DB54" si="719">(SUM(CU48:CX48)-SUM(CU47:CX47))/CX120</f>
        <v>0.24276268442971574</v>
      </c>
      <c r="CY54" s="40">
        <f t="shared" si="719"/>
        <v>0.24431278069761989</v>
      </c>
      <c r="CZ54" s="40">
        <f t="shared" si="719"/>
        <v>0.246710036787714</v>
      </c>
      <c r="DA54" s="40">
        <f t="shared" si="719"/>
        <v>0.24840988575396822</v>
      </c>
      <c r="DB54" s="40">
        <f t="shared" si="719"/>
        <v>0.24938613573511786</v>
      </c>
      <c r="DE54" s="122"/>
      <c r="DF54" s="38">
        <v>0.23050483242072542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 t="e">
        <f t="shared" si="720"/>
        <v>#DIV/0!</v>
      </c>
      <c r="K55" s="39" t="e">
        <f t="shared" si="720"/>
        <v>#DIV/0!</v>
      </c>
      <c r="L55" s="39" t="e">
        <f t="shared" si="720"/>
        <v>#DIV/0!</v>
      </c>
      <c r="M55" s="39" t="e">
        <f t="shared" si="720"/>
        <v>#DIV/0!</v>
      </c>
      <c r="N55" s="39" t="e">
        <f t="shared" si="720"/>
        <v>#DIV/0!</v>
      </c>
      <c r="O55" s="39" t="e">
        <f t="shared" si="720"/>
        <v>#DIV/0!</v>
      </c>
      <c r="P55" s="39" t="e">
        <f t="shared" si="720"/>
        <v>#DIV/0!</v>
      </c>
      <c r="Q55" s="39" t="e">
        <f t="shared" si="720"/>
        <v>#DIV/0!</v>
      </c>
      <c r="R55" s="39" t="e">
        <f t="shared" si="720"/>
        <v>#DIV/0!</v>
      </c>
      <c r="S55" s="39" t="e">
        <f t="shared" si="720"/>
        <v>#DIV/0!</v>
      </c>
      <c r="T55" s="39" t="e">
        <f t="shared" si="720"/>
        <v>#DIV/0!</v>
      </c>
      <c r="U55" s="39">
        <f t="shared" si="720"/>
        <v>-6.097560975609756E-2</v>
      </c>
      <c r="V55" s="39">
        <f t="shared" si="720"/>
        <v>0.19696969696969699</v>
      </c>
      <c r="W55" s="39">
        <f t="shared" si="720"/>
        <v>0.23366912290520148</v>
      </c>
      <c r="X55" s="39">
        <f t="shared" si="720"/>
        <v>0.2978383975967685</v>
      </c>
      <c r="Y55" s="39">
        <f t="shared" si="720"/>
        <v>0.36224108460123633</v>
      </c>
      <c r="Z55" s="39">
        <f t="shared" si="720"/>
        <v>0.370022500629476</v>
      </c>
      <c r="AA55" s="39">
        <f t="shared" ref="AA55" si="721">+AA34/AA129</f>
        <v>0.26876146462500328</v>
      </c>
      <c r="AB55" s="40">
        <f t="shared" si="720"/>
        <v>0.27836604947030635</v>
      </c>
      <c r="AC55" s="40">
        <f t="shared" si="720"/>
        <v>0.30754734639757425</v>
      </c>
      <c r="AD55" s="40">
        <f t="shared" si="720"/>
        <v>0.32281707476666982</v>
      </c>
      <c r="AE55" s="40">
        <f t="shared" si="720"/>
        <v>0.33279981639788209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 t="e">
        <f t="shared" si="722"/>
        <v>#DIV/0!</v>
      </c>
      <c r="BN55" s="39" t="e">
        <f t="shared" si="722"/>
        <v>#DIV/0!</v>
      </c>
      <c r="BO55" s="39" t="e">
        <f t="shared" si="722"/>
        <v>#DIV/0!</v>
      </c>
      <c r="BP55" s="39" t="e">
        <f t="shared" si="722"/>
        <v>#DIV/0!</v>
      </c>
      <c r="BQ55" s="39" t="e">
        <f t="shared" si="722"/>
        <v>#DIV/0!</v>
      </c>
      <c r="BR55" s="39" t="e">
        <f t="shared" ref="BR55:CW55" si="723">+SUM(BO34:BR34)/BR129</f>
        <v>#DIV/0!</v>
      </c>
      <c r="BS55" s="39" t="e">
        <f t="shared" si="723"/>
        <v>#DIV/0!</v>
      </c>
      <c r="BT55" s="39" t="e">
        <f t="shared" si="723"/>
        <v>#DIV/0!</v>
      </c>
      <c r="BU55" s="39">
        <f t="shared" si="723"/>
        <v>1.3378995433789951</v>
      </c>
      <c r="BV55" s="39">
        <f t="shared" si="723"/>
        <v>0.23363904865537083</v>
      </c>
      <c r="BW55" s="39">
        <f t="shared" si="723"/>
        <v>0.37976060935799794</v>
      </c>
      <c r="BX55" s="39" t="e">
        <f t="shared" si="723"/>
        <v>#DIV/0!</v>
      </c>
      <c r="BY55" s="39">
        <f t="shared" si="723"/>
        <v>4.9532312925170103</v>
      </c>
      <c r="BZ55" s="39">
        <f t="shared" si="723"/>
        <v>0.29788226513667321</v>
      </c>
      <c r="CA55" s="39">
        <f t="shared" si="723"/>
        <v>0.28406639369524062</v>
      </c>
      <c r="CB55" s="39">
        <f t="shared" si="723"/>
        <v>0.30336123741129473</v>
      </c>
      <c r="CC55" s="39">
        <f t="shared" si="723"/>
        <v>0.35933460717095667</v>
      </c>
      <c r="CD55" s="39">
        <f t="shared" si="723"/>
        <v>0.35415312621864048</v>
      </c>
      <c r="CE55" s="39">
        <f t="shared" si="723"/>
        <v>0.57256851806936704</v>
      </c>
      <c r="CF55" s="39">
        <f t="shared" si="723"/>
        <v>0.31630411517534274</v>
      </c>
      <c r="CG55" s="39">
        <f t="shared" si="723"/>
        <v>0.36175254046877392</v>
      </c>
      <c r="CH55" s="39">
        <f t="shared" si="723"/>
        <v>0.36967039537106988</v>
      </c>
      <c r="CI55" s="39">
        <f t="shared" si="723"/>
        <v>0.27484997490454688</v>
      </c>
      <c r="CJ55" s="39">
        <f t="shared" si="723"/>
        <v>0.2747730965875313</v>
      </c>
      <c r="CK55" s="39">
        <f t="shared" si="723"/>
        <v>0.26431015823802984</v>
      </c>
      <c r="CL55" s="39">
        <f t="shared" si="723"/>
        <v>0.26815311760063149</v>
      </c>
      <c r="CM55" s="40">
        <f t="shared" si="723"/>
        <v>0.26893089536699377</v>
      </c>
      <c r="CN55" s="40">
        <f t="shared" si="723"/>
        <v>0.27524770626031941</v>
      </c>
      <c r="CO55" s="40">
        <f t="shared" si="723"/>
        <v>0.27144403028624065</v>
      </c>
      <c r="CP55" s="40">
        <f t="shared" si="723"/>
        <v>0.27836604947030641</v>
      </c>
      <c r="CQ55" s="40">
        <f t="shared" si="723"/>
        <v>0.28691501622564924</v>
      </c>
      <c r="CR55" s="40">
        <f t="shared" si="723"/>
        <v>0.29598745465894638</v>
      </c>
      <c r="CS55" s="40">
        <f t="shared" si="723"/>
        <v>0.30261075124913639</v>
      </c>
      <c r="CT55" s="40">
        <f t="shared" si="723"/>
        <v>0.3075473463975742</v>
      </c>
      <c r="CU55" s="40">
        <f t="shared" si="723"/>
        <v>0.31081504771490015</v>
      </c>
      <c r="CV55" s="40">
        <f t="shared" si="723"/>
        <v>0.31583845765833912</v>
      </c>
      <c r="CW55" s="40">
        <f t="shared" si="723"/>
        <v>0.32039932740885468</v>
      </c>
      <c r="CX55" s="40">
        <f t="shared" ref="CX55:DB55" si="724">+SUM(CU34:CX34)/CX129</f>
        <v>0.32281707476666976</v>
      </c>
      <c r="CY55" s="40">
        <f t="shared" si="724"/>
        <v>0.3243994872072109</v>
      </c>
      <c r="CZ55" s="40">
        <f t="shared" si="724"/>
        <v>0.32780584534037105</v>
      </c>
      <c r="DA55" s="40">
        <f t="shared" si="724"/>
        <v>0.33123903126451709</v>
      </c>
      <c r="DB55" s="40">
        <f t="shared" si="724"/>
        <v>0.33279981639788209</v>
      </c>
      <c r="DE55" s="122"/>
      <c r="DF55" s="38">
        <v>0.27185146362971846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6.0000000000000001E-3</v>
      </c>
      <c r="W58" s="9">
        <f>W10-SUM(BS10:BV10)</f>
        <v>-7.0000000000014495E-4</v>
      </c>
      <c r="X58" s="9">
        <f>X10-SUM(BW10:BZ10)</f>
        <v>6.0000000000215437E-4</v>
      </c>
      <c r="Y58" s="9">
        <f>Y10-SUM(CA10:CD10)</f>
        <v>2.0399999999995089E-2</v>
      </c>
      <c r="Z58" s="9">
        <f>Z10-SUM(CE10:CH10)</f>
        <v>-1.4600000000001501E-2</v>
      </c>
      <c r="AA58" s="9">
        <f>AA10-SUM(CF10:CI10)</f>
        <v>40.208399999999983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6.0000000000000001E-3</v>
      </c>
      <c r="W59" s="9">
        <f>W16-SUM(BS16:BV16)</f>
        <v>0.22859999999999836</v>
      </c>
      <c r="X59" s="9">
        <f>X16-SUM(BW16:BZ16)</f>
        <v>8.0000000000524096E-4</v>
      </c>
      <c r="Y59" s="9">
        <f>Y16-SUM(CA16:CD16)</f>
        <v>2.1300000000003649E-2</v>
      </c>
      <c r="Z59" s="9">
        <f>Z16-SUM(CE16:CH16)</f>
        <v>-1.3900000000006685E-2</v>
      </c>
      <c r="AA59" s="9">
        <f>AA16-SUM(CF16:CI16)</f>
        <v>18.773499999999999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0</v>
      </c>
      <c r="Q60" s="9">
        <f>Q28-SUM(AU28:AX28)</f>
        <v>0</v>
      </c>
      <c r="R60" s="9">
        <f>R28-SUM(AY28:BB28)</f>
        <v>0</v>
      </c>
      <c r="S60" s="9">
        <f>S28-SUM(BC28:BF28)</f>
        <v>0</v>
      </c>
      <c r="T60" s="9">
        <f>T28-SUM(BG28:BJ28)</f>
        <v>0</v>
      </c>
      <c r="U60" s="9">
        <f>U28-SUM(BK28:BN28)</f>
        <v>-7.9999999999999993E-4</v>
      </c>
      <c r="V60" s="9">
        <f>V28-SUM(BO28:BR28)</f>
        <v>3.9000000000000003E-3</v>
      </c>
      <c r="W60" s="9">
        <f>W28-SUM(BS28:BV28)</f>
        <v>-4.0000000000151026E-4</v>
      </c>
      <c r="X60" s="9">
        <f>X28-SUM(BW28:BZ28)</f>
        <v>1.0000000000420783E-4</v>
      </c>
      <c r="Y60" s="9">
        <f>Y28-SUM(CA28:CD28)</f>
        <v>0.24820000000000064</v>
      </c>
      <c r="Z60" s="9">
        <f>Z28-SUM(CE28:CH28)</f>
        <v>3.5399999999995657E-2</v>
      </c>
      <c r="AA60" s="9">
        <f>AA28-SUM(CF28:CI28)</f>
        <v>10.091200000000004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-1E-3</v>
      </c>
      <c r="V61" s="9">
        <f>V48-SUM(BO48:BR48)</f>
        <v>3.5000000000000005E-3</v>
      </c>
      <c r="W61" s="9">
        <f>W41-SUM(BS41:BV41)</f>
        <v>1.2999999999983025E-3</v>
      </c>
      <c r="X61" s="9">
        <f>X41-SUM(BW41:BZ41)</f>
        <v>3.0500000000004412E-2</v>
      </c>
      <c r="Y61" s="9">
        <f>Y41-SUM(CA41:CD41)</f>
        <v>1.5000000000000568E-3</v>
      </c>
      <c r="Z61" s="9">
        <f>Z41-SUM(CE41:CH41)</f>
        <v>1.8000000000029104E-3</v>
      </c>
      <c r="AA61" s="9">
        <f>AA41-SUM(CF41:CI41)</f>
        <v>7.8214999999999968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10.47</v>
      </c>
      <c r="AJ63" s="3">
        <f t="shared" si="730"/>
        <v>10.47</v>
      </c>
      <c r="AK63" s="3">
        <f t="shared" si="730"/>
        <v>10.47</v>
      </c>
      <c r="AL63" s="3">
        <f t="shared" si="730"/>
        <v>10.47</v>
      </c>
      <c r="AM63" s="3">
        <f t="shared" si="730"/>
        <v>10.47</v>
      </c>
      <c r="AN63" s="3">
        <f t="shared" si="730"/>
        <v>10.47</v>
      </c>
      <c r="AO63" s="3">
        <f t="shared" si="730"/>
        <v>10.47</v>
      </c>
      <c r="AP63" s="3">
        <f t="shared" si="730"/>
        <v>10.47</v>
      </c>
      <c r="AQ63" s="3">
        <f t="shared" si="730"/>
        <v>10.47</v>
      </c>
      <c r="AR63" s="3">
        <f t="shared" si="730"/>
        <v>10.47</v>
      </c>
      <c r="AS63" s="3">
        <f t="shared" si="730"/>
        <v>10.47</v>
      </c>
      <c r="AT63" s="3">
        <f t="shared" si="730"/>
        <v>10.47</v>
      </c>
      <c r="AU63" s="3">
        <f t="shared" si="730"/>
        <v>10.47</v>
      </c>
      <c r="AV63" s="3">
        <f t="shared" si="730"/>
        <v>10.47</v>
      </c>
      <c r="AW63" s="3">
        <f t="shared" si="730"/>
        <v>10.47</v>
      </c>
      <c r="AX63" s="3">
        <f t="shared" si="730"/>
        <v>10.47</v>
      </c>
      <c r="AY63" s="3">
        <f t="shared" si="730"/>
        <v>10.47</v>
      </c>
      <c r="AZ63" s="3">
        <f t="shared" si="730"/>
        <v>10.47</v>
      </c>
      <c r="BA63" s="3">
        <f t="shared" si="730"/>
        <v>10.47</v>
      </c>
      <c r="BB63" s="3">
        <f t="shared" si="730"/>
        <v>10.47</v>
      </c>
      <c r="BC63" s="3">
        <f t="shared" si="730"/>
        <v>10.47</v>
      </c>
      <c r="BD63" s="3">
        <f t="shared" si="730"/>
        <v>10.47</v>
      </c>
      <c r="BE63" s="3">
        <f t="shared" si="730"/>
        <v>10.47</v>
      </c>
      <c r="BF63" s="3">
        <f t="shared" si="730"/>
        <v>10.47</v>
      </c>
      <c r="BG63" s="3">
        <f t="shared" si="730"/>
        <v>10.47</v>
      </c>
      <c r="BH63" s="3">
        <f t="shared" si="730"/>
        <v>10.47</v>
      </c>
      <c r="BI63" s="3">
        <f t="shared" si="730"/>
        <v>10.47</v>
      </c>
      <c r="BJ63" s="3">
        <f t="shared" si="730"/>
        <v>10.47</v>
      </c>
      <c r="BK63" s="3">
        <f t="shared" si="730"/>
        <v>10.47</v>
      </c>
      <c r="BL63" s="3">
        <f t="shared" si="730"/>
        <v>10.47</v>
      </c>
      <c r="BM63" s="3">
        <f t="shared" si="730"/>
        <v>10.47</v>
      </c>
      <c r="BN63" s="3">
        <f t="shared" si="730"/>
        <v>10.47</v>
      </c>
      <c r="BO63" s="3">
        <f t="shared" si="730"/>
        <v>10.47</v>
      </c>
      <c r="BP63" s="3">
        <f t="shared" si="730"/>
        <v>10.47</v>
      </c>
      <c r="BQ63" s="3">
        <f t="shared" si="730"/>
        <v>10.47</v>
      </c>
      <c r="BR63" s="3">
        <f t="shared" si="730"/>
        <v>10.47</v>
      </c>
      <c r="BS63" s="3">
        <f t="shared" si="730"/>
        <v>10.47</v>
      </c>
      <c r="BT63" s="3">
        <f t="shared" si="730"/>
        <v>10.47</v>
      </c>
      <c r="BU63" s="3">
        <f t="shared" si="730"/>
        <v>10.47</v>
      </c>
      <c r="BV63" s="3">
        <f t="shared" si="730"/>
        <v>10.47</v>
      </c>
      <c r="BW63" s="3">
        <f t="shared" si="730"/>
        <v>10.47</v>
      </c>
      <c r="BX63" s="3">
        <f t="shared" si="730"/>
        <v>10.47</v>
      </c>
      <c r="BY63" s="3">
        <f t="shared" si="730"/>
        <v>10.47</v>
      </c>
      <c r="BZ63" s="3">
        <f t="shared" si="730"/>
        <v>10.47</v>
      </c>
      <c r="CA63" s="3">
        <f t="shared" si="730"/>
        <v>10.47</v>
      </c>
      <c r="CB63" s="3">
        <f t="shared" si="730"/>
        <v>10.47</v>
      </c>
      <c r="CC63" s="3">
        <f t="shared" si="730"/>
        <v>10.47</v>
      </c>
      <c r="CD63" s="3">
        <f t="shared" si="730"/>
        <v>10.47</v>
      </c>
      <c r="CE63" s="3">
        <f t="shared" si="730"/>
        <v>10.47</v>
      </c>
      <c r="CF63" s="3">
        <f t="shared" si="730"/>
        <v>10.47</v>
      </c>
      <c r="CG63" s="3">
        <f t="shared" si="730"/>
        <v>10.47</v>
      </c>
      <c r="CH63" s="3">
        <f t="shared" si="730"/>
        <v>10.47</v>
      </c>
      <c r="CI63" s="3">
        <f>+CJ63</f>
        <v>10.47</v>
      </c>
      <c r="CJ63" s="3">
        <f>'QTR Raw'!BD45</f>
        <v>10.47</v>
      </c>
      <c r="CK63" s="3">
        <f>'QTR Raw'!BE45</f>
        <v>10.47</v>
      </c>
      <c r="CL63" s="3">
        <f>'QTR Raw'!BF45</f>
        <v>10.47</v>
      </c>
      <c r="CM63" s="37">
        <f t="shared" ref="CM63:CM64" si="731">+CL63</f>
        <v>10.47</v>
      </c>
      <c r="CN63" s="37">
        <f t="shared" ref="CN63:CN64" si="732">+CM63</f>
        <v>10.47</v>
      </c>
      <c r="CO63" s="37">
        <f t="shared" ref="CO63:CO64" si="733">+CN63</f>
        <v>10.47</v>
      </c>
      <c r="CP63" s="37">
        <f t="shared" ref="CP63:CP64" si="734">+CO63</f>
        <v>10.47</v>
      </c>
      <c r="CQ63" s="37">
        <f t="shared" ref="CQ63:CQ64" si="735">+CP63</f>
        <v>10.47</v>
      </c>
      <c r="CR63" s="37">
        <f t="shared" ref="CR63:CR64" si="736">+CQ63</f>
        <v>10.47</v>
      </c>
      <c r="CS63" s="37">
        <f t="shared" ref="CS63:CS64" si="737">+CR63</f>
        <v>10.47</v>
      </c>
      <c r="CT63" s="37">
        <f t="shared" ref="CT63:CT64" si="738">+CS63</f>
        <v>10.47</v>
      </c>
      <c r="CU63" s="37">
        <f t="shared" ref="CU63:CU64" si="739">+CT63</f>
        <v>10.47</v>
      </c>
      <c r="CV63" s="37">
        <f t="shared" ref="CV63:CV64" si="740">+CU63</f>
        <v>10.47</v>
      </c>
      <c r="CW63" s="37">
        <f t="shared" ref="CW63:CW64" si="741">+CV63</f>
        <v>10.47</v>
      </c>
      <c r="CX63" s="37">
        <f t="shared" ref="CX63:CX64" si="742">+CW63</f>
        <v>10.47</v>
      </c>
      <c r="CY63" s="37">
        <f t="shared" ref="CY63:CY64" si="743">+CX63</f>
        <v>10.47</v>
      </c>
      <c r="CZ63" s="37">
        <f t="shared" ref="CZ63:CZ64" si="744">+CY63</f>
        <v>10.47</v>
      </c>
      <c r="DA63" s="37">
        <f t="shared" ref="DA63:DA64" si="745">+CZ63</f>
        <v>10.47</v>
      </c>
      <c r="DB63" s="37">
        <f t="shared" ref="DB63:DB64" si="746">+DA63</f>
        <v>10.47</v>
      </c>
      <c r="DE63" s="134"/>
      <c r="DF63" s="3">
        <v>10.47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1.0470000000000002</v>
      </c>
      <c r="AJ65" s="3">
        <f t="shared" ref="AJ65" si="755">AJ63/AJ64</f>
        <v>1.0470000000000002</v>
      </c>
      <c r="AK65" s="3">
        <f t="shared" ref="AK65:AM65" si="756">AK63/AK64</f>
        <v>1.0470000000000002</v>
      </c>
      <c r="AL65" s="3">
        <f t="shared" si="756"/>
        <v>1.0470000000000002</v>
      </c>
      <c r="AM65" s="3">
        <f t="shared" si="756"/>
        <v>1.0470000000000002</v>
      </c>
      <c r="AN65" s="3">
        <f t="shared" ref="AN65:AO65" si="757">AN63/AN64</f>
        <v>1.0470000000000002</v>
      </c>
      <c r="AO65" s="3">
        <f t="shared" si="757"/>
        <v>1.0470000000000002</v>
      </c>
      <c r="AP65" s="3">
        <f t="shared" ref="AP65:CD65" si="758">AP63/AP64</f>
        <v>1.0470000000000002</v>
      </c>
      <c r="AQ65" s="3">
        <f t="shared" si="758"/>
        <v>1.0470000000000002</v>
      </c>
      <c r="AR65" s="3">
        <f t="shared" si="758"/>
        <v>1.0470000000000002</v>
      </c>
      <c r="AS65" s="3">
        <f t="shared" si="758"/>
        <v>1.0470000000000002</v>
      </c>
      <c r="AT65" s="3">
        <f t="shared" si="758"/>
        <v>1.0470000000000002</v>
      </c>
      <c r="AU65" s="3">
        <f t="shared" si="758"/>
        <v>1.0470000000000002</v>
      </c>
      <c r="AV65" s="3">
        <f t="shared" si="758"/>
        <v>1.0470000000000002</v>
      </c>
      <c r="AW65" s="3">
        <f t="shared" si="758"/>
        <v>1.0470000000000002</v>
      </c>
      <c r="AX65" s="3">
        <f t="shared" si="758"/>
        <v>1.0470000000000002</v>
      </c>
      <c r="AY65" s="3">
        <f t="shared" si="758"/>
        <v>1.0470000000000002</v>
      </c>
      <c r="AZ65" s="3">
        <f t="shared" si="758"/>
        <v>1.0470000000000002</v>
      </c>
      <c r="BA65" s="3">
        <f t="shared" si="758"/>
        <v>1.0470000000000002</v>
      </c>
      <c r="BB65" s="3">
        <f t="shared" si="758"/>
        <v>1.0470000000000002</v>
      </c>
      <c r="BC65" s="3">
        <f t="shared" si="758"/>
        <v>1.0470000000000002</v>
      </c>
      <c r="BD65" s="3">
        <f t="shared" si="758"/>
        <v>1.0470000000000002</v>
      </c>
      <c r="BE65" s="3">
        <f t="shared" si="758"/>
        <v>1.0470000000000002</v>
      </c>
      <c r="BF65" s="3">
        <f t="shared" si="758"/>
        <v>1.0470000000000002</v>
      </c>
      <c r="BG65" s="3">
        <f t="shared" si="758"/>
        <v>1.0470000000000002</v>
      </c>
      <c r="BH65" s="3">
        <f t="shared" si="758"/>
        <v>1.0470000000000002</v>
      </c>
      <c r="BI65" s="3">
        <f t="shared" si="758"/>
        <v>1.0470000000000002</v>
      </c>
      <c r="BJ65" s="3">
        <f t="shared" si="758"/>
        <v>1.0470000000000002</v>
      </c>
      <c r="BK65" s="3">
        <f t="shared" si="758"/>
        <v>1.0470000000000002</v>
      </c>
      <c r="BL65" s="3">
        <f t="shared" si="758"/>
        <v>1.0470000000000002</v>
      </c>
      <c r="BM65" s="3">
        <f t="shared" si="758"/>
        <v>1.0470000000000002</v>
      </c>
      <c r="BN65" s="3">
        <f t="shared" si="758"/>
        <v>1.0470000000000002</v>
      </c>
      <c r="BO65" s="3">
        <f t="shared" si="758"/>
        <v>1.0470000000000002</v>
      </c>
      <c r="BP65" s="3">
        <f t="shared" si="758"/>
        <v>1.0470000000000002</v>
      </c>
      <c r="BQ65" s="3">
        <f t="shared" si="758"/>
        <v>1.0470000000000002</v>
      </c>
      <c r="BR65" s="3">
        <f t="shared" si="758"/>
        <v>1.0470000000000002</v>
      </c>
      <c r="BS65" s="3">
        <f t="shared" si="758"/>
        <v>1.0470000000000002</v>
      </c>
      <c r="BT65" s="3">
        <f t="shared" si="758"/>
        <v>1.0470000000000002</v>
      </c>
      <c r="BU65" s="3">
        <f t="shared" si="758"/>
        <v>1.0470000000000002</v>
      </c>
      <c r="BV65" s="3">
        <f t="shared" si="758"/>
        <v>1.0470000000000002</v>
      </c>
      <c r="BW65" s="3">
        <f t="shared" si="758"/>
        <v>1.0470000000000002</v>
      </c>
      <c r="BX65" s="3">
        <f t="shared" si="758"/>
        <v>1.0470000000000002</v>
      </c>
      <c r="BY65" s="3">
        <f t="shared" si="758"/>
        <v>1.0470000000000002</v>
      </c>
      <c r="BZ65" s="3">
        <f t="shared" si="758"/>
        <v>1.0470000000000002</v>
      </c>
      <c r="CA65" s="3">
        <f t="shared" si="758"/>
        <v>1.0470000000000002</v>
      </c>
      <c r="CB65" s="3">
        <f t="shared" si="758"/>
        <v>1.0470000000000002</v>
      </c>
      <c r="CC65" s="3">
        <f t="shared" si="758"/>
        <v>1.0470000000000002</v>
      </c>
      <c r="CD65" s="3">
        <f t="shared" si="758"/>
        <v>1.0470000000000002</v>
      </c>
      <c r="CE65" s="3">
        <f t="shared" ref="CE65:CF65" si="759">CE63/CE64</f>
        <v>1.0470000000000002</v>
      </c>
      <c r="CF65" s="3">
        <f t="shared" si="759"/>
        <v>1.0470000000000002</v>
      </c>
      <c r="CG65" s="3">
        <f t="shared" ref="CG65:CH65" si="760">CG63/CG64</f>
        <v>1.0470000000000002</v>
      </c>
      <c r="CH65" s="3">
        <f t="shared" si="760"/>
        <v>1.0470000000000002</v>
      </c>
      <c r="CI65" s="3">
        <f t="shared" ref="CI65:CJ65" si="761">CI63/CI64</f>
        <v>1.0470000000000002</v>
      </c>
      <c r="CJ65" s="3">
        <f t="shared" si="761"/>
        <v>1.0470000000000002</v>
      </c>
      <c r="CK65" s="3">
        <f t="shared" ref="CK65:CL65" si="762">CK63/CK64</f>
        <v>1.0470000000000002</v>
      </c>
      <c r="CL65" s="3">
        <f t="shared" si="762"/>
        <v>1.0470000000000002</v>
      </c>
      <c r="CM65" s="37">
        <f t="shared" ref="CM65:DB65" si="763">CM63/CM64</f>
        <v>1.0470000000000002</v>
      </c>
      <c r="CN65" s="37">
        <f t="shared" si="763"/>
        <v>1.0470000000000002</v>
      </c>
      <c r="CO65" s="37">
        <f t="shared" si="763"/>
        <v>1.0470000000000002</v>
      </c>
      <c r="CP65" s="37">
        <f t="shared" si="763"/>
        <v>1.0470000000000002</v>
      </c>
      <c r="CQ65" s="37">
        <f t="shared" si="763"/>
        <v>1.0470000000000002</v>
      </c>
      <c r="CR65" s="37">
        <f t="shared" si="763"/>
        <v>1.0470000000000002</v>
      </c>
      <c r="CS65" s="37">
        <f t="shared" si="763"/>
        <v>1.0470000000000002</v>
      </c>
      <c r="CT65" s="37">
        <f t="shared" si="763"/>
        <v>1.0470000000000002</v>
      </c>
      <c r="CU65" s="37">
        <f t="shared" si="763"/>
        <v>1.0470000000000002</v>
      </c>
      <c r="CV65" s="37">
        <f t="shared" si="763"/>
        <v>1.0470000000000002</v>
      </c>
      <c r="CW65" s="37">
        <f t="shared" si="763"/>
        <v>1.0470000000000002</v>
      </c>
      <c r="CX65" s="37">
        <f t="shared" si="763"/>
        <v>1.0470000000000002</v>
      </c>
      <c r="CY65" s="37">
        <f t="shared" si="763"/>
        <v>1.0470000000000002</v>
      </c>
      <c r="CZ65" s="37">
        <f t="shared" si="763"/>
        <v>1.0470000000000002</v>
      </c>
      <c r="DA65" s="37">
        <f t="shared" si="763"/>
        <v>1.0470000000000002</v>
      </c>
      <c r="DB65" s="37">
        <f t="shared" si="763"/>
        <v>1.0470000000000002</v>
      </c>
      <c r="DE65" s="134"/>
      <c r="DF65" s="3">
        <v>1.0470000000000002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</v>
      </c>
      <c r="BN66" s="53">
        <f t="shared" si="766"/>
        <v>0</v>
      </c>
      <c r="BO66" s="53">
        <f t="shared" ref="BO66:CT66" si="767">(BO48-BO47)/BO65</f>
        <v>0</v>
      </c>
      <c r="BP66" s="53">
        <f t="shared" si="767"/>
        <v>0</v>
      </c>
      <c r="BQ66" s="53">
        <f t="shared" si="767"/>
        <v>0</v>
      </c>
      <c r="BR66" s="53">
        <f t="shared" si="767"/>
        <v>0</v>
      </c>
      <c r="BS66" s="53">
        <f t="shared" si="767"/>
        <v>0</v>
      </c>
      <c r="BT66" s="53">
        <f t="shared" si="767"/>
        <v>0</v>
      </c>
      <c r="BU66" s="53">
        <f t="shared" si="767"/>
        <v>0.20916905444126091</v>
      </c>
      <c r="BV66" s="53">
        <f t="shared" si="767"/>
        <v>0.84527220630372524</v>
      </c>
      <c r="BW66" s="53">
        <f t="shared" si="767"/>
        <v>0.87774594078319002</v>
      </c>
      <c r="BX66" s="53">
        <f t="shared" si="767"/>
        <v>1.1585482330468002</v>
      </c>
      <c r="BY66" s="53">
        <f t="shared" si="767"/>
        <v>1.1232091690544401</v>
      </c>
      <c r="BZ66" s="53">
        <f t="shared" si="767"/>
        <v>1.290353390639924</v>
      </c>
      <c r="CA66" s="53">
        <f t="shared" si="767"/>
        <v>1.2177650429799431</v>
      </c>
      <c r="CB66" s="53">
        <f t="shared" si="767"/>
        <v>1.6017191977077363</v>
      </c>
      <c r="CC66" s="53">
        <f t="shared" si="767"/>
        <v>3.0162368672397344</v>
      </c>
      <c r="CD66" s="53">
        <f t="shared" si="767"/>
        <v>2.2416427889207275</v>
      </c>
      <c r="CE66" s="53">
        <f t="shared" si="767"/>
        <v>9.988538681948425</v>
      </c>
      <c r="CF66" s="53">
        <f t="shared" si="767"/>
        <v>4.8643744030563498</v>
      </c>
      <c r="CG66" s="53">
        <f t="shared" si="767"/>
        <v>8.7354345749761215</v>
      </c>
      <c r="CH66" s="53">
        <f t="shared" si="767"/>
        <v>3.923591212989499</v>
      </c>
      <c r="CI66" s="53">
        <f t="shared" si="767"/>
        <v>5.074498567335243</v>
      </c>
      <c r="CJ66" s="53">
        <f t="shared" si="767"/>
        <v>9.8127984718242605</v>
      </c>
      <c r="CK66" s="53">
        <f t="shared" ref="CK66:CL66" si="768">(CK48-CK47)/CK65</f>
        <v>10.270296084049665</v>
      </c>
      <c r="CL66" s="53">
        <f t="shared" si="768"/>
        <v>4.9083094555873927</v>
      </c>
      <c r="CM66" s="54">
        <f t="shared" si="767"/>
        <v>6.1323388980814579</v>
      </c>
      <c r="CN66" s="54">
        <f t="shared" si="767"/>
        <v>12.597382996707921</v>
      </c>
      <c r="CO66" s="54">
        <f t="shared" si="767"/>
        <v>10.834314144424573</v>
      </c>
      <c r="CP66" s="54">
        <f t="shared" si="767"/>
        <v>6.9879429471127628</v>
      </c>
      <c r="CQ66" s="54">
        <f t="shared" si="767"/>
        <v>9.2719476899823263</v>
      </c>
      <c r="CR66" s="54">
        <f t="shared" si="767"/>
        <v>17.696038231340925</v>
      </c>
      <c r="CS66" s="54">
        <f t="shared" si="767"/>
        <v>15.051809408492982</v>
      </c>
      <c r="CT66" s="54">
        <f t="shared" si="767"/>
        <v>10.103645433918544</v>
      </c>
      <c r="CU66" s="54">
        <f t="shared" ref="CU66:DB66" si="769">(CU48-CU47)/CU65</f>
        <v>12.913065984664295</v>
      </c>
      <c r="CV66" s="54">
        <f t="shared" si="769"/>
        <v>24.325741135746618</v>
      </c>
      <c r="CW66" s="54">
        <f t="shared" si="769"/>
        <v>20.698767363735453</v>
      </c>
      <c r="CX66" s="54">
        <f t="shared" si="769"/>
        <v>13.9416855192906</v>
      </c>
      <c r="CY66" s="54">
        <f t="shared" si="769"/>
        <v>17.695193799060373</v>
      </c>
      <c r="CZ66" s="54">
        <f t="shared" si="769"/>
        <v>33.291245652959212</v>
      </c>
      <c r="DA66" s="54">
        <f t="shared" si="769"/>
        <v>28.324936802260183</v>
      </c>
      <c r="DB66" s="54">
        <f t="shared" si="769"/>
        <v>19.061957694488896</v>
      </c>
      <c r="DE66" s="132"/>
      <c r="DF66" s="53">
        <v>6.4331226521135614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</v>
      </c>
      <c r="BN69" s="3">
        <f t="shared" ref="BN69" si="809">SUM(BK66:BN66)</f>
        <v>0</v>
      </c>
      <c r="BO69" s="3">
        <f t="shared" ref="BO69" si="810">SUM(BL66:BO66)</f>
        <v>0</v>
      </c>
      <c r="BP69" s="3">
        <f t="shared" ref="BP69" si="811">SUM(BM66:BP66)</f>
        <v>0</v>
      </c>
      <c r="BQ69" s="3">
        <f t="shared" ref="BQ69" si="812">SUM(BN66:BQ66)</f>
        <v>0</v>
      </c>
      <c r="BR69" s="3">
        <f t="shared" ref="BR69" si="813">SUM(BO66:BR66)</f>
        <v>0</v>
      </c>
      <c r="BS69" s="3">
        <f t="shared" ref="BS69" si="814">SUM(BP66:BS66)</f>
        <v>0</v>
      </c>
      <c r="BT69" s="3">
        <f t="shared" ref="BT69" si="815">SUM(BQ66:BT66)</f>
        <v>0</v>
      </c>
      <c r="BU69" s="3">
        <f t="shared" ref="BU69" si="816">SUM(BR66:BU66)</f>
        <v>0.20916905444126091</v>
      </c>
      <c r="BV69" s="3">
        <f t="shared" ref="BV69" si="817">SUM(BS66:BV66)</f>
        <v>1.0544412607449862</v>
      </c>
      <c r="BW69" s="3">
        <f t="shared" ref="BW69" si="818">SUM(BT66:BW66)</f>
        <v>1.9321872015281762</v>
      </c>
      <c r="BX69" s="3">
        <f t="shared" ref="BX69" si="819">SUM(BU66:BX66)</f>
        <v>3.0907354345749765</v>
      </c>
      <c r="BY69" s="3">
        <f t="shared" ref="BY69" si="820">SUM(BV66:BY66)</f>
        <v>4.0047755491881558</v>
      </c>
      <c r="BZ69" s="3">
        <f t="shared" ref="BZ69" si="821">SUM(BW66:BZ66)</f>
        <v>4.4498567335243546</v>
      </c>
      <c r="CA69" s="3">
        <f t="shared" ref="CA69" si="822">SUM(BX66:CA66)</f>
        <v>4.7898758357211069</v>
      </c>
      <c r="CB69" s="3">
        <f t="shared" ref="CB69" si="823">SUM(BY66:CB66)</f>
        <v>5.2330468003820441</v>
      </c>
      <c r="CC69" s="3">
        <f t="shared" ref="CC69" si="824">SUM(BZ66:CC66)</f>
        <v>7.1260744985673377</v>
      </c>
      <c r="CD69" s="3">
        <f t="shared" ref="CD69" si="825">SUM(CA66:CD66)</f>
        <v>8.0773638968481407</v>
      </c>
      <c r="CE69" s="3">
        <f t="shared" ref="CE69" si="826">SUM(CB66:CE66)</f>
        <v>16.848137535816623</v>
      </c>
      <c r="CF69" s="3">
        <f t="shared" ref="CF69" si="827">SUM(CC66:CF66)</f>
        <v>20.110792741165238</v>
      </c>
      <c r="CG69" s="3">
        <f t="shared" ref="CG69" si="828">SUM(CD66:CG66)</f>
        <v>25.829990448901622</v>
      </c>
      <c r="CH69" s="3">
        <f t="shared" ref="CH69:CL69" si="829">SUM(CE66:CH66)</f>
        <v>27.511938872970397</v>
      </c>
      <c r="CI69" s="3">
        <f t="shared" si="829"/>
        <v>22.597898758357214</v>
      </c>
      <c r="CJ69" s="3">
        <f t="shared" si="829"/>
        <v>27.546322827125124</v>
      </c>
      <c r="CK69" s="3">
        <f t="shared" si="829"/>
        <v>29.081184336198667</v>
      </c>
      <c r="CL69" s="3">
        <f t="shared" si="829"/>
        <v>30.06590257879656</v>
      </c>
      <c r="CM69" s="37">
        <f t="shared" ref="CM69" si="830">SUM(CJ66:CM66)</f>
        <v>31.123742909542777</v>
      </c>
      <c r="CN69" s="37">
        <f t="shared" ref="CN69" si="831">SUM(CK66:CN66)</f>
        <v>33.90832743442644</v>
      </c>
      <c r="CO69" s="37">
        <f t="shared" ref="CO69" si="832">SUM(CL66:CO66)</f>
        <v>34.472345494801345</v>
      </c>
      <c r="CP69" s="37">
        <f t="shared" ref="CP69" si="833">SUM(CM66:CP66)</f>
        <v>36.551978986326716</v>
      </c>
      <c r="CQ69" s="37">
        <f t="shared" ref="CQ69" si="834">SUM(CN66:CQ66)</f>
        <v>39.691587778227586</v>
      </c>
      <c r="CR69" s="37">
        <f t="shared" ref="CR69" si="835">SUM(CO66:CR66)</f>
        <v>44.790243012860586</v>
      </c>
      <c r="CS69" s="37">
        <f t="shared" ref="CS69" si="836">SUM(CP66:CS66)</f>
        <v>49.007738276929004</v>
      </c>
      <c r="CT69" s="37">
        <f t="shared" ref="CT69" si="837">SUM(CQ66:CT66)</f>
        <v>52.123440763734777</v>
      </c>
      <c r="CU69" s="37">
        <f t="shared" ref="CU69" si="838">SUM(CR66:CU66)</f>
        <v>55.764559058416744</v>
      </c>
      <c r="CV69" s="37">
        <f t="shared" ref="CV69" si="839">SUM(CS66:CV66)</f>
        <v>62.394261962822441</v>
      </c>
      <c r="CW69" s="37">
        <f t="shared" ref="CW69" si="840">SUM(CT66:CW66)</f>
        <v>68.041219918064911</v>
      </c>
      <c r="CX69" s="37">
        <f t="shared" ref="CX69" si="841">SUM(CU66:CX66)</f>
        <v>71.879260003436968</v>
      </c>
      <c r="CY69" s="37">
        <f t="shared" ref="CY69" si="842">SUM(CV66:CY66)</f>
        <v>76.661387817833045</v>
      </c>
      <c r="CZ69" s="37">
        <f t="shared" ref="CZ69" si="843">SUM(CW66:CZ66)</f>
        <v>85.626892335045625</v>
      </c>
      <c r="DA69" s="37">
        <f t="shared" ref="DA69" si="844">SUM(CX66:DA66)</f>
        <v>93.253061773570366</v>
      </c>
      <c r="DB69" s="37">
        <f t="shared" ref="DB69" si="845">SUM(CY66:DB66)</f>
        <v>98.373333948768661</v>
      </c>
      <c r="DE69" s="134"/>
      <c r="DF69" s="3">
        <v>31.590715775322728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 t="e">
        <f t="shared" si="851"/>
        <v>#DIV/0!</v>
      </c>
      <c r="BR70" s="176" t="e">
        <f t="shared" si="851"/>
        <v>#DIV/0!</v>
      </c>
      <c r="BS70" s="176" t="e">
        <f t="shared" si="851"/>
        <v>#DIV/0!</v>
      </c>
      <c r="BT70" s="176" t="e">
        <f t="shared" si="851"/>
        <v>#DIV/0!</v>
      </c>
      <c r="BU70" s="176" t="e">
        <f t="shared" si="851"/>
        <v>#DIV/0!</v>
      </c>
      <c r="BV70" s="176" t="e">
        <f t="shared" si="851"/>
        <v>#DIV/0!</v>
      </c>
      <c r="BW70" s="176" t="e">
        <f t="shared" si="851"/>
        <v>#DIV/0!</v>
      </c>
      <c r="BX70" s="176" t="e">
        <f t="shared" si="851"/>
        <v>#DIV/0!</v>
      </c>
      <c r="BY70" s="176">
        <f t="shared" si="851"/>
        <v>18.146118721461168</v>
      </c>
      <c r="BZ70" s="176">
        <f t="shared" si="851"/>
        <v>3.2201086956521712</v>
      </c>
      <c r="CA70" s="176">
        <f t="shared" si="851"/>
        <v>1.4789915966386542</v>
      </c>
      <c r="CB70" s="176">
        <f t="shared" si="851"/>
        <v>0.69313967861557457</v>
      </c>
      <c r="CC70" s="176">
        <f t="shared" si="851"/>
        <v>0.77939422847603246</v>
      </c>
      <c r="CD70" s="176">
        <f t="shared" si="851"/>
        <v>0.81519639407598299</v>
      </c>
      <c r="CE70" s="176">
        <f t="shared" si="851"/>
        <v>2.5174476570289146</v>
      </c>
      <c r="CF70" s="176">
        <f t="shared" si="851"/>
        <v>2.8430370505566716</v>
      </c>
      <c r="CG70" s="176">
        <f t="shared" si="851"/>
        <v>2.6247151856319513</v>
      </c>
      <c r="CH70" s="176">
        <f t="shared" si="851"/>
        <v>2.4060541563202076</v>
      </c>
      <c r="CI70" s="176">
        <f t="shared" si="851"/>
        <v>0.34126984126984117</v>
      </c>
      <c r="CJ70" s="176">
        <f t="shared" si="851"/>
        <v>0.36972834346504557</v>
      </c>
      <c r="CK70" s="176">
        <f t="shared" si="851"/>
        <v>0.12586895429670197</v>
      </c>
      <c r="CL70" s="176">
        <f t="shared" si="851"/>
        <v>9.2831105710813766E-2</v>
      </c>
      <c r="CM70" s="102">
        <f t="shared" ref="CM70:DB70" si="852">+IF(CI69&lt;0,1-CM69/CI69,CM69/CI69-1)</f>
        <v>0.37728481936987679</v>
      </c>
      <c r="CN70" s="102">
        <f t="shared" si="852"/>
        <v>0.23095658346952175</v>
      </c>
      <c r="CO70" s="102">
        <f t="shared" si="852"/>
        <v>0.18538313626697978</v>
      </c>
      <c r="CP70" s="102">
        <f t="shared" si="852"/>
        <v>0.21572864445135087</v>
      </c>
      <c r="CQ70" s="102">
        <f t="shared" si="852"/>
        <v>0.27528324255813863</v>
      </c>
      <c r="CR70" s="102">
        <f t="shared" si="852"/>
        <v>0.32092162609548103</v>
      </c>
      <c r="CS70" s="102">
        <f t="shared" si="852"/>
        <v>0.42165372194705153</v>
      </c>
      <c r="CT70" s="102">
        <f t="shared" si="852"/>
        <v>0.4260087198899134</v>
      </c>
      <c r="CU70" s="102">
        <f t="shared" si="852"/>
        <v>0.40494654358488069</v>
      </c>
      <c r="CV70" s="102">
        <f t="shared" si="852"/>
        <v>0.39303245005630427</v>
      </c>
      <c r="CW70" s="102">
        <f t="shared" si="852"/>
        <v>0.38837706677225192</v>
      </c>
      <c r="CX70" s="102">
        <f t="shared" si="852"/>
        <v>0.3790198603590158</v>
      </c>
      <c r="CY70" s="102">
        <f t="shared" si="852"/>
        <v>0.37473314793945756</v>
      </c>
      <c r="CZ70" s="102">
        <f t="shared" si="852"/>
        <v>0.37235203432755282</v>
      </c>
      <c r="DA70" s="102">
        <f t="shared" si="852"/>
        <v>0.37053776939721983</v>
      </c>
      <c r="DB70" s="102">
        <f t="shared" si="852"/>
        <v>0.36859135645059316</v>
      </c>
      <c r="DE70" s="135"/>
      <c r="DF70" s="97">
        <v>0.14825479662429752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73</v>
      </c>
      <c r="Y73" s="3">
        <f>'Annual Raw'!Z112</f>
        <v>72.08</v>
      </c>
      <c r="Z73" s="3">
        <f>'Annual Raw'!AA112</f>
        <v>70.23</v>
      </c>
      <c r="AA73" s="3">
        <f>'Annual Raw'!AB112</f>
        <v>68.28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73</v>
      </c>
      <c r="BZ73" s="3">
        <f>'QTR Raw'!AT49</f>
        <v>73</v>
      </c>
      <c r="CA73" s="3">
        <f>'QTR Raw'!AU49</f>
        <v>73</v>
      </c>
      <c r="CB73" s="3">
        <f>'QTR Raw'!AV49</f>
        <v>73</v>
      </c>
      <c r="CC73" s="3">
        <f>'QTR Raw'!AW49</f>
        <v>73</v>
      </c>
      <c r="CD73" s="3">
        <f>'QTR Raw'!AX49</f>
        <v>72.08</v>
      </c>
      <c r="CE73" s="3">
        <f>'QTR Raw'!AY49</f>
        <v>72.08</v>
      </c>
      <c r="CF73" s="3">
        <f>'QTR Raw'!AZ49</f>
        <v>70.849999999999994</v>
      </c>
      <c r="CG73" s="3">
        <f>'QTR Raw'!BA49</f>
        <v>70.23</v>
      </c>
      <c r="CH73" s="3">
        <f>'QTR Raw'!BB49</f>
        <v>70.23</v>
      </c>
      <c r="CI73" s="3">
        <f>'QTR Raw'!BC49</f>
        <v>70.209999999999994</v>
      </c>
      <c r="CJ73" s="3">
        <f>'QTR Raw'!BD49</f>
        <v>68.28</v>
      </c>
      <c r="CK73" s="3">
        <f>'QTR Raw'!BE49</f>
        <v>68.28</v>
      </c>
      <c r="CL73" s="3">
        <f>'QTR Raw'!BF49</f>
        <v>68.28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96.3</v>
      </c>
      <c r="Y77" s="13">
        <f>'Annual Raw'!Z106</f>
        <v>532.6</v>
      </c>
      <c r="Z77" s="13">
        <f>'Annual Raw'!AA106</f>
        <v>925.45</v>
      </c>
      <c r="AA77" s="13">
        <f>'Annual Raw'!AB106</f>
        <v>768.6</v>
      </c>
      <c r="AB77" s="37">
        <f>+CP77</f>
        <v>768.6</v>
      </c>
      <c r="AC77" s="37">
        <f>+CT77</f>
        <v>768.6</v>
      </c>
      <c r="AD77" s="37">
        <f>+CX77</f>
        <v>768.6</v>
      </c>
      <c r="AE77" s="37">
        <f>+DB77</f>
        <v>768.6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88.2</v>
      </c>
      <c r="BZ77" s="13">
        <f>'QTR Share Price'!JF21</f>
        <v>96.3</v>
      </c>
      <c r="CA77" s="13">
        <f>'QTR Share Price'!JG21</f>
        <v>164</v>
      </c>
      <c r="CB77" s="13">
        <f>'QTR Share Price'!JH21</f>
        <v>253.95</v>
      </c>
      <c r="CC77" s="13">
        <f>'QTR Share Price'!JI21</f>
        <v>467.15</v>
      </c>
      <c r="CD77" s="13">
        <f>'QTR Share Price'!JJ21</f>
        <v>532.6</v>
      </c>
      <c r="CE77" s="13">
        <f>'QTR Share Price'!JK21</f>
        <v>577.9</v>
      </c>
      <c r="CF77" s="13">
        <f>'QTR Share Price'!JL21</f>
        <v>831.3</v>
      </c>
      <c r="CG77" s="13">
        <f>'QTR Share Price'!JM21</f>
        <v>1319.65</v>
      </c>
      <c r="CH77" s="13">
        <f>'QTR Share Price'!JN21</f>
        <v>925.45</v>
      </c>
      <c r="CI77" s="13">
        <f>'QTR Share Price'!JO21</f>
        <v>865.6</v>
      </c>
      <c r="CJ77" s="13">
        <f>'QTR Share Price'!JP21</f>
        <v>856.1</v>
      </c>
      <c r="CK77" s="13">
        <f>'QTR Share Price'!JQ21</f>
        <v>1014</v>
      </c>
      <c r="CL77" s="13">
        <f>'QTR Share Price'!JR21</f>
        <v>768.6</v>
      </c>
      <c r="CM77" s="37">
        <f t="shared" ref="CM77" si="853">+CL77</f>
        <v>768.6</v>
      </c>
      <c r="CN77" s="37">
        <f t="shared" ref="CN77" si="854">+CM77</f>
        <v>768.6</v>
      </c>
      <c r="CO77" s="37">
        <f t="shared" ref="CO77" si="855">+CN77</f>
        <v>768.6</v>
      </c>
      <c r="CP77" s="37">
        <f t="shared" ref="CP77" si="856">+CO77</f>
        <v>768.6</v>
      </c>
      <c r="CQ77" s="37">
        <f t="shared" ref="CQ77" si="857">+CP77</f>
        <v>768.6</v>
      </c>
      <c r="CR77" s="37">
        <f t="shared" ref="CR77" si="858">+CQ77</f>
        <v>768.6</v>
      </c>
      <c r="CS77" s="37">
        <f t="shared" ref="CS77" si="859">+CR77</f>
        <v>768.6</v>
      </c>
      <c r="CT77" s="37">
        <f t="shared" ref="CT77" si="860">+CS77</f>
        <v>768.6</v>
      </c>
      <c r="CU77" s="37">
        <f t="shared" ref="CU77" si="861">+CT77</f>
        <v>768.6</v>
      </c>
      <c r="CV77" s="37">
        <f t="shared" ref="CV77" si="862">+CU77</f>
        <v>768.6</v>
      </c>
      <c r="CW77" s="37">
        <f t="shared" ref="CW77" si="863">+CV77</f>
        <v>768.6</v>
      </c>
      <c r="CX77" s="37">
        <f t="shared" ref="CX77" si="864">+CW77</f>
        <v>768.6</v>
      </c>
      <c r="CY77" s="37">
        <f t="shared" ref="CY77" si="865">+CX77</f>
        <v>768.6</v>
      </c>
      <c r="CZ77" s="37">
        <f t="shared" ref="CZ77" si="866">+CY77</f>
        <v>768.6</v>
      </c>
      <c r="DA77" s="37">
        <f t="shared" ref="DA77" si="867">+CZ77</f>
        <v>768.6</v>
      </c>
      <c r="DB77" s="37">
        <f t="shared" ref="DB77" si="868">+DA77</f>
        <v>768.6</v>
      </c>
      <c r="DE77" s="134"/>
      <c r="DF77" s="13">
        <v>768.6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201.15</v>
      </c>
      <c r="Y78" s="13">
        <f>'Annual Raw'!Z107</f>
        <v>700.55</v>
      </c>
      <c r="Z78" s="13">
        <f>'Annual Raw'!AA107</f>
        <v>1516.75</v>
      </c>
      <c r="AA78" s="13">
        <f>'Annual Raw'!AB107</f>
        <v>1197</v>
      </c>
      <c r="AB78" s="37">
        <f>+MAX(CM78:CP78)</f>
        <v>1327.5756797408751</v>
      </c>
      <c r="AC78" s="37">
        <f>+MAX(CQ78:CT78)</f>
        <v>1893.1344956242669</v>
      </c>
      <c r="AD78" s="37">
        <f>+MAX(CU78:CX78)</f>
        <v>2610.6700677966128</v>
      </c>
      <c r="AE78" s="37">
        <f>+MAX(CY78:DB78)</f>
        <v>3572.9404893307278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88.2</v>
      </c>
      <c r="BZ78" s="13">
        <f>'QTR Share Price'!JF19</f>
        <v>201.15</v>
      </c>
      <c r="CA78" s="13">
        <f>'QTR Share Price'!JG19</f>
        <v>179.95</v>
      </c>
      <c r="CB78" s="13">
        <f>'QTR Share Price'!JH19</f>
        <v>347.4</v>
      </c>
      <c r="CC78" s="13">
        <f>'QTR Share Price'!JI19</f>
        <v>467.15</v>
      </c>
      <c r="CD78" s="13">
        <f>'QTR Share Price'!JJ19</f>
        <v>700.55</v>
      </c>
      <c r="CE78" s="13">
        <f>'QTR Share Price'!JK19</f>
        <v>629</v>
      </c>
      <c r="CF78" s="13">
        <f>'QTR Share Price'!JL19</f>
        <v>1064</v>
      </c>
      <c r="CG78" s="13">
        <f>'QTR Share Price'!JM19</f>
        <v>1458</v>
      </c>
      <c r="CH78" s="13">
        <f>'QTR Share Price'!JN19</f>
        <v>1516.75</v>
      </c>
      <c r="CI78" s="13">
        <f>'QTR Share Price'!JO19</f>
        <v>1104.8499999999999</v>
      </c>
      <c r="CJ78" s="13">
        <f>'QTR Share Price'!JP19</f>
        <v>920</v>
      </c>
      <c r="CK78" s="13">
        <f>'QTR Share Price'!JQ19</f>
        <v>1197</v>
      </c>
      <c r="CL78" s="13">
        <f>'QTR Share Price'!JR19</f>
        <v>1092</v>
      </c>
      <c r="CM78" s="37">
        <f t="shared" ref="CM78:DB78" si="869">+CM69*CM86</f>
        <v>1130.4209866358551</v>
      </c>
      <c r="CN78" s="37">
        <f t="shared" si="869"/>
        <v>1231.5576910206225</v>
      </c>
      <c r="CO78" s="37">
        <f t="shared" si="869"/>
        <v>1252.0429473775614</v>
      </c>
      <c r="CP78" s="37">
        <f t="shared" si="869"/>
        <v>1327.5756797408751</v>
      </c>
      <c r="CQ78" s="37">
        <f t="shared" si="869"/>
        <v>1441.6069412927436</v>
      </c>
      <c r="CR78" s="37">
        <f t="shared" si="869"/>
        <v>1626.7911878533566</v>
      </c>
      <c r="CS78" s="37">
        <f t="shared" si="869"/>
        <v>1779.9715161768663</v>
      </c>
      <c r="CT78" s="37">
        <f t="shared" si="869"/>
        <v>1893.1344956242669</v>
      </c>
      <c r="CU78" s="37">
        <f t="shared" si="869"/>
        <v>2025.3806893772123</v>
      </c>
      <c r="CV78" s="37">
        <f t="shared" si="869"/>
        <v>2266.172914145367</v>
      </c>
      <c r="CW78" s="37">
        <f t="shared" si="869"/>
        <v>2471.2716325677957</v>
      </c>
      <c r="CX78" s="37">
        <f t="shared" si="869"/>
        <v>2610.6700677966128</v>
      </c>
      <c r="CY78" s="37">
        <f t="shared" si="869"/>
        <v>2784.3579708833236</v>
      </c>
      <c r="CZ78" s="37">
        <f t="shared" si="869"/>
        <v>3109.9870088653929</v>
      </c>
      <c r="DA78" s="37">
        <f t="shared" si="869"/>
        <v>3386.9711108740926</v>
      </c>
      <c r="DB78" s="37">
        <f t="shared" si="869"/>
        <v>3572.9404893307278</v>
      </c>
      <c r="DE78" s="134"/>
      <c r="DF78" s="13">
        <v>1092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57</v>
      </c>
      <c r="Y79" s="13">
        <f>'Annual Raw'!Z108</f>
        <v>100</v>
      </c>
      <c r="Z79" s="13">
        <f>'Annual Raw'!AA108</f>
        <v>438.5</v>
      </c>
      <c r="AA79" s="13">
        <f>'Annual Raw'!AB108</f>
        <v>686</v>
      </c>
      <c r="AB79" s="37">
        <f>+MIN(CM79:CP79)</f>
        <v>710.13626083534507</v>
      </c>
      <c r="AC79" s="37">
        <f>+MIN(CQ79:CT79)</f>
        <v>905.62487337621087</v>
      </c>
      <c r="AD79" s="37">
        <f>+MIN(CU79:CX79)</f>
        <v>1272.3545356344027</v>
      </c>
      <c r="AE79" s="37">
        <f>+MIN(CY79:DB79)</f>
        <v>1749.1479560677292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86.2</v>
      </c>
      <c r="CA79" s="13">
        <f>+'QTR Share Price'!JG20</f>
        <v>100</v>
      </c>
      <c r="CB79" s="13">
        <f>+'QTR Share Price'!JH20</f>
        <v>149</v>
      </c>
      <c r="CC79" s="13">
        <f>+'QTR Share Price'!JI20</f>
        <v>241.25</v>
      </c>
      <c r="CD79" s="13">
        <f>+'QTR Share Price'!JJ20</f>
        <v>453.75</v>
      </c>
      <c r="CE79" s="13">
        <f>+'QTR Share Price'!JK20</f>
        <v>438.5</v>
      </c>
      <c r="CF79" s="13">
        <f>+'QTR Share Price'!JL20</f>
        <v>584.5</v>
      </c>
      <c r="CG79" s="13">
        <f>+'QTR Share Price'!JM20</f>
        <v>820.1</v>
      </c>
      <c r="CH79" s="13">
        <f>+'QTR Share Price'!JN20</f>
        <v>849</v>
      </c>
      <c r="CI79" s="13">
        <f>+'QTR Share Price'!JO20</f>
        <v>833</v>
      </c>
      <c r="CJ79" s="13">
        <f>+'QTR Share Price'!JP20</f>
        <v>789.2</v>
      </c>
      <c r="CK79" s="13">
        <f>+'QTR Share Price'!JQ20</f>
        <v>821.8</v>
      </c>
      <c r="CL79" s="13">
        <f>+'QTR Share Price'!JR20</f>
        <v>686</v>
      </c>
      <c r="CM79" s="37">
        <f t="shared" ref="CM79:DB79" si="870">+CM87*CM69</f>
        <v>710.13626083534507</v>
      </c>
      <c r="CN79" s="37">
        <f t="shared" si="870"/>
        <v>773.67085717962186</v>
      </c>
      <c r="CO79" s="37">
        <f t="shared" si="870"/>
        <v>786.53980027564762</v>
      </c>
      <c r="CP79" s="37">
        <f t="shared" si="870"/>
        <v>833.98985009362673</v>
      </c>
      <c r="CQ79" s="37">
        <f t="shared" si="870"/>
        <v>905.62487337621087</v>
      </c>
      <c r="CR79" s="37">
        <f t="shared" si="870"/>
        <v>1021.9585667283909</v>
      </c>
      <c r="CS79" s="37">
        <f t="shared" si="870"/>
        <v>1118.1872345213649</v>
      </c>
      <c r="CT79" s="37">
        <f t="shared" si="870"/>
        <v>1189.2767985331934</v>
      </c>
      <c r="CU79" s="37">
        <f t="shared" si="870"/>
        <v>1272.3545356344027</v>
      </c>
      <c r="CV79" s="37">
        <f t="shared" si="870"/>
        <v>1423.6214460656793</v>
      </c>
      <c r="CW79" s="37">
        <f t="shared" si="870"/>
        <v>1552.4655127669489</v>
      </c>
      <c r="CX79" s="37">
        <f t="shared" si="870"/>
        <v>1640.036324641462</v>
      </c>
      <c r="CY79" s="37">
        <f t="shared" si="870"/>
        <v>1749.1479560677292</v>
      </c>
      <c r="CZ79" s="37">
        <f t="shared" si="870"/>
        <v>1953.7097876205676</v>
      </c>
      <c r="DA79" s="37">
        <f t="shared" si="870"/>
        <v>2127.7126209337252</v>
      </c>
      <c r="DB79" s="37">
        <f t="shared" si="870"/>
        <v>2244.5395381693038</v>
      </c>
      <c r="DE79" s="134"/>
      <c r="DF79" s="13">
        <v>686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0.72726474075055303</v>
      </c>
      <c r="AC81" s="48">
        <f t="shared" si="871"/>
        <v>1.4630945818686794</v>
      </c>
      <c r="AD81" s="48">
        <f t="shared" si="871"/>
        <v>2.3966563463395949</v>
      </c>
      <c r="AE81" s="48">
        <f t="shared" ref="AE81" si="872">+AE78/AE77-1</f>
        <v>3.6486345164334217</v>
      </c>
      <c r="CM81" s="48">
        <f t="shared" ref="CM81:DB81" si="873">+CM78/CM77-1</f>
        <v>0.47075330033288454</v>
      </c>
      <c r="CN81" s="48">
        <f t="shared" si="873"/>
        <v>0.60233891623812452</v>
      </c>
      <c r="CO81" s="48">
        <f t="shared" si="873"/>
        <v>0.62899160470668924</v>
      </c>
      <c r="CP81" s="48">
        <f t="shared" si="873"/>
        <v>0.72726474075055303</v>
      </c>
      <c r="CQ81" s="48">
        <f t="shared" si="873"/>
        <v>0.87562703785160489</v>
      </c>
      <c r="CR81" s="48">
        <f t="shared" si="873"/>
        <v>1.1165641267933339</v>
      </c>
      <c r="CS81" s="48">
        <f t="shared" si="873"/>
        <v>1.3158619778517644</v>
      </c>
      <c r="CT81" s="48">
        <f t="shared" si="873"/>
        <v>1.4630945818686794</v>
      </c>
      <c r="CU81" s="48">
        <f t="shared" si="873"/>
        <v>1.6351557238839609</v>
      </c>
      <c r="CV81" s="48">
        <f t="shared" si="873"/>
        <v>1.9484425112482007</v>
      </c>
      <c r="CW81" s="48">
        <f t="shared" si="873"/>
        <v>2.2152896598592187</v>
      </c>
      <c r="CX81" s="48">
        <f t="shared" si="873"/>
        <v>2.3966563463395949</v>
      </c>
      <c r="CY81" s="48">
        <f t="shared" si="873"/>
        <v>2.6226359236056771</v>
      </c>
      <c r="CZ81" s="48">
        <f t="shared" si="873"/>
        <v>3.0463010784093063</v>
      </c>
      <c r="DA81" s="48">
        <f t="shared" si="873"/>
        <v>3.4066759183893991</v>
      </c>
      <c r="DB81" s="48">
        <f t="shared" si="873"/>
        <v>3.6486345164334217</v>
      </c>
      <c r="DE81" s="129"/>
      <c r="DF81" s="51">
        <v>0.55737704918032782</v>
      </c>
    </row>
    <row r="82" spans="1:110" s="51" customFormat="1" x14ac:dyDescent="0.2">
      <c r="A82" s="51" t="s">
        <v>347</v>
      </c>
      <c r="AB82" s="48">
        <f t="shared" ref="AB82:AD82" si="874">+AB79/AB77-1</f>
        <v>-7.6065234406264559E-2</v>
      </c>
      <c r="AC82" s="48">
        <f t="shared" si="874"/>
        <v>0.17827852377857245</v>
      </c>
      <c r="AD82" s="48">
        <f t="shared" si="874"/>
        <v>0.65541833936300109</v>
      </c>
      <c r="AE82" s="48">
        <f t="shared" ref="AE82" si="875">+AE79/AE77-1</f>
        <v>1.2757584648292077</v>
      </c>
      <c r="CM82" s="48">
        <f t="shared" ref="CM82:DB82" si="876">+CM79/CM77-1</f>
        <v>-7.6065234406264559E-2</v>
      </c>
      <c r="CN82" s="48">
        <f t="shared" si="876"/>
        <v>6.5975243034372966E-3</v>
      </c>
      <c r="CO82" s="48">
        <f t="shared" si="876"/>
        <v>2.3340879879843346E-2</v>
      </c>
      <c r="CP82" s="48">
        <f t="shared" si="876"/>
        <v>8.5076567907398815E-2</v>
      </c>
      <c r="CQ82" s="48">
        <f t="shared" si="876"/>
        <v>0.17827852377857245</v>
      </c>
      <c r="CR82" s="48">
        <f t="shared" si="876"/>
        <v>0.32963643862658198</v>
      </c>
      <c r="CS82" s="48">
        <f t="shared" si="876"/>
        <v>0.45483637070174976</v>
      </c>
      <c r="CT82" s="48">
        <f t="shared" si="876"/>
        <v>0.54732864758417032</v>
      </c>
      <c r="CU82" s="48">
        <f t="shared" si="876"/>
        <v>0.65541833936300109</v>
      </c>
      <c r="CV82" s="48">
        <f t="shared" si="876"/>
        <v>0.85222670578412596</v>
      </c>
      <c r="CW82" s="48">
        <f t="shared" si="876"/>
        <v>1.0198614529884842</v>
      </c>
      <c r="CX82" s="48">
        <f t="shared" si="876"/>
        <v>1.1337969355210276</v>
      </c>
      <c r="CY82" s="48">
        <f t="shared" si="876"/>
        <v>1.2757584648292077</v>
      </c>
      <c r="CZ82" s="48">
        <f t="shared" si="876"/>
        <v>1.5419070877186671</v>
      </c>
      <c r="DA82" s="48">
        <f t="shared" si="876"/>
        <v>1.7682964102702643</v>
      </c>
      <c r="DB82" s="48">
        <f t="shared" si="876"/>
        <v>1.9202960423748423</v>
      </c>
      <c r="DE82" s="129"/>
      <c r="DF82" s="51">
        <v>-0.10746812386156646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 t="e">
        <f t="shared" si="880"/>
        <v>#DIV/0!</v>
      </c>
      <c r="BN85" s="13" t="e">
        <f t="shared" si="880"/>
        <v>#DIV/0!</v>
      </c>
      <c r="BO85" s="13" t="e">
        <f t="shared" si="880"/>
        <v>#DIV/0!</v>
      </c>
      <c r="BP85" s="13" t="e">
        <f t="shared" si="880"/>
        <v>#DIV/0!</v>
      </c>
      <c r="BQ85" s="13" t="e">
        <f t="shared" si="880"/>
        <v>#DIV/0!</v>
      </c>
      <c r="BR85" s="13" t="e">
        <f t="shared" ref="BR85:DB85" si="881">+BR77/BR69</f>
        <v>#DIV/0!</v>
      </c>
      <c r="BS85" s="13" t="e">
        <f t="shared" si="881"/>
        <v>#DIV/0!</v>
      </c>
      <c r="BT85" s="13" t="e">
        <f t="shared" si="881"/>
        <v>#DIV/0!</v>
      </c>
      <c r="BU85" s="13">
        <f t="shared" si="881"/>
        <v>0</v>
      </c>
      <c r="BV85" s="13">
        <f t="shared" si="881"/>
        <v>0</v>
      </c>
      <c r="BW85" s="13">
        <f t="shared" si="881"/>
        <v>0</v>
      </c>
      <c r="BX85" s="13">
        <f t="shared" si="881"/>
        <v>0</v>
      </c>
      <c r="BY85" s="13">
        <f t="shared" si="881"/>
        <v>22.023706176961607</v>
      </c>
      <c r="BZ85" s="13">
        <f t="shared" si="881"/>
        <v>21.641146168705735</v>
      </c>
      <c r="CA85" s="13">
        <f t="shared" si="881"/>
        <v>34.238883349950157</v>
      </c>
      <c r="CB85" s="13">
        <f t="shared" si="881"/>
        <v>48.528134696112424</v>
      </c>
      <c r="CC85" s="13">
        <f t="shared" si="881"/>
        <v>65.555026135906687</v>
      </c>
      <c r="CD85" s="13">
        <f t="shared" si="881"/>
        <v>65.9373536715147</v>
      </c>
      <c r="CE85" s="13">
        <f t="shared" si="881"/>
        <v>34.300527210884347</v>
      </c>
      <c r="CF85" s="13">
        <f t="shared" si="881"/>
        <v>41.336013487841939</v>
      </c>
      <c r="CG85" s="13">
        <f t="shared" si="881"/>
        <v>51.089836932406456</v>
      </c>
      <c r="CH85" s="13">
        <f t="shared" si="881"/>
        <v>33.638123589654569</v>
      </c>
      <c r="CI85" s="13">
        <f t="shared" ref="CI85:CJ85" si="882">+CI77/CI69</f>
        <v>38.304446322907857</v>
      </c>
      <c r="CJ85" s="13">
        <f t="shared" si="882"/>
        <v>31.078558302416695</v>
      </c>
      <c r="CK85" s="13">
        <f t="shared" ref="CK85:CL85" si="883">+CK77/CK69</f>
        <v>34.867905937992639</v>
      </c>
      <c r="CL85" s="13">
        <f t="shared" si="883"/>
        <v>25.563842561707808</v>
      </c>
      <c r="CM85" s="37">
        <f t="shared" si="881"/>
        <v>24.694973295269747</v>
      </c>
      <c r="CN85" s="37">
        <f t="shared" si="881"/>
        <v>22.666998290799089</v>
      </c>
      <c r="CO85" s="37">
        <f t="shared" si="881"/>
        <v>22.29613300075302</v>
      </c>
      <c r="CP85" s="37">
        <f t="shared" si="881"/>
        <v>21.027589239081042</v>
      </c>
      <c r="CQ85" s="37">
        <f t="shared" si="881"/>
        <v>19.364304705935893</v>
      </c>
      <c r="CR85" s="37">
        <f t="shared" si="881"/>
        <v>17.159987271766141</v>
      </c>
      <c r="CS85" s="37">
        <f t="shared" si="881"/>
        <v>15.683237525813917</v>
      </c>
      <c r="CT85" s="37">
        <f t="shared" si="881"/>
        <v>14.745764837051173</v>
      </c>
      <c r="CU85" s="37">
        <f t="shared" si="881"/>
        <v>13.782947681785577</v>
      </c>
      <c r="CV85" s="37">
        <f t="shared" si="881"/>
        <v>12.318440443417209</v>
      </c>
      <c r="CW85" s="37">
        <f t="shared" si="881"/>
        <v>11.296093763832372</v>
      </c>
      <c r="CX85" s="37">
        <f t="shared" si="881"/>
        <v>10.692931451481954</v>
      </c>
      <c r="CY85" s="37">
        <f t="shared" si="881"/>
        <v>10.025907720668833</v>
      </c>
      <c r="CZ85" s="37">
        <f t="shared" si="881"/>
        <v>8.9761519896410533</v>
      </c>
      <c r="DA85" s="37">
        <f t="shared" si="881"/>
        <v>8.2420886283203565</v>
      </c>
      <c r="DB85" s="37">
        <f t="shared" si="881"/>
        <v>7.8130929302474916</v>
      </c>
      <c r="DE85" s="134"/>
      <c r="DF85" s="13">
        <v>24.329933055850429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 t="e">
        <f t="shared" si="887"/>
        <v>#DIV/0!</v>
      </c>
      <c r="BN86" s="13" t="e">
        <f t="shared" si="887"/>
        <v>#DIV/0!</v>
      </c>
      <c r="BO86" s="13" t="e">
        <f t="shared" si="887"/>
        <v>#DIV/0!</v>
      </c>
      <c r="BP86" s="13" t="e">
        <f t="shared" si="887"/>
        <v>#DIV/0!</v>
      </c>
      <c r="BQ86" s="13" t="e">
        <f t="shared" si="887"/>
        <v>#DIV/0!</v>
      </c>
      <c r="BR86" s="13" t="e">
        <f t="shared" ref="BR86:CH86" si="888">+BR78/BR69</f>
        <v>#DIV/0!</v>
      </c>
      <c r="BS86" s="13" t="e">
        <f t="shared" si="888"/>
        <v>#DIV/0!</v>
      </c>
      <c r="BT86" s="13" t="e">
        <f t="shared" si="888"/>
        <v>#DIV/0!</v>
      </c>
      <c r="BU86" s="13">
        <f t="shared" si="888"/>
        <v>0</v>
      </c>
      <c r="BV86" s="13">
        <f t="shared" si="888"/>
        <v>0</v>
      </c>
      <c r="BW86" s="13">
        <f t="shared" si="888"/>
        <v>0</v>
      </c>
      <c r="BX86" s="13">
        <f t="shared" si="888"/>
        <v>0</v>
      </c>
      <c r="BY86" s="13">
        <f t="shared" si="888"/>
        <v>22.023706176961607</v>
      </c>
      <c r="BZ86" s="13">
        <f t="shared" si="888"/>
        <v>45.203702511268524</v>
      </c>
      <c r="CA86" s="13">
        <f t="shared" si="888"/>
        <v>37.568823529411773</v>
      </c>
      <c r="CB86" s="13">
        <f t="shared" si="888"/>
        <v>66.385800328527097</v>
      </c>
      <c r="CC86" s="13">
        <f t="shared" si="888"/>
        <v>65.555026135906687</v>
      </c>
      <c r="CD86" s="13">
        <f t="shared" si="888"/>
        <v>86.73002837885771</v>
      </c>
      <c r="CE86" s="13">
        <f t="shared" si="888"/>
        <v>37.333503401360538</v>
      </c>
      <c r="CF86" s="13">
        <f t="shared" si="888"/>
        <v>52.906914893617014</v>
      </c>
      <c r="CG86" s="13">
        <f t="shared" si="888"/>
        <v>56.446013903268749</v>
      </c>
      <c r="CH86" s="13">
        <f t="shared" si="888"/>
        <v>55.130611005033835</v>
      </c>
      <c r="CI86" s="13">
        <f t="shared" ref="CI86:CJ86" si="889">+CI78/CI69</f>
        <v>48.891713863060005</v>
      </c>
      <c r="CJ86" s="13">
        <f t="shared" si="889"/>
        <v>33.398287160639363</v>
      </c>
      <c r="CK86" s="13">
        <f t="shared" ref="CK86:CL86" si="890">+CK78/CK69</f>
        <v>41.160634524435096</v>
      </c>
      <c r="CL86" s="13">
        <f t="shared" si="890"/>
        <v>36.320213475650434</v>
      </c>
      <c r="CM86" s="60">
        <f t="shared" ref="CM86:CM87" si="891">+CL86</f>
        <v>36.320213475650434</v>
      </c>
      <c r="CN86" s="60">
        <f t="shared" ref="CN86:CN87" si="892">+CM86</f>
        <v>36.320213475650434</v>
      </c>
      <c r="CO86" s="60">
        <f t="shared" ref="CO86:CO87" si="893">+CN86</f>
        <v>36.320213475650434</v>
      </c>
      <c r="CP86" s="60">
        <f t="shared" ref="CP86:CP87" si="894">+CO86</f>
        <v>36.320213475650434</v>
      </c>
      <c r="CQ86" s="60">
        <f t="shared" ref="CQ86:CQ87" si="895">+CP86</f>
        <v>36.320213475650434</v>
      </c>
      <c r="CR86" s="60">
        <f t="shared" ref="CR86:CR87" si="896">+CQ86</f>
        <v>36.320213475650434</v>
      </c>
      <c r="CS86" s="60">
        <f t="shared" ref="CS86:CS87" si="897">+CR86</f>
        <v>36.320213475650434</v>
      </c>
      <c r="CT86" s="60">
        <f t="shared" ref="CT86:CT87" si="898">+CS86</f>
        <v>36.320213475650434</v>
      </c>
      <c r="CU86" s="60">
        <f t="shared" ref="CU86:CU87" si="899">+CT86</f>
        <v>36.320213475650434</v>
      </c>
      <c r="CV86" s="60">
        <f t="shared" ref="CV86:CV87" si="900">+CU86</f>
        <v>36.320213475650434</v>
      </c>
      <c r="CW86" s="60">
        <f t="shared" ref="CW86:CW87" si="901">+CV86</f>
        <v>36.320213475650434</v>
      </c>
      <c r="CX86" s="60">
        <f t="shared" ref="CX86:CX87" si="902">+CW86</f>
        <v>36.320213475650434</v>
      </c>
      <c r="CY86" s="60">
        <f t="shared" ref="CY86:CY87" si="903">+CX86</f>
        <v>36.320213475650434</v>
      </c>
      <c r="CZ86" s="60">
        <f t="shared" ref="CZ86:CZ87" si="904">+CY86</f>
        <v>36.320213475650434</v>
      </c>
      <c r="DA86" s="60">
        <f t="shared" ref="DA86:DA87" si="905">+CZ86</f>
        <v>36.320213475650434</v>
      </c>
      <c r="DB86" s="60">
        <f t="shared" ref="DB86:DB87" si="906">+DA86</f>
        <v>36.320213475650434</v>
      </c>
      <c r="DE86" s="136"/>
      <c r="DF86" s="13">
        <v>34.5671180028476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 t="e">
        <f t="shared" si="910"/>
        <v>#DIV/0!</v>
      </c>
      <c r="BN87" s="13" t="e">
        <f t="shared" si="910"/>
        <v>#DIV/0!</v>
      </c>
      <c r="BO87" s="13" t="e">
        <f t="shared" si="910"/>
        <v>#DIV/0!</v>
      </c>
      <c r="BP87" s="13" t="e">
        <f t="shared" si="910"/>
        <v>#DIV/0!</v>
      </c>
      <c r="BQ87" s="13" t="e">
        <f t="shared" si="910"/>
        <v>#DIV/0!</v>
      </c>
      <c r="BR87" s="13" t="e">
        <f t="shared" ref="BR87:CH87" si="911">+BR79/BR69</f>
        <v>#DIV/0!</v>
      </c>
      <c r="BS87" s="13" t="e">
        <f t="shared" si="911"/>
        <v>#DIV/0!</v>
      </c>
      <c r="BT87" s="13" t="e">
        <f t="shared" si="911"/>
        <v>#DIV/0!</v>
      </c>
      <c r="BU87" s="13">
        <f t="shared" si="911"/>
        <v>0</v>
      </c>
      <c r="BV87" s="13">
        <f t="shared" si="911"/>
        <v>0</v>
      </c>
      <c r="BW87" s="13">
        <f t="shared" si="911"/>
        <v>0</v>
      </c>
      <c r="BX87" s="13">
        <f t="shared" si="911"/>
        <v>0</v>
      </c>
      <c r="BY87" s="13">
        <f t="shared" si="911"/>
        <v>0</v>
      </c>
      <c r="BZ87" s="13">
        <f t="shared" si="911"/>
        <v>19.371410173857054</v>
      </c>
      <c r="CA87" s="13">
        <f t="shared" si="911"/>
        <v>20.877367896311071</v>
      </c>
      <c r="CB87" s="13">
        <f t="shared" si="911"/>
        <v>28.4728965139624</v>
      </c>
      <c r="CC87" s="13">
        <f t="shared" si="911"/>
        <v>33.854543626859659</v>
      </c>
      <c r="CD87" s="13">
        <f t="shared" si="911"/>
        <v>56.175505498403666</v>
      </c>
      <c r="CE87" s="13">
        <f t="shared" si="911"/>
        <v>26.026615646258499</v>
      </c>
      <c r="CF87" s="13">
        <f t="shared" si="911"/>
        <v>29.063996010638292</v>
      </c>
      <c r="CG87" s="13">
        <f t="shared" si="911"/>
        <v>31.749914953409263</v>
      </c>
      <c r="CH87" s="13">
        <f t="shared" si="911"/>
        <v>30.859329977434466</v>
      </c>
      <c r="CI87" s="13">
        <f t="shared" ref="CI87:CJ87" si="912">+CI79/CI69</f>
        <v>36.861834319526622</v>
      </c>
      <c r="CJ87" s="13">
        <f t="shared" si="912"/>
        <v>28.649921986061507</v>
      </c>
      <c r="CK87" s="13">
        <f t="shared" ref="CK87:CL87" si="913">+CK79/CK69</f>
        <v>28.25882159747766</v>
      </c>
      <c r="CL87" s="13">
        <f t="shared" si="913"/>
        <v>22.816544362908608</v>
      </c>
      <c r="CM87" s="60">
        <f t="shared" si="891"/>
        <v>22.816544362908608</v>
      </c>
      <c r="CN87" s="60">
        <f t="shared" si="892"/>
        <v>22.816544362908608</v>
      </c>
      <c r="CO87" s="60">
        <f t="shared" si="893"/>
        <v>22.816544362908608</v>
      </c>
      <c r="CP87" s="60">
        <f t="shared" si="894"/>
        <v>22.816544362908608</v>
      </c>
      <c r="CQ87" s="60">
        <f t="shared" si="895"/>
        <v>22.816544362908608</v>
      </c>
      <c r="CR87" s="60">
        <f t="shared" si="896"/>
        <v>22.816544362908608</v>
      </c>
      <c r="CS87" s="60">
        <f t="shared" si="897"/>
        <v>22.816544362908608</v>
      </c>
      <c r="CT87" s="60">
        <f t="shared" si="898"/>
        <v>22.816544362908608</v>
      </c>
      <c r="CU87" s="60">
        <f t="shared" si="899"/>
        <v>22.816544362908608</v>
      </c>
      <c r="CV87" s="60">
        <f t="shared" si="900"/>
        <v>22.816544362908608</v>
      </c>
      <c r="CW87" s="60">
        <f t="shared" si="901"/>
        <v>22.816544362908608</v>
      </c>
      <c r="CX87" s="60">
        <f t="shared" si="902"/>
        <v>22.816544362908608</v>
      </c>
      <c r="CY87" s="60">
        <f t="shared" si="903"/>
        <v>22.816544362908608</v>
      </c>
      <c r="CZ87" s="60">
        <f t="shared" si="904"/>
        <v>22.816544362908608</v>
      </c>
      <c r="DA87" s="60">
        <f t="shared" si="905"/>
        <v>22.816544362908608</v>
      </c>
      <c r="DB87" s="60">
        <f t="shared" si="906"/>
        <v>22.816544362908608</v>
      </c>
      <c r="DE87" s="136"/>
      <c r="DF87" s="13">
        <v>21.715240796660673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 t="e">
        <f t="shared" si="916"/>
        <v>#DIV/0!</v>
      </c>
      <c r="BJ89" s="13" t="e">
        <f t="shared" si="916"/>
        <v>#DIV/0!</v>
      </c>
      <c r="BK89" s="13" t="e">
        <f t="shared" si="916"/>
        <v>#DIV/0!</v>
      </c>
      <c r="BL89" s="13" t="e">
        <f t="shared" si="916"/>
        <v>#DIV/0!</v>
      </c>
      <c r="BM89" s="13" t="e">
        <f t="shared" si="916"/>
        <v>#DIV/0!</v>
      </c>
      <c r="BN89" s="13" t="e">
        <f t="shared" si="916"/>
        <v>#DIV/0!</v>
      </c>
      <c r="BO89" s="13" t="e">
        <f t="shared" si="916"/>
        <v>#DIV/0!</v>
      </c>
      <c r="BP89" s="13" t="e">
        <f t="shared" si="916"/>
        <v>#DIV/0!</v>
      </c>
      <c r="BQ89" s="13">
        <f t="shared" si="916"/>
        <v>0</v>
      </c>
      <c r="BR89" s="13">
        <f t="shared" ref="BR89:CL89" si="917">+BR78/BV69</f>
        <v>0</v>
      </c>
      <c r="BS89" s="13">
        <f t="shared" si="917"/>
        <v>0</v>
      </c>
      <c r="BT89" s="13">
        <f t="shared" si="917"/>
        <v>0</v>
      </c>
      <c r="BU89" s="13">
        <f t="shared" si="917"/>
        <v>0</v>
      </c>
      <c r="BV89" s="13">
        <f t="shared" si="917"/>
        <v>0</v>
      </c>
      <c r="BW89" s="13">
        <f t="shared" si="917"/>
        <v>0</v>
      </c>
      <c r="BX89" s="13">
        <f t="shared" si="917"/>
        <v>0</v>
      </c>
      <c r="BY89" s="13">
        <f t="shared" si="917"/>
        <v>12.377080820265377</v>
      </c>
      <c r="BZ89" s="13">
        <f t="shared" si="917"/>
        <v>24.90292656970556</v>
      </c>
      <c r="CA89" s="13">
        <f t="shared" si="917"/>
        <v>10.680705782312922</v>
      </c>
      <c r="CB89" s="13">
        <f t="shared" si="917"/>
        <v>17.274306610942244</v>
      </c>
      <c r="CC89" s="13">
        <f t="shared" si="917"/>
        <v>18.085566114480105</v>
      </c>
      <c r="CD89" s="13">
        <f t="shared" si="917"/>
        <v>25.463490713417801</v>
      </c>
      <c r="CE89" s="13">
        <f t="shared" si="917"/>
        <v>27.834446322907858</v>
      </c>
      <c r="CF89" s="13">
        <f t="shared" si="917"/>
        <v>38.625845151000306</v>
      </c>
      <c r="CG89" s="13">
        <f t="shared" si="917"/>
        <v>50.135509721492376</v>
      </c>
      <c r="CH89" s="13">
        <f t="shared" si="917"/>
        <v>50.447512627465933</v>
      </c>
      <c r="CI89" s="13">
        <f t="shared" si="917"/>
        <v>35.498622489303642</v>
      </c>
      <c r="CJ89" s="13">
        <f t="shared" si="917"/>
        <v>27.13197817790159</v>
      </c>
      <c r="CK89" s="13">
        <f t="shared" si="917"/>
        <v>34.723485820844871</v>
      </c>
      <c r="CL89" s="13">
        <f t="shared" si="917"/>
        <v>29.875263399787272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24.076361501558875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 t="e">
        <f t="shared" si="918"/>
        <v>#DIV/0!</v>
      </c>
      <c r="BS90" s="175" t="e">
        <f t="shared" si="918"/>
        <v>#DIV/0!</v>
      </c>
      <c r="BT90" s="175" t="e">
        <f t="shared" si="918"/>
        <v>#DIV/0!</v>
      </c>
      <c r="BU90" s="175" t="e">
        <f t="shared" si="918"/>
        <v>#DIV/0!</v>
      </c>
      <c r="BV90" s="175" t="e">
        <f t="shared" si="918"/>
        <v>#DIV/0!</v>
      </c>
      <c r="BW90" s="175" t="e">
        <f t="shared" si="918"/>
        <v>#DIV/0!</v>
      </c>
      <c r="BX90" s="175" t="e">
        <f t="shared" si="918"/>
        <v>#DIV/0!</v>
      </c>
      <c r="BY90" s="175">
        <f t="shared" si="918"/>
        <v>0.7646498504790249</v>
      </c>
      <c r="BZ90" s="175">
        <f t="shared" si="918"/>
        <v>0.87181202887923015</v>
      </c>
      <c r="CA90" s="175">
        <f t="shared" si="918"/>
        <v>0.93823818723965502</v>
      </c>
      <c r="CB90" s="175">
        <f t="shared" si="918"/>
        <v>0.90091985340002179</v>
      </c>
      <c r="CC90" s="175">
        <f t="shared" si="918"/>
        <v>0.69596168404438863</v>
      </c>
      <c r="CD90" s="175">
        <f t="shared" si="918"/>
        <v>0.83880491210338004</v>
      </c>
      <c r="CE90" s="175">
        <f t="shared" si="918"/>
        <v>-0.77141832087935025</v>
      </c>
      <c r="CF90" s="175">
        <f t="shared" si="918"/>
        <v>-0.7495634101214802</v>
      </c>
      <c r="CG90" s="175">
        <f t="shared" si="918"/>
        <v>-0.61700087856066044</v>
      </c>
      <c r="CH90" s="175">
        <f t="shared" si="918"/>
        <v>0.84618120246750361</v>
      </c>
      <c r="CI90" s="175">
        <f t="shared" si="918"/>
        <v>0.60649289917437776</v>
      </c>
      <c r="CJ90" s="175">
        <f>+CORREL(CG69:CJ69,CG86:CJ86)</f>
        <v>-0.21736868160126965</v>
      </c>
      <c r="CK90" s="175">
        <f>+CORREL(CH69:CK69,CH86:CK86)</f>
        <v>-0.33495534909384478</v>
      </c>
      <c r="CL90" s="175">
        <f>+CORREL(CI69:CL69,CI86:CL86)</f>
        <v>-0.76519735078696349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-0.7878495865255325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</v>
      </c>
      <c r="BN92" s="162">
        <f t="shared" si="920"/>
        <v>0</v>
      </c>
      <c r="BO92" s="162">
        <f t="shared" si="920"/>
        <v>0</v>
      </c>
      <c r="BP92" s="162">
        <f t="shared" si="920"/>
        <v>0</v>
      </c>
      <c r="BQ92" s="162">
        <f t="shared" si="920"/>
        <v>0</v>
      </c>
      <c r="BR92" s="162">
        <f t="shared" ref="BR92:DB92" si="921">+BR$120/BR$65</f>
        <v>0</v>
      </c>
      <c r="BS92" s="162">
        <f t="shared" si="921"/>
        <v>0</v>
      </c>
      <c r="BT92" s="162">
        <f t="shared" si="921"/>
        <v>0</v>
      </c>
      <c r="BU92" s="162">
        <f t="shared" si="921"/>
        <v>0.20916905444126091</v>
      </c>
      <c r="BV92" s="162">
        <f t="shared" si="921"/>
        <v>1.0697230181470869</v>
      </c>
      <c r="BW92" s="162">
        <f t="shared" si="921"/>
        <v>1.9474689589302765</v>
      </c>
      <c r="BX92" s="162">
        <f t="shared" si="921"/>
        <v>0</v>
      </c>
      <c r="BY92" s="162">
        <f t="shared" si="921"/>
        <v>1.1232091690544401</v>
      </c>
      <c r="BZ92" s="162">
        <f t="shared" si="921"/>
        <v>19.659025787965611</v>
      </c>
      <c r="CA92" s="162">
        <f t="shared" si="921"/>
        <v>20.876790830945556</v>
      </c>
      <c r="CB92" s="162">
        <f t="shared" si="921"/>
        <v>22.47659980897803</v>
      </c>
      <c r="CC92" s="162">
        <f t="shared" si="921"/>
        <v>25.492836676217763</v>
      </c>
      <c r="CD92" s="162">
        <f t="shared" si="921"/>
        <v>27.737344794651381</v>
      </c>
      <c r="CE92" s="162">
        <f t="shared" si="921"/>
        <v>37.725883476599805</v>
      </c>
      <c r="CF92" s="162">
        <f t="shared" si="921"/>
        <v>82.569245463228256</v>
      </c>
      <c r="CG92" s="162">
        <f t="shared" si="921"/>
        <v>91.304680038204381</v>
      </c>
      <c r="CH92" s="162">
        <f t="shared" si="921"/>
        <v>95.211174785100269</v>
      </c>
      <c r="CI92" s="162">
        <f t="shared" si="921"/>
        <v>100.28567335243551</v>
      </c>
      <c r="CJ92" s="162">
        <f t="shared" si="921"/>
        <v>120.49188156638012</v>
      </c>
      <c r="CK92" s="162">
        <f t="shared" si="921"/>
        <v>130.61700095510983</v>
      </c>
      <c r="CL92" s="162">
        <f t="shared" si="921"/>
        <v>135.53390639923589</v>
      </c>
      <c r="CM92" s="21">
        <f t="shared" si="921"/>
        <v>141.66624529731735</v>
      </c>
      <c r="CN92" s="21">
        <f t="shared" si="921"/>
        <v>154.26362829402527</v>
      </c>
      <c r="CO92" s="21">
        <f t="shared" si="921"/>
        <v>165.09794243844985</v>
      </c>
      <c r="CP92" s="21">
        <f t="shared" si="921"/>
        <v>172.08588538556262</v>
      </c>
      <c r="CQ92" s="21">
        <f t="shared" si="921"/>
        <v>181.35783307554493</v>
      </c>
      <c r="CR92" s="21">
        <f t="shared" si="921"/>
        <v>199.05387130688584</v>
      </c>
      <c r="CS92" s="21">
        <f t="shared" si="921"/>
        <v>214.10568071537884</v>
      </c>
      <c r="CT92" s="21">
        <f t="shared" si="921"/>
        <v>224.2093261492974</v>
      </c>
      <c r="CU92" s="21">
        <f t="shared" si="921"/>
        <v>237.12239213396171</v>
      </c>
      <c r="CV92" s="21">
        <f t="shared" si="921"/>
        <v>261.44813326970831</v>
      </c>
      <c r="CW92" s="21">
        <f t="shared" si="921"/>
        <v>282.14690063344375</v>
      </c>
      <c r="CX92" s="21">
        <f t="shared" si="921"/>
        <v>296.08858615273436</v>
      </c>
      <c r="CY92" s="21">
        <f t="shared" si="921"/>
        <v>313.78377995179477</v>
      </c>
      <c r="CZ92" s="21">
        <f t="shared" si="921"/>
        <v>347.07502560475399</v>
      </c>
      <c r="DA92" s="21">
        <f t="shared" si="921"/>
        <v>375.39996240701419</v>
      </c>
      <c r="DB92" s="21">
        <f t="shared" si="921"/>
        <v>394.46192010150304</v>
      </c>
      <c r="DE92" s="22"/>
      <c r="DF92" s="162">
        <v>137.05012360722338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 t="e">
        <f t="shared" si="924"/>
        <v>#DIV/0!</v>
      </c>
      <c r="BN94" s="162" t="e">
        <f t="shared" si="924"/>
        <v>#DIV/0!</v>
      </c>
      <c r="BO94" s="162" t="e">
        <f t="shared" si="924"/>
        <v>#DIV/0!</v>
      </c>
      <c r="BP94" s="162" t="e">
        <f t="shared" si="924"/>
        <v>#DIV/0!</v>
      </c>
      <c r="BQ94" s="162" t="e">
        <f t="shared" si="924"/>
        <v>#DIV/0!</v>
      </c>
      <c r="BR94" s="162" t="e">
        <f t="shared" si="924"/>
        <v>#DIV/0!</v>
      </c>
      <c r="BS94" s="162" t="e">
        <f t="shared" si="924"/>
        <v>#DIV/0!</v>
      </c>
      <c r="BT94" s="162" t="e">
        <f t="shared" si="924"/>
        <v>#DIV/0!</v>
      </c>
      <c r="BU94" s="162">
        <f t="shared" si="924"/>
        <v>0</v>
      </c>
      <c r="BV94" s="162">
        <f t="shared" si="924"/>
        <v>0</v>
      </c>
      <c r="BW94" s="162">
        <f t="shared" si="924"/>
        <v>0</v>
      </c>
      <c r="BX94" s="162" t="e">
        <f t="shared" si="924"/>
        <v>#DIV/0!</v>
      </c>
      <c r="BY94" s="162">
        <f t="shared" si="924"/>
        <v>78.525000000000077</v>
      </c>
      <c r="BZ94" s="162">
        <f t="shared" si="924"/>
        <v>4.898513336248361</v>
      </c>
      <c r="CA94" s="162">
        <f t="shared" si="924"/>
        <v>7.8556135053527321</v>
      </c>
      <c r="CB94" s="162">
        <f t="shared" si="924"/>
        <v>11.298417116389752</v>
      </c>
      <c r="CC94" s="162">
        <f t="shared" si="924"/>
        <v>18.324755535573789</v>
      </c>
      <c r="CD94" s="162">
        <f t="shared" si="924"/>
        <v>19.201549533418273</v>
      </c>
      <c r="CE94" s="162">
        <f t="shared" si="924"/>
        <v>15.318395402415252</v>
      </c>
      <c r="CF94" s="162">
        <f t="shared" si="924"/>
        <v>10.067913244650088</v>
      </c>
      <c r="CG94" s="162">
        <f t="shared" si="924"/>
        <v>14.453256935436633</v>
      </c>
      <c r="CH94" s="162">
        <f t="shared" si="924"/>
        <v>9.7199724936575933</v>
      </c>
      <c r="CI94" s="162">
        <f t="shared" si="924"/>
        <v>8.6313425543647533</v>
      </c>
      <c r="CJ94" s="162">
        <f>+CJ77/CJ$92</f>
        <v>7.1050430026554645</v>
      </c>
      <c r="CK94" s="162">
        <f>+CK77/CK$92</f>
        <v>7.7631548158764518</v>
      </c>
      <c r="CL94" s="162">
        <f>+CL77/CL$92</f>
        <v>5.6709056827150759</v>
      </c>
      <c r="CM94" s="21">
        <f t="shared" ref="CM94:DB94" si="925">+CM77/CM$92</f>
        <v>5.4254279019460574</v>
      </c>
      <c r="CN94" s="21">
        <f t="shared" si="925"/>
        <v>4.9823798940801165</v>
      </c>
      <c r="CO94" s="21">
        <f t="shared" si="925"/>
        <v>4.655418405874693</v>
      </c>
      <c r="CP94" s="21">
        <f t="shared" si="925"/>
        <v>4.466374440169413</v>
      </c>
      <c r="CQ94" s="21">
        <f t="shared" si="925"/>
        <v>4.2380303456748862</v>
      </c>
      <c r="CR94" s="21">
        <f t="shared" si="925"/>
        <v>3.86126627406825</v>
      </c>
      <c r="CS94" s="21">
        <f t="shared" si="925"/>
        <v>3.5898160078327752</v>
      </c>
      <c r="CT94" s="21">
        <f t="shared" si="925"/>
        <v>3.428046518850878</v>
      </c>
      <c r="CU94" s="21">
        <f t="shared" si="925"/>
        <v>3.2413640613315899</v>
      </c>
      <c r="CV94" s="21">
        <f t="shared" si="925"/>
        <v>2.939780025918628</v>
      </c>
      <c r="CW94" s="21">
        <f t="shared" si="925"/>
        <v>2.7241128584947338</v>
      </c>
      <c r="CX94" s="21">
        <f t="shared" si="925"/>
        <v>2.5958447435846965</v>
      </c>
      <c r="CY94" s="21">
        <f t="shared" si="925"/>
        <v>2.4494573942543387</v>
      </c>
      <c r="CZ94" s="21">
        <f t="shared" si="925"/>
        <v>2.2145067875764561</v>
      </c>
      <c r="DA94" s="21">
        <f t="shared" si="925"/>
        <v>2.0474162945351404</v>
      </c>
      <c r="DB94" s="21">
        <f t="shared" si="925"/>
        <v>1.948477054013791</v>
      </c>
      <c r="DE94" s="22"/>
      <c r="DF94" s="162">
        <v>5.6081671418462706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 t="e">
        <f t="shared" si="924"/>
        <v>#DIV/0!</v>
      </c>
      <c r="BN95" s="162" t="e">
        <f t="shared" si="924"/>
        <v>#DIV/0!</v>
      </c>
      <c r="BO95" s="162" t="e">
        <f t="shared" si="924"/>
        <v>#DIV/0!</v>
      </c>
      <c r="BP95" s="162" t="e">
        <f t="shared" si="924"/>
        <v>#DIV/0!</v>
      </c>
      <c r="BQ95" s="162" t="e">
        <f t="shared" si="924"/>
        <v>#DIV/0!</v>
      </c>
      <c r="BR95" s="162" t="e">
        <f t="shared" si="924"/>
        <v>#DIV/0!</v>
      </c>
      <c r="BS95" s="162" t="e">
        <f t="shared" si="924"/>
        <v>#DIV/0!</v>
      </c>
      <c r="BT95" s="162" t="e">
        <f t="shared" si="924"/>
        <v>#DIV/0!</v>
      </c>
      <c r="BU95" s="162">
        <f t="shared" si="924"/>
        <v>0</v>
      </c>
      <c r="BV95" s="162">
        <f t="shared" si="924"/>
        <v>0</v>
      </c>
      <c r="BW95" s="162">
        <f t="shared" si="924"/>
        <v>0</v>
      </c>
      <c r="BX95" s="162" t="e">
        <f t="shared" si="924"/>
        <v>#DIV/0!</v>
      </c>
      <c r="BY95" s="162">
        <f t="shared" si="924"/>
        <v>78.525000000000077</v>
      </c>
      <c r="BZ95" s="162">
        <f t="shared" si="924"/>
        <v>10.231941407958027</v>
      </c>
      <c r="CA95" s="162">
        <f t="shared" si="924"/>
        <v>8.6196198188306354</v>
      </c>
      <c r="CB95" s="162">
        <f t="shared" si="924"/>
        <v>15.456074448646582</v>
      </c>
      <c r="CC95" s="162">
        <f t="shared" si="924"/>
        <v>18.324755535573789</v>
      </c>
      <c r="CD95" s="162">
        <f t="shared" si="924"/>
        <v>25.256563134878277</v>
      </c>
      <c r="CE95" s="162">
        <f t="shared" si="924"/>
        <v>16.672903111471179</v>
      </c>
      <c r="CF95" s="162">
        <f t="shared" si="924"/>
        <v>12.886153846153848</v>
      </c>
      <c r="CG95" s="162">
        <f t="shared" si="924"/>
        <v>15.968513326917446</v>
      </c>
      <c r="CH95" s="162">
        <f t="shared" si="924"/>
        <v>15.93037795640516</v>
      </c>
      <c r="CI95" s="162">
        <f t="shared" si="924"/>
        <v>11.017027288805334</v>
      </c>
      <c r="CJ95" s="162">
        <f t="shared" ref="CJ95:CK96" si="927">+CJ78/CJ$92</f>
        <v>7.6353691886964459</v>
      </c>
      <c r="CK95" s="162">
        <f t="shared" si="927"/>
        <v>9.164197548919244</v>
      </c>
      <c r="CL95" s="162">
        <f t="shared" ref="CL95" si="928">+CL78/CL$92</f>
        <v>8.0570244672454638</v>
      </c>
      <c r="CM95" s="94">
        <f t="shared" ref="CM95:DB95" si="929">+CL95</f>
        <v>8.0570244672454638</v>
      </c>
      <c r="CN95" s="94">
        <f t="shared" si="929"/>
        <v>8.0570244672454638</v>
      </c>
      <c r="CO95" s="94">
        <f t="shared" si="929"/>
        <v>8.0570244672454638</v>
      </c>
      <c r="CP95" s="94">
        <f t="shared" si="929"/>
        <v>8.0570244672454638</v>
      </c>
      <c r="CQ95" s="94">
        <f t="shared" si="929"/>
        <v>8.0570244672454638</v>
      </c>
      <c r="CR95" s="94">
        <f t="shared" si="929"/>
        <v>8.0570244672454638</v>
      </c>
      <c r="CS95" s="94">
        <f t="shared" si="929"/>
        <v>8.0570244672454638</v>
      </c>
      <c r="CT95" s="94">
        <f t="shared" si="929"/>
        <v>8.0570244672454638</v>
      </c>
      <c r="CU95" s="94">
        <f t="shared" si="929"/>
        <v>8.0570244672454638</v>
      </c>
      <c r="CV95" s="94">
        <f t="shared" si="929"/>
        <v>8.0570244672454638</v>
      </c>
      <c r="CW95" s="94">
        <f t="shared" si="929"/>
        <v>8.0570244672454638</v>
      </c>
      <c r="CX95" s="94">
        <f t="shared" si="929"/>
        <v>8.0570244672454638</v>
      </c>
      <c r="CY95" s="94">
        <f t="shared" si="929"/>
        <v>8.0570244672454638</v>
      </c>
      <c r="CZ95" s="94">
        <f t="shared" si="929"/>
        <v>8.0570244672454638</v>
      </c>
      <c r="DA95" s="94">
        <f t="shared" si="929"/>
        <v>8.0570244672454638</v>
      </c>
      <c r="DB95" s="94">
        <f t="shared" si="929"/>
        <v>8.0570244672454638</v>
      </c>
      <c r="DC95" s="94"/>
      <c r="DE95" s="22"/>
      <c r="DF95" s="162">
        <v>7.9678877425138266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 t="e">
        <f t="shared" si="924"/>
        <v>#DIV/0!</v>
      </c>
      <c r="BN96" s="162" t="e">
        <f t="shared" si="924"/>
        <v>#DIV/0!</v>
      </c>
      <c r="BO96" s="162" t="e">
        <f t="shared" si="924"/>
        <v>#DIV/0!</v>
      </c>
      <c r="BP96" s="162" t="e">
        <f t="shared" si="924"/>
        <v>#DIV/0!</v>
      </c>
      <c r="BQ96" s="162" t="e">
        <f t="shared" si="924"/>
        <v>#DIV/0!</v>
      </c>
      <c r="BR96" s="162" t="e">
        <f t="shared" si="924"/>
        <v>#DIV/0!</v>
      </c>
      <c r="BS96" s="162" t="e">
        <f t="shared" si="924"/>
        <v>#DIV/0!</v>
      </c>
      <c r="BT96" s="162" t="e">
        <f t="shared" si="924"/>
        <v>#DIV/0!</v>
      </c>
      <c r="BU96" s="162">
        <f t="shared" si="924"/>
        <v>0</v>
      </c>
      <c r="BV96" s="162">
        <f t="shared" si="924"/>
        <v>0</v>
      </c>
      <c r="BW96" s="162">
        <f t="shared" si="924"/>
        <v>0</v>
      </c>
      <c r="BX96" s="162" t="e">
        <f t="shared" si="924"/>
        <v>#DIV/0!</v>
      </c>
      <c r="BY96" s="162">
        <f t="shared" si="924"/>
        <v>0</v>
      </c>
      <c r="BZ96" s="162">
        <f t="shared" si="924"/>
        <v>4.3847544089782842</v>
      </c>
      <c r="CA96" s="162">
        <f t="shared" si="924"/>
        <v>4.7900082349711779</v>
      </c>
      <c r="CB96" s="162">
        <f t="shared" si="924"/>
        <v>6.6291165597246424</v>
      </c>
      <c r="CC96" s="162">
        <f t="shared" si="924"/>
        <v>9.4634427335056763</v>
      </c>
      <c r="CD96" s="162">
        <f t="shared" si="924"/>
        <v>16.358811680038567</v>
      </c>
      <c r="CE96" s="162">
        <f t="shared" si="924"/>
        <v>11.623319577710829</v>
      </c>
      <c r="CF96" s="162">
        <f t="shared" si="924"/>
        <v>7.0789068825910944</v>
      </c>
      <c r="CG96" s="162">
        <f t="shared" si="924"/>
        <v>8.9820149378635108</v>
      </c>
      <c r="CH96" s="162">
        <f t="shared" si="924"/>
        <v>8.9170205274356213</v>
      </c>
      <c r="CI96" s="162">
        <f t="shared" si="924"/>
        <v>8.3062711966102576</v>
      </c>
      <c r="CJ96" s="162">
        <f t="shared" si="927"/>
        <v>6.5498188736078644</v>
      </c>
      <c r="CK96" s="162">
        <f t="shared" si="927"/>
        <v>6.2916771476205797</v>
      </c>
      <c r="CL96" s="162">
        <f t="shared" ref="CL96" si="931">+CL79/CL$92</f>
        <v>5.0614640883977913</v>
      </c>
      <c r="CM96" s="94">
        <f t="shared" ref="CM96:DB96" si="932">+CL96</f>
        <v>5.0614640883977913</v>
      </c>
      <c r="CN96" s="94">
        <f t="shared" si="932"/>
        <v>5.0614640883977913</v>
      </c>
      <c r="CO96" s="94">
        <f t="shared" si="932"/>
        <v>5.0614640883977913</v>
      </c>
      <c r="CP96" s="94">
        <f t="shared" si="932"/>
        <v>5.0614640883977913</v>
      </c>
      <c r="CQ96" s="94">
        <f t="shared" si="932"/>
        <v>5.0614640883977913</v>
      </c>
      <c r="CR96" s="94">
        <f t="shared" si="932"/>
        <v>5.0614640883977913</v>
      </c>
      <c r="CS96" s="94">
        <f t="shared" si="932"/>
        <v>5.0614640883977913</v>
      </c>
      <c r="CT96" s="94">
        <f t="shared" si="932"/>
        <v>5.0614640883977913</v>
      </c>
      <c r="CU96" s="94">
        <f t="shared" si="932"/>
        <v>5.0614640883977913</v>
      </c>
      <c r="CV96" s="94">
        <f t="shared" si="932"/>
        <v>5.0614640883977913</v>
      </c>
      <c r="CW96" s="94">
        <f t="shared" si="932"/>
        <v>5.0614640883977913</v>
      </c>
      <c r="CX96" s="94">
        <f t="shared" si="932"/>
        <v>5.0614640883977913</v>
      </c>
      <c r="CY96" s="94">
        <f t="shared" si="932"/>
        <v>5.0614640883977913</v>
      </c>
      <c r="CZ96" s="94">
        <f t="shared" si="932"/>
        <v>5.0614640883977913</v>
      </c>
      <c r="DA96" s="94">
        <f t="shared" si="932"/>
        <v>5.0614640883977913</v>
      </c>
      <c r="DB96" s="94">
        <f t="shared" si="932"/>
        <v>5.0614640883977913</v>
      </c>
      <c r="DC96" s="94"/>
      <c r="DE96" s="22"/>
      <c r="DF96" s="162">
        <v>5.005467940809968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0</v>
      </c>
      <c r="O98" s="177">
        <f t="shared" si="933"/>
        <v>0</v>
      </c>
      <c r="P98" s="177">
        <f t="shared" si="933"/>
        <v>0</v>
      </c>
      <c r="Q98" s="177">
        <f t="shared" si="933"/>
        <v>0</v>
      </c>
      <c r="R98" s="177">
        <f t="shared" si="933"/>
        <v>0</v>
      </c>
      <c r="S98" s="177">
        <f t="shared" si="933"/>
        <v>0</v>
      </c>
      <c r="T98" s="177">
        <f t="shared" si="933"/>
        <v>0</v>
      </c>
      <c r="U98" s="177">
        <f t="shared" si="933"/>
        <v>0</v>
      </c>
      <c r="V98" s="177">
        <f t="shared" si="933"/>
        <v>6.0000000000000001E-3</v>
      </c>
      <c r="W98" s="177">
        <f t="shared" si="933"/>
        <v>5.9393000000000002</v>
      </c>
      <c r="X98" s="177">
        <f t="shared" si="933"/>
        <v>28.6736</v>
      </c>
      <c r="Y98" s="177">
        <f t="shared" si="933"/>
        <v>50.509399999999999</v>
      </c>
      <c r="Z98" s="177">
        <f>+Z10</f>
        <v>126.3224</v>
      </c>
      <c r="AA98" s="177">
        <f>+AA10</f>
        <v>149.4014</v>
      </c>
      <c r="AB98" s="178">
        <f t="shared" ref="AA98:AE98" si="934">+AB10</f>
        <v>205.86680883433232</v>
      </c>
      <c r="AC98" s="178">
        <f t="shared" si="934"/>
        <v>282.32272379557361</v>
      </c>
      <c r="AD98" s="178">
        <f t="shared" si="934"/>
        <v>386.61790090754499</v>
      </c>
      <c r="AE98" s="178">
        <f t="shared" si="934"/>
        <v>529.31958076258104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0</v>
      </c>
      <c r="BN98" s="177">
        <f t="shared" si="935"/>
        <v>0</v>
      </c>
      <c r="BO98" s="177">
        <f t="shared" si="935"/>
        <v>0</v>
      </c>
      <c r="BP98" s="177">
        <f t="shared" si="935"/>
        <v>0</v>
      </c>
      <c r="BQ98" s="177">
        <f t="shared" si="935"/>
        <v>0</v>
      </c>
      <c r="BR98" s="177">
        <f t="shared" ref="BR98:CW98" si="936">+SUM(BO8:BR8)</f>
        <v>0</v>
      </c>
      <c r="BS98" s="177">
        <f t="shared" si="936"/>
        <v>0</v>
      </c>
      <c r="BT98" s="177">
        <f t="shared" si="936"/>
        <v>0</v>
      </c>
      <c r="BU98" s="177">
        <f t="shared" si="936"/>
        <v>1.24</v>
      </c>
      <c r="BV98" s="177">
        <f t="shared" si="936"/>
        <v>5.94</v>
      </c>
      <c r="BW98" s="177">
        <f t="shared" si="936"/>
        <v>11.268000000000001</v>
      </c>
      <c r="BX98" s="177">
        <f t="shared" si="936"/>
        <v>17.831</v>
      </c>
      <c r="BY98" s="177">
        <f t="shared" si="936"/>
        <v>26.283000000000001</v>
      </c>
      <c r="BZ98" s="177">
        <f t="shared" si="936"/>
        <v>28.672999999999998</v>
      </c>
      <c r="CA98" s="177">
        <f t="shared" si="936"/>
        <v>29.869999999999997</v>
      </c>
      <c r="CB98" s="177">
        <f t="shared" si="936"/>
        <v>34.105000000000004</v>
      </c>
      <c r="CC98" s="177">
        <f t="shared" si="936"/>
        <v>42.195</v>
      </c>
      <c r="CD98" s="177">
        <f t="shared" si="936"/>
        <v>50.489000000000004</v>
      </c>
      <c r="CE98" s="177">
        <f t="shared" si="936"/>
        <v>88.418999999999997</v>
      </c>
      <c r="CF98" s="177">
        <f t="shared" si="936"/>
        <v>100.572</v>
      </c>
      <c r="CG98" s="177">
        <f t="shared" si="936"/>
        <v>119.03399999999999</v>
      </c>
      <c r="CH98" s="177">
        <f t="shared" si="936"/>
        <v>126.337</v>
      </c>
      <c r="CI98" s="177">
        <f t="shared" si="936"/>
        <v>109.19300000000001</v>
      </c>
      <c r="CJ98" s="177">
        <f t="shared" si="936"/>
        <v>132.69</v>
      </c>
      <c r="CK98" s="177">
        <f t="shared" si="936"/>
        <v>142.50200000000001</v>
      </c>
      <c r="CL98" s="177">
        <f t="shared" si="936"/>
        <v>149.40199999999999</v>
      </c>
      <c r="CM98" s="178">
        <f t="shared" si="936"/>
        <v>157.6840676444985</v>
      </c>
      <c r="CN98" s="178">
        <f t="shared" si="936"/>
        <v>179.76892662093465</v>
      </c>
      <c r="CO98" s="178">
        <f t="shared" si="936"/>
        <v>195.35410172401265</v>
      </c>
      <c r="CP98" s="178">
        <f t="shared" si="936"/>
        <v>205.86680883433232</v>
      </c>
      <c r="CQ98" s="178">
        <f t="shared" si="936"/>
        <v>218.96894127370436</v>
      </c>
      <c r="CR98" s="178">
        <f t="shared" si="936"/>
        <v>245.30775169955473</v>
      </c>
      <c r="CS98" s="178">
        <f t="shared" si="936"/>
        <v>267.5932586930943</v>
      </c>
      <c r="CT98" s="178">
        <f t="shared" si="936"/>
        <v>282.32272379557361</v>
      </c>
      <c r="CU98" s="178">
        <f t="shared" si="936"/>
        <v>300.35565201228292</v>
      </c>
      <c r="CV98" s="178">
        <f t="shared" si="936"/>
        <v>335.54126277471698</v>
      </c>
      <c r="CW98" s="178">
        <f t="shared" si="936"/>
        <v>366.38548108060058</v>
      </c>
      <c r="CX98" s="178">
        <f t="shared" ref="CX98:DB98" si="937">+SUM(CU8:CX8)</f>
        <v>386.61790090754499</v>
      </c>
      <c r="CY98" s="178">
        <f t="shared" si="937"/>
        <v>411.26928174409687</v>
      </c>
      <c r="CZ98" s="178">
        <f t="shared" si="937"/>
        <v>459.2873441970533</v>
      </c>
      <c r="DA98" s="178">
        <f t="shared" si="937"/>
        <v>501.61368489842869</v>
      </c>
      <c r="DB98" s="178">
        <f t="shared" si="937"/>
        <v>529.31958076258104</v>
      </c>
      <c r="DE98" s="179"/>
      <c r="DF98" s="177">
        <v>150.34929754180996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0</v>
      </c>
      <c r="BN99" s="163">
        <f t="shared" si="940"/>
        <v>0</v>
      </c>
      <c r="BO99" s="163">
        <f t="shared" si="940"/>
        <v>0</v>
      </c>
      <c r="BP99" s="163">
        <f t="shared" si="940"/>
        <v>0</v>
      </c>
      <c r="BQ99" s="163">
        <f t="shared" si="940"/>
        <v>0</v>
      </c>
      <c r="BR99" s="163">
        <f t="shared" ref="BR99:CW99" si="941">+BR98/BR65</f>
        <v>0</v>
      </c>
      <c r="BS99" s="163">
        <f t="shared" si="941"/>
        <v>0</v>
      </c>
      <c r="BT99" s="163">
        <f t="shared" si="941"/>
        <v>0</v>
      </c>
      <c r="BU99" s="163">
        <f t="shared" si="941"/>
        <v>1.184336198662846</v>
      </c>
      <c r="BV99" s="163">
        <f t="shared" si="941"/>
        <v>5.6733524355300853</v>
      </c>
      <c r="BW99" s="163">
        <f t="shared" si="941"/>
        <v>10.762177650429798</v>
      </c>
      <c r="BX99" s="163">
        <f t="shared" si="941"/>
        <v>17.0305635148042</v>
      </c>
      <c r="BY99" s="163">
        <f t="shared" si="941"/>
        <v>25.103151862464181</v>
      </c>
      <c r="BZ99" s="163">
        <f t="shared" si="941"/>
        <v>27.385864374403052</v>
      </c>
      <c r="CA99" s="163">
        <f t="shared" si="941"/>
        <v>28.52913085004775</v>
      </c>
      <c r="CB99" s="163">
        <f t="shared" si="941"/>
        <v>32.574021012416424</v>
      </c>
      <c r="CC99" s="163">
        <f t="shared" si="941"/>
        <v>40.300859598853862</v>
      </c>
      <c r="CD99" s="163">
        <f t="shared" si="941"/>
        <v>48.222540592168095</v>
      </c>
      <c r="CE99" s="163">
        <f t="shared" si="941"/>
        <v>84.449856733524342</v>
      </c>
      <c r="CF99" s="163">
        <f t="shared" si="941"/>
        <v>96.057306590257866</v>
      </c>
      <c r="CG99" s="163">
        <f t="shared" si="941"/>
        <v>113.69054441260742</v>
      </c>
      <c r="CH99" s="163">
        <f t="shared" si="941"/>
        <v>120.66571155682902</v>
      </c>
      <c r="CI99" s="163">
        <f t="shared" si="941"/>
        <v>104.29130850047756</v>
      </c>
      <c r="CJ99" s="163">
        <f t="shared" si="941"/>
        <v>126.73352435530084</v>
      </c>
      <c r="CK99" s="163">
        <f t="shared" ref="CK99:CL99" si="942">+CK98/CK65</f>
        <v>136.10506208213943</v>
      </c>
      <c r="CL99" s="163">
        <f t="shared" si="942"/>
        <v>142.69531996179558</v>
      </c>
      <c r="CM99" s="50">
        <f t="shared" si="941"/>
        <v>150.60560424498422</v>
      </c>
      <c r="CN99" s="50">
        <f t="shared" si="941"/>
        <v>171.69907031607892</v>
      </c>
      <c r="CO99" s="50">
        <f t="shared" si="941"/>
        <v>186.58462437823556</v>
      </c>
      <c r="CP99" s="50">
        <f t="shared" si="941"/>
        <v>196.62541435943868</v>
      </c>
      <c r="CQ99" s="50">
        <f t="shared" si="941"/>
        <v>209.13938994623146</v>
      </c>
      <c r="CR99" s="50">
        <f t="shared" si="941"/>
        <v>234.29584689546772</v>
      </c>
      <c r="CS99" s="50">
        <f t="shared" si="941"/>
        <v>255.58095386159911</v>
      </c>
      <c r="CT99" s="50">
        <f t="shared" si="941"/>
        <v>269.6492108840244</v>
      </c>
      <c r="CU99" s="50">
        <f t="shared" si="941"/>
        <v>286.87263802510302</v>
      </c>
      <c r="CV99" s="50">
        <f t="shared" si="941"/>
        <v>320.47876100737051</v>
      </c>
      <c r="CW99" s="50">
        <f t="shared" si="941"/>
        <v>349.93837734536822</v>
      </c>
      <c r="CX99" s="50">
        <f t="shared" ref="CX99:DB99" si="943">+CX98/CX65</f>
        <v>369.26256056116995</v>
      </c>
      <c r="CY99" s="50">
        <f t="shared" si="943"/>
        <v>392.80733690935705</v>
      </c>
      <c r="CZ99" s="50">
        <f t="shared" si="943"/>
        <v>438.66986074217118</v>
      </c>
      <c r="DA99" s="50">
        <f t="shared" si="943"/>
        <v>479.09616513699007</v>
      </c>
      <c r="DB99" s="50">
        <f t="shared" si="943"/>
        <v>505.55833883723108</v>
      </c>
      <c r="DE99" s="164"/>
      <c r="DF99" s="163">
        <v>143.60009316314225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 t="e">
        <f t="shared" si="946"/>
        <v>#DIV/0!</v>
      </c>
      <c r="BN102" s="163" t="e">
        <f t="shared" si="946"/>
        <v>#DIV/0!</v>
      </c>
      <c r="BO102" s="163" t="e">
        <f t="shared" si="946"/>
        <v>#DIV/0!</v>
      </c>
      <c r="BP102" s="163" t="e">
        <f t="shared" si="946"/>
        <v>#DIV/0!</v>
      </c>
      <c r="BQ102" s="163" t="e">
        <f t="shared" si="946"/>
        <v>#DIV/0!</v>
      </c>
      <c r="BR102" s="163" t="e">
        <f t="shared" ref="BR102:DB102" si="947">+BR77/BR99</f>
        <v>#DIV/0!</v>
      </c>
      <c r="BS102" s="163" t="e">
        <f t="shared" si="947"/>
        <v>#DIV/0!</v>
      </c>
      <c r="BT102" s="163" t="e">
        <f t="shared" si="947"/>
        <v>#DIV/0!</v>
      </c>
      <c r="BU102" s="163">
        <f t="shared" si="947"/>
        <v>0</v>
      </c>
      <c r="BV102" s="163">
        <f t="shared" si="947"/>
        <v>0</v>
      </c>
      <c r="BW102" s="163">
        <f t="shared" si="947"/>
        <v>0</v>
      </c>
      <c r="BX102" s="163">
        <f t="shared" si="947"/>
        <v>0</v>
      </c>
      <c r="BY102" s="163">
        <f t="shared" si="947"/>
        <v>3.5135030247688626</v>
      </c>
      <c r="BZ102" s="163">
        <f t="shared" si="947"/>
        <v>3.5164126530185196</v>
      </c>
      <c r="CA102" s="163">
        <f t="shared" si="947"/>
        <v>5.7485102109139614</v>
      </c>
      <c r="CB102" s="163">
        <f t="shared" si="947"/>
        <v>7.7960900161266684</v>
      </c>
      <c r="CC102" s="163">
        <f t="shared" si="947"/>
        <v>11.591564166370425</v>
      </c>
      <c r="CD102" s="163">
        <f t="shared" si="947"/>
        <v>11.04462754263305</v>
      </c>
      <c r="CE102" s="163">
        <f t="shared" si="947"/>
        <v>6.8431140365758498</v>
      </c>
      <c r="CF102" s="163">
        <f t="shared" si="947"/>
        <v>8.6542089249492911</v>
      </c>
      <c r="CG102" s="163">
        <f t="shared" si="947"/>
        <v>11.607385704924647</v>
      </c>
      <c r="CH102" s="163">
        <f t="shared" si="947"/>
        <v>7.6695358446060942</v>
      </c>
      <c r="CI102" s="163">
        <f t="shared" si="947"/>
        <v>8.2998287436007807</v>
      </c>
      <c r="CJ102" s="163">
        <f t="shared" si="947"/>
        <v>6.7551186977164832</v>
      </c>
      <c r="CK102" s="163">
        <f t="shared" ref="CK102:CL102" si="948">+CK77/CK99</f>
        <v>7.4501270157611836</v>
      </c>
      <c r="CL102" s="163">
        <f t="shared" si="948"/>
        <v>5.3863013882009625</v>
      </c>
      <c r="CM102" s="50">
        <f t="shared" si="947"/>
        <v>5.1033957458166599</v>
      </c>
      <c r="CN102" s="50">
        <f t="shared" si="947"/>
        <v>4.4764365851550201</v>
      </c>
      <c r="CO102" s="50">
        <f t="shared" si="947"/>
        <v>4.1193104874597291</v>
      </c>
      <c r="CP102" s="50">
        <f t="shared" si="947"/>
        <v>3.9089555259371012</v>
      </c>
      <c r="CQ102" s="50">
        <f t="shared" si="947"/>
        <v>3.6750609256228715</v>
      </c>
      <c r="CR102" s="50">
        <f t="shared" si="947"/>
        <v>3.2804678793257263</v>
      </c>
      <c r="CS102" s="50">
        <f t="shared" si="947"/>
        <v>3.007266341200872</v>
      </c>
      <c r="CT102" s="50">
        <f t="shared" si="947"/>
        <v>2.8503699212773643</v>
      </c>
      <c r="CU102" s="50">
        <f t="shared" si="947"/>
        <v>2.6792377456812142</v>
      </c>
      <c r="CV102" s="50">
        <f t="shared" si="947"/>
        <v>2.3982868555283869</v>
      </c>
      <c r="CW102" s="50">
        <f t="shared" si="947"/>
        <v>2.1963867062269591</v>
      </c>
      <c r="CX102" s="50">
        <f t="shared" si="947"/>
        <v>2.0814457843545124</v>
      </c>
      <c r="CY102" s="50">
        <f t="shared" si="947"/>
        <v>1.9566844296937347</v>
      </c>
      <c r="CZ102" s="50">
        <f t="shared" si="947"/>
        <v>1.7521149018526845</v>
      </c>
      <c r="DA102" s="50">
        <f t="shared" si="947"/>
        <v>1.6042708247940805</v>
      </c>
      <c r="DB102" s="50">
        <f t="shared" si="947"/>
        <v>1.5202993224634704</v>
      </c>
      <c r="DE102" s="106"/>
      <c r="DF102" s="163">
        <v>5.3523642155775155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 t="e">
        <f t="shared" si="950"/>
        <v>#DIV/0!</v>
      </c>
      <c r="BN103" s="163" t="e">
        <f t="shared" si="950"/>
        <v>#DIV/0!</v>
      </c>
      <c r="BO103" s="163" t="e">
        <f t="shared" si="950"/>
        <v>#DIV/0!</v>
      </c>
      <c r="BP103" s="163" t="e">
        <f t="shared" si="950"/>
        <v>#DIV/0!</v>
      </c>
      <c r="BQ103" s="163" t="e">
        <f t="shared" si="950"/>
        <v>#DIV/0!</v>
      </c>
      <c r="BR103" s="163" t="e">
        <f t="shared" ref="BR103:CJ103" si="951">+BR78/BR99</f>
        <v>#DIV/0!</v>
      </c>
      <c r="BS103" s="163" t="e">
        <f t="shared" si="951"/>
        <v>#DIV/0!</v>
      </c>
      <c r="BT103" s="163" t="e">
        <f t="shared" si="951"/>
        <v>#DIV/0!</v>
      </c>
      <c r="BU103" s="163">
        <f t="shared" si="951"/>
        <v>0</v>
      </c>
      <c r="BV103" s="163">
        <f t="shared" si="951"/>
        <v>0</v>
      </c>
      <c r="BW103" s="163">
        <f t="shared" si="951"/>
        <v>0</v>
      </c>
      <c r="BX103" s="163">
        <f t="shared" si="951"/>
        <v>0</v>
      </c>
      <c r="BY103" s="163">
        <f t="shared" si="951"/>
        <v>3.5135030247688626</v>
      </c>
      <c r="BZ103" s="163">
        <f t="shared" si="951"/>
        <v>7.3450301677536372</v>
      </c>
      <c r="CA103" s="163">
        <f t="shared" si="951"/>
        <v>6.3075878808168744</v>
      </c>
      <c r="CB103" s="163">
        <f t="shared" si="951"/>
        <v>10.664940624541856</v>
      </c>
      <c r="CC103" s="163">
        <f t="shared" si="951"/>
        <v>11.591564166370425</v>
      </c>
      <c r="CD103" s="163">
        <f t="shared" si="951"/>
        <v>14.527438650002971</v>
      </c>
      <c r="CE103" s="163">
        <f t="shared" si="951"/>
        <v>7.448206833372919</v>
      </c>
      <c r="CF103" s="163">
        <f t="shared" si="951"/>
        <v>11.076721154993439</v>
      </c>
      <c r="CG103" s="163">
        <f t="shared" si="951"/>
        <v>12.824285498261004</v>
      </c>
      <c r="CH103" s="163">
        <f t="shared" si="951"/>
        <v>12.569850875040567</v>
      </c>
      <c r="CI103" s="163">
        <f t="shared" si="951"/>
        <v>10.59388376544284</v>
      </c>
      <c r="CJ103" s="163">
        <f t="shared" si="951"/>
        <v>7.25932624915216</v>
      </c>
      <c r="CK103" s="163">
        <f t="shared" ref="CK103:CL103" si="952">+CK78/CK99</f>
        <v>8.794676565942936</v>
      </c>
      <c r="CL103" s="163">
        <f t="shared" si="952"/>
        <v>7.6526686389740446</v>
      </c>
      <c r="CM103" s="94">
        <f t="shared" ref="CM103:DB103" si="953">+CL103</f>
        <v>7.6526686389740446</v>
      </c>
      <c r="CN103" s="94">
        <f t="shared" si="953"/>
        <v>7.6526686389740446</v>
      </c>
      <c r="CO103" s="94">
        <f t="shared" si="953"/>
        <v>7.6526686389740446</v>
      </c>
      <c r="CP103" s="94">
        <f t="shared" si="953"/>
        <v>7.6526686389740446</v>
      </c>
      <c r="CQ103" s="94">
        <f t="shared" si="953"/>
        <v>7.6526686389740446</v>
      </c>
      <c r="CR103" s="94">
        <f t="shared" si="953"/>
        <v>7.6526686389740446</v>
      </c>
      <c r="CS103" s="94">
        <f t="shared" si="953"/>
        <v>7.6526686389740446</v>
      </c>
      <c r="CT103" s="94">
        <f t="shared" si="953"/>
        <v>7.6526686389740446</v>
      </c>
      <c r="CU103" s="94">
        <f t="shared" si="953"/>
        <v>7.6526686389740446</v>
      </c>
      <c r="CV103" s="94">
        <f t="shared" si="953"/>
        <v>7.6526686389740446</v>
      </c>
      <c r="CW103" s="94">
        <f t="shared" si="953"/>
        <v>7.6526686389740446</v>
      </c>
      <c r="CX103" s="94">
        <f t="shared" si="953"/>
        <v>7.6526686389740446</v>
      </c>
      <c r="CY103" s="94">
        <f t="shared" si="953"/>
        <v>7.6526686389740446</v>
      </c>
      <c r="CZ103" s="94">
        <f t="shared" si="953"/>
        <v>7.6526686389740446</v>
      </c>
      <c r="DA103" s="94">
        <f t="shared" si="953"/>
        <v>7.6526686389740446</v>
      </c>
      <c r="DB103" s="94">
        <f t="shared" si="953"/>
        <v>7.6526686389740446</v>
      </c>
      <c r="DE103" s="164"/>
      <c r="DF103" s="163">
        <v>7.6044518909844481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 t="e">
        <f t="shared" si="954"/>
        <v>#DIV/0!</v>
      </c>
      <c r="BN104" s="163" t="e">
        <f t="shared" si="954"/>
        <v>#DIV/0!</v>
      </c>
      <c r="BO104" s="163" t="e">
        <f t="shared" si="954"/>
        <v>#DIV/0!</v>
      </c>
      <c r="BP104" s="163" t="e">
        <f t="shared" si="954"/>
        <v>#DIV/0!</v>
      </c>
      <c r="BQ104" s="163" t="e">
        <f t="shared" si="954"/>
        <v>#DIV/0!</v>
      </c>
      <c r="BR104" s="163" t="e">
        <f t="shared" ref="BR104:CJ104" si="955">+BR79/BR99</f>
        <v>#DIV/0!</v>
      </c>
      <c r="BS104" s="163" t="e">
        <f t="shared" si="955"/>
        <v>#DIV/0!</v>
      </c>
      <c r="BT104" s="163" t="e">
        <f t="shared" si="955"/>
        <v>#DIV/0!</v>
      </c>
      <c r="BU104" s="163">
        <f t="shared" si="955"/>
        <v>0</v>
      </c>
      <c r="BV104" s="163">
        <f t="shared" si="955"/>
        <v>0</v>
      </c>
      <c r="BW104" s="163">
        <f t="shared" si="955"/>
        <v>0</v>
      </c>
      <c r="BX104" s="163">
        <f t="shared" si="955"/>
        <v>0</v>
      </c>
      <c r="BY104" s="163">
        <f t="shared" si="955"/>
        <v>0</v>
      </c>
      <c r="BZ104" s="163">
        <f t="shared" si="955"/>
        <v>3.1476092491193812</v>
      </c>
      <c r="CA104" s="163">
        <f t="shared" si="955"/>
        <v>3.5051891529963179</v>
      </c>
      <c r="CB104" s="163">
        <f t="shared" si="955"/>
        <v>4.5741973317695361</v>
      </c>
      <c r="CC104" s="163">
        <f t="shared" si="955"/>
        <v>5.9862246711695706</v>
      </c>
      <c r="CD104" s="163">
        <f t="shared" si="955"/>
        <v>9.4095000891283256</v>
      </c>
      <c r="CE104" s="163">
        <f t="shared" si="955"/>
        <v>5.1924303599905004</v>
      </c>
      <c r="CF104" s="163">
        <f t="shared" si="955"/>
        <v>6.0849093186970533</v>
      </c>
      <c r="CG104" s="163">
        <f t="shared" si="955"/>
        <v>7.213440697615809</v>
      </c>
      <c r="CH104" s="163">
        <f t="shared" si="955"/>
        <v>7.0359672938252462</v>
      </c>
      <c r="CI104" s="163">
        <f t="shared" si="955"/>
        <v>7.9872427719725625</v>
      </c>
      <c r="CJ104" s="163">
        <f t="shared" si="955"/>
        <v>6.2272394302509619</v>
      </c>
      <c r="CK104" s="163">
        <f t="shared" ref="CK104:CL104" si="956">+CK79/CK99</f>
        <v>6.0379826248052666</v>
      </c>
      <c r="CL104" s="163">
        <f t="shared" si="956"/>
        <v>4.8074456834580541</v>
      </c>
      <c r="CM104" s="94">
        <f t="shared" ref="CM104:DB104" si="957">+CL104</f>
        <v>4.8074456834580541</v>
      </c>
      <c r="CN104" s="94">
        <f t="shared" si="957"/>
        <v>4.8074456834580541</v>
      </c>
      <c r="CO104" s="94">
        <f t="shared" si="957"/>
        <v>4.8074456834580541</v>
      </c>
      <c r="CP104" s="94">
        <f t="shared" si="957"/>
        <v>4.8074456834580541</v>
      </c>
      <c r="CQ104" s="94">
        <f t="shared" si="957"/>
        <v>4.8074456834580541</v>
      </c>
      <c r="CR104" s="94">
        <f t="shared" si="957"/>
        <v>4.8074456834580541</v>
      </c>
      <c r="CS104" s="94">
        <f t="shared" si="957"/>
        <v>4.8074456834580541</v>
      </c>
      <c r="CT104" s="94">
        <f t="shared" si="957"/>
        <v>4.8074456834580541</v>
      </c>
      <c r="CU104" s="94">
        <f t="shared" si="957"/>
        <v>4.8074456834580541</v>
      </c>
      <c r="CV104" s="94">
        <f t="shared" si="957"/>
        <v>4.8074456834580541</v>
      </c>
      <c r="CW104" s="94">
        <f t="shared" si="957"/>
        <v>4.8074456834580541</v>
      </c>
      <c r="CX104" s="94">
        <f t="shared" si="957"/>
        <v>4.8074456834580541</v>
      </c>
      <c r="CY104" s="94">
        <f t="shared" si="957"/>
        <v>4.8074456834580541</v>
      </c>
      <c r="CZ104" s="94">
        <f t="shared" si="957"/>
        <v>4.8074456834580541</v>
      </c>
      <c r="DA104" s="94">
        <f t="shared" si="957"/>
        <v>4.8074456834580541</v>
      </c>
      <c r="DB104" s="94">
        <f t="shared" si="957"/>
        <v>4.8074456834580541</v>
      </c>
      <c r="DE104" s="164"/>
      <c r="DF104" s="163">
        <v>4.7771556751056146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0</v>
      </c>
      <c r="BS107" s="162">
        <f t="shared" si="961"/>
        <v>0</v>
      </c>
      <c r="BT107" s="162">
        <f t="shared" si="961"/>
        <v>0</v>
      </c>
      <c r="BU107" s="162">
        <f t="shared" si="961"/>
        <v>0</v>
      </c>
      <c r="BV107" s="162">
        <f t="shared" si="961"/>
        <v>0</v>
      </c>
      <c r="BW107" s="162">
        <f t="shared" si="961"/>
        <v>0</v>
      </c>
      <c r="BX107" s="162">
        <f t="shared" si="961"/>
        <v>0</v>
      </c>
      <c r="BY107" s="162">
        <f t="shared" si="961"/>
        <v>92.345400000000012</v>
      </c>
      <c r="BZ107" s="162">
        <f t="shared" si="961"/>
        <v>210.60405000000003</v>
      </c>
      <c r="CA107" s="162">
        <f t="shared" si="961"/>
        <v>188.40765000000002</v>
      </c>
      <c r="CB107" s="162">
        <f t="shared" si="961"/>
        <v>363.7278</v>
      </c>
      <c r="CC107" s="162">
        <f t="shared" si="961"/>
        <v>489.10605000000004</v>
      </c>
      <c r="CD107" s="162">
        <f t="shared" si="961"/>
        <v>733.47585000000004</v>
      </c>
      <c r="CE107" s="162">
        <f t="shared" si="961"/>
        <v>658.5630000000001</v>
      </c>
      <c r="CF107" s="162">
        <f t="shared" si="961"/>
        <v>1114.0080000000003</v>
      </c>
      <c r="CG107" s="162">
        <f t="shared" si="961"/>
        <v>1526.5260000000003</v>
      </c>
      <c r="CH107" s="162">
        <f t="shared" si="961"/>
        <v>1588.0372500000003</v>
      </c>
      <c r="CI107" s="162">
        <f t="shared" si="961"/>
        <v>1156.7779500000001</v>
      </c>
      <c r="CJ107" s="162">
        <f t="shared" si="961"/>
        <v>963.24000000000012</v>
      </c>
      <c r="CK107" s="162">
        <f t="shared" ref="CK107:CL107" si="962">+CK78*CK65</f>
        <v>1253.2590000000002</v>
      </c>
      <c r="CL107" s="162">
        <f t="shared" si="962"/>
        <v>1143.3240000000001</v>
      </c>
      <c r="CM107" s="21">
        <f t="shared" ref="CM107:DB107" si="963">+CM78*CM65</f>
        <v>1183.5507730077404</v>
      </c>
      <c r="CN107" s="21">
        <f t="shared" si="963"/>
        <v>1289.4409024985921</v>
      </c>
      <c r="CO107" s="21">
        <f t="shared" si="963"/>
        <v>1310.888965904307</v>
      </c>
      <c r="CP107" s="21">
        <f t="shared" si="963"/>
        <v>1389.9717366886964</v>
      </c>
      <c r="CQ107" s="21">
        <f t="shared" si="963"/>
        <v>1509.3624675335027</v>
      </c>
      <c r="CR107" s="21">
        <f t="shared" si="963"/>
        <v>1703.2503736824647</v>
      </c>
      <c r="CS107" s="21">
        <f t="shared" si="963"/>
        <v>1863.6301774371793</v>
      </c>
      <c r="CT107" s="21">
        <f t="shared" si="963"/>
        <v>1982.1118169186077</v>
      </c>
      <c r="CU107" s="21">
        <f t="shared" si="963"/>
        <v>2120.5735817779414</v>
      </c>
      <c r="CV107" s="21">
        <f t="shared" si="963"/>
        <v>2372.6830411101996</v>
      </c>
      <c r="CW107" s="21">
        <f t="shared" si="963"/>
        <v>2587.4213992984824</v>
      </c>
      <c r="CX107" s="21">
        <f t="shared" si="963"/>
        <v>2733.3715609830538</v>
      </c>
      <c r="CY107" s="21">
        <f t="shared" si="963"/>
        <v>2915.2227955148401</v>
      </c>
      <c r="CZ107" s="21">
        <f t="shared" si="963"/>
        <v>3256.1563982820667</v>
      </c>
      <c r="DA107" s="21">
        <f t="shared" si="963"/>
        <v>3546.1587530851752</v>
      </c>
      <c r="DB107" s="21">
        <f t="shared" si="963"/>
        <v>3740.8686923292726</v>
      </c>
      <c r="DE107" s="22"/>
      <c r="DF107" s="162">
        <v>1143.3240000000001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0</v>
      </c>
      <c r="BT108" s="162">
        <f t="shared" si="967"/>
        <v>0</v>
      </c>
      <c r="BU108" s="162">
        <f t="shared" si="967"/>
        <v>0</v>
      </c>
      <c r="BV108" s="162">
        <f t="shared" si="967"/>
        <v>0</v>
      </c>
      <c r="BW108" s="162">
        <f t="shared" si="967"/>
        <v>0</v>
      </c>
      <c r="BX108" s="162">
        <f t="shared" si="967"/>
        <v>0</v>
      </c>
      <c r="BY108" s="162">
        <f t="shared" si="967"/>
        <v>0</v>
      </c>
      <c r="BZ108" s="162">
        <f t="shared" si="967"/>
        <v>90.251400000000018</v>
      </c>
      <c r="CA108" s="162">
        <f t="shared" si="967"/>
        <v>104.70000000000002</v>
      </c>
      <c r="CB108" s="162">
        <f t="shared" si="967"/>
        <v>156.00300000000001</v>
      </c>
      <c r="CC108" s="162">
        <f t="shared" si="967"/>
        <v>252.58875000000003</v>
      </c>
      <c r="CD108" s="162">
        <f t="shared" si="967"/>
        <v>475.07625000000007</v>
      </c>
      <c r="CE108" s="162">
        <f t="shared" si="967"/>
        <v>459.10950000000008</v>
      </c>
      <c r="CF108" s="162">
        <f t="shared" si="967"/>
        <v>611.97150000000011</v>
      </c>
      <c r="CG108" s="162">
        <f t="shared" si="967"/>
        <v>858.64470000000017</v>
      </c>
      <c r="CH108" s="162">
        <f t="shared" si="967"/>
        <v>888.90300000000013</v>
      </c>
      <c r="CI108" s="162">
        <f t="shared" si="967"/>
        <v>872.15100000000018</v>
      </c>
      <c r="CJ108" s="162">
        <f t="shared" si="967"/>
        <v>826.29240000000016</v>
      </c>
      <c r="CK108" s="162">
        <f t="shared" ref="CK108:CL108" si="968">+CK79*CK65</f>
        <v>860.42460000000005</v>
      </c>
      <c r="CL108" s="162">
        <f t="shared" si="968"/>
        <v>718.24200000000008</v>
      </c>
      <c r="CM108" s="21">
        <f t="shared" ref="CM108:DB108" si="969">+CM79*CM65</f>
        <v>743.5126650946064</v>
      </c>
      <c r="CN108" s="21">
        <f t="shared" si="969"/>
        <v>810.03338746706424</v>
      </c>
      <c r="CO108" s="21">
        <f t="shared" si="969"/>
        <v>823.50717088860313</v>
      </c>
      <c r="CP108" s="21">
        <f t="shared" si="969"/>
        <v>873.18737304802733</v>
      </c>
      <c r="CQ108" s="21">
        <f t="shared" si="969"/>
        <v>948.18924242489288</v>
      </c>
      <c r="CR108" s="21">
        <f t="shared" si="969"/>
        <v>1069.9906193646254</v>
      </c>
      <c r="CS108" s="21">
        <f t="shared" si="969"/>
        <v>1170.7420345438693</v>
      </c>
      <c r="CT108" s="21">
        <f t="shared" si="969"/>
        <v>1245.1728080642538</v>
      </c>
      <c r="CU108" s="21">
        <f t="shared" si="969"/>
        <v>1332.1551988092199</v>
      </c>
      <c r="CV108" s="21">
        <f t="shared" si="969"/>
        <v>1490.5316540307665</v>
      </c>
      <c r="CW108" s="21">
        <f t="shared" si="969"/>
        <v>1625.4313918669957</v>
      </c>
      <c r="CX108" s="21">
        <f t="shared" si="969"/>
        <v>1717.118031899611</v>
      </c>
      <c r="CY108" s="21">
        <f t="shared" si="969"/>
        <v>1831.3579100029128</v>
      </c>
      <c r="CZ108" s="21">
        <f t="shared" si="969"/>
        <v>2045.5341476387346</v>
      </c>
      <c r="DA108" s="21">
        <f t="shared" si="969"/>
        <v>2227.7151141176105</v>
      </c>
      <c r="DB108" s="21">
        <f t="shared" si="969"/>
        <v>2350.0328964632613</v>
      </c>
      <c r="DE108" s="22"/>
      <c r="DF108" s="162">
        <v>718.24200000000008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0</v>
      </c>
      <c r="K109" s="162">
        <f t="shared" si="970"/>
        <v>0</v>
      </c>
      <c r="L109" s="162">
        <f t="shared" si="970"/>
        <v>0</v>
      </c>
      <c r="M109" s="162">
        <f t="shared" si="970"/>
        <v>0</v>
      </c>
      <c r="N109" s="162">
        <f t="shared" si="970"/>
        <v>0</v>
      </c>
      <c r="O109" s="162">
        <f t="shared" si="970"/>
        <v>0</v>
      </c>
      <c r="P109" s="162">
        <f t="shared" si="970"/>
        <v>0</v>
      </c>
      <c r="Q109" s="162">
        <f t="shared" si="970"/>
        <v>0</v>
      </c>
      <c r="R109" s="162">
        <f t="shared" si="970"/>
        <v>0</v>
      </c>
      <c r="S109" s="162">
        <f t="shared" si="970"/>
        <v>0</v>
      </c>
      <c r="T109" s="162">
        <f t="shared" si="970"/>
        <v>0</v>
      </c>
      <c r="U109" s="162">
        <f t="shared" si="970"/>
        <v>-1.72E-2</v>
      </c>
      <c r="V109" s="162">
        <f t="shared" si="970"/>
        <v>-1.5300000000000001E-2</v>
      </c>
      <c r="W109" s="162">
        <f t="shared" si="970"/>
        <v>4.6873000000000005</v>
      </c>
      <c r="X109" s="162">
        <f t="shared" ref="X109:Y109" si="971">+X168</f>
        <v>-10.4824</v>
      </c>
      <c r="Y109" s="162">
        <f t="shared" si="971"/>
        <v>0.93390000000000006</v>
      </c>
      <c r="Z109" s="162">
        <f t="shared" ref="Z109:AA109" si="972">+Z168</f>
        <v>-54.129600000000003</v>
      </c>
      <c r="AA109" s="162">
        <f t="shared" si="972"/>
        <v>-72.751900000000006</v>
      </c>
      <c r="AB109" s="21">
        <f t="shared" ref="AA109:AD109" si="973">+AB168</f>
        <v>-92.319968161393831</v>
      </c>
      <c r="AC109" s="21">
        <f t="shared" si="973"/>
        <v>-116.79885827684494</v>
      </c>
      <c r="AD109" s="21">
        <f t="shared" si="973"/>
        <v>-149.39444630356013</v>
      </c>
      <c r="AE109" s="21">
        <f t="shared" ref="AE109" si="974">+AE168</f>
        <v>-193.50981792941835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0</v>
      </c>
      <c r="BO109" s="162" t="e">
        <f t="shared" si="977"/>
        <v>#DIV/0!</v>
      </c>
      <c r="BP109" s="162">
        <f t="shared" si="977"/>
        <v>0</v>
      </c>
      <c r="BQ109" s="162" t="e">
        <f t="shared" si="977"/>
        <v>#DIV/0!</v>
      </c>
      <c r="BR109" s="162">
        <f t="shared" si="977"/>
        <v>0</v>
      </c>
      <c r="BS109" s="162" t="e">
        <f t="shared" si="977"/>
        <v>#DIV/0!</v>
      </c>
      <c r="BT109" s="162">
        <f t="shared" si="977"/>
        <v>0</v>
      </c>
      <c r="BU109" s="162" t="e">
        <f t="shared" si="977"/>
        <v>#DIV/0!</v>
      </c>
      <c r="BV109" s="162">
        <f t="shared" si="977"/>
        <v>4.6869999999999994</v>
      </c>
      <c r="BW109" s="162">
        <f t="shared" si="977"/>
        <v>4.5063676595744679</v>
      </c>
      <c r="BX109" s="162">
        <f t="shared" si="977"/>
        <v>0</v>
      </c>
      <c r="BY109" s="162">
        <f t="shared" si="977"/>
        <v>-1.175999999999999</v>
      </c>
      <c r="BZ109" s="162">
        <f t="shared" si="977"/>
        <v>-10.481999999999999</v>
      </c>
      <c r="CA109" s="162">
        <f t="shared" si="977"/>
        <v>-12.481857545839212</v>
      </c>
      <c r="CB109" s="162">
        <f t="shared" si="977"/>
        <v>-14.275</v>
      </c>
      <c r="CC109" s="162">
        <f t="shared" si="977"/>
        <v>-11.446991479903687</v>
      </c>
      <c r="CD109" s="162">
        <f t="shared" si="977"/>
        <v>0.93300000000000016</v>
      </c>
      <c r="CE109" s="162">
        <f t="shared" ref="CE109:CF109" si="978">+CE168</f>
        <v>44.811163156526241</v>
      </c>
      <c r="CF109" s="162">
        <f t="shared" si="978"/>
        <v>-50.792000000000002</v>
      </c>
      <c r="CG109" s="162">
        <f t="shared" ref="CG109:CH109" si="979">+CG168</f>
        <v>-38.640008801359436</v>
      </c>
      <c r="CH109" s="162">
        <f t="shared" si="979"/>
        <v>-54.129600000000003</v>
      </c>
      <c r="CI109" s="162">
        <f t="shared" ref="CI109:CJ109" si="980">+CI168</f>
        <v>-51.440113598095827</v>
      </c>
      <c r="CJ109" s="162">
        <f t="shared" si="980"/>
        <v>-68.960999999999999</v>
      </c>
      <c r="CK109" s="162">
        <f t="shared" ref="CK109:CL109" si="981">+CK168</f>
        <v>-80.425541508784036</v>
      </c>
      <c r="CL109" s="162">
        <f t="shared" si="981"/>
        <v>-72.751999999999995</v>
      </c>
      <c r="CM109" s="21">
        <f t="shared" ref="CM109:DB109" si="982">+CM168</f>
        <v>-67.68854062850717</v>
      </c>
      <c r="CN109" s="21">
        <f t="shared" si="982"/>
        <v>-11.696150024991162</v>
      </c>
      <c r="CO109" s="21">
        <f t="shared" si="982"/>
        <v>-38.502560477219284</v>
      </c>
      <c r="CP109" s="21">
        <f t="shared" si="982"/>
        <v>-92.319968161393831</v>
      </c>
      <c r="CQ109" s="21">
        <f t="shared" si="982"/>
        <v>-84.170701611932429</v>
      </c>
      <c r="CR109" s="21">
        <f t="shared" si="982"/>
        <v>-4.6526258013651045</v>
      </c>
      <c r="CS109" s="21">
        <f t="shared" si="982"/>
        <v>-44.006562063716103</v>
      </c>
      <c r="CT109" s="21">
        <f t="shared" si="982"/>
        <v>-116.79885827684494</v>
      </c>
      <c r="CU109" s="21">
        <f t="shared" si="982"/>
        <v>-105.12351066537499</v>
      </c>
      <c r="CV109" s="21">
        <f t="shared" si="982"/>
        <v>4.2343277630405964</v>
      </c>
      <c r="CW109" s="21">
        <f t="shared" si="982"/>
        <v>-50.106514432004786</v>
      </c>
      <c r="CX109" s="21">
        <f t="shared" si="982"/>
        <v>-149.39444630356013</v>
      </c>
      <c r="CY109" s="21">
        <f t="shared" si="982"/>
        <v>-133.20500613413381</v>
      </c>
      <c r="CZ109" s="21">
        <f t="shared" si="982"/>
        <v>16.639166457048162</v>
      </c>
      <c r="DA109" s="21">
        <f t="shared" si="982"/>
        <v>-57.753213910377866</v>
      </c>
      <c r="DB109" s="21">
        <f t="shared" si="982"/>
        <v>-193.50981792941835</v>
      </c>
      <c r="DE109" s="22"/>
      <c r="DF109" s="162">
        <v>-105.62275310963444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0</v>
      </c>
      <c r="BO110" s="162" t="e">
        <f t="shared" si="990"/>
        <v>#DIV/0!</v>
      </c>
      <c r="BP110" s="162">
        <f t="shared" si="990"/>
        <v>0</v>
      </c>
      <c r="BQ110" s="162" t="e">
        <f t="shared" si="990"/>
        <v>#DIV/0!</v>
      </c>
      <c r="BR110" s="162">
        <f t="shared" si="990"/>
        <v>0</v>
      </c>
      <c r="BS110" s="162" t="e">
        <f t="shared" si="990"/>
        <v>#DIV/0!</v>
      </c>
      <c r="BT110" s="162">
        <f t="shared" si="990"/>
        <v>0</v>
      </c>
      <c r="BU110" s="162" t="e">
        <f t="shared" si="990"/>
        <v>#DIV/0!</v>
      </c>
      <c r="BV110" s="162">
        <f t="shared" si="990"/>
        <v>4.6869999999999994</v>
      </c>
      <c r="BW110" s="162">
        <f t="shared" si="990"/>
        <v>4.5063676595744679</v>
      </c>
      <c r="BX110" s="162">
        <f t="shared" si="990"/>
        <v>0</v>
      </c>
      <c r="BY110" s="162">
        <f t="shared" si="990"/>
        <v>91.16940000000001</v>
      </c>
      <c r="BZ110" s="162">
        <f t="shared" si="990"/>
        <v>200.12205000000003</v>
      </c>
      <c r="CA110" s="162">
        <f t="shared" si="990"/>
        <v>175.92579245416081</v>
      </c>
      <c r="CB110" s="162">
        <f t="shared" si="990"/>
        <v>349.45280000000002</v>
      </c>
      <c r="CC110" s="162">
        <f t="shared" si="990"/>
        <v>477.65905852009632</v>
      </c>
      <c r="CD110" s="162">
        <f t="shared" si="990"/>
        <v>734.40885000000003</v>
      </c>
      <c r="CE110" s="162">
        <f t="shared" ref="CE110:CF110" si="991">+CE107+CE109</f>
        <v>703.37416315652638</v>
      </c>
      <c r="CF110" s="162">
        <f t="shared" si="991"/>
        <v>1063.2160000000003</v>
      </c>
      <c r="CG110" s="162">
        <f t="shared" ref="CG110:CH110" si="992">+CG107+CG109</f>
        <v>1487.8859911986408</v>
      </c>
      <c r="CH110" s="162">
        <f t="shared" si="992"/>
        <v>1533.9076500000003</v>
      </c>
      <c r="CI110" s="162">
        <f t="shared" ref="CI110:CJ110" si="993">+CI107+CI109</f>
        <v>1105.3378364019043</v>
      </c>
      <c r="CJ110" s="162">
        <f t="shared" si="993"/>
        <v>894.27900000000011</v>
      </c>
      <c r="CK110" s="162">
        <f t="shared" ref="CK110:CL110" si="994">+CK107+CK109</f>
        <v>1172.8334584912161</v>
      </c>
      <c r="CL110" s="162">
        <f t="shared" si="994"/>
        <v>1070.5720000000001</v>
      </c>
      <c r="CM110" s="21">
        <f t="shared" ref="CM110:DB110" si="995">+CM107+CM109</f>
        <v>1115.8622323792333</v>
      </c>
      <c r="CN110" s="21">
        <f t="shared" si="995"/>
        <v>1277.744752473601</v>
      </c>
      <c r="CO110" s="21">
        <f t="shared" si="995"/>
        <v>1272.3864054270878</v>
      </c>
      <c r="CP110" s="21">
        <f t="shared" si="995"/>
        <v>1297.6517685273025</v>
      </c>
      <c r="CQ110" s="21">
        <f t="shared" si="995"/>
        <v>1425.1917659215703</v>
      </c>
      <c r="CR110" s="21">
        <f t="shared" si="995"/>
        <v>1698.5977478810996</v>
      </c>
      <c r="CS110" s="21">
        <f t="shared" si="995"/>
        <v>1819.6236153734633</v>
      </c>
      <c r="CT110" s="21">
        <f t="shared" si="995"/>
        <v>1865.3129586417629</v>
      </c>
      <c r="CU110" s="21">
        <f t="shared" si="995"/>
        <v>2015.4500711125663</v>
      </c>
      <c r="CV110" s="21">
        <f t="shared" si="995"/>
        <v>2376.9173688732403</v>
      </c>
      <c r="CW110" s="21">
        <f t="shared" si="995"/>
        <v>2537.3148848664778</v>
      </c>
      <c r="CX110" s="21">
        <f t="shared" si="995"/>
        <v>2583.9771146794938</v>
      </c>
      <c r="CY110" s="21">
        <f t="shared" si="995"/>
        <v>2782.0177893807063</v>
      </c>
      <c r="CZ110" s="21">
        <f t="shared" si="995"/>
        <v>3272.795564739115</v>
      </c>
      <c r="DA110" s="21">
        <f t="shared" si="995"/>
        <v>3488.4055391747975</v>
      </c>
      <c r="DB110" s="21">
        <f t="shared" si="995"/>
        <v>3547.3588743998544</v>
      </c>
      <c r="DE110" s="22"/>
      <c r="DF110" s="162">
        <v>1037.7012468903656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0</v>
      </c>
      <c r="BO111" s="162" t="e">
        <f t="shared" si="1003"/>
        <v>#DIV/0!</v>
      </c>
      <c r="BP111" s="162">
        <f t="shared" si="1003"/>
        <v>0</v>
      </c>
      <c r="BQ111" s="162" t="e">
        <f t="shared" si="1003"/>
        <v>#DIV/0!</v>
      </c>
      <c r="BR111" s="162">
        <f t="shared" si="1003"/>
        <v>0</v>
      </c>
      <c r="BS111" s="162" t="e">
        <f t="shared" si="1003"/>
        <v>#DIV/0!</v>
      </c>
      <c r="BT111" s="162">
        <f t="shared" si="1003"/>
        <v>0</v>
      </c>
      <c r="BU111" s="162" t="e">
        <f t="shared" si="1003"/>
        <v>#DIV/0!</v>
      </c>
      <c r="BV111" s="162">
        <f t="shared" si="1003"/>
        <v>4.6869999999999994</v>
      </c>
      <c r="BW111" s="162">
        <f t="shared" si="1003"/>
        <v>4.5063676595744679</v>
      </c>
      <c r="BX111" s="162">
        <f t="shared" si="1003"/>
        <v>0</v>
      </c>
      <c r="BY111" s="162">
        <f t="shared" si="1003"/>
        <v>-1.175999999999999</v>
      </c>
      <c r="BZ111" s="162">
        <f t="shared" si="1003"/>
        <v>79.769400000000019</v>
      </c>
      <c r="CA111" s="162">
        <f t="shared" si="1003"/>
        <v>92.218142454160812</v>
      </c>
      <c r="CB111" s="162">
        <f t="shared" si="1003"/>
        <v>141.72800000000001</v>
      </c>
      <c r="CC111" s="162">
        <f t="shared" si="1003"/>
        <v>241.14175852009635</v>
      </c>
      <c r="CD111" s="162">
        <f t="shared" si="1003"/>
        <v>476.00925000000007</v>
      </c>
      <c r="CE111" s="162">
        <f t="shared" ref="CE111:CF111" si="1004">+CE108+CE109</f>
        <v>503.9206631565263</v>
      </c>
      <c r="CF111" s="162">
        <f t="shared" si="1004"/>
        <v>561.17950000000008</v>
      </c>
      <c r="CG111" s="162">
        <f t="shared" ref="CG111:CH111" si="1005">+CG108+CG109</f>
        <v>820.00469119864078</v>
      </c>
      <c r="CH111" s="162">
        <f t="shared" si="1005"/>
        <v>834.77340000000015</v>
      </c>
      <c r="CI111" s="162">
        <f t="shared" ref="CI111:CJ111" si="1006">+CI108+CI109</f>
        <v>820.7108864019043</v>
      </c>
      <c r="CJ111" s="162">
        <f t="shared" si="1006"/>
        <v>757.33140000000014</v>
      </c>
      <c r="CK111" s="162">
        <f t="shared" ref="CK111:CL111" si="1007">+CK108+CK109</f>
        <v>779.99905849121603</v>
      </c>
      <c r="CL111" s="162">
        <f t="shared" si="1007"/>
        <v>645.49000000000012</v>
      </c>
      <c r="CM111" s="21">
        <f t="shared" ref="CM111:DB111" si="1008">+CM108+CM109</f>
        <v>675.82412446609919</v>
      </c>
      <c r="CN111" s="21">
        <f t="shared" si="1008"/>
        <v>798.33723744207305</v>
      </c>
      <c r="CO111" s="21">
        <f t="shared" si="1008"/>
        <v>785.00461041138385</v>
      </c>
      <c r="CP111" s="21">
        <f t="shared" si="1008"/>
        <v>780.86740488663349</v>
      </c>
      <c r="CQ111" s="21">
        <f t="shared" si="1008"/>
        <v>864.01854081296051</v>
      </c>
      <c r="CR111" s="21">
        <f t="shared" si="1008"/>
        <v>1065.3379935632604</v>
      </c>
      <c r="CS111" s="21">
        <f t="shared" si="1008"/>
        <v>1126.7354724801532</v>
      </c>
      <c r="CT111" s="21">
        <f t="shared" si="1008"/>
        <v>1128.3739497874089</v>
      </c>
      <c r="CU111" s="21">
        <f t="shared" si="1008"/>
        <v>1227.0316881438448</v>
      </c>
      <c r="CV111" s="21">
        <f t="shared" si="1008"/>
        <v>1494.765981793807</v>
      </c>
      <c r="CW111" s="21">
        <f t="shared" si="1008"/>
        <v>1575.3248774349909</v>
      </c>
      <c r="CX111" s="21">
        <f t="shared" si="1008"/>
        <v>1567.7235855960507</v>
      </c>
      <c r="CY111" s="21">
        <f t="shared" si="1008"/>
        <v>1698.152903868779</v>
      </c>
      <c r="CZ111" s="21">
        <f t="shared" si="1008"/>
        <v>2062.1733140957826</v>
      </c>
      <c r="DA111" s="21">
        <f t="shared" si="1008"/>
        <v>2169.9619002072327</v>
      </c>
      <c r="DB111" s="21">
        <f t="shared" si="1008"/>
        <v>2156.5230785338431</v>
      </c>
      <c r="DE111" s="22"/>
      <c r="DF111" s="162">
        <v>612.61924689036562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0</v>
      </c>
      <c r="K112" s="162">
        <f t="shared" si="1009"/>
        <v>0</v>
      </c>
      <c r="L112" s="162">
        <f t="shared" si="1009"/>
        <v>0</v>
      </c>
      <c r="M112" s="162">
        <f t="shared" si="1009"/>
        <v>0</v>
      </c>
      <c r="N112" s="162">
        <f t="shared" si="1009"/>
        <v>0</v>
      </c>
      <c r="O112" s="162">
        <f t="shared" si="1009"/>
        <v>0</v>
      </c>
      <c r="P112" s="162">
        <f t="shared" si="1009"/>
        <v>0</v>
      </c>
      <c r="Q112" s="162">
        <f t="shared" si="1009"/>
        <v>0</v>
      </c>
      <c r="R112" s="162">
        <f t="shared" si="1009"/>
        <v>0</v>
      </c>
      <c r="S112" s="162">
        <f t="shared" si="1009"/>
        <v>0</v>
      </c>
      <c r="T112" s="162">
        <f t="shared" si="1009"/>
        <v>0</v>
      </c>
      <c r="U112" s="162">
        <f t="shared" si="1009"/>
        <v>-7.9999999999999993E-4</v>
      </c>
      <c r="V112" s="162">
        <f t="shared" si="1009"/>
        <v>3.9000000000000003E-3</v>
      </c>
      <c r="W112" s="162">
        <f t="shared" si="1009"/>
        <v>1.523599999999999</v>
      </c>
      <c r="X112" s="162">
        <f t="shared" si="1009"/>
        <v>6.5621000000000045</v>
      </c>
      <c r="Y112" s="162">
        <f t="shared" si="1009"/>
        <v>11.479200000000006</v>
      </c>
      <c r="Z112" s="162">
        <f t="shared" si="1009"/>
        <v>37.481400000000008</v>
      </c>
      <c r="AA112" s="162">
        <f t="shared" ref="AA112" si="1010">+AA28</f>
        <v>39.71520000000001</v>
      </c>
      <c r="AB112" s="21">
        <f t="shared" si="1009"/>
        <v>53.854253866449369</v>
      </c>
      <c r="AC112" s="21">
        <f t="shared" si="1009"/>
        <v>73.48906088452587</v>
      </c>
      <c r="AD112" s="21">
        <f t="shared" si="1009"/>
        <v>100.52681869511376</v>
      </c>
      <c r="AE112" s="21">
        <f t="shared" si="1009"/>
        <v>137.60484542813899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0</v>
      </c>
      <c r="BN112" s="162">
        <f t="shared" si="1011"/>
        <v>0</v>
      </c>
      <c r="BO112" s="162">
        <f t="shared" si="1011"/>
        <v>0</v>
      </c>
      <c r="BP112" s="162">
        <f t="shared" si="1011"/>
        <v>0</v>
      </c>
      <c r="BQ112" s="162">
        <f t="shared" si="1011"/>
        <v>0</v>
      </c>
      <c r="BR112" s="162">
        <f t="shared" ref="BR112:CW112" si="1012">+SUM(BO28:BR28)</f>
        <v>0</v>
      </c>
      <c r="BS112" s="162">
        <f t="shared" si="1012"/>
        <v>0</v>
      </c>
      <c r="BT112" s="162">
        <f t="shared" si="1012"/>
        <v>0</v>
      </c>
      <c r="BU112" s="162">
        <f t="shared" si="1012"/>
        <v>0.29900000000000021</v>
      </c>
      <c r="BV112" s="162">
        <f t="shared" si="1012"/>
        <v>1.5240000000000005</v>
      </c>
      <c r="BW112" s="162">
        <f t="shared" si="1012"/>
        <v>2.8290000000000006</v>
      </c>
      <c r="BX112" s="162">
        <f t="shared" si="1012"/>
        <v>4.5390000000000006</v>
      </c>
      <c r="BY112" s="162">
        <f t="shared" si="1012"/>
        <v>5.9469999999999992</v>
      </c>
      <c r="BZ112" s="162">
        <f t="shared" si="1012"/>
        <v>6.5620000000000003</v>
      </c>
      <c r="CA112" s="162">
        <f t="shared" si="1012"/>
        <v>6.6859999999999999</v>
      </c>
      <c r="CB112" s="162">
        <f t="shared" si="1012"/>
        <v>7.4210000000000012</v>
      </c>
      <c r="CC112" s="162">
        <f t="shared" si="1012"/>
        <v>9.9000000000000021</v>
      </c>
      <c r="CD112" s="162">
        <f t="shared" si="1012"/>
        <v>11.231000000000005</v>
      </c>
      <c r="CE112" s="162">
        <f t="shared" si="1012"/>
        <v>23.969000000000005</v>
      </c>
      <c r="CF112" s="162">
        <f t="shared" si="1012"/>
        <v>28.467000000000006</v>
      </c>
      <c r="CG112" s="162">
        <f t="shared" si="1012"/>
        <v>35.88000000000001</v>
      </c>
      <c r="CH112" s="162">
        <f t="shared" si="1012"/>
        <v>37.446000000000012</v>
      </c>
      <c r="CI112" s="162">
        <f t="shared" si="1012"/>
        <v>29.624000000000006</v>
      </c>
      <c r="CJ112" s="162">
        <f t="shared" si="1012"/>
        <v>35.692000000000007</v>
      </c>
      <c r="CK112" s="162">
        <f t="shared" si="1012"/>
        <v>37.424000000000007</v>
      </c>
      <c r="CL112" s="162">
        <f t="shared" si="1012"/>
        <v>39.630000000000003</v>
      </c>
      <c r="CM112" s="21">
        <f t="shared" si="1012"/>
        <v>42.508583277696637</v>
      </c>
      <c r="CN112" s="21">
        <f t="shared" si="1012"/>
        <v>47.716622837508311</v>
      </c>
      <c r="CO112" s="21">
        <f t="shared" si="1012"/>
        <v>50.552555582599453</v>
      </c>
      <c r="CP112" s="21">
        <f t="shared" si="1012"/>
        <v>53.854253866449383</v>
      </c>
      <c r="CQ112" s="21">
        <f t="shared" si="1012"/>
        <v>57.324769795275969</v>
      </c>
      <c r="CR112" s="21">
        <f t="shared" si="1012"/>
        <v>63.873976417725586</v>
      </c>
      <c r="CS112" s="21">
        <f t="shared" si="1012"/>
        <v>69.517729046011979</v>
      </c>
      <c r="CT112" s="21">
        <f t="shared" si="1012"/>
        <v>73.48906088452587</v>
      </c>
      <c r="CU112" s="21">
        <f t="shared" si="1012"/>
        <v>78.159493933700162</v>
      </c>
      <c r="CV112" s="21">
        <f t="shared" si="1012"/>
        <v>87.220952537281647</v>
      </c>
      <c r="CW112" s="21">
        <f t="shared" si="1012"/>
        <v>95.236308737648059</v>
      </c>
      <c r="CX112" s="21">
        <f t="shared" ref="CX112:DB112" si="1013">+SUM(CU28:CX28)</f>
        <v>100.52681869511373</v>
      </c>
      <c r="CY112" s="21">
        <f t="shared" si="1013"/>
        <v>106.92302272220948</v>
      </c>
      <c r="CZ112" s="21">
        <f t="shared" si="1013"/>
        <v>119.38778099915427</v>
      </c>
      <c r="DA112" s="21">
        <f t="shared" si="1013"/>
        <v>130.3968965595509</v>
      </c>
      <c r="DB112" s="21">
        <f t="shared" si="1013"/>
        <v>137.60484542813899</v>
      </c>
      <c r="DE112" s="22"/>
      <c r="DF112" s="162">
        <v>40.402205061476977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 t="e">
        <f t="shared" si="1021"/>
        <v>#DIV/0!</v>
      </c>
      <c r="BO113" s="162" t="e">
        <f t="shared" si="1021"/>
        <v>#DIV/0!</v>
      </c>
      <c r="BP113" s="162" t="e">
        <f t="shared" si="1021"/>
        <v>#DIV/0!</v>
      </c>
      <c r="BQ113" s="162" t="e">
        <f t="shared" si="1021"/>
        <v>#DIV/0!</v>
      </c>
      <c r="BR113" s="162" t="e">
        <f t="shared" si="1021"/>
        <v>#DIV/0!</v>
      </c>
      <c r="BS113" s="162" t="e">
        <f t="shared" si="1021"/>
        <v>#DIV/0!</v>
      </c>
      <c r="BT113" s="162" t="e">
        <f t="shared" si="1021"/>
        <v>#DIV/0!</v>
      </c>
      <c r="BU113" s="162" t="e">
        <f t="shared" si="1021"/>
        <v>#DIV/0!</v>
      </c>
      <c r="BV113" s="162">
        <f t="shared" si="1021"/>
        <v>3.0754593175853007</v>
      </c>
      <c r="BW113" s="162">
        <f t="shared" si="1021"/>
        <v>1.5929189323345589</v>
      </c>
      <c r="BX113" s="162">
        <f t="shared" si="1021"/>
        <v>0</v>
      </c>
      <c r="BY113" s="162">
        <f t="shared" si="1021"/>
        <v>15.330317807297801</v>
      </c>
      <c r="BZ113" s="162">
        <f t="shared" si="1021"/>
        <v>30.497112160926552</v>
      </c>
      <c r="CA113" s="162">
        <f t="shared" si="1021"/>
        <v>26.312562437056659</v>
      </c>
      <c r="CB113" s="162">
        <f t="shared" si="1021"/>
        <v>47.089718366796923</v>
      </c>
      <c r="CC113" s="162">
        <f t="shared" si="1021"/>
        <v>48.248389749504668</v>
      </c>
      <c r="CD113" s="162">
        <f t="shared" si="1021"/>
        <v>65.391225180304488</v>
      </c>
      <c r="CE113" s="162">
        <f t="shared" ref="CE113:CF113" si="1022">+CE110/CE112</f>
        <v>29.345160964434321</v>
      </c>
      <c r="CF113" s="162">
        <f t="shared" si="1022"/>
        <v>37.34907085397127</v>
      </c>
      <c r="CG113" s="162">
        <f t="shared" ref="CG113:CH113" si="1023">+CG110/CG112</f>
        <v>41.468394403529551</v>
      </c>
      <c r="CH113" s="162">
        <f t="shared" si="1023"/>
        <v>40.963190995032846</v>
      </c>
      <c r="CI113" s="162">
        <f t="shared" ref="CI113:CJ113" si="1024">+CI110/CI112</f>
        <v>37.312241304412098</v>
      </c>
      <c r="CJ113" s="162">
        <f t="shared" si="1024"/>
        <v>25.055446598677573</v>
      </c>
      <c r="CK113" s="162">
        <f t="shared" ref="CK113:CL113" si="1025">+CK110/CK112</f>
        <v>31.339072747200081</v>
      </c>
      <c r="CL113" s="162">
        <f t="shared" si="1025"/>
        <v>27.01418117587686</v>
      </c>
      <c r="CM113" s="21">
        <f t="shared" ref="CM113:DB113" si="1026">+CM110/CM112</f>
        <v>26.250280445471887</v>
      </c>
      <c r="CN113" s="21">
        <f t="shared" si="1026"/>
        <v>26.777770019994207</v>
      </c>
      <c r="CO113" s="21">
        <f t="shared" si="1026"/>
        <v>25.169576310501149</v>
      </c>
      <c r="CP113" s="21">
        <f t="shared" si="1026"/>
        <v>24.095622450647774</v>
      </c>
      <c r="CQ113" s="21">
        <f t="shared" si="1026"/>
        <v>24.861709362486053</v>
      </c>
      <c r="CR113" s="21">
        <f t="shared" si="1026"/>
        <v>26.592954488578293</v>
      </c>
      <c r="CS113" s="21">
        <f t="shared" si="1026"/>
        <v>26.174957674021567</v>
      </c>
      <c r="CT113" s="21">
        <f t="shared" si="1026"/>
        <v>25.382185269352519</v>
      </c>
      <c r="CU113" s="21">
        <f t="shared" si="1026"/>
        <v>25.786375649031182</v>
      </c>
      <c r="CV113" s="21">
        <f t="shared" si="1026"/>
        <v>27.251678636016418</v>
      </c>
      <c r="CW113" s="21">
        <f t="shared" si="1026"/>
        <v>26.642306054260654</v>
      </c>
      <c r="CX113" s="21">
        <f t="shared" si="1026"/>
        <v>25.704355795008283</v>
      </c>
      <c r="CY113" s="21">
        <f t="shared" si="1026"/>
        <v>26.018884600826389</v>
      </c>
      <c r="CZ113" s="21">
        <f t="shared" si="1026"/>
        <v>27.41315348479673</v>
      </c>
      <c r="DA113" s="21">
        <f t="shared" si="1026"/>
        <v>26.752212907012549</v>
      </c>
      <c r="DB113" s="21">
        <f t="shared" si="1026"/>
        <v>25.779316588472767</v>
      </c>
      <c r="DE113" s="22"/>
      <c r="DF113" s="162">
        <v>25.684272561642963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 t="e">
        <f t="shared" si="1034"/>
        <v>#DIV/0!</v>
      </c>
      <c r="BO114" s="162" t="e">
        <f t="shared" si="1034"/>
        <v>#DIV/0!</v>
      </c>
      <c r="BP114" s="162" t="e">
        <f t="shared" si="1034"/>
        <v>#DIV/0!</v>
      </c>
      <c r="BQ114" s="162" t="e">
        <f t="shared" si="1034"/>
        <v>#DIV/0!</v>
      </c>
      <c r="BR114" s="162" t="e">
        <f t="shared" si="1034"/>
        <v>#DIV/0!</v>
      </c>
      <c r="BS114" s="162" t="e">
        <f t="shared" si="1034"/>
        <v>#DIV/0!</v>
      </c>
      <c r="BT114" s="162" t="e">
        <f t="shared" si="1034"/>
        <v>#DIV/0!</v>
      </c>
      <c r="BU114" s="162" t="e">
        <f t="shared" si="1034"/>
        <v>#DIV/0!</v>
      </c>
      <c r="BV114" s="162">
        <f t="shared" si="1034"/>
        <v>3.0754593175853007</v>
      </c>
      <c r="BW114" s="162">
        <f t="shared" si="1034"/>
        <v>1.5929189323345589</v>
      </c>
      <c r="BX114" s="162">
        <f t="shared" si="1034"/>
        <v>0</v>
      </c>
      <c r="BY114" s="162">
        <f t="shared" si="1034"/>
        <v>-0.19774676307381861</v>
      </c>
      <c r="BZ114" s="162">
        <f t="shared" si="1034"/>
        <v>12.156263334349287</v>
      </c>
      <c r="CA114" s="162">
        <f t="shared" si="1034"/>
        <v>13.79272247295256</v>
      </c>
      <c r="CB114" s="162">
        <f t="shared" si="1034"/>
        <v>19.098234739253467</v>
      </c>
      <c r="CC114" s="162">
        <f t="shared" si="1034"/>
        <v>24.357753385868314</v>
      </c>
      <c r="CD114" s="162">
        <f t="shared" si="1034"/>
        <v>42.383514379841493</v>
      </c>
      <c r="CE114" s="162">
        <f t="shared" ref="CE114:CF114" si="1035">+CE111/CE112</f>
        <v>21.023850104573665</v>
      </c>
      <c r="CF114" s="162">
        <f t="shared" si="1035"/>
        <v>19.713334738469104</v>
      </c>
      <c r="CG114" s="162">
        <f t="shared" ref="CG114:CH114" si="1036">+CG111/CG112</f>
        <v>22.85408838346267</v>
      </c>
      <c r="CH114" s="162">
        <f t="shared" si="1036"/>
        <v>22.292725524755646</v>
      </c>
      <c r="CI114" s="162">
        <f t="shared" ref="CI114:CJ114" si="1037">+CI111/CI112</f>
        <v>27.704256224746967</v>
      </c>
      <c r="CJ114" s="162">
        <f t="shared" si="1037"/>
        <v>21.21851955620307</v>
      </c>
      <c r="CK114" s="162">
        <f t="shared" ref="CK114:CL114" si="1038">+CK111/CK112</f>
        <v>20.842215115733644</v>
      </c>
      <c r="CL114" s="162">
        <f t="shared" si="1038"/>
        <v>16.287913197072928</v>
      </c>
      <c r="CM114" s="21">
        <f t="shared" ref="CM114:DB114" si="1039">+CM111/CM112</f>
        <v>15.898533245653706</v>
      </c>
      <c r="CN114" s="21">
        <f t="shared" si="1039"/>
        <v>16.730799247060901</v>
      </c>
      <c r="CO114" s="21">
        <f t="shared" si="1039"/>
        <v>15.528485184665678</v>
      </c>
      <c r="CP114" s="21">
        <f t="shared" si="1039"/>
        <v>14.499642067701275</v>
      </c>
      <c r="CQ114" s="21">
        <f t="shared" si="1039"/>
        <v>15.072342093978417</v>
      </c>
      <c r="CR114" s="21">
        <f t="shared" si="1039"/>
        <v>16.678748581364662</v>
      </c>
      <c r="CS114" s="21">
        <f t="shared" si="1039"/>
        <v>16.207886649093446</v>
      </c>
      <c r="CT114" s="21">
        <f t="shared" si="1039"/>
        <v>15.354311733013363</v>
      </c>
      <c r="CU114" s="21">
        <f t="shared" si="1039"/>
        <v>15.699074116123255</v>
      </c>
      <c r="CV114" s="21">
        <f t="shared" si="1039"/>
        <v>17.137693848905005</v>
      </c>
      <c r="CW114" s="21">
        <f t="shared" si="1039"/>
        <v>16.541221497513227</v>
      </c>
      <c r="CX114" s="21">
        <f t="shared" si="1039"/>
        <v>15.595078069174514</v>
      </c>
      <c r="CY114" s="21">
        <f t="shared" si="1039"/>
        <v>15.882013626575558</v>
      </c>
      <c r="CZ114" s="21">
        <f t="shared" si="1039"/>
        <v>17.272900935401346</v>
      </c>
      <c r="DA114" s="21">
        <f t="shared" si="1039"/>
        <v>16.641208168756023</v>
      </c>
      <c r="DB114" s="21">
        <f t="shared" si="1039"/>
        <v>15.671854227401013</v>
      </c>
      <c r="DE114" s="22"/>
      <c r="DF114" s="162">
        <v>15.163015136381524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0.01</v>
      </c>
      <c r="V117" s="23">
        <f>'Annual Raw'!W41</f>
        <v>0.01</v>
      </c>
      <c r="W117" s="23">
        <f>'Annual Raw'!X41</f>
        <v>0.01</v>
      </c>
      <c r="X117" s="23">
        <f>'Annual Raw'!Y41</f>
        <v>9.6280000000000001</v>
      </c>
      <c r="Y117" s="23">
        <f>'Annual Raw'!Z41</f>
        <v>9.6280000000000001</v>
      </c>
      <c r="Z117" s="23">
        <f>'Annual Raw'!AA41</f>
        <v>10.357799999999999</v>
      </c>
      <c r="AA117" s="23">
        <f>'Annual Raw'!AB41</f>
        <v>10.4703</v>
      </c>
      <c r="AB117" s="24">
        <f>+CP117</f>
        <v>10.47</v>
      </c>
      <c r="AC117" s="24">
        <f>+CT117</f>
        <v>10.47</v>
      </c>
      <c r="AD117" s="24">
        <f>+CX117</f>
        <v>10.47</v>
      </c>
      <c r="AE117" s="24">
        <f>+DB117</f>
        <v>10.47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0</v>
      </c>
      <c r="BO117" s="23">
        <f t="shared" si="1040"/>
        <v>0</v>
      </c>
      <c r="BP117" s="23">
        <f>+'QTR Raw'!AJ56</f>
        <v>0</v>
      </c>
      <c r="BQ117" s="23">
        <f t="shared" si="1040"/>
        <v>0</v>
      </c>
      <c r="BR117" s="23">
        <f>+'QTR Raw'!AL56</f>
        <v>0</v>
      </c>
      <c r="BS117" s="23">
        <f t="shared" si="1040"/>
        <v>0</v>
      </c>
      <c r="BT117" s="23">
        <f>+'QTR Raw'!AN56</f>
        <v>0</v>
      </c>
      <c r="BU117" s="23">
        <f t="shared" si="1040"/>
        <v>0</v>
      </c>
      <c r="BV117" s="23">
        <f>+'QTR Raw'!AP56</f>
        <v>0.01</v>
      </c>
      <c r="BW117" s="23">
        <f t="shared" si="1040"/>
        <v>0.01</v>
      </c>
      <c r="BX117" s="23">
        <f>+'QTR Raw'!AR56</f>
        <v>0</v>
      </c>
      <c r="BY117" s="23">
        <f t="shared" si="1040"/>
        <v>0</v>
      </c>
      <c r="BZ117" s="23">
        <f>+'QTR Raw'!AT56</f>
        <v>9.6280000000000001</v>
      </c>
      <c r="CA117" s="23">
        <f t="shared" si="1040"/>
        <v>9.6280000000000001</v>
      </c>
      <c r="CB117" s="23">
        <f>+'QTR Raw'!AV56</f>
        <v>9.6280000000000001</v>
      </c>
      <c r="CC117" s="23">
        <f t="shared" si="1040"/>
        <v>9.6280000000000001</v>
      </c>
      <c r="CD117" s="23">
        <f>+'QTR Raw'!AX56</f>
        <v>9.6280000000000001</v>
      </c>
      <c r="CE117" s="23">
        <f t="shared" si="1040"/>
        <v>9.6280000000000001</v>
      </c>
      <c r="CF117" s="23">
        <f>+'QTR Raw'!AZ56</f>
        <v>10.358000000000001</v>
      </c>
      <c r="CG117" s="23">
        <f t="shared" ref="CG117:CG118" si="1041">+CF117</f>
        <v>10.358000000000001</v>
      </c>
      <c r="CH117" s="23">
        <f>Z117</f>
        <v>10.357799999999999</v>
      </c>
      <c r="CI117" s="23">
        <f>CH117</f>
        <v>10.357799999999999</v>
      </c>
      <c r="CJ117" s="23">
        <f>+'QTR Raw'!BD56</f>
        <v>10.47</v>
      </c>
      <c r="CK117" s="24">
        <f t="shared" ref="CK117:DB117" si="1042">CJ117</f>
        <v>10.47</v>
      </c>
      <c r="CL117" s="23">
        <f>+'QTR Raw'!BF56</f>
        <v>10.47</v>
      </c>
      <c r="CM117" s="24">
        <f t="shared" si="1042"/>
        <v>10.47</v>
      </c>
      <c r="CN117" s="24">
        <f t="shared" si="1042"/>
        <v>10.47</v>
      </c>
      <c r="CO117" s="24">
        <f t="shared" si="1042"/>
        <v>10.47</v>
      </c>
      <c r="CP117" s="24">
        <f t="shared" si="1042"/>
        <v>10.47</v>
      </c>
      <c r="CQ117" s="24">
        <f t="shared" si="1042"/>
        <v>10.47</v>
      </c>
      <c r="CR117" s="24">
        <f t="shared" si="1042"/>
        <v>10.47</v>
      </c>
      <c r="CS117" s="24">
        <f t="shared" si="1042"/>
        <v>10.47</v>
      </c>
      <c r="CT117" s="24">
        <f t="shared" si="1042"/>
        <v>10.47</v>
      </c>
      <c r="CU117" s="24">
        <f t="shared" si="1042"/>
        <v>10.47</v>
      </c>
      <c r="CV117" s="24">
        <f t="shared" si="1042"/>
        <v>10.47</v>
      </c>
      <c r="CW117" s="24">
        <f t="shared" si="1042"/>
        <v>10.47</v>
      </c>
      <c r="CX117" s="24">
        <f t="shared" si="1042"/>
        <v>10.47</v>
      </c>
      <c r="CY117" s="24">
        <f t="shared" si="1042"/>
        <v>10.47</v>
      </c>
      <c r="CZ117" s="24">
        <f t="shared" si="1042"/>
        <v>10.47</v>
      </c>
      <c r="DA117" s="24">
        <f t="shared" si="1042"/>
        <v>10.47</v>
      </c>
      <c r="DB117" s="24">
        <f t="shared" si="1042"/>
        <v>10.47</v>
      </c>
      <c r="DE117" s="123"/>
      <c r="DF117" s="23">
        <v>10.47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2.8E-3</v>
      </c>
      <c r="V119" s="23">
        <f>'Annual Raw'!W43</f>
        <v>6.1999999999999998E-3</v>
      </c>
      <c r="W119" s="23">
        <f>'Annual Raw'!X43</f>
        <v>1.1097999999999999</v>
      </c>
      <c r="X119" s="23">
        <f>'Annual Raw'!Y43</f>
        <v>10.9549</v>
      </c>
      <c r="Y119" s="23">
        <f>'Annual Raw'!Z43</f>
        <v>19.4133</v>
      </c>
      <c r="Z119" s="23">
        <f>'Annual Raw'!AA43</f>
        <v>89.328299999999999</v>
      </c>
      <c r="AA119" s="23">
        <f>'Annual Raw'!AB43</f>
        <v>131.43360000000001</v>
      </c>
      <c r="AB119" s="24">
        <f t="shared" si="1043"/>
        <v>169.70392199868408</v>
      </c>
      <c r="AC119" s="24">
        <f t="shared" si="1044"/>
        <v>224.2771644783144</v>
      </c>
      <c r="AD119" s="24">
        <f t="shared" si="1045"/>
        <v>299.53474970191292</v>
      </c>
      <c r="AE119" s="24">
        <f t="shared" si="1046"/>
        <v>402.53163034627374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0.21900000000000019</v>
      </c>
      <c r="BV119" s="23">
        <f>+'QTR Raw'!AP58</f>
        <v>1.1100000000000001</v>
      </c>
      <c r="BW119" s="23">
        <f>+BV119+BW48</f>
        <v>2.0289999999999999</v>
      </c>
      <c r="BX119" s="23">
        <f>+'QTR Raw'!AR58</f>
        <v>0</v>
      </c>
      <c r="BY119" s="23">
        <f>+BX119+BY48</f>
        <v>1.175999999999999</v>
      </c>
      <c r="BZ119" s="23">
        <f>+'QTR Raw'!AT58</f>
        <v>10.955</v>
      </c>
      <c r="CA119" s="23">
        <f>+BZ119+CA48</f>
        <v>12.23</v>
      </c>
      <c r="CB119" s="23">
        <f>+'QTR Raw'!AV58</f>
        <v>13.904999999999999</v>
      </c>
      <c r="CC119" s="23">
        <f>+CB119+CC48</f>
        <v>17.063000000000002</v>
      </c>
      <c r="CD119" s="23">
        <f>+'QTR Raw'!AX58</f>
        <v>19.413</v>
      </c>
      <c r="CE119" s="23">
        <f>+CD119+CE48</f>
        <v>29.871000000000002</v>
      </c>
      <c r="CF119" s="23">
        <f>+'QTR Raw'!AZ58</f>
        <v>76.091999999999999</v>
      </c>
      <c r="CG119" s="23">
        <f>+CF119+CG48</f>
        <v>85.238</v>
      </c>
      <c r="CH119" s="23">
        <f t="shared" si="1048"/>
        <v>89.328299999999999</v>
      </c>
      <c r="CI119" s="23">
        <f>CH119+CI48</f>
        <v>94.641300000000001</v>
      </c>
      <c r="CJ119" s="23">
        <f>+'QTR Raw'!BD58</f>
        <v>115.685</v>
      </c>
      <c r="CK119" s="24">
        <f t="shared" ref="CK119:DB119" si="1050">CJ119+CK48</f>
        <v>126.286</v>
      </c>
      <c r="CL119" s="23">
        <f>+'QTR Raw'!BF58</f>
        <v>131.434</v>
      </c>
      <c r="CM119" s="24">
        <f t="shared" si="1050"/>
        <v>137.85455882629128</v>
      </c>
      <c r="CN119" s="24">
        <f t="shared" si="1050"/>
        <v>151.04401882384448</v>
      </c>
      <c r="CO119" s="24">
        <f t="shared" si="1050"/>
        <v>162.38754573305701</v>
      </c>
      <c r="CP119" s="24">
        <f t="shared" si="1050"/>
        <v>169.70392199868408</v>
      </c>
      <c r="CQ119" s="24">
        <f t="shared" si="1050"/>
        <v>179.41165123009557</v>
      </c>
      <c r="CR119" s="24">
        <f t="shared" si="1050"/>
        <v>197.93940325830951</v>
      </c>
      <c r="CS119" s="24">
        <f t="shared" si="1050"/>
        <v>213.69864770900168</v>
      </c>
      <c r="CT119" s="24">
        <f t="shared" si="1050"/>
        <v>224.2771644783144</v>
      </c>
      <c r="CU119" s="24">
        <f t="shared" si="1050"/>
        <v>237.79714456425793</v>
      </c>
      <c r="CV119" s="24">
        <f t="shared" si="1050"/>
        <v>263.26619553338463</v>
      </c>
      <c r="CW119" s="24">
        <f t="shared" si="1050"/>
        <v>284.93780496321563</v>
      </c>
      <c r="CX119" s="24">
        <f t="shared" si="1050"/>
        <v>299.53474970191292</v>
      </c>
      <c r="CY119" s="24">
        <f t="shared" si="1050"/>
        <v>318.06161760952915</v>
      </c>
      <c r="CZ119" s="24">
        <f t="shared" si="1050"/>
        <v>352.91755180817745</v>
      </c>
      <c r="DA119" s="24">
        <f t="shared" si="1050"/>
        <v>382.57376064014386</v>
      </c>
      <c r="DB119" s="24">
        <f t="shared" si="1050"/>
        <v>402.53163034627374</v>
      </c>
      <c r="DE119" s="123"/>
      <c r="DF119" s="23">
        <v>133.0214794167629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0</v>
      </c>
      <c r="K120" s="22">
        <f t="shared" si="1051"/>
        <v>0</v>
      </c>
      <c r="L120" s="22">
        <f t="shared" si="1051"/>
        <v>0</v>
      </c>
      <c r="M120" s="22">
        <f>M117+M118+M119</f>
        <v>0</v>
      </c>
      <c r="N120" s="22">
        <f t="shared" si="1051"/>
        <v>0</v>
      </c>
      <c r="O120" s="22">
        <f t="shared" si="1051"/>
        <v>0</v>
      </c>
      <c r="P120" s="22">
        <f t="shared" si="1051"/>
        <v>0</v>
      </c>
      <c r="Q120" s="22">
        <f t="shared" si="1051"/>
        <v>0</v>
      </c>
      <c r="R120" s="22">
        <f t="shared" si="1051"/>
        <v>0</v>
      </c>
      <c r="S120" s="22">
        <f t="shared" si="1051"/>
        <v>0</v>
      </c>
      <c r="T120" s="22">
        <f t="shared" si="1051"/>
        <v>0</v>
      </c>
      <c r="U120" s="22">
        <f t="shared" si="1051"/>
        <v>1.2800000000000001E-2</v>
      </c>
      <c r="V120" s="22">
        <f t="shared" si="1051"/>
        <v>1.6199999999999999E-2</v>
      </c>
      <c r="W120" s="22">
        <f t="shared" ref="W120" si="1052">W117+W118+W119</f>
        <v>1.1197999999999999</v>
      </c>
      <c r="X120" s="22">
        <f t="shared" ref="X120:Y120" si="1053">X117+X118+X119</f>
        <v>20.582900000000002</v>
      </c>
      <c r="Y120" s="22">
        <f t="shared" si="1053"/>
        <v>29.0413</v>
      </c>
      <c r="Z120" s="22">
        <f t="shared" ref="Z120:AA120" si="1054">Z117+Z118+Z119</f>
        <v>99.686099999999996</v>
      </c>
      <c r="AA120" s="22">
        <f t="shared" si="1054"/>
        <v>141.90390000000002</v>
      </c>
      <c r="AB120" s="21">
        <f t="shared" ref="AA120:AD120" si="1055">AB117+AB118+AB119</f>
        <v>180.17392199868408</v>
      </c>
      <c r="AC120" s="21">
        <f t="shared" si="1055"/>
        <v>234.7471644783144</v>
      </c>
      <c r="AD120" s="21">
        <f t="shared" si="1055"/>
        <v>310.00474970191294</v>
      </c>
      <c r="AE120" s="21">
        <f t="shared" ref="AE120" si="1056">AE117+AE118+AE119</f>
        <v>413.00163034627377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0</v>
      </c>
      <c r="BN120" s="22">
        <f t="shared" si="1061"/>
        <v>0</v>
      </c>
      <c r="BO120" s="22">
        <f t="shared" si="1061"/>
        <v>0</v>
      </c>
      <c r="BP120" s="22">
        <f t="shared" si="1061"/>
        <v>0</v>
      </c>
      <c r="BQ120" s="22">
        <f t="shared" si="1061"/>
        <v>0</v>
      </c>
      <c r="BR120" s="22">
        <f t="shared" si="1061"/>
        <v>0</v>
      </c>
      <c r="BS120" s="22">
        <f t="shared" si="1061"/>
        <v>0</v>
      </c>
      <c r="BT120" s="22">
        <f t="shared" si="1061"/>
        <v>0</v>
      </c>
      <c r="BU120" s="22">
        <f t="shared" si="1061"/>
        <v>0.21900000000000019</v>
      </c>
      <c r="BV120" s="22">
        <f t="shared" si="1061"/>
        <v>1.1200000000000001</v>
      </c>
      <c r="BW120" s="22">
        <f t="shared" si="1061"/>
        <v>2.0389999999999997</v>
      </c>
      <c r="BX120" s="22">
        <f t="shared" si="1061"/>
        <v>0</v>
      </c>
      <c r="BY120" s="22">
        <f t="shared" si="1061"/>
        <v>1.175999999999999</v>
      </c>
      <c r="BZ120" s="22">
        <f t="shared" si="1061"/>
        <v>20.582999999999998</v>
      </c>
      <c r="CA120" s="22">
        <f t="shared" si="1061"/>
        <v>21.858000000000001</v>
      </c>
      <c r="CB120" s="22">
        <f t="shared" si="1061"/>
        <v>23.533000000000001</v>
      </c>
      <c r="CC120" s="22">
        <f t="shared" si="1061"/>
        <v>26.691000000000003</v>
      </c>
      <c r="CD120" s="22">
        <f t="shared" si="1061"/>
        <v>29.041</v>
      </c>
      <c r="CE120" s="22">
        <f t="shared" si="1061"/>
        <v>39.499000000000002</v>
      </c>
      <c r="CF120" s="22">
        <f t="shared" ref="CF120:CG120" si="1062">CF117+CF118+CF119</f>
        <v>86.45</v>
      </c>
      <c r="CG120" s="22">
        <f t="shared" si="1062"/>
        <v>95.596000000000004</v>
      </c>
      <c r="CH120" s="22">
        <f t="shared" ref="CH120:CI120" si="1063">CH117+CH118+CH119</f>
        <v>99.686099999999996</v>
      </c>
      <c r="CI120" s="22">
        <f t="shared" si="1063"/>
        <v>104.9991</v>
      </c>
      <c r="CJ120" s="22">
        <f t="shared" ref="CJ120:DB120" si="1064">CJ117+CJ118+CJ119</f>
        <v>126.155</v>
      </c>
      <c r="CK120" s="21">
        <f t="shared" si="1064"/>
        <v>136.756</v>
      </c>
      <c r="CL120" s="22">
        <f t="shared" ref="CL120" si="1065">CL117+CL118+CL119</f>
        <v>141.904</v>
      </c>
      <c r="CM120" s="21">
        <f t="shared" si="1064"/>
        <v>148.32455882629128</v>
      </c>
      <c r="CN120" s="21">
        <f t="shared" si="1064"/>
        <v>161.51401882384448</v>
      </c>
      <c r="CO120" s="21">
        <f t="shared" si="1064"/>
        <v>172.85754573305701</v>
      </c>
      <c r="CP120" s="21">
        <f t="shared" si="1064"/>
        <v>180.17392199868408</v>
      </c>
      <c r="CQ120" s="21">
        <f t="shared" si="1064"/>
        <v>189.88165123009557</v>
      </c>
      <c r="CR120" s="21">
        <f t="shared" si="1064"/>
        <v>208.40940325830951</v>
      </c>
      <c r="CS120" s="21">
        <f t="shared" si="1064"/>
        <v>224.16864770900168</v>
      </c>
      <c r="CT120" s="21">
        <f t="shared" si="1064"/>
        <v>234.7471644783144</v>
      </c>
      <c r="CU120" s="21">
        <f t="shared" si="1064"/>
        <v>248.26714456425793</v>
      </c>
      <c r="CV120" s="21">
        <f t="shared" si="1064"/>
        <v>273.73619553338466</v>
      </c>
      <c r="CW120" s="21">
        <f t="shared" si="1064"/>
        <v>295.40780496321565</v>
      </c>
      <c r="CX120" s="21">
        <f t="shared" si="1064"/>
        <v>310.00474970191294</v>
      </c>
      <c r="CY120" s="21">
        <f t="shared" si="1064"/>
        <v>328.53161760952918</v>
      </c>
      <c r="CZ120" s="21">
        <f t="shared" si="1064"/>
        <v>363.38755180817748</v>
      </c>
      <c r="DA120" s="21">
        <f t="shared" si="1064"/>
        <v>393.04376064014389</v>
      </c>
      <c r="DB120" s="21">
        <f t="shared" si="1064"/>
        <v>413.00163034627377</v>
      </c>
      <c r="DE120" s="126"/>
      <c r="DF120" s="22">
        <v>143.4914794167629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3.1399999999999997E-2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3.1E-2</v>
      </c>
      <c r="CA125" s="23">
        <f t="shared" si="1090"/>
        <v>3.1E-2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3.5999999999999999E-3</v>
      </c>
      <c r="V127" s="23">
        <f>'Annual Raw'!W56</f>
        <v>3.5999999999999999E-3</v>
      </c>
      <c r="W127" s="23">
        <f>'Annual Raw'!X56</f>
        <v>5.3128000000000002</v>
      </c>
      <c r="X127" s="23">
        <f>'Annual Raw'!Y56</f>
        <v>0.82350000000000001</v>
      </c>
      <c r="Y127" s="23">
        <f>'Annual Raw'!Z56</f>
        <v>1.7313000000000001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5.3129999999999997</v>
      </c>
      <c r="BW127" s="23">
        <f t="shared" si="1090"/>
        <v>5.3129999999999997</v>
      </c>
      <c r="BX127" s="23">
        <f>+'QTR Raw'!AR88</f>
        <v>0</v>
      </c>
      <c r="BY127" s="23">
        <f t="shared" si="1090"/>
        <v>0</v>
      </c>
      <c r="BZ127" s="23">
        <f>+'QTR Raw'!AT88</f>
        <v>0.82399999999999995</v>
      </c>
      <c r="CA127" s="23">
        <f t="shared" si="1090"/>
        <v>0.82399999999999995</v>
      </c>
      <c r="CB127" s="23">
        <f>+'QTR Raw'!AV88</f>
        <v>0</v>
      </c>
      <c r="CC127" s="23">
        <f t="shared" si="1090"/>
        <v>0</v>
      </c>
      <c r="CD127" s="23">
        <f>+'QTR Raw'!AX88</f>
        <v>1.7310000000000001</v>
      </c>
      <c r="CE127" s="23">
        <f t="shared" si="1091"/>
        <v>1.7310000000000001</v>
      </c>
      <c r="CF127" s="23">
        <f>+'QTR Raw'!AZ88</f>
        <v>2.319</v>
      </c>
      <c r="CG127" s="23">
        <f t="shared" si="1092"/>
        <v>2.319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3.5999999999999999E-3</v>
      </c>
      <c r="V128" s="22">
        <f t="shared" si="1110"/>
        <v>3.5999999999999999E-3</v>
      </c>
      <c r="W128" s="22">
        <f t="shared" ref="W128" si="1111">SUM(W124:W127)</f>
        <v>5.3128000000000002</v>
      </c>
      <c r="X128" s="22">
        <f t="shared" ref="X128:Y128" si="1112">SUM(X124:X127)</f>
        <v>0.85489999999999999</v>
      </c>
      <c r="Y128" s="22">
        <f t="shared" si="1112"/>
        <v>1.7313000000000001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5.3129999999999997</v>
      </c>
      <c r="BW128" s="22">
        <f t="shared" si="1120"/>
        <v>5.3129999999999997</v>
      </c>
      <c r="BX128" s="22">
        <f t="shared" si="1120"/>
        <v>0</v>
      </c>
      <c r="BY128" s="22">
        <f t="shared" si="1120"/>
        <v>0</v>
      </c>
      <c r="BZ128" s="22">
        <f t="shared" si="1120"/>
        <v>0.85499999999999998</v>
      </c>
      <c r="CA128" s="22">
        <f t="shared" si="1120"/>
        <v>0.85499999999999998</v>
      </c>
      <c r="CB128" s="22">
        <f t="shared" si="1120"/>
        <v>0</v>
      </c>
      <c r="CC128" s="22">
        <f t="shared" si="1120"/>
        <v>0</v>
      </c>
      <c r="CD128" s="22">
        <f t="shared" si="1120"/>
        <v>1.7310000000000001</v>
      </c>
      <c r="CE128" s="22">
        <f t="shared" si="1120"/>
        <v>1.7310000000000001</v>
      </c>
      <c r="CF128" s="22">
        <f t="shared" ref="CF128:CG128" si="1122">SUM(CF124:CF127)</f>
        <v>2.319</v>
      </c>
      <c r="CG128" s="22">
        <f t="shared" si="1122"/>
        <v>2.319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0</v>
      </c>
      <c r="K129" s="26">
        <f t="shared" si="1126"/>
        <v>0</v>
      </c>
      <c r="L129" s="26">
        <f t="shared" si="1126"/>
        <v>0</v>
      </c>
      <c r="M129" s="26">
        <f t="shared" si="1126"/>
        <v>0</v>
      </c>
      <c r="N129" s="26">
        <f t="shared" si="1126"/>
        <v>0</v>
      </c>
      <c r="O129" s="26">
        <f t="shared" si="1126"/>
        <v>0</v>
      </c>
      <c r="P129" s="26">
        <f t="shared" si="1126"/>
        <v>0</v>
      </c>
      <c r="Q129" s="26">
        <f t="shared" si="1126"/>
        <v>0</v>
      </c>
      <c r="R129" s="26">
        <f t="shared" si="1126"/>
        <v>0</v>
      </c>
      <c r="S129" s="26">
        <f t="shared" si="1126"/>
        <v>0</v>
      </c>
      <c r="T129" s="26">
        <f t="shared" si="1126"/>
        <v>0</v>
      </c>
      <c r="U129" s="26">
        <f t="shared" si="1126"/>
        <v>1.6400000000000001E-2</v>
      </c>
      <c r="V129" s="26">
        <f t="shared" si="1126"/>
        <v>1.9799999999999998E-2</v>
      </c>
      <c r="W129" s="26">
        <f t="shared" ref="W129" si="1127">W128+W120+W122</f>
        <v>6.4325999999999999</v>
      </c>
      <c r="X129" s="26">
        <f t="shared" ref="X129:Y129" si="1128">X128+X120+X122</f>
        <v>21.437800000000003</v>
      </c>
      <c r="Y129" s="26">
        <f t="shared" si="1128"/>
        <v>30.772600000000001</v>
      </c>
      <c r="Z129" s="26">
        <f t="shared" ref="Z129:AA129" si="1129">Z128+Z120+Z122</f>
        <v>99.686099999999996</v>
      </c>
      <c r="AA129" s="26">
        <f t="shared" si="1129"/>
        <v>141.90390000000002</v>
      </c>
      <c r="AB129" s="27">
        <f t="shared" ref="AA129:AD129" si="1130">AB128+AB120+AB122</f>
        <v>180.17392199868408</v>
      </c>
      <c r="AC129" s="27">
        <f t="shared" si="1130"/>
        <v>234.7471644783144</v>
      </c>
      <c r="AD129" s="27">
        <f t="shared" si="1130"/>
        <v>310.00474970191294</v>
      </c>
      <c r="AE129" s="27">
        <f t="shared" ref="AE129" si="1131">AE128+AE120+AE122</f>
        <v>413.00163034627377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0</v>
      </c>
      <c r="BN129" s="26">
        <f t="shared" si="1136"/>
        <v>0</v>
      </c>
      <c r="BO129" s="26">
        <f t="shared" si="1136"/>
        <v>0</v>
      </c>
      <c r="BP129" s="26">
        <f t="shared" si="1136"/>
        <v>0</v>
      </c>
      <c r="BQ129" s="26">
        <f t="shared" si="1136"/>
        <v>0</v>
      </c>
      <c r="BR129" s="26">
        <f t="shared" si="1136"/>
        <v>0</v>
      </c>
      <c r="BS129" s="26">
        <f t="shared" si="1136"/>
        <v>0</v>
      </c>
      <c r="BT129" s="26">
        <f t="shared" si="1136"/>
        <v>0</v>
      </c>
      <c r="BU129" s="26">
        <f t="shared" si="1136"/>
        <v>0.21900000000000019</v>
      </c>
      <c r="BV129" s="26">
        <f t="shared" si="1136"/>
        <v>6.4329999999999998</v>
      </c>
      <c r="BW129" s="26">
        <f t="shared" si="1136"/>
        <v>7.3519999999999994</v>
      </c>
      <c r="BX129" s="26">
        <f t="shared" si="1136"/>
        <v>0</v>
      </c>
      <c r="BY129" s="26">
        <f t="shared" si="1136"/>
        <v>1.175999999999999</v>
      </c>
      <c r="BZ129" s="26">
        <f t="shared" si="1136"/>
        <v>21.437999999999999</v>
      </c>
      <c r="CA129" s="26">
        <f t="shared" si="1136"/>
        <v>22.713000000000001</v>
      </c>
      <c r="CB129" s="26">
        <f t="shared" si="1136"/>
        <v>23.533000000000001</v>
      </c>
      <c r="CC129" s="26">
        <f t="shared" si="1136"/>
        <v>26.691000000000003</v>
      </c>
      <c r="CD129" s="26">
        <f t="shared" si="1136"/>
        <v>30.772000000000002</v>
      </c>
      <c r="CE129" s="26">
        <f t="shared" si="1136"/>
        <v>41.230000000000004</v>
      </c>
      <c r="CF129" s="26">
        <f t="shared" ref="CF129:CG129" si="1138">CF128+CF120+CF122</f>
        <v>88.769000000000005</v>
      </c>
      <c r="CG129" s="26">
        <f t="shared" si="1138"/>
        <v>97.915000000000006</v>
      </c>
      <c r="CH129" s="26">
        <f t="shared" ref="CH129:CI129" si="1139">CH128+CH120+CH122</f>
        <v>99.686099999999996</v>
      </c>
      <c r="CI129" s="26">
        <f t="shared" si="1139"/>
        <v>104.9991</v>
      </c>
      <c r="CJ129" s="26">
        <f t="shared" ref="CJ129:DB129" si="1140">CJ128+CJ120+CJ122</f>
        <v>126.155</v>
      </c>
      <c r="CK129" s="27">
        <f t="shared" si="1140"/>
        <v>136.756</v>
      </c>
      <c r="CL129" s="26">
        <f t="shared" ref="CL129" si="1141">CL128+CL120+CL122</f>
        <v>141.904</v>
      </c>
      <c r="CM129" s="27">
        <f t="shared" si="1140"/>
        <v>148.32455882629128</v>
      </c>
      <c r="CN129" s="27">
        <f t="shared" si="1140"/>
        <v>161.51401882384448</v>
      </c>
      <c r="CO129" s="27">
        <f t="shared" si="1140"/>
        <v>172.85754573305701</v>
      </c>
      <c r="CP129" s="27">
        <f t="shared" si="1140"/>
        <v>180.17392199868408</v>
      </c>
      <c r="CQ129" s="27">
        <f t="shared" si="1140"/>
        <v>189.88165123009557</v>
      </c>
      <c r="CR129" s="27">
        <f t="shared" si="1140"/>
        <v>208.40940325830951</v>
      </c>
      <c r="CS129" s="27">
        <f t="shared" si="1140"/>
        <v>224.16864770900168</v>
      </c>
      <c r="CT129" s="27">
        <f t="shared" si="1140"/>
        <v>234.7471644783144</v>
      </c>
      <c r="CU129" s="27">
        <f t="shared" si="1140"/>
        <v>248.26714456425793</v>
      </c>
      <c r="CV129" s="27">
        <f t="shared" si="1140"/>
        <v>273.73619553338466</v>
      </c>
      <c r="CW129" s="27">
        <f t="shared" si="1140"/>
        <v>295.40780496321565</v>
      </c>
      <c r="CX129" s="27">
        <f t="shared" si="1140"/>
        <v>310.00474970191294</v>
      </c>
      <c r="CY129" s="27">
        <f t="shared" si="1140"/>
        <v>328.53161760952918</v>
      </c>
      <c r="CZ129" s="27">
        <f t="shared" si="1140"/>
        <v>363.38755180817748</v>
      </c>
      <c r="DA129" s="27">
        <f t="shared" si="1140"/>
        <v>393.04376064014389</v>
      </c>
      <c r="DB129" s="27">
        <f t="shared" si="1140"/>
        <v>413.00163034627377</v>
      </c>
      <c r="DE129" s="121"/>
      <c r="DF129" s="26">
        <v>143.4914794167629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2.3999999999999998E-3</v>
      </c>
      <c r="V131" s="23">
        <f>'Annual Raw'!W62-V135</f>
        <v>5.9999999999999995E-4</v>
      </c>
      <c r="W131" s="23">
        <f>'Annual Raw'!X62-W135</f>
        <v>0.37769999999999998</v>
      </c>
      <c r="X131" s="23">
        <f>'Annual Raw'!Y62-X135</f>
        <v>1.4276</v>
      </c>
      <c r="Y131" s="23">
        <f>'Annual Raw'!Z62-Y135</f>
        <v>1.8544</v>
      </c>
      <c r="Z131" s="23">
        <f>'Annual Raw'!AA62-Z135</f>
        <v>5.6148999999999996</v>
      </c>
      <c r="AA131" s="23">
        <f>'Annual Raw'!AB62-AA135</f>
        <v>16.622199999999999</v>
      </c>
      <c r="AB131" s="24">
        <f t="shared" ref="AB131:AB137" si="1142">+CP131</f>
        <v>8.2227999999999994</v>
      </c>
      <c r="AC131" s="24">
        <f t="shared" ref="AC131:AC137" si="1143">+CT131</f>
        <v>8.2227999999999994</v>
      </c>
      <c r="AD131" s="24">
        <f t="shared" ref="AD131:AD137" si="1144">+CX131</f>
        <v>8.2227999999999994</v>
      </c>
      <c r="AE131" s="24">
        <f t="shared" ref="AE131:AE137" si="1145">+DB131</f>
        <v>8.2227999999999994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0.35599999999999998</v>
      </c>
      <c r="BX131" s="23">
        <f>+'QTR Raw'!AR68</f>
        <v>0</v>
      </c>
      <c r="BZ131" s="23">
        <f>+'QTR Raw'!AT68</f>
        <v>0.82199999999999995</v>
      </c>
      <c r="CB131" s="23">
        <f>+'QTR Raw'!AV68</f>
        <v>0.83299999999999996</v>
      </c>
      <c r="CD131" s="23">
        <f>+'QTR Raw'!AX68</f>
        <v>1.129</v>
      </c>
      <c r="CF131" s="23">
        <f>+'QTR Raw'!AZ68</f>
        <v>1.1870000000000001</v>
      </c>
      <c r="CH131" s="23">
        <f t="shared" ref="CH131:CH137" si="1146">Z131</f>
        <v>5.6148999999999996</v>
      </c>
      <c r="CI131" s="23">
        <f>CH131</f>
        <v>5.6148999999999996</v>
      </c>
      <c r="CJ131" s="23">
        <f>+CJ132+CJ134</f>
        <v>4.2948000000000004</v>
      </c>
      <c r="CK131" s="24">
        <f>+CJ131</f>
        <v>4.2948000000000004</v>
      </c>
      <c r="CL131" s="23">
        <f>+CL132+CL134</f>
        <v>8.2227999999999994</v>
      </c>
      <c r="CM131" s="24">
        <f t="shared" ref="CM131:DB131" si="1147">+CL131</f>
        <v>8.2227999999999994</v>
      </c>
      <c r="CN131" s="24">
        <f t="shared" si="1147"/>
        <v>8.2227999999999994</v>
      </c>
      <c r="CO131" s="24">
        <f t="shared" si="1147"/>
        <v>8.2227999999999994</v>
      </c>
      <c r="CP131" s="24">
        <f t="shared" si="1147"/>
        <v>8.2227999999999994</v>
      </c>
      <c r="CQ131" s="24">
        <f t="shared" si="1147"/>
        <v>8.2227999999999994</v>
      </c>
      <c r="CR131" s="24">
        <f t="shared" si="1147"/>
        <v>8.2227999999999994</v>
      </c>
      <c r="CS131" s="24">
        <f t="shared" si="1147"/>
        <v>8.2227999999999994</v>
      </c>
      <c r="CT131" s="24">
        <f t="shared" si="1147"/>
        <v>8.2227999999999994</v>
      </c>
      <c r="CU131" s="24">
        <f t="shared" si="1147"/>
        <v>8.2227999999999994</v>
      </c>
      <c r="CV131" s="24">
        <f t="shared" si="1147"/>
        <v>8.2227999999999994</v>
      </c>
      <c r="CW131" s="24">
        <f t="shared" si="1147"/>
        <v>8.2227999999999994</v>
      </c>
      <c r="CX131" s="24">
        <f t="shared" si="1147"/>
        <v>8.2227999999999994</v>
      </c>
      <c r="CY131" s="24">
        <f t="shared" si="1147"/>
        <v>8.2227999999999994</v>
      </c>
      <c r="CZ131" s="24">
        <f t="shared" si="1147"/>
        <v>8.2227999999999994</v>
      </c>
      <c r="DA131" s="24">
        <f t="shared" si="1147"/>
        <v>8.2227999999999994</v>
      </c>
      <c r="DB131" s="24">
        <f t="shared" si="1147"/>
        <v>8.2227999999999994</v>
      </c>
      <c r="DE131" s="123"/>
      <c r="DF131" s="23">
        <v>4.2948000000000004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2.2000000000000001E-3</v>
      </c>
      <c r="V132" s="23">
        <f>'Annual Raw'!W63</f>
        <v>5.9999999999999995E-4</v>
      </c>
      <c r="W132" s="23">
        <f>'Annual Raw'!X63</f>
        <v>2.1100000000000001E-2</v>
      </c>
      <c r="X132" s="23">
        <f>'Annual Raw'!Y63</f>
        <v>0.1361</v>
      </c>
      <c r="Y132" s="23">
        <f>'Annual Raw'!Z63</f>
        <v>0.36159999999999998</v>
      </c>
      <c r="Z132" s="23">
        <f>'Annual Raw'!AA63</f>
        <v>0.95679999999999998</v>
      </c>
      <c r="AA132" s="23">
        <f>'Annual Raw'!AB63</f>
        <v>2.5337000000000001</v>
      </c>
      <c r="AB132" s="24">
        <f t="shared" si="1142"/>
        <v>6.234750982104555</v>
      </c>
      <c r="AC132" s="24">
        <f t="shared" si="1143"/>
        <v>7.5279443569699289</v>
      </c>
      <c r="AD132" s="24">
        <f t="shared" si="1144"/>
        <v>7.9799365895384948</v>
      </c>
      <c r="AE132" s="24">
        <f t="shared" si="1145"/>
        <v>8.1379152664116159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0.95679999999999998</v>
      </c>
      <c r="CI132" s="23">
        <f t="shared" ref="CI132:DB132" si="1148">CH132+CI32</f>
        <v>1.2298</v>
      </c>
      <c r="CJ132" s="23">
        <f t="shared" si="1148"/>
        <v>1.5998000000000001</v>
      </c>
      <c r="CK132" s="24">
        <f t="shared" si="1148"/>
        <v>2.0058000000000002</v>
      </c>
      <c r="CL132" s="23">
        <f t="shared" si="1148"/>
        <v>2.5348000000000002</v>
      </c>
      <c r="CM132" s="24">
        <f t="shared" si="1148"/>
        <v>3.8493268676277852</v>
      </c>
      <c r="CN132" s="24">
        <f t="shared" si="1148"/>
        <v>4.8600596273590657</v>
      </c>
      <c r="CO132" s="24">
        <f t="shared" si="1148"/>
        <v>5.6372067034302997</v>
      </c>
      <c r="CP132" s="24">
        <f t="shared" si="1148"/>
        <v>6.234750982104555</v>
      </c>
      <c r="CQ132" s="24">
        <f t="shared" si="1148"/>
        <v>6.6941996192678097</v>
      </c>
      <c r="CR132" s="24">
        <f t="shared" si="1148"/>
        <v>7.0474672476676909</v>
      </c>
      <c r="CS132" s="24">
        <f t="shared" si="1148"/>
        <v>7.3190928597182765</v>
      </c>
      <c r="CT132" s="24">
        <f t="shared" si="1148"/>
        <v>7.5279443569699289</v>
      </c>
      <c r="CU132" s="24">
        <f t="shared" si="1148"/>
        <v>7.6885291691861397</v>
      </c>
      <c r="CV132" s="24">
        <f t="shared" si="1148"/>
        <v>7.8120019824235936</v>
      </c>
      <c r="CW132" s="24">
        <f t="shared" si="1148"/>
        <v>7.9069395758259171</v>
      </c>
      <c r="CX132" s="24">
        <f t="shared" si="1148"/>
        <v>7.9799365895384948</v>
      </c>
      <c r="CY132" s="24">
        <f t="shared" si="1148"/>
        <v>8.0360636075088472</v>
      </c>
      <c r="CZ132" s="24">
        <f t="shared" si="1148"/>
        <v>8.07921937493035</v>
      </c>
      <c r="DA132" s="24">
        <f t="shared" si="1148"/>
        <v>8.1124016163728339</v>
      </c>
      <c r="DB132" s="24">
        <f t="shared" si="1148"/>
        <v>8.1379152664116159</v>
      </c>
      <c r="DE132" s="123"/>
      <c r="DF132" s="23">
        <v>2.3506363636363639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0</v>
      </c>
      <c r="L134" s="22">
        <f t="shared" si="1150"/>
        <v>0</v>
      </c>
      <c r="M134" s="22">
        <f t="shared" si="1150"/>
        <v>0</v>
      </c>
      <c r="N134" s="22">
        <f t="shared" si="1150"/>
        <v>0</v>
      </c>
      <c r="O134" s="22">
        <f t="shared" si="1150"/>
        <v>0</v>
      </c>
      <c r="P134" s="22">
        <f t="shared" si="1150"/>
        <v>0</v>
      </c>
      <c r="Q134" s="22">
        <f t="shared" si="1150"/>
        <v>0</v>
      </c>
      <c r="R134" s="22">
        <f t="shared" si="1150"/>
        <v>0</v>
      </c>
      <c r="S134" s="22">
        <f t="shared" si="1150"/>
        <v>0</v>
      </c>
      <c r="T134" s="22">
        <f t="shared" si="1150"/>
        <v>0</v>
      </c>
      <c r="U134" s="22">
        <f t="shared" si="1150"/>
        <v>1.9999999999999966E-4</v>
      </c>
      <c r="V134" s="22">
        <f t="shared" si="1150"/>
        <v>0</v>
      </c>
      <c r="W134" s="22">
        <f t="shared" si="1150"/>
        <v>0.35659999999999997</v>
      </c>
      <c r="X134" s="22">
        <f t="shared" ref="X134:Y134" si="1151">+X131-X132-X133</f>
        <v>1.2915000000000001</v>
      </c>
      <c r="Y134" s="22">
        <f t="shared" si="1151"/>
        <v>1.4928000000000001</v>
      </c>
      <c r="Z134" s="22">
        <f t="shared" ref="Z134:AE134" si="1152">+Z131-Z132-Z133</f>
        <v>4.6580999999999992</v>
      </c>
      <c r="AA134" s="22">
        <f t="shared" ref="AA134" si="1153">+AA131-AA132-AA133</f>
        <v>14.0885</v>
      </c>
      <c r="AB134" s="21">
        <f t="shared" si="1152"/>
        <v>1.9880490178954444</v>
      </c>
      <c r="AC134" s="21">
        <f t="shared" si="1152"/>
        <v>0.69485564303007052</v>
      </c>
      <c r="AD134" s="21">
        <f t="shared" si="1152"/>
        <v>0.24286341046150461</v>
      </c>
      <c r="AE134" s="21">
        <f t="shared" si="1152"/>
        <v>8.4884733588383554E-2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0</v>
      </c>
      <c r="BO134" s="22">
        <f t="shared" si="1155"/>
        <v>0</v>
      </c>
      <c r="BP134" s="22">
        <f t="shared" si="1157"/>
        <v>0</v>
      </c>
      <c r="BQ134" s="22">
        <f t="shared" si="1155"/>
        <v>0</v>
      </c>
      <c r="BR134" s="22">
        <f t="shared" si="1157"/>
        <v>0</v>
      </c>
      <c r="BS134" s="22">
        <f t="shared" si="1155"/>
        <v>0</v>
      </c>
      <c r="BT134" s="22">
        <f t="shared" si="1157"/>
        <v>0</v>
      </c>
      <c r="BU134" s="22">
        <f t="shared" si="1155"/>
        <v>0</v>
      </c>
      <c r="BV134" s="22">
        <f t="shared" si="1157"/>
        <v>0.35599999999999998</v>
      </c>
      <c r="BW134" s="22">
        <f t="shared" si="1155"/>
        <v>0.35599999999999998</v>
      </c>
      <c r="BX134" s="22">
        <f t="shared" si="1157"/>
        <v>0</v>
      </c>
      <c r="BY134" s="22">
        <f t="shared" si="1155"/>
        <v>0</v>
      </c>
      <c r="BZ134" s="22">
        <f t="shared" si="1157"/>
        <v>0.82199999999999995</v>
      </c>
      <c r="CA134" s="22">
        <f t="shared" si="1155"/>
        <v>0.82199999999999995</v>
      </c>
      <c r="CB134" s="22">
        <f t="shared" si="1157"/>
        <v>0.83299999999999996</v>
      </c>
      <c r="CC134" s="22">
        <f t="shared" si="1155"/>
        <v>0.83299999999999996</v>
      </c>
      <c r="CD134" s="22">
        <f t="shared" si="1157"/>
        <v>1.129</v>
      </c>
      <c r="CE134" s="22">
        <f t="shared" si="1155"/>
        <v>1.129</v>
      </c>
      <c r="CF134" s="22">
        <f t="shared" ref="CF134:CI134" si="1158">+CF131-CF132-CF133</f>
        <v>1.1870000000000001</v>
      </c>
      <c r="CG134" s="22">
        <f t="shared" ref="CG134:CI137" si="1159">+CF134</f>
        <v>1.1870000000000001</v>
      </c>
      <c r="CH134" s="22">
        <f t="shared" si="1158"/>
        <v>4.6580999999999992</v>
      </c>
      <c r="CI134" s="22">
        <f t="shared" si="1158"/>
        <v>4.3850999999999996</v>
      </c>
      <c r="CJ134" s="23">
        <f>+'QTR Raw'!BD68</f>
        <v>2.6949999999999998</v>
      </c>
      <c r="CK134" s="21">
        <f t="shared" ref="CK134:DB134" si="1160">+CK131-CK132-CK133</f>
        <v>2.2890000000000001</v>
      </c>
      <c r="CL134" s="23">
        <f>+'QTR Raw'!BF68</f>
        <v>5.6879999999999997</v>
      </c>
      <c r="CM134" s="21">
        <f t="shared" si="1160"/>
        <v>4.3734731323722142</v>
      </c>
      <c r="CN134" s="21">
        <f t="shared" si="1160"/>
        <v>3.3627403726409337</v>
      </c>
      <c r="CO134" s="21">
        <f t="shared" si="1160"/>
        <v>2.5855932965696997</v>
      </c>
      <c r="CP134" s="21">
        <f t="shared" si="1160"/>
        <v>1.9880490178954444</v>
      </c>
      <c r="CQ134" s="21">
        <f t="shared" si="1160"/>
        <v>1.5286003807321897</v>
      </c>
      <c r="CR134" s="21">
        <f t="shared" si="1160"/>
        <v>1.1753327523323085</v>
      </c>
      <c r="CS134" s="21">
        <f t="shared" si="1160"/>
        <v>0.90370714028172294</v>
      </c>
      <c r="CT134" s="21">
        <f t="shared" si="1160"/>
        <v>0.69485564303007052</v>
      </c>
      <c r="CU134" s="21">
        <f t="shared" si="1160"/>
        <v>0.53427083081385973</v>
      </c>
      <c r="CV134" s="21">
        <f t="shared" si="1160"/>
        <v>0.41079801757640588</v>
      </c>
      <c r="CW134" s="21">
        <f t="shared" si="1160"/>
        <v>0.31586042417408233</v>
      </c>
      <c r="CX134" s="21">
        <f t="shared" si="1160"/>
        <v>0.24286341046150461</v>
      </c>
      <c r="CY134" s="21">
        <f t="shared" si="1160"/>
        <v>0.18673639249115226</v>
      </c>
      <c r="CZ134" s="21">
        <f t="shared" si="1160"/>
        <v>0.14358062506964941</v>
      </c>
      <c r="DA134" s="21">
        <f t="shared" si="1160"/>
        <v>0.11039838362716559</v>
      </c>
      <c r="DB134" s="21">
        <f t="shared" si="1160"/>
        <v>8.4884733588383554E-2</v>
      </c>
      <c r="DE134" s="126"/>
      <c r="DF134" s="22">
        <v>1.9441636363636365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7.2499999999999995E-2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7.2499999999999995E-2</v>
      </c>
      <c r="CI136" s="23">
        <f t="shared" si="1159"/>
        <v>7.2499999999999995E-2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9.3700000000000006E-2</v>
      </c>
      <c r="AB137" s="24">
        <f t="shared" si="1142"/>
        <v>9.4E-2</v>
      </c>
      <c r="AC137" s="24">
        <f t="shared" si="1143"/>
        <v>9.4E-2</v>
      </c>
      <c r="AD137" s="24">
        <f t="shared" si="1144"/>
        <v>9.4E-2</v>
      </c>
      <c r="AE137" s="24">
        <f t="shared" si="1145"/>
        <v>9.4E-2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0</v>
      </c>
      <c r="CE137" s="23">
        <f t="shared" si="1161"/>
        <v>0</v>
      </c>
      <c r="CF137" s="23">
        <f>+'QTR Raw'!AZ74+'QTR Raw'!AZ75</f>
        <v>0</v>
      </c>
      <c r="CG137" s="23">
        <f t="shared" si="1159"/>
        <v>0</v>
      </c>
      <c r="CH137" s="23">
        <f t="shared" si="1146"/>
        <v>0</v>
      </c>
      <c r="CI137" s="23">
        <f t="shared" si="1159"/>
        <v>0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9.4E-2</v>
      </c>
      <c r="CM137" s="24">
        <f t="shared" si="1163"/>
        <v>9.4E-2</v>
      </c>
      <c r="CN137" s="24">
        <f t="shared" si="1164"/>
        <v>9.4E-2</v>
      </c>
      <c r="CO137" s="24">
        <f t="shared" si="1165"/>
        <v>9.4E-2</v>
      </c>
      <c r="CP137" s="24">
        <f t="shared" si="1166"/>
        <v>9.4E-2</v>
      </c>
      <c r="CQ137" s="24">
        <f t="shared" si="1167"/>
        <v>9.4E-2</v>
      </c>
      <c r="CR137" s="24">
        <f t="shared" si="1168"/>
        <v>9.4E-2</v>
      </c>
      <c r="CS137" s="24">
        <f t="shared" si="1169"/>
        <v>9.4E-2</v>
      </c>
      <c r="CT137" s="24">
        <f t="shared" si="1170"/>
        <v>9.4E-2</v>
      </c>
      <c r="CU137" s="24">
        <f t="shared" si="1171"/>
        <v>9.4E-2</v>
      </c>
      <c r="CV137" s="24">
        <f t="shared" si="1172"/>
        <v>9.4E-2</v>
      </c>
      <c r="CW137" s="24">
        <f t="shared" si="1173"/>
        <v>9.4E-2</v>
      </c>
      <c r="CX137" s="24">
        <f t="shared" si="1174"/>
        <v>9.4E-2</v>
      </c>
      <c r="CY137" s="24">
        <f t="shared" si="1175"/>
        <v>9.4E-2</v>
      </c>
      <c r="CZ137" s="24">
        <f t="shared" si="1176"/>
        <v>9.4E-2</v>
      </c>
      <c r="DA137" s="24">
        <f t="shared" si="1177"/>
        <v>9.4E-2</v>
      </c>
      <c r="DB137" s="24">
        <f t="shared" si="1178"/>
        <v>9.4E-2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0</v>
      </c>
      <c r="L138" s="22">
        <f t="shared" si="1180"/>
        <v>0</v>
      </c>
      <c r="M138" s="22">
        <f t="shared" si="1180"/>
        <v>0</v>
      </c>
      <c r="N138" s="22">
        <f t="shared" si="1180"/>
        <v>0</v>
      </c>
      <c r="O138" s="22">
        <f t="shared" si="1180"/>
        <v>0</v>
      </c>
      <c r="P138" s="22">
        <f t="shared" si="1180"/>
        <v>0</v>
      </c>
      <c r="Q138" s="22">
        <f t="shared" si="1180"/>
        <v>0</v>
      </c>
      <c r="R138" s="22">
        <f t="shared" si="1180"/>
        <v>0</v>
      </c>
      <c r="S138" s="22">
        <f t="shared" si="1180"/>
        <v>0</v>
      </c>
      <c r="T138" s="22">
        <f t="shared" si="1180"/>
        <v>0</v>
      </c>
      <c r="U138" s="22">
        <f t="shared" si="1180"/>
        <v>1.9999999999999966E-4</v>
      </c>
      <c r="V138" s="22">
        <f t="shared" si="1180"/>
        <v>0</v>
      </c>
      <c r="W138" s="22">
        <f t="shared" si="1180"/>
        <v>0.35659999999999997</v>
      </c>
      <c r="X138" s="22">
        <f t="shared" si="1180"/>
        <v>1.2915000000000001</v>
      </c>
      <c r="Y138" s="22">
        <f t="shared" si="1180"/>
        <v>1.4928000000000001</v>
      </c>
      <c r="Z138" s="22">
        <f>Z134+Z137+Z136+Z135</f>
        <v>4.730599999999999</v>
      </c>
      <c r="AA138" s="22">
        <f>AA134+AA137+AA136+AA135</f>
        <v>14.1822</v>
      </c>
      <c r="AB138" s="161">
        <f t="shared" ref="AB138:AE138" si="1181">AB134+AB137+AB136+AB135</f>
        <v>2.0820490178954443</v>
      </c>
      <c r="AC138" s="161">
        <f t="shared" si="1181"/>
        <v>0.7888556430300705</v>
      </c>
      <c r="AD138" s="161">
        <f t="shared" si="1181"/>
        <v>0.33686341046150459</v>
      </c>
      <c r="AE138" s="161">
        <f t="shared" si="1181"/>
        <v>0.17888473358838355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0</v>
      </c>
      <c r="BO138" s="22">
        <f t="shared" si="1186"/>
        <v>0</v>
      </c>
      <c r="BP138" s="22">
        <f t="shared" si="1186"/>
        <v>0</v>
      </c>
      <c r="BQ138" s="22">
        <f t="shared" si="1186"/>
        <v>0</v>
      </c>
      <c r="BR138" s="22">
        <f t="shared" si="1186"/>
        <v>0</v>
      </c>
      <c r="BS138" s="22">
        <f t="shared" si="1186"/>
        <v>0</v>
      </c>
      <c r="BT138" s="22">
        <f t="shared" si="1186"/>
        <v>0</v>
      </c>
      <c r="BU138" s="22">
        <f t="shared" si="1186"/>
        <v>0</v>
      </c>
      <c r="BV138" s="22">
        <f t="shared" si="1186"/>
        <v>0.35599999999999998</v>
      </c>
      <c r="BW138" s="22">
        <f t="shared" si="1186"/>
        <v>0.35599999999999998</v>
      </c>
      <c r="BX138" s="22">
        <f t="shared" si="1186"/>
        <v>0</v>
      </c>
      <c r="BY138" s="22">
        <f t="shared" si="1186"/>
        <v>0</v>
      </c>
      <c r="BZ138" s="22">
        <f t="shared" si="1186"/>
        <v>0.82199999999999995</v>
      </c>
      <c r="CA138" s="22">
        <f t="shared" si="1186"/>
        <v>0.82199999999999995</v>
      </c>
      <c r="CB138" s="22">
        <f t="shared" si="1186"/>
        <v>0.83299999999999996</v>
      </c>
      <c r="CC138" s="22">
        <f t="shared" si="1186"/>
        <v>0.83299999999999996</v>
      </c>
      <c r="CD138" s="22">
        <f t="shared" si="1186"/>
        <v>1.129</v>
      </c>
      <c r="CE138" s="22">
        <f t="shared" si="1186"/>
        <v>1.129</v>
      </c>
      <c r="CF138" s="22">
        <f t="shared" ref="CF138:CG138" si="1187">CF134+CF137+CF135+CF136</f>
        <v>1.1870000000000001</v>
      </c>
      <c r="CG138" s="22">
        <f t="shared" si="1187"/>
        <v>1.1870000000000001</v>
      </c>
      <c r="CH138" s="22">
        <f t="shared" ref="CH138:CJ138" si="1188">CH134+CH137+CH135+CH136</f>
        <v>4.730599999999999</v>
      </c>
      <c r="CI138" s="22">
        <f t="shared" si="1188"/>
        <v>4.4575999999999993</v>
      </c>
      <c r="CJ138" s="22">
        <f t="shared" si="1188"/>
        <v>2.6949999999999998</v>
      </c>
      <c r="CK138" s="21">
        <f t="shared" ref="CK138:DB138" si="1189">CK134+CK137+CK135+CK136</f>
        <v>2.2890000000000001</v>
      </c>
      <c r="CL138" s="22">
        <f t="shared" si="1189"/>
        <v>5.782</v>
      </c>
      <c r="CM138" s="21">
        <f t="shared" si="1189"/>
        <v>4.4674731323722146</v>
      </c>
      <c r="CN138" s="21">
        <f t="shared" si="1189"/>
        <v>3.4567403726409336</v>
      </c>
      <c r="CO138" s="21">
        <f t="shared" si="1189"/>
        <v>2.6795932965696996</v>
      </c>
      <c r="CP138" s="21">
        <f t="shared" si="1189"/>
        <v>2.0820490178954443</v>
      </c>
      <c r="CQ138" s="21">
        <f t="shared" si="1189"/>
        <v>1.6226003807321898</v>
      </c>
      <c r="CR138" s="21">
        <f t="shared" si="1189"/>
        <v>1.2693327523323086</v>
      </c>
      <c r="CS138" s="21">
        <f t="shared" si="1189"/>
        <v>0.99770714028172292</v>
      </c>
      <c r="CT138" s="21">
        <f t="shared" si="1189"/>
        <v>0.7888556430300705</v>
      </c>
      <c r="CU138" s="21">
        <f t="shared" si="1189"/>
        <v>0.6282708308138597</v>
      </c>
      <c r="CV138" s="21">
        <f t="shared" si="1189"/>
        <v>0.50479801757640586</v>
      </c>
      <c r="CW138" s="21">
        <f t="shared" si="1189"/>
        <v>0.40986042417408231</v>
      </c>
      <c r="CX138" s="21">
        <f t="shared" si="1189"/>
        <v>0.33686341046150459</v>
      </c>
      <c r="CY138" s="21">
        <f t="shared" si="1189"/>
        <v>0.28073639249115223</v>
      </c>
      <c r="CZ138" s="21">
        <f t="shared" si="1189"/>
        <v>0.23758062506964941</v>
      </c>
      <c r="DA138" s="21">
        <f t="shared" si="1189"/>
        <v>0.20439838362716559</v>
      </c>
      <c r="DB138" s="21">
        <f t="shared" si="1189"/>
        <v>0.17888473358838355</v>
      </c>
      <c r="DE138" s="126"/>
      <c r="DF138" s="22">
        <v>1.9441636363636365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0.1032</v>
      </c>
      <c r="Z140" s="23">
        <f>'Annual Raw'!AA71</f>
        <v>0.1011</v>
      </c>
      <c r="AA140" s="23">
        <f>'Annual Raw'!AB71</f>
        <v>0.1008</v>
      </c>
      <c r="AB140" s="24">
        <f>+CP140</f>
        <v>0.10100000000000001</v>
      </c>
      <c r="AC140" s="24">
        <f>+CT140</f>
        <v>0.10100000000000001</v>
      </c>
      <c r="AD140" s="24">
        <f>+CX140</f>
        <v>0.10100000000000001</v>
      </c>
      <c r="AE140" s="24">
        <f>+DB140</f>
        <v>0.10100000000000001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0.10299999999999999</v>
      </c>
      <c r="CE140" s="23">
        <f t="shared" si="1190"/>
        <v>0.10299999999999999</v>
      </c>
      <c r="CF140" s="23">
        <f>+'QTR Raw'!AZ77</f>
        <v>0.10299999999999999</v>
      </c>
      <c r="CG140" s="23">
        <f t="shared" ref="CG140:CI143" si="1191">+CF140</f>
        <v>0.10299999999999999</v>
      </c>
      <c r="CH140" s="23">
        <f t="shared" ref="CH140:CH155" si="1192">Z140</f>
        <v>0.1011</v>
      </c>
      <c r="CI140" s="23">
        <f t="shared" si="1191"/>
        <v>0.1011</v>
      </c>
      <c r="CJ140" s="23">
        <f>+'QTR Raw'!BD77</f>
        <v>0.104</v>
      </c>
      <c r="CK140" s="24">
        <f t="shared" ref="CK140" si="1193">+CJ140</f>
        <v>0.104</v>
      </c>
      <c r="CL140" s="23">
        <f>+'QTR Raw'!BF77</f>
        <v>0.10100000000000001</v>
      </c>
      <c r="CM140" s="24">
        <f t="shared" ref="CM140" si="1194">+CL140</f>
        <v>0.10100000000000001</v>
      </c>
      <c r="CN140" s="24">
        <f t="shared" ref="CN140" si="1195">+CM140</f>
        <v>0.10100000000000001</v>
      </c>
      <c r="CO140" s="24">
        <f t="shared" ref="CO140" si="1196">+CN140</f>
        <v>0.10100000000000001</v>
      </c>
      <c r="CP140" s="24">
        <f t="shared" ref="CP140" si="1197">+CO140</f>
        <v>0.10100000000000001</v>
      </c>
      <c r="CQ140" s="24">
        <f t="shared" ref="CQ140" si="1198">+CP140</f>
        <v>0.10100000000000001</v>
      </c>
      <c r="CR140" s="24">
        <f t="shared" ref="CR140" si="1199">+CQ140</f>
        <v>0.10100000000000001</v>
      </c>
      <c r="CS140" s="24">
        <f t="shared" ref="CS140" si="1200">+CR140</f>
        <v>0.10100000000000001</v>
      </c>
      <c r="CT140" s="24">
        <f t="shared" ref="CT140" si="1201">+CS140</f>
        <v>0.10100000000000001</v>
      </c>
      <c r="CU140" s="24">
        <f t="shared" ref="CU140" si="1202">+CT140</f>
        <v>0.10100000000000001</v>
      </c>
      <c r="CV140" s="24">
        <f t="shared" ref="CV140" si="1203">+CU140</f>
        <v>0.10100000000000001</v>
      </c>
      <c r="CW140" s="24">
        <f t="shared" ref="CW140" si="1204">+CV140</f>
        <v>0.10100000000000001</v>
      </c>
      <c r="CX140" s="24">
        <f t="shared" ref="CX140" si="1205">+CW140</f>
        <v>0.10100000000000001</v>
      </c>
      <c r="CY140" s="24">
        <f t="shared" ref="CY140" si="1206">+CX140</f>
        <v>0.10100000000000001</v>
      </c>
      <c r="CZ140" s="24">
        <f t="shared" ref="CZ140" si="1207">+CY140</f>
        <v>0.10100000000000001</v>
      </c>
      <c r="DA140" s="24">
        <f t="shared" ref="DA140" si="1208">+CZ140</f>
        <v>0.10100000000000001</v>
      </c>
      <c r="DB140" s="24">
        <f t="shared" ref="DB140" si="1209">+DA140</f>
        <v>0.10100000000000001</v>
      </c>
      <c r="DE140" s="123"/>
      <c r="DF140" s="23">
        <v>0.104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0.12609999999999999</v>
      </c>
      <c r="Y142" s="23">
        <f>'Annual Raw'!Z72+'Annual Raw'!Z61</f>
        <v>0.12920000000000001</v>
      </c>
      <c r="Z142" s="23">
        <f>'Annual Raw'!AA72+'Annual Raw'!AA61</f>
        <v>0.24479999999999999</v>
      </c>
      <c r="AA142" s="23">
        <f>'Annual Raw'!AB72+'Annual Raw'!AB61</f>
        <v>0.84340000000000004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0.24479999999999999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3.7734999999999999</v>
      </c>
      <c r="AA143" s="23">
        <f>'Annual Raw'!AB73+'Annual Raw'!AB81</f>
        <v>2.1568000000000001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0</v>
      </c>
      <c r="BS143" s="23">
        <f t="shared" si="1214"/>
        <v>0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0</v>
      </c>
      <c r="BW143" s="23">
        <f t="shared" si="1214"/>
        <v>0</v>
      </c>
      <c r="BX143" s="23">
        <f>+'QTR Raw'!AR79+'QTR Raw'!AR76</f>
        <v>0</v>
      </c>
      <c r="BY143" s="23">
        <f t="shared" si="1214"/>
        <v>0</v>
      </c>
      <c r="BZ143" s="23">
        <f>+'QTR Raw'!AT79+'QTR Raw'!AT76</f>
        <v>0.59599999999999997</v>
      </c>
      <c r="CA143" s="23">
        <f t="shared" si="1214"/>
        <v>0.59599999999999997</v>
      </c>
      <c r="CB143" s="23">
        <f>+'QTR Raw'!AV79+'QTR Raw'!AV76</f>
        <v>0.54500000000000004</v>
      </c>
      <c r="CC143" s="23">
        <f t="shared" si="1214"/>
        <v>0.54500000000000004</v>
      </c>
      <c r="CD143" s="23">
        <f>+'QTR Raw'!AX79+'QTR Raw'!AX76</f>
        <v>0.49299999999999999</v>
      </c>
      <c r="CE143" s="23">
        <f t="shared" si="1214"/>
        <v>0.49299999999999999</v>
      </c>
      <c r="CF143" s="23">
        <f>+'QTR Raw'!AZ79+'QTR Raw'!AZ76</f>
        <v>0.36399999999999999</v>
      </c>
      <c r="CG143" s="23">
        <f t="shared" si="1191"/>
        <v>0.36399999999999999</v>
      </c>
      <c r="CH143" s="23">
        <f t="shared" si="1192"/>
        <v>3.7734999999999999</v>
      </c>
      <c r="CJ143" s="23">
        <f>+'QTR Raw'!BD79+'QTR Raw'!BD76</f>
        <v>8.2639999999999993</v>
      </c>
      <c r="CK143" s="24"/>
      <c r="CL143" s="23">
        <f>+'QTR Raw'!BF79+'QTR Raw'!BF76</f>
        <v>11.4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11.4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6.82</v>
      </c>
      <c r="X144" s="23">
        <f>'Annual Raw'!Y76</f>
        <v>10.45</v>
      </c>
      <c r="Y144" s="23">
        <f>'Annual Raw'!Z76</f>
        <v>32.106000000000002</v>
      </c>
      <c r="Z144" s="23">
        <f>'Annual Raw'!AA76</f>
        <v>31.778099999999998</v>
      </c>
      <c r="AA144" s="23">
        <f>'Annual Raw'!AB76</f>
        <v>48.2425</v>
      </c>
      <c r="AB144" s="24">
        <f t="shared" si="1210"/>
        <v>65.38310982580326</v>
      </c>
      <c r="AC144" s="24">
        <f t="shared" si="1211"/>
        <v>89.399700067254059</v>
      </c>
      <c r="AD144" s="24">
        <f t="shared" si="1212"/>
        <v>122.38893173289954</v>
      </c>
      <c r="AE144" s="24">
        <f t="shared" si="1213"/>
        <v>167.56376623043022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6.82</v>
      </c>
      <c r="BW144" s="23">
        <f>+BW179*BW10/90</f>
        <v>7.7312680851063824</v>
      </c>
      <c r="BX144" s="23">
        <f>+'QTR Raw'!AR81</f>
        <v>0</v>
      </c>
      <c r="BY144" s="23">
        <f>+BY179*BY10/90</f>
        <v>0</v>
      </c>
      <c r="BZ144" s="23">
        <f>+'QTR Raw'!AT81</f>
        <v>10.45</v>
      </c>
      <c r="CA144" s="23">
        <f>+CA179*CA10/90</f>
        <v>9.6172425952045124</v>
      </c>
      <c r="CB144" s="23">
        <f>+'QTR Raw'!AV81</f>
        <v>10.805</v>
      </c>
      <c r="CC144" s="23">
        <f>+CC179*CC10/90</f>
        <v>17.793527505093532</v>
      </c>
      <c r="CD144" s="23">
        <f>+'QTR Raw'!AX81</f>
        <v>32.106000000000002</v>
      </c>
      <c r="CE144" s="23">
        <f>+CE179*CE10/90</f>
        <v>92.776406006240236</v>
      </c>
      <c r="CF144" s="23">
        <f>+'QTR Raw'!AZ81</f>
        <v>20.754999999999999</v>
      </c>
      <c r="CG144" s="23">
        <f>+CG179*CG10/90</f>
        <v>32.776097773517492</v>
      </c>
      <c r="CH144" s="23">
        <f t="shared" si="1192"/>
        <v>31.778099999999998</v>
      </c>
      <c r="CI144" s="23">
        <f>+CI179*CI10/90</f>
        <v>38.255022219773437</v>
      </c>
      <c r="CJ144" s="23">
        <f>+'QTR Raw'!BD81</f>
        <v>50.247999999999998</v>
      </c>
      <c r="CK144" s="24">
        <f t="shared" ref="CK144:DB144" si="1215">+CK179*CK10/90</f>
        <v>49.823929727867714</v>
      </c>
      <c r="CL144" s="23">
        <f>+'QTR Raw'!BF81</f>
        <v>48.241999999999997</v>
      </c>
      <c r="CM144" s="24">
        <f t="shared" si="1215"/>
        <v>58.034973782603743</v>
      </c>
      <c r="CN144" s="24">
        <f t="shared" si="1215"/>
        <v>111.74374498060746</v>
      </c>
      <c r="CO144" s="24">
        <f t="shared" si="1215"/>
        <v>100.50676206856694</v>
      </c>
      <c r="CP144" s="24">
        <f t="shared" si="1215"/>
        <v>65.38310982580326</v>
      </c>
      <c r="CQ144" s="24">
        <f t="shared" si="1215"/>
        <v>79.398176308719457</v>
      </c>
      <c r="CR144" s="24">
        <f t="shared" si="1215"/>
        <v>154.68952835046153</v>
      </c>
      <c r="CS144" s="24">
        <f t="shared" si="1215"/>
        <v>136.84357987308712</v>
      </c>
      <c r="CT144" s="24">
        <f t="shared" si="1215"/>
        <v>89.399700067254059</v>
      </c>
      <c r="CU144" s="24">
        <f t="shared" si="1215"/>
        <v>108.80110742814662</v>
      </c>
      <c r="CV144" s="24">
        <f t="shared" si="1215"/>
        <v>212.06013822646597</v>
      </c>
      <c r="CW144" s="24">
        <f t="shared" si="1215"/>
        <v>187.13549116900884</v>
      </c>
      <c r="CX144" s="24">
        <f t="shared" si="1215"/>
        <v>122.38893173289954</v>
      </c>
      <c r="CY144" s="24">
        <f t="shared" si="1215"/>
        <v>148.99551423914258</v>
      </c>
      <c r="CZ144" s="24">
        <f t="shared" si="1215"/>
        <v>290.35423255355295</v>
      </c>
      <c r="DA144" s="24">
        <f t="shared" si="1215"/>
        <v>256.14915690449232</v>
      </c>
      <c r="DB144" s="24">
        <f t="shared" si="1215"/>
        <v>167.56376623043022</v>
      </c>
      <c r="DE144" s="123"/>
      <c r="DF144" s="23">
        <v>33.032367010008329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6.7999999999999996E-3</v>
      </c>
      <c r="V145" s="23">
        <f>'Annual Raw'!W77</f>
        <v>6.0000000000000001E-3</v>
      </c>
      <c r="W145" s="23">
        <f>'Annual Raw'!X77</f>
        <v>6.8999999999999999E-3</v>
      </c>
      <c r="X145" s="23">
        <f>'Annual Raw'!Y77</f>
        <v>2.76E-2</v>
      </c>
      <c r="Y145" s="23">
        <f>'Annual Raw'!Z77</f>
        <v>1.8823000000000001</v>
      </c>
      <c r="Z145" s="23">
        <f>'Annual Raw'!AA77</f>
        <v>13.850899999999999</v>
      </c>
      <c r="AA145" s="23">
        <f>'Annual Raw'!AB77</f>
        <v>13.6297</v>
      </c>
      <c r="AB145" s="24">
        <f t="shared" si="1210"/>
        <v>18.472944465936287</v>
      </c>
      <c r="AC145" s="24">
        <f t="shared" si="1211"/>
        <v>25.258445170529264</v>
      </c>
      <c r="AD145" s="24">
        <f t="shared" si="1212"/>
        <v>34.579021174897825</v>
      </c>
      <c r="AE145" s="24">
        <f t="shared" si="1213"/>
        <v>47.342442969212797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7.0000000000000001E-3</v>
      </c>
      <c r="BW145" s="23">
        <f>+BW180*BW10/90</f>
        <v>7.9353191489361704E-3</v>
      </c>
      <c r="BX145" s="23">
        <f>+'QTR Raw'!AR82</f>
        <v>0</v>
      </c>
      <c r="BY145" s="23">
        <f>+BY180*BY10/90</f>
        <v>0</v>
      </c>
      <c r="BZ145" s="23">
        <f>+'QTR Raw'!AT82</f>
        <v>2.8000000000000001E-2</v>
      </c>
      <c r="CA145" s="23">
        <f>+CA180*CA10/90</f>
        <v>2.5768688293370947E-2</v>
      </c>
      <c r="CB145" s="23">
        <f>+'QTR Raw'!AV82</f>
        <v>0.75</v>
      </c>
      <c r="CC145" s="23">
        <f>+CC180*CC10/90</f>
        <v>1.2350898314502685</v>
      </c>
      <c r="CD145" s="23">
        <f>+'QTR Raw'!AX82</f>
        <v>1.8819999999999999</v>
      </c>
      <c r="CE145" s="23">
        <f>+CE180*CE10/90</f>
        <v>5.4383976859074359</v>
      </c>
      <c r="CF145" s="23">
        <f>+'QTR Raw'!AZ82</f>
        <v>28.856000000000002</v>
      </c>
      <c r="CG145" s="23">
        <f>+CG180*CG10/90</f>
        <v>45.569119602631687</v>
      </c>
      <c r="CH145" s="23">
        <f t="shared" si="1192"/>
        <v>13.850899999999999</v>
      </c>
      <c r="CI145" s="23">
        <f>+CI180*CI10/90</f>
        <v>16.673951157050293</v>
      </c>
      <c r="CJ145" s="23">
        <f>+'QTR Raw'!BD82</f>
        <v>19.571000000000002</v>
      </c>
      <c r="CK145" s="24">
        <f t="shared" ref="CK145:DB145" si="1216">+CK180*CK10/90</f>
        <v>19.405829658973477</v>
      </c>
      <c r="CL145" s="23">
        <f>+'QTR Raw'!BF82</f>
        <v>13.63</v>
      </c>
      <c r="CM145" s="24">
        <f t="shared" si="1216"/>
        <v>16.396846993426664</v>
      </c>
      <c r="CN145" s="24">
        <f t="shared" si="1216"/>
        <v>31.571395134647808</v>
      </c>
      <c r="CO145" s="24">
        <f t="shared" si="1216"/>
        <v>28.396566622332561</v>
      </c>
      <c r="CP145" s="24">
        <f t="shared" si="1216"/>
        <v>18.472944465936287</v>
      </c>
      <c r="CQ145" s="24">
        <f t="shared" si="1216"/>
        <v>22.432675740803578</v>
      </c>
      <c r="CR145" s="24">
        <f t="shared" si="1216"/>
        <v>43.70503443921875</v>
      </c>
      <c r="CS145" s="24">
        <f t="shared" si="1216"/>
        <v>38.662949166083024</v>
      </c>
      <c r="CT145" s="24">
        <f t="shared" si="1216"/>
        <v>25.258445170529264</v>
      </c>
      <c r="CU145" s="24">
        <f t="shared" si="1216"/>
        <v>30.740000295295356</v>
      </c>
      <c r="CV145" s="24">
        <f t="shared" si="1216"/>
        <v>59.914176112655596</v>
      </c>
      <c r="CW145" s="24">
        <f t="shared" si="1216"/>
        <v>52.872118582015474</v>
      </c>
      <c r="CX145" s="24">
        <f t="shared" si="1216"/>
        <v>34.579021174897825</v>
      </c>
      <c r="CY145" s="24">
        <f t="shared" si="1216"/>
        <v>42.096282473353376</v>
      </c>
      <c r="CZ145" s="24">
        <f t="shared" si="1216"/>
        <v>82.034911274510321</v>
      </c>
      <c r="DA145" s="24">
        <f t="shared" si="1216"/>
        <v>72.370818137892925</v>
      </c>
      <c r="DB145" s="24">
        <f t="shared" si="1216"/>
        <v>47.342442969212797</v>
      </c>
      <c r="DE145" s="123"/>
      <c r="DF145" s="23">
        <v>12.86571514792376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0.1084</v>
      </c>
      <c r="X146" s="23">
        <f>'Annual Raw'!Y79</f>
        <v>9.11E-2</v>
      </c>
      <c r="Y146" s="23">
        <f>'Annual Raw'!Z79</f>
        <v>9.7299999999999998E-2</v>
      </c>
      <c r="Z146" s="23">
        <f>'Annual Raw'!AA79</f>
        <v>0.46260000000000001</v>
      </c>
      <c r="AA146" s="23">
        <f>'Annual Raw'!AB79</f>
        <v>1.1797</v>
      </c>
      <c r="AB146" s="24">
        <f t="shared" si="1210"/>
        <v>36.231637887591667</v>
      </c>
      <c r="AC146" s="24">
        <f t="shared" si="1211"/>
        <v>49.540279878485578</v>
      </c>
      <c r="AD146" s="24">
        <f t="shared" si="1212"/>
        <v>67.821054517134471</v>
      </c>
      <c r="AE146" s="24">
        <f t="shared" si="1213"/>
        <v>92.854404100951214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0.52800000000000002</v>
      </c>
      <c r="BW146" s="23">
        <f t="shared" si="1214"/>
        <v>0.52800000000000002</v>
      </c>
      <c r="BX146" s="23">
        <f>+'QTR Raw'!AR84</f>
        <v>0</v>
      </c>
      <c r="BY146" s="23">
        <f t="shared" si="1214"/>
        <v>0</v>
      </c>
      <c r="BZ146" s="23">
        <f>+'QTR Raw'!AT84</f>
        <v>0.95299999999999996</v>
      </c>
      <c r="CA146" s="23">
        <f t="shared" si="1214"/>
        <v>0.95299999999999996</v>
      </c>
      <c r="CB146" s="23">
        <f>+'QTR Raw'!AV84</f>
        <v>1.2190000000000001</v>
      </c>
      <c r="CC146" s="23">
        <f t="shared" si="1214"/>
        <v>1.2190000000000001</v>
      </c>
      <c r="CD146" s="23">
        <f>+'QTR Raw'!AX84</f>
        <v>2.052</v>
      </c>
      <c r="CE146" s="23">
        <f t="shared" si="1214"/>
        <v>2.052</v>
      </c>
      <c r="CF146" s="23">
        <f>+'QTR Raw'!AZ84</f>
        <v>1.4570000000000001</v>
      </c>
      <c r="CG146" s="23">
        <f t="shared" ref="CG146:CG147" si="1217">+CF146</f>
        <v>1.4570000000000001</v>
      </c>
      <c r="CH146" s="23">
        <f t="shared" si="1192"/>
        <v>0.46260000000000001</v>
      </c>
      <c r="CI146" s="23">
        <f>CI10/90*CI181</f>
        <v>25.662974302463972</v>
      </c>
      <c r="CJ146" s="23">
        <f>+'QTR Raw'!BD84</f>
        <v>15.449</v>
      </c>
      <c r="CK146" s="24">
        <f t="shared" ref="CK146:DB146" si="1218">CK10/90*CK181</f>
        <v>23.512873062349275</v>
      </c>
      <c r="CL146" s="23">
        <f>+'QTR Raw'!BF84</f>
        <v>15.333</v>
      </c>
      <c r="CM146" s="24">
        <f t="shared" si="1218"/>
        <v>32.159714649690002</v>
      </c>
      <c r="CN146" s="24">
        <f t="shared" si="1218"/>
        <v>61.922091425864956</v>
      </c>
      <c r="CO146" s="24">
        <f t="shared" si="1218"/>
        <v>55.695188225591771</v>
      </c>
      <c r="CP146" s="24">
        <f t="shared" si="1218"/>
        <v>36.231637887591667</v>
      </c>
      <c r="CQ146" s="24">
        <f t="shared" si="1218"/>
        <v>43.99799857512118</v>
      </c>
      <c r="CR146" s="24">
        <f t="shared" si="1218"/>
        <v>85.720226387647401</v>
      </c>
      <c r="CS146" s="24">
        <f t="shared" si="1218"/>
        <v>75.83100660725583</v>
      </c>
      <c r="CT146" s="24">
        <f t="shared" si="1218"/>
        <v>49.540279878485578</v>
      </c>
      <c r="CU146" s="24">
        <f t="shared" si="1218"/>
        <v>60.291447387683796</v>
      </c>
      <c r="CV146" s="24">
        <f t="shared" si="1218"/>
        <v>117.51178796915781</v>
      </c>
      <c r="CW146" s="24">
        <f t="shared" si="1218"/>
        <v>103.69995202149806</v>
      </c>
      <c r="CX146" s="24">
        <f t="shared" si="1218"/>
        <v>67.821054517134471</v>
      </c>
      <c r="CY146" s="24">
        <f t="shared" si="1218"/>
        <v>82.564924384457441</v>
      </c>
      <c r="CZ146" s="24">
        <f t="shared" si="1218"/>
        <v>160.89796647846535</v>
      </c>
      <c r="DA146" s="24">
        <f t="shared" si="1218"/>
        <v>141.94343956568528</v>
      </c>
      <c r="DB146" s="24">
        <f t="shared" si="1218"/>
        <v>92.854404100951214</v>
      </c>
      <c r="DE146" s="123"/>
      <c r="DF146" s="23">
        <v>15.588610868259972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1.5E-3</v>
      </c>
      <c r="V147" s="23">
        <f>'Annual Raw'!W80</f>
        <v>1.5E-3</v>
      </c>
      <c r="W147" s="23">
        <f>'Annual Raw'!X80</f>
        <v>0.62649999999999995</v>
      </c>
      <c r="X147" s="23">
        <f>'Annual Raw'!Y80</f>
        <v>2.2153</v>
      </c>
      <c r="Y147" s="23">
        <f>'Annual Raw'!Z80</f>
        <v>4.3654000000000002</v>
      </c>
      <c r="Z147" s="23">
        <f>'Annual Raw'!AA80</f>
        <v>16.8371</v>
      </c>
      <c r="AA147" s="23">
        <f>'Annual Raw'!AB80</f>
        <v>24.750800000000002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16.8371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0</v>
      </c>
      <c r="L148" s="22">
        <f>SUM(L142:L147)</f>
        <v>0</v>
      </c>
      <c r="M148" s="22">
        <f>SUM(M142:M147)</f>
        <v>0</v>
      </c>
      <c r="N148" s="22">
        <f t="shared" si="1219"/>
        <v>0</v>
      </c>
      <c r="O148" s="22">
        <f t="shared" si="1219"/>
        <v>0</v>
      </c>
      <c r="P148" s="22">
        <f t="shared" si="1219"/>
        <v>0</v>
      </c>
      <c r="Q148" s="22">
        <f t="shared" si="1219"/>
        <v>0</v>
      </c>
      <c r="R148" s="22">
        <f t="shared" si="1219"/>
        <v>0</v>
      </c>
      <c r="S148" s="22">
        <f t="shared" si="1219"/>
        <v>0</v>
      </c>
      <c r="T148" s="22">
        <f t="shared" si="1219"/>
        <v>0</v>
      </c>
      <c r="U148" s="22">
        <f t="shared" si="1219"/>
        <v>8.3000000000000001E-3</v>
      </c>
      <c r="V148" s="22">
        <f t="shared" si="1219"/>
        <v>7.4999999999999997E-3</v>
      </c>
      <c r="W148" s="22">
        <f t="shared" ref="W148" si="1220">SUM(W142:W147)</f>
        <v>7.5617999999999999</v>
      </c>
      <c r="X148" s="22">
        <f t="shared" ref="X148:Y148" si="1221">SUM(X142:X147)</f>
        <v>12.9101</v>
      </c>
      <c r="Y148" s="22">
        <f t="shared" si="1221"/>
        <v>38.580199999999998</v>
      </c>
      <c r="Z148" s="22">
        <f t="shared" ref="Z148:AA148" si="1222">SUM(Z142:Z147)</f>
        <v>66.947000000000003</v>
      </c>
      <c r="AA148" s="22">
        <f t="shared" si="1222"/>
        <v>90.802899999999994</v>
      </c>
      <c r="AB148" s="21">
        <f t="shared" ref="AA148:AD148" si="1223">SUM(AB142:AB147)</f>
        <v>120.08769217933121</v>
      </c>
      <c r="AC148" s="21">
        <f t="shared" si="1223"/>
        <v>164.19842511626888</v>
      </c>
      <c r="AD148" s="21">
        <f t="shared" si="1223"/>
        <v>224.78900742493181</v>
      </c>
      <c r="AE148" s="21">
        <f t="shared" ref="AE148" si="1224">SUM(AE142:AE147)</f>
        <v>307.76061330059423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0</v>
      </c>
      <c r="BO148" s="22" t="e">
        <f t="shared" si="1229"/>
        <v>#DIV/0!</v>
      </c>
      <c r="BP148" s="22">
        <f t="shared" si="1229"/>
        <v>0</v>
      </c>
      <c r="BQ148" s="22" t="e">
        <f t="shared" si="1229"/>
        <v>#DIV/0!</v>
      </c>
      <c r="BR148" s="22">
        <f t="shared" si="1229"/>
        <v>0</v>
      </c>
      <c r="BS148" s="22" t="e">
        <f t="shared" si="1229"/>
        <v>#DIV/0!</v>
      </c>
      <c r="BT148" s="22">
        <f t="shared" si="1229"/>
        <v>0</v>
      </c>
      <c r="BU148" s="22" t="e">
        <f t="shared" si="1229"/>
        <v>#DIV/0!</v>
      </c>
      <c r="BV148" s="22">
        <f t="shared" si="1229"/>
        <v>7.3550000000000004</v>
      </c>
      <c r="BW148" s="22">
        <f t="shared" si="1229"/>
        <v>8.2672034042553193</v>
      </c>
      <c r="BX148" s="22">
        <f t="shared" si="1229"/>
        <v>0</v>
      </c>
      <c r="BY148" s="22">
        <f t="shared" si="1229"/>
        <v>0</v>
      </c>
      <c r="BZ148" s="22">
        <f t="shared" si="1229"/>
        <v>12.026999999999999</v>
      </c>
      <c r="CA148" s="22">
        <f t="shared" si="1229"/>
        <v>11.192011283497882</v>
      </c>
      <c r="CB148" s="22">
        <f t="shared" si="1229"/>
        <v>13.318999999999999</v>
      </c>
      <c r="CC148" s="22">
        <f t="shared" si="1229"/>
        <v>20.792617336543803</v>
      </c>
      <c r="CD148" s="22">
        <f t="shared" si="1229"/>
        <v>36.533000000000001</v>
      </c>
      <c r="CE148" s="22">
        <f t="shared" si="1229"/>
        <v>100.75980369214767</v>
      </c>
      <c r="CF148" s="22">
        <f t="shared" ref="CF148:CG148" si="1230">SUM(CF142:CF147)</f>
        <v>51.432000000000002</v>
      </c>
      <c r="CG148" s="22">
        <f t="shared" si="1230"/>
        <v>80.166217376149177</v>
      </c>
      <c r="CH148" s="22">
        <f t="shared" ref="CH148:CI148" si="1231">SUM(CH142:CH147)</f>
        <v>66.947000000000003</v>
      </c>
      <c r="CI148" s="22">
        <f t="shared" si="1231"/>
        <v>80.591947679287699</v>
      </c>
      <c r="CJ148" s="22">
        <f t="shared" ref="CJ148:DB148" si="1232">SUM(CJ142:CJ147)</f>
        <v>93.531999999999996</v>
      </c>
      <c r="CK148" s="21">
        <f t="shared" si="1232"/>
        <v>92.742632449190467</v>
      </c>
      <c r="CL148" s="22">
        <f t="shared" ref="CL148" si="1233">SUM(CL142:CL147)</f>
        <v>88.60499999999999</v>
      </c>
      <c r="CM148" s="21">
        <f t="shared" si="1232"/>
        <v>106.59153542572041</v>
      </c>
      <c r="CN148" s="21">
        <f t="shared" si="1232"/>
        <v>205.23723154112022</v>
      </c>
      <c r="CO148" s="21">
        <f t="shared" si="1232"/>
        <v>184.59851691649129</v>
      </c>
      <c r="CP148" s="21">
        <f t="shared" si="1232"/>
        <v>120.08769217933121</v>
      </c>
      <c r="CQ148" s="21">
        <f t="shared" si="1232"/>
        <v>145.82885062464422</v>
      </c>
      <c r="CR148" s="21">
        <f t="shared" si="1232"/>
        <v>284.11478917732768</v>
      </c>
      <c r="CS148" s="21">
        <f t="shared" si="1232"/>
        <v>251.33753564642598</v>
      </c>
      <c r="CT148" s="21">
        <f t="shared" si="1232"/>
        <v>164.19842511626888</v>
      </c>
      <c r="CU148" s="21">
        <f t="shared" si="1232"/>
        <v>199.83255511112577</v>
      </c>
      <c r="CV148" s="21">
        <f t="shared" si="1232"/>
        <v>389.48610230827938</v>
      </c>
      <c r="CW148" s="21">
        <f t="shared" si="1232"/>
        <v>343.70756177252235</v>
      </c>
      <c r="CX148" s="21">
        <f t="shared" si="1232"/>
        <v>224.78900742493181</v>
      </c>
      <c r="CY148" s="21">
        <f t="shared" si="1232"/>
        <v>273.65672109695339</v>
      </c>
      <c r="CZ148" s="21">
        <f t="shared" si="1232"/>
        <v>533.28711030652858</v>
      </c>
      <c r="DA148" s="21">
        <f t="shared" si="1232"/>
        <v>470.46341460807048</v>
      </c>
      <c r="DB148" s="21">
        <f t="shared" si="1232"/>
        <v>307.76061330059423</v>
      </c>
      <c r="DE148" s="126"/>
      <c r="DF148" s="22">
        <v>61.486693026192057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0.36749999999999999</v>
      </c>
      <c r="Y149" s="23">
        <f>'Annual Raw'!Z50+'Annual Raw'!Z58</f>
        <v>0.72089999999999999</v>
      </c>
      <c r="Z149" s="23">
        <f>'Annual Raw'!AA50+'Annual Raw'!AA58</f>
        <v>6.4330999999999996</v>
      </c>
      <c r="AA149" s="23">
        <f>'Annual Raw'!AB50+'Annual Raw'!AB58</f>
        <v>14.869400000000001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0.36799999999999999</v>
      </c>
      <c r="CA149" s="23">
        <f t="shared" si="1238"/>
        <v>0.36799999999999999</v>
      </c>
      <c r="CB149" s="23">
        <f>+'QTR Raw'!AV64</f>
        <v>0.32400000000000001</v>
      </c>
      <c r="CC149" s="23">
        <f t="shared" si="1238"/>
        <v>0.32400000000000001</v>
      </c>
      <c r="CD149" s="23">
        <f>+'QTR Raw'!AX64</f>
        <v>0.72099999999999997</v>
      </c>
      <c r="CE149" s="23">
        <f t="shared" si="1238"/>
        <v>0.72099999999999997</v>
      </c>
      <c r="CF149" s="23">
        <f>+'QTR Raw'!AZ64</f>
        <v>1.214</v>
      </c>
      <c r="CG149" s="23">
        <f t="shared" ref="CG149:CG152" si="1239">+CF149</f>
        <v>1.214</v>
      </c>
      <c r="CH149" s="23">
        <f t="shared" si="1192"/>
        <v>6.4330999999999996</v>
      </c>
      <c r="CJ149" s="23">
        <f>+'QTR Raw'!BD64</f>
        <v>10.853</v>
      </c>
      <c r="CK149" s="24"/>
      <c r="CL149" s="23">
        <f>+'QTR Raw'!BF64</f>
        <v>14.869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14.869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0.1101</v>
      </c>
      <c r="X151" s="23">
        <f>'Annual Raw'!Y52</f>
        <v>0.14499999999999999</v>
      </c>
      <c r="Y151" s="23">
        <f>'Annual Raw'!Z52</f>
        <v>0.1799</v>
      </c>
      <c r="Z151" s="23">
        <f>'Annual Raw'!AA52</f>
        <v>0.26190000000000002</v>
      </c>
      <c r="AA151" s="23">
        <f>'Annual Raw'!AB52</f>
        <v>0.44829999999999998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0.11</v>
      </c>
      <c r="BW151" s="23">
        <f t="shared" si="1238"/>
        <v>0.11</v>
      </c>
      <c r="BX151" s="23">
        <f>+'QTR Raw'!AR66</f>
        <v>0</v>
      </c>
      <c r="BY151" s="23">
        <f t="shared" si="1238"/>
        <v>0</v>
      </c>
      <c r="BZ151" s="23">
        <f>+'QTR Raw'!AT66</f>
        <v>0.14499999999999999</v>
      </c>
      <c r="CA151" s="23">
        <f t="shared" si="1238"/>
        <v>0.14499999999999999</v>
      </c>
      <c r="CB151" s="23">
        <f>+'QTR Raw'!AV66</f>
        <v>0.159</v>
      </c>
      <c r="CC151" s="23">
        <f t="shared" si="1238"/>
        <v>0.159</v>
      </c>
      <c r="CD151" s="23">
        <f>+'QTR Raw'!AX66</f>
        <v>0.18</v>
      </c>
      <c r="CE151" s="23">
        <f t="shared" si="1238"/>
        <v>0.18</v>
      </c>
      <c r="CF151" s="23">
        <f>+'QTR Raw'!AZ66</f>
        <v>0.20300000000000001</v>
      </c>
      <c r="CG151" s="23">
        <f t="shared" si="1239"/>
        <v>0.20300000000000001</v>
      </c>
      <c r="CH151" s="23">
        <f t="shared" si="1192"/>
        <v>0.26190000000000002</v>
      </c>
      <c r="CJ151" s="23">
        <f>+'QTR Raw'!BD66</f>
        <v>0.28299999999999997</v>
      </c>
      <c r="CK151" s="24"/>
      <c r="CL151" s="23">
        <f>+'QTR Raw'!BF66</f>
        <v>0.44800000000000001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0.44800000000000001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26.165712829007042</v>
      </c>
      <c r="AC152" s="24">
        <f t="shared" si="1235"/>
        <v>35.776929014104034</v>
      </c>
      <c r="AD152" s="24">
        <f t="shared" si="1236"/>
        <v>48.978912898208172</v>
      </c>
      <c r="AE152" s="24">
        <f t="shared" si="1237"/>
        <v>67.057461772826301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21.684719720544798</v>
      </c>
      <c r="CJ152" s="23">
        <f>+'QTR Raw'!BD87</f>
        <v>0</v>
      </c>
      <c r="CK152" s="24">
        <f t="shared" ref="CK152:DB152" si="1240">CK10/90*CK184</f>
        <v>16.254650533930413</v>
      </c>
      <c r="CL152" s="23">
        <f>+'QTR Raw'!BF87</f>
        <v>0</v>
      </c>
      <c r="CM152" s="24">
        <f t="shared" si="1240"/>
        <v>23.225057084012853</v>
      </c>
      <c r="CN152" s="24">
        <f t="shared" si="1240"/>
        <v>44.718808104879727</v>
      </c>
      <c r="CO152" s="24">
        <f t="shared" si="1240"/>
        <v>40.221871989050072</v>
      </c>
      <c r="CP152" s="24">
        <f t="shared" si="1240"/>
        <v>26.165712829007042</v>
      </c>
      <c r="CQ152" s="24">
        <f t="shared" si="1240"/>
        <v>31.774412168155092</v>
      </c>
      <c r="CR152" s="24">
        <f t="shared" si="1240"/>
        <v>61.90531143679803</v>
      </c>
      <c r="CS152" s="24">
        <f t="shared" si="1240"/>
        <v>54.763528730770282</v>
      </c>
      <c r="CT152" s="24">
        <f t="shared" si="1240"/>
        <v>35.776929014104034</v>
      </c>
      <c r="CU152" s="24">
        <f t="shared" si="1240"/>
        <v>43.541191907628182</v>
      </c>
      <c r="CV152" s="24">
        <f t="shared" si="1240"/>
        <v>84.864496260523026</v>
      </c>
      <c r="CW152" s="24">
        <f t="shared" si="1240"/>
        <v>74.889884177871664</v>
      </c>
      <c r="CX152" s="24">
        <f t="shared" si="1240"/>
        <v>48.978912898208172</v>
      </c>
      <c r="CY152" s="24">
        <f t="shared" si="1240"/>
        <v>59.626619914201044</v>
      </c>
      <c r="CZ152" s="24">
        <f t="shared" si="1240"/>
        <v>116.19706508185592</v>
      </c>
      <c r="DA152" s="24">
        <f t="shared" si="1240"/>
        <v>102.50851173662224</v>
      </c>
      <c r="DB152" s="24">
        <f t="shared" si="1240"/>
        <v>67.057461772826301</v>
      </c>
      <c r="DE152" s="123"/>
      <c r="DF152" s="23">
        <v>10.776540208467335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7.4000000000000003E-3</v>
      </c>
      <c r="V153" s="23">
        <f>'Annual Raw'!W54</f>
        <v>6.0000000000000001E-3</v>
      </c>
      <c r="W153" s="23">
        <f>'Annual Raw'!X54</f>
        <v>1.3012999999999999</v>
      </c>
      <c r="X153" s="23">
        <f>'Annual Raw'!Y54</f>
        <v>1.3815999999999999</v>
      </c>
      <c r="Y153" s="23">
        <f>'Annual Raw'!Z54</f>
        <v>5.2331000000000003</v>
      </c>
      <c r="Z153" s="23">
        <f>'Annual Raw'!AA54</f>
        <v>8.3312000000000008</v>
      </c>
      <c r="AA153" s="23">
        <f>'Annual Raw'!AB54</f>
        <v>6.2507000000000001</v>
      </c>
      <c r="AB153" s="24">
        <f t="shared" si="1234"/>
        <v>8.472074530929401</v>
      </c>
      <c r="AC153" s="24">
        <f t="shared" si="1235"/>
        <v>11.584045543725491</v>
      </c>
      <c r="AD153" s="24">
        <f t="shared" si="1236"/>
        <v>15.858654538832448</v>
      </c>
      <c r="AE153" s="24">
        <f t="shared" si="1237"/>
        <v>21.71222384450104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1.3009999999999999</v>
      </c>
      <c r="BW153" s="23">
        <f>+BW183*BW10/90</f>
        <v>1.4748357446808513</v>
      </c>
      <c r="BX153" s="23">
        <f>+'QTR Raw'!AR89</f>
        <v>0</v>
      </c>
      <c r="BY153" s="23">
        <f>+BY183*BY10/90</f>
        <v>0</v>
      </c>
      <c r="BZ153" s="23">
        <f>+'QTR Raw'!AT89</f>
        <v>1.3819999999999999</v>
      </c>
      <c r="CA153" s="23">
        <f>+CA183*CA10/90</f>
        <v>1.2718688293370943</v>
      </c>
      <c r="CB153" s="23">
        <f>+'QTR Raw'!AV89</f>
        <v>2.2999999999999998</v>
      </c>
      <c r="CC153" s="23">
        <f>+CC183*CC10/90</f>
        <v>3.7876088164474897</v>
      </c>
      <c r="CD153" s="23">
        <f>+'QTR Raw'!AX89</f>
        <v>5.234</v>
      </c>
      <c r="CE153" s="23">
        <f>+CE183*CE10/90</f>
        <v>15.124640535621422</v>
      </c>
      <c r="CF153" s="23">
        <f>+'QTR Raw'!AZ89</f>
        <v>12.839</v>
      </c>
      <c r="CG153" s="23">
        <f>+CG183*CG10/90</f>
        <v>20.275226177508607</v>
      </c>
      <c r="CH153" s="23">
        <f t="shared" si="1192"/>
        <v>8.3312000000000008</v>
      </c>
      <c r="CI153" s="23">
        <f>+CI183*CI10/90</f>
        <v>10.02924155683872</v>
      </c>
      <c r="CJ153" s="23">
        <f>+'QTR Raw'!BD89</f>
        <v>22.925000000000001</v>
      </c>
      <c r="CK153" s="24">
        <f t="shared" ref="CK153:DB153" si="1241">+CK183*CK10/90</f>
        <v>22.731523424044092</v>
      </c>
      <c r="CL153" s="23">
        <f>+'QTR Raw'!BF89</f>
        <v>6.2510000000000003</v>
      </c>
      <c r="CM153" s="24">
        <f t="shared" si="1241"/>
        <v>7.5199332762956752</v>
      </c>
      <c r="CN153" s="24">
        <f t="shared" si="1241"/>
        <v>14.479295010028132</v>
      </c>
      <c r="CO153" s="24">
        <f t="shared" si="1241"/>
        <v>13.02325296817321</v>
      </c>
      <c r="CP153" s="24">
        <f t="shared" si="1241"/>
        <v>8.472074530929401</v>
      </c>
      <c r="CQ153" s="24">
        <f t="shared" si="1241"/>
        <v>10.288089219058193</v>
      </c>
      <c r="CR153" s="24">
        <f t="shared" si="1241"/>
        <v>20.044033035917565</v>
      </c>
      <c r="CS153" s="24">
        <f t="shared" si="1241"/>
        <v>17.731628410651869</v>
      </c>
      <c r="CT153" s="24">
        <f t="shared" si="1241"/>
        <v>11.584045543725491</v>
      </c>
      <c r="CU153" s="24">
        <f t="shared" si="1241"/>
        <v>14.098000135428558</v>
      </c>
      <c r="CV153" s="24">
        <f t="shared" si="1241"/>
        <v>27.477880768907561</v>
      </c>
      <c r="CW153" s="24">
        <f t="shared" si="1241"/>
        <v>24.248247487613991</v>
      </c>
      <c r="CX153" s="24">
        <f t="shared" si="1241"/>
        <v>15.858654538832448</v>
      </c>
      <c r="CY153" s="24">
        <f t="shared" si="1241"/>
        <v>19.306226099848271</v>
      </c>
      <c r="CZ153" s="24">
        <f t="shared" si="1241"/>
        <v>37.622907584516803</v>
      </c>
      <c r="DA153" s="24">
        <f t="shared" si="1241"/>
        <v>33.190754525309515</v>
      </c>
      <c r="DB153" s="24">
        <f t="shared" si="1241"/>
        <v>21.71222384450104</v>
      </c>
      <c r="DE153" s="123"/>
      <c r="DF153" s="23">
        <v>15.070590146959898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0.26869999999999999</v>
      </c>
      <c r="X154" s="23">
        <f>'Annual Raw'!Y55-Template!X126</f>
        <v>0.4607</v>
      </c>
      <c r="Y154" s="23">
        <f>'Annual Raw'!Z55-Template!Y126</f>
        <v>1.1691</v>
      </c>
      <c r="Z154" s="23">
        <f>'Annual Raw'!AA55-Template!Z126</f>
        <v>1.4084000000000001</v>
      </c>
      <c r="AA154" s="23">
        <f>'Annual Raw'!AB55-Template!AA126</f>
        <v>3.4034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0</v>
      </c>
      <c r="BO154" s="23">
        <f t="shared" si="1238"/>
        <v>0</v>
      </c>
      <c r="BP154" s="23">
        <f>+'QTR Raw'!AJ91</f>
        <v>0</v>
      </c>
      <c r="BQ154" s="23">
        <f t="shared" si="1238"/>
        <v>0</v>
      </c>
      <c r="BR154" s="23">
        <f>+'QTR Raw'!AL91</f>
        <v>0</v>
      </c>
      <c r="BS154" s="23">
        <f t="shared" si="1238"/>
        <v>0</v>
      </c>
      <c r="BT154" s="23">
        <f>+'QTR Raw'!AN91</f>
        <v>0</v>
      </c>
      <c r="BU154" s="23">
        <f t="shared" si="1238"/>
        <v>0</v>
      </c>
      <c r="BV154" s="23">
        <f>+'QTR Raw'!AP91</f>
        <v>0.46300000000000002</v>
      </c>
      <c r="BW154" s="23">
        <f t="shared" si="1238"/>
        <v>0.46300000000000002</v>
      </c>
      <c r="BX154" s="23">
        <f>+'QTR Raw'!AR91</f>
        <v>0</v>
      </c>
      <c r="BY154" s="23">
        <f t="shared" si="1238"/>
        <v>0</v>
      </c>
      <c r="BZ154" s="23">
        <f>+'QTR Raw'!AT91</f>
        <v>0.73299999999999998</v>
      </c>
      <c r="CA154" s="23">
        <f t="shared" si="1238"/>
        <v>0.73299999999999998</v>
      </c>
      <c r="CB154" s="23">
        <f>+'QTR Raw'!AV91</f>
        <v>1.694</v>
      </c>
      <c r="CC154" s="23">
        <f t="shared" si="1238"/>
        <v>1.694</v>
      </c>
      <c r="CD154" s="23">
        <f>+'QTR Raw'!AX91</f>
        <v>1.69</v>
      </c>
      <c r="CE154" s="23">
        <f t="shared" si="1238"/>
        <v>1.69</v>
      </c>
      <c r="CF154" s="23">
        <f>+'QTR Raw'!AZ91</f>
        <v>2.5009999999999999</v>
      </c>
      <c r="CG154" s="23">
        <f t="shared" ref="CG154:CG155" si="1242">+CF154</f>
        <v>2.5009999999999999</v>
      </c>
      <c r="CH154" s="23">
        <f t="shared" si="1192"/>
        <v>1.4084000000000001</v>
      </c>
      <c r="CJ154" s="23">
        <f>+'QTR Raw'!BD91</f>
        <v>5.0620000000000003</v>
      </c>
      <c r="CK154" s="24"/>
      <c r="CL154" s="23">
        <f>+'QTR Raw'!BF91</f>
        <v>3.867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3.867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5.4999999999999997E-3</v>
      </c>
      <c r="V155" s="23">
        <f>'Annual Raw'!W57</f>
        <v>5.9999999999999995E-4</v>
      </c>
      <c r="W155" s="23">
        <f>'Annual Raw'!X57</f>
        <v>0.45600000000000002</v>
      </c>
      <c r="X155" s="23">
        <f>'Annual Raw'!Y57</f>
        <v>1.7788999999999999</v>
      </c>
      <c r="Y155" s="23">
        <f>'Annual Raw'!Z57</f>
        <v>2.9740000000000002</v>
      </c>
      <c r="Z155" s="23">
        <f>'Annual Raw'!AA57</f>
        <v>9.9099000000000004</v>
      </c>
      <c r="AA155" s="23">
        <f>'Annual Raw'!AB57</f>
        <v>11.1846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0</v>
      </c>
      <c r="BS155" s="23">
        <f t="shared" si="1238"/>
        <v>0</v>
      </c>
      <c r="BT155" s="23">
        <f>+'QTR Raw'!AN92</f>
        <v>0</v>
      </c>
      <c r="BU155" s="23">
        <f t="shared" si="1238"/>
        <v>0</v>
      </c>
      <c r="BV155" s="23">
        <f>+'QTR Raw'!AP92</f>
        <v>5.5E-2</v>
      </c>
      <c r="BW155" s="23">
        <f t="shared" si="1238"/>
        <v>5.5E-2</v>
      </c>
      <c r="BX155" s="23">
        <f>+'QTR Raw'!AR92</f>
        <v>0</v>
      </c>
      <c r="BY155" s="23">
        <f t="shared" si="1238"/>
        <v>0</v>
      </c>
      <c r="BZ155" s="23">
        <f>+'QTR Raw'!AT92</f>
        <v>0.153</v>
      </c>
      <c r="CA155" s="23">
        <f t="shared" si="1238"/>
        <v>0.153</v>
      </c>
      <c r="CB155" s="23">
        <f>+'QTR Raw'!AV92</f>
        <v>0.41199999999999998</v>
      </c>
      <c r="CC155" s="23">
        <f t="shared" si="1238"/>
        <v>0.41199999999999998</v>
      </c>
      <c r="CD155" s="23">
        <f>+'QTR Raw'!AX92</f>
        <v>4.2999999999999997E-2</v>
      </c>
      <c r="CE155" s="23">
        <f t="shared" si="1238"/>
        <v>4.2999999999999997E-2</v>
      </c>
      <c r="CF155" s="23">
        <f>+'QTR Raw'!AZ92</f>
        <v>0.38700000000000001</v>
      </c>
      <c r="CG155" s="23">
        <f t="shared" si="1242"/>
        <v>0.38700000000000001</v>
      </c>
      <c r="CH155" s="23">
        <f t="shared" si="1192"/>
        <v>9.9099000000000004</v>
      </c>
      <c r="CJ155" s="23">
        <f>+'QTR Raw'!BD92</f>
        <v>0.19500000000000001</v>
      </c>
      <c r="CK155" s="24"/>
      <c r="CL155" s="23">
        <f>+'QTR Raw'!BF92</f>
        <v>0.122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0.122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0</v>
      </c>
      <c r="K156" s="22">
        <f t="shared" si="1243"/>
        <v>0</v>
      </c>
      <c r="L156" s="22">
        <f t="shared" si="1243"/>
        <v>0</v>
      </c>
      <c r="M156" s="22">
        <f t="shared" si="1243"/>
        <v>0</v>
      </c>
      <c r="N156" s="22">
        <f t="shared" si="1243"/>
        <v>0</v>
      </c>
      <c r="O156" s="22">
        <f t="shared" si="1243"/>
        <v>0</v>
      </c>
      <c r="P156" s="22">
        <f t="shared" si="1243"/>
        <v>0</v>
      </c>
      <c r="Q156" s="22">
        <f t="shared" si="1243"/>
        <v>0</v>
      </c>
      <c r="R156" s="22">
        <f t="shared" si="1243"/>
        <v>0</v>
      </c>
      <c r="S156" s="22">
        <f t="shared" si="1243"/>
        <v>0</v>
      </c>
      <c r="T156" s="22">
        <f t="shared" si="1243"/>
        <v>0</v>
      </c>
      <c r="U156" s="22">
        <f t="shared" si="1243"/>
        <v>1.29E-2</v>
      </c>
      <c r="V156" s="22">
        <f t="shared" si="1243"/>
        <v>6.6E-3</v>
      </c>
      <c r="W156" s="22">
        <f t="shared" ref="W156" si="1244">SUM(W149:W155)</f>
        <v>2.1360999999999999</v>
      </c>
      <c r="X156" s="22">
        <f t="shared" ref="X156:Y156" si="1245">SUM(X149:X155)</f>
        <v>4.1337000000000002</v>
      </c>
      <c r="Y156" s="22">
        <f t="shared" si="1245"/>
        <v>10.277000000000001</v>
      </c>
      <c r="Z156" s="22">
        <f t="shared" ref="Z156:AA156" si="1246">SUM(Z149:Z155)</f>
        <v>26.3445</v>
      </c>
      <c r="AA156" s="22">
        <f t="shared" si="1246"/>
        <v>36.156400000000005</v>
      </c>
      <c r="AB156" s="21">
        <f t="shared" ref="AA156:AD156" si="1247">SUM(AB149:AB155)</f>
        <v>34.637787359936439</v>
      </c>
      <c r="AC156" s="21">
        <f t="shared" si="1247"/>
        <v>47.360974557829522</v>
      </c>
      <c r="AD156" s="21">
        <f t="shared" si="1247"/>
        <v>64.837567437040619</v>
      </c>
      <c r="AE156" s="21">
        <f t="shared" ref="AE156" si="1248">SUM(AE149:AE155)</f>
        <v>88.76968561732734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0</v>
      </c>
      <c r="BO156" s="22" t="e">
        <f t="shared" si="1253"/>
        <v>#DIV/0!</v>
      </c>
      <c r="BP156" s="22">
        <f t="shared" si="1253"/>
        <v>0</v>
      </c>
      <c r="BQ156" s="22" t="e">
        <f t="shared" si="1253"/>
        <v>#DIV/0!</v>
      </c>
      <c r="BR156" s="22">
        <f t="shared" si="1253"/>
        <v>0</v>
      </c>
      <c r="BS156" s="22" t="e">
        <f t="shared" si="1253"/>
        <v>#DIV/0!</v>
      </c>
      <c r="BT156" s="22">
        <f t="shared" si="1253"/>
        <v>0</v>
      </c>
      <c r="BU156" s="22" t="e">
        <f t="shared" si="1253"/>
        <v>#DIV/0!</v>
      </c>
      <c r="BV156" s="22">
        <f t="shared" si="1253"/>
        <v>1.929</v>
      </c>
      <c r="BW156" s="22">
        <f t="shared" si="1253"/>
        <v>2.1028357446808514</v>
      </c>
      <c r="BX156" s="22">
        <f t="shared" si="1253"/>
        <v>0</v>
      </c>
      <c r="BY156" s="22">
        <f t="shared" si="1253"/>
        <v>0</v>
      </c>
      <c r="BZ156" s="22">
        <f t="shared" si="1253"/>
        <v>2.7810000000000001</v>
      </c>
      <c r="CA156" s="22">
        <f t="shared" si="1253"/>
        <v>2.6708688293370946</v>
      </c>
      <c r="CB156" s="22">
        <f t="shared" si="1253"/>
        <v>4.8890000000000002</v>
      </c>
      <c r="CC156" s="22">
        <f t="shared" si="1253"/>
        <v>6.3766088164474892</v>
      </c>
      <c r="CD156" s="22">
        <f t="shared" si="1253"/>
        <v>7.8679999999999994</v>
      </c>
      <c r="CE156" s="22">
        <f t="shared" si="1253"/>
        <v>17.758640535621424</v>
      </c>
      <c r="CF156" s="22">
        <f t="shared" ref="CF156:CG156" si="1255">SUM(CF149:CF155)</f>
        <v>17.144000000000002</v>
      </c>
      <c r="CG156" s="22">
        <f t="shared" si="1255"/>
        <v>24.58022617750861</v>
      </c>
      <c r="CH156" s="22">
        <f t="shared" ref="CH156:CI156" si="1256">SUM(CH149:CH155)</f>
        <v>26.3445</v>
      </c>
      <c r="CI156" s="22">
        <f t="shared" si="1256"/>
        <v>31.713961277383518</v>
      </c>
      <c r="CJ156" s="22">
        <f t="shared" ref="CJ156:DB156" si="1257">SUM(CJ149:CJ155)</f>
        <v>39.317999999999998</v>
      </c>
      <c r="CK156" s="21">
        <f t="shared" si="1257"/>
        <v>38.986173957974501</v>
      </c>
      <c r="CL156" s="22">
        <f t="shared" ref="CL156" si="1258">SUM(CL149:CL155)</f>
        <v>25.557000000000002</v>
      </c>
      <c r="CM156" s="21">
        <f t="shared" si="1257"/>
        <v>30.744990360308527</v>
      </c>
      <c r="CN156" s="21">
        <f t="shared" si="1257"/>
        <v>59.198103114907859</v>
      </c>
      <c r="CO156" s="21">
        <f t="shared" si="1257"/>
        <v>53.245124957223283</v>
      </c>
      <c r="CP156" s="21">
        <f t="shared" si="1257"/>
        <v>34.637787359936439</v>
      </c>
      <c r="CQ156" s="21">
        <f t="shared" si="1257"/>
        <v>42.062501387213288</v>
      </c>
      <c r="CR156" s="21">
        <f t="shared" si="1257"/>
        <v>81.949344472715595</v>
      </c>
      <c r="CS156" s="21">
        <f t="shared" si="1257"/>
        <v>72.495157141422155</v>
      </c>
      <c r="CT156" s="21">
        <f t="shared" si="1257"/>
        <v>47.360974557829522</v>
      </c>
      <c r="CU156" s="21">
        <f t="shared" si="1257"/>
        <v>57.639192043056738</v>
      </c>
      <c r="CV156" s="21">
        <f t="shared" si="1257"/>
        <v>112.34237702943059</v>
      </c>
      <c r="CW156" s="21">
        <f t="shared" si="1257"/>
        <v>99.138131665485659</v>
      </c>
      <c r="CX156" s="21">
        <f t="shared" si="1257"/>
        <v>64.837567437040619</v>
      </c>
      <c r="CY156" s="21">
        <f t="shared" si="1257"/>
        <v>78.932846014049318</v>
      </c>
      <c r="CZ156" s="21">
        <f t="shared" si="1257"/>
        <v>153.81997266637273</v>
      </c>
      <c r="DA156" s="21">
        <f t="shared" si="1257"/>
        <v>135.69926626193177</v>
      </c>
      <c r="DB156" s="21">
        <f t="shared" si="1257"/>
        <v>88.76968561732734</v>
      </c>
      <c r="DE156" s="126"/>
      <c r="DF156" s="22">
        <v>25.847130355427232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0</v>
      </c>
      <c r="K157" s="22">
        <f t="shared" si="1259"/>
        <v>0</v>
      </c>
      <c r="L157" s="22">
        <f t="shared" si="1259"/>
        <v>0</v>
      </c>
      <c r="M157" s="22">
        <f t="shared" si="1259"/>
        <v>0</v>
      </c>
      <c r="N157" s="22">
        <f t="shared" si="1259"/>
        <v>0</v>
      </c>
      <c r="O157" s="22">
        <f t="shared" si="1259"/>
        <v>0</v>
      </c>
      <c r="P157" s="22">
        <f t="shared" si="1259"/>
        <v>0</v>
      </c>
      <c r="Q157" s="22">
        <f t="shared" si="1259"/>
        <v>0</v>
      </c>
      <c r="R157" s="22">
        <f t="shared" si="1259"/>
        <v>0</v>
      </c>
      <c r="S157" s="22">
        <f t="shared" si="1259"/>
        <v>0</v>
      </c>
      <c r="T157" s="22">
        <f t="shared" si="1259"/>
        <v>0</v>
      </c>
      <c r="U157" s="22">
        <f t="shared" si="1259"/>
        <v>-4.5999999999999999E-3</v>
      </c>
      <c r="V157" s="22">
        <f t="shared" si="1259"/>
        <v>8.9999999999999976E-4</v>
      </c>
      <c r="W157" s="22">
        <f t="shared" ref="W157" si="1260">W148-W156</f>
        <v>5.4257</v>
      </c>
      <c r="X157" s="22">
        <f t="shared" ref="X157:Y157" si="1261">X148-X156</f>
        <v>8.7763999999999989</v>
      </c>
      <c r="Y157" s="22">
        <f t="shared" si="1261"/>
        <v>28.303199999999997</v>
      </c>
      <c r="Z157" s="22">
        <f t="shared" ref="Z157:AA157" si="1262">Z148-Z156</f>
        <v>40.602500000000006</v>
      </c>
      <c r="AA157" s="22">
        <f t="shared" si="1262"/>
        <v>54.646499999999989</v>
      </c>
      <c r="AB157" s="21">
        <f t="shared" ref="AA157:AD157" si="1263">AB148-AB156</f>
        <v>85.449904819394774</v>
      </c>
      <c r="AC157" s="21">
        <f t="shared" si="1263"/>
        <v>116.83745055843936</v>
      </c>
      <c r="AD157" s="21">
        <f t="shared" si="1263"/>
        <v>159.95143998789121</v>
      </c>
      <c r="AE157" s="21">
        <f t="shared" ref="AE157" si="1264">AE148-AE156</f>
        <v>218.99092768326688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0</v>
      </c>
      <c r="BO157" s="22" t="e">
        <f t="shared" si="1269"/>
        <v>#DIV/0!</v>
      </c>
      <c r="BP157" s="22">
        <f t="shared" si="1269"/>
        <v>0</v>
      </c>
      <c r="BQ157" s="22" t="e">
        <f t="shared" si="1269"/>
        <v>#DIV/0!</v>
      </c>
      <c r="BR157" s="22">
        <f t="shared" si="1269"/>
        <v>0</v>
      </c>
      <c r="BS157" s="22" t="e">
        <f t="shared" si="1269"/>
        <v>#DIV/0!</v>
      </c>
      <c r="BT157" s="22">
        <f t="shared" si="1269"/>
        <v>0</v>
      </c>
      <c r="BU157" s="22" t="e">
        <f t="shared" si="1269"/>
        <v>#DIV/0!</v>
      </c>
      <c r="BV157" s="22">
        <f t="shared" si="1269"/>
        <v>5.4260000000000002</v>
      </c>
      <c r="BW157" s="22">
        <f t="shared" si="1269"/>
        <v>6.1643676595744683</v>
      </c>
      <c r="BX157" s="22">
        <f t="shared" si="1269"/>
        <v>0</v>
      </c>
      <c r="BY157" s="22">
        <f t="shared" si="1269"/>
        <v>0</v>
      </c>
      <c r="BZ157" s="22">
        <f t="shared" si="1269"/>
        <v>9.2459999999999987</v>
      </c>
      <c r="CA157" s="22">
        <f t="shared" si="1269"/>
        <v>8.5211424541607883</v>
      </c>
      <c r="CB157" s="22">
        <f t="shared" si="1269"/>
        <v>8.43</v>
      </c>
      <c r="CC157" s="22">
        <f t="shared" si="1269"/>
        <v>14.416008520096312</v>
      </c>
      <c r="CD157" s="22">
        <f t="shared" si="1269"/>
        <v>28.665000000000003</v>
      </c>
      <c r="CE157" s="22">
        <f t="shared" si="1269"/>
        <v>83.001163156526246</v>
      </c>
      <c r="CF157" s="22">
        <f t="shared" ref="CF157:CG157" si="1271">CF148-CF156</f>
        <v>34.287999999999997</v>
      </c>
      <c r="CG157" s="22">
        <f t="shared" si="1271"/>
        <v>55.585991198640571</v>
      </c>
      <c r="CH157" s="22">
        <f t="shared" ref="CH157:CI157" si="1272">CH148-CH156</f>
        <v>40.602500000000006</v>
      </c>
      <c r="CI157" s="22">
        <f t="shared" si="1272"/>
        <v>48.877986401904181</v>
      </c>
      <c r="CJ157" s="22">
        <f t="shared" ref="CJ157:DB157" si="1273">CJ148-CJ156</f>
        <v>54.213999999999999</v>
      </c>
      <c r="CK157" s="21">
        <f t="shared" si="1273"/>
        <v>53.756458491215966</v>
      </c>
      <c r="CL157" s="22">
        <f t="shared" ref="CL157" si="1274">CL148-CL156</f>
        <v>63.047999999999988</v>
      </c>
      <c r="CM157" s="21">
        <f t="shared" si="1273"/>
        <v>75.846545065411874</v>
      </c>
      <c r="CN157" s="21">
        <f t="shared" si="1273"/>
        <v>146.03912842621236</v>
      </c>
      <c r="CO157" s="21">
        <f t="shared" si="1273"/>
        <v>131.35339195926801</v>
      </c>
      <c r="CP157" s="21">
        <f t="shared" si="1273"/>
        <v>85.449904819394774</v>
      </c>
      <c r="CQ157" s="21">
        <f t="shared" si="1273"/>
        <v>103.76634923743093</v>
      </c>
      <c r="CR157" s="21">
        <f t="shared" si="1273"/>
        <v>202.16544470461207</v>
      </c>
      <c r="CS157" s="21">
        <f t="shared" si="1273"/>
        <v>178.84237850500381</v>
      </c>
      <c r="CT157" s="21">
        <f t="shared" si="1273"/>
        <v>116.83745055843936</v>
      </c>
      <c r="CU157" s="21">
        <f t="shared" si="1273"/>
        <v>142.19336306806903</v>
      </c>
      <c r="CV157" s="21">
        <f t="shared" si="1273"/>
        <v>277.14372527884882</v>
      </c>
      <c r="CW157" s="21">
        <f t="shared" si="1273"/>
        <v>244.56943010703668</v>
      </c>
      <c r="CX157" s="21">
        <f t="shared" si="1273"/>
        <v>159.95143998789121</v>
      </c>
      <c r="CY157" s="21">
        <f t="shared" si="1273"/>
        <v>194.72387508290407</v>
      </c>
      <c r="CZ157" s="21">
        <f t="shared" si="1273"/>
        <v>379.46713764015584</v>
      </c>
      <c r="DA157" s="21">
        <f t="shared" si="1273"/>
        <v>334.76414834613871</v>
      </c>
      <c r="DB157" s="21">
        <f t="shared" si="1273"/>
        <v>218.99092768326688</v>
      </c>
      <c r="DE157" s="126"/>
      <c r="DF157" s="22">
        <v>35.639562670764825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9.6500000000000002E-2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0.1</v>
      </c>
      <c r="CD159" s="23">
        <f>+'QTR Raw'!AX80</f>
        <v>9.7000000000000003E-2</v>
      </c>
      <c r="CF159" s="23">
        <f>+'QTR Raw'!AZ80</f>
        <v>0.1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2.0799999999999999E-2</v>
      </c>
      <c r="V160" s="23">
        <f>'Annual Raw'!W78</f>
        <v>1.89E-2</v>
      </c>
      <c r="W160" s="23">
        <f>'Annual Raw'!X78</f>
        <v>0.62549999999999994</v>
      </c>
      <c r="X160" s="23">
        <f>'Annual Raw'!Y78</f>
        <v>11.337300000000001</v>
      </c>
      <c r="Y160" s="23">
        <f>'Annual Raw'!Z78</f>
        <v>0.70089999999999997</v>
      </c>
      <c r="Z160" s="23">
        <f>'Annual Raw'!AA78</f>
        <v>54.129600000000003</v>
      </c>
      <c r="AA160" s="23">
        <f>'Annual Raw'!AB78</f>
        <v>72.751900000000006</v>
      </c>
      <c r="AB160" s="24">
        <f t="shared" si="1275"/>
        <v>92.319968161393831</v>
      </c>
      <c r="AC160" s="24">
        <f t="shared" si="1276"/>
        <v>116.79885827684494</v>
      </c>
      <c r="AD160" s="24">
        <f t="shared" si="1277"/>
        <v>149.39444630356013</v>
      </c>
      <c r="AE160" s="24">
        <f t="shared" si="1278"/>
        <v>193.50981792941835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0</v>
      </c>
      <c r="BO160" s="23" t="e">
        <f t="shared" ref="BO160" si="1294">+BO210</f>
        <v>#DIV/0!</v>
      </c>
      <c r="BP160" s="23">
        <f>+'QTR Raw'!AJ83</f>
        <v>0</v>
      </c>
      <c r="BQ160" s="23" t="e">
        <f t="shared" ref="BQ160" si="1295">+BQ210</f>
        <v>#DIV/0!</v>
      </c>
      <c r="BR160" s="23">
        <f>+'QTR Raw'!AL83</f>
        <v>0</v>
      </c>
      <c r="BS160" s="23" t="e">
        <f t="shared" ref="BS160" si="1296">+BS210</f>
        <v>#DIV/0!</v>
      </c>
      <c r="BT160" s="23">
        <f>+'QTR Raw'!AN83</f>
        <v>0</v>
      </c>
      <c r="BU160" s="23" t="e">
        <f t="shared" ref="BU160" si="1297">+BU210</f>
        <v>#DIV/0!</v>
      </c>
      <c r="BV160" s="23">
        <f>+'QTR Raw'!AP83</f>
        <v>0.626</v>
      </c>
      <c r="BW160" s="23">
        <f t="shared" ref="BW160" si="1298">+BW210</f>
        <v>0.80663234042553211</v>
      </c>
      <c r="BX160" s="23">
        <f>+'QTR Raw'!AR83</f>
        <v>0</v>
      </c>
      <c r="BY160" s="23">
        <f t="shared" ref="BY160" si="1299">+BY210</f>
        <v>1.175999999999999</v>
      </c>
      <c r="BZ160" s="23">
        <f>+'QTR Raw'!AT83</f>
        <v>11.337</v>
      </c>
      <c r="CA160" s="23">
        <f t="shared" ref="CA160" si="1300">+CA210</f>
        <v>13.336857545839212</v>
      </c>
      <c r="CB160" s="23">
        <f>+'QTR Raw'!AV83</f>
        <v>14.175000000000001</v>
      </c>
      <c r="CC160" s="23">
        <f t="shared" ref="CC160" si="1301">+CC210</f>
        <v>11.446991479903687</v>
      </c>
      <c r="CD160" s="23">
        <f>+'QTR Raw'!AX83</f>
        <v>0.70099999999999996</v>
      </c>
      <c r="CE160" s="23">
        <f t="shared" ref="CE160" si="1302">+CE210</f>
        <v>-43.08016315652624</v>
      </c>
      <c r="CF160" s="23">
        <f>+'QTR Raw'!AZ83</f>
        <v>53.011000000000003</v>
      </c>
      <c r="CG160" s="23">
        <f t="shared" ref="CG160:CI160" si="1303">+CG210</f>
        <v>40.959008801359438</v>
      </c>
      <c r="CH160" s="23">
        <f t="shared" si="1279"/>
        <v>54.129600000000003</v>
      </c>
      <c r="CI160" s="23">
        <f t="shared" si="1303"/>
        <v>51.440113598095827</v>
      </c>
      <c r="CJ160" s="23">
        <f>+'QTR Raw'!BD83</f>
        <v>68.960999999999999</v>
      </c>
      <c r="CK160" s="24">
        <f t="shared" ref="CK160:DB160" si="1304">+CK210</f>
        <v>80.425541508784036</v>
      </c>
      <c r="CL160" s="23">
        <f>+'QTR Raw'!BF83</f>
        <v>72.751999999999995</v>
      </c>
      <c r="CM160" s="24">
        <f t="shared" si="1304"/>
        <v>67.68854062850717</v>
      </c>
      <c r="CN160" s="24">
        <f t="shared" si="1304"/>
        <v>11.696150024991162</v>
      </c>
      <c r="CO160" s="24">
        <f t="shared" si="1304"/>
        <v>38.502560477219284</v>
      </c>
      <c r="CP160" s="24">
        <f t="shared" si="1304"/>
        <v>92.319968161393831</v>
      </c>
      <c r="CQ160" s="24">
        <f t="shared" si="1304"/>
        <v>84.170701611932429</v>
      </c>
      <c r="CR160" s="24">
        <f t="shared" si="1304"/>
        <v>4.6526258013651045</v>
      </c>
      <c r="CS160" s="24">
        <f t="shared" si="1304"/>
        <v>44.006562063716103</v>
      </c>
      <c r="CT160" s="24">
        <f t="shared" si="1304"/>
        <v>116.79885827684494</v>
      </c>
      <c r="CU160" s="24">
        <f t="shared" si="1304"/>
        <v>105.12351066537499</v>
      </c>
      <c r="CV160" s="24">
        <f t="shared" si="1304"/>
        <v>-4.2343277630405964</v>
      </c>
      <c r="CW160" s="24">
        <f t="shared" si="1304"/>
        <v>50.106514432004786</v>
      </c>
      <c r="CX160" s="24">
        <f t="shared" si="1304"/>
        <v>149.39444630356013</v>
      </c>
      <c r="CY160" s="24">
        <f t="shared" si="1304"/>
        <v>133.20500613413381</v>
      </c>
      <c r="CZ160" s="24">
        <f t="shared" si="1304"/>
        <v>-16.639166457048162</v>
      </c>
      <c r="DA160" s="24">
        <f t="shared" si="1304"/>
        <v>57.753213910377866</v>
      </c>
      <c r="DB160" s="24">
        <f t="shared" si="1304"/>
        <v>193.50981792941835</v>
      </c>
      <c r="DE160" s="123"/>
      <c r="DF160" s="23">
        <v>105.62275310963444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0</v>
      </c>
      <c r="K161" s="22">
        <f t="shared" si="1305"/>
        <v>0</v>
      </c>
      <c r="L161" s="22">
        <f t="shared" si="1305"/>
        <v>0</v>
      </c>
      <c r="M161" s="22">
        <f t="shared" si="1305"/>
        <v>0</v>
      </c>
      <c r="N161" s="22">
        <f t="shared" si="1305"/>
        <v>0</v>
      </c>
      <c r="O161" s="22">
        <f t="shared" si="1305"/>
        <v>0</v>
      </c>
      <c r="P161" s="22">
        <f t="shared" si="1305"/>
        <v>0</v>
      </c>
      <c r="Q161" s="22">
        <f t="shared" si="1305"/>
        <v>0</v>
      </c>
      <c r="R161" s="22">
        <f t="shared" si="1305"/>
        <v>0</v>
      </c>
      <c r="S161" s="22">
        <f t="shared" si="1305"/>
        <v>0</v>
      </c>
      <c r="T161" s="22">
        <f t="shared" si="1305"/>
        <v>0</v>
      </c>
      <c r="U161" s="22">
        <f t="shared" si="1305"/>
        <v>2.0799999999999999E-2</v>
      </c>
      <c r="V161" s="22">
        <f t="shared" si="1305"/>
        <v>1.89E-2</v>
      </c>
      <c r="W161" s="22">
        <f t="shared" ref="W161" si="1306">W159+W160</f>
        <v>0.62549999999999994</v>
      </c>
      <c r="X161" s="22">
        <f t="shared" ref="X161:Y161" si="1307">X159+X160</f>
        <v>11.337300000000001</v>
      </c>
      <c r="Y161" s="22">
        <f t="shared" si="1307"/>
        <v>0.7974</v>
      </c>
      <c r="Z161" s="22">
        <f t="shared" ref="Z161:AA161" si="1308">Z159+Z160</f>
        <v>54.129600000000003</v>
      </c>
      <c r="AA161" s="22">
        <f t="shared" si="1308"/>
        <v>72.751900000000006</v>
      </c>
      <c r="AB161" s="21">
        <f t="shared" ref="AA161:AD161" si="1309">AB159+AB160</f>
        <v>92.319968161393831</v>
      </c>
      <c r="AC161" s="21">
        <f t="shared" si="1309"/>
        <v>116.79885827684494</v>
      </c>
      <c r="AD161" s="21">
        <f t="shared" si="1309"/>
        <v>149.39444630356013</v>
      </c>
      <c r="AE161" s="21">
        <f t="shared" ref="AE161" si="1310">AE159+AE160</f>
        <v>193.50981792941835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0</v>
      </c>
      <c r="BO161" s="22" t="e">
        <f t="shared" si="1315"/>
        <v>#DIV/0!</v>
      </c>
      <c r="BP161" s="22">
        <f t="shared" si="1315"/>
        <v>0</v>
      </c>
      <c r="BQ161" s="22" t="e">
        <f t="shared" si="1315"/>
        <v>#DIV/0!</v>
      </c>
      <c r="BR161" s="22">
        <f t="shared" si="1315"/>
        <v>0</v>
      </c>
      <c r="BS161" s="22" t="e">
        <f t="shared" si="1315"/>
        <v>#DIV/0!</v>
      </c>
      <c r="BT161" s="22">
        <f t="shared" si="1315"/>
        <v>0</v>
      </c>
      <c r="BU161" s="22" t="e">
        <f t="shared" si="1315"/>
        <v>#DIV/0!</v>
      </c>
      <c r="BV161" s="22">
        <f t="shared" si="1315"/>
        <v>0.626</v>
      </c>
      <c r="BW161" s="22">
        <f t="shared" si="1315"/>
        <v>0.80663234042553211</v>
      </c>
      <c r="BX161" s="22">
        <f t="shared" si="1315"/>
        <v>0</v>
      </c>
      <c r="BY161" s="22">
        <f t="shared" si="1315"/>
        <v>1.175999999999999</v>
      </c>
      <c r="BZ161" s="22">
        <f t="shared" si="1315"/>
        <v>11.337</v>
      </c>
      <c r="CA161" s="22">
        <f t="shared" si="1315"/>
        <v>13.336857545839212</v>
      </c>
      <c r="CB161" s="22">
        <f t="shared" si="1315"/>
        <v>14.275</v>
      </c>
      <c r="CC161" s="22">
        <f t="shared" si="1315"/>
        <v>11.446991479903687</v>
      </c>
      <c r="CD161" s="22">
        <f t="shared" si="1315"/>
        <v>0.79799999999999993</v>
      </c>
      <c r="CE161" s="22">
        <f t="shared" si="1315"/>
        <v>-43.08016315652624</v>
      </c>
      <c r="CF161" s="22">
        <f t="shared" ref="CF161:CG161" si="1316">CF159+CF160</f>
        <v>53.111000000000004</v>
      </c>
      <c r="CG161" s="22">
        <f t="shared" si="1316"/>
        <v>40.959008801359438</v>
      </c>
      <c r="CH161" s="22">
        <f t="shared" ref="CH161:CI161" si="1317">CH159+CH160</f>
        <v>54.129600000000003</v>
      </c>
      <c r="CI161" s="22">
        <f t="shared" si="1317"/>
        <v>51.440113598095827</v>
      </c>
      <c r="CJ161" s="22">
        <f t="shared" ref="CJ161:DB161" si="1318">CJ159+CJ160</f>
        <v>68.960999999999999</v>
      </c>
      <c r="CK161" s="21">
        <f t="shared" si="1318"/>
        <v>80.425541508784036</v>
      </c>
      <c r="CL161" s="22">
        <f t="shared" ref="CL161" si="1319">CL159+CL160</f>
        <v>72.751999999999995</v>
      </c>
      <c r="CM161" s="21">
        <f t="shared" si="1318"/>
        <v>67.68854062850717</v>
      </c>
      <c r="CN161" s="21">
        <f t="shared" si="1318"/>
        <v>11.696150024991162</v>
      </c>
      <c r="CO161" s="21">
        <f t="shared" si="1318"/>
        <v>38.502560477219284</v>
      </c>
      <c r="CP161" s="21">
        <f t="shared" si="1318"/>
        <v>92.319968161393831</v>
      </c>
      <c r="CQ161" s="21">
        <f t="shared" si="1318"/>
        <v>84.170701611932429</v>
      </c>
      <c r="CR161" s="21">
        <f t="shared" si="1318"/>
        <v>4.6526258013651045</v>
      </c>
      <c r="CS161" s="21">
        <f t="shared" si="1318"/>
        <v>44.006562063716103</v>
      </c>
      <c r="CT161" s="21">
        <f t="shared" si="1318"/>
        <v>116.79885827684494</v>
      </c>
      <c r="CU161" s="21">
        <f t="shared" si="1318"/>
        <v>105.12351066537499</v>
      </c>
      <c r="CV161" s="21">
        <f t="shared" si="1318"/>
        <v>-4.2343277630405964</v>
      </c>
      <c r="CW161" s="21">
        <f t="shared" si="1318"/>
        <v>50.106514432004786</v>
      </c>
      <c r="CX161" s="21">
        <f t="shared" si="1318"/>
        <v>149.39444630356013</v>
      </c>
      <c r="CY161" s="21">
        <f t="shared" si="1318"/>
        <v>133.20500613413381</v>
      </c>
      <c r="CZ161" s="21">
        <f t="shared" si="1318"/>
        <v>-16.639166457048162</v>
      </c>
      <c r="DA161" s="21">
        <f t="shared" si="1318"/>
        <v>57.753213910377866</v>
      </c>
      <c r="DB161" s="21">
        <f t="shared" si="1318"/>
        <v>193.50981792941835</v>
      </c>
      <c r="DE161" s="126"/>
      <c r="DF161" s="22">
        <v>105.62275310963444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2.4799999999999999E-2</v>
      </c>
      <c r="X163" s="23">
        <f>-'Annual Raw'!Y49</f>
        <v>3.2599999999999997E-2</v>
      </c>
      <c r="Y163" s="23">
        <f>-'Annual Raw'!Z49</f>
        <v>7.5999999999999998E-2</v>
      </c>
      <c r="Z163" s="23">
        <f>-'Annual Raw'!AA49</f>
        <v>0.12230000000000001</v>
      </c>
      <c r="AA163" s="23">
        <f>-'Annual Raw'!AB49</f>
        <v>0.2225</v>
      </c>
      <c r="AB163" s="24">
        <f t="shared" ref="AB163:AB164" si="1320">+CP163</f>
        <v>0.222</v>
      </c>
      <c r="AC163" s="24">
        <f t="shared" ref="AC163:AC164" si="1321">+CT163</f>
        <v>0.222</v>
      </c>
      <c r="AD163" s="24">
        <f t="shared" ref="AD163:AD164" si="1322">+CX163</f>
        <v>0.222</v>
      </c>
      <c r="AE163" s="24">
        <f t="shared" ref="AE163:AE164" si="1323">+DB163</f>
        <v>0.222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2.5000000000000001E-2</v>
      </c>
      <c r="BW163" s="23">
        <f t="shared" si="1324"/>
        <v>2.5000000000000001E-2</v>
      </c>
      <c r="BX163" s="23">
        <f>+'QTR Raw'!AR96</f>
        <v>0</v>
      </c>
      <c r="BY163" s="23">
        <f t="shared" si="1324"/>
        <v>0</v>
      </c>
      <c r="BZ163" s="23">
        <f>+'QTR Raw'!AT96</f>
        <v>3.3000000000000002E-2</v>
      </c>
      <c r="CA163" s="23">
        <f t="shared" si="1324"/>
        <v>3.3000000000000002E-2</v>
      </c>
      <c r="CB163" s="23">
        <f>+'QTR Raw'!AV96</f>
        <v>-5.0000000000000001E-3</v>
      </c>
      <c r="CC163" s="23">
        <f t="shared" si="1324"/>
        <v>-5.0000000000000001E-3</v>
      </c>
      <c r="CD163" s="23">
        <f>+'QTR Raw'!AX96</f>
        <v>7.5999999999999998E-2</v>
      </c>
      <c r="CE163" s="23">
        <f t="shared" si="1324"/>
        <v>7.5999999999999998E-2</v>
      </c>
      <c r="CF163" s="23">
        <f>+'QTR Raw'!AZ96</f>
        <v>8.1000000000000003E-2</v>
      </c>
      <c r="CG163" s="23">
        <f t="shared" ref="CG163:CI164" si="1325">+CF163</f>
        <v>8.1000000000000003E-2</v>
      </c>
      <c r="CH163" s="23">
        <f t="shared" ref="CH163:CH164" si="1326">Z163</f>
        <v>0.12230000000000001</v>
      </c>
      <c r="CI163" s="23">
        <f t="shared" si="1325"/>
        <v>0.12230000000000001</v>
      </c>
      <c r="CJ163" s="23">
        <f>+'QTR Raw'!BD96</f>
        <v>0.18</v>
      </c>
      <c r="CK163" s="24">
        <f t="shared" ref="CK163:CK164" si="1327">+CJ163</f>
        <v>0.18</v>
      </c>
      <c r="CL163" s="23">
        <f>+'QTR Raw'!BF96</f>
        <v>0.222</v>
      </c>
      <c r="CM163" s="24">
        <f t="shared" ref="CM163:CM164" si="1328">+CL163</f>
        <v>0.222</v>
      </c>
      <c r="CN163" s="24">
        <f t="shared" ref="CN163:CN164" si="1329">+CM163</f>
        <v>0.222</v>
      </c>
      <c r="CO163" s="24">
        <f t="shared" ref="CO163:CO164" si="1330">+CN163</f>
        <v>0.222</v>
      </c>
      <c r="CP163" s="24">
        <f t="shared" ref="CP163:CP164" si="1331">+CO163</f>
        <v>0.222</v>
      </c>
      <c r="CQ163" s="24">
        <f t="shared" ref="CQ163:CQ164" si="1332">+CP163</f>
        <v>0.222</v>
      </c>
      <c r="CR163" s="24">
        <f t="shared" ref="CR163:CR164" si="1333">+CQ163</f>
        <v>0.222</v>
      </c>
      <c r="CS163" s="24">
        <f t="shared" ref="CS163:CS164" si="1334">+CR163</f>
        <v>0.222</v>
      </c>
      <c r="CT163" s="24">
        <f t="shared" ref="CT163:CT164" si="1335">+CS163</f>
        <v>0.222</v>
      </c>
      <c r="CU163" s="24">
        <f t="shared" ref="CU163:CU164" si="1336">+CT163</f>
        <v>0.222</v>
      </c>
      <c r="CV163" s="24">
        <f t="shared" ref="CV163:CV164" si="1337">+CU163</f>
        <v>0.222</v>
      </c>
      <c r="CW163" s="24">
        <f t="shared" ref="CW163:CW164" si="1338">+CV163</f>
        <v>0.222</v>
      </c>
      <c r="CX163" s="24">
        <f t="shared" ref="CX163:CX164" si="1339">+CW163</f>
        <v>0.222</v>
      </c>
      <c r="CY163" s="24">
        <f t="shared" ref="CY163:CY164" si="1340">+CX163</f>
        <v>0.222</v>
      </c>
      <c r="CZ163" s="24">
        <f t="shared" ref="CZ163:CZ164" si="1341">+CY163</f>
        <v>0.222</v>
      </c>
      <c r="DA163" s="24">
        <f t="shared" ref="DA163:DA164" si="1342">+CZ163</f>
        <v>0.222</v>
      </c>
      <c r="DB163" s="24">
        <f t="shared" ref="DB163:DB164" si="1343">+DA163</f>
        <v>0.222</v>
      </c>
      <c r="DE163" s="123"/>
      <c r="DF163" s="23">
        <v>0.18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0</v>
      </c>
      <c r="K165" s="26">
        <f t="shared" si="1345"/>
        <v>0</v>
      </c>
      <c r="L165" s="26">
        <f t="shared" si="1345"/>
        <v>0</v>
      </c>
      <c r="M165" s="26">
        <f t="shared" si="1345"/>
        <v>0</v>
      </c>
      <c r="N165" s="26">
        <f t="shared" si="1345"/>
        <v>0</v>
      </c>
      <c r="O165" s="26">
        <f t="shared" si="1345"/>
        <v>0</v>
      </c>
      <c r="P165" s="26">
        <f t="shared" si="1345"/>
        <v>0</v>
      </c>
      <c r="Q165" s="26">
        <f t="shared" si="1345"/>
        <v>0</v>
      </c>
      <c r="R165" s="26">
        <f t="shared" si="1345"/>
        <v>0</v>
      </c>
      <c r="S165" s="26">
        <f t="shared" si="1345"/>
        <v>0</v>
      </c>
      <c r="T165" s="26">
        <f t="shared" si="1345"/>
        <v>0</v>
      </c>
      <c r="U165" s="26">
        <f t="shared" si="1345"/>
        <v>1.6399999999999998E-2</v>
      </c>
      <c r="V165" s="26">
        <f t="shared" si="1345"/>
        <v>1.9799999999999998E-2</v>
      </c>
      <c r="W165" s="26">
        <f t="shared" si="1345"/>
        <v>6.4325999999999999</v>
      </c>
      <c r="X165" s="26">
        <f t="shared" ref="X165:Y165" si="1346">X163+X161+X157+X140+X138+X164</f>
        <v>21.437799999999999</v>
      </c>
      <c r="Y165" s="26">
        <f t="shared" si="1346"/>
        <v>30.772599999999997</v>
      </c>
      <c r="Z165" s="26">
        <f t="shared" ref="Z165:AA165" si="1347">Z163+Z161+Z157+Z140+Z138+Z164</f>
        <v>99.68610000000001</v>
      </c>
      <c r="AA165" s="26">
        <f t="shared" si="1347"/>
        <v>141.90389999999999</v>
      </c>
      <c r="AB165" s="27">
        <f t="shared" ref="AA165:AD165" si="1348">AB163+AB161+AB157+AB140+AB138+AB164</f>
        <v>180.17492199868406</v>
      </c>
      <c r="AC165" s="27">
        <f t="shared" si="1348"/>
        <v>234.74816447831435</v>
      </c>
      <c r="AD165" s="27">
        <f t="shared" si="1348"/>
        <v>310.00574970191286</v>
      </c>
      <c r="AE165" s="27">
        <f t="shared" ref="AE165" si="1349">AE163+AE161+AE157+AE140+AE138+AE164</f>
        <v>413.00263034627363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0</v>
      </c>
      <c r="BO165" s="26" t="e">
        <f t="shared" si="1353"/>
        <v>#DIV/0!</v>
      </c>
      <c r="BP165" s="26">
        <f t="shared" si="1353"/>
        <v>0</v>
      </c>
      <c r="BQ165" s="26" t="e">
        <f t="shared" si="1353"/>
        <v>#DIV/0!</v>
      </c>
      <c r="BR165" s="26">
        <f t="shared" si="1353"/>
        <v>0</v>
      </c>
      <c r="BS165" s="26" t="e">
        <f t="shared" si="1353"/>
        <v>#DIV/0!</v>
      </c>
      <c r="BT165" s="26">
        <f t="shared" si="1353"/>
        <v>0</v>
      </c>
      <c r="BU165" s="26" t="e">
        <f t="shared" si="1353"/>
        <v>#DIV/0!</v>
      </c>
      <c r="BV165" s="26">
        <f t="shared" si="1353"/>
        <v>6.4329999999999998</v>
      </c>
      <c r="BW165" s="26">
        <f t="shared" si="1353"/>
        <v>7.3520000000000003</v>
      </c>
      <c r="BX165" s="26">
        <f t="shared" si="1353"/>
        <v>0</v>
      </c>
      <c r="BY165" s="26">
        <f t="shared" si="1353"/>
        <v>1.175999999999999</v>
      </c>
      <c r="BZ165" s="26">
        <f t="shared" si="1353"/>
        <v>21.437999999999999</v>
      </c>
      <c r="CA165" s="26">
        <f t="shared" si="1353"/>
        <v>22.712999999999997</v>
      </c>
      <c r="CB165" s="26">
        <f t="shared" si="1353"/>
        <v>23.532999999999998</v>
      </c>
      <c r="CC165" s="26">
        <f t="shared" si="1353"/>
        <v>26.690999999999995</v>
      </c>
      <c r="CD165" s="26">
        <f t="shared" si="1353"/>
        <v>30.771000000000004</v>
      </c>
      <c r="CE165" s="26">
        <f t="shared" si="1353"/>
        <v>41.229000000000006</v>
      </c>
      <c r="CF165" s="26">
        <f t="shared" ref="CF165:CG165" si="1355">CF163+CF161+CF157+CF140+CF138+CF164</f>
        <v>88.77</v>
      </c>
      <c r="CG165" s="26">
        <f t="shared" si="1355"/>
        <v>97.915999999999997</v>
      </c>
      <c r="CH165" s="26">
        <f t="shared" ref="CH165:CI165" si="1356">CH163+CH161+CH157+CH140+CH138+CH164</f>
        <v>99.68610000000001</v>
      </c>
      <c r="CI165" s="26">
        <f t="shared" si="1356"/>
        <v>104.99910000000001</v>
      </c>
      <c r="CJ165" s="26">
        <f t="shared" ref="CJ165:DB165" si="1357">CJ163+CJ161+CJ157+CJ140+CJ138+CJ164</f>
        <v>126.154</v>
      </c>
      <c r="CK165" s="27">
        <f t="shared" si="1357"/>
        <v>136.75500000000002</v>
      </c>
      <c r="CL165" s="26">
        <f t="shared" ref="CL165" si="1358">CL163+CL161+CL157+CL140+CL138+CL164</f>
        <v>141.905</v>
      </c>
      <c r="CM165" s="27">
        <f t="shared" si="1357"/>
        <v>148.32555882629126</v>
      </c>
      <c r="CN165" s="27">
        <f t="shared" si="1357"/>
        <v>161.51501882384443</v>
      </c>
      <c r="CO165" s="27">
        <f t="shared" si="1357"/>
        <v>172.85854573305699</v>
      </c>
      <c r="CP165" s="27">
        <f t="shared" si="1357"/>
        <v>180.17492199868406</v>
      </c>
      <c r="CQ165" s="27">
        <f t="shared" si="1357"/>
        <v>189.88265123009555</v>
      </c>
      <c r="CR165" s="27">
        <f t="shared" si="1357"/>
        <v>208.41040325830949</v>
      </c>
      <c r="CS165" s="27">
        <f t="shared" si="1357"/>
        <v>224.16964770900165</v>
      </c>
      <c r="CT165" s="27">
        <f t="shared" si="1357"/>
        <v>234.74816447831435</v>
      </c>
      <c r="CU165" s="27">
        <f t="shared" si="1357"/>
        <v>248.26814456425785</v>
      </c>
      <c r="CV165" s="27">
        <f t="shared" si="1357"/>
        <v>273.73719553338464</v>
      </c>
      <c r="CW165" s="27">
        <f t="shared" si="1357"/>
        <v>295.40880496321557</v>
      </c>
      <c r="CX165" s="27">
        <f t="shared" si="1357"/>
        <v>310.00574970191286</v>
      </c>
      <c r="CY165" s="27">
        <f t="shared" si="1357"/>
        <v>328.53261760952904</v>
      </c>
      <c r="CZ165" s="27">
        <f t="shared" si="1357"/>
        <v>363.38855180817734</v>
      </c>
      <c r="DA165" s="27">
        <f t="shared" si="1357"/>
        <v>393.04476064014375</v>
      </c>
      <c r="DB165" s="27">
        <f t="shared" si="1357"/>
        <v>413.00263034627363</v>
      </c>
      <c r="DE165" s="121"/>
      <c r="DF165" s="26">
        <v>143.49047941676292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9.9999999997635314E-4</v>
      </c>
      <c r="AC166" s="24">
        <f t="shared" si="1362"/>
        <v>9.9999999994793143E-4</v>
      </c>
      <c r="AD166" s="24">
        <f t="shared" si="1362"/>
        <v>9.9999999991950972E-4</v>
      </c>
      <c r="AE166" s="24">
        <f t="shared" ref="AE166" si="1363">AE165-AE129</f>
        <v>9.999999998626663E-4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 t="e">
        <f t="shared" si="1368"/>
        <v>#DIV/0!</v>
      </c>
      <c r="BP166" s="23">
        <f t="shared" si="1368"/>
        <v>0</v>
      </c>
      <c r="BQ166" s="23" t="e">
        <f t="shared" si="1368"/>
        <v>#DIV/0!</v>
      </c>
      <c r="BR166" s="23">
        <f t="shared" si="1368"/>
        <v>0</v>
      </c>
      <c r="BS166" s="23" t="e">
        <f t="shared" si="1368"/>
        <v>#DIV/0!</v>
      </c>
      <c r="BT166" s="23">
        <f t="shared" si="1368"/>
        <v>0</v>
      </c>
      <c r="BU166" s="23" t="e">
        <f t="shared" si="1368"/>
        <v>#DIV/0!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-9.9999999999766942E-4</v>
      </c>
      <c r="CE166" s="23">
        <f t="shared" si="1368"/>
        <v>-9.9999999999766942E-4</v>
      </c>
      <c r="CF166" s="23">
        <f t="shared" ref="CF166:CG166" si="1370">CF165-CF129</f>
        <v>9.9999999999056399E-4</v>
      </c>
      <c r="CG166" s="23">
        <f t="shared" si="1370"/>
        <v>9.9999999999056399E-4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-1.0000000000047748E-3</v>
      </c>
      <c r="CK166" s="24">
        <f t="shared" si="1372"/>
        <v>-9.9999999997635314E-4</v>
      </c>
      <c r="CL166" s="23">
        <f t="shared" ref="CL166" si="1373">CL165-CL129</f>
        <v>1.0000000000047748E-3</v>
      </c>
      <c r="CM166" s="24">
        <f t="shared" si="1372"/>
        <v>9.9999999997635314E-4</v>
      </c>
      <c r="CN166" s="24">
        <f t="shared" si="1372"/>
        <v>9.9999999994793143E-4</v>
      </c>
      <c r="CO166" s="24">
        <f t="shared" si="1372"/>
        <v>9.9999999997635314E-4</v>
      </c>
      <c r="CP166" s="24">
        <f t="shared" si="1372"/>
        <v>9.9999999997635314E-4</v>
      </c>
      <c r="CQ166" s="24">
        <f t="shared" si="1372"/>
        <v>9.9999999997635314E-4</v>
      </c>
      <c r="CR166" s="24">
        <f t="shared" si="1372"/>
        <v>9.9999999997635314E-4</v>
      </c>
      <c r="CS166" s="24">
        <f t="shared" si="1372"/>
        <v>9.9999999997635314E-4</v>
      </c>
      <c r="CT166" s="24">
        <f t="shared" si="1372"/>
        <v>9.9999999994793143E-4</v>
      </c>
      <c r="CU166" s="24">
        <f t="shared" si="1372"/>
        <v>9.9999999991950972E-4</v>
      </c>
      <c r="CV166" s="24">
        <f t="shared" si="1372"/>
        <v>9.9999999997635314E-4</v>
      </c>
      <c r="CW166" s="24">
        <f t="shared" si="1372"/>
        <v>9.9999999991950972E-4</v>
      </c>
      <c r="CX166" s="24">
        <f t="shared" si="1372"/>
        <v>9.9999999991950972E-4</v>
      </c>
      <c r="CY166" s="24">
        <f t="shared" si="1372"/>
        <v>9.999999998626663E-4</v>
      </c>
      <c r="CZ166" s="24">
        <f t="shared" si="1372"/>
        <v>9.999999998626663E-4</v>
      </c>
      <c r="DA166" s="24">
        <f t="shared" si="1372"/>
        <v>9.999999998626663E-4</v>
      </c>
      <c r="DB166" s="24">
        <f t="shared" si="1372"/>
        <v>9.999999998626663E-4</v>
      </c>
      <c r="DE166" s="123"/>
      <c r="DF166" s="23">
        <v>-9.9999999997635314E-4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0</v>
      </c>
      <c r="K168" s="22">
        <f t="shared" si="1374"/>
        <v>0</v>
      </c>
      <c r="L168" s="22">
        <f t="shared" si="1374"/>
        <v>0</v>
      </c>
      <c r="M168" s="22">
        <f t="shared" si="1374"/>
        <v>0</v>
      </c>
      <c r="N168" s="22">
        <f t="shared" si="1374"/>
        <v>0</v>
      </c>
      <c r="O168" s="22">
        <f t="shared" si="1374"/>
        <v>0</v>
      </c>
      <c r="P168" s="22">
        <f t="shared" si="1374"/>
        <v>0</v>
      </c>
      <c r="Q168" s="22">
        <f t="shared" si="1374"/>
        <v>0</v>
      </c>
      <c r="R168" s="22">
        <f t="shared" si="1374"/>
        <v>0</v>
      </c>
      <c r="S168" s="22">
        <f t="shared" si="1374"/>
        <v>0</v>
      </c>
      <c r="T168" s="22">
        <f t="shared" si="1374"/>
        <v>0</v>
      </c>
      <c r="U168" s="22">
        <f t="shared" si="1374"/>
        <v>-1.72E-2</v>
      </c>
      <c r="V168" s="22">
        <f t="shared" si="1374"/>
        <v>-1.5300000000000001E-2</v>
      </c>
      <c r="W168" s="22">
        <f t="shared" si="1374"/>
        <v>4.6873000000000005</v>
      </c>
      <c r="X168" s="22">
        <f t="shared" ref="X168:Y168" si="1375">X128-X161</f>
        <v>-10.4824</v>
      </c>
      <c r="Y168" s="22">
        <f t="shared" si="1375"/>
        <v>0.93390000000000006</v>
      </c>
      <c r="Z168" s="22">
        <f t="shared" ref="Z168:AA168" si="1376">Z128-Z161</f>
        <v>-54.129600000000003</v>
      </c>
      <c r="AA168" s="22">
        <f t="shared" si="1376"/>
        <v>-72.751900000000006</v>
      </c>
      <c r="AB168" s="21">
        <f t="shared" ref="AA168:AD168" si="1377">AB128-AB161</f>
        <v>-92.319968161393831</v>
      </c>
      <c r="AC168" s="21">
        <f t="shared" si="1377"/>
        <v>-116.79885827684494</v>
      </c>
      <c r="AD168" s="21">
        <f t="shared" si="1377"/>
        <v>-149.39444630356013</v>
      </c>
      <c r="AE168" s="21">
        <f t="shared" ref="AE168" si="1378">AE128-AE161</f>
        <v>-193.50981792941835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0</v>
      </c>
      <c r="BO168" s="22" t="e">
        <f t="shared" si="1381"/>
        <v>#DIV/0!</v>
      </c>
      <c r="BP168" s="22">
        <f t="shared" si="1381"/>
        <v>0</v>
      </c>
      <c r="BQ168" s="22" t="e">
        <f t="shared" si="1381"/>
        <v>#DIV/0!</v>
      </c>
      <c r="BR168" s="22">
        <f t="shared" si="1381"/>
        <v>0</v>
      </c>
      <c r="BS168" s="22" t="e">
        <f t="shared" si="1381"/>
        <v>#DIV/0!</v>
      </c>
      <c r="BT168" s="22">
        <f t="shared" si="1381"/>
        <v>0</v>
      </c>
      <c r="BU168" s="22" t="e">
        <f t="shared" si="1381"/>
        <v>#DIV/0!</v>
      </c>
      <c r="BV168" s="22">
        <f t="shared" si="1381"/>
        <v>4.6869999999999994</v>
      </c>
      <c r="BW168" s="22">
        <f t="shared" si="1381"/>
        <v>4.5063676595744679</v>
      </c>
      <c r="BX168" s="22">
        <f t="shared" si="1381"/>
        <v>0</v>
      </c>
      <c r="BY168" s="22">
        <f t="shared" si="1381"/>
        <v>-1.175999999999999</v>
      </c>
      <c r="BZ168" s="22">
        <f t="shared" si="1381"/>
        <v>-10.481999999999999</v>
      </c>
      <c r="CA168" s="22">
        <f t="shared" si="1381"/>
        <v>-12.481857545839212</v>
      </c>
      <c r="CB168" s="22">
        <f t="shared" si="1381"/>
        <v>-14.275</v>
      </c>
      <c r="CC168" s="22">
        <f t="shared" si="1381"/>
        <v>-11.446991479903687</v>
      </c>
      <c r="CD168" s="22">
        <f t="shared" si="1381"/>
        <v>0.93300000000000016</v>
      </c>
      <c r="CE168" s="22">
        <f t="shared" si="1381"/>
        <v>44.811163156526241</v>
      </c>
      <c r="CF168" s="22">
        <f t="shared" ref="CF168:CG168" si="1382">CF128-CF161</f>
        <v>-50.792000000000002</v>
      </c>
      <c r="CG168" s="22">
        <f t="shared" si="1382"/>
        <v>-38.640008801359436</v>
      </c>
      <c r="CH168" s="22">
        <f t="shared" ref="CH168:CI168" si="1383">CH128-CH161</f>
        <v>-54.129600000000003</v>
      </c>
      <c r="CI168" s="22">
        <f t="shared" si="1383"/>
        <v>-51.440113598095827</v>
      </c>
      <c r="CJ168" s="22">
        <f t="shared" ref="CJ168:DB168" si="1384">CJ128-CJ161</f>
        <v>-68.960999999999999</v>
      </c>
      <c r="CK168" s="21">
        <f t="shared" si="1384"/>
        <v>-80.425541508784036</v>
      </c>
      <c r="CL168" s="22">
        <f t="shared" ref="CL168" si="1385">CL128-CL161</f>
        <v>-72.751999999999995</v>
      </c>
      <c r="CM168" s="21">
        <f t="shared" si="1384"/>
        <v>-67.68854062850717</v>
      </c>
      <c r="CN168" s="21">
        <f t="shared" si="1384"/>
        <v>-11.696150024991162</v>
      </c>
      <c r="CO168" s="21">
        <f t="shared" si="1384"/>
        <v>-38.502560477219284</v>
      </c>
      <c r="CP168" s="21">
        <f t="shared" si="1384"/>
        <v>-92.319968161393831</v>
      </c>
      <c r="CQ168" s="21">
        <f t="shared" si="1384"/>
        <v>-84.170701611932429</v>
      </c>
      <c r="CR168" s="21">
        <f t="shared" si="1384"/>
        <v>-4.6526258013651045</v>
      </c>
      <c r="CS168" s="21">
        <f t="shared" si="1384"/>
        <v>-44.006562063716103</v>
      </c>
      <c r="CT168" s="21">
        <f t="shared" si="1384"/>
        <v>-116.79885827684494</v>
      </c>
      <c r="CU168" s="21">
        <f t="shared" si="1384"/>
        <v>-105.12351066537499</v>
      </c>
      <c r="CV168" s="21">
        <f t="shared" si="1384"/>
        <v>4.2343277630405964</v>
      </c>
      <c r="CW168" s="21">
        <f t="shared" si="1384"/>
        <v>-50.106514432004786</v>
      </c>
      <c r="CX168" s="21">
        <f t="shared" si="1384"/>
        <v>-149.39444630356013</v>
      </c>
      <c r="CY168" s="21">
        <f t="shared" si="1384"/>
        <v>-133.20500613413381</v>
      </c>
      <c r="CZ168" s="21">
        <f t="shared" si="1384"/>
        <v>16.639166457048162</v>
      </c>
      <c r="DA168" s="21">
        <f t="shared" si="1384"/>
        <v>-57.753213910377866</v>
      </c>
      <c r="DB168" s="21">
        <f t="shared" si="1384"/>
        <v>-193.50981792941835</v>
      </c>
      <c r="DE168" s="126"/>
      <c r="DF168" s="22">
        <v>-105.62275310963444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 t="e">
        <f t="shared" si="1392"/>
        <v>#DIV/0!</v>
      </c>
      <c r="K175" s="95" t="e">
        <f t="shared" si="1392"/>
        <v>#DIV/0!</v>
      </c>
      <c r="L175" s="95" t="e">
        <f t="shared" si="1392"/>
        <v>#DIV/0!</v>
      </c>
      <c r="M175" s="95" t="e">
        <f t="shared" si="1392"/>
        <v>#DIV/0!</v>
      </c>
      <c r="N175" s="95" t="e">
        <f t="shared" si="1392"/>
        <v>#DIV/0!</v>
      </c>
      <c r="O175" s="95" t="e">
        <f t="shared" si="1392"/>
        <v>#DIV/0!</v>
      </c>
      <c r="P175" s="95" t="e">
        <f t="shared" si="1392"/>
        <v>#DIV/0!</v>
      </c>
      <c r="Q175" s="95" t="e">
        <f t="shared" si="1392"/>
        <v>#DIV/0!</v>
      </c>
      <c r="R175" s="95" t="e">
        <f t="shared" si="1392"/>
        <v>#DIV/0!</v>
      </c>
      <c r="S175" s="95" t="e">
        <f t="shared" si="1392"/>
        <v>#DIV/0!</v>
      </c>
      <c r="T175" s="95" t="e">
        <f t="shared" si="1392"/>
        <v>#DIV/0!</v>
      </c>
      <c r="U175" s="95">
        <f t="shared" si="1392"/>
        <v>0</v>
      </c>
      <c r="V175" s="95">
        <f t="shared" si="1392"/>
        <v>0</v>
      </c>
      <c r="W175" s="95">
        <f t="shared" si="1392"/>
        <v>0</v>
      </c>
      <c r="X175" s="95">
        <f t="shared" ref="X175:Y175" si="1393">X170/X120</f>
        <v>0</v>
      </c>
      <c r="Y175" s="95">
        <f t="shared" si="1393"/>
        <v>0</v>
      </c>
      <c r="Z175" s="95">
        <f t="shared" ref="Z175:AA175" si="1394">Z170/Z120</f>
        <v>0</v>
      </c>
      <c r="AA175" s="95">
        <f t="shared" si="1394"/>
        <v>0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 t="e">
        <f t="shared" si="1397"/>
        <v>#DIV/0!</v>
      </c>
      <c r="O179" s="67" t="e">
        <f t="shared" si="1397"/>
        <v>#DIV/0!</v>
      </c>
      <c r="P179" s="67" t="e">
        <f t="shared" si="1397"/>
        <v>#DIV/0!</v>
      </c>
      <c r="Q179" s="67" t="e">
        <f t="shared" si="1397"/>
        <v>#DIV/0!</v>
      </c>
      <c r="R179" s="67" t="e">
        <f t="shared" si="1397"/>
        <v>#DIV/0!</v>
      </c>
      <c r="S179" s="67" t="e">
        <f t="shared" si="1397"/>
        <v>#DIV/0!</v>
      </c>
      <c r="T179" s="67" t="e">
        <f t="shared" si="1397"/>
        <v>#DIV/0!</v>
      </c>
      <c r="U179" s="67" t="e">
        <f t="shared" si="1397"/>
        <v>#DIV/0!</v>
      </c>
      <c r="V179" s="67">
        <f t="shared" si="1397"/>
        <v>0</v>
      </c>
      <c r="W179" s="67">
        <f t="shared" si="1397"/>
        <v>419.12346572828449</v>
      </c>
      <c r="X179" s="67">
        <f t="shared" si="1397"/>
        <v>133.02305953908822</v>
      </c>
      <c r="Y179" s="67">
        <f t="shared" si="1397"/>
        <v>232.01008129179914</v>
      </c>
      <c r="Z179" s="67">
        <f t="shared" si="1397"/>
        <v>91.820662843644513</v>
      </c>
      <c r="AA179" s="67">
        <f t="shared" ref="AA179" si="1398">AA144/AA8*365</f>
        <v>117.86042500271083</v>
      </c>
      <c r="AB179" s="18">
        <f t="shared" si="1397"/>
        <v>115.9236655075515</v>
      </c>
      <c r="AC179" s="18">
        <f t="shared" si="1397"/>
        <v>115.58010664481743</v>
      </c>
      <c r="AD179" s="18">
        <f t="shared" si="1397"/>
        <v>115.54550365527717</v>
      </c>
      <c r="AE179" s="18">
        <f t="shared" si="1397"/>
        <v>115.54602719588385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 t="e">
        <f>BN144/BN8*90</f>
        <v>#DIV/0!</v>
      </c>
      <c r="BO179" s="67" t="e">
        <f t="shared" ref="BO179:BO180" si="1414">+BN179</f>
        <v>#DIV/0!</v>
      </c>
      <c r="BP179" s="67" t="e">
        <f>BP144/BP8*90</f>
        <v>#DIV/0!</v>
      </c>
      <c r="BQ179" s="67" t="e">
        <f t="shared" ref="BQ179:BQ180" si="1415">+BP179</f>
        <v>#DIV/0!</v>
      </c>
      <c r="BR179" s="67" t="e">
        <f>BR144/BR8*90</f>
        <v>#DIV/0!</v>
      </c>
      <c r="BS179" s="67" t="e">
        <f t="shared" ref="BS179:BS180" si="1416">+BR179</f>
        <v>#DIV/0!</v>
      </c>
      <c r="BT179" s="67" t="e">
        <f>BT144/BT8*90</f>
        <v>#DIV/0!</v>
      </c>
      <c r="BU179" s="67" t="e">
        <f t="shared" ref="BU179:BU180" si="1417">+BT179</f>
        <v>#DIV/0!</v>
      </c>
      <c r="BV179" s="67">
        <f>BV144/BV8*90</f>
        <v>130.59574468085106</v>
      </c>
      <c r="BW179" s="67">
        <f t="shared" ref="BW179:BW180" si="1418">+BV179</f>
        <v>130.59574468085106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132.65162200282086</v>
      </c>
      <c r="CA179" s="67">
        <f t="shared" ref="CA179:CA180" si="1420">+BZ179</f>
        <v>132.65162200282086</v>
      </c>
      <c r="CB179" s="67">
        <f>CB144/CB8*90</f>
        <v>90.058344137803289</v>
      </c>
      <c r="CC179" s="67">
        <f t="shared" ref="CC179:CC180" si="1421">+CB179</f>
        <v>90.058344137803289</v>
      </c>
      <c r="CD179" s="67">
        <f>CD144/CD8*90</f>
        <v>187.82761310452418</v>
      </c>
      <c r="CE179" s="67">
        <f t="shared" si="1399"/>
        <v>187.82761310452418</v>
      </c>
      <c r="CF179" s="67">
        <f>CF144/CF8*90</f>
        <v>81.388610518060219</v>
      </c>
      <c r="CG179" s="67">
        <f t="shared" ref="CG179:CI180" si="1422">+CF179</f>
        <v>81.388610518060219</v>
      </c>
      <c r="CH179" s="67">
        <f>CH144/CH8*90</f>
        <v>126.06466258209547</v>
      </c>
      <c r="CI179" s="67">
        <f t="shared" si="1422"/>
        <v>126.06466258209547</v>
      </c>
      <c r="CJ179" s="67">
        <f>CJ144/CJ8*90</f>
        <v>97.363072683430929</v>
      </c>
      <c r="CK179" s="30">
        <f t="shared" ref="CK179:CK180" si="1423">+CJ179</f>
        <v>97.363072683430929</v>
      </c>
      <c r="CL179" s="67">
        <f>CL144/CL8*90</f>
        <v>146.74620610403218</v>
      </c>
      <c r="CM179" s="30">
        <f t="shared" ref="CM179:CM180" si="1424">+CL179</f>
        <v>146.74620610403218</v>
      </c>
      <c r="CN179" s="30">
        <f t="shared" ref="CN179:CN180" si="1425">+CM179</f>
        <v>146.74620610403218</v>
      </c>
      <c r="CO179" s="30">
        <f t="shared" ref="CO179:CO180" si="1426">+CN179</f>
        <v>146.74620610403218</v>
      </c>
      <c r="CP179" s="30">
        <f t="shared" ref="CP179:CP180" si="1427">+CO179</f>
        <v>146.74620610403218</v>
      </c>
      <c r="CQ179" s="30">
        <f t="shared" ref="CQ179:CQ180" si="1428">+CP179</f>
        <v>146.74620610403218</v>
      </c>
      <c r="CR179" s="30">
        <f t="shared" ref="CR179:CR180" si="1429">+CQ179</f>
        <v>146.74620610403218</v>
      </c>
      <c r="CS179" s="30">
        <f t="shared" ref="CS179:CS180" si="1430">+CR179</f>
        <v>146.74620610403218</v>
      </c>
      <c r="CT179" s="30">
        <f t="shared" ref="CT179:CT180" si="1431">+CS179</f>
        <v>146.74620610403218</v>
      </c>
      <c r="CU179" s="30">
        <f t="shared" ref="CU179:CU180" si="1432">+CT179</f>
        <v>146.74620610403218</v>
      </c>
      <c r="CV179" s="30">
        <f t="shared" ref="CV179:CV180" si="1433">+CU179</f>
        <v>146.74620610403218</v>
      </c>
      <c r="CW179" s="30">
        <f t="shared" ref="CW179:CW180" si="1434">+CV179</f>
        <v>146.74620610403218</v>
      </c>
      <c r="CX179" s="30">
        <f t="shared" ref="CX179:CX180" si="1435">+CW179</f>
        <v>146.74620610403218</v>
      </c>
      <c r="CY179" s="30">
        <f t="shared" ref="CY179:CY180" si="1436">+CX179</f>
        <v>146.74620610403218</v>
      </c>
      <c r="CZ179" s="30">
        <f t="shared" ref="CZ179:CZ180" si="1437">+CY179</f>
        <v>146.74620610403218</v>
      </c>
      <c r="DA179" s="30">
        <f t="shared" ref="DA179:DA180" si="1438">+CZ179</f>
        <v>146.74620610403218</v>
      </c>
      <c r="DB179" s="30">
        <f t="shared" ref="DB179:DB180" si="1439">+DA179</f>
        <v>146.74620610403218</v>
      </c>
      <c r="DE179" s="139"/>
      <c r="DF179" s="62">
        <v>97.363072683430929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 t="e">
        <f t="shared" si="1440"/>
        <v>#DIV/0!</v>
      </c>
      <c r="O180" s="67" t="e">
        <f t="shared" si="1440"/>
        <v>#DIV/0!</v>
      </c>
      <c r="P180" s="67" t="e">
        <f t="shared" si="1440"/>
        <v>#DIV/0!</v>
      </c>
      <c r="Q180" s="67" t="e">
        <f t="shared" si="1440"/>
        <v>#DIV/0!</v>
      </c>
      <c r="R180" s="67" t="e">
        <f t="shared" si="1440"/>
        <v>#DIV/0!</v>
      </c>
      <c r="S180" s="67" t="e">
        <f t="shared" si="1440"/>
        <v>#DIV/0!</v>
      </c>
      <c r="T180" s="67" t="e">
        <f t="shared" si="1440"/>
        <v>#DIV/0!</v>
      </c>
      <c r="U180" s="67" t="e">
        <f t="shared" si="1440"/>
        <v>#DIV/0!</v>
      </c>
      <c r="V180" s="67">
        <f t="shared" si="1440"/>
        <v>365</v>
      </c>
      <c r="W180" s="67">
        <f t="shared" si="1440"/>
        <v>0.42403987001835225</v>
      </c>
      <c r="X180" s="67">
        <f t="shared" si="1440"/>
        <v>0.35133363093577363</v>
      </c>
      <c r="Y180" s="67">
        <f t="shared" si="1440"/>
        <v>13.602210677616444</v>
      </c>
      <c r="Z180" s="67">
        <f t="shared" si="1440"/>
        <v>40.021235347016841</v>
      </c>
      <c r="AA180" s="67">
        <f t="shared" ref="AA180" si="1441">AA145/AA8*365</f>
        <v>33.298486493433124</v>
      </c>
      <c r="AB180" s="18">
        <f t="shared" si="1440"/>
        <v>32.752364347828177</v>
      </c>
      <c r="AC180" s="18">
        <f t="shared" si="1440"/>
        <v>32.655297325336043</v>
      </c>
      <c r="AD180" s="18">
        <f t="shared" si="1440"/>
        <v>32.645520808039223</v>
      </c>
      <c r="AE180" s="18">
        <f t="shared" si="1440"/>
        <v>32.645668726004246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 t="e">
        <f>BN145/BN8*90</f>
        <v>#DIV/0!</v>
      </c>
      <c r="BO180" s="67" t="e">
        <f t="shared" si="1414"/>
        <v>#DIV/0!</v>
      </c>
      <c r="BP180" s="67" t="e">
        <f>BP145/BP8*90</f>
        <v>#DIV/0!</v>
      </c>
      <c r="BQ180" s="67" t="e">
        <f t="shared" si="1415"/>
        <v>#DIV/0!</v>
      </c>
      <c r="BR180" s="67" t="e">
        <f>BR145/BR8*90</f>
        <v>#DIV/0!</v>
      </c>
      <c r="BS180" s="67" t="e">
        <f t="shared" si="1416"/>
        <v>#DIV/0!</v>
      </c>
      <c r="BT180" s="67" t="e">
        <f>BT145/BT8*90</f>
        <v>#DIV/0!</v>
      </c>
      <c r="BU180" s="67" t="e">
        <f t="shared" si="1417"/>
        <v>#DIV/0!</v>
      </c>
      <c r="BV180" s="67">
        <f>BV145/BV8*90</f>
        <v>0.13404255319148936</v>
      </c>
      <c r="BW180" s="67">
        <f t="shared" si="1418"/>
        <v>0.13404255319148936</v>
      </c>
      <c r="BX180" s="67">
        <f>BX145/BX8*90</f>
        <v>0</v>
      </c>
      <c r="BY180" s="67">
        <f t="shared" si="1419"/>
        <v>0</v>
      </c>
      <c r="BZ180" s="67">
        <f>BZ145/BZ8*90</f>
        <v>0.35543018335684062</v>
      </c>
      <c r="CA180" s="67">
        <f t="shared" si="1420"/>
        <v>0.35543018335684062</v>
      </c>
      <c r="CB180" s="67">
        <f>CB145/CB8*90</f>
        <v>6.251157621781811</v>
      </c>
      <c r="CC180" s="67">
        <f t="shared" si="1421"/>
        <v>6.251157621781811</v>
      </c>
      <c r="CD180" s="67">
        <f>CD145/CD8*90</f>
        <v>11.010140405616223</v>
      </c>
      <c r="CE180" s="114">
        <f t="shared" ref="CE180" si="1442">+CD180</f>
        <v>11.010140405616223</v>
      </c>
      <c r="CF180" s="67">
        <f>CF145/CF8*90</f>
        <v>113.15585377543462</v>
      </c>
      <c r="CG180" s="67">
        <f t="shared" si="1422"/>
        <v>113.15585377543462</v>
      </c>
      <c r="CH180" s="67">
        <f>CH145/CH8*90</f>
        <v>54.946929959888919</v>
      </c>
      <c r="CI180" s="67">
        <f t="shared" si="1422"/>
        <v>54.946929959888919</v>
      </c>
      <c r="CJ180" s="67">
        <f>CJ145/CJ8*90</f>
        <v>37.921761970375478</v>
      </c>
      <c r="CK180" s="30">
        <f t="shared" si="1423"/>
        <v>37.921761970375478</v>
      </c>
      <c r="CL180" s="67">
        <f>CL145/CL8*90</f>
        <v>41.46077669246629</v>
      </c>
      <c r="CM180" s="30">
        <f t="shared" si="1424"/>
        <v>41.46077669246629</v>
      </c>
      <c r="CN180" s="30">
        <f t="shared" si="1425"/>
        <v>41.46077669246629</v>
      </c>
      <c r="CO180" s="30">
        <f t="shared" si="1426"/>
        <v>41.46077669246629</v>
      </c>
      <c r="CP180" s="30">
        <f t="shared" si="1427"/>
        <v>41.46077669246629</v>
      </c>
      <c r="CQ180" s="30">
        <f t="shared" si="1428"/>
        <v>41.46077669246629</v>
      </c>
      <c r="CR180" s="30">
        <f t="shared" si="1429"/>
        <v>41.46077669246629</v>
      </c>
      <c r="CS180" s="30">
        <f t="shared" si="1430"/>
        <v>41.46077669246629</v>
      </c>
      <c r="CT180" s="30">
        <f t="shared" si="1431"/>
        <v>41.46077669246629</v>
      </c>
      <c r="CU180" s="30">
        <f t="shared" si="1432"/>
        <v>41.46077669246629</v>
      </c>
      <c r="CV180" s="30">
        <f t="shared" si="1433"/>
        <v>41.46077669246629</v>
      </c>
      <c r="CW180" s="30">
        <f t="shared" si="1434"/>
        <v>41.46077669246629</v>
      </c>
      <c r="CX180" s="30">
        <f t="shared" si="1435"/>
        <v>41.46077669246629</v>
      </c>
      <c r="CY180" s="30">
        <f t="shared" si="1436"/>
        <v>41.46077669246629</v>
      </c>
      <c r="CZ180" s="30">
        <f t="shared" si="1437"/>
        <v>41.46077669246629</v>
      </c>
      <c r="DA180" s="30">
        <f t="shared" si="1438"/>
        <v>41.46077669246629</v>
      </c>
      <c r="DB180" s="30">
        <f t="shared" si="1439"/>
        <v>41.46077669246629</v>
      </c>
      <c r="DE180" s="139"/>
      <c r="DF180" s="62">
        <v>37.921761970375478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 t="e">
        <f t="shared" si="1443"/>
        <v>#DIV/0!</v>
      </c>
      <c r="O181" s="67" t="e">
        <f t="shared" si="1443"/>
        <v>#DIV/0!</v>
      </c>
      <c r="P181" s="67" t="e">
        <f t="shared" si="1443"/>
        <v>#DIV/0!</v>
      </c>
      <c r="Q181" s="67" t="e">
        <f t="shared" si="1443"/>
        <v>#DIV/0!</v>
      </c>
      <c r="R181" s="67" t="e">
        <f t="shared" si="1443"/>
        <v>#DIV/0!</v>
      </c>
      <c r="S181" s="67" t="e">
        <f t="shared" si="1443"/>
        <v>#DIV/0!</v>
      </c>
      <c r="T181" s="67" t="e">
        <f t="shared" si="1443"/>
        <v>#DIV/0!</v>
      </c>
      <c r="U181" s="67" t="e">
        <f t="shared" si="1443"/>
        <v>#DIV/0!</v>
      </c>
      <c r="V181" s="67">
        <f>V182-V180-V179</f>
        <v>91.25</v>
      </c>
      <c r="W181" s="67">
        <f t="shared" ref="W181" si="1444">W182-W180-W179</f>
        <v>45.163318909635791</v>
      </c>
      <c r="X181" s="67">
        <f t="shared" ref="X181:Y181" si="1445">X182-X180-X179</f>
        <v>30.964458596060467</v>
      </c>
      <c r="Y181" s="67">
        <f t="shared" si="1445"/>
        <v>33.182803596954244</v>
      </c>
      <c r="Z181" s="67">
        <f t="shared" ref="Z181:AA181" si="1446">Z182-Z180-Z179</f>
        <v>61.596913928171077</v>
      </c>
      <c r="AA181" s="67">
        <f t="shared" si="1446"/>
        <v>70.680097375258839</v>
      </c>
      <c r="AB181" s="18">
        <f t="shared" ref="AA181:AD181" si="1447">AB182-AB180-AB179</f>
        <v>64.238368019845211</v>
      </c>
      <c r="AC181" s="18">
        <f t="shared" si="1447"/>
        <v>64.047987043155345</v>
      </c>
      <c r="AD181" s="18">
        <f t="shared" si="1447"/>
        <v>64.028812014769755</v>
      </c>
      <c r="AE181" s="18">
        <f t="shared" ref="AE181" si="1448">AE182-AE180-AE179</f>
        <v>64.029102131494568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 t="e">
        <f t="shared" si="1453"/>
        <v>#DIV/0!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 t="e">
        <f t="shared" si="1453"/>
        <v>#DIV/0!</v>
      </c>
      <c r="BS181" s="67" t="e">
        <f t="shared" si="1453"/>
        <v>#DIV/0!</v>
      </c>
      <c r="BT181" s="67" t="e">
        <f t="shared" si="1453"/>
        <v>#DIV/0!</v>
      </c>
      <c r="BU181" s="67" t="e">
        <f t="shared" si="1453"/>
        <v>#DIV/0!</v>
      </c>
      <c r="BV181" s="67">
        <f t="shared" si="1453"/>
        <v>10.110638297872356</v>
      </c>
      <c r="BW181" s="67">
        <f t="shared" si="1453"/>
        <v>8.9189189189189335</v>
      </c>
      <c r="BX181" s="67">
        <f t="shared" si="1453"/>
        <v>0</v>
      </c>
      <c r="BY181" s="67">
        <f t="shared" si="1453"/>
        <v>0</v>
      </c>
      <c r="BZ181" s="67">
        <f t="shared" si="1453"/>
        <v>19.662905500705222</v>
      </c>
      <c r="CA181" s="67">
        <f t="shared" si="1453"/>
        <v>21.36551724137928</v>
      </c>
      <c r="CB181" s="67">
        <f t="shared" si="1453"/>
        <v>14.702722726430821</v>
      </c>
      <c r="CC181" s="67">
        <f t="shared" si="1453"/>
        <v>8.928129569227309</v>
      </c>
      <c r="CD181" s="67">
        <f t="shared" si="1453"/>
        <v>14.888845553822165</v>
      </c>
      <c r="CE181" s="114">
        <f t="shared" si="1453"/>
        <v>5.1524013046901302</v>
      </c>
      <c r="CF181" s="67">
        <f t="shared" ref="CF181:CG181" si="1454">CF182-CF180-CF179</f>
        <v>7.1408653217724662</v>
      </c>
      <c r="CG181" s="67">
        <f t="shared" si="1454"/>
        <v>4.5218518927270424</v>
      </c>
      <c r="CH181" s="67">
        <f t="shared" ref="CH181" si="1455">CH182-CH180-CH179</f>
        <v>84.569136509895557</v>
      </c>
      <c r="CI181" s="67">
        <f>CH181</f>
        <v>84.569136509895557</v>
      </c>
      <c r="CJ181" s="67">
        <f t="shared" ref="CJ181:CL181" si="1456">CJ182-CJ180-CJ179</f>
        <v>45.947511195315158</v>
      </c>
      <c r="CK181" s="30">
        <f t="shared" ref="CK181:DB181" si="1457">CJ181</f>
        <v>45.947511195315158</v>
      </c>
      <c r="CL181" s="67">
        <f t="shared" si="1456"/>
        <v>81.318484469530489</v>
      </c>
      <c r="CM181" s="30">
        <f t="shared" si="1457"/>
        <v>81.318484469530489</v>
      </c>
      <c r="CN181" s="30">
        <f t="shared" si="1457"/>
        <v>81.318484469530489</v>
      </c>
      <c r="CO181" s="30">
        <f t="shared" si="1457"/>
        <v>81.318484469530489</v>
      </c>
      <c r="CP181" s="30">
        <f t="shared" si="1457"/>
        <v>81.318484469530489</v>
      </c>
      <c r="CQ181" s="30">
        <f t="shared" si="1457"/>
        <v>81.318484469530489</v>
      </c>
      <c r="CR181" s="30">
        <f t="shared" si="1457"/>
        <v>81.318484469530489</v>
      </c>
      <c r="CS181" s="30">
        <f t="shared" si="1457"/>
        <v>81.318484469530489</v>
      </c>
      <c r="CT181" s="30">
        <f t="shared" si="1457"/>
        <v>81.318484469530489</v>
      </c>
      <c r="CU181" s="30">
        <f t="shared" si="1457"/>
        <v>81.318484469530489</v>
      </c>
      <c r="CV181" s="30">
        <f t="shared" si="1457"/>
        <v>81.318484469530489</v>
      </c>
      <c r="CW181" s="30">
        <f t="shared" si="1457"/>
        <v>81.318484469530489</v>
      </c>
      <c r="CX181" s="30">
        <f t="shared" si="1457"/>
        <v>81.318484469530489</v>
      </c>
      <c r="CY181" s="30">
        <f t="shared" si="1457"/>
        <v>81.318484469530489</v>
      </c>
      <c r="CZ181" s="30">
        <f t="shared" si="1457"/>
        <v>81.318484469530489</v>
      </c>
      <c r="DA181" s="30">
        <f t="shared" si="1457"/>
        <v>81.318484469530489</v>
      </c>
      <c r="DB181" s="30">
        <f t="shared" si="1457"/>
        <v>81.318484469530489</v>
      </c>
      <c r="DE181" s="139"/>
      <c r="DF181" s="62">
        <v>45.947511195315158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 t="e">
        <f t="shared" si="1458"/>
        <v>#DIV/0!</v>
      </c>
      <c r="O182" s="70" t="e">
        <f t="shared" si="1458"/>
        <v>#DIV/0!</v>
      </c>
      <c r="P182" s="70" t="e">
        <f t="shared" si="1458"/>
        <v>#DIV/0!</v>
      </c>
      <c r="Q182" s="70" t="e">
        <f t="shared" si="1458"/>
        <v>#DIV/0!</v>
      </c>
      <c r="R182" s="70" t="e">
        <f t="shared" si="1458"/>
        <v>#DIV/0!</v>
      </c>
      <c r="S182" s="70" t="e">
        <f t="shared" si="1458"/>
        <v>#DIV/0!</v>
      </c>
      <c r="T182" s="70" t="e">
        <f t="shared" si="1458"/>
        <v>#DIV/0!</v>
      </c>
      <c r="U182" s="70" t="e">
        <f t="shared" si="1458"/>
        <v>#DIV/0!</v>
      </c>
      <c r="V182" s="70">
        <f t="shared" si="1458"/>
        <v>456.25</v>
      </c>
      <c r="W182" s="70">
        <f t="shared" si="1458"/>
        <v>464.71082450793864</v>
      </c>
      <c r="X182" s="70">
        <f t="shared" si="1458"/>
        <v>164.33885176608447</v>
      </c>
      <c r="Y182" s="70">
        <f t="shared" si="1458"/>
        <v>278.79509556636981</v>
      </c>
      <c r="Z182" s="70">
        <f t="shared" si="1458"/>
        <v>193.43881211883243</v>
      </c>
      <c r="AA182" s="70">
        <f t="shared" ref="AA182" si="1459">AA148/AA8*365</f>
        <v>221.8390088714028</v>
      </c>
      <c r="AB182" s="71">
        <f t="shared" si="1458"/>
        <v>212.91439787522489</v>
      </c>
      <c r="AC182" s="71">
        <f t="shared" si="1458"/>
        <v>212.28339101330883</v>
      </c>
      <c r="AD182" s="71">
        <f t="shared" si="1458"/>
        <v>212.21983647808614</v>
      </c>
      <c r="AE182" s="71">
        <f t="shared" si="1458"/>
        <v>212.22079805338268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 t="e">
        <f t="shared" si="1460"/>
        <v>#DIV/0!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 t="e">
        <f t="shared" si="1460"/>
        <v>#DIV/0!</v>
      </c>
      <c r="BS182" s="70" t="e">
        <f t="shared" si="1460"/>
        <v>#DIV/0!</v>
      </c>
      <c r="BT182" s="70" t="e">
        <f t="shared" si="1460"/>
        <v>#DIV/0!</v>
      </c>
      <c r="BU182" s="70" t="e">
        <f t="shared" si="1460"/>
        <v>#DIV/0!</v>
      </c>
      <c r="BV182" s="70">
        <f t="shared" si="1460"/>
        <v>140.84042553191489</v>
      </c>
      <c r="BW182" s="70">
        <f t="shared" si="1460"/>
        <v>139.64870615296147</v>
      </c>
      <c r="BX182" s="70">
        <f t="shared" si="1460"/>
        <v>0</v>
      </c>
      <c r="BY182" s="70">
        <f t="shared" si="1460"/>
        <v>0</v>
      </c>
      <c r="BZ182" s="70">
        <f t="shared" si="1460"/>
        <v>152.66995768688292</v>
      </c>
      <c r="CA182" s="70">
        <f t="shared" si="1460"/>
        <v>154.37256942755698</v>
      </c>
      <c r="CB182" s="70">
        <f t="shared" si="1460"/>
        <v>111.01222448601592</v>
      </c>
      <c r="CC182" s="70">
        <f t="shared" si="1460"/>
        <v>105.23763132881241</v>
      </c>
      <c r="CD182" s="70">
        <f t="shared" si="1460"/>
        <v>213.72659906396257</v>
      </c>
      <c r="CE182" s="115">
        <f>CE148/CE10*90</f>
        <v>203.99015481483053</v>
      </c>
      <c r="CF182" s="70">
        <f>CF148/CF8*90</f>
        <v>201.68532961526731</v>
      </c>
      <c r="CG182" s="70">
        <f>CG148/CG10*90</f>
        <v>199.06631618622188</v>
      </c>
      <c r="CH182" s="70">
        <f>CH148/CH8*90</f>
        <v>265.58072905187993</v>
      </c>
      <c r="CI182" s="70">
        <f>CI179+CI180+CI181</f>
        <v>265.58072905187993</v>
      </c>
      <c r="CJ182" s="70">
        <f>CJ148/CJ8*90</f>
        <v>181.23234584912157</v>
      </c>
      <c r="CK182" s="50">
        <f t="shared" ref="CK182:DB182" si="1461">CK179+CK180+CK181</f>
        <v>181.23234584912154</v>
      </c>
      <c r="CL182" s="70">
        <f>CL148/CL8*90</f>
        <v>269.52546726602895</v>
      </c>
      <c r="CM182" s="50">
        <f t="shared" si="1461"/>
        <v>269.52546726602895</v>
      </c>
      <c r="CN182" s="50">
        <f t="shared" si="1461"/>
        <v>269.52546726602895</v>
      </c>
      <c r="CO182" s="50">
        <f t="shared" si="1461"/>
        <v>269.52546726602895</v>
      </c>
      <c r="CP182" s="50">
        <f t="shared" si="1461"/>
        <v>269.52546726602895</v>
      </c>
      <c r="CQ182" s="50">
        <f t="shared" si="1461"/>
        <v>269.52546726602895</v>
      </c>
      <c r="CR182" s="50">
        <f t="shared" si="1461"/>
        <v>269.52546726602895</v>
      </c>
      <c r="CS182" s="50">
        <f t="shared" si="1461"/>
        <v>269.52546726602895</v>
      </c>
      <c r="CT182" s="50">
        <f t="shared" si="1461"/>
        <v>269.52546726602895</v>
      </c>
      <c r="CU182" s="50">
        <f t="shared" si="1461"/>
        <v>269.52546726602895</v>
      </c>
      <c r="CV182" s="50">
        <f t="shared" si="1461"/>
        <v>269.52546726602895</v>
      </c>
      <c r="CW182" s="50">
        <f t="shared" si="1461"/>
        <v>269.52546726602895</v>
      </c>
      <c r="CX182" s="50">
        <f t="shared" si="1461"/>
        <v>269.52546726602895</v>
      </c>
      <c r="CY182" s="50">
        <f t="shared" si="1461"/>
        <v>269.52546726602895</v>
      </c>
      <c r="CZ182" s="50">
        <f t="shared" si="1461"/>
        <v>269.52546726602895</v>
      </c>
      <c r="DA182" s="50">
        <f t="shared" si="1461"/>
        <v>269.52546726602895</v>
      </c>
      <c r="DB182" s="50">
        <f t="shared" si="1461"/>
        <v>269.52546726602895</v>
      </c>
      <c r="DE182" s="138"/>
      <c r="DF182" s="7">
        <v>181.23234584912154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 t="e">
        <f t="shared" si="1462"/>
        <v>#DIV/0!</v>
      </c>
      <c r="O183" s="67" t="e">
        <f t="shared" si="1462"/>
        <v>#DIV/0!</v>
      </c>
      <c r="P183" s="67" t="e">
        <f t="shared" si="1462"/>
        <v>#DIV/0!</v>
      </c>
      <c r="Q183" s="67" t="e">
        <f t="shared" si="1462"/>
        <v>#DIV/0!</v>
      </c>
      <c r="R183" s="67" t="e">
        <f t="shared" si="1462"/>
        <v>#DIV/0!</v>
      </c>
      <c r="S183" s="67" t="e">
        <f t="shared" si="1462"/>
        <v>#DIV/0!</v>
      </c>
      <c r="T183" s="67" t="e">
        <f t="shared" si="1462"/>
        <v>#DIV/0!</v>
      </c>
      <c r="U183" s="67" t="e">
        <f t="shared" si="1462"/>
        <v>#DIV/0!</v>
      </c>
      <c r="V183" s="67">
        <f t="shared" si="1462"/>
        <v>365</v>
      </c>
      <c r="W183" s="67">
        <f t="shared" si="1462"/>
        <v>79.971461283316202</v>
      </c>
      <c r="X183" s="67">
        <f t="shared" si="1462"/>
        <v>17.587048713799451</v>
      </c>
      <c r="Y183" s="67">
        <f t="shared" si="1462"/>
        <v>37.816356955339003</v>
      </c>
      <c r="Z183" s="67">
        <f t="shared" si="1462"/>
        <v>24.072436875803501</v>
      </c>
      <c r="AA183" s="67">
        <f t="shared" ref="AA183" si="1463">AA153/AA8*365</f>
        <v>15.270978049737153</v>
      </c>
      <c r="AB183" s="18">
        <f t="shared" si="1462"/>
        <v>15.020911925038442</v>
      </c>
      <c r="AC183" s="18">
        <f t="shared" si="1462"/>
        <v>14.976394980240325</v>
      </c>
      <c r="AD183" s="18">
        <f t="shared" si="1462"/>
        <v>14.971911267135228</v>
      </c>
      <c r="AE183" s="18">
        <f t="shared" si="1462"/>
        <v>14.971979105374359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 t="e">
        <f>BN153/BN8*90</f>
        <v>#DIV/0!</v>
      </c>
      <c r="BO183" s="67" t="e">
        <f t="shared" ref="BO183" si="1479">+BN183</f>
        <v>#DIV/0!</v>
      </c>
      <c r="BP183" s="67" t="e">
        <f>BP153/BP8*90</f>
        <v>#DIV/0!</v>
      </c>
      <c r="BQ183" s="67" t="e">
        <f t="shared" ref="BQ183" si="1480">+BP183</f>
        <v>#DIV/0!</v>
      </c>
      <c r="BR183" s="67" t="e">
        <f>BR153/BR8*90</f>
        <v>#DIV/0!</v>
      </c>
      <c r="BS183" s="67" t="e">
        <f t="shared" ref="BS183" si="1481">+BR183</f>
        <v>#DIV/0!</v>
      </c>
      <c r="BT183" s="67" t="e">
        <f>BT153/BT8*90</f>
        <v>#DIV/0!</v>
      </c>
      <c r="BU183" s="67" t="e">
        <f t="shared" ref="BU183" si="1482">+BT183</f>
        <v>#DIV/0!</v>
      </c>
      <c r="BV183" s="67">
        <f>BV153/BV8*90</f>
        <v>24.912765957446808</v>
      </c>
      <c r="BW183" s="67">
        <f t="shared" ref="BW183" si="1483">+BV183</f>
        <v>24.912765957446808</v>
      </c>
      <c r="BX183" s="67">
        <f>BX153/BX8*90</f>
        <v>0</v>
      </c>
      <c r="BY183" s="67">
        <f t="shared" ref="BY183" si="1484">+BX183</f>
        <v>0</v>
      </c>
      <c r="BZ183" s="67">
        <f>BZ153/BZ8*90</f>
        <v>17.54301833568406</v>
      </c>
      <c r="CA183" s="67">
        <f t="shared" ref="CA183" si="1485">+BZ183</f>
        <v>17.54301833568406</v>
      </c>
      <c r="CB183" s="67">
        <f>CB153/CB8*90</f>
        <v>19.170216706797554</v>
      </c>
      <c r="CC183" s="67">
        <f t="shared" ref="CC183" si="1486">+CB183</f>
        <v>19.170216706797554</v>
      </c>
      <c r="CD183" s="67">
        <f>CD153/CD8*90</f>
        <v>30.620124804992198</v>
      </c>
      <c r="CE183" s="114">
        <f t="shared" si="1464"/>
        <v>30.620124804992198</v>
      </c>
      <c r="CF183" s="67">
        <f>CF153/CF8*90</f>
        <v>50.346825846368354</v>
      </c>
      <c r="CG183" s="67">
        <f t="shared" ref="CG183:CI183" si="1487">+CF183</f>
        <v>50.346825846368354</v>
      </c>
      <c r="CH183" s="67">
        <f>CH153/CH8*90</f>
        <v>33.050116806981976</v>
      </c>
      <c r="CI183" s="67">
        <f t="shared" si="1487"/>
        <v>33.050116806981976</v>
      </c>
      <c r="CJ183" s="67">
        <f>CJ153/CJ8*90</f>
        <v>44.420642438856355</v>
      </c>
      <c r="CK183" s="30">
        <f t="shared" ref="CK183" si="1488">+CJ183</f>
        <v>44.420642438856355</v>
      </c>
      <c r="CL183" s="67">
        <f>CL153/CL8*90</f>
        <v>19.014770000337986</v>
      </c>
      <c r="CM183" s="30">
        <f t="shared" ref="CM183" si="1489">+CL183</f>
        <v>19.014770000337986</v>
      </c>
      <c r="CN183" s="30">
        <f t="shared" ref="CN183" si="1490">+CM183</f>
        <v>19.014770000337986</v>
      </c>
      <c r="CO183" s="30">
        <f t="shared" ref="CO183" si="1491">+CN183</f>
        <v>19.014770000337986</v>
      </c>
      <c r="CP183" s="30">
        <f t="shared" ref="CP183" si="1492">+CO183</f>
        <v>19.014770000337986</v>
      </c>
      <c r="CQ183" s="30">
        <f t="shared" ref="CQ183" si="1493">+CP183</f>
        <v>19.014770000337986</v>
      </c>
      <c r="CR183" s="30">
        <f t="shared" ref="CR183" si="1494">+CQ183</f>
        <v>19.014770000337986</v>
      </c>
      <c r="CS183" s="30">
        <f t="shared" ref="CS183" si="1495">+CR183</f>
        <v>19.014770000337986</v>
      </c>
      <c r="CT183" s="30">
        <f t="shared" ref="CT183" si="1496">+CS183</f>
        <v>19.014770000337986</v>
      </c>
      <c r="CU183" s="30">
        <f t="shared" ref="CU183" si="1497">+CT183</f>
        <v>19.014770000337986</v>
      </c>
      <c r="CV183" s="30">
        <f t="shared" ref="CV183" si="1498">+CU183</f>
        <v>19.014770000337986</v>
      </c>
      <c r="CW183" s="30">
        <f t="shared" ref="CW183" si="1499">+CV183</f>
        <v>19.014770000337986</v>
      </c>
      <c r="CX183" s="30">
        <f t="shared" ref="CX183" si="1500">+CW183</f>
        <v>19.014770000337986</v>
      </c>
      <c r="CY183" s="30">
        <f t="shared" ref="CY183" si="1501">+CX183</f>
        <v>19.014770000337986</v>
      </c>
      <c r="CZ183" s="30">
        <f t="shared" ref="CZ183" si="1502">+CY183</f>
        <v>19.014770000337986</v>
      </c>
      <c r="DA183" s="30">
        <f t="shared" ref="DA183" si="1503">+CZ183</f>
        <v>19.014770000337986</v>
      </c>
      <c r="DB183" s="30">
        <f t="shared" ref="DB183" si="1504">+DA183</f>
        <v>19.014770000337986</v>
      </c>
      <c r="DE183" s="139"/>
      <c r="DF183" s="62">
        <v>44.420642438856355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 t="e">
        <f t="shared" si="1505"/>
        <v>#DIV/0!</v>
      </c>
      <c r="O184" s="67" t="e">
        <f t="shared" si="1505"/>
        <v>#DIV/0!</v>
      </c>
      <c r="P184" s="67" t="e">
        <f t="shared" si="1505"/>
        <v>#DIV/0!</v>
      </c>
      <c r="Q184" s="67" t="e">
        <f t="shared" si="1505"/>
        <v>#DIV/0!</v>
      </c>
      <c r="R184" s="67" t="e">
        <f t="shared" si="1505"/>
        <v>#DIV/0!</v>
      </c>
      <c r="S184" s="67" t="e">
        <f t="shared" si="1505"/>
        <v>#DIV/0!</v>
      </c>
      <c r="T184" s="67" t="e">
        <f t="shared" si="1505"/>
        <v>#DIV/0!</v>
      </c>
      <c r="U184" s="67" t="e">
        <f t="shared" si="1505"/>
        <v>#DIV/0!</v>
      </c>
      <c r="V184" s="67">
        <f t="shared" si="1505"/>
        <v>36.499999999999943</v>
      </c>
      <c r="W184" s="67">
        <f t="shared" ref="W184" si="1506">W185-W183</f>
        <v>51.302678766858051</v>
      </c>
      <c r="X184" s="67">
        <f t="shared" ref="X184:Y184" si="1507">X185-X183</f>
        <v>35.032800206461701</v>
      </c>
      <c r="Y184" s="67">
        <f t="shared" si="1507"/>
        <v>36.449126301242941</v>
      </c>
      <c r="Z184" s="67">
        <f t="shared" ref="Z184:AA184" si="1508">Z185-Z183</f>
        <v>52.048207602135477</v>
      </c>
      <c r="AA184" s="67">
        <f t="shared" si="1508"/>
        <v>73.062103166369269</v>
      </c>
      <c r="AB184" s="18">
        <f t="shared" ref="AA184:AD184" si="1509">AB185-AB183</f>
        <v>46.391573448215027</v>
      </c>
      <c r="AC184" s="18">
        <f t="shared" si="1509"/>
        <v>46.254084384661596</v>
      </c>
      <c r="AD184" s="18">
        <f t="shared" si="1509"/>
        <v>46.24023658987565</v>
      </c>
      <c r="AE184" s="18">
        <f t="shared" ref="AE184" si="1510">AE185-AE183</f>
        <v>46.240446105960253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 t="e">
        <f t="shared" si="1515"/>
        <v>#DIV/0!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 t="e">
        <f t="shared" si="1515"/>
        <v>#DIV/0!</v>
      </c>
      <c r="BS184" s="67" t="e">
        <f t="shared" si="1515"/>
        <v>#DIV/0!</v>
      </c>
      <c r="BT184" s="67" t="e">
        <f t="shared" si="1515"/>
        <v>#DIV/0!</v>
      </c>
      <c r="BU184" s="67" t="e">
        <f t="shared" si="1515"/>
        <v>#DIV/0!</v>
      </c>
      <c r="BV184" s="67">
        <f t="shared" si="1515"/>
        <v>12.02553191489362</v>
      </c>
      <c r="BW184" s="67">
        <f t="shared" si="1515"/>
        <v>10.608108108108112</v>
      </c>
      <c r="BX184" s="67">
        <f t="shared" si="1515"/>
        <v>0</v>
      </c>
      <c r="BY184" s="67">
        <f t="shared" si="1515"/>
        <v>0</v>
      </c>
      <c r="BZ184" s="67">
        <f t="shared" si="1515"/>
        <v>17.758815232722149</v>
      </c>
      <c r="CA184" s="67">
        <f t="shared" si="1515"/>
        <v>19.296551724137927</v>
      </c>
      <c r="CB184" s="67">
        <f t="shared" si="1515"/>
        <v>21.578996110390818</v>
      </c>
      <c r="CC184" s="67">
        <f t="shared" si="1515"/>
        <v>13.103700371161842</v>
      </c>
      <c r="CD184" s="67">
        <f t="shared" si="1515"/>
        <v>15.409516380655223</v>
      </c>
      <c r="CE184" s="114">
        <f t="shared" si="1515"/>
        <v>5.3325835114160434</v>
      </c>
      <c r="CF184" s="67">
        <f t="shared" ref="CF184:CG184" si="1516">CF185-CF183</f>
        <v>16.881617358720753</v>
      </c>
      <c r="CG184" s="67">
        <f t="shared" si="1516"/>
        <v>10.690045248868785</v>
      </c>
      <c r="CH184" s="67">
        <f t="shared" ref="CH184" si="1517">CH185-CH183</f>
        <v>71.459293868735386</v>
      </c>
      <c r="CI184" s="67">
        <f>CH184</f>
        <v>71.459293868735386</v>
      </c>
      <c r="CJ184" s="67">
        <f t="shared" ref="CJ184:CL184" si="1518">CJ185-CJ183</f>
        <v>31.763908026179813</v>
      </c>
      <c r="CK184" s="30">
        <f t="shared" ref="CK184:DB184" si="1519">CJ184</f>
        <v>31.763908026179813</v>
      </c>
      <c r="CL184" s="67">
        <f t="shared" si="1518"/>
        <v>58.726467705411167</v>
      </c>
      <c r="CM184" s="30">
        <f t="shared" si="1519"/>
        <v>58.726467705411167</v>
      </c>
      <c r="CN184" s="30">
        <f t="shared" si="1519"/>
        <v>58.726467705411167</v>
      </c>
      <c r="CO184" s="30">
        <f t="shared" si="1519"/>
        <v>58.726467705411167</v>
      </c>
      <c r="CP184" s="30">
        <f t="shared" si="1519"/>
        <v>58.726467705411167</v>
      </c>
      <c r="CQ184" s="30">
        <f t="shared" si="1519"/>
        <v>58.726467705411167</v>
      </c>
      <c r="CR184" s="30">
        <f t="shared" si="1519"/>
        <v>58.726467705411167</v>
      </c>
      <c r="CS184" s="30">
        <f t="shared" si="1519"/>
        <v>58.726467705411167</v>
      </c>
      <c r="CT184" s="30">
        <f t="shared" si="1519"/>
        <v>58.726467705411167</v>
      </c>
      <c r="CU184" s="30">
        <f t="shared" si="1519"/>
        <v>58.726467705411167</v>
      </c>
      <c r="CV184" s="30">
        <f t="shared" si="1519"/>
        <v>58.726467705411167</v>
      </c>
      <c r="CW184" s="30">
        <f t="shared" si="1519"/>
        <v>58.726467705411167</v>
      </c>
      <c r="CX184" s="30">
        <f t="shared" si="1519"/>
        <v>58.726467705411167</v>
      </c>
      <c r="CY184" s="30">
        <f t="shared" si="1519"/>
        <v>58.726467705411167</v>
      </c>
      <c r="CZ184" s="30">
        <f t="shared" si="1519"/>
        <v>58.726467705411167</v>
      </c>
      <c r="DA184" s="30">
        <f t="shared" si="1519"/>
        <v>58.726467705411167</v>
      </c>
      <c r="DB184" s="30">
        <f t="shared" si="1519"/>
        <v>58.726467705411167</v>
      </c>
      <c r="DE184" s="139"/>
      <c r="DF184" s="62">
        <v>31.763908026179813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 t="e">
        <f t="shared" si="1520"/>
        <v>#DIV/0!</v>
      </c>
      <c r="O185" s="70" t="e">
        <f t="shared" si="1520"/>
        <v>#DIV/0!</v>
      </c>
      <c r="P185" s="70" t="e">
        <f t="shared" si="1520"/>
        <v>#DIV/0!</v>
      </c>
      <c r="Q185" s="70" t="e">
        <f t="shared" si="1520"/>
        <v>#DIV/0!</v>
      </c>
      <c r="R185" s="70" t="e">
        <f t="shared" si="1520"/>
        <v>#DIV/0!</v>
      </c>
      <c r="S185" s="70" t="e">
        <f t="shared" si="1520"/>
        <v>#DIV/0!</v>
      </c>
      <c r="T185" s="70" t="e">
        <f t="shared" si="1520"/>
        <v>#DIV/0!</v>
      </c>
      <c r="U185" s="70" t="e">
        <f t="shared" si="1520"/>
        <v>#DIV/0!</v>
      </c>
      <c r="V185" s="70">
        <f t="shared" si="1520"/>
        <v>401.49999999999994</v>
      </c>
      <c r="W185" s="70">
        <f t="shared" si="1520"/>
        <v>131.27414005017425</v>
      </c>
      <c r="X185" s="70">
        <f t="shared" si="1520"/>
        <v>52.619848920261148</v>
      </c>
      <c r="Y185" s="70">
        <f t="shared" si="1520"/>
        <v>74.265483256581945</v>
      </c>
      <c r="Z185" s="70">
        <f t="shared" si="1520"/>
        <v>76.120644477938981</v>
      </c>
      <c r="AA185" s="70">
        <f t="shared" ref="AA185" si="1521">AA156/AA8*365</f>
        <v>88.333081216106422</v>
      </c>
      <c r="AB185" s="71">
        <f t="shared" si="1520"/>
        <v>61.412485373253467</v>
      </c>
      <c r="AC185" s="71">
        <f t="shared" si="1520"/>
        <v>61.230479364901917</v>
      </c>
      <c r="AD185" s="71">
        <f t="shared" si="1520"/>
        <v>61.212147857010876</v>
      </c>
      <c r="AE185" s="71">
        <f t="shared" si="1520"/>
        <v>61.212425211334612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 t="e">
        <f t="shared" si="1522"/>
        <v>#DIV/0!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 t="e">
        <f t="shared" si="1522"/>
        <v>#DIV/0!</v>
      </c>
      <c r="BS185" s="70" t="e">
        <f t="shared" si="1522"/>
        <v>#DIV/0!</v>
      </c>
      <c r="BT185" s="70" t="e">
        <f t="shared" si="1522"/>
        <v>#DIV/0!</v>
      </c>
      <c r="BU185" s="70" t="e">
        <f t="shared" si="1522"/>
        <v>#DIV/0!</v>
      </c>
      <c r="BV185" s="70">
        <f t="shared" si="1522"/>
        <v>36.938297872340428</v>
      </c>
      <c r="BW185" s="70">
        <f t="shared" si="1522"/>
        <v>35.520874065554921</v>
      </c>
      <c r="BX185" s="70">
        <f t="shared" si="1522"/>
        <v>0</v>
      </c>
      <c r="BY185" s="70">
        <f t="shared" si="1522"/>
        <v>0</v>
      </c>
      <c r="BZ185" s="70">
        <f t="shared" si="1522"/>
        <v>35.301833568406209</v>
      </c>
      <c r="CA185" s="70">
        <f t="shared" si="1522"/>
        <v>36.839570059821988</v>
      </c>
      <c r="CB185" s="70">
        <f t="shared" si="1522"/>
        <v>40.749212817188372</v>
      </c>
      <c r="CC185" s="70">
        <f t="shared" si="1522"/>
        <v>32.273917077959396</v>
      </c>
      <c r="CD185" s="70">
        <f t="shared" si="1522"/>
        <v>46.029641185647421</v>
      </c>
      <c r="CE185" s="115">
        <f>CE156/CE10*90</f>
        <v>35.952708316408241</v>
      </c>
      <c r="CF185" s="70">
        <f>CF156/CF8*90</f>
        <v>67.228443205089107</v>
      </c>
      <c r="CG185" s="70">
        <f>CG156/CG10*90</f>
        <v>61.036871095237139</v>
      </c>
      <c r="CH185" s="70">
        <f>CH156/CH8*90</f>
        <v>104.50941067571736</v>
      </c>
      <c r="CI185" s="70">
        <f>CI183+CI184</f>
        <v>104.50941067571736</v>
      </c>
      <c r="CJ185" s="70">
        <f>CJ156/CJ8*90</f>
        <v>76.184550465036168</v>
      </c>
      <c r="CK185" s="50">
        <f t="shared" ref="CK185:DB185" si="1523">CK183+CK184</f>
        <v>76.184550465036168</v>
      </c>
      <c r="CL185" s="70">
        <f>CL156/CL8*90</f>
        <v>77.741237705749157</v>
      </c>
      <c r="CM185" s="50">
        <f t="shared" si="1523"/>
        <v>77.741237705749157</v>
      </c>
      <c r="CN185" s="50">
        <f t="shared" si="1523"/>
        <v>77.741237705749157</v>
      </c>
      <c r="CO185" s="50">
        <f t="shared" si="1523"/>
        <v>77.741237705749157</v>
      </c>
      <c r="CP185" s="50">
        <f t="shared" si="1523"/>
        <v>77.741237705749157</v>
      </c>
      <c r="CQ185" s="50">
        <f t="shared" si="1523"/>
        <v>77.741237705749157</v>
      </c>
      <c r="CR185" s="50">
        <f t="shared" si="1523"/>
        <v>77.741237705749157</v>
      </c>
      <c r="CS185" s="50">
        <f t="shared" si="1523"/>
        <v>77.741237705749157</v>
      </c>
      <c r="CT185" s="50">
        <f t="shared" si="1523"/>
        <v>77.741237705749157</v>
      </c>
      <c r="CU185" s="50">
        <f t="shared" si="1523"/>
        <v>77.741237705749157</v>
      </c>
      <c r="CV185" s="50">
        <f t="shared" si="1523"/>
        <v>77.741237705749157</v>
      </c>
      <c r="CW185" s="50">
        <f t="shared" si="1523"/>
        <v>77.741237705749157</v>
      </c>
      <c r="CX185" s="50">
        <f t="shared" si="1523"/>
        <v>77.741237705749157</v>
      </c>
      <c r="CY185" s="50">
        <f t="shared" si="1523"/>
        <v>77.741237705749157</v>
      </c>
      <c r="CZ185" s="50">
        <f t="shared" si="1523"/>
        <v>77.741237705749157</v>
      </c>
      <c r="DA185" s="50">
        <f t="shared" si="1523"/>
        <v>77.741237705749157</v>
      </c>
      <c r="DB185" s="50">
        <f t="shared" si="1523"/>
        <v>77.741237705749157</v>
      </c>
      <c r="DE185" s="138"/>
      <c r="DF185" s="7">
        <v>76.184550465036168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 t="e">
        <f t="shared" si="1524"/>
        <v>#DIV/0!</v>
      </c>
      <c r="O186" s="70" t="e">
        <f t="shared" si="1524"/>
        <v>#DIV/0!</v>
      </c>
      <c r="P186" s="70" t="e">
        <f t="shared" si="1524"/>
        <v>#DIV/0!</v>
      </c>
      <c r="Q186" s="70" t="e">
        <f t="shared" si="1524"/>
        <v>#DIV/0!</v>
      </c>
      <c r="R186" s="70" t="e">
        <f t="shared" si="1524"/>
        <v>#DIV/0!</v>
      </c>
      <c r="S186" s="70" t="e">
        <f t="shared" si="1524"/>
        <v>#DIV/0!</v>
      </c>
      <c r="T186" s="70" t="e">
        <f t="shared" si="1524"/>
        <v>#DIV/0!</v>
      </c>
      <c r="U186" s="70" t="e">
        <f t="shared" si="1524"/>
        <v>#DIV/0!</v>
      </c>
      <c r="V186" s="70">
        <f t="shared" si="1524"/>
        <v>54.750000000000057</v>
      </c>
      <c r="W186" s="70">
        <f t="shared" ref="W186" si="1525">W182-W185</f>
        <v>333.43668445776439</v>
      </c>
      <c r="X186" s="70">
        <f t="shared" ref="X186:Y186" si="1526">X182-X185</f>
        <v>111.71900284582333</v>
      </c>
      <c r="Y186" s="70">
        <f t="shared" si="1526"/>
        <v>204.52961230978786</v>
      </c>
      <c r="Z186" s="70">
        <f t="shared" ref="Z186:AA186" si="1527">Z182-Z185</f>
        <v>117.31816764089345</v>
      </c>
      <c r="AA186" s="70">
        <f t="shared" si="1527"/>
        <v>133.50592765529638</v>
      </c>
      <c r="AB186" s="71">
        <f t="shared" ref="AA186:AD186" si="1528">AB182-AB185</f>
        <v>151.50191250197142</v>
      </c>
      <c r="AC186" s="71">
        <f t="shared" si="1528"/>
        <v>151.0529116484069</v>
      </c>
      <c r="AD186" s="71">
        <f t="shared" si="1528"/>
        <v>151.00768862107526</v>
      </c>
      <c r="AE186" s="71">
        <f t="shared" ref="AE186" si="1529">AE182-AE185</f>
        <v>151.00837284204806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 t="e">
        <f t="shared" si="1534"/>
        <v>#DIV/0!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 t="e">
        <f t="shared" si="1534"/>
        <v>#DIV/0!</v>
      </c>
      <c r="BS186" s="70" t="e">
        <f t="shared" si="1534"/>
        <v>#DIV/0!</v>
      </c>
      <c r="BT186" s="70" t="e">
        <f t="shared" si="1534"/>
        <v>#DIV/0!</v>
      </c>
      <c r="BU186" s="70" t="e">
        <f t="shared" si="1534"/>
        <v>#DIV/0!</v>
      </c>
      <c r="BV186" s="70">
        <f t="shared" si="1534"/>
        <v>103.90212765957446</v>
      </c>
      <c r="BW186" s="70">
        <f t="shared" si="1534"/>
        <v>104.12783208740655</v>
      </c>
      <c r="BX186" s="70">
        <f t="shared" si="1534"/>
        <v>0</v>
      </c>
      <c r="BY186" s="70">
        <f t="shared" si="1534"/>
        <v>0</v>
      </c>
      <c r="BZ186" s="70">
        <f t="shared" si="1534"/>
        <v>117.36812411847671</v>
      </c>
      <c r="CA186" s="70">
        <f t="shared" si="1534"/>
        <v>117.53299936773499</v>
      </c>
      <c r="CB186" s="70">
        <f t="shared" si="1534"/>
        <v>70.263011668827545</v>
      </c>
      <c r="CC186" s="70">
        <f t="shared" si="1534"/>
        <v>72.963714250853016</v>
      </c>
      <c r="CD186" s="70">
        <f t="shared" si="1534"/>
        <v>167.69695787831515</v>
      </c>
      <c r="CE186" s="115">
        <f t="shared" si="1534"/>
        <v>168.0374464984223</v>
      </c>
      <c r="CF186" s="70">
        <f t="shared" ref="CF186:CG186" si="1535">CF182-CF185</f>
        <v>134.45688641017819</v>
      </c>
      <c r="CG186" s="70">
        <f t="shared" si="1535"/>
        <v>138.02944509098475</v>
      </c>
      <c r="CH186" s="70">
        <f t="shared" ref="CH186:CI186" si="1536">CH182-CH185</f>
        <v>161.07131837616257</v>
      </c>
      <c r="CI186" s="70">
        <f t="shared" si="1536"/>
        <v>161.07131837616257</v>
      </c>
      <c r="CJ186" s="70">
        <f t="shared" ref="CJ186:DB186" si="1537">CJ182-CJ185</f>
        <v>105.0477953840854</v>
      </c>
      <c r="CK186" s="50">
        <f t="shared" si="1537"/>
        <v>105.04779538408538</v>
      </c>
      <c r="CL186" s="70">
        <f t="shared" ref="CL186" si="1538">CL182-CL185</f>
        <v>191.78422956027981</v>
      </c>
      <c r="CM186" s="50">
        <f t="shared" si="1537"/>
        <v>191.78422956027981</v>
      </c>
      <c r="CN186" s="50">
        <f t="shared" si="1537"/>
        <v>191.78422956027981</v>
      </c>
      <c r="CO186" s="50">
        <f t="shared" si="1537"/>
        <v>191.78422956027981</v>
      </c>
      <c r="CP186" s="50">
        <f t="shared" si="1537"/>
        <v>191.78422956027981</v>
      </c>
      <c r="CQ186" s="50">
        <f t="shared" si="1537"/>
        <v>191.78422956027981</v>
      </c>
      <c r="CR186" s="50">
        <f t="shared" si="1537"/>
        <v>191.78422956027981</v>
      </c>
      <c r="CS186" s="50">
        <f t="shared" si="1537"/>
        <v>191.78422956027981</v>
      </c>
      <c r="CT186" s="50">
        <f t="shared" si="1537"/>
        <v>191.78422956027981</v>
      </c>
      <c r="CU186" s="50">
        <f t="shared" si="1537"/>
        <v>191.78422956027981</v>
      </c>
      <c r="CV186" s="50">
        <f t="shared" si="1537"/>
        <v>191.78422956027981</v>
      </c>
      <c r="CW186" s="50">
        <f t="shared" si="1537"/>
        <v>191.78422956027981</v>
      </c>
      <c r="CX186" s="50">
        <f t="shared" si="1537"/>
        <v>191.78422956027981</v>
      </c>
      <c r="CY186" s="50">
        <f t="shared" si="1537"/>
        <v>191.78422956027981</v>
      </c>
      <c r="CZ186" s="50">
        <f t="shared" si="1537"/>
        <v>191.78422956027981</v>
      </c>
      <c r="DA186" s="50">
        <f t="shared" si="1537"/>
        <v>191.78422956027981</v>
      </c>
      <c r="DB186" s="50">
        <f t="shared" si="1537"/>
        <v>191.78422956027981</v>
      </c>
      <c r="DE186" s="138"/>
      <c r="DF186" s="7">
        <v>105.04779538408538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 t="e">
        <f t="shared" si="1539"/>
        <v>#DIV/0!</v>
      </c>
      <c r="P188" s="86" t="e">
        <f t="shared" si="1539"/>
        <v>#DIV/0!</v>
      </c>
      <c r="Q188" s="86" t="e">
        <f t="shared" si="1539"/>
        <v>#DIV/0!</v>
      </c>
      <c r="R188" s="86" t="e">
        <f t="shared" si="1539"/>
        <v>#DIV/0!</v>
      </c>
      <c r="S188" s="86" t="e">
        <f t="shared" si="1539"/>
        <v>#DIV/0!</v>
      </c>
      <c r="T188" s="86" t="e">
        <f t="shared" si="1539"/>
        <v>#DIV/0!</v>
      </c>
      <c r="U188" s="86" t="e">
        <f t="shared" si="1539"/>
        <v>#DIV/0!</v>
      </c>
      <c r="V188" s="86" t="e">
        <f t="shared" si="1539"/>
        <v>#DIV/0!</v>
      </c>
      <c r="W188" s="86">
        <f t="shared" si="1539"/>
        <v>988.88333333333333</v>
      </c>
      <c r="X188" s="86">
        <f t="shared" si="1539"/>
        <v>3.8277743168386849</v>
      </c>
      <c r="Y188" s="86">
        <f t="shared" si="1539"/>
        <v>0.76152976954411011</v>
      </c>
      <c r="Z188" s="86">
        <f>Z10/Y10-1</f>
        <v>1.5009681366240741</v>
      </c>
      <c r="AA188" s="86">
        <f>AA10/Z10-1</f>
        <v>0.18269918874245583</v>
      </c>
      <c r="AB188" s="87">
        <f t="shared" ref="AA188:AE188" si="1540">AB10/AA10-1</f>
        <v>0.37794430864993456</v>
      </c>
      <c r="AC188" s="87">
        <f t="shared" si="1540"/>
        <v>0.37138534081405927</v>
      </c>
      <c r="AD188" s="87">
        <f t="shared" si="1540"/>
        <v>0.36941828737629434</v>
      </c>
      <c r="AE188" s="87">
        <f t="shared" si="1540"/>
        <v>0.36910261920117726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 t="e">
        <f t="shared" si="1541"/>
        <v>#DIV/0!</v>
      </c>
      <c r="BR188" s="86" t="e">
        <f t="shared" si="1541"/>
        <v>#DIV/0!</v>
      </c>
      <c r="BS188" s="86" t="e">
        <f t="shared" si="1541"/>
        <v>#DIV/0!</v>
      </c>
      <c r="BT188" s="86" t="e">
        <f t="shared" si="1541"/>
        <v>#DIV/0!</v>
      </c>
      <c r="BU188" s="86" t="e">
        <f t="shared" si="1541"/>
        <v>#DIV/0!</v>
      </c>
      <c r="BV188" s="86" t="e">
        <f t="shared" si="1541"/>
        <v>#DIV/0!</v>
      </c>
      <c r="BW188" s="86" t="e">
        <f t="shared" si="1541"/>
        <v>#DIV/0!</v>
      </c>
      <c r="BX188" s="86" t="e">
        <f t="shared" si="1541"/>
        <v>#DIV/0!</v>
      </c>
      <c r="BY188" s="86">
        <f t="shared" si="1541"/>
        <v>12.108870967741934</v>
      </c>
      <c r="BZ188" s="86">
        <f t="shared" si="1541"/>
        <v>1.8252525252525249</v>
      </c>
      <c r="CA188" s="86">
        <f t="shared" si="1541"/>
        <v>0.35769844435580378</v>
      </c>
      <c r="CB188" s="86">
        <f t="shared" si="1541"/>
        <v>0.45681607938777224</v>
      </c>
      <c r="CC188" s="86">
        <f t="shared" si="1541"/>
        <v>0.75822823746539525</v>
      </c>
      <c r="CD188" s="86">
        <f t="shared" si="1541"/>
        <v>0.9762841139315932</v>
      </c>
      <c r="CE188" s="86">
        <f t="shared" si="1541"/>
        <v>3.395078957032684</v>
      </c>
      <c r="CF188" s="86">
        <f t="shared" si="1541"/>
        <v>2.8911274028747909</v>
      </c>
      <c r="CG188" s="86">
        <f t="shared" si="1541"/>
        <v>1.0712036389083277</v>
      </c>
      <c r="CH188" s="86">
        <f t="shared" si="1541"/>
        <v>0.77684978592534537</v>
      </c>
      <c r="CI188" s="86">
        <f t="shared" si="1541"/>
        <v>-0.16445796219856601</v>
      </c>
      <c r="CJ188" s="86">
        <f>+(CJ10+CI10)/(CF10+CE10)-1</f>
        <v>9.42497700501439E-2</v>
      </c>
      <c r="CK188" s="87"/>
      <c r="CL188" s="86">
        <f>+(CL10+CK10)/(CH10+CG10)-1</f>
        <v>0.28358588858156164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0.18246430493557475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 t="e">
        <f t="shared" ref="O189" si="1552">O186/N186-1</f>
        <v>#DIV/0!</v>
      </c>
      <c r="P189" s="86" t="e">
        <f t="shared" ref="P189" si="1553">P186/O186-1</f>
        <v>#DIV/0!</v>
      </c>
      <c r="Q189" s="86" t="e">
        <f t="shared" ref="Q189" si="1554">Q186/P186-1</f>
        <v>#DIV/0!</v>
      </c>
      <c r="R189" s="86" t="e">
        <f t="shared" ref="R189" si="1555">R186/Q186-1</f>
        <v>#DIV/0!</v>
      </c>
      <c r="S189" s="86" t="e">
        <f t="shared" ref="S189" si="1556">S186/R186-1</f>
        <v>#DIV/0!</v>
      </c>
      <c r="T189" s="86" t="e">
        <f t="shared" ref="T189" si="1557">T186/S186-1</f>
        <v>#DIV/0!</v>
      </c>
      <c r="U189" s="86" t="e">
        <f t="shared" ref="U189" si="1558">U186/T186-1</f>
        <v>#DIV/0!</v>
      </c>
      <c r="V189" s="86" t="e">
        <f t="shared" ref="V189" si="1559">V186/U186-1</f>
        <v>#DIV/0!</v>
      </c>
      <c r="W189" s="86">
        <f t="shared" ref="W189:AA189" si="1560">W186/V186-1</f>
        <v>5.0901677526532243</v>
      </c>
      <c r="X189" s="86">
        <f t="shared" si="1560"/>
        <v>-0.66494687581391632</v>
      </c>
      <c r="Y189" s="86">
        <f t="shared" si="1560"/>
        <v>0.83075042830490431</v>
      </c>
      <c r="Z189" s="86">
        <f t="shared" si="1560"/>
        <v>-0.42640008790903516</v>
      </c>
      <c r="AA189" s="86">
        <f t="shared" si="1560"/>
        <v>0.13798169831592544</v>
      </c>
      <c r="AB189" s="87">
        <f t="shared" ref="AB189" si="1561">AB186/AA186-1</f>
        <v>0.13479539944577978</v>
      </c>
      <c r="AC189" s="87">
        <f t="shared" ref="AC189" si="1562">AC186/AB186-1</f>
        <v>-2.9636645910899873E-3</v>
      </c>
      <c r="AD189" s="87">
        <f t="shared" ref="AD189" si="1563">AD186/AC186-1</f>
        <v>-2.9938534013107532E-4</v>
      </c>
      <c r="AE189" s="87">
        <f t="shared" ref="AE189" si="1564">AE186/AD186-1</f>
        <v>4.5310340093251966E-6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 t="e">
        <f t="shared" si="1565"/>
        <v>#DIV/0!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 t="e">
        <f t="shared" si="1565"/>
        <v>#DIV/0!</v>
      </c>
      <c r="BW189" s="86" t="e">
        <f t="shared" si="1565"/>
        <v>#DIV/0!</v>
      </c>
      <c r="BX189" s="86" t="e">
        <f t="shared" si="1565"/>
        <v>#DIV/0!</v>
      </c>
      <c r="BY189" s="86" t="e">
        <f t="shared" si="1565"/>
        <v>#DIV/0!</v>
      </c>
      <c r="BZ189" s="86">
        <f t="shared" si="1565"/>
        <v>0.1296027017177388</v>
      </c>
      <c r="CA189" s="86">
        <f t="shared" si="1565"/>
        <v>0.12873760080855168</v>
      </c>
      <c r="CB189" s="86" t="e">
        <f t="shared" si="1565"/>
        <v>#DIV/0!</v>
      </c>
      <c r="CC189" s="86" t="e">
        <f t="shared" si="1565"/>
        <v>#DIV/0!</v>
      </c>
      <c r="CD189" s="86">
        <f t="shared" si="1565"/>
        <v>0.42881177609206933</v>
      </c>
      <c r="CE189" s="86">
        <f t="shared" si="1565"/>
        <v>0.42970440133727861</v>
      </c>
      <c r="CF189" s="86">
        <f t="shared" si="1565"/>
        <v>0.91362259055898831</v>
      </c>
      <c r="CG189" s="86">
        <f t="shared" si="1565"/>
        <v>0.8917546414431754</v>
      </c>
      <c r="CH189" s="86">
        <f t="shared" si="1565"/>
        <v>-3.9509598659269063E-2</v>
      </c>
      <c r="CI189" s="86">
        <f t="shared" si="1565"/>
        <v>-4.1455808020298246E-2</v>
      </c>
      <c r="CJ189" s="86">
        <f>+CJ186/CF186-1</f>
        <v>-0.21872506355960475</v>
      </c>
      <c r="CK189" s="87"/>
      <c r="CL189" s="86">
        <f>+CL186/CH186-1</f>
        <v>0.19067895820155245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0.31319886869455016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 t="e">
        <f t="shared" si="1566"/>
        <v>#DIV/0!</v>
      </c>
      <c r="P190" s="103" t="e">
        <f t="shared" si="1566"/>
        <v>#DIV/0!</v>
      </c>
      <c r="Q190" s="103" t="e">
        <f t="shared" si="1566"/>
        <v>#DIV/0!</v>
      </c>
      <c r="R190" s="103" t="e">
        <f t="shared" si="1566"/>
        <v>#DIV/0!</v>
      </c>
      <c r="S190" s="103" t="e">
        <f t="shared" si="1566"/>
        <v>#DIV/0!</v>
      </c>
      <c r="T190" s="103" t="e">
        <f t="shared" si="1566"/>
        <v>#DIV/0!</v>
      </c>
      <c r="U190" s="103" t="e">
        <f t="shared" si="1566"/>
        <v>#DIV/0!</v>
      </c>
      <c r="V190" s="103" t="e">
        <f>IF(V189&gt;V188,"RF",0)</f>
        <v>#DIV/0!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>
        <f t="shared" ref="Z190:AA190" si="1569">IF(Z189&gt;Z188,"RF",0)</f>
        <v>0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</v>
      </c>
      <c r="K193" s="23">
        <f t="shared" si="1572"/>
        <v>0</v>
      </c>
      <c r="L193" s="23">
        <f t="shared" si="1572"/>
        <v>0</v>
      </c>
      <c r="M193" s="23">
        <f t="shared" si="1572"/>
        <v>0</v>
      </c>
      <c r="N193" s="23">
        <f t="shared" si="1572"/>
        <v>0</v>
      </c>
      <c r="O193" s="23">
        <f t="shared" si="1572"/>
        <v>0</v>
      </c>
      <c r="P193" s="23">
        <f t="shared" si="1572"/>
        <v>0</v>
      </c>
      <c r="Q193" s="23">
        <f t="shared" si="1572"/>
        <v>0</v>
      </c>
      <c r="R193" s="23">
        <f t="shared" si="1572"/>
        <v>0</v>
      </c>
      <c r="S193" s="23">
        <f t="shared" si="1572"/>
        <v>0</v>
      </c>
      <c r="T193" s="23">
        <f t="shared" si="1572"/>
        <v>0</v>
      </c>
      <c r="U193" s="23">
        <f t="shared" si="1572"/>
        <v>-1E-3</v>
      </c>
      <c r="V193" s="23">
        <f t="shared" si="1572"/>
        <v>3.5000000000000005E-3</v>
      </c>
      <c r="W193" s="23">
        <f t="shared" si="1572"/>
        <v>1.1052999999999988</v>
      </c>
      <c r="X193" s="23">
        <f t="shared" si="1572"/>
        <v>4.6895000000000042</v>
      </c>
      <c r="Y193" s="23">
        <f t="shared" si="1572"/>
        <v>8.4585000000000043</v>
      </c>
      <c r="Z193" s="23">
        <f t="shared" si="1572"/>
        <v>28.80680000000001</v>
      </c>
      <c r="AA193" s="23">
        <f t="shared" ref="AA193" si="1573">AA48</f>
        <v>31.329700000000003</v>
      </c>
      <c r="AB193" s="24">
        <f t="shared" si="1572"/>
        <v>38.269921998684062</v>
      </c>
      <c r="AC193" s="24">
        <f t="shared" si="1572"/>
        <v>54.573242479630323</v>
      </c>
      <c r="AD193" s="24">
        <f t="shared" si="1572"/>
        <v>75.257585223598539</v>
      </c>
      <c r="AE193" s="24">
        <f t="shared" si="1572"/>
        <v>102.99688064436081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0</v>
      </c>
      <c r="BN193" s="23">
        <f t="shared" si="1574"/>
        <v>0</v>
      </c>
      <c r="BO193" s="23">
        <f t="shared" ref="BO193:CT193" si="1575">BO48</f>
        <v>0</v>
      </c>
      <c r="BP193" s="23">
        <f t="shared" si="1575"/>
        <v>0</v>
      </c>
      <c r="BQ193" s="23">
        <f t="shared" si="1575"/>
        <v>0</v>
      </c>
      <c r="BR193" s="23">
        <f t="shared" si="1575"/>
        <v>0</v>
      </c>
      <c r="BS193" s="23">
        <f t="shared" si="1575"/>
        <v>0</v>
      </c>
      <c r="BT193" s="23">
        <f t="shared" si="1575"/>
        <v>0</v>
      </c>
      <c r="BU193" s="23">
        <f t="shared" si="1575"/>
        <v>0.21900000000000019</v>
      </c>
      <c r="BV193" s="23">
        <f t="shared" si="1575"/>
        <v>0.88500000000000045</v>
      </c>
      <c r="BW193" s="23">
        <f t="shared" si="1575"/>
        <v>0.91900000000000004</v>
      </c>
      <c r="BX193" s="23">
        <f t="shared" si="1575"/>
        <v>1.2130000000000001</v>
      </c>
      <c r="BY193" s="23">
        <f t="shared" si="1575"/>
        <v>1.175999999999999</v>
      </c>
      <c r="BZ193" s="23">
        <f t="shared" si="1575"/>
        <v>1.3510000000000006</v>
      </c>
      <c r="CA193" s="23">
        <f t="shared" si="1575"/>
        <v>1.2750000000000006</v>
      </c>
      <c r="CB193" s="23">
        <f t="shared" si="1575"/>
        <v>1.677</v>
      </c>
      <c r="CC193" s="23">
        <f t="shared" si="1575"/>
        <v>3.1580000000000026</v>
      </c>
      <c r="CD193" s="23">
        <f t="shared" si="1575"/>
        <v>2.3470000000000022</v>
      </c>
      <c r="CE193" s="23">
        <f t="shared" si="1575"/>
        <v>10.458000000000002</v>
      </c>
      <c r="CF193" s="23">
        <f t="shared" si="1575"/>
        <v>5.0929999999999991</v>
      </c>
      <c r="CG193" s="23">
        <f t="shared" si="1575"/>
        <v>9.1460000000000008</v>
      </c>
      <c r="CH193" s="23">
        <f t="shared" si="1575"/>
        <v>4.1080000000000059</v>
      </c>
      <c r="CI193" s="23">
        <f t="shared" si="1575"/>
        <v>5.3129999999999997</v>
      </c>
      <c r="CJ193" s="23">
        <f t="shared" si="1575"/>
        <v>10.274000000000003</v>
      </c>
      <c r="CK193" s="24">
        <f t="shared" si="1575"/>
        <v>10.601000000000001</v>
      </c>
      <c r="CL193" s="23">
        <f t="shared" ref="CL193" si="1576">CL48</f>
        <v>5.1390000000000011</v>
      </c>
      <c r="CM193" s="24">
        <f t="shared" si="1575"/>
        <v>6.4205588262912876</v>
      </c>
      <c r="CN193" s="24">
        <f t="shared" si="1575"/>
        <v>13.189459997553195</v>
      </c>
      <c r="CO193" s="24">
        <f t="shared" si="1575"/>
        <v>11.34352690921253</v>
      </c>
      <c r="CP193" s="24">
        <f t="shared" si="1575"/>
        <v>7.3163762656270634</v>
      </c>
      <c r="CQ193" s="24">
        <f t="shared" si="1575"/>
        <v>9.7077292314114967</v>
      </c>
      <c r="CR193" s="24">
        <f t="shared" si="1575"/>
        <v>18.52775202821395</v>
      </c>
      <c r="CS193" s="24">
        <f t="shared" si="1575"/>
        <v>15.759244450692155</v>
      </c>
      <c r="CT193" s="24">
        <f t="shared" si="1575"/>
        <v>10.578516769312717</v>
      </c>
      <c r="CU193" s="24">
        <f t="shared" ref="CU193:DB193" si="1577">CU48</f>
        <v>13.519980085943519</v>
      </c>
      <c r="CV193" s="24">
        <f t="shared" si="1577"/>
        <v>25.469050969126712</v>
      </c>
      <c r="CW193" s="24">
        <f t="shared" si="1577"/>
        <v>21.671609429831022</v>
      </c>
      <c r="CX193" s="24">
        <f t="shared" si="1577"/>
        <v>14.59694473869726</v>
      </c>
      <c r="CY193" s="24">
        <f t="shared" si="1577"/>
        <v>18.526867907616214</v>
      </c>
      <c r="CZ193" s="24">
        <f t="shared" si="1577"/>
        <v>34.855934198648299</v>
      </c>
      <c r="DA193" s="24">
        <f t="shared" si="1577"/>
        <v>29.656208831966417</v>
      </c>
      <c r="DB193" s="24">
        <f t="shared" si="1577"/>
        <v>19.957869706129877</v>
      </c>
      <c r="DE193" s="123"/>
      <c r="DF193" s="23">
        <v>6.7354794167628995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0</v>
      </c>
      <c r="P194" s="23">
        <f t="shared" si="1578"/>
        <v>0</v>
      </c>
      <c r="Q194" s="23">
        <f t="shared" si="1578"/>
        <v>0</v>
      </c>
      <c r="R194" s="23">
        <f t="shared" si="1578"/>
        <v>0</v>
      </c>
      <c r="S194" s="23">
        <f t="shared" si="1578"/>
        <v>0</v>
      </c>
      <c r="T194" s="23">
        <f t="shared" si="1578"/>
        <v>0</v>
      </c>
      <c r="U194" s="23">
        <f t="shared" si="1578"/>
        <v>2.0000000000000001E-4</v>
      </c>
      <c r="V194" s="23">
        <f t="shared" si="1578"/>
        <v>0</v>
      </c>
      <c r="W194" s="23">
        <f t="shared" si="1578"/>
        <v>2.0500000000000001E-2</v>
      </c>
      <c r="X194" s="23">
        <f t="shared" si="1578"/>
        <v>0.17710000000000001</v>
      </c>
      <c r="Y194" s="23">
        <f t="shared" si="1578"/>
        <v>0.33210000000000001</v>
      </c>
      <c r="Z194" s="23">
        <f t="shared" si="1578"/>
        <v>0.59530000000000005</v>
      </c>
      <c r="AA194" s="23">
        <f t="shared" ref="AA194" si="1579">AA32</f>
        <v>1.5769</v>
      </c>
      <c r="AB194" s="24">
        <f t="shared" si="1578"/>
        <v>3.6999509821045553</v>
      </c>
      <c r="AC194" s="24">
        <f t="shared" si="1578"/>
        <v>1.2931933748653741</v>
      </c>
      <c r="AD194" s="24">
        <f t="shared" si="1578"/>
        <v>0.45199223256856591</v>
      </c>
      <c r="AE194" s="24">
        <f t="shared" si="1578"/>
        <v>0.15797867687311953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6.0000000000000001E-3</v>
      </c>
      <c r="BV194" s="23">
        <f t="shared" si="1581"/>
        <v>1.4999999999999999E-2</v>
      </c>
      <c r="BW194" s="23">
        <f t="shared" si="1581"/>
        <v>1.6E-2</v>
      </c>
      <c r="BX194" s="23">
        <f t="shared" si="1581"/>
        <v>3.2000000000000001E-2</v>
      </c>
      <c r="BY194" s="23">
        <f t="shared" si="1581"/>
        <v>5.8999999999999997E-2</v>
      </c>
      <c r="BZ194" s="23">
        <f t="shared" si="1581"/>
        <v>6.9000000000000006E-2</v>
      </c>
      <c r="CA194" s="23">
        <f t="shared" si="1581"/>
        <v>7.3999999999999996E-2</v>
      </c>
      <c r="CB194" s="23">
        <f t="shared" si="1581"/>
        <v>0.08</v>
      </c>
      <c r="CC194" s="23">
        <f t="shared" si="1581"/>
        <v>8.5999999999999993E-2</v>
      </c>
      <c r="CD194" s="23">
        <f t="shared" si="1581"/>
        <v>9.2999999999999999E-2</v>
      </c>
      <c r="CE194" s="23">
        <f t="shared" si="1581"/>
        <v>0.10299999999999999</v>
      </c>
      <c r="CF194" s="23">
        <f t="shared" si="1581"/>
        <v>0.107</v>
      </c>
      <c r="CG194" s="23">
        <f t="shared" si="1581"/>
        <v>0.156</v>
      </c>
      <c r="CH194" s="23">
        <f t="shared" si="1581"/>
        <v>0.22900000000000001</v>
      </c>
      <c r="CI194" s="23">
        <f t="shared" si="1581"/>
        <v>0.27300000000000002</v>
      </c>
      <c r="CJ194" s="23">
        <f t="shared" si="1581"/>
        <v>0.37</v>
      </c>
      <c r="CK194" s="24">
        <f t="shared" si="1581"/>
        <v>0.40600000000000003</v>
      </c>
      <c r="CL194" s="23">
        <f t="shared" ref="CL194" si="1582">CL32</f>
        <v>0.52900000000000003</v>
      </c>
      <c r="CM194" s="24">
        <f t="shared" si="1581"/>
        <v>1.314526867627785</v>
      </c>
      <c r="CN194" s="24">
        <f t="shared" si="1581"/>
        <v>1.0107327597312807</v>
      </c>
      <c r="CO194" s="24">
        <f t="shared" si="1581"/>
        <v>0.77714707607123368</v>
      </c>
      <c r="CP194" s="24">
        <f t="shared" si="1581"/>
        <v>0.59754427867425564</v>
      </c>
      <c r="CQ194" s="24">
        <f t="shared" si="1581"/>
        <v>0.45944863716325474</v>
      </c>
      <c r="CR194" s="24">
        <f t="shared" si="1581"/>
        <v>0.35326762839988135</v>
      </c>
      <c r="CS194" s="24">
        <f t="shared" si="1581"/>
        <v>0.27162561205058594</v>
      </c>
      <c r="CT194" s="24">
        <f t="shared" si="1581"/>
        <v>0.208851497251652</v>
      </c>
      <c r="CU194" s="24">
        <f t="shared" ref="CU194:DB194" si="1583">CU32</f>
        <v>0.16058481221621115</v>
      </c>
      <c r="CV194" s="24">
        <f t="shared" si="1583"/>
        <v>0.12347281323745382</v>
      </c>
      <c r="CW194" s="24">
        <f t="shared" si="1583"/>
        <v>9.4937593402323606E-2</v>
      </c>
      <c r="CX194" s="24">
        <f t="shared" si="1583"/>
        <v>7.2997013712577358E-2</v>
      </c>
      <c r="CY194" s="24">
        <f t="shared" si="1583"/>
        <v>5.6127017970352092E-2</v>
      </c>
      <c r="CZ194" s="24">
        <f t="shared" si="1583"/>
        <v>4.3155767421502643E-2</v>
      </c>
      <c r="DA194" s="24">
        <f t="shared" si="1583"/>
        <v>3.3182241442483419E-2</v>
      </c>
      <c r="DB194" s="24">
        <f t="shared" si="1583"/>
        <v>2.5513650038781387E-2</v>
      </c>
      <c r="DE194" s="123"/>
      <c r="DF194" s="23">
        <v>0.34483636363636372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</v>
      </c>
      <c r="K195" s="22">
        <f t="shared" si="1584"/>
        <v>0</v>
      </c>
      <c r="L195" s="22">
        <f t="shared" si="1584"/>
        <v>0</v>
      </c>
      <c r="M195" s="22">
        <f t="shared" si="1584"/>
        <v>0</v>
      </c>
      <c r="N195" s="22">
        <f t="shared" si="1584"/>
        <v>0</v>
      </c>
      <c r="O195" s="22">
        <f t="shared" si="1584"/>
        <v>0</v>
      </c>
      <c r="P195" s="22">
        <f t="shared" si="1584"/>
        <v>0</v>
      </c>
      <c r="Q195" s="22">
        <f t="shared" si="1584"/>
        <v>0</v>
      </c>
      <c r="R195" s="22">
        <f t="shared" si="1584"/>
        <v>0</v>
      </c>
      <c r="S195" s="22">
        <f t="shared" si="1584"/>
        <v>0</v>
      </c>
      <c r="T195" s="22">
        <f t="shared" si="1584"/>
        <v>0</v>
      </c>
      <c r="U195" s="22">
        <f t="shared" si="1584"/>
        <v>-8.0000000000000004E-4</v>
      </c>
      <c r="V195" s="22">
        <f t="shared" si="1584"/>
        <v>3.5000000000000005E-3</v>
      </c>
      <c r="W195" s="22">
        <f t="shared" si="1584"/>
        <v>1.1257999999999988</v>
      </c>
      <c r="X195" s="22">
        <f t="shared" ref="X195:Y195" si="1585">X193+X194</f>
        <v>4.8666000000000045</v>
      </c>
      <c r="Y195" s="22">
        <f t="shared" si="1585"/>
        <v>8.7906000000000049</v>
      </c>
      <c r="Z195" s="22">
        <f t="shared" ref="Z195:AA195" si="1586">Z193+Z194</f>
        <v>29.402100000000011</v>
      </c>
      <c r="AA195" s="22">
        <f t="shared" si="1586"/>
        <v>32.906600000000005</v>
      </c>
      <c r="AB195" s="21">
        <f t="shared" ref="AA195:AD195" si="1587">AB193+AB194</f>
        <v>41.969872980788615</v>
      </c>
      <c r="AC195" s="21">
        <f t="shared" si="1587"/>
        <v>55.866435854495698</v>
      </c>
      <c r="AD195" s="21">
        <f t="shared" si="1587"/>
        <v>75.709577456167111</v>
      </c>
      <c r="AE195" s="21">
        <f t="shared" ref="AE195" si="1588">AE193+AE194</f>
        <v>103.15485932123393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0</v>
      </c>
      <c r="BN195" s="22">
        <f t="shared" si="1592"/>
        <v>0</v>
      </c>
      <c r="BO195" s="22">
        <f t="shared" si="1592"/>
        <v>0</v>
      </c>
      <c r="BP195" s="22">
        <f t="shared" si="1592"/>
        <v>0</v>
      </c>
      <c r="BQ195" s="22">
        <f t="shared" si="1592"/>
        <v>0</v>
      </c>
      <c r="BR195" s="22">
        <f t="shared" si="1592"/>
        <v>0</v>
      </c>
      <c r="BS195" s="22">
        <f t="shared" si="1592"/>
        <v>0</v>
      </c>
      <c r="BT195" s="22">
        <f t="shared" si="1592"/>
        <v>0</v>
      </c>
      <c r="BU195" s="22">
        <f t="shared" si="1592"/>
        <v>0.2250000000000002</v>
      </c>
      <c r="BV195" s="22">
        <f t="shared" si="1592"/>
        <v>0.90000000000000047</v>
      </c>
      <c r="BW195" s="22">
        <f t="shared" si="1592"/>
        <v>0.93500000000000005</v>
      </c>
      <c r="BX195" s="22">
        <f t="shared" si="1592"/>
        <v>1.2450000000000001</v>
      </c>
      <c r="BY195" s="22">
        <f t="shared" si="1592"/>
        <v>1.234999999999999</v>
      </c>
      <c r="BZ195" s="22">
        <f t="shared" si="1592"/>
        <v>1.4200000000000006</v>
      </c>
      <c r="CA195" s="22">
        <f t="shared" si="1592"/>
        <v>1.3490000000000006</v>
      </c>
      <c r="CB195" s="22">
        <f t="shared" si="1592"/>
        <v>1.7570000000000001</v>
      </c>
      <c r="CC195" s="22">
        <f t="shared" si="1592"/>
        <v>3.2440000000000024</v>
      </c>
      <c r="CD195" s="22">
        <f t="shared" si="1592"/>
        <v>2.4400000000000022</v>
      </c>
      <c r="CE195" s="22">
        <f t="shared" ref="CE195:CF195" si="1593">CE193+CE194</f>
        <v>10.561000000000002</v>
      </c>
      <c r="CF195" s="22">
        <f t="shared" si="1593"/>
        <v>5.1999999999999993</v>
      </c>
      <c r="CG195" s="22">
        <f t="shared" ref="CG195:CH195" si="1594">CG193+CG194</f>
        <v>9.3020000000000014</v>
      </c>
      <c r="CH195" s="22">
        <f t="shared" si="1594"/>
        <v>4.337000000000006</v>
      </c>
      <c r="CI195" s="22">
        <f t="shared" ref="CI195:CJ195" si="1595">CI193+CI194</f>
        <v>5.5859999999999994</v>
      </c>
      <c r="CJ195" s="22">
        <f t="shared" si="1595"/>
        <v>10.644000000000002</v>
      </c>
      <c r="CK195" s="21">
        <f t="shared" ref="CK195:DB195" si="1596">CK193+CK194</f>
        <v>11.007000000000001</v>
      </c>
      <c r="CL195" s="22">
        <f t="shared" si="1596"/>
        <v>5.668000000000001</v>
      </c>
      <c r="CM195" s="21">
        <f t="shared" si="1596"/>
        <v>7.7350856939190731</v>
      </c>
      <c r="CN195" s="21">
        <f t="shared" si="1596"/>
        <v>14.200192757284476</v>
      </c>
      <c r="CO195" s="21">
        <f t="shared" si="1596"/>
        <v>12.120673985283764</v>
      </c>
      <c r="CP195" s="21">
        <f t="shared" si="1596"/>
        <v>7.9139205443013187</v>
      </c>
      <c r="CQ195" s="21">
        <f t="shared" si="1596"/>
        <v>10.167177868574752</v>
      </c>
      <c r="CR195" s="21">
        <f t="shared" si="1596"/>
        <v>18.88101965661383</v>
      </c>
      <c r="CS195" s="21">
        <f t="shared" si="1596"/>
        <v>16.030870062742739</v>
      </c>
      <c r="CT195" s="21">
        <f t="shared" si="1596"/>
        <v>10.78736826656437</v>
      </c>
      <c r="CU195" s="21">
        <f t="shared" si="1596"/>
        <v>13.68056489815973</v>
      </c>
      <c r="CV195" s="21">
        <f t="shared" si="1596"/>
        <v>25.592523782364164</v>
      </c>
      <c r="CW195" s="21">
        <f t="shared" si="1596"/>
        <v>21.766547023233347</v>
      </c>
      <c r="CX195" s="21">
        <f t="shared" si="1596"/>
        <v>14.669941752409837</v>
      </c>
      <c r="CY195" s="21">
        <f t="shared" si="1596"/>
        <v>18.582994925586565</v>
      </c>
      <c r="CZ195" s="21">
        <f t="shared" si="1596"/>
        <v>34.899089966069802</v>
      </c>
      <c r="DA195" s="21">
        <f t="shared" si="1596"/>
        <v>29.689391073408899</v>
      </c>
      <c r="DB195" s="21">
        <f t="shared" si="1596"/>
        <v>19.983383356168659</v>
      </c>
      <c r="DE195" s="126"/>
      <c r="DF195" s="22">
        <v>7.0803157803992631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7"/>
        <v>0</v>
      </c>
      <c r="M196" s="23">
        <f t="shared" si="1597"/>
        <v>0</v>
      </c>
      <c r="N196" s="23">
        <f t="shared" si="1597"/>
        <v>0</v>
      </c>
      <c r="O196" s="23">
        <f t="shared" si="1597"/>
        <v>0</v>
      </c>
      <c r="P196" s="23">
        <f t="shared" si="1597"/>
        <v>0</v>
      </c>
      <c r="Q196" s="23">
        <f t="shared" si="1597"/>
        <v>0</v>
      </c>
      <c r="R196" s="23">
        <f t="shared" si="1597"/>
        <v>0</v>
      </c>
      <c r="S196" s="23">
        <f t="shared" si="1597"/>
        <v>0</v>
      </c>
      <c r="T196" s="23">
        <f t="shared" si="1597"/>
        <v>0</v>
      </c>
      <c r="U196" s="23">
        <f t="shared" si="1597"/>
        <v>-8.3000000000000001E-3</v>
      </c>
      <c r="V196" s="23">
        <f t="shared" si="1597"/>
        <v>8.0000000000000036E-4</v>
      </c>
      <c r="W196" s="23">
        <f t="shared" si="1597"/>
        <v>-7.5790999999999995</v>
      </c>
      <c r="X196" s="23">
        <f t="shared" si="1597"/>
        <v>-5.3561000000000005</v>
      </c>
      <c r="Y196" s="23">
        <f t="shared" si="1597"/>
        <v>-25.7135</v>
      </c>
      <c r="Z196" s="23">
        <f t="shared" si="1597"/>
        <v>-28.413100000000004</v>
      </c>
      <c r="AA196" s="23">
        <f t="shared" si="1597"/>
        <v>-23.956099999999992</v>
      </c>
      <c r="AB196" s="24">
        <f t="shared" ref="AB196" si="1598">AA148-AB148+AA163+AA164-AB163-AB164</f>
        <v>-29.284292179331221</v>
      </c>
      <c r="AC196" s="24">
        <f t="shared" ref="AC196" si="1599">AB148-AC148+AB163+AB164-AC163-AC164</f>
        <v>-44.110732936937666</v>
      </c>
      <c r="AD196" s="24">
        <f t="shared" ref="AD196" si="1600">AC148-AD148+AC163+AC164-AD163-AD164</f>
        <v>-60.590582308662931</v>
      </c>
      <c r="AE196" s="24">
        <f t="shared" ref="AE196" si="1601">AD148-AE148+AD163+AD164-AE163-AE164</f>
        <v>-82.971605875662419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 t="e">
        <f t="shared" ref="BO196" si="1631">BN148-BO148+BN163+BN164-BO163-BO164</f>
        <v>#DIV/0!</v>
      </c>
      <c r="BP196" s="23" t="e">
        <f t="shared" ref="BP196" si="1632">BO148-BP148+BO163+BO164-BP163-BP164</f>
        <v>#DIV/0!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 t="e">
        <f t="shared" ref="BS196" si="1635">BR148-BS148+BR163+BR164-BS163-BS164</f>
        <v>#DIV/0!</v>
      </c>
      <c r="BT196" s="23" t="e">
        <f t="shared" ref="BT196" si="1636">BS148-BT148+BS163+BS164-BT163-BT164</f>
        <v>#DIV/0!</v>
      </c>
      <c r="BU196" s="23" t="e">
        <f t="shared" ref="BU196" si="1637">BT148-BU148+BT163+BT164-BU163-BU164</f>
        <v>#DIV/0!</v>
      </c>
      <c r="BV196" s="23" t="e">
        <f t="shared" ref="BV196" si="1638">BU148-BV148+BU163+BU164-BV163-BV164</f>
        <v>#DIV/0!</v>
      </c>
      <c r="BW196" s="23">
        <f t="shared" ref="BW196" si="1639">BV148-BW148+BV163+BV164-BW163-BW164</f>
        <v>-0.91220340425531887</v>
      </c>
      <c r="BX196" s="23">
        <f t="shared" ref="BX196" si="1640">BW148-BX148+BW163+BW164-BX163-BX164</f>
        <v>8.2922034042553197</v>
      </c>
      <c r="BY196" s="23">
        <f t="shared" ref="BY196" si="1641">BX148-BY148+BX163+BX164-BY163-BY164</f>
        <v>0</v>
      </c>
      <c r="BZ196" s="23">
        <f t="shared" ref="BZ196" si="1642">BY148-BZ148+BY163+BY164-BZ163-BZ164</f>
        <v>-12.059999999999999</v>
      </c>
      <c r="CA196" s="23">
        <f t="shared" ref="CA196" si="1643">BZ148-CA148+BZ163+BZ164-CA163-CA164</f>
        <v>0.83498871650211726</v>
      </c>
      <c r="CB196" s="23">
        <f t="shared" ref="CB196" si="1644">CA148-CB148+CA163+CA164-CB163-CB164</f>
        <v>-2.0889887165021173</v>
      </c>
      <c r="CC196" s="23">
        <f t="shared" ref="CC196" si="1645">CB148-CC148+CB163+CB164-CC163-CC164</f>
        <v>-7.4736173365438034</v>
      </c>
      <c r="CD196" s="23">
        <f t="shared" ref="CD196" si="1646">CC148-CD148+CC163+CC164-CD163-CD164</f>
        <v>-15.8213826634562</v>
      </c>
      <c r="CE196" s="23">
        <f t="shared" ref="CE196" si="1647">CD148-CE148+CD163+CD164-CE163-CE164</f>
        <v>-64.226803692147669</v>
      </c>
      <c r="CF196" s="23">
        <f t="shared" ref="CF196" si="1648">CE148-CF148+CE163+CE164-CF163-CF164</f>
        <v>49.322803692147666</v>
      </c>
      <c r="CG196" s="23">
        <f t="shared" ref="CG196" si="1649">CF148-CG148+CF163+CF164-CG163-CG164</f>
        <v>-28.734217376149175</v>
      </c>
      <c r="CH196" s="23">
        <f t="shared" ref="CH196:CL196" si="1650">CG148-CH148+CG163+CG164-CH163-CH164</f>
        <v>13.177917376149175</v>
      </c>
      <c r="CI196" s="23">
        <f t="shared" si="1650"/>
        <v>-13.644947679287696</v>
      </c>
      <c r="CJ196" s="23">
        <f t="shared" si="1650"/>
        <v>-12.997752320712298</v>
      </c>
      <c r="CK196" s="24">
        <f t="shared" ref="CK196" si="1651">CJ148-CK148+CJ163+CJ164-CK163-CK164</f>
        <v>0.78936755080952992</v>
      </c>
      <c r="CL196" s="23">
        <f t="shared" si="1650"/>
        <v>4.0956324491904761</v>
      </c>
      <c r="CM196" s="24">
        <f t="shared" ref="CM196" si="1652">CL148-CM148+CL163+CL164-CM163-CM164</f>
        <v>-17.986535425720419</v>
      </c>
      <c r="CN196" s="24">
        <f t="shared" ref="CN196" si="1653">CM148-CN148+CM163+CM164-CN163-CN164</f>
        <v>-98.645696115399815</v>
      </c>
      <c r="CO196" s="24">
        <f t="shared" ref="CO196" si="1654">CN148-CO148+CN163+CN164-CO163-CO164</f>
        <v>20.638714624628932</v>
      </c>
      <c r="CP196" s="24">
        <f t="shared" ref="CP196" si="1655">CO148-CP148+CO163+CO164-CP163-CP164</f>
        <v>64.510824737160078</v>
      </c>
      <c r="CQ196" s="24">
        <f t="shared" ref="CQ196" si="1656">CP148-CQ148+CP163+CP164-CQ163-CQ164</f>
        <v>-25.741158445313005</v>
      </c>
      <c r="CR196" s="24">
        <f t="shared" ref="CR196" si="1657">CQ148-CR148+CQ163+CQ164-CR163-CR164</f>
        <v>-138.28593855268346</v>
      </c>
      <c r="CS196" s="24">
        <f t="shared" ref="CS196" si="1658">CR148-CS148+CR163+CR164-CS163-CS164</f>
        <v>32.777253530901703</v>
      </c>
      <c r="CT196" s="24">
        <f t="shared" ref="CT196" si="1659">CS148-CT148+CS163+CS164-CT163-CT164</f>
        <v>87.139110530157097</v>
      </c>
      <c r="CU196" s="24">
        <f t="shared" ref="CU196" si="1660">CT148-CU148+CT163+CT164-CU163-CU164</f>
        <v>-35.634129994856892</v>
      </c>
      <c r="CV196" s="24">
        <f t="shared" ref="CV196" si="1661">CU148-CV148+CU163+CU164-CV163-CV164</f>
        <v>-189.65354719715361</v>
      </c>
      <c r="CW196" s="24">
        <f t="shared" ref="CW196" si="1662">CV148-CW148+CV163+CV164-CW163-CW164</f>
        <v>45.778540535757031</v>
      </c>
      <c r="CX196" s="24">
        <f t="shared" ref="CX196" si="1663">CW148-CX148+CW163+CW164-CX163-CX164</f>
        <v>118.91855434759054</v>
      </c>
      <c r="CY196" s="24">
        <f t="shared" ref="CY196" si="1664">CX148-CY148+CX163+CX164-CY163-CY164</f>
        <v>-48.86771367202158</v>
      </c>
      <c r="CZ196" s="24">
        <f t="shared" ref="CZ196" si="1665">CY148-CZ148+CY163+CY164-CZ163-CZ164</f>
        <v>-259.63038920957518</v>
      </c>
      <c r="DA196" s="24">
        <f t="shared" ref="DA196" si="1666">CZ148-DA148+CZ163+CZ164-DA163-DA164</f>
        <v>62.823695698458096</v>
      </c>
      <c r="DB196" s="24">
        <f t="shared" ref="DB196" si="1667">DA148-DB148+DA163+DA164-DB163-DB164</f>
        <v>162.70280130747625</v>
      </c>
      <c r="DE196" s="123"/>
      <c r="DF196" s="23">
        <v>31.255939422998409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0</v>
      </c>
      <c r="K197" s="23">
        <f>J156-K156</f>
        <v>0</v>
      </c>
      <c r="L197" s="23">
        <f t="shared" si="1668"/>
        <v>0</v>
      </c>
      <c r="M197" s="23">
        <f t="shared" si="1668"/>
        <v>0</v>
      </c>
      <c r="N197" s="23">
        <f t="shared" si="1668"/>
        <v>0</v>
      </c>
      <c r="O197" s="23">
        <f t="shared" si="1668"/>
        <v>0</v>
      </c>
      <c r="P197" s="23">
        <f t="shared" si="1668"/>
        <v>0</v>
      </c>
      <c r="Q197" s="23">
        <f t="shared" si="1668"/>
        <v>0</v>
      </c>
      <c r="R197" s="23">
        <f t="shared" si="1668"/>
        <v>0</v>
      </c>
      <c r="S197" s="23">
        <f t="shared" si="1668"/>
        <v>0</v>
      </c>
      <c r="T197" s="23">
        <f t="shared" si="1668"/>
        <v>0</v>
      </c>
      <c r="U197" s="23">
        <f t="shared" si="1668"/>
        <v>-1.29E-2</v>
      </c>
      <c r="V197" s="23">
        <f t="shared" si="1668"/>
        <v>6.3E-3</v>
      </c>
      <c r="W197" s="23">
        <f t="shared" si="1668"/>
        <v>-2.1294999999999997</v>
      </c>
      <c r="X197" s="23">
        <f t="shared" si="1668"/>
        <v>-1.9976000000000003</v>
      </c>
      <c r="Y197" s="23">
        <f t="shared" si="1668"/>
        <v>-6.1433000000000009</v>
      </c>
      <c r="Z197" s="23">
        <f t="shared" si="1668"/>
        <v>-16.067499999999999</v>
      </c>
      <c r="AA197" s="23">
        <f t="shared" si="1668"/>
        <v>-9.811900000000005</v>
      </c>
      <c r="AB197" s="24">
        <f t="shared" ref="AB197" si="1669">AA156-AB156</f>
        <v>1.5186126400635658</v>
      </c>
      <c r="AC197" s="24">
        <f t="shared" ref="AC197" si="1670">AB156-AC156</f>
        <v>-12.723187197893083</v>
      </c>
      <c r="AD197" s="24">
        <f t="shared" ref="AD197" si="1671">AC156-AD156</f>
        <v>-17.476592879211097</v>
      </c>
      <c r="AE197" s="24">
        <f t="shared" ref="AE197" si="1672">AD156-AE156</f>
        <v>-23.932118180286722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 t="e">
        <f t="shared" ref="BO197" si="1705">BN156-BO156</f>
        <v>#DIV/0!</v>
      </c>
      <c r="BP197" s="23" t="e">
        <f t="shared" ref="BP197" si="1706">BO156-BP156</f>
        <v>#DIV/0!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 t="e">
        <f t="shared" ref="BS197" si="1709">BR156-BS156</f>
        <v>#DIV/0!</v>
      </c>
      <c r="BT197" s="23" t="e">
        <f t="shared" ref="BT197" si="1710">BS156-BT156</f>
        <v>#DIV/0!</v>
      </c>
      <c r="BU197" s="23" t="e">
        <f t="shared" ref="BU197" si="1711">BT156-BU156</f>
        <v>#DIV/0!</v>
      </c>
      <c r="BV197" s="23" t="e">
        <f t="shared" ref="BV197" si="1712">BU156-BV156</f>
        <v>#DIV/0!</v>
      </c>
      <c r="BW197" s="23">
        <f t="shared" ref="BW197" si="1713">BV156-BW156</f>
        <v>-0.17383574468085139</v>
      </c>
      <c r="BX197" s="23">
        <f t="shared" ref="BX197" si="1714">BW156-BX156</f>
        <v>2.1028357446808514</v>
      </c>
      <c r="BY197" s="23">
        <f t="shared" ref="BY197" si="1715">BX156-BY156</f>
        <v>0</v>
      </c>
      <c r="BZ197" s="23">
        <f t="shared" ref="BZ197" si="1716">BY156-BZ156</f>
        <v>-2.7810000000000001</v>
      </c>
      <c r="CA197" s="23">
        <f t="shared" ref="CA197" si="1717">BZ156-CA156</f>
        <v>0.11013117066290556</v>
      </c>
      <c r="CB197" s="23">
        <f t="shared" ref="CB197" si="1718">CA156-CB156</f>
        <v>-2.2181311706629057</v>
      </c>
      <c r="CC197" s="23">
        <f t="shared" ref="CC197" si="1719">CB156-CC156</f>
        <v>-1.487608816447489</v>
      </c>
      <c r="CD197" s="23">
        <f t="shared" ref="CD197" si="1720">CC156-CD156</f>
        <v>-1.4913911835525102</v>
      </c>
      <c r="CE197" s="23">
        <f t="shared" ref="CE197" si="1721">CD156-CE156</f>
        <v>-9.8906405356214258</v>
      </c>
      <c r="CF197" s="23">
        <f t="shared" ref="CF197" si="1722">CE156-CF156</f>
        <v>0.6146405356214224</v>
      </c>
      <c r="CG197" s="23">
        <f t="shared" ref="CG197" si="1723">CF156-CG156</f>
        <v>-7.4362261775086083</v>
      </c>
      <c r="CH197" s="23">
        <f t="shared" ref="CH197:CL197" si="1724">CG156-CH156</f>
        <v>-1.7642738224913899</v>
      </c>
      <c r="CI197" s="23">
        <f t="shared" si="1724"/>
        <v>-5.3694612773835182</v>
      </c>
      <c r="CJ197" s="23">
        <f t="shared" si="1724"/>
        <v>-7.6040387226164796</v>
      </c>
      <c r="CK197" s="24">
        <f t="shared" ref="CK197" si="1725">CJ156-CK156</f>
        <v>0.33182604202549726</v>
      </c>
      <c r="CL197" s="23">
        <f t="shared" si="1724"/>
        <v>13.429173957974498</v>
      </c>
      <c r="CM197" s="24">
        <f t="shared" ref="CM197" si="1726">CL156-CM156</f>
        <v>-5.1879903603085253</v>
      </c>
      <c r="CN197" s="24">
        <f t="shared" ref="CN197" si="1727">CM156-CN156</f>
        <v>-28.453112754599331</v>
      </c>
      <c r="CO197" s="24">
        <f t="shared" ref="CO197" si="1728">CN156-CO156</f>
        <v>5.9529781576845764</v>
      </c>
      <c r="CP197" s="24">
        <f t="shared" ref="CP197" si="1729">CO156-CP156</f>
        <v>18.607337597286843</v>
      </c>
      <c r="CQ197" s="24">
        <f t="shared" ref="CQ197" si="1730">CP156-CQ156</f>
        <v>-7.424714027276849</v>
      </c>
      <c r="CR197" s="24">
        <f t="shared" ref="CR197" si="1731">CQ156-CR156</f>
        <v>-39.886843085502306</v>
      </c>
      <c r="CS197" s="24">
        <f t="shared" ref="CS197" si="1732">CR156-CS156</f>
        <v>9.4541873312934399</v>
      </c>
      <c r="CT197" s="24">
        <f t="shared" ref="CT197" si="1733">CS156-CT156</f>
        <v>25.134182583592633</v>
      </c>
      <c r="CU197" s="24">
        <f t="shared" ref="CU197" si="1734">CT156-CU156</f>
        <v>-10.278217485227216</v>
      </c>
      <c r="CV197" s="24">
        <f t="shared" ref="CV197" si="1735">CU156-CV156</f>
        <v>-54.703184986373856</v>
      </c>
      <c r="CW197" s="24">
        <f t="shared" ref="CW197" si="1736">CV156-CW156</f>
        <v>13.204245363944935</v>
      </c>
      <c r="CX197" s="24">
        <f t="shared" ref="CX197" si="1737">CW156-CX156</f>
        <v>34.30056422844504</v>
      </c>
      <c r="CY197" s="24">
        <f t="shared" ref="CY197" si="1738">CX156-CY156</f>
        <v>-14.095278577008699</v>
      </c>
      <c r="CZ197" s="24">
        <f t="shared" ref="CZ197" si="1739">CY156-CZ156</f>
        <v>-74.887126652323417</v>
      </c>
      <c r="DA197" s="24">
        <f t="shared" ref="DA197" si="1740">CZ156-DA156</f>
        <v>18.120706404440966</v>
      </c>
      <c r="DB197" s="24">
        <f t="shared" ref="DB197" si="1741">DA156-DB156</f>
        <v>46.929580644604428</v>
      </c>
      <c r="DE197" s="123"/>
      <c r="DF197" s="23">
        <v>13.139043602547268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0</v>
      </c>
      <c r="K198" s="22">
        <f t="shared" si="1742"/>
        <v>0</v>
      </c>
      <c r="L198" s="22">
        <f t="shared" si="1742"/>
        <v>0</v>
      </c>
      <c r="M198" s="22">
        <f t="shared" si="1742"/>
        <v>0</v>
      </c>
      <c r="N198" s="22">
        <f t="shared" si="1742"/>
        <v>0</v>
      </c>
      <c r="O198" s="22">
        <f t="shared" si="1742"/>
        <v>0</v>
      </c>
      <c r="P198" s="22">
        <f t="shared" si="1742"/>
        <v>0</v>
      </c>
      <c r="Q198" s="22">
        <f t="shared" si="1742"/>
        <v>0</v>
      </c>
      <c r="R198" s="22">
        <f t="shared" si="1742"/>
        <v>0</v>
      </c>
      <c r="S198" s="22">
        <f t="shared" si="1742"/>
        <v>0</v>
      </c>
      <c r="T198" s="22">
        <f t="shared" si="1742"/>
        <v>0</v>
      </c>
      <c r="U198" s="22">
        <f t="shared" si="1742"/>
        <v>4.5999999999999999E-3</v>
      </c>
      <c r="V198" s="22">
        <f t="shared" si="1742"/>
        <v>-5.4999999999999997E-3</v>
      </c>
      <c r="W198" s="22">
        <f t="shared" si="1742"/>
        <v>-5.4496000000000002</v>
      </c>
      <c r="X198" s="22">
        <f t="shared" ref="X198:Y198" si="1743">X196-X197</f>
        <v>-3.3585000000000003</v>
      </c>
      <c r="Y198" s="22">
        <f t="shared" si="1743"/>
        <v>-19.5702</v>
      </c>
      <c r="Z198" s="22">
        <f t="shared" ref="Z198:AA198" si="1744">Z196-Z197</f>
        <v>-12.345600000000005</v>
      </c>
      <c r="AA198" s="22">
        <f t="shared" si="1744"/>
        <v>-14.144199999999987</v>
      </c>
      <c r="AB198" s="21">
        <f t="shared" ref="AA198:AD198" si="1745">AB196-AB197</f>
        <v>-30.802904819394787</v>
      </c>
      <c r="AC198" s="21">
        <f t="shared" si="1745"/>
        <v>-31.387545739044583</v>
      </c>
      <c r="AD198" s="21">
        <f t="shared" si="1745"/>
        <v>-43.113989429451834</v>
      </c>
      <c r="AE198" s="21">
        <f t="shared" ref="AE198" si="1746">AE196-AE197</f>
        <v>-59.039487695375698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 t="e">
        <f t="shared" si="1750"/>
        <v>#DIV/0!</v>
      </c>
      <c r="BP198" s="22" t="e">
        <f t="shared" si="1750"/>
        <v>#DIV/0!</v>
      </c>
      <c r="BQ198" s="22" t="e">
        <f t="shared" si="1750"/>
        <v>#DIV/0!</v>
      </c>
      <c r="BR198" s="22" t="e">
        <f t="shared" si="1750"/>
        <v>#DIV/0!</v>
      </c>
      <c r="BS198" s="22" t="e">
        <f t="shared" si="1750"/>
        <v>#DIV/0!</v>
      </c>
      <c r="BT198" s="22" t="e">
        <f t="shared" si="1750"/>
        <v>#DIV/0!</v>
      </c>
      <c r="BU198" s="22" t="e">
        <f t="shared" si="1750"/>
        <v>#DIV/0!</v>
      </c>
      <c r="BV198" s="22" t="e">
        <f t="shared" si="1750"/>
        <v>#DIV/0!</v>
      </c>
      <c r="BW198" s="22">
        <f t="shared" si="1750"/>
        <v>-0.73836765957446748</v>
      </c>
      <c r="BX198" s="22">
        <f t="shared" si="1750"/>
        <v>6.1893676595744687</v>
      </c>
      <c r="BY198" s="22">
        <f t="shared" si="1750"/>
        <v>0</v>
      </c>
      <c r="BZ198" s="22">
        <f t="shared" si="1750"/>
        <v>-9.2789999999999981</v>
      </c>
      <c r="CA198" s="22">
        <f t="shared" si="1750"/>
        <v>0.72485754583921169</v>
      </c>
      <c r="CB198" s="22">
        <f t="shared" si="1750"/>
        <v>0.1291424541607884</v>
      </c>
      <c r="CC198" s="22">
        <f t="shared" si="1750"/>
        <v>-5.9860085200963145</v>
      </c>
      <c r="CD198" s="22">
        <f t="shared" si="1750"/>
        <v>-14.32999147990369</v>
      </c>
      <c r="CE198" s="22">
        <f t="shared" ref="CE198:CF198" si="1751">CE196-CE197</f>
        <v>-54.33616315652624</v>
      </c>
      <c r="CF198" s="22">
        <f t="shared" si="1751"/>
        <v>48.70816315652624</v>
      </c>
      <c r="CG198" s="22">
        <f t="shared" ref="CG198:CH198" si="1752">CG196-CG197</f>
        <v>-21.297991198640567</v>
      </c>
      <c r="CH198" s="22">
        <f t="shared" si="1752"/>
        <v>14.942191198640565</v>
      </c>
      <c r="CI198" s="22">
        <f t="shared" ref="CI198:CJ198" si="1753">CI196-CI197</f>
        <v>-8.2754864019041783</v>
      </c>
      <c r="CJ198" s="22">
        <f t="shared" si="1753"/>
        <v>-5.3937135980958182</v>
      </c>
      <c r="CK198" s="21">
        <f t="shared" ref="CK198:DB198" si="1754">CK196-CK197</f>
        <v>0.45754150878403266</v>
      </c>
      <c r="CL198" s="22">
        <f t="shared" si="1754"/>
        <v>-9.3335415087840232</v>
      </c>
      <c r="CM198" s="21">
        <f t="shared" si="1754"/>
        <v>-12.798545065411894</v>
      </c>
      <c r="CN198" s="21">
        <f t="shared" si="1754"/>
        <v>-70.192583360800484</v>
      </c>
      <c r="CO198" s="21">
        <f t="shared" si="1754"/>
        <v>14.685736466944356</v>
      </c>
      <c r="CP198" s="21">
        <f t="shared" si="1754"/>
        <v>45.903487139873235</v>
      </c>
      <c r="CQ198" s="21">
        <f t="shared" si="1754"/>
        <v>-18.316444418036156</v>
      </c>
      <c r="CR198" s="21">
        <f t="shared" si="1754"/>
        <v>-98.399095467181155</v>
      </c>
      <c r="CS198" s="21">
        <f t="shared" si="1754"/>
        <v>23.323066199608263</v>
      </c>
      <c r="CT198" s="21">
        <f t="shared" si="1754"/>
        <v>62.004927946564464</v>
      </c>
      <c r="CU198" s="21">
        <f t="shared" si="1754"/>
        <v>-25.355912509629675</v>
      </c>
      <c r="CV198" s="21">
        <f t="shared" si="1754"/>
        <v>-134.95036221077976</v>
      </c>
      <c r="CW198" s="21">
        <f t="shared" si="1754"/>
        <v>32.574295171812096</v>
      </c>
      <c r="CX198" s="21">
        <f t="shared" si="1754"/>
        <v>84.617990119145503</v>
      </c>
      <c r="CY198" s="21">
        <f t="shared" si="1754"/>
        <v>-34.772435095012881</v>
      </c>
      <c r="CZ198" s="21">
        <f t="shared" si="1754"/>
        <v>-184.74326255725177</v>
      </c>
      <c r="DA198" s="21">
        <f t="shared" si="1754"/>
        <v>44.702989294017129</v>
      </c>
      <c r="DB198" s="21">
        <f t="shared" si="1754"/>
        <v>115.77322066287182</v>
      </c>
      <c r="DE198" s="126"/>
      <c r="DF198" s="22">
        <v>18.116895820451141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0</v>
      </c>
      <c r="K199" s="22">
        <f t="shared" si="1755"/>
        <v>0</v>
      </c>
      <c r="L199" s="22">
        <f t="shared" si="1755"/>
        <v>0</v>
      </c>
      <c r="M199" s="22">
        <f t="shared" si="1755"/>
        <v>0</v>
      </c>
      <c r="N199" s="22">
        <f t="shared" si="1755"/>
        <v>0</v>
      </c>
      <c r="O199" s="22">
        <f t="shared" si="1755"/>
        <v>0</v>
      </c>
      <c r="P199" s="22">
        <f t="shared" si="1755"/>
        <v>0</v>
      </c>
      <c r="Q199" s="22">
        <f t="shared" si="1755"/>
        <v>0</v>
      </c>
      <c r="R199" s="22">
        <f t="shared" si="1755"/>
        <v>0</v>
      </c>
      <c r="S199" s="22">
        <f t="shared" si="1755"/>
        <v>0</v>
      </c>
      <c r="T199" s="22">
        <f t="shared" si="1755"/>
        <v>0</v>
      </c>
      <c r="U199" s="22">
        <f t="shared" si="1755"/>
        <v>3.8E-3</v>
      </c>
      <c r="V199" s="22">
        <f t="shared" si="1755"/>
        <v>-1.9999999999999992E-3</v>
      </c>
      <c r="W199" s="22">
        <f t="shared" si="1755"/>
        <v>-4.3238000000000012</v>
      </c>
      <c r="X199" s="22">
        <f t="shared" ref="X199:Y199" si="1756">X195+X198</f>
        <v>1.5081000000000042</v>
      </c>
      <c r="Y199" s="22">
        <f t="shared" si="1756"/>
        <v>-10.779599999999995</v>
      </c>
      <c r="Z199" s="22">
        <f t="shared" ref="Z199:AA199" si="1757">Z195+Z198</f>
        <v>17.056500000000007</v>
      </c>
      <c r="AA199" s="22">
        <f t="shared" si="1757"/>
        <v>18.762400000000017</v>
      </c>
      <c r="AB199" s="21">
        <f t="shared" ref="AA199:AD199" si="1758">AB195+AB198</f>
        <v>11.166968161393829</v>
      </c>
      <c r="AC199" s="21">
        <f t="shared" si="1758"/>
        <v>24.478890115451115</v>
      </c>
      <c r="AD199" s="21">
        <f t="shared" si="1758"/>
        <v>32.595588026715276</v>
      </c>
      <c r="AE199" s="21">
        <f t="shared" ref="AE199" si="1759">AE195+AE198</f>
        <v>44.115371625858231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 t="e">
        <f t="shared" si="1763"/>
        <v>#DIV/0!</v>
      </c>
      <c r="BP199" s="22" t="e">
        <f t="shared" si="1763"/>
        <v>#DIV/0!</v>
      </c>
      <c r="BQ199" s="22" t="e">
        <f t="shared" si="1763"/>
        <v>#DIV/0!</v>
      </c>
      <c r="BR199" s="22" t="e">
        <f t="shared" si="1763"/>
        <v>#DIV/0!</v>
      </c>
      <c r="BS199" s="22" t="e">
        <f t="shared" si="1763"/>
        <v>#DIV/0!</v>
      </c>
      <c r="BT199" s="22" t="e">
        <f t="shared" si="1763"/>
        <v>#DIV/0!</v>
      </c>
      <c r="BU199" s="22" t="e">
        <f t="shared" si="1763"/>
        <v>#DIV/0!</v>
      </c>
      <c r="BV199" s="22" t="e">
        <f t="shared" si="1763"/>
        <v>#DIV/0!</v>
      </c>
      <c r="BW199" s="22">
        <f t="shared" si="1763"/>
        <v>0.19663234042553257</v>
      </c>
      <c r="BX199" s="22">
        <f t="shared" si="1763"/>
        <v>7.4343676595744688</v>
      </c>
      <c r="BY199" s="22">
        <f t="shared" si="1763"/>
        <v>1.234999999999999</v>
      </c>
      <c r="BZ199" s="22">
        <f t="shared" si="1763"/>
        <v>-7.8589999999999973</v>
      </c>
      <c r="CA199" s="22">
        <f t="shared" si="1763"/>
        <v>2.0738575458392123</v>
      </c>
      <c r="CB199" s="22">
        <f t="shared" si="1763"/>
        <v>1.8861424541607885</v>
      </c>
      <c r="CC199" s="22">
        <f t="shared" si="1763"/>
        <v>-2.742008520096312</v>
      </c>
      <c r="CD199" s="22">
        <f t="shared" si="1763"/>
        <v>-11.889991479903689</v>
      </c>
      <c r="CE199" s="22">
        <f t="shared" ref="CE199:CF199" si="1764">CE195+CE198</f>
        <v>-43.77516315652624</v>
      </c>
      <c r="CF199" s="22">
        <f t="shared" si="1764"/>
        <v>53.908163156526243</v>
      </c>
      <c r="CG199" s="22">
        <f t="shared" ref="CG199:CH199" si="1765">CG195+CG198</f>
        <v>-11.995991198640565</v>
      </c>
      <c r="CH199" s="22">
        <f t="shared" si="1765"/>
        <v>19.279191198640572</v>
      </c>
      <c r="CI199" s="22">
        <f t="shared" ref="CI199:CJ199" si="1766">CI195+CI198</f>
        <v>-2.6894864019041789</v>
      </c>
      <c r="CJ199" s="22">
        <f t="shared" si="1766"/>
        <v>5.2502864019041837</v>
      </c>
      <c r="CK199" s="21">
        <f t="shared" ref="CK199:DB199" si="1767">CK195+CK198</f>
        <v>11.464541508784034</v>
      </c>
      <c r="CL199" s="22">
        <f t="shared" si="1767"/>
        <v>-3.6655415087840222</v>
      </c>
      <c r="CM199" s="21">
        <f t="shared" si="1767"/>
        <v>-5.0634593714928204</v>
      </c>
      <c r="CN199" s="21">
        <f t="shared" si="1767"/>
        <v>-55.992390603516007</v>
      </c>
      <c r="CO199" s="21">
        <f t="shared" si="1767"/>
        <v>26.806410452228121</v>
      </c>
      <c r="CP199" s="21">
        <f t="shared" si="1767"/>
        <v>53.817407684174555</v>
      </c>
      <c r="CQ199" s="21">
        <f t="shared" si="1767"/>
        <v>-8.1492665494614034</v>
      </c>
      <c r="CR199" s="21">
        <f t="shared" si="1767"/>
        <v>-79.518075810567325</v>
      </c>
      <c r="CS199" s="21">
        <f t="shared" si="1767"/>
        <v>39.353936262350999</v>
      </c>
      <c r="CT199" s="21">
        <f t="shared" si="1767"/>
        <v>72.792296213128836</v>
      </c>
      <c r="CU199" s="21">
        <f t="shared" si="1767"/>
        <v>-11.675347611469945</v>
      </c>
      <c r="CV199" s="21">
        <f t="shared" si="1767"/>
        <v>-109.35783842841559</v>
      </c>
      <c r="CW199" s="21">
        <f t="shared" si="1767"/>
        <v>54.34084219504544</v>
      </c>
      <c r="CX199" s="21">
        <f t="shared" si="1767"/>
        <v>99.287931871555344</v>
      </c>
      <c r="CY199" s="21">
        <f t="shared" si="1767"/>
        <v>-16.189440169426316</v>
      </c>
      <c r="CZ199" s="21">
        <f t="shared" si="1767"/>
        <v>-149.84417259118197</v>
      </c>
      <c r="DA199" s="21">
        <f t="shared" si="1767"/>
        <v>74.392380367426028</v>
      </c>
      <c r="DB199" s="21">
        <f t="shared" si="1767"/>
        <v>135.75660401904048</v>
      </c>
      <c r="DE199" s="126"/>
      <c r="DF199" s="22">
        <v>25.197211600850405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0</v>
      </c>
      <c r="L201" s="22">
        <f t="shared" si="1768"/>
        <v>0</v>
      </c>
      <c r="M201" s="22">
        <f t="shared" si="1768"/>
        <v>0</v>
      </c>
      <c r="N201" s="22">
        <f t="shared" si="1768"/>
        <v>0</v>
      </c>
      <c r="O201" s="22">
        <f t="shared" si="1768"/>
        <v>0</v>
      </c>
      <c r="P201" s="22">
        <f t="shared" si="1768"/>
        <v>0</v>
      </c>
      <c r="Q201" s="22">
        <f t="shared" si="1768"/>
        <v>0</v>
      </c>
      <c r="R201" s="22">
        <f t="shared" si="1768"/>
        <v>0</v>
      </c>
      <c r="S201" s="22">
        <f t="shared" si="1768"/>
        <v>0</v>
      </c>
      <c r="T201" s="22">
        <f t="shared" si="1768"/>
        <v>0</v>
      </c>
      <c r="U201" s="22">
        <f t="shared" si="1768"/>
        <v>-3.9999999999999964E-4</v>
      </c>
      <c r="V201" s="22">
        <f t="shared" si="1768"/>
        <v>1.9999999999999966E-4</v>
      </c>
      <c r="W201" s="22">
        <f t="shared" si="1768"/>
        <v>-0.37709999999999999</v>
      </c>
      <c r="X201" s="22">
        <f t="shared" ref="X201:Y201" si="1769">X202+X203</f>
        <v>-1.1120000000000001</v>
      </c>
      <c r="Y201" s="22">
        <f t="shared" si="1769"/>
        <v>-0.63660000000000005</v>
      </c>
      <c r="Z201" s="22">
        <f t="shared" ref="Z201:AA201" si="1770">Z202+Z203</f>
        <v>-3.8309999999999991</v>
      </c>
      <c r="AA201" s="22">
        <f t="shared" si="1770"/>
        <v>-11.028200000000002</v>
      </c>
      <c r="AB201" s="21">
        <f t="shared" ref="AA201:AD201" si="1771">AB202+AB203</f>
        <v>8.4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1.4988010832439613E-15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0</v>
      </c>
      <c r="BN201" s="22">
        <f t="shared" si="1776"/>
        <v>0</v>
      </c>
      <c r="BO201" s="22">
        <f t="shared" si="1776"/>
        <v>0</v>
      </c>
      <c r="BP201" s="22">
        <f t="shared" si="1776"/>
        <v>0</v>
      </c>
      <c r="BQ201" s="22">
        <f t="shared" si="1776"/>
        <v>0</v>
      </c>
      <c r="BR201" s="22">
        <f t="shared" si="1776"/>
        <v>0</v>
      </c>
      <c r="BS201" s="22">
        <f t="shared" si="1776"/>
        <v>0</v>
      </c>
      <c r="BT201" s="22">
        <f t="shared" si="1776"/>
        <v>0</v>
      </c>
      <c r="BU201" s="22">
        <f t="shared" si="1776"/>
        <v>-6.0000000000000001E-3</v>
      </c>
      <c r="BV201" s="22">
        <f t="shared" si="1776"/>
        <v>-0.371</v>
      </c>
      <c r="BW201" s="22">
        <f t="shared" si="1776"/>
        <v>-1.6000000000000014E-2</v>
      </c>
      <c r="BX201" s="22">
        <f t="shared" si="1776"/>
        <v>0.32399999999999995</v>
      </c>
      <c r="BY201" s="22">
        <f t="shared" si="1776"/>
        <v>-5.8999999999999997E-2</v>
      </c>
      <c r="BZ201" s="22">
        <f t="shared" si="1776"/>
        <v>-0.89100000000000001</v>
      </c>
      <c r="CA201" s="22">
        <f t="shared" si="1776"/>
        <v>-7.3999999999999955E-2</v>
      </c>
      <c r="CB201" s="22">
        <f t="shared" si="1776"/>
        <v>-9.099999999999997E-2</v>
      </c>
      <c r="CC201" s="22">
        <f t="shared" si="1776"/>
        <v>-8.5999999999999965E-2</v>
      </c>
      <c r="CD201" s="22">
        <f t="shared" si="1776"/>
        <v>-0.49199999999999999</v>
      </c>
      <c r="CE201" s="22">
        <f t="shared" ref="CE201:CF201" si="1777">CE202+CE203</f>
        <v>-0.10299999999999998</v>
      </c>
      <c r="CF201" s="22">
        <f t="shared" si="1777"/>
        <v>-0.16500000000000004</v>
      </c>
      <c r="CG201" s="22">
        <f t="shared" ref="CG201:CH201" si="1778">CG202+CG203</f>
        <v>-0.15599999999999992</v>
      </c>
      <c r="CH201" s="22">
        <f t="shared" si="1778"/>
        <v>-3.7706999999999988</v>
      </c>
      <c r="CI201" s="22">
        <f t="shared" ref="CI201:CJ201" si="1779">CI202+CI203</f>
        <v>0</v>
      </c>
      <c r="CJ201" s="22">
        <f t="shared" si="1779"/>
        <v>1.3896999999999995</v>
      </c>
      <c r="CK201" s="21">
        <f t="shared" ref="CK201:DB201" si="1780">CK202+CK203</f>
        <v>0</v>
      </c>
      <c r="CL201" s="22">
        <f t="shared" si="1780"/>
        <v>-4.0190000000000001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4.163336342344337E-16</v>
      </c>
      <c r="DB201" s="21">
        <f t="shared" si="1780"/>
        <v>6.3837823915946501E-16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0</v>
      </c>
      <c r="Y202" s="23">
        <f t="shared" si="1781"/>
        <v>-0.1032</v>
      </c>
      <c r="Z202" s="23">
        <f t="shared" si="1781"/>
        <v>2.1000000000000046E-3</v>
      </c>
      <c r="AA202" s="23">
        <f t="shared" si="1781"/>
        <v>2.9999999999999472E-4</v>
      </c>
      <c r="AB202" s="24">
        <f t="shared" ref="AB202" si="1782">AA140-AB140</f>
        <v>-2.0000000000000573E-4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-0.10299999999999999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1.8999999999999989E-3</v>
      </c>
      <c r="CI202" s="23">
        <f t="shared" si="1837"/>
        <v>0</v>
      </c>
      <c r="CJ202" s="23">
        <f t="shared" si="1837"/>
        <v>-2.8999999999999998E-3</v>
      </c>
      <c r="CK202" s="24">
        <f t="shared" ref="CK202" si="1838">CJ140-CK140</f>
        <v>0</v>
      </c>
      <c r="CL202" s="23">
        <f t="shared" si="1837"/>
        <v>2.9999999999999888E-3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0</v>
      </c>
      <c r="L203" s="23">
        <f t="shared" si="1855"/>
        <v>0</v>
      </c>
      <c r="M203" s="23">
        <f t="shared" si="1855"/>
        <v>0</v>
      </c>
      <c r="N203" s="23">
        <f t="shared" si="1855"/>
        <v>0</v>
      </c>
      <c r="O203" s="23">
        <f t="shared" si="1855"/>
        <v>0</v>
      </c>
      <c r="P203" s="23">
        <f t="shared" si="1855"/>
        <v>0</v>
      </c>
      <c r="Q203" s="23">
        <f t="shared" si="1855"/>
        <v>0</v>
      </c>
      <c r="R203" s="23">
        <f t="shared" si="1855"/>
        <v>0</v>
      </c>
      <c r="S203" s="23">
        <f t="shared" si="1855"/>
        <v>0</v>
      </c>
      <c r="T203" s="23">
        <f t="shared" si="1855"/>
        <v>0</v>
      </c>
      <c r="U203" s="23">
        <f t="shared" si="1855"/>
        <v>-3.9999999999999964E-4</v>
      </c>
      <c r="V203" s="23">
        <f t="shared" si="1855"/>
        <v>1.9999999999999966E-4</v>
      </c>
      <c r="W203" s="23">
        <f t="shared" si="1855"/>
        <v>-0.37709999999999999</v>
      </c>
      <c r="X203" s="23">
        <f t="shared" si="1855"/>
        <v>-1.1120000000000001</v>
      </c>
      <c r="Y203" s="23">
        <f t="shared" si="1855"/>
        <v>-0.5334000000000001</v>
      </c>
      <c r="Z203" s="23">
        <f t="shared" si="1855"/>
        <v>-3.8330999999999991</v>
      </c>
      <c r="AA203" s="23">
        <f t="shared" si="1855"/>
        <v>-11.028500000000001</v>
      </c>
      <c r="AB203" s="24">
        <f t="shared" si="1855"/>
        <v>8.4001999999999999</v>
      </c>
      <c r="AC203" s="24">
        <f t="shared" si="1855"/>
        <v>0</v>
      </c>
      <c r="AD203" s="24">
        <f t="shared" si="1855"/>
        <v>0</v>
      </c>
      <c r="AE203" s="24">
        <f t="shared" si="1855"/>
        <v>1.4988010832439613E-15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0</v>
      </c>
      <c r="BN203" s="23">
        <f t="shared" si="1856"/>
        <v>0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0</v>
      </c>
      <c r="BS203" s="23">
        <f t="shared" si="1857"/>
        <v>0</v>
      </c>
      <c r="BT203" s="23">
        <f t="shared" si="1857"/>
        <v>0</v>
      </c>
      <c r="BU203" s="23">
        <f t="shared" si="1857"/>
        <v>-6.0000000000000001E-3</v>
      </c>
      <c r="BV203" s="23">
        <f t="shared" si="1857"/>
        <v>-0.371</v>
      </c>
      <c r="BW203" s="23">
        <f t="shared" si="1857"/>
        <v>-1.6000000000000014E-2</v>
      </c>
      <c r="BX203" s="23">
        <f t="shared" si="1857"/>
        <v>0.32399999999999995</v>
      </c>
      <c r="BY203" s="23">
        <f t="shared" si="1857"/>
        <v>-5.8999999999999997E-2</v>
      </c>
      <c r="BZ203" s="23">
        <f t="shared" si="1857"/>
        <v>-0.89100000000000001</v>
      </c>
      <c r="CA203" s="23">
        <f t="shared" si="1857"/>
        <v>-7.3999999999999955E-2</v>
      </c>
      <c r="CB203" s="23">
        <f t="shared" si="1857"/>
        <v>-9.099999999999997E-2</v>
      </c>
      <c r="CC203" s="23">
        <f t="shared" si="1857"/>
        <v>-8.5999999999999965E-2</v>
      </c>
      <c r="CD203" s="23">
        <f t="shared" si="1857"/>
        <v>-0.38900000000000001</v>
      </c>
      <c r="CE203" s="23">
        <f t="shared" si="1857"/>
        <v>-0.10299999999999998</v>
      </c>
      <c r="CF203" s="23">
        <f t="shared" si="1857"/>
        <v>-0.16500000000000004</v>
      </c>
      <c r="CG203" s="23">
        <f t="shared" si="1857"/>
        <v>-0.15599999999999992</v>
      </c>
      <c r="CH203" s="23">
        <f t="shared" si="1857"/>
        <v>-3.7725999999999988</v>
      </c>
      <c r="CI203" s="23">
        <f t="shared" si="1857"/>
        <v>0</v>
      </c>
      <c r="CJ203" s="23">
        <f t="shared" si="1857"/>
        <v>1.3925999999999994</v>
      </c>
      <c r="CK203" s="24">
        <f t="shared" si="1857"/>
        <v>0</v>
      </c>
      <c r="CL203" s="23">
        <f t="shared" si="1857"/>
        <v>-4.0220000000000002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4.163336342344337E-16</v>
      </c>
      <c r="DB203" s="24">
        <f t="shared" si="1858"/>
        <v>6.3837823915946501E-16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</v>
      </c>
      <c r="K205" s="22">
        <f t="shared" si="1859"/>
        <v>0</v>
      </c>
      <c r="L205" s="22">
        <f t="shared" si="1859"/>
        <v>0</v>
      </c>
      <c r="M205" s="22">
        <f t="shared" si="1859"/>
        <v>0</v>
      </c>
      <c r="N205" s="22">
        <f t="shared" si="1859"/>
        <v>0</v>
      </c>
      <c r="O205" s="22">
        <f t="shared" si="1859"/>
        <v>0</v>
      </c>
      <c r="P205" s="22">
        <f t="shared" si="1859"/>
        <v>0</v>
      </c>
      <c r="Q205" s="22">
        <f t="shared" si="1859"/>
        <v>0</v>
      </c>
      <c r="R205" s="22">
        <f t="shared" si="1859"/>
        <v>0</v>
      </c>
      <c r="S205" s="22">
        <f t="shared" si="1859"/>
        <v>0</v>
      </c>
      <c r="T205" s="22">
        <f t="shared" si="1859"/>
        <v>0</v>
      </c>
      <c r="U205" s="22">
        <f t="shared" si="1859"/>
        <v>1.7399999999999999E-2</v>
      </c>
      <c r="V205" s="22">
        <f t="shared" si="1859"/>
        <v>-1.0000000000000113E-4</v>
      </c>
      <c r="W205" s="22">
        <f t="shared" si="1859"/>
        <v>5.3075000000000019</v>
      </c>
      <c r="X205" s="22">
        <f t="shared" ref="X205:Y205" si="1860">X206+X207</f>
        <v>10.315699999999998</v>
      </c>
      <c r="Y205" s="22">
        <f t="shared" si="1860"/>
        <v>0.8762999999999932</v>
      </c>
      <c r="Z205" s="22">
        <f t="shared" ref="Z205:AA205" si="1861">Z206+Z207</f>
        <v>40.106699999999989</v>
      </c>
      <c r="AA205" s="22">
        <f t="shared" si="1861"/>
        <v>10.888100000000023</v>
      </c>
      <c r="AB205" s="21">
        <f t="shared" ref="AA205:AD205" si="1862">AB206+AB207</f>
        <v>1.0000000000331966E-4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0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0</v>
      </c>
      <c r="BO205" s="22">
        <f t="shared" si="1867"/>
        <v>0</v>
      </c>
      <c r="BP205" s="22">
        <f t="shared" si="1867"/>
        <v>0</v>
      </c>
      <c r="BQ205" s="22">
        <f t="shared" si="1867"/>
        <v>0</v>
      </c>
      <c r="BR205" s="22">
        <f t="shared" si="1867"/>
        <v>0</v>
      </c>
      <c r="BS205" s="22">
        <f t="shared" si="1867"/>
        <v>0</v>
      </c>
      <c r="BT205" s="22">
        <f t="shared" si="1867"/>
        <v>0</v>
      </c>
      <c r="BU205" s="22">
        <f t="shared" si="1867"/>
        <v>0</v>
      </c>
      <c r="BV205" s="22">
        <f t="shared" si="1867"/>
        <v>5.3289999999999988</v>
      </c>
      <c r="BW205" s="22">
        <f t="shared" si="1867"/>
        <v>-4.4408920985006262E-16</v>
      </c>
      <c r="BX205" s="22">
        <f t="shared" si="1867"/>
        <v>-8.5649999999999995</v>
      </c>
      <c r="BY205" s="22">
        <f t="shared" si="1867"/>
        <v>0</v>
      </c>
      <c r="BZ205" s="22">
        <f t="shared" si="1867"/>
        <v>18.911000000000001</v>
      </c>
      <c r="CA205" s="22">
        <f t="shared" si="1867"/>
        <v>0</v>
      </c>
      <c r="CB205" s="22">
        <f t="shared" si="1867"/>
        <v>-0.85699999999999887</v>
      </c>
      <c r="CC205" s="22">
        <f t="shared" si="1867"/>
        <v>0</v>
      </c>
      <c r="CD205" s="22">
        <f t="shared" si="1867"/>
        <v>1.7339999999999967</v>
      </c>
      <c r="CE205" s="22">
        <f t="shared" ref="CE205:CF205" si="1868">CE206+CE207</f>
        <v>0</v>
      </c>
      <c r="CF205" s="22">
        <f t="shared" si="1868"/>
        <v>42.445999999999998</v>
      </c>
      <c r="CG205" s="22">
        <f t="shared" ref="CG205:CH205" si="1869">CG206+CG207</f>
        <v>0</v>
      </c>
      <c r="CH205" s="22">
        <f t="shared" si="1869"/>
        <v>-2.3369000000000115</v>
      </c>
      <c r="CI205" s="22">
        <f t="shared" ref="CI205:CJ205" si="1870">CI206+CI207</f>
        <v>0</v>
      </c>
      <c r="CJ205" s="22">
        <f t="shared" si="1870"/>
        <v>10.881900000000002</v>
      </c>
      <c r="CK205" s="21">
        <f t="shared" ref="CK205:DB205" si="1871">CK206+CK207</f>
        <v>0</v>
      </c>
      <c r="CL205" s="22">
        <f t="shared" si="1871"/>
        <v>8.9999999999861302E-3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-5.6843418860808015E-14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3.5999999999999999E-3</v>
      </c>
      <c r="V206" s="23">
        <f t="shared" si="1872"/>
        <v>0</v>
      </c>
      <c r="W206" s="23">
        <f t="shared" si="1872"/>
        <v>5.3092000000000006</v>
      </c>
      <c r="X206" s="23">
        <f t="shared" si="1872"/>
        <v>-4.4579000000000004</v>
      </c>
      <c r="Y206" s="23">
        <f t="shared" si="1872"/>
        <v>0.87640000000000007</v>
      </c>
      <c r="Z206" s="23">
        <f t="shared" si="1872"/>
        <v>-1.7313000000000001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5.3129999999999997</v>
      </c>
      <c r="BW206" s="23">
        <f t="shared" ref="BW206" si="1917">BW128-BV128</f>
        <v>0</v>
      </c>
      <c r="BX206" s="23">
        <f t="shared" ref="BX206" si="1918">BX128-BW128</f>
        <v>-5.3129999999999997</v>
      </c>
      <c r="BY206" s="23">
        <f t="shared" ref="BY206" si="1919">BY128-BX128</f>
        <v>0</v>
      </c>
      <c r="BZ206" s="23">
        <f t="shared" ref="BZ206" si="1920">BZ128-BY128</f>
        <v>0.85499999999999998</v>
      </c>
      <c r="CA206" s="23">
        <f t="shared" ref="CA206" si="1921">CA128-BZ128</f>
        <v>0</v>
      </c>
      <c r="CB206" s="23">
        <f t="shared" ref="CB206" si="1922">CB128-CA128</f>
        <v>-0.85499999999999998</v>
      </c>
      <c r="CC206" s="23">
        <f t="shared" ref="CC206" si="1923">CC128-CB128</f>
        <v>0</v>
      </c>
      <c r="CD206" s="23">
        <f t="shared" ref="CD206" si="1924">CD128-CC128</f>
        <v>1.7310000000000001</v>
      </c>
      <c r="CE206" s="23">
        <f t="shared" ref="CE206" si="1925">CE128-CD128</f>
        <v>0</v>
      </c>
      <c r="CF206" s="23">
        <f t="shared" ref="CF206" si="1926">CF128-CE128</f>
        <v>0.58799999999999986</v>
      </c>
      <c r="CG206" s="23">
        <f t="shared" ref="CG206" si="1927">CG128-CF128</f>
        <v>0</v>
      </c>
      <c r="CH206" s="23">
        <f t="shared" ref="CH206:CL206" si="1928">CH128-CG128</f>
        <v>-2.319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</v>
      </c>
      <c r="K207" s="23">
        <f t="shared" si="1946"/>
        <v>0</v>
      </c>
      <c r="L207" s="23">
        <f t="shared" si="1946"/>
        <v>0</v>
      </c>
      <c r="M207" s="23">
        <f t="shared" si="1946"/>
        <v>0</v>
      </c>
      <c r="N207" s="23">
        <f t="shared" si="1946"/>
        <v>0</v>
      </c>
      <c r="O207" s="23">
        <f t="shared" si="1946"/>
        <v>0</v>
      </c>
      <c r="P207" s="23">
        <f t="shared" si="1946"/>
        <v>0</v>
      </c>
      <c r="Q207" s="23">
        <f t="shared" si="1946"/>
        <v>0</v>
      </c>
      <c r="R207" s="23">
        <f t="shared" si="1946"/>
        <v>0</v>
      </c>
      <c r="S207" s="23">
        <f t="shared" si="1946"/>
        <v>0</v>
      </c>
      <c r="T207" s="23">
        <f t="shared" si="1946"/>
        <v>0</v>
      </c>
      <c r="U207" s="23">
        <f t="shared" si="1946"/>
        <v>1.38E-2</v>
      </c>
      <c r="V207" s="23">
        <f t="shared" si="1946"/>
        <v>-1.0000000000000113E-4</v>
      </c>
      <c r="W207" s="23">
        <f t="shared" si="1946"/>
        <v>-1.6999999999989315E-3</v>
      </c>
      <c r="X207" s="23">
        <f t="shared" si="1946"/>
        <v>14.773599999999998</v>
      </c>
      <c r="Y207" s="23">
        <f t="shared" si="1946"/>
        <v>-1.0000000000687237E-4</v>
      </c>
      <c r="Z207" s="23">
        <f t="shared" si="1946"/>
        <v>41.837999999999987</v>
      </c>
      <c r="AA207" s="23">
        <f t="shared" si="1946"/>
        <v>10.888100000000023</v>
      </c>
      <c r="AB207" s="24">
        <f t="shared" si="1946"/>
        <v>1.0000000000331966E-4</v>
      </c>
      <c r="AC207" s="24">
        <f t="shared" si="1946"/>
        <v>0</v>
      </c>
      <c r="AD207" s="24">
        <f t="shared" si="1946"/>
        <v>0</v>
      </c>
      <c r="AE207" s="24">
        <f t="shared" si="1946"/>
        <v>0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0</v>
      </c>
      <c r="BO207" s="23">
        <f t="shared" ref="BO207:CT207" si="1948">BO120-BO48-BN120+BO122-BN122</f>
        <v>0</v>
      </c>
      <c r="BP207" s="23">
        <f t="shared" si="1948"/>
        <v>0</v>
      </c>
      <c r="BQ207" s="23">
        <f t="shared" si="1948"/>
        <v>0</v>
      </c>
      <c r="BR207" s="23">
        <f t="shared" si="1948"/>
        <v>0</v>
      </c>
      <c r="BS207" s="23">
        <f t="shared" si="1948"/>
        <v>0</v>
      </c>
      <c r="BT207" s="23">
        <f t="shared" si="1948"/>
        <v>0</v>
      </c>
      <c r="BU207" s="23">
        <f t="shared" si="1948"/>
        <v>0</v>
      </c>
      <c r="BV207" s="23">
        <f t="shared" si="1948"/>
        <v>1.5999999999999459E-2</v>
      </c>
      <c r="BW207" s="23">
        <f t="shared" si="1948"/>
        <v>-4.4408920985006262E-16</v>
      </c>
      <c r="BX207" s="23">
        <f t="shared" si="1948"/>
        <v>-3.2519999999999998</v>
      </c>
      <c r="BY207" s="23">
        <f t="shared" si="1948"/>
        <v>0</v>
      </c>
      <c r="BZ207" s="23">
        <f t="shared" si="1948"/>
        <v>18.056000000000001</v>
      </c>
      <c r="CA207" s="23">
        <f t="shared" si="1948"/>
        <v>0</v>
      </c>
      <c r="CB207" s="23">
        <f t="shared" si="1948"/>
        <v>-1.9999999999988916E-3</v>
      </c>
      <c r="CC207" s="23">
        <f t="shared" si="1948"/>
        <v>0</v>
      </c>
      <c r="CD207" s="23">
        <f t="shared" si="1948"/>
        <v>2.999999999996561E-3</v>
      </c>
      <c r="CE207" s="23">
        <f t="shared" si="1948"/>
        <v>0</v>
      </c>
      <c r="CF207" s="23">
        <f t="shared" si="1948"/>
        <v>41.857999999999997</v>
      </c>
      <c r="CG207" s="23">
        <f t="shared" si="1948"/>
        <v>0</v>
      </c>
      <c r="CH207" s="23">
        <f t="shared" si="1948"/>
        <v>-1.7900000000011573E-2</v>
      </c>
      <c r="CI207" s="23">
        <f t="shared" si="1948"/>
        <v>0</v>
      </c>
      <c r="CJ207" s="23">
        <f t="shared" si="1948"/>
        <v>10.881900000000002</v>
      </c>
      <c r="CK207" s="24">
        <f t="shared" si="1948"/>
        <v>0</v>
      </c>
      <c r="CL207" s="23">
        <f t="shared" si="1948"/>
        <v>8.9999999999861302E-3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-5.6843418860808015E-14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0</v>
      </c>
      <c r="L209" s="23">
        <f t="shared" ref="L209" si="1956">K161</f>
        <v>0</v>
      </c>
      <c r="M209" s="23">
        <f t="shared" ref="M209" si="1957">L161</f>
        <v>0</v>
      </c>
      <c r="N209" s="23">
        <f t="shared" ref="N209" si="1958">M161</f>
        <v>0</v>
      </c>
      <c r="O209" s="23">
        <f t="shared" ref="O209" si="1959">N161</f>
        <v>0</v>
      </c>
      <c r="P209" s="23">
        <f t="shared" ref="P209" si="1960">O161</f>
        <v>0</v>
      </c>
      <c r="Q209" s="23">
        <f t="shared" ref="Q209" si="1961">P161</f>
        <v>0</v>
      </c>
      <c r="R209" s="23">
        <f t="shared" ref="R209" si="1962">Q161</f>
        <v>0</v>
      </c>
      <c r="S209" s="23">
        <f t="shared" ref="S209" si="1963">R161</f>
        <v>0</v>
      </c>
      <c r="T209" s="23">
        <f t="shared" ref="T209" si="1964">S161</f>
        <v>0</v>
      </c>
      <c r="U209" s="23">
        <f t="shared" ref="U209" si="1965">T161</f>
        <v>0</v>
      </c>
      <c r="V209" s="23">
        <f t="shared" ref="V209" si="1966">U161</f>
        <v>2.0799999999999999E-2</v>
      </c>
      <c r="W209" s="23">
        <f t="shared" ref="W209:AA209" si="1967">V161</f>
        <v>1.89E-2</v>
      </c>
      <c r="X209" s="23">
        <f t="shared" si="1967"/>
        <v>0.62549999999999994</v>
      </c>
      <c r="Y209" s="23">
        <f t="shared" si="1967"/>
        <v>11.337300000000001</v>
      </c>
      <c r="Z209" s="23">
        <f t="shared" si="1967"/>
        <v>0.7974</v>
      </c>
      <c r="AA209" s="23">
        <f t="shared" si="1967"/>
        <v>54.129600000000003</v>
      </c>
      <c r="AB209" s="24">
        <f t="shared" ref="AB209" si="1968">AA161</f>
        <v>72.751900000000006</v>
      </c>
      <c r="AC209" s="24">
        <f t="shared" ref="AC209" si="1969">AB161</f>
        <v>92.319968161393831</v>
      </c>
      <c r="AD209" s="24">
        <f t="shared" ref="AD209" si="1970">AC161</f>
        <v>116.79885827684494</v>
      </c>
      <c r="AE209" s="24">
        <f t="shared" ref="AE209" si="1971">AD161</f>
        <v>149.39444630356013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0</v>
      </c>
      <c r="BP209" s="23" t="e">
        <f t="shared" ref="BP209" si="2005">BO161</f>
        <v>#DIV/0!</v>
      </c>
      <c r="BQ209" s="23">
        <f t="shared" ref="BQ209" si="2006">BP161</f>
        <v>0</v>
      </c>
      <c r="BR209" s="23" t="e">
        <f t="shared" ref="BR209" si="2007">BQ161</f>
        <v>#DIV/0!</v>
      </c>
      <c r="BS209" s="23">
        <f t="shared" ref="BS209" si="2008">BR161</f>
        <v>0</v>
      </c>
      <c r="BT209" s="23" t="e">
        <f t="shared" ref="BT209" si="2009">BS161</f>
        <v>#DIV/0!</v>
      </c>
      <c r="BU209" s="23">
        <f t="shared" ref="BU209" si="2010">BT161</f>
        <v>0</v>
      </c>
      <c r="BV209" s="23" t="e">
        <f t="shared" ref="BV209" si="2011">BU161</f>
        <v>#DIV/0!</v>
      </c>
      <c r="BW209" s="23">
        <f t="shared" ref="BW209" si="2012">BV161</f>
        <v>0.626</v>
      </c>
      <c r="BX209" s="23">
        <f t="shared" ref="BX209" si="2013">BW161</f>
        <v>0.80663234042553211</v>
      </c>
      <c r="BY209" s="23">
        <f t="shared" ref="BY209" si="2014">BX161</f>
        <v>0</v>
      </c>
      <c r="BZ209" s="23">
        <f t="shared" ref="BZ209" si="2015">BY161</f>
        <v>1.175999999999999</v>
      </c>
      <c r="CA209" s="23">
        <f t="shared" ref="CA209" si="2016">BZ161</f>
        <v>11.337</v>
      </c>
      <c r="CB209" s="23">
        <f t="shared" ref="CB209" si="2017">CA161</f>
        <v>13.336857545839212</v>
      </c>
      <c r="CC209" s="23">
        <f t="shared" ref="CC209" si="2018">CB161</f>
        <v>14.275</v>
      </c>
      <c r="CD209" s="23">
        <f t="shared" ref="CD209" si="2019">CC161</f>
        <v>11.446991479903687</v>
      </c>
      <c r="CE209" s="23">
        <f t="shared" ref="CE209" si="2020">CD161</f>
        <v>0.79799999999999993</v>
      </c>
      <c r="CF209" s="23">
        <f t="shared" ref="CF209" si="2021">CE161</f>
        <v>-43.08016315652624</v>
      </c>
      <c r="CG209" s="23">
        <f t="shared" ref="CG209" si="2022">CF161</f>
        <v>53.111000000000004</v>
      </c>
      <c r="CH209" s="23">
        <f t="shared" ref="CH209:CL209" si="2023">CG161</f>
        <v>40.959008801359438</v>
      </c>
      <c r="CI209" s="23">
        <f t="shared" si="2023"/>
        <v>54.129600000000003</v>
      </c>
      <c r="CJ209" s="23">
        <f t="shared" si="2023"/>
        <v>51.440113598095827</v>
      </c>
      <c r="CK209" s="24">
        <f t="shared" ref="CK209" si="2024">CJ161</f>
        <v>68.960999999999999</v>
      </c>
      <c r="CL209" s="23">
        <f t="shared" si="2023"/>
        <v>80.425541508784036</v>
      </c>
      <c r="CM209" s="24">
        <f t="shared" ref="CM209" si="2025">CL161</f>
        <v>72.751999999999995</v>
      </c>
      <c r="CN209" s="24">
        <f t="shared" ref="CN209" si="2026">CM161</f>
        <v>67.68854062850717</v>
      </c>
      <c r="CO209" s="24">
        <f t="shared" ref="CO209" si="2027">CN161</f>
        <v>11.696150024991162</v>
      </c>
      <c r="CP209" s="24">
        <f t="shared" ref="CP209" si="2028">CO161</f>
        <v>38.502560477219284</v>
      </c>
      <c r="CQ209" s="24">
        <f t="shared" ref="CQ209" si="2029">CP161</f>
        <v>92.319968161393831</v>
      </c>
      <c r="CR209" s="24">
        <f t="shared" ref="CR209" si="2030">CQ161</f>
        <v>84.170701611932429</v>
      </c>
      <c r="CS209" s="24">
        <f t="shared" ref="CS209" si="2031">CR161</f>
        <v>4.6526258013651045</v>
      </c>
      <c r="CT209" s="24">
        <f t="shared" ref="CT209" si="2032">CS161</f>
        <v>44.006562063716103</v>
      </c>
      <c r="CU209" s="24">
        <f t="shared" ref="CU209" si="2033">CT161</f>
        <v>116.79885827684494</v>
      </c>
      <c r="CV209" s="24">
        <f t="shared" ref="CV209" si="2034">CU161</f>
        <v>105.12351066537499</v>
      </c>
      <c r="CW209" s="24">
        <f t="shared" ref="CW209" si="2035">CV161</f>
        <v>-4.2343277630405964</v>
      </c>
      <c r="CX209" s="24">
        <f t="shared" ref="CX209" si="2036">CW161</f>
        <v>50.106514432004786</v>
      </c>
      <c r="CY209" s="24">
        <f t="shared" ref="CY209" si="2037">CX161</f>
        <v>149.39444630356013</v>
      </c>
      <c r="CZ209" s="24">
        <f t="shared" ref="CZ209" si="2038">CY161</f>
        <v>133.20500613413381</v>
      </c>
      <c r="DA209" s="24">
        <f t="shared" ref="DA209" si="2039">CZ161</f>
        <v>-16.639166457048162</v>
      </c>
      <c r="DB209" s="24">
        <f t="shared" ref="DB209" si="2040">DA161</f>
        <v>57.753213910377866</v>
      </c>
      <c r="DE209" s="123"/>
      <c r="DF209" s="23">
        <v>80.425541508784036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41"/>
        <v>0</v>
      </c>
      <c r="O210" s="23">
        <f t="shared" si="2041"/>
        <v>0</v>
      </c>
      <c r="P210" s="23">
        <f t="shared" si="2041"/>
        <v>0</v>
      </c>
      <c r="Q210" s="23">
        <f t="shared" si="2041"/>
        <v>0</v>
      </c>
      <c r="R210" s="23">
        <f t="shared" si="2041"/>
        <v>0</v>
      </c>
      <c r="S210" s="23">
        <f t="shared" si="2041"/>
        <v>0</v>
      </c>
      <c r="T210" s="23">
        <f t="shared" si="2041"/>
        <v>0</v>
      </c>
      <c r="U210" s="23">
        <f t="shared" si="2041"/>
        <v>2.0799999999999999E-2</v>
      </c>
      <c r="V210" s="23">
        <f t="shared" si="2041"/>
        <v>1.8899999999999997E-2</v>
      </c>
      <c r="W210" s="23">
        <f t="shared" si="2041"/>
        <v>0.6255000000000015</v>
      </c>
      <c r="X210" s="23">
        <f t="shared" ref="X210:Y210" si="2042">X209+X205+X201+X199</f>
        <v>11.337300000000003</v>
      </c>
      <c r="Y210" s="23">
        <f t="shared" si="2042"/>
        <v>0.79739999999999966</v>
      </c>
      <c r="Z210" s="23">
        <f t="shared" ref="Z210:AA210" si="2043">Z209+Z205+Z201+Z199</f>
        <v>54.129600000000003</v>
      </c>
      <c r="AA210" s="23">
        <f t="shared" si="2043"/>
        <v>72.751900000000035</v>
      </c>
      <c r="AB210" s="24">
        <f t="shared" ref="AA210:AD210" si="2044">AB209+AB205+AB201+AB199</f>
        <v>92.31896816139384</v>
      </c>
      <c r="AC210" s="24">
        <f t="shared" si="2044"/>
        <v>116.79885827684495</v>
      </c>
      <c r="AD210" s="24">
        <f t="shared" si="2044"/>
        <v>149.39444630356022</v>
      </c>
      <c r="AE210" s="24">
        <f t="shared" ref="AE210" si="2045">AE209+AE205+AE201+AE199</f>
        <v>193.50981792941838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 t="e">
        <f t="shared" si="2049"/>
        <v>#DIV/0!</v>
      </c>
      <c r="BP210" s="23" t="e">
        <f t="shared" si="2049"/>
        <v>#DIV/0!</v>
      </c>
      <c r="BQ210" s="23" t="e">
        <f t="shared" si="2049"/>
        <v>#DIV/0!</v>
      </c>
      <c r="BR210" s="23" t="e">
        <f t="shared" si="2049"/>
        <v>#DIV/0!</v>
      </c>
      <c r="BS210" s="23" t="e">
        <f t="shared" si="2049"/>
        <v>#DIV/0!</v>
      </c>
      <c r="BT210" s="23" t="e">
        <f t="shared" si="2049"/>
        <v>#DIV/0!</v>
      </c>
      <c r="BU210" s="23" t="e">
        <f t="shared" si="2049"/>
        <v>#DIV/0!</v>
      </c>
      <c r="BV210" s="23" t="e">
        <f t="shared" si="2049"/>
        <v>#DIV/0!</v>
      </c>
      <c r="BW210" s="23">
        <f t="shared" si="2049"/>
        <v>0.80663234042553211</v>
      </c>
      <c r="BX210" s="23">
        <f t="shared" si="2049"/>
        <v>0</v>
      </c>
      <c r="BY210" s="23">
        <f t="shared" si="2049"/>
        <v>1.175999999999999</v>
      </c>
      <c r="BZ210" s="23">
        <f t="shared" si="2049"/>
        <v>11.337</v>
      </c>
      <c r="CA210" s="23">
        <f t="shared" si="2049"/>
        <v>13.336857545839212</v>
      </c>
      <c r="CB210" s="23">
        <f t="shared" si="2049"/>
        <v>14.275000000000002</v>
      </c>
      <c r="CC210" s="23">
        <f t="shared" si="2049"/>
        <v>11.446991479903687</v>
      </c>
      <c r="CD210" s="23">
        <f t="shared" si="2049"/>
        <v>0.79899999999999594</v>
      </c>
      <c r="CE210" s="23">
        <f t="shared" ref="CE210:CF210" si="2050">CE209+CE205+CE201+CE199</f>
        <v>-43.08016315652624</v>
      </c>
      <c r="CF210" s="23">
        <f t="shared" si="2050"/>
        <v>53.109000000000002</v>
      </c>
      <c r="CG210" s="23">
        <f t="shared" ref="CG210:CH210" si="2051">CG209+CG205+CG201+CG199</f>
        <v>40.959008801359438</v>
      </c>
      <c r="CH210" s="23">
        <f t="shared" si="2051"/>
        <v>54.130600000000001</v>
      </c>
      <c r="CI210" s="23">
        <f t="shared" ref="CI210:CJ210" si="2052">CI209+CI205+CI201+CI199</f>
        <v>51.440113598095827</v>
      </c>
      <c r="CJ210" s="23">
        <f t="shared" si="2052"/>
        <v>68.962000000000018</v>
      </c>
      <c r="CK210" s="24">
        <f t="shared" ref="CK210:DB210" si="2053">CK209+CK205+CK201+CK199</f>
        <v>80.425541508784036</v>
      </c>
      <c r="CL210" s="23">
        <f t="shared" si="2053"/>
        <v>72.75</v>
      </c>
      <c r="CM210" s="24">
        <f t="shared" si="2053"/>
        <v>67.68854062850717</v>
      </c>
      <c r="CN210" s="24">
        <f t="shared" si="2053"/>
        <v>11.696150024991162</v>
      </c>
      <c r="CO210" s="24">
        <f t="shared" si="2053"/>
        <v>38.502560477219284</v>
      </c>
      <c r="CP210" s="24">
        <f t="shared" si="2053"/>
        <v>92.319968161393831</v>
      </c>
      <c r="CQ210" s="24">
        <f t="shared" si="2053"/>
        <v>84.170701611932429</v>
      </c>
      <c r="CR210" s="24">
        <f t="shared" si="2053"/>
        <v>4.6526258013651045</v>
      </c>
      <c r="CS210" s="24">
        <f t="shared" si="2053"/>
        <v>44.006562063716103</v>
      </c>
      <c r="CT210" s="24">
        <f t="shared" si="2053"/>
        <v>116.79885827684494</v>
      </c>
      <c r="CU210" s="24">
        <f t="shared" si="2053"/>
        <v>105.12351066537499</v>
      </c>
      <c r="CV210" s="24">
        <f t="shared" si="2053"/>
        <v>-4.2343277630405964</v>
      </c>
      <c r="CW210" s="24">
        <f t="shared" si="2053"/>
        <v>50.106514432004786</v>
      </c>
      <c r="CX210" s="24">
        <f t="shared" si="2053"/>
        <v>149.39444630356013</v>
      </c>
      <c r="CY210" s="24">
        <f t="shared" si="2053"/>
        <v>133.20500613413381</v>
      </c>
      <c r="CZ210" s="24">
        <f t="shared" si="2053"/>
        <v>-16.639166457048162</v>
      </c>
      <c r="DA210" s="24">
        <f t="shared" si="2053"/>
        <v>57.753213910377866</v>
      </c>
      <c r="DB210" s="24">
        <f t="shared" si="2053"/>
        <v>193.50981792941835</v>
      </c>
      <c r="DE210" s="123"/>
      <c r="DF210" s="23">
        <v>105.62275310963444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1.5543122344752192E-15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-9.9999999999056399E-4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 t="e">
        <f t="shared" si="2062"/>
        <v>#DIV/0!</v>
      </c>
      <c r="BP211" s="28" t="e">
        <f t="shared" si="2062"/>
        <v>#DIV/0!</v>
      </c>
      <c r="BQ211" s="28" t="e">
        <f t="shared" si="2062"/>
        <v>#DIV/0!</v>
      </c>
      <c r="BR211" s="28" t="e">
        <f t="shared" si="2062"/>
        <v>#DIV/0!</v>
      </c>
      <c r="BS211" s="28" t="e">
        <f t="shared" si="2062"/>
        <v>#DIV/0!</v>
      </c>
      <c r="BT211" s="28" t="e">
        <f t="shared" si="2062"/>
        <v>#DIV/0!</v>
      </c>
      <c r="BU211" s="28" t="e">
        <f t="shared" si="2062"/>
        <v>#DIV/0!</v>
      </c>
      <c r="BV211" s="28" t="e">
        <f t="shared" si="2062"/>
        <v>#DIV/0!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9.9999999999600409E-4</v>
      </c>
      <c r="CE211" s="28">
        <f t="shared" ref="CE211:CF211" si="2063">CE210-CE161</f>
        <v>0</v>
      </c>
      <c r="CF211" s="28">
        <f t="shared" si="2063"/>
        <v>-2.0000000000024443E-3</v>
      </c>
      <c r="CG211" s="28">
        <f t="shared" ref="CG211:CH211" si="2064">CG210-CG161</f>
        <v>0</v>
      </c>
      <c r="CH211" s="28">
        <f t="shared" si="2064"/>
        <v>9.9999999999766942E-4</v>
      </c>
      <c r="CI211" s="28">
        <f t="shared" ref="CI211:CJ211" si="2065">CI210-CI161</f>
        <v>0</v>
      </c>
      <c r="CJ211" s="28">
        <f t="shared" si="2065"/>
        <v>1.0000000000189857E-3</v>
      </c>
      <c r="CK211" s="30">
        <f t="shared" ref="CK211:DB211" si="2066">CK210-CK161</f>
        <v>0</v>
      </c>
      <c r="CL211" s="28">
        <f t="shared" si="2066"/>
        <v>-1.9999999999953388E-3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0</v>
      </c>
      <c r="K213" s="22">
        <f t="shared" si="2067"/>
        <v>0</v>
      </c>
      <c r="L213" s="22">
        <f t="shared" si="2067"/>
        <v>0</v>
      </c>
      <c r="M213" s="22">
        <f t="shared" si="2067"/>
        <v>0</v>
      </c>
      <c r="N213" s="22">
        <f t="shared" si="2067"/>
        <v>0</v>
      </c>
      <c r="O213" s="22">
        <f t="shared" si="2067"/>
        <v>0</v>
      </c>
      <c r="P213" s="22">
        <f t="shared" si="2067"/>
        <v>0</v>
      </c>
      <c r="Q213" s="22">
        <f t="shared" si="2067"/>
        <v>0</v>
      </c>
      <c r="R213" s="22">
        <f t="shared" si="2067"/>
        <v>0</v>
      </c>
      <c r="S213" s="22">
        <f t="shared" si="2067"/>
        <v>0</v>
      </c>
      <c r="T213" s="22">
        <f t="shared" si="2067"/>
        <v>0</v>
      </c>
      <c r="U213" s="22">
        <f t="shared" si="2067"/>
        <v>3.4000000000000002E-3</v>
      </c>
      <c r="V213" s="22">
        <f t="shared" si="2067"/>
        <v>-1.7999999999999995E-3</v>
      </c>
      <c r="W213" s="22">
        <f t="shared" si="2067"/>
        <v>-4.7009000000000007</v>
      </c>
      <c r="X213" s="22">
        <f t="shared" ref="X213:Y213" si="2068">X199+X201</f>
        <v>0.39610000000000412</v>
      </c>
      <c r="Y213" s="22">
        <f t="shared" si="2068"/>
        <v>-11.416199999999995</v>
      </c>
      <c r="Z213" s="22">
        <f t="shared" ref="Z213:AA213" si="2069">Z199+Z201</f>
        <v>13.225500000000007</v>
      </c>
      <c r="AA213" s="22">
        <f t="shared" si="2069"/>
        <v>7.7342000000000155</v>
      </c>
      <c r="AB213" s="21">
        <f t="shared" ref="AA213:AD213" si="2070">AB199+AB201</f>
        <v>19.566968161393831</v>
      </c>
      <c r="AC213" s="21">
        <f t="shared" si="2070"/>
        <v>24.478890115451115</v>
      </c>
      <c r="AD213" s="21">
        <f t="shared" si="2070"/>
        <v>32.595588026715276</v>
      </c>
      <c r="AE213" s="21">
        <f t="shared" ref="AE213" si="2071">AE199+AE201</f>
        <v>44.115371625858231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 t="e">
        <f t="shared" si="2075"/>
        <v>#DIV/0!</v>
      </c>
      <c r="BP213" s="22" t="e">
        <f t="shared" si="2075"/>
        <v>#DIV/0!</v>
      </c>
      <c r="BQ213" s="22" t="e">
        <f t="shared" si="2075"/>
        <v>#DIV/0!</v>
      </c>
      <c r="BR213" s="22" t="e">
        <f t="shared" si="2075"/>
        <v>#DIV/0!</v>
      </c>
      <c r="BS213" s="22" t="e">
        <f t="shared" si="2075"/>
        <v>#DIV/0!</v>
      </c>
      <c r="BT213" s="22" t="e">
        <f t="shared" si="2075"/>
        <v>#DIV/0!</v>
      </c>
      <c r="BU213" s="22" t="e">
        <f t="shared" si="2075"/>
        <v>#DIV/0!</v>
      </c>
      <c r="BV213" s="22" t="e">
        <f t="shared" si="2075"/>
        <v>#DIV/0!</v>
      </c>
      <c r="BW213" s="22">
        <f t="shared" si="2075"/>
        <v>0.18063234042553256</v>
      </c>
      <c r="BX213" s="22">
        <f t="shared" si="2075"/>
        <v>7.7583676595744686</v>
      </c>
      <c r="BY213" s="22">
        <f t="shared" si="2075"/>
        <v>1.175999999999999</v>
      </c>
      <c r="BZ213" s="22">
        <f t="shared" si="2075"/>
        <v>-8.7499999999999964</v>
      </c>
      <c r="CA213" s="22">
        <f t="shared" si="2075"/>
        <v>1.9998575458392125</v>
      </c>
      <c r="CB213" s="22">
        <f t="shared" si="2075"/>
        <v>1.7951424541607885</v>
      </c>
      <c r="CC213" s="22">
        <f t="shared" si="2075"/>
        <v>-2.8280085200963119</v>
      </c>
      <c r="CD213" s="22">
        <f t="shared" si="2075"/>
        <v>-12.381991479903689</v>
      </c>
      <c r="CE213" s="22">
        <f t="shared" ref="CE213:CF213" si="2076">CE199+CE201</f>
        <v>-43.878163156526242</v>
      </c>
      <c r="CF213" s="22">
        <f t="shared" si="2076"/>
        <v>53.743163156526244</v>
      </c>
      <c r="CG213" s="22">
        <f t="shared" ref="CG213:CH213" si="2077">CG199+CG201</f>
        <v>-12.151991198640566</v>
      </c>
      <c r="CH213" s="22">
        <f t="shared" si="2077"/>
        <v>15.508491198640574</v>
      </c>
      <c r="CI213" s="22">
        <f t="shared" ref="CI213:CJ213" si="2078">CI199+CI201</f>
        <v>-2.6894864019041789</v>
      </c>
      <c r="CJ213" s="22">
        <f t="shared" si="2078"/>
        <v>6.6399864019041832</v>
      </c>
      <c r="CK213" s="21">
        <f t="shared" ref="CK213:DB213" si="2079">CK199+CK201</f>
        <v>11.464541508784034</v>
      </c>
      <c r="CL213" s="22">
        <f t="shared" si="2079"/>
        <v>-7.6845415087840223</v>
      </c>
      <c r="CM213" s="21">
        <f t="shared" si="2079"/>
        <v>-5.0634593714928204</v>
      </c>
      <c r="CN213" s="21">
        <f t="shared" si="2079"/>
        <v>-55.992390603516007</v>
      </c>
      <c r="CO213" s="21">
        <f t="shared" si="2079"/>
        <v>26.806410452228121</v>
      </c>
      <c r="CP213" s="21">
        <f t="shared" si="2079"/>
        <v>53.817407684174555</v>
      </c>
      <c r="CQ213" s="21">
        <f t="shared" si="2079"/>
        <v>-8.1492665494614034</v>
      </c>
      <c r="CR213" s="21">
        <f t="shared" si="2079"/>
        <v>-79.518075810567325</v>
      </c>
      <c r="CS213" s="21">
        <f t="shared" si="2079"/>
        <v>39.353936262350999</v>
      </c>
      <c r="CT213" s="21">
        <f t="shared" si="2079"/>
        <v>72.792296213128836</v>
      </c>
      <c r="CU213" s="21">
        <f t="shared" si="2079"/>
        <v>-11.675347611469945</v>
      </c>
      <c r="CV213" s="21">
        <f t="shared" si="2079"/>
        <v>-109.35783842841559</v>
      </c>
      <c r="CW213" s="21">
        <f t="shared" si="2079"/>
        <v>54.34084219504544</v>
      </c>
      <c r="CX213" s="21">
        <f t="shared" si="2079"/>
        <v>99.287931871555344</v>
      </c>
      <c r="CY213" s="21">
        <f t="shared" si="2079"/>
        <v>-16.189440169426316</v>
      </c>
      <c r="CZ213" s="21">
        <f t="shared" si="2079"/>
        <v>-149.84417259118197</v>
      </c>
      <c r="DA213" s="21">
        <f t="shared" si="2079"/>
        <v>74.392380367426028</v>
      </c>
      <c r="DB213" s="21">
        <f t="shared" si="2079"/>
        <v>135.75660401904048</v>
      </c>
      <c r="DE213" s="126"/>
      <c r="DF213" s="22">
        <v>25.197211600850405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0</v>
      </c>
      <c r="BN225" s="66">
        <f t="shared" si="2080"/>
        <v>0</v>
      </c>
      <c r="BO225" s="66">
        <f t="shared" si="2080"/>
        <v>0</v>
      </c>
      <c r="BP225" s="66">
        <f t="shared" si="2080"/>
        <v>0</v>
      </c>
      <c r="BQ225" s="66">
        <f t="shared" si="2080"/>
        <v>0</v>
      </c>
      <c r="BR225" s="66">
        <f t="shared" ref="BR225:CW225" si="2081">SUM(BO10:BR10)</f>
        <v>0</v>
      </c>
      <c r="BS225" s="66">
        <f t="shared" si="2081"/>
        <v>0</v>
      </c>
      <c r="BT225" s="66">
        <f t="shared" si="2081"/>
        <v>0</v>
      </c>
      <c r="BU225" s="66">
        <f t="shared" si="2081"/>
        <v>1.24</v>
      </c>
      <c r="BV225" s="66">
        <f t="shared" si="2081"/>
        <v>5.94</v>
      </c>
      <c r="BW225" s="66">
        <f t="shared" si="2081"/>
        <v>11.268000000000001</v>
      </c>
      <c r="BX225" s="66">
        <f t="shared" si="2081"/>
        <v>17.831</v>
      </c>
      <c r="BY225" s="66">
        <f t="shared" si="2081"/>
        <v>26.283000000000001</v>
      </c>
      <c r="BZ225" s="66">
        <f t="shared" si="2081"/>
        <v>28.672999999999998</v>
      </c>
      <c r="CA225" s="66">
        <f t="shared" si="2081"/>
        <v>29.869999999999997</v>
      </c>
      <c r="CB225" s="66">
        <f t="shared" si="2081"/>
        <v>34.105000000000004</v>
      </c>
      <c r="CC225" s="66">
        <f t="shared" si="2081"/>
        <v>42.195</v>
      </c>
      <c r="CD225" s="66">
        <f t="shared" si="2081"/>
        <v>50.489000000000004</v>
      </c>
      <c r="CE225" s="66">
        <f t="shared" si="2081"/>
        <v>88.418999999999997</v>
      </c>
      <c r="CF225" s="66">
        <f t="shared" si="2081"/>
        <v>100.572</v>
      </c>
      <c r="CG225" s="66">
        <f t="shared" si="2081"/>
        <v>119.03399999999999</v>
      </c>
      <c r="CH225" s="66">
        <f t="shared" si="2081"/>
        <v>126.337</v>
      </c>
      <c r="CI225" s="66">
        <f t="shared" si="2081"/>
        <v>109.19300000000001</v>
      </c>
      <c r="CJ225" s="66">
        <f t="shared" si="2081"/>
        <v>132.69</v>
      </c>
      <c r="CK225" s="50">
        <f t="shared" si="2081"/>
        <v>142.50200000000001</v>
      </c>
      <c r="CL225" s="66">
        <f t="shared" si="2081"/>
        <v>149.40199999999999</v>
      </c>
      <c r="CM225" s="50">
        <f t="shared" si="2081"/>
        <v>157.6840676444985</v>
      </c>
      <c r="CN225" s="50">
        <f t="shared" si="2081"/>
        <v>179.76892662093465</v>
      </c>
      <c r="CO225" s="50">
        <f t="shared" si="2081"/>
        <v>195.35410172401265</v>
      </c>
      <c r="CP225" s="50">
        <f t="shared" si="2081"/>
        <v>205.86680883433232</v>
      </c>
      <c r="CQ225" s="50">
        <f t="shared" si="2081"/>
        <v>218.96894127370436</v>
      </c>
      <c r="CR225" s="50">
        <f t="shared" si="2081"/>
        <v>245.30775169955473</v>
      </c>
      <c r="CS225" s="50">
        <f t="shared" si="2081"/>
        <v>267.5932586930943</v>
      </c>
      <c r="CT225" s="50">
        <f t="shared" si="2081"/>
        <v>282.32272379557361</v>
      </c>
      <c r="CU225" s="50">
        <f t="shared" si="2081"/>
        <v>300.35565201228292</v>
      </c>
      <c r="CV225" s="50">
        <f t="shared" si="2081"/>
        <v>335.54126277471698</v>
      </c>
      <c r="CW225" s="50">
        <f t="shared" si="2081"/>
        <v>366.38548108060058</v>
      </c>
      <c r="CX225" s="50">
        <f t="shared" ref="CX225:DB225" si="2082">SUM(CU10:CX10)</f>
        <v>386.61790090754499</v>
      </c>
      <c r="CY225" s="50">
        <f t="shared" si="2082"/>
        <v>411.26928174409687</v>
      </c>
      <c r="CZ225" s="50">
        <f t="shared" si="2082"/>
        <v>459.2873441970533</v>
      </c>
      <c r="DA225" s="50">
        <f t="shared" si="2082"/>
        <v>501.61368489842869</v>
      </c>
      <c r="DB225" s="50">
        <f t="shared" si="2082"/>
        <v>529.31958076258104</v>
      </c>
      <c r="DE225" s="138"/>
      <c r="DF225" s="66">
        <v>150.34929754180996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0</v>
      </c>
      <c r="BN226" s="66">
        <f t="shared" si="2083"/>
        <v>0</v>
      </c>
      <c r="BO226" s="66">
        <f t="shared" si="2083"/>
        <v>0</v>
      </c>
      <c r="BP226" s="66">
        <f t="shared" si="2083"/>
        <v>0</v>
      </c>
      <c r="BQ226" s="66">
        <f t="shared" si="2083"/>
        <v>0</v>
      </c>
      <c r="BR226" s="66">
        <f t="shared" ref="BR226:CW226" si="2084">SUM(BO28:BR28)</f>
        <v>0</v>
      </c>
      <c r="BS226" s="66">
        <f t="shared" si="2084"/>
        <v>0</v>
      </c>
      <c r="BT226" s="66">
        <f t="shared" si="2084"/>
        <v>0</v>
      </c>
      <c r="BU226" s="66">
        <f t="shared" si="2084"/>
        <v>0.29900000000000021</v>
      </c>
      <c r="BV226" s="66">
        <f t="shared" si="2084"/>
        <v>1.5240000000000005</v>
      </c>
      <c r="BW226" s="66">
        <f t="shared" si="2084"/>
        <v>2.8290000000000006</v>
      </c>
      <c r="BX226" s="66">
        <f t="shared" si="2084"/>
        <v>4.5390000000000006</v>
      </c>
      <c r="BY226" s="66">
        <f t="shared" si="2084"/>
        <v>5.9469999999999992</v>
      </c>
      <c r="BZ226" s="66">
        <f t="shared" si="2084"/>
        <v>6.5620000000000003</v>
      </c>
      <c r="CA226" s="66">
        <f t="shared" si="2084"/>
        <v>6.6859999999999999</v>
      </c>
      <c r="CB226" s="66">
        <f t="shared" si="2084"/>
        <v>7.4210000000000012</v>
      </c>
      <c r="CC226" s="66">
        <f t="shared" si="2084"/>
        <v>9.9000000000000021</v>
      </c>
      <c r="CD226" s="66">
        <f t="shared" si="2084"/>
        <v>11.231000000000005</v>
      </c>
      <c r="CE226" s="66">
        <f t="shared" si="2084"/>
        <v>23.969000000000005</v>
      </c>
      <c r="CF226" s="66">
        <f t="shared" si="2084"/>
        <v>28.467000000000006</v>
      </c>
      <c r="CG226" s="66">
        <f t="shared" si="2084"/>
        <v>35.88000000000001</v>
      </c>
      <c r="CH226" s="66">
        <f t="shared" si="2084"/>
        <v>37.446000000000012</v>
      </c>
      <c r="CI226" s="66">
        <f t="shared" si="2084"/>
        <v>29.624000000000006</v>
      </c>
      <c r="CJ226" s="66">
        <f t="shared" si="2084"/>
        <v>35.692000000000007</v>
      </c>
      <c r="CK226" s="50">
        <f t="shared" si="2084"/>
        <v>37.424000000000007</v>
      </c>
      <c r="CL226" s="66">
        <f t="shared" si="2084"/>
        <v>39.630000000000003</v>
      </c>
      <c r="CM226" s="50">
        <f t="shared" si="2084"/>
        <v>42.508583277696637</v>
      </c>
      <c r="CN226" s="50">
        <f t="shared" si="2084"/>
        <v>47.716622837508311</v>
      </c>
      <c r="CO226" s="50">
        <f t="shared" si="2084"/>
        <v>50.552555582599453</v>
      </c>
      <c r="CP226" s="50">
        <f t="shared" si="2084"/>
        <v>53.854253866449383</v>
      </c>
      <c r="CQ226" s="50">
        <f t="shared" si="2084"/>
        <v>57.324769795275969</v>
      </c>
      <c r="CR226" s="50">
        <f t="shared" si="2084"/>
        <v>63.873976417725586</v>
      </c>
      <c r="CS226" s="50">
        <f t="shared" si="2084"/>
        <v>69.517729046011979</v>
      </c>
      <c r="CT226" s="50">
        <f t="shared" si="2084"/>
        <v>73.48906088452587</v>
      </c>
      <c r="CU226" s="50">
        <f t="shared" si="2084"/>
        <v>78.159493933700162</v>
      </c>
      <c r="CV226" s="50">
        <f t="shared" si="2084"/>
        <v>87.220952537281647</v>
      </c>
      <c r="CW226" s="50">
        <f t="shared" si="2084"/>
        <v>95.236308737648059</v>
      </c>
      <c r="CX226" s="50">
        <f t="shared" ref="CX226:DB226" si="2085">SUM(CU28:CX28)</f>
        <v>100.52681869511373</v>
      </c>
      <c r="CY226" s="50">
        <f t="shared" si="2085"/>
        <v>106.92302272220948</v>
      </c>
      <c r="CZ226" s="50">
        <f t="shared" si="2085"/>
        <v>119.38778099915427</v>
      </c>
      <c r="DA226" s="50">
        <f t="shared" si="2085"/>
        <v>130.3968965595509</v>
      </c>
      <c r="DB226" s="50">
        <f t="shared" si="2085"/>
        <v>137.60484542813899</v>
      </c>
      <c r="DE226" s="138"/>
      <c r="DF226" s="66">
        <v>40.402205061476977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0</v>
      </c>
      <c r="BN227" s="66">
        <f t="shared" si="2086"/>
        <v>0</v>
      </c>
      <c r="BO227" s="66">
        <f t="shared" si="2086"/>
        <v>0</v>
      </c>
      <c r="BP227" s="66">
        <f t="shared" si="2086"/>
        <v>0</v>
      </c>
      <c r="BQ227" s="66">
        <f t="shared" si="2086"/>
        <v>0</v>
      </c>
      <c r="BR227" s="66">
        <f t="shared" ref="BR227:CW227" si="2087">SUM(BO41:BR41)</f>
        <v>0</v>
      </c>
      <c r="BS227" s="66">
        <f t="shared" si="2087"/>
        <v>0</v>
      </c>
      <c r="BT227" s="66">
        <f t="shared" si="2087"/>
        <v>0</v>
      </c>
      <c r="BU227" s="66">
        <f t="shared" si="2087"/>
        <v>0.21900000000000019</v>
      </c>
      <c r="BV227" s="66">
        <f t="shared" si="2087"/>
        <v>1.1040000000000005</v>
      </c>
      <c r="BW227" s="66">
        <f t="shared" si="2087"/>
        <v>2.0230000000000006</v>
      </c>
      <c r="BX227" s="66">
        <f t="shared" si="2087"/>
        <v>3.2360000000000007</v>
      </c>
      <c r="BY227" s="66">
        <f t="shared" si="2087"/>
        <v>4.1929999999999996</v>
      </c>
      <c r="BZ227" s="66">
        <f t="shared" si="2087"/>
        <v>4.6589999999999998</v>
      </c>
      <c r="CA227" s="66">
        <f t="shared" si="2087"/>
        <v>5.0150000000000006</v>
      </c>
      <c r="CB227" s="66">
        <f t="shared" si="2087"/>
        <v>5.479000000000001</v>
      </c>
      <c r="CC227" s="66">
        <f t="shared" si="2087"/>
        <v>7.4610000000000039</v>
      </c>
      <c r="CD227" s="66">
        <f t="shared" si="2087"/>
        <v>8.4570000000000043</v>
      </c>
      <c r="CE227" s="66">
        <f t="shared" si="2087"/>
        <v>17.640000000000008</v>
      </c>
      <c r="CF227" s="66">
        <f t="shared" si="2087"/>
        <v>21.056000000000004</v>
      </c>
      <c r="CG227" s="66">
        <f t="shared" si="2087"/>
        <v>27.044000000000004</v>
      </c>
      <c r="CH227" s="66">
        <f t="shared" si="2087"/>
        <v>28.805000000000007</v>
      </c>
      <c r="CI227" s="66">
        <f t="shared" si="2087"/>
        <v>23.660000000000007</v>
      </c>
      <c r="CJ227" s="66">
        <f t="shared" si="2087"/>
        <v>28.841000000000008</v>
      </c>
      <c r="CK227" s="50">
        <f t="shared" si="2087"/>
        <v>30.448000000000008</v>
      </c>
      <c r="CL227" s="66">
        <f t="shared" si="2087"/>
        <v>31.479000000000006</v>
      </c>
      <c r="CM227" s="50">
        <f t="shared" si="2087"/>
        <v>32.586558826291295</v>
      </c>
      <c r="CN227" s="50">
        <f t="shared" si="2087"/>
        <v>35.50201882384448</v>
      </c>
      <c r="CO227" s="50">
        <f t="shared" si="2087"/>
        <v>36.092545733057015</v>
      </c>
      <c r="CP227" s="50">
        <f t="shared" si="2087"/>
        <v>38.269921998684076</v>
      </c>
      <c r="CQ227" s="50">
        <f t="shared" si="2087"/>
        <v>41.557092403804283</v>
      </c>
      <c r="CR227" s="50">
        <f t="shared" si="2087"/>
        <v>46.895384434465043</v>
      </c>
      <c r="CS227" s="50">
        <f t="shared" si="2087"/>
        <v>51.311101975944666</v>
      </c>
      <c r="CT227" s="50">
        <f t="shared" si="2087"/>
        <v>54.573242479630309</v>
      </c>
      <c r="CU227" s="50">
        <f t="shared" si="2087"/>
        <v>58.385493334162334</v>
      </c>
      <c r="CV227" s="50">
        <f t="shared" si="2087"/>
        <v>65.326792275075107</v>
      </c>
      <c r="CW227" s="50">
        <f t="shared" si="2087"/>
        <v>71.239157254213978</v>
      </c>
      <c r="CX227" s="50">
        <f t="shared" ref="CX227:DB227" si="2088">SUM(CU41:CX41)</f>
        <v>75.257585223598511</v>
      </c>
      <c r="CY227" s="50">
        <f t="shared" si="2088"/>
        <v>80.264473045271217</v>
      </c>
      <c r="CZ227" s="50">
        <f t="shared" si="2088"/>
        <v>89.651356274792789</v>
      </c>
      <c r="DA227" s="50">
        <f t="shared" si="2088"/>
        <v>97.635955676928177</v>
      </c>
      <c r="DB227" s="50">
        <f t="shared" si="2088"/>
        <v>102.9968806443608</v>
      </c>
      <c r="DE227" s="138"/>
      <c r="DF227" s="66">
        <v>33.075479416762903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0</v>
      </c>
      <c r="O231" s="64">
        <f t="shared" si="2089"/>
        <v>0</v>
      </c>
      <c r="P231" s="64">
        <f t="shared" si="2089"/>
        <v>0</v>
      </c>
      <c r="Q231" s="64">
        <f t="shared" si="2089"/>
        <v>0</v>
      </c>
      <c r="R231" s="64">
        <f t="shared" si="2089"/>
        <v>0</v>
      </c>
      <c r="S231" s="64">
        <f t="shared" si="2089"/>
        <v>0</v>
      </c>
      <c r="T231" s="64">
        <f t="shared" si="2089"/>
        <v>0</v>
      </c>
      <c r="U231" s="64">
        <f t="shared" si="2089"/>
        <v>0</v>
      </c>
      <c r="V231" s="64">
        <f t="shared" si="2089"/>
        <v>6.0000000000000001E-3</v>
      </c>
      <c r="W231" s="64">
        <f t="shared" si="2089"/>
        <v>5.9393000000000002</v>
      </c>
      <c r="X231" s="64">
        <f t="shared" si="2089"/>
        <v>28.6736</v>
      </c>
      <c r="Y231" s="64">
        <f t="shared" si="2089"/>
        <v>50.509399999999999</v>
      </c>
      <c r="Z231" s="64">
        <f t="shared" si="2089"/>
        <v>126.3224</v>
      </c>
      <c r="AA231" s="64">
        <f t="shared" ref="AA231" si="2090">AA8-AA237</f>
        <v>149.4014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0</v>
      </c>
      <c r="BS231" s="64">
        <f t="shared" si="2092"/>
        <v>0</v>
      </c>
      <c r="BT231" s="64">
        <f t="shared" si="2092"/>
        <v>0</v>
      </c>
      <c r="BU231" s="64">
        <f t="shared" si="2092"/>
        <v>1.24</v>
      </c>
      <c r="BV231" s="64">
        <f t="shared" si="2092"/>
        <v>4.7</v>
      </c>
      <c r="BW231" s="64">
        <f t="shared" si="2092"/>
        <v>5.3280000000000003</v>
      </c>
      <c r="BX231" s="64">
        <f t="shared" si="2092"/>
        <v>6.5629999999999997</v>
      </c>
      <c r="BY231" s="64">
        <f t="shared" si="2092"/>
        <v>9.6920000000000002</v>
      </c>
      <c r="BZ231" s="64">
        <f t="shared" si="2092"/>
        <v>7.09</v>
      </c>
      <c r="CA231" s="64">
        <f t="shared" si="2092"/>
        <v>6.5250000000000004</v>
      </c>
      <c r="CB231" s="64">
        <f t="shared" si="2092"/>
        <v>10.798</v>
      </c>
      <c r="CC231" s="64">
        <f t="shared" si="2092"/>
        <v>17.782</v>
      </c>
      <c r="CD231" s="64">
        <f t="shared" si="2092"/>
        <v>15.384</v>
      </c>
      <c r="CE231" s="64">
        <f t="shared" si="2092"/>
        <v>44.454999999999998</v>
      </c>
      <c r="CF231" s="64">
        <f t="shared" si="2092"/>
        <v>22.951000000000001</v>
      </c>
      <c r="CG231" s="64">
        <f t="shared" si="2092"/>
        <v>36.244</v>
      </c>
      <c r="CH231" s="64">
        <f t="shared" si="2092"/>
        <v>22.687000000000001</v>
      </c>
      <c r="CI231" s="64">
        <f t="shared" si="2092"/>
        <v>27.311</v>
      </c>
      <c r="CJ231" s="64">
        <f t="shared" si="2092"/>
        <v>46.448</v>
      </c>
      <c r="CK231" s="30">
        <f t="shared" si="2092"/>
        <v>46.055999999999997</v>
      </c>
      <c r="CL231" s="64">
        <f t="shared" ref="CL231" si="2093">CL8-CL237</f>
        <v>29.587</v>
      </c>
      <c r="CM231" s="30">
        <f t="shared" si="2092"/>
        <v>35.593067644498504</v>
      </c>
      <c r="CN231" s="30">
        <f t="shared" si="2092"/>
        <v>68.532858976436145</v>
      </c>
      <c r="CO231" s="30">
        <f t="shared" si="2092"/>
        <v>61.641175103078027</v>
      </c>
      <c r="CP231" s="30">
        <f t="shared" si="2092"/>
        <v>40.099707110319656</v>
      </c>
      <c r="CQ231" s="30">
        <f t="shared" si="2092"/>
        <v>48.695200083870539</v>
      </c>
      <c r="CR231" s="30">
        <f t="shared" si="2092"/>
        <v>94.8716694022865</v>
      </c>
      <c r="CS231" s="30">
        <f t="shared" si="2092"/>
        <v>83.92668209661764</v>
      </c>
      <c r="CT231" s="30">
        <f t="shared" si="2092"/>
        <v>54.829172212798923</v>
      </c>
      <c r="CU231" s="30">
        <f t="shared" ref="CU231:DB231" si="2094">CU8-CU237</f>
        <v>66.728128300579868</v>
      </c>
      <c r="CV231" s="30">
        <f t="shared" si="2094"/>
        <v>130.05728016472054</v>
      </c>
      <c r="CW231" s="30">
        <f t="shared" si="2094"/>
        <v>114.77090040250123</v>
      </c>
      <c r="CX231" s="30">
        <f t="shared" si="2094"/>
        <v>75.061592039743346</v>
      </c>
      <c r="CY231" s="30">
        <f t="shared" si="2094"/>
        <v>91.379509137131777</v>
      </c>
      <c r="CZ231" s="30">
        <f t="shared" si="2094"/>
        <v>178.07534261767694</v>
      </c>
      <c r="DA231" s="30">
        <f t="shared" si="2094"/>
        <v>157.0972411038766</v>
      </c>
      <c r="DB231" s="30">
        <f t="shared" si="2094"/>
        <v>102.76748790389574</v>
      </c>
      <c r="DE231" s="139"/>
      <c r="DF231" s="64">
        <v>30.534297541809963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0</v>
      </c>
      <c r="K232" s="64">
        <f t="shared" si="2095"/>
        <v>0</v>
      </c>
      <c r="L232" s="64">
        <f t="shared" si="2095"/>
        <v>0</v>
      </c>
      <c r="M232" s="64">
        <f t="shared" si="2095"/>
        <v>0</v>
      </c>
      <c r="N232" s="64">
        <f t="shared" si="2095"/>
        <v>0</v>
      </c>
      <c r="O232" s="64">
        <f t="shared" si="2095"/>
        <v>0</v>
      </c>
      <c r="P232" s="64">
        <f t="shared" si="2095"/>
        <v>0</v>
      </c>
      <c r="Q232" s="64">
        <f t="shared" si="2095"/>
        <v>0</v>
      </c>
      <c r="R232" s="64">
        <f t="shared" si="2095"/>
        <v>0</v>
      </c>
      <c r="S232" s="64">
        <f t="shared" si="2095"/>
        <v>0</v>
      </c>
      <c r="T232" s="64">
        <f t="shared" si="2095"/>
        <v>0</v>
      </c>
      <c r="U232" s="64">
        <f t="shared" si="2095"/>
        <v>-7.9999999999999993E-4</v>
      </c>
      <c r="V232" s="64">
        <f t="shared" si="2095"/>
        <v>3.9000000000000003E-3</v>
      </c>
      <c r="W232" s="64">
        <f t="shared" si="2095"/>
        <v>1.523599999999999</v>
      </c>
      <c r="X232" s="64">
        <f t="shared" si="2095"/>
        <v>6.5621000000000045</v>
      </c>
      <c r="Y232" s="64">
        <f t="shared" si="2095"/>
        <v>11.479200000000006</v>
      </c>
      <c r="Z232" s="64">
        <f t="shared" si="2095"/>
        <v>37.481400000000008</v>
      </c>
      <c r="AA232" s="64">
        <f t="shared" ref="AA232" si="2096">AA28-AA238</f>
        <v>39.71520000000001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0</v>
      </c>
      <c r="BN232" s="64">
        <f t="shared" si="2097"/>
        <v>0</v>
      </c>
      <c r="BO232" s="64">
        <f t="shared" ref="BO232:CT232" si="2098">BO28-BO238</f>
        <v>0</v>
      </c>
      <c r="BP232" s="64">
        <f t="shared" si="2098"/>
        <v>0</v>
      </c>
      <c r="BQ232" s="64">
        <f t="shared" si="2098"/>
        <v>0</v>
      </c>
      <c r="BR232" s="64">
        <f t="shared" si="2098"/>
        <v>0</v>
      </c>
      <c r="BS232" s="64">
        <f t="shared" si="2098"/>
        <v>0</v>
      </c>
      <c r="BT232" s="64">
        <f t="shared" si="2098"/>
        <v>0</v>
      </c>
      <c r="BU232" s="64">
        <f t="shared" si="2098"/>
        <v>0.29900000000000021</v>
      </c>
      <c r="BV232" s="64">
        <f t="shared" si="2098"/>
        <v>1.2250000000000003</v>
      </c>
      <c r="BW232" s="64">
        <f t="shared" si="2098"/>
        <v>1.3050000000000002</v>
      </c>
      <c r="BX232" s="64">
        <f t="shared" si="2098"/>
        <v>1.7100000000000002</v>
      </c>
      <c r="BY232" s="64">
        <f t="shared" si="2098"/>
        <v>1.706999999999999</v>
      </c>
      <c r="BZ232" s="64">
        <f t="shared" si="2098"/>
        <v>1.8400000000000005</v>
      </c>
      <c r="CA232" s="64">
        <f t="shared" si="2098"/>
        <v>1.4290000000000007</v>
      </c>
      <c r="CB232" s="64">
        <f t="shared" si="2098"/>
        <v>2.4449999999999998</v>
      </c>
      <c r="CC232" s="64">
        <f t="shared" si="2098"/>
        <v>4.1860000000000026</v>
      </c>
      <c r="CD232" s="64">
        <f t="shared" si="2098"/>
        <v>3.171000000000002</v>
      </c>
      <c r="CE232" s="64">
        <f t="shared" si="2098"/>
        <v>14.167000000000002</v>
      </c>
      <c r="CF232" s="64">
        <f t="shared" si="2098"/>
        <v>6.9429999999999996</v>
      </c>
      <c r="CG232" s="64">
        <f t="shared" si="2098"/>
        <v>11.599</v>
      </c>
      <c r="CH232" s="64">
        <f t="shared" si="2098"/>
        <v>4.7370000000000054</v>
      </c>
      <c r="CI232" s="64">
        <f t="shared" si="2098"/>
        <v>6.3449999999999998</v>
      </c>
      <c r="CJ232" s="64">
        <f t="shared" si="2098"/>
        <v>13.011000000000003</v>
      </c>
      <c r="CK232" s="30">
        <f t="shared" si="2098"/>
        <v>13.331</v>
      </c>
      <c r="CL232" s="64">
        <f t="shared" ref="CL232" si="2099">CL28-CL238</f>
        <v>6.9430000000000023</v>
      </c>
      <c r="CM232" s="30">
        <f t="shared" si="2098"/>
        <v>9.2235832776966351</v>
      </c>
      <c r="CN232" s="30">
        <f t="shared" si="2098"/>
        <v>18.219039559811673</v>
      </c>
      <c r="CO232" s="30">
        <f t="shared" si="2098"/>
        <v>16.166932745091145</v>
      </c>
      <c r="CP232" s="30">
        <f t="shared" si="2098"/>
        <v>10.244698283849926</v>
      </c>
      <c r="CQ232" s="30">
        <f t="shared" si="2098"/>
        <v>12.694099206523218</v>
      </c>
      <c r="CR232" s="30">
        <f t="shared" si="2098"/>
        <v>24.76824618226129</v>
      </c>
      <c r="CS232" s="30">
        <f t="shared" si="2098"/>
        <v>21.810685373377542</v>
      </c>
      <c r="CT232" s="30">
        <f t="shared" si="2098"/>
        <v>14.216030122363817</v>
      </c>
      <c r="CU232" s="30">
        <f t="shared" ref="CU232:DB232" si="2100">CU28-CU238</f>
        <v>17.364532255697515</v>
      </c>
      <c r="CV232" s="30">
        <f t="shared" si="2100"/>
        <v>33.829704785842779</v>
      </c>
      <c r="CW232" s="30">
        <f t="shared" si="2100"/>
        <v>29.826041573743954</v>
      </c>
      <c r="CX232" s="30">
        <f t="shared" si="2100"/>
        <v>19.506540079829492</v>
      </c>
      <c r="CY232" s="30">
        <f t="shared" si="2100"/>
        <v>23.760736282793257</v>
      </c>
      <c r="CZ232" s="30">
        <f t="shared" si="2100"/>
        <v>46.294463062787564</v>
      </c>
      <c r="DA232" s="30">
        <f t="shared" si="2100"/>
        <v>40.835157134140601</v>
      </c>
      <c r="DB232" s="30">
        <f t="shared" si="2100"/>
        <v>26.714488948417561</v>
      </c>
      <c r="DE232" s="139"/>
      <c r="DF232" s="64">
        <v>7.7152050614769765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 t="e">
        <f t="shared" ref="N233" si="2112">+N232/N231</f>
        <v>#DIV/0!</v>
      </c>
      <c r="O233" s="86" t="e">
        <f t="shared" ref="O233" si="2113">+O232/O231</f>
        <v>#DIV/0!</v>
      </c>
      <c r="P233" s="86" t="e">
        <f t="shared" ref="P233" si="2114">+P232/P231</f>
        <v>#DIV/0!</v>
      </c>
      <c r="Q233" s="86" t="e">
        <f t="shared" ref="Q233" si="2115">+Q232/Q231</f>
        <v>#DIV/0!</v>
      </c>
      <c r="R233" s="86" t="e">
        <f t="shared" ref="R233" si="2116">+R232/R231</f>
        <v>#DIV/0!</v>
      </c>
      <c r="S233" s="86" t="e">
        <f t="shared" ref="S233" si="2117">+S232/S231</f>
        <v>#DIV/0!</v>
      </c>
      <c r="T233" s="86" t="e">
        <f t="shared" ref="T233" si="2118">+T232/T231</f>
        <v>#DIV/0!</v>
      </c>
      <c r="U233" s="86" t="e">
        <f t="shared" ref="U233" si="2119">+U232/U231</f>
        <v>#DIV/0!</v>
      </c>
      <c r="V233" s="86">
        <f t="shared" ref="V233" si="2120">+V232/V231</f>
        <v>0.65</v>
      </c>
      <c r="W233" s="86">
        <f t="shared" ref="W233" si="2121">+W232/W231</f>
        <v>0.25652854713518408</v>
      </c>
      <c r="X233" s="86">
        <f t="shared" ref="X233:Y233" si="2122">+X232/X231</f>
        <v>0.22885511411193588</v>
      </c>
      <c r="Y233" s="86">
        <f t="shared" si="2122"/>
        <v>0.22726858762923349</v>
      </c>
      <c r="Z233" s="86">
        <f t="shared" ref="Z233:AA233" si="2123">+Z232/Z231</f>
        <v>0.29671222206037889</v>
      </c>
      <c r="AA233" s="86">
        <f t="shared" si="2123"/>
        <v>0.26582883426795206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 t="e">
        <f t="shared" ref="BN233" si="2155">+BN232/BN231</f>
        <v>#DIV/0!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 t="e">
        <f t="shared" ref="BR233" si="2159">+BR232/BR231</f>
        <v>#DIV/0!</v>
      </c>
      <c r="BS233" s="86" t="e">
        <f t="shared" ref="BS233" si="2160">+BS232/BS231</f>
        <v>#DIV/0!</v>
      </c>
      <c r="BT233" s="86" t="e">
        <f t="shared" ref="BT233" si="2161">+BT232/BT231</f>
        <v>#DIV/0!</v>
      </c>
      <c r="BU233" s="86">
        <f t="shared" ref="BU233" si="2162">+BU232/BU231</f>
        <v>0.24112903225806467</v>
      </c>
      <c r="BV233" s="86">
        <f t="shared" ref="BV233" si="2163">+BV232/BV231</f>
        <v>0.2606382978723405</v>
      </c>
      <c r="BW233" s="86">
        <f t="shared" ref="BW233" si="2164">+BW232/BW231</f>
        <v>0.24493243243243246</v>
      </c>
      <c r="BX233" s="86">
        <f t="shared" ref="BX233" si="2165">+BX232/BX231</f>
        <v>0.2605515770227031</v>
      </c>
      <c r="BY233" s="86">
        <f t="shared" ref="BY233" si="2166">+BY232/BY231</f>
        <v>0.17612463887742458</v>
      </c>
      <c r="BZ233" s="86">
        <f t="shared" ref="BZ233" si="2167">+BZ232/BZ231</f>
        <v>0.25952045133991547</v>
      </c>
      <c r="CA233" s="86">
        <f t="shared" ref="CA233" si="2168">+CA232/CA231</f>
        <v>0.21900383141762461</v>
      </c>
      <c r="CB233" s="86">
        <f t="shared" ref="CB233:CC233" si="2169">+CB232/CB231</f>
        <v>0.22643082052231894</v>
      </c>
      <c r="CC233" s="86">
        <f t="shared" si="2169"/>
        <v>0.23540659093465316</v>
      </c>
      <c r="CD233" s="86">
        <f t="shared" ref="CD233" si="2170">+CD232/CD231</f>
        <v>0.20612324492979733</v>
      </c>
      <c r="CE233" s="86">
        <f t="shared" ref="CE233:CF233" si="2171">+CE232/CE231</f>
        <v>0.31868181306939608</v>
      </c>
      <c r="CF233" s="86">
        <f t="shared" si="2171"/>
        <v>0.30251405167530826</v>
      </c>
      <c r="CG233" s="86">
        <f t="shared" ref="CG233:CH233" si="2172">+CG232/CG231</f>
        <v>0.32002538351175369</v>
      </c>
      <c r="CH233" s="86">
        <f t="shared" si="2172"/>
        <v>0.20879799003834817</v>
      </c>
      <c r="CI233" s="86">
        <f t="shared" ref="CI233:CJ233" si="2173">+CI232/CI231</f>
        <v>0.23232397202592361</v>
      </c>
      <c r="CJ233" s="86">
        <f t="shared" si="2173"/>
        <v>0.28011970375473655</v>
      </c>
      <c r="CK233" s="47">
        <f t="shared" ref="CK233:DB233" si="2174">+CK232/CK231</f>
        <v>0.28945197151294078</v>
      </c>
      <c r="CL233" s="86">
        <f t="shared" si="2174"/>
        <v>0.23466387264677063</v>
      </c>
      <c r="CM233" s="47">
        <f t="shared" si="2174"/>
        <v>0.25913987998509291</v>
      </c>
      <c r="CN233" s="47">
        <f t="shared" si="2174"/>
        <v>0.26584385697488527</v>
      </c>
      <c r="CO233" s="47">
        <f t="shared" si="2174"/>
        <v>0.26227489527992232</v>
      </c>
      <c r="CP233" s="47">
        <f t="shared" si="2174"/>
        <v>0.25548062622166767</v>
      </c>
      <c r="CQ233" s="47">
        <f t="shared" si="2174"/>
        <v>0.26068481461539211</v>
      </c>
      <c r="CR233" s="47">
        <f t="shared" si="2174"/>
        <v>0.26107104827296684</v>
      </c>
      <c r="CS233" s="47">
        <f t="shared" si="2174"/>
        <v>0.25987784609748732</v>
      </c>
      <c r="CT233" s="47">
        <f t="shared" si="2174"/>
        <v>0.25927858380187857</v>
      </c>
      <c r="CU233" s="47">
        <f t="shared" si="2174"/>
        <v>0.2602280731969312</v>
      </c>
      <c r="CV233" s="47">
        <f t="shared" si="2174"/>
        <v>0.26011388784231593</v>
      </c>
      <c r="CW233" s="47">
        <f t="shared" si="2174"/>
        <v>0.25987459773465321</v>
      </c>
      <c r="CX233" s="47">
        <f t="shared" si="2174"/>
        <v>0.25987378564394475</v>
      </c>
      <c r="CY233" s="47">
        <f t="shared" si="2174"/>
        <v>0.26002258610446133</v>
      </c>
      <c r="CZ233" s="47">
        <f t="shared" si="2174"/>
        <v>0.25997121433134374</v>
      </c>
      <c r="DA233" s="47">
        <f t="shared" si="2174"/>
        <v>0.25993554595360069</v>
      </c>
      <c r="DB233" s="47">
        <f t="shared" si="2174"/>
        <v>0.25995078300833757</v>
      </c>
      <c r="DE233" s="130"/>
      <c r="DF233" s="89">
        <v>0.25267340933298732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</v>
      </c>
      <c r="K234" s="64">
        <f t="shared" si="2175"/>
        <v>0</v>
      </c>
      <c r="L234" s="64">
        <f t="shared" si="2175"/>
        <v>0</v>
      </c>
      <c r="M234" s="64">
        <f t="shared" si="2175"/>
        <v>0</v>
      </c>
      <c r="N234" s="64">
        <f t="shared" si="2175"/>
        <v>0</v>
      </c>
      <c r="O234" s="64">
        <f t="shared" si="2175"/>
        <v>0</v>
      </c>
      <c r="P234" s="64">
        <f t="shared" si="2175"/>
        <v>0</v>
      </c>
      <c r="Q234" s="64">
        <f t="shared" si="2175"/>
        <v>0</v>
      </c>
      <c r="R234" s="64">
        <f t="shared" si="2175"/>
        <v>0</v>
      </c>
      <c r="S234" s="64">
        <f t="shared" si="2175"/>
        <v>0</v>
      </c>
      <c r="T234" s="64">
        <f t="shared" si="2175"/>
        <v>0</v>
      </c>
      <c r="U234" s="64">
        <f t="shared" si="2175"/>
        <v>-1E-3</v>
      </c>
      <c r="V234" s="64">
        <f t="shared" si="2175"/>
        <v>3.5000000000000005E-3</v>
      </c>
      <c r="W234" s="64">
        <f t="shared" si="2175"/>
        <v>1.1052999999999988</v>
      </c>
      <c r="X234" s="64">
        <f t="shared" si="2175"/>
        <v>4.6895000000000042</v>
      </c>
      <c r="Y234" s="64">
        <f t="shared" si="2175"/>
        <v>8.4585000000000043</v>
      </c>
      <c r="Z234" s="64">
        <f t="shared" si="2175"/>
        <v>28.80680000000001</v>
      </c>
      <c r="AA234" s="64">
        <f t="shared" ref="AA234" si="2176">AA41-AA240</f>
        <v>31.481500000000004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0</v>
      </c>
      <c r="BN234" s="64">
        <f t="shared" si="2177"/>
        <v>0</v>
      </c>
      <c r="BO234" s="64">
        <f t="shared" ref="BO234:CT234" si="2178">BO41-BO240</f>
        <v>0</v>
      </c>
      <c r="BP234" s="64">
        <f t="shared" si="2178"/>
        <v>0</v>
      </c>
      <c r="BQ234" s="64">
        <f t="shared" si="2178"/>
        <v>0</v>
      </c>
      <c r="BR234" s="64">
        <f t="shared" si="2178"/>
        <v>0</v>
      </c>
      <c r="BS234" s="64">
        <f t="shared" si="2178"/>
        <v>0</v>
      </c>
      <c r="BT234" s="64">
        <f t="shared" si="2178"/>
        <v>0</v>
      </c>
      <c r="BU234" s="64">
        <f t="shared" si="2178"/>
        <v>0.21900000000000019</v>
      </c>
      <c r="BV234" s="64">
        <f t="shared" si="2178"/>
        <v>0.88500000000000045</v>
      </c>
      <c r="BW234" s="64">
        <f t="shared" si="2178"/>
        <v>0.91900000000000004</v>
      </c>
      <c r="BX234" s="64">
        <f t="shared" si="2178"/>
        <v>1.2130000000000001</v>
      </c>
      <c r="BY234" s="64">
        <f t="shared" si="2178"/>
        <v>1.175999999999999</v>
      </c>
      <c r="BZ234" s="64">
        <f t="shared" si="2178"/>
        <v>1.3510000000000006</v>
      </c>
      <c r="CA234" s="64">
        <f t="shared" si="2178"/>
        <v>1.2750000000000006</v>
      </c>
      <c r="CB234" s="64">
        <f t="shared" si="2178"/>
        <v>1.677</v>
      </c>
      <c r="CC234" s="64">
        <f t="shared" si="2178"/>
        <v>3.1580000000000026</v>
      </c>
      <c r="CD234" s="64">
        <f t="shared" si="2178"/>
        <v>2.3470000000000022</v>
      </c>
      <c r="CE234" s="64">
        <f t="shared" si="2178"/>
        <v>10.458000000000002</v>
      </c>
      <c r="CF234" s="64">
        <f t="shared" si="2178"/>
        <v>5.0929999999999991</v>
      </c>
      <c r="CG234" s="64">
        <f t="shared" si="2178"/>
        <v>9.1460000000000008</v>
      </c>
      <c r="CH234" s="64">
        <f t="shared" si="2178"/>
        <v>4.1080000000000059</v>
      </c>
      <c r="CI234" s="64">
        <f t="shared" si="2178"/>
        <v>5.3129999999999997</v>
      </c>
      <c r="CJ234" s="64">
        <f t="shared" si="2178"/>
        <v>10.274000000000003</v>
      </c>
      <c r="CK234" s="30">
        <f t="shared" si="2178"/>
        <v>10.753</v>
      </c>
      <c r="CL234" s="64">
        <f t="shared" ref="CL234" si="2179">CL41-CL240</f>
        <v>5.1390000000000011</v>
      </c>
      <c r="CM234" s="30">
        <f t="shared" si="2178"/>
        <v>6.4205588262912876</v>
      </c>
      <c r="CN234" s="30">
        <f t="shared" si="2178"/>
        <v>13.189459997553195</v>
      </c>
      <c r="CO234" s="30">
        <f t="shared" si="2178"/>
        <v>11.34352690921253</v>
      </c>
      <c r="CP234" s="30">
        <f t="shared" si="2178"/>
        <v>7.3163762656270634</v>
      </c>
      <c r="CQ234" s="30">
        <f t="shared" si="2178"/>
        <v>9.7077292314114967</v>
      </c>
      <c r="CR234" s="30">
        <f t="shared" si="2178"/>
        <v>18.52775202821395</v>
      </c>
      <c r="CS234" s="30">
        <f t="shared" si="2178"/>
        <v>15.759244450692155</v>
      </c>
      <c r="CT234" s="30">
        <f t="shared" si="2178"/>
        <v>10.578516769312717</v>
      </c>
      <c r="CU234" s="30">
        <f t="shared" ref="CU234:DB234" si="2180">CU41-CU240</f>
        <v>13.519980085943519</v>
      </c>
      <c r="CV234" s="30">
        <f t="shared" si="2180"/>
        <v>25.469050969126712</v>
      </c>
      <c r="CW234" s="30">
        <f t="shared" si="2180"/>
        <v>21.671609429831022</v>
      </c>
      <c r="CX234" s="30">
        <f t="shared" si="2180"/>
        <v>14.59694473869726</v>
      </c>
      <c r="CY234" s="30">
        <f t="shared" si="2180"/>
        <v>18.526867907616214</v>
      </c>
      <c r="CZ234" s="30">
        <f t="shared" si="2180"/>
        <v>34.855934198648299</v>
      </c>
      <c r="DA234" s="30">
        <f t="shared" si="2180"/>
        <v>29.656208831966417</v>
      </c>
      <c r="DB234" s="30">
        <f t="shared" si="2180"/>
        <v>19.957869706129877</v>
      </c>
      <c r="DE234" s="139"/>
      <c r="DF234" s="64">
        <v>6.7354794167628995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 t="e">
        <f t="shared" si="2235"/>
        <v>#DIV/0!</v>
      </c>
      <c r="K244" s="84" t="e">
        <f t="shared" si="2235"/>
        <v>#DIV/0!</v>
      </c>
      <c r="L244" s="84" t="e">
        <f t="shared" si="2235"/>
        <v>#DIV/0!</v>
      </c>
      <c r="M244" s="84" t="e">
        <f t="shared" si="2235"/>
        <v>#DIV/0!</v>
      </c>
      <c r="N244" s="84" t="e">
        <f t="shared" si="2235"/>
        <v>#DIV/0!</v>
      </c>
      <c r="O244" s="84" t="e">
        <f t="shared" si="2235"/>
        <v>#DIV/0!</v>
      </c>
      <c r="P244" s="84" t="e">
        <f t="shared" si="2235"/>
        <v>#DIV/0!</v>
      </c>
      <c r="Q244" s="84" t="e">
        <f t="shared" si="2235"/>
        <v>#DIV/0!</v>
      </c>
      <c r="R244" s="84" t="e">
        <f t="shared" si="2235"/>
        <v>#DIV/0!</v>
      </c>
      <c r="S244" s="84" t="e">
        <f t="shared" si="2235"/>
        <v>#DIV/0!</v>
      </c>
      <c r="T244" s="84" t="e">
        <f t="shared" si="2235"/>
        <v>#DIV/0!</v>
      </c>
      <c r="U244" s="84">
        <f t="shared" si="2235"/>
        <v>0</v>
      </c>
      <c r="V244" s="84">
        <f t="shared" si="2235"/>
        <v>0.22727272727272727</v>
      </c>
      <c r="W244" s="84">
        <f t="shared" si="2235"/>
        <v>0.69515092639192877</v>
      </c>
      <c r="X244" s="84">
        <f t="shared" si="2235"/>
        <v>1.1227421697880489</v>
      </c>
      <c r="Y244" s="84">
        <f t="shared" si="2235"/>
        <v>1.2358430551205761</v>
      </c>
      <c r="Z244" s="84">
        <f>Z10/(Z161+Z148+Z138)</f>
        <v>1.0040951551262567</v>
      </c>
      <c r="AA244" s="84">
        <f>AA10/(AA161+AA148+AA138)</f>
        <v>0.84057568204706956</v>
      </c>
      <c r="AB244" s="50">
        <f t="shared" ref="AA244:AE244" si="2236">AB10/(AB161+AB148+AB138)</f>
        <v>0.95979806886739283</v>
      </c>
      <c r="AC244" s="50">
        <f t="shared" si="2236"/>
        <v>1.0019042269476601</v>
      </c>
      <c r="AD244" s="50">
        <f t="shared" si="2236"/>
        <v>1.0323015420391817</v>
      </c>
      <c r="AE244" s="50">
        <f t="shared" si="2236"/>
        <v>1.0555794253012862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 t="e">
        <f t="shared" si="2237"/>
        <v>#DIV/0!</v>
      </c>
      <c r="BO244" s="84" t="e">
        <f t="shared" si="2237"/>
        <v>#DIV/0!</v>
      </c>
      <c r="BP244" s="84" t="e">
        <f t="shared" si="2237"/>
        <v>#DIV/0!</v>
      </c>
      <c r="BQ244" s="84" t="e">
        <f t="shared" si="2237"/>
        <v>#DIV/0!</v>
      </c>
      <c r="BR244" s="84" t="e">
        <f t="shared" si="2237"/>
        <v>#DIV/0!</v>
      </c>
      <c r="BS244" s="84" t="e">
        <f t="shared" si="2237"/>
        <v>#DIV/0!</v>
      </c>
      <c r="BT244" s="84" t="e">
        <f t="shared" si="2237"/>
        <v>#DIV/0!</v>
      </c>
      <c r="BU244" s="84" t="e">
        <f t="shared" si="2237"/>
        <v>#DIV/0!</v>
      </c>
      <c r="BV244" s="84">
        <f t="shared" si="2237"/>
        <v>0.71248650593738749</v>
      </c>
      <c r="BW244" s="84">
        <f t="shared" si="2237"/>
        <v>1.1949306758981475</v>
      </c>
      <c r="BX244" s="84" t="e">
        <f t="shared" si="2237"/>
        <v>#DIV/0!</v>
      </c>
      <c r="BY244" s="84">
        <f t="shared" si="2237"/>
        <v>22.349489795918387</v>
      </c>
      <c r="BZ244" s="84">
        <f t="shared" si="2237"/>
        <v>1.185520549077979</v>
      </c>
      <c r="CA244" s="84">
        <f t="shared" si="2237"/>
        <v>1.1782633645058025</v>
      </c>
      <c r="CB244" s="84">
        <f t="shared" si="2237"/>
        <v>1.1997396841031416</v>
      </c>
      <c r="CC244" s="84">
        <f t="shared" si="2237"/>
        <v>1.275829198542566</v>
      </c>
      <c r="CD244" s="84">
        <f t="shared" si="2237"/>
        <v>1.3127665106604265</v>
      </c>
      <c r="CE244" s="84">
        <f t="shared" si="2237"/>
        <v>1.5035035531291197</v>
      </c>
      <c r="CF244" s="84">
        <f t="shared" si="2237"/>
        <v>0.95121535987893691</v>
      </c>
      <c r="CG244" s="84">
        <f t="shared" si="2237"/>
        <v>0.9731978864259162</v>
      </c>
      <c r="CH244" s="84">
        <f t="shared" si="2237"/>
        <v>1.0042112057179557</v>
      </c>
      <c r="CI244" s="84">
        <f t="shared" si="2237"/>
        <v>0.80000931190011981</v>
      </c>
      <c r="CJ244" s="84">
        <f t="shared" si="2237"/>
        <v>0.80326658110758653</v>
      </c>
      <c r="CK244" s="50">
        <f t="shared" ref="CK244" si="2238">SUM(CH10:CK10)/(CK161+CK148+CK138)</f>
        <v>0.81217539747979817</v>
      </c>
      <c r="CL244" s="84">
        <f t="shared" si="2237"/>
        <v>0.89387874762921882</v>
      </c>
      <c r="CM244" s="50">
        <f t="shared" ref="CM244:DB244" si="2239">SUM(CJ10:CM10)/(CM161+CM148+CM138)</f>
        <v>0.88216072534727452</v>
      </c>
      <c r="CN244" s="50">
        <f t="shared" si="2239"/>
        <v>0.81568504540731401</v>
      </c>
      <c r="CO244" s="50">
        <f t="shared" si="2239"/>
        <v>0.86523837991425778</v>
      </c>
      <c r="CP244" s="50">
        <f t="shared" si="2239"/>
        <v>0.95979806886739283</v>
      </c>
      <c r="CQ244" s="50">
        <f t="shared" si="2239"/>
        <v>0.94537132480367547</v>
      </c>
      <c r="CR244" s="50">
        <f t="shared" si="2239"/>
        <v>0.84578162463416096</v>
      </c>
      <c r="CS244" s="50">
        <f t="shared" si="2239"/>
        <v>0.9029885568394912</v>
      </c>
      <c r="CT244" s="50">
        <f t="shared" si="2239"/>
        <v>1.0019042269476601</v>
      </c>
      <c r="CU244" s="50">
        <f t="shared" si="2239"/>
        <v>0.982889553001695</v>
      </c>
      <c r="CV244" s="50">
        <f t="shared" si="2239"/>
        <v>0.86982643107157598</v>
      </c>
      <c r="CW244" s="50">
        <f t="shared" si="2239"/>
        <v>0.92938415717176437</v>
      </c>
      <c r="CX244" s="50">
        <f t="shared" si="2239"/>
        <v>1.0323015420391817</v>
      </c>
      <c r="CY244" s="50">
        <f t="shared" si="2239"/>
        <v>1.0101360543034241</v>
      </c>
      <c r="CZ244" s="50">
        <f t="shared" si="2239"/>
        <v>0.88856685368380306</v>
      </c>
      <c r="DA244" s="50">
        <f t="shared" si="2239"/>
        <v>0.949268971825728</v>
      </c>
      <c r="DB244" s="50">
        <f t="shared" si="2239"/>
        <v>1.0555794253012862</v>
      </c>
      <c r="DE244" s="138"/>
      <c r="DF244" s="84">
        <v>0.889358693638158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 t="e">
        <f t="shared" si="2240"/>
        <v>#DIV/0!</v>
      </c>
      <c r="O245" s="181" t="e">
        <f t="shared" si="2240"/>
        <v>#DIV/0!</v>
      </c>
      <c r="P245" s="181" t="e">
        <f t="shared" si="2240"/>
        <v>#DIV/0!</v>
      </c>
      <c r="Q245" s="181" t="e">
        <f t="shared" si="2240"/>
        <v>#DIV/0!</v>
      </c>
      <c r="R245" s="181" t="e">
        <f t="shared" si="2240"/>
        <v>#DIV/0!</v>
      </c>
      <c r="S245" s="181" t="e">
        <f t="shared" si="2240"/>
        <v>#DIV/0!</v>
      </c>
      <c r="T245" s="181" t="e">
        <f t="shared" si="2240"/>
        <v>#DIV/0!</v>
      </c>
      <c r="U245" s="181" t="e">
        <f t="shared" si="2240"/>
        <v>#DIV/0!</v>
      </c>
      <c r="V245" s="181">
        <f t="shared" si="2240"/>
        <v>0.58333333333333337</v>
      </c>
      <c r="W245" s="181">
        <f t="shared" si="2240"/>
        <v>0.18609937197986273</v>
      </c>
      <c r="X245" s="181">
        <f t="shared" si="2240"/>
        <v>0.1635476535907596</v>
      </c>
      <c r="Y245" s="181">
        <f t="shared" si="2240"/>
        <v>0.1674638780108258</v>
      </c>
      <c r="Z245" s="181">
        <f t="shared" si="2240"/>
        <v>0.22804189914061171</v>
      </c>
      <c r="AA245" s="181">
        <f t="shared" ref="AA245" si="2241">+AA42</f>
        <v>0.21071757025034574</v>
      </c>
      <c r="AB245" s="182">
        <f t="shared" si="2240"/>
        <v>0.18589651345633432</v>
      </c>
      <c r="AC245" s="182">
        <f t="shared" si="2240"/>
        <v>0.19330092082543854</v>
      </c>
      <c r="AD245" s="182">
        <f t="shared" si="2240"/>
        <v>0.19465623564490742</v>
      </c>
      <c r="AE245" s="182">
        <f t="shared" si="2240"/>
        <v>0.19458354534320285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 t="e">
        <f t="shared" si="2242"/>
        <v>#DIV/0!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 t="e">
        <f t="shared" si="2242"/>
        <v>#DIV/0!</v>
      </c>
      <c r="BS245" s="181" t="e">
        <f t="shared" si="2242"/>
        <v>#DIV/0!</v>
      </c>
      <c r="BT245" s="181" t="e">
        <f t="shared" si="2242"/>
        <v>#DIV/0!</v>
      </c>
      <c r="BU245" s="181">
        <f t="shared" si="2242"/>
        <v>0.17661290322580661</v>
      </c>
      <c r="BV245" s="181">
        <f t="shared" si="2242"/>
        <v>0.18829787234042561</v>
      </c>
      <c r="BW245" s="181">
        <f t="shared" si="2242"/>
        <v>0.17248498498498499</v>
      </c>
      <c r="BX245" s="181">
        <f t="shared" si="2242"/>
        <v>0.18482401340850224</v>
      </c>
      <c r="BY245" s="181">
        <f t="shared" si="2242"/>
        <v>0.12133718530746998</v>
      </c>
      <c r="BZ245" s="181">
        <f t="shared" si="2242"/>
        <v>0.19055007052186188</v>
      </c>
      <c r="CA245" s="181">
        <f t="shared" si="2242"/>
        <v>0.19540229885057478</v>
      </c>
      <c r="CB245" s="181">
        <f t="shared" si="2242"/>
        <v>0.15530653824782367</v>
      </c>
      <c r="CC245" s="181">
        <f t="shared" si="2242"/>
        <v>0.17759532111123622</v>
      </c>
      <c r="CD245" s="181">
        <f t="shared" si="2242"/>
        <v>0.1525611024440979</v>
      </c>
      <c r="CE245" s="181">
        <f t="shared" si="2242"/>
        <v>0.23524912833202119</v>
      </c>
      <c r="CF245" s="181">
        <f t="shared" si="2242"/>
        <v>0.22190754215502587</v>
      </c>
      <c r="CG245" s="181">
        <f t="shared" si="2242"/>
        <v>0.25234521575984992</v>
      </c>
      <c r="CH245" s="181">
        <f t="shared" si="2242"/>
        <v>0.18107286110988696</v>
      </c>
      <c r="CI245" s="181">
        <f t="shared" si="2242"/>
        <v>0.19453699974369301</v>
      </c>
      <c r="CJ245" s="181">
        <f t="shared" si="2242"/>
        <v>0.22119359283499834</v>
      </c>
      <c r="CK245" s="182">
        <f t="shared" si="2242"/>
        <v>0.23347663713739797</v>
      </c>
      <c r="CL245" s="181">
        <f t="shared" ref="CL245" si="2243">+CL42</f>
        <v>0.17369114813938558</v>
      </c>
      <c r="CM245" s="182">
        <f t="shared" si="2242"/>
        <v>0.18038790279105632</v>
      </c>
      <c r="CN245" s="182">
        <f t="shared" si="2242"/>
        <v>0.19245454216477625</v>
      </c>
      <c r="CO245" s="182">
        <f t="shared" si="2242"/>
        <v>0.18402515672752151</v>
      </c>
      <c r="CP245" s="182">
        <f t="shared" si="2242"/>
        <v>0.18245460610220254</v>
      </c>
      <c r="CQ245" s="182">
        <f t="shared" si="2242"/>
        <v>0.1993570046881688</v>
      </c>
      <c r="CR245" s="182">
        <f t="shared" si="2242"/>
        <v>0.195292779656383</v>
      </c>
      <c r="CS245" s="182">
        <f t="shared" si="2242"/>
        <v>0.18777394812950998</v>
      </c>
      <c r="CT245" s="182">
        <f t="shared" si="2242"/>
        <v>0.19293591973732818</v>
      </c>
      <c r="CU245" s="182">
        <f t="shared" si="2242"/>
        <v>0.20261290748396477</v>
      </c>
      <c r="CV245" s="182">
        <f t="shared" si="2242"/>
        <v>0.19582949095098384</v>
      </c>
      <c r="CW245" s="182">
        <f t="shared" si="2242"/>
        <v>0.18882494912759898</v>
      </c>
      <c r="CX245" s="182">
        <f t="shared" ref="CX245:DB245" si="2244">+CX42</f>
        <v>0.19446622889331366</v>
      </c>
      <c r="CY245" s="182">
        <f t="shared" si="2244"/>
        <v>0.2027464152801832</v>
      </c>
      <c r="CZ245" s="182">
        <f t="shared" si="2244"/>
        <v>0.19573700483330289</v>
      </c>
      <c r="DA245" s="182">
        <f t="shared" si="2244"/>
        <v>0.1887761275983007</v>
      </c>
      <c r="DB245" s="182">
        <f t="shared" si="2244"/>
        <v>0.19420412149019076</v>
      </c>
      <c r="DE245" s="138"/>
      <c r="DF245" s="84">
        <v>0.22058733814131964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 t="e">
        <f t="shared" si="2245"/>
        <v>#DIV/0!</v>
      </c>
      <c r="K246" s="84" t="e">
        <f t="shared" si="2245"/>
        <v>#DIV/0!</v>
      </c>
      <c r="L246" s="84" t="e">
        <f t="shared" si="2245"/>
        <v>#DIV/0!</v>
      </c>
      <c r="M246" s="84" t="e">
        <f t="shared" si="2245"/>
        <v>#DIV/0!</v>
      </c>
      <c r="N246" s="84" t="e">
        <f t="shared" si="2245"/>
        <v>#DIV/0!</v>
      </c>
      <c r="O246" s="84" t="e">
        <f t="shared" si="2245"/>
        <v>#DIV/0!</v>
      </c>
      <c r="P246" s="84" t="e">
        <f t="shared" si="2245"/>
        <v>#DIV/0!</v>
      </c>
      <c r="Q246" s="84" t="e">
        <f t="shared" si="2245"/>
        <v>#DIV/0!</v>
      </c>
      <c r="R246" s="84" t="e">
        <f t="shared" si="2245"/>
        <v>#DIV/0!</v>
      </c>
      <c r="S246" s="84" t="e">
        <f t="shared" si="2245"/>
        <v>#DIV/0!</v>
      </c>
      <c r="T246" s="84" t="e">
        <f t="shared" si="2245"/>
        <v>#DIV/0!</v>
      </c>
      <c r="U246" s="84">
        <f t="shared" si="2245"/>
        <v>2.2890625</v>
      </c>
      <c r="V246" s="84">
        <f t="shared" si="2245"/>
        <v>1.6296296296296298</v>
      </c>
      <c r="W246" s="84">
        <f t="shared" si="2245"/>
        <v>7.6298446151098425</v>
      </c>
      <c r="X246" s="84">
        <f t="shared" si="2245"/>
        <v>1.2407823970383181</v>
      </c>
      <c r="Y246" s="84">
        <f t="shared" si="2245"/>
        <v>1.4108734801816725</v>
      </c>
      <c r="Z246" s="84">
        <f t="shared" si="2245"/>
        <v>1.2630477067514931</v>
      </c>
      <c r="AA246" s="84">
        <f t="shared" ref="AA246" si="2246">(AA161+AA148+AA138+AA140)/AA120</f>
        <v>1.2532270078553158</v>
      </c>
      <c r="AB246" s="50">
        <f t="shared" si="2245"/>
        <v>1.1910198045208107</v>
      </c>
      <c r="AC246" s="50">
        <f t="shared" si="2245"/>
        <v>1.2008116888763707</v>
      </c>
      <c r="AD246" s="50">
        <f t="shared" si="2245"/>
        <v>1.2084373465218612</v>
      </c>
      <c r="AE246" s="50">
        <f t="shared" si="2245"/>
        <v>1.2144027507665895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 t="e">
        <f t="shared" si="2247"/>
        <v>#DIV/0!</v>
      </c>
      <c r="BO246" s="84" t="e">
        <f t="shared" si="2247"/>
        <v>#DIV/0!</v>
      </c>
      <c r="BP246" s="84" t="e">
        <f t="shared" si="2247"/>
        <v>#DIV/0!</v>
      </c>
      <c r="BQ246" s="84" t="e">
        <f t="shared" si="2247"/>
        <v>#DIV/0!</v>
      </c>
      <c r="BR246" s="84" t="e">
        <f t="shared" si="2247"/>
        <v>#DIV/0!</v>
      </c>
      <c r="BS246" s="84" t="e">
        <f t="shared" si="2247"/>
        <v>#DIV/0!</v>
      </c>
      <c r="BT246" s="84" t="e">
        <f t="shared" si="2247"/>
        <v>#DIV/0!</v>
      </c>
      <c r="BU246" s="84" t="e">
        <f t="shared" si="2247"/>
        <v>#DIV/0!</v>
      </c>
      <c r="BV246" s="84">
        <f t="shared" si="2247"/>
        <v>7.4437500000000005</v>
      </c>
      <c r="BW246" s="84">
        <f t="shared" si="2247"/>
        <v>4.6247355295148855</v>
      </c>
      <c r="BX246" s="84" t="e">
        <f t="shared" si="2247"/>
        <v>#DIV/0!</v>
      </c>
      <c r="BY246" s="84">
        <f t="shared" si="2247"/>
        <v>1</v>
      </c>
      <c r="BZ246" s="84">
        <f t="shared" si="2247"/>
        <v>1.1750473691881649</v>
      </c>
      <c r="CA246" s="84">
        <f t="shared" si="2247"/>
        <v>1.1597981896485081</v>
      </c>
      <c r="CB246" s="84">
        <f t="shared" si="2247"/>
        <v>1.2079632855989462</v>
      </c>
      <c r="CC246" s="84">
        <f t="shared" si="2247"/>
        <v>1.2390921590216732</v>
      </c>
      <c r="CD246" s="84">
        <f t="shared" si="2247"/>
        <v>1.3278812713060846</v>
      </c>
      <c r="CE246" s="84">
        <f t="shared" si="2247"/>
        <v>1.4914716963877928</v>
      </c>
      <c r="CF246" s="84">
        <f t="shared" si="2247"/>
        <v>1.2242105263157894</v>
      </c>
      <c r="CG246" s="84">
        <f t="shared" si="2247"/>
        <v>1.2805475770692141</v>
      </c>
      <c r="CH246" s="84">
        <f t="shared" si="2247"/>
        <v>1.2630477067514931</v>
      </c>
      <c r="CI246" s="84">
        <f t="shared" si="2247"/>
        <v>1.3008755434797394</v>
      </c>
      <c r="CJ246" s="84">
        <f t="shared" si="2247"/>
        <v>1.3102294796084182</v>
      </c>
      <c r="CK246" s="50">
        <f t="shared" si="2247"/>
        <v>1.2837548184940659</v>
      </c>
      <c r="CL246" s="84">
        <f t="shared" ref="CL246" si="2248">(CL161+CL148+CL138+CL140)/CL120</f>
        <v>1.17854324050062</v>
      </c>
      <c r="CM246" s="50">
        <f t="shared" si="2247"/>
        <v>1.2057918837031996</v>
      </c>
      <c r="CN246" s="50">
        <f t="shared" si="2247"/>
        <v>1.3651516044513219</v>
      </c>
      <c r="CO246" s="50">
        <f t="shared" si="2247"/>
        <v>1.3067504211769159</v>
      </c>
      <c r="CP246" s="50">
        <f t="shared" si="2247"/>
        <v>1.1910198045208107</v>
      </c>
      <c r="CQ246" s="50">
        <f t="shared" si="2247"/>
        <v>1.2203556853237516</v>
      </c>
      <c r="CR246" s="50">
        <f t="shared" si="2247"/>
        <v>1.3921528644819292</v>
      </c>
      <c r="CS246" s="50">
        <f t="shared" si="2247"/>
        <v>1.3224097476612466</v>
      </c>
      <c r="CT246" s="50">
        <f t="shared" si="2247"/>
        <v>1.2008116888763707</v>
      </c>
      <c r="CU246" s="50">
        <f t="shared" si="2247"/>
        <v>1.2312758385481626</v>
      </c>
      <c r="CV246" s="50">
        <f t="shared" si="2247"/>
        <v>1.4095964613337235</v>
      </c>
      <c r="CW246" s="50">
        <f t="shared" si="2247"/>
        <v>1.334849418341546</v>
      </c>
      <c r="CX246" s="50">
        <f t="shared" ref="CX246:DB246" si="2249">(CX161+CX148+CX138+CX140)/CX120</f>
        <v>1.2084373465218612</v>
      </c>
      <c r="CY246" s="50">
        <f t="shared" si="2249"/>
        <v>1.239586821465692</v>
      </c>
      <c r="CZ246" s="50">
        <f t="shared" si="2249"/>
        <v>1.4226863906099165</v>
      </c>
      <c r="DA246" s="50">
        <f t="shared" si="2249"/>
        <v>1.3446900315661556</v>
      </c>
      <c r="DB246" s="50">
        <f t="shared" si="2249"/>
        <v>1.2144027507665895</v>
      </c>
      <c r="DE246" s="138"/>
      <c r="DF246" s="84">
        <v>1.1788686719221941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 t="e">
        <f t="shared" si="2250"/>
        <v>#DIV/0!</v>
      </c>
      <c r="K248" s="88" t="e">
        <f t="shared" si="2250"/>
        <v>#DIV/0!</v>
      </c>
      <c r="L248" s="88" t="e">
        <f t="shared" si="2250"/>
        <v>#DIV/0!</v>
      </c>
      <c r="M248" s="88" t="e">
        <f t="shared" si="2250"/>
        <v>#DIV/0!</v>
      </c>
      <c r="N248" s="88" t="e">
        <f t="shared" si="2250"/>
        <v>#DIV/0!</v>
      </c>
      <c r="O248" s="88" t="e">
        <f t="shared" si="2250"/>
        <v>#DIV/0!</v>
      </c>
      <c r="P248" s="88" t="e">
        <f t="shared" si="2250"/>
        <v>#DIV/0!</v>
      </c>
      <c r="Q248" s="88" t="e">
        <f t="shared" si="2250"/>
        <v>#DIV/0!</v>
      </c>
      <c r="R248" s="88" t="e">
        <f t="shared" si="2250"/>
        <v>#DIV/0!</v>
      </c>
      <c r="S248" s="88" t="e">
        <f t="shared" si="2250"/>
        <v>#DIV/0!</v>
      </c>
      <c r="T248" s="88" t="e">
        <f t="shared" si="2250"/>
        <v>#DIV/0!</v>
      </c>
      <c r="U248" s="88">
        <f t="shared" si="2250"/>
        <v>1.6249999999999998</v>
      </c>
      <c r="V248" s="88">
        <f t="shared" si="2250"/>
        <v>1.1666666666666667</v>
      </c>
      <c r="W248" s="88">
        <f t="shared" si="2250"/>
        <v>0.55858188962314703</v>
      </c>
      <c r="X248" s="88">
        <f t="shared" si="2250"/>
        <v>0.55081159603360064</v>
      </c>
      <c r="Y248" s="88">
        <f t="shared" si="2250"/>
        <v>2.7457448530196653E-2</v>
      </c>
      <c r="Z248" s="88">
        <f t="shared" si="2250"/>
        <v>0.54300047850201794</v>
      </c>
      <c r="AA248" s="88">
        <f t="shared" ref="AA248" si="2251">AA161/AA120</f>
        <v>0.51268428845155067</v>
      </c>
      <c r="AB248" s="42">
        <f t="shared" si="2250"/>
        <v>0.51239362021584955</v>
      </c>
      <c r="AC248" s="42">
        <f t="shared" si="2250"/>
        <v>0.49755173203651049</v>
      </c>
      <c r="AD248" s="42">
        <f t="shared" si="2250"/>
        <v>0.48191018507687805</v>
      </c>
      <c r="AE248" s="42">
        <f t="shared" si="2250"/>
        <v>0.46854492503376688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 t="e">
        <f t="shared" si="2252"/>
        <v>#DIV/0!</v>
      </c>
      <c r="BO248" s="88" t="e">
        <f t="shared" si="2252"/>
        <v>#DIV/0!</v>
      </c>
      <c r="BP248" s="88" t="e">
        <f t="shared" si="2252"/>
        <v>#DIV/0!</v>
      </c>
      <c r="BQ248" s="88" t="e">
        <f t="shared" si="2252"/>
        <v>#DIV/0!</v>
      </c>
      <c r="BR248" s="88" t="e">
        <f t="shared" si="2252"/>
        <v>#DIV/0!</v>
      </c>
      <c r="BS248" s="88" t="e">
        <f t="shared" si="2252"/>
        <v>#DIV/0!</v>
      </c>
      <c r="BT248" s="88" t="e">
        <f t="shared" si="2252"/>
        <v>#DIV/0!</v>
      </c>
      <c r="BU248" s="88" t="e">
        <f t="shared" si="2252"/>
        <v>#DIV/0!</v>
      </c>
      <c r="BV248" s="88">
        <f t="shared" si="2252"/>
        <v>0.55892857142857133</v>
      </c>
      <c r="BW248" s="88">
        <f t="shared" si="2252"/>
        <v>0.3956019325284611</v>
      </c>
      <c r="BX248" s="88" t="e">
        <f t="shared" si="2252"/>
        <v>#DIV/0!</v>
      </c>
      <c r="BY248" s="88">
        <f t="shared" si="2252"/>
        <v>1</v>
      </c>
      <c r="BZ248" s="88">
        <f t="shared" si="2252"/>
        <v>0.55079434484768985</v>
      </c>
      <c r="CA248" s="88">
        <f t="shared" si="2252"/>
        <v>0.61015909716530392</v>
      </c>
      <c r="CB248" s="88">
        <f t="shared" si="2252"/>
        <v>0.60659499426337482</v>
      </c>
      <c r="CC248" s="88">
        <f t="shared" si="2252"/>
        <v>0.4288708358586672</v>
      </c>
      <c r="CD248" s="88">
        <f t="shared" si="2252"/>
        <v>2.7478392617334112E-2</v>
      </c>
      <c r="CE248" s="88">
        <f t="shared" si="2252"/>
        <v>-1.0906646537007578</v>
      </c>
      <c r="CF248" s="88">
        <f t="shared" si="2252"/>
        <v>0.61435511856564495</v>
      </c>
      <c r="CG248" s="88">
        <f t="shared" si="2252"/>
        <v>0.4284594418318699</v>
      </c>
      <c r="CH248" s="88">
        <f t="shared" si="2252"/>
        <v>0.54300047850201794</v>
      </c>
      <c r="CI248" s="88">
        <f t="shared" si="2252"/>
        <v>0.48991004302032903</v>
      </c>
      <c r="CJ248" s="88">
        <f t="shared" si="2252"/>
        <v>0.54663707344140144</v>
      </c>
      <c r="CK248" s="42">
        <f t="shared" si="2252"/>
        <v>0.58809515859475292</v>
      </c>
      <c r="CL248" s="88">
        <f t="shared" ref="CL248" si="2253">CL161/CL120</f>
        <v>0.5126846318637952</v>
      </c>
      <c r="CM248" s="42">
        <f t="shared" si="2252"/>
        <v>0.45635423536152148</v>
      </c>
      <c r="CN248" s="42">
        <f t="shared" si="2252"/>
        <v>7.2415695616784737E-2</v>
      </c>
      <c r="CO248" s="42">
        <f t="shared" si="2252"/>
        <v>0.2227415662645042</v>
      </c>
      <c r="CP248" s="42">
        <f t="shared" si="2252"/>
        <v>0.51239362021584955</v>
      </c>
      <c r="CQ248" s="42">
        <f t="shared" si="2252"/>
        <v>0.44327980648291132</v>
      </c>
      <c r="CR248" s="42">
        <f t="shared" si="2252"/>
        <v>2.2324452393342763E-2</v>
      </c>
      <c r="CS248" s="42">
        <f t="shared" si="2252"/>
        <v>0.19631006616430147</v>
      </c>
      <c r="CT248" s="42">
        <f t="shared" si="2252"/>
        <v>0.49755173203651049</v>
      </c>
      <c r="CU248" s="42">
        <f t="shared" si="2252"/>
        <v>0.42342900769201991</v>
      </c>
      <c r="CV248" s="42">
        <f t="shared" si="2252"/>
        <v>-1.5468644016147953E-2</v>
      </c>
      <c r="CW248" s="42">
        <f t="shared" si="2252"/>
        <v>0.16961811296165338</v>
      </c>
      <c r="CX248" s="42">
        <f t="shared" ref="CX248:DB248" si="2254">CX161/CX120</f>
        <v>0.48191018507687805</v>
      </c>
      <c r="CY248" s="42">
        <f t="shared" si="2254"/>
        <v>0.40545566695639146</v>
      </c>
      <c r="CZ248" s="42">
        <f t="shared" si="2254"/>
        <v>-4.5789038106158163E-2</v>
      </c>
      <c r="DA248" s="42">
        <f t="shared" si="2254"/>
        <v>0.14693838115205329</v>
      </c>
      <c r="DB248" s="42">
        <f t="shared" si="2254"/>
        <v>0.46854492503376688</v>
      </c>
      <c r="DE248" s="125"/>
      <c r="DF248" s="88">
        <v>0.73609076677549001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>
        <f t="shared" si="2255"/>
        <v>0</v>
      </c>
      <c r="W249" s="89">
        <f t="shared" si="2255"/>
        <v>1474.7777777777778</v>
      </c>
      <c r="X249" s="89">
        <f t="shared" si="2255"/>
        <v>-0.83908673392561361</v>
      </c>
      <c r="Y249" s="89">
        <f t="shared" si="2255"/>
        <v>1.0251491402503219</v>
      </c>
      <c r="Z249" s="89">
        <f t="shared" si="2255"/>
        <v>-1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>
        <f t="shared" si="2256"/>
        <v>0</v>
      </c>
      <c r="BX249" s="89">
        <f t="shared" si="2256"/>
        <v>-1</v>
      </c>
      <c r="BY249" s="89" t="e">
        <f t="shared" si="2256"/>
        <v>#DIV/0!</v>
      </c>
      <c r="BZ249" s="89" t="e">
        <f t="shared" si="2256"/>
        <v>#DIV/0!</v>
      </c>
      <c r="CA249" s="89">
        <f t="shared" si="2256"/>
        <v>0</v>
      </c>
      <c r="CB249" s="89">
        <f t="shared" si="2256"/>
        <v>-1</v>
      </c>
      <c r="CC249" s="89" t="e">
        <f t="shared" si="2256"/>
        <v>#DIV/0!</v>
      </c>
      <c r="CD249" s="89" t="e">
        <f t="shared" si="2256"/>
        <v>#DIV/0!</v>
      </c>
      <c r="CE249" s="89">
        <f t="shared" si="2256"/>
        <v>0</v>
      </c>
      <c r="CF249" s="89">
        <f t="shared" si="2256"/>
        <v>0.33968804159445387</v>
      </c>
      <c r="CG249" s="89">
        <f t="shared" si="2256"/>
        <v>0</v>
      </c>
      <c r="CH249" s="89">
        <f t="shared" si="2256"/>
        <v>-1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 t="e">
        <f t="shared" si="2258"/>
        <v>#DIV/0!</v>
      </c>
      <c r="L250" s="89" t="e">
        <f t="shared" si="2258"/>
        <v>#DIV/0!</v>
      </c>
      <c r="M250" s="89" t="e">
        <f t="shared" si="2258"/>
        <v>#DIV/0!</v>
      </c>
      <c r="N250" s="89" t="e">
        <f t="shared" si="2258"/>
        <v>#DIV/0!</v>
      </c>
      <c r="O250" s="89" t="e">
        <f t="shared" si="2258"/>
        <v>#DIV/0!</v>
      </c>
      <c r="P250" s="89" t="e">
        <f t="shared" si="2258"/>
        <v>#DIV/0!</v>
      </c>
      <c r="Q250" s="89" t="e">
        <f t="shared" si="2258"/>
        <v>#DIV/0!</v>
      </c>
      <c r="R250" s="89" t="e">
        <f t="shared" si="2258"/>
        <v>#DIV/0!</v>
      </c>
      <c r="S250" s="89" t="e">
        <f t="shared" si="2258"/>
        <v>#DIV/0!</v>
      </c>
      <c r="T250" s="89" t="e">
        <f t="shared" si="2258"/>
        <v>#DIV/0!</v>
      </c>
      <c r="U250" s="89" t="e">
        <f t="shared" si="2258"/>
        <v>#DIV/0!</v>
      </c>
      <c r="V250" s="89">
        <f t="shared" si="2258"/>
        <v>-5.8750000000000009</v>
      </c>
      <c r="W250" s="89">
        <f t="shared" si="2258"/>
        <v>389.6666666666664</v>
      </c>
      <c r="X250" s="89">
        <f t="shared" si="2258"/>
        <v>3.3069703334208516</v>
      </c>
      <c r="Y250" s="89">
        <f t="shared" si="2258"/>
        <v>0.74931805367184245</v>
      </c>
      <c r="Z250" s="89">
        <f t="shared" si="2258"/>
        <v>2.2651578507213035</v>
      </c>
      <c r="AA250" s="89">
        <f t="shared" si="2258"/>
        <v>5.9597560389953452E-2</v>
      </c>
      <c r="AB250" s="47">
        <f t="shared" si="2258"/>
        <v>0.35601114602090278</v>
      </c>
      <c r="AC250" s="47">
        <f t="shared" si="2258"/>
        <v>0.36459157092340244</v>
      </c>
      <c r="AD250" s="47">
        <f t="shared" si="2258"/>
        <v>0.3679154078873399</v>
      </c>
      <c r="AE250" s="47">
        <f t="shared" si="2258"/>
        <v>0.36883716419474699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 t="e">
        <f t="shared" si="2259"/>
        <v>#DIV/0!</v>
      </c>
      <c r="BO250" s="89" t="e">
        <f t="shared" si="2259"/>
        <v>#DIV/0!</v>
      </c>
      <c r="BP250" s="89" t="e">
        <f t="shared" si="2259"/>
        <v>#DIV/0!</v>
      </c>
      <c r="BQ250" s="89" t="e">
        <f t="shared" si="2259"/>
        <v>#DIV/0!</v>
      </c>
      <c r="BR250" s="89" t="e">
        <f t="shared" si="2259"/>
        <v>#DIV/0!</v>
      </c>
      <c r="BS250" s="89" t="e">
        <f t="shared" si="2259"/>
        <v>#DIV/0!</v>
      </c>
      <c r="BT250" s="89" t="e">
        <f t="shared" si="2259"/>
        <v>#DIV/0!</v>
      </c>
      <c r="BU250" s="89" t="e">
        <f t="shared" si="2259"/>
        <v>#DIV/0!</v>
      </c>
      <c r="BV250" s="89">
        <f t="shared" si="2259"/>
        <v>3.0969899665551823</v>
      </c>
      <c r="BW250" s="89">
        <f t="shared" si="2259"/>
        <v>6.5306122448979487E-2</v>
      </c>
      <c r="BX250" s="89">
        <f t="shared" si="2259"/>
        <v>0.31034482758620685</v>
      </c>
      <c r="BY250" s="89">
        <f t="shared" si="2259"/>
        <v>-1.7543859649129523E-3</v>
      </c>
      <c r="BZ250" s="89">
        <f t="shared" si="2259"/>
        <v>7.7914469830112187E-2</v>
      </c>
      <c r="CA250" s="89">
        <f t="shared" si="2259"/>
        <v>-0.22336956521739115</v>
      </c>
      <c r="CB250" s="89">
        <f t="shared" si="2259"/>
        <v>0.71098670398880248</v>
      </c>
      <c r="CC250" s="89">
        <f t="shared" si="2259"/>
        <v>0.71206543967280278</v>
      </c>
      <c r="CD250" s="89">
        <f t="shared" si="2259"/>
        <v>-0.24247491638795982</v>
      </c>
      <c r="CE250" s="89">
        <f t="shared" si="2259"/>
        <v>3.4676758120466706</v>
      </c>
      <c r="CF250" s="89">
        <f t="shared" si="2259"/>
        <v>-0.50991741370791277</v>
      </c>
      <c r="CG250" s="89">
        <f t="shared" si="2259"/>
        <v>0.67060348552498938</v>
      </c>
      <c r="CH250" s="89">
        <f t="shared" si="2259"/>
        <v>-0.59160272437279038</v>
      </c>
      <c r="CI250" s="89">
        <f t="shared" si="2259"/>
        <v>0.3394553514882821</v>
      </c>
      <c r="CJ250" s="89">
        <f t="shared" si="2259"/>
        <v>1.0505910165484638</v>
      </c>
      <c r="CK250" s="47">
        <f t="shared" si="2259"/>
        <v>2.4594573822150245E-2</v>
      </c>
      <c r="CL250" s="89">
        <f t="shared" si="2259"/>
        <v>-0.47918385717500545</v>
      </c>
      <c r="CM250" s="47">
        <f t="shared" si="2259"/>
        <v>0.32847231422967482</v>
      </c>
      <c r="CN250" s="47">
        <f t="shared" si="2259"/>
        <v>0.97526698803346568</v>
      </c>
      <c r="CO250" s="47">
        <f t="shared" si="2259"/>
        <v>-0.11263529056971544</v>
      </c>
      <c r="CP250" s="47">
        <f t="shared" si="2259"/>
        <v>-0.36631775208191053</v>
      </c>
      <c r="CQ250" s="47">
        <f t="shared" si="2259"/>
        <v>0.23908961052904854</v>
      </c>
      <c r="CR250" s="47">
        <f t="shared" si="2259"/>
        <v>0.9511621722267174</v>
      </c>
      <c r="CS250" s="47">
        <f t="shared" si="2259"/>
        <v>-0.1194093755011979</v>
      </c>
      <c r="CT250" s="47">
        <f t="shared" si="2259"/>
        <v>-0.34820800543406483</v>
      </c>
      <c r="CU250" s="47">
        <f t="shared" si="2259"/>
        <v>0.22147548269334782</v>
      </c>
      <c r="CV250" s="47">
        <f t="shared" si="2259"/>
        <v>0.94820708601251491</v>
      </c>
      <c r="CW250" s="47">
        <f t="shared" si="2259"/>
        <v>-0.11834756576930872</v>
      </c>
      <c r="CX250" s="47">
        <f t="shared" ref="CX250:DB250" si="2260">CX28/CW28-1</f>
        <v>-0.34598964359383122</v>
      </c>
      <c r="CY250" s="47">
        <f t="shared" si="2260"/>
        <v>0.218090762664916</v>
      </c>
      <c r="CZ250" s="47">
        <f t="shared" si="2260"/>
        <v>0.94835978615328065</v>
      </c>
      <c r="DA250" s="47">
        <f t="shared" si="2260"/>
        <v>-0.1179256776613371</v>
      </c>
      <c r="DB250" s="47">
        <f t="shared" si="2260"/>
        <v>-0.34579683725319443</v>
      </c>
      <c r="DE250" s="130"/>
      <c r="DF250" s="89">
        <v>-0.42125834059883149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str">
        <f>IF(V249&gt;V250,"RF",0)</f>
        <v>RF</v>
      </c>
      <c r="W251" s="103" t="str">
        <f t="shared" ref="W251:AE251" si="2262">IF(W249&gt;W250,"RF",0)</f>
        <v>RF</v>
      </c>
      <c r="X251" s="103">
        <f t="shared" si="2262"/>
        <v>0</v>
      </c>
      <c r="Y251" s="103" t="str">
        <f t="shared" si="2262"/>
        <v>RF</v>
      </c>
      <c r="Z251" s="103">
        <f t="shared" si="2262"/>
        <v>0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>
        <f t="shared" si="2264"/>
        <v>0</v>
      </c>
      <c r="BX251" s="103">
        <f t="shared" si="2264"/>
        <v>0</v>
      </c>
      <c r="BY251" s="103" t="e">
        <f t="shared" si="2264"/>
        <v>#DIV/0!</v>
      </c>
      <c r="BZ251" s="103" t="e">
        <f t="shared" si="2264"/>
        <v>#DIV/0!</v>
      </c>
      <c r="CA251" s="103" t="str">
        <f t="shared" si="2264"/>
        <v>RF</v>
      </c>
      <c r="CB251" s="103">
        <f t="shared" si="2264"/>
        <v>0</v>
      </c>
      <c r="CC251" s="103" t="e">
        <f t="shared" si="2264"/>
        <v>#DIV/0!</v>
      </c>
      <c r="CD251" s="103" t="e">
        <f t="shared" si="2264"/>
        <v>#DIV/0!</v>
      </c>
      <c r="CE251" s="103">
        <f t="shared" si="2264"/>
        <v>0</v>
      </c>
      <c r="CF251" s="103" t="str">
        <f t="shared" si="2264"/>
        <v>RF</v>
      </c>
      <c r="CG251" s="103">
        <f t="shared" si="2264"/>
        <v>0</v>
      </c>
      <c r="CH251" s="103">
        <f t="shared" si="2264"/>
        <v>0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 t="e">
        <f t="shared" si="2267"/>
        <v>#DIV/0!</v>
      </c>
      <c r="O252" s="86" t="e">
        <f t="shared" si="2267"/>
        <v>#DIV/0!</v>
      </c>
      <c r="P252" s="86" t="e">
        <f t="shared" si="2267"/>
        <v>#DIV/0!</v>
      </c>
      <c r="Q252" s="86" t="e">
        <f t="shared" si="2267"/>
        <v>#DIV/0!</v>
      </c>
      <c r="R252" s="86" t="e">
        <f t="shared" si="2267"/>
        <v>#DIV/0!</v>
      </c>
      <c r="S252" s="86" t="e">
        <f t="shared" si="2267"/>
        <v>#DIV/0!</v>
      </c>
      <c r="T252" s="86" t="e">
        <f t="shared" si="2267"/>
        <v>#DIV/0!</v>
      </c>
      <c r="U252" s="86" t="e">
        <f t="shared" si="2267"/>
        <v>#DIV/0!</v>
      </c>
      <c r="V252" s="86">
        <f t="shared" si="2267"/>
        <v>1.6666666666666666E-2</v>
      </c>
      <c r="W252" s="86">
        <f t="shared" si="2267"/>
        <v>3.2832151937096962E-3</v>
      </c>
      <c r="X252" s="86">
        <f t="shared" si="2267"/>
        <v>6.8669438089392328E-3</v>
      </c>
      <c r="Y252" s="86">
        <f t="shared" si="2267"/>
        <v>7.6183839047781199E-3</v>
      </c>
      <c r="Z252" s="86">
        <f t="shared" si="2267"/>
        <v>2.4532466134272305E-3</v>
      </c>
      <c r="AA252" s="86">
        <f t="shared" ref="AA252" si="2268">AA36/AA8</f>
        <v>6.3801276293260975E-3</v>
      </c>
      <c r="AB252" s="87">
        <f t="shared" si="2267"/>
        <v>-1.0328195266066377E-2</v>
      </c>
      <c r="AC252" s="87">
        <f t="shared" si="2267"/>
        <v>-8.8945563460496816E-3</v>
      </c>
      <c r="AD252" s="87">
        <f t="shared" si="2267"/>
        <v>-7.7253512401059049E-3</v>
      </c>
      <c r="AE252" s="87">
        <f t="shared" si="2267"/>
        <v>-6.8208940047192693E-3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 t="e">
        <f t="shared" si="2269"/>
        <v>#DIV/0!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 t="e">
        <f t="shared" si="2269"/>
        <v>#DIV/0!</v>
      </c>
      <c r="BS252" s="86" t="e">
        <f t="shared" si="2269"/>
        <v>#DIV/0!</v>
      </c>
      <c r="BT252" s="86" t="e">
        <f t="shared" si="2269"/>
        <v>#DIV/0!</v>
      </c>
      <c r="BU252" s="86">
        <f t="shared" si="2269"/>
        <v>0</v>
      </c>
      <c r="BV252" s="86">
        <f t="shared" si="2269"/>
        <v>4.2553191489361703E-3</v>
      </c>
      <c r="BW252" s="86">
        <f t="shared" si="2269"/>
        <v>1.1261261261261261E-2</v>
      </c>
      <c r="BX252" s="86">
        <f t="shared" si="2269"/>
        <v>7.9232058509827816E-3</v>
      </c>
      <c r="BY252" s="86">
        <f t="shared" si="2269"/>
        <v>6.9129178704085848E-3</v>
      </c>
      <c r="BZ252" s="86">
        <f t="shared" si="2269"/>
        <v>2.3977433004231316E-3</v>
      </c>
      <c r="CA252" s="86">
        <f t="shared" si="2269"/>
        <v>3.6781609195402297E-3</v>
      </c>
      <c r="CB252" s="86">
        <f t="shared" si="2269"/>
        <v>2.4078533061678087E-3</v>
      </c>
      <c r="CC252" s="86">
        <f t="shared" si="2269"/>
        <v>7.8731301315937462E-4</v>
      </c>
      <c r="CD252" s="86">
        <f t="shared" si="2269"/>
        <v>6.1102444097763907E-3</v>
      </c>
      <c r="CE252" s="86">
        <f t="shared" si="2269"/>
        <v>1.0122595883477674E-3</v>
      </c>
      <c r="CF252" s="86">
        <f t="shared" si="2269"/>
        <v>1.4378458454969282E-3</v>
      </c>
      <c r="CG252" s="86">
        <f t="shared" si="2269"/>
        <v>3.3936651583710408E-3</v>
      </c>
      <c r="CH252" s="86">
        <f t="shared" si="2269"/>
        <v>2.6887644906774802E-3</v>
      </c>
      <c r="CI252" s="86">
        <f t="shared" si="2269"/>
        <v>5.0895243674709831E-3</v>
      </c>
      <c r="CJ252" s="86">
        <f t="shared" si="2269"/>
        <v>3.9398897692042717E-3</v>
      </c>
      <c r="CK252" s="87">
        <f t="shared" si="2269"/>
        <v>5.5801632794858442E-3</v>
      </c>
      <c r="CL252" s="86">
        <f t="shared" ref="CL252" si="2270">CL36/CL8</f>
        <v>9.8354006827322798E-3</v>
      </c>
      <c r="CM252" s="87">
        <f t="shared" si="2269"/>
        <v>-2.2797014015242412E-2</v>
      </c>
      <c r="CN252" s="87">
        <f t="shared" si="2269"/>
        <v>-1.1015767231701624E-2</v>
      </c>
      <c r="CO252" s="87">
        <f t="shared" si="2269"/>
        <v>-2.1162670509499992E-3</v>
      </c>
      <c r="CP252" s="87">
        <f t="shared" si="2269"/>
        <v>-1.0708949251536782E-2</v>
      </c>
      <c r="CQ252" s="87">
        <f t="shared" si="2269"/>
        <v>-2.1145012232474693E-2</v>
      </c>
      <c r="CR252" s="87">
        <f t="shared" si="2269"/>
        <v>-9.8951607521926433E-3</v>
      </c>
      <c r="CS252" s="87">
        <f t="shared" si="2269"/>
        <v>-6.1829611798576575E-4</v>
      </c>
      <c r="CT252" s="87">
        <f t="shared" si="2269"/>
        <v>-8.951672841759014E-3</v>
      </c>
      <c r="CU252" s="87">
        <f t="shared" si="2269"/>
        <v>-1.9522170598729113E-2</v>
      </c>
      <c r="CV252" s="87">
        <f t="shared" si="2269"/>
        <v>-9.0149565483982532E-3</v>
      </c>
      <c r="CW252" s="87">
        <f t="shared" si="2269"/>
        <v>4.1148227528989403E-4</v>
      </c>
      <c r="CX252" s="87">
        <f t="shared" ref="CX252:DB252" si="2271">CX36/CX8</f>
        <v>-7.4451743210618461E-3</v>
      </c>
      <c r="CY252" s="87">
        <f t="shared" si="2271"/>
        <v>-1.8234089473008253E-2</v>
      </c>
      <c r="CZ252" s="87">
        <f t="shared" si="2271"/>
        <v>-8.3428648366984798E-3</v>
      </c>
      <c r="DA252" s="87">
        <f t="shared" si="2271"/>
        <v>1.1813034099460707E-3</v>
      </c>
      <c r="DB252" s="87">
        <f t="shared" si="2271"/>
        <v>-6.2678539189497005E-3</v>
      </c>
      <c r="DE252" s="141"/>
      <c r="DF252" s="86">
        <v>-5.3854453426125354E-2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 t="e">
        <f t="shared" si="2272"/>
        <v>#DIV/0!</v>
      </c>
      <c r="O253" s="86" t="e">
        <f t="shared" si="2272"/>
        <v>#DIV/0!</v>
      </c>
      <c r="P253" s="86" t="e">
        <f t="shared" si="2272"/>
        <v>#DIV/0!</v>
      </c>
      <c r="Q253" s="86" t="e">
        <f t="shared" si="2272"/>
        <v>#DIV/0!</v>
      </c>
      <c r="R253" s="86" t="e">
        <f t="shared" si="2272"/>
        <v>#DIV/0!</v>
      </c>
      <c r="S253" s="86" t="e">
        <f t="shared" si="2272"/>
        <v>#DIV/0!</v>
      </c>
      <c r="T253" s="86" t="e">
        <f t="shared" si="2272"/>
        <v>#DIV/0!</v>
      </c>
      <c r="U253" s="86" t="e">
        <f t="shared" si="2272"/>
        <v>#DIV/0!</v>
      </c>
      <c r="V253" s="86">
        <f t="shared" si="2272"/>
        <v>0</v>
      </c>
      <c r="W253" s="86">
        <f t="shared" si="2272"/>
        <v>3.451585203643527E-3</v>
      </c>
      <c r="X253" s="86">
        <f t="shared" si="2272"/>
        <v>6.1764131465878022E-3</v>
      </c>
      <c r="Y253" s="86">
        <f t="shared" si="2272"/>
        <v>6.5750137598150045E-3</v>
      </c>
      <c r="Z253" s="86">
        <f t="shared" si="2272"/>
        <v>4.7125450434760581E-3</v>
      </c>
      <c r="AA253" s="86">
        <f t="shared" ref="AA253" si="2273">AA32/AA8</f>
        <v>1.0554787304536638E-2</v>
      </c>
      <c r="AB253" s="87">
        <f t="shared" si="2272"/>
        <v>1.797254741089432E-2</v>
      </c>
      <c r="AC253" s="87">
        <f t="shared" si="2272"/>
        <v>4.5805500792835911E-3</v>
      </c>
      <c r="AD253" s="87">
        <f t="shared" si="2272"/>
        <v>1.169092873112087E-3</v>
      </c>
      <c r="AE253" s="87">
        <f t="shared" si="2272"/>
        <v>2.984561361692355E-4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 t="e">
        <f t="shared" si="2274"/>
        <v>#DIV/0!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 t="e">
        <f t="shared" si="2274"/>
        <v>#DIV/0!</v>
      </c>
      <c r="BS253" s="86" t="e">
        <f t="shared" si="2274"/>
        <v>#DIV/0!</v>
      </c>
      <c r="BT253" s="86" t="e">
        <f t="shared" si="2274"/>
        <v>#DIV/0!</v>
      </c>
      <c r="BU253" s="86">
        <f t="shared" si="2274"/>
        <v>4.8387096774193551E-3</v>
      </c>
      <c r="BV253" s="86">
        <f t="shared" si="2274"/>
        <v>3.1914893617021275E-3</v>
      </c>
      <c r="BW253" s="86">
        <f t="shared" si="2274"/>
        <v>3.003003003003003E-3</v>
      </c>
      <c r="BX253" s="86">
        <f t="shared" si="2274"/>
        <v>4.8758189852201742E-3</v>
      </c>
      <c r="BY253" s="86">
        <f t="shared" si="2274"/>
        <v>6.0874948411060665E-3</v>
      </c>
      <c r="BZ253" s="86">
        <f t="shared" si="2274"/>
        <v>9.7320169252468284E-3</v>
      </c>
      <c r="CA253" s="86">
        <f t="shared" si="2274"/>
        <v>1.1340996168582375E-2</v>
      </c>
      <c r="CB253" s="86">
        <f t="shared" si="2274"/>
        <v>7.4087794035932585E-3</v>
      </c>
      <c r="CC253" s="86">
        <f t="shared" si="2274"/>
        <v>4.8363513665504437E-3</v>
      </c>
      <c r="CD253" s="86">
        <f t="shared" si="2274"/>
        <v>6.0452418096723871E-3</v>
      </c>
      <c r="CE253" s="86">
        <f t="shared" si="2274"/>
        <v>2.3169497244404456E-3</v>
      </c>
      <c r="CF253" s="86">
        <f t="shared" si="2274"/>
        <v>4.6621062263082214E-3</v>
      </c>
      <c r="CG253" s="86">
        <f t="shared" si="2274"/>
        <v>4.30416068866571E-3</v>
      </c>
      <c r="CH253" s="86">
        <f t="shared" si="2274"/>
        <v>1.0093886366641689E-2</v>
      </c>
      <c r="CI253" s="86">
        <f t="shared" si="2274"/>
        <v>9.9959723188458877E-3</v>
      </c>
      <c r="CJ253" s="86">
        <f t="shared" si="2274"/>
        <v>7.9658973475714781E-3</v>
      </c>
      <c r="CK253" s="87">
        <f t="shared" si="2274"/>
        <v>8.8153552197325E-3</v>
      </c>
      <c r="CL253" s="86">
        <f t="shared" ref="CL253" si="2275">CL32/CL8</f>
        <v>1.7879474093351812E-2</v>
      </c>
      <c r="CM253" s="87">
        <f t="shared" si="2274"/>
        <v>3.6932103766868403E-2</v>
      </c>
      <c r="CN253" s="87">
        <f t="shared" si="2274"/>
        <v>1.4748148185074316E-2</v>
      </c>
      <c r="CO253" s="87">
        <f t="shared" si="2274"/>
        <v>1.2607596704178133E-2</v>
      </c>
      <c r="CP253" s="87">
        <f t="shared" si="2274"/>
        <v>1.490146242291325E-2</v>
      </c>
      <c r="CQ253" s="87">
        <f t="shared" si="2274"/>
        <v>9.4351935380062087E-3</v>
      </c>
      <c r="CR253" s="87">
        <f t="shared" si="2274"/>
        <v>3.7236366833802892E-3</v>
      </c>
      <c r="CS253" s="87">
        <f t="shared" si="2274"/>
        <v>3.236463127874953E-3</v>
      </c>
      <c r="CT253" s="87">
        <f t="shared" si="2274"/>
        <v>3.8091309575324799E-3</v>
      </c>
      <c r="CU253" s="87">
        <f t="shared" si="2274"/>
        <v>2.4065535225692171E-3</v>
      </c>
      <c r="CV253" s="87">
        <f t="shared" si="2274"/>
        <v>9.493725616979892E-4</v>
      </c>
      <c r="CW253" s="87">
        <f t="shared" si="2274"/>
        <v>8.2719219827828943E-4</v>
      </c>
      <c r="CX253" s="87">
        <f t="shared" ref="CX253:DB253" si="2276">CX32/CX8</f>
        <v>9.7249487692623352E-4</v>
      </c>
      <c r="CY253" s="87">
        <f t="shared" si="2276"/>
        <v>6.142188604463082E-4</v>
      </c>
      <c r="CZ253" s="87">
        <f t="shared" si="2276"/>
        <v>2.4234555321989151E-4</v>
      </c>
      <c r="DA253" s="87">
        <f t="shared" si="2276"/>
        <v>2.1122103233208595E-4</v>
      </c>
      <c r="DB253" s="87">
        <f t="shared" si="2276"/>
        <v>2.4826577509261282E-4</v>
      </c>
      <c r="DE253" s="141"/>
      <c r="DF253" s="86">
        <v>1.1293410734738097E-2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308320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PNGS Gargi Fashion Jewellery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1.24</v>
      </c>
      <c r="AP6">
        <f>_xll.EQNXTDZ($A$1,$B6,AP$1,$B$1)</f>
        <v>4.7</v>
      </c>
      <c r="AQ6">
        <f>_xll.EQNXTDZ($A$1,$B6,AQ$1,$B$1)</f>
        <v>5.3280000000000003</v>
      </c>
      <c r="AR6">
        <f>_xll.EQNXTDZ($A$1,$B6,AR$1,$B$1)</f>
        <v>6.5629999999999997</v>
      </c>
      <c r="AS6">
        <f>_xll.EQNXTDZ($A$1,$B6,AS$1,$B$1)</f>
        <v>9.6920000000000002</v>
      </c>
      <c r="AT6">
        <f>_xll.EQNXTDZ($A$1,$B6,AT$1,$B$1)</f>
        <v>7.09</v>
      </c>
      <c r="AU6">
        <f>_xll.EQNXTDZ($A$1,$B6,AU$1,$B$1)</f>
        <v>6.5250000000000004</v>
      </c>
      <c r="AV6">
        <f>_xll.EQNXTDZ($A$1,$B6,AV$1,$B$1)</f>
        <v>10.798</v>
      </c>
      <c r="AW6">
        <f>_xll.EQNXTDZ($A$1,$B6,AW$1,$B$1)</f>
        <v>17.782</v>
      </c>
      <c r="AX6">
        <f>_xll.EQNXTDZ($A$1,$B6,AX$1,$B$1)</f>
        <v>15.384</v>
      </c>
      <c r="AY6">
        <f>_xll.EQNXTDZ($A$1,$B6,AY$1,$B$1)</f>
        <v>44.454999999999998</v>
      </c>
      <c r="AZ6">
        <f>_xll.EQNXTDZ($A$1,$B6,AZ$1,$B$1)</f>
        <v>22.951000000000001</v>
      </c>
      <c r="BA6">
        <f>_xll.EQNXTDZ($A$1,$B6,BA$1,$B$1)</f>
        <v>36.244</v>
      </c>
      <c r="BB6">
        <f>_xll.EQNXTDZ($A$1,$B6,BB$1,$B$1)</f>
        <v>22.687000000000001</v>
      </c>
      <c r="BC6">
        <f>_xll.EQNXTDZ($A$1,$B6,BC$1,$B$1)</f>
        <v>27.311</v>
      </c>
      <c r="BD6">
        <f>_xll.EQNXTDZ($A$1,$B6,BD$1,$B$1)</f>
        <v>46.448</v>
      </c>
      <c r="BE6">
        <f>_xll.EQNXTDZ($A$1,$B6,BE$1,$B$1)</f>
        <v>46.055999999999997</v>
      </c>
      <c r="BF6">
        <f>_xll.EQNXTDZ($A$1,$B6,BF$1,$B$1)</f>
        <v>29.587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1.24</v>
      </c>
      <c r="AP9">
        <f>_xll.EQNXTDZ($A$1,$B9,AP$1,$B$1)</f>
        <v>4.7</v>
      </c>
      <c r="AQ9">
        <f>_xll.EQNXTDZ($A$1,$B9,AQ$1,$B$1)</f>
        <v>5.3280000000000003</v>
      </c>
      <c r="AR9">
        <f>_xll.EQNXTDZ($A$1,$B9,AR$1,$B$1)</f>
        <v>6.5629999999999997</v>
      </c>
      <c r="AS9">
        <f>_xll.EQNXTDZ($A$1,$B9,AS$1,$B$1)</f>
        <v>9.6920000000000002</v>
      </c>
      <c r="AT9">
        <f>_xll.EQNXTDZ($A$1,$B9,AT$1,$B$1)</f>
        <v>7.09</v>
      </c>
      <c r="AU9">
        <f>_xll.EQNXTDZ($A$1,$B9,AU$1,$B$1)</f>
        <v>6.5250000000000004</v>
      </c>
      <c r="AV9">
        <f>_xll.EQNXTDZ($A$1,$B9,AV$1,$B$1)</f>
        <v>10.798</v>
      </c>
      <c r="AW9">
        <f>_xll.EQNXTDZ($A$1,$B9,AW$1,$B$1)</f>
        <v>17.782</v>
      </c>
      <c r="AX9">
        <f>_xll.EQNXTDZ($A$1,$B9,AX$1,$B$1)</f>
        <v>15.384</v>
      </c>
      <c r="AY9">
        <f>_xll.EQNXTDZ($A$1,$B9,AY$1,$B$1)</f>
        <v>44.454999999999998</v>
      </c>
      <c r="AZ9">
        <f>_xll.EQNXTDZ($A$1,$B9,AZ$1,$B$1)</f>
        <v>22.951000000000001</v>
      </c>
      <c r="BA9">
        <f>_xll.EQNXTDZ($A$1,$B9,BA$1,$B$1)</f>
        <v>36.244</v>
      </c>
      <c r="BB9">
        <f>_xll.EQNXTDZ($A$1,$B9,BB$1,$B$1)</f>
        <v>22.687000000000001</v>
      </c>
      <c r="BC9">
        <f>_xll.EQNXTDZ($A$1,$B9,BC$1,$B$1)</f>
        <v>27.311</v>
      </c>
      <c r="BD9">
        <f>_xll.EQNXTDZ($A$1,$B9,BD$1,$B$1)</f>
        <v>46.448</v>
      </c>
      <c r="BE9">
        <f>_xll.EQNXTDZ($A$1,$B9,BE$1,$B$1)</f>
        <v>46.055999999999997</v>
      </c>
      <c r="BF9">
        <f>_xll.EQNXTDZ($A$1,$B9,BF$1,$B$1)</f>
        <v>29.587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-5.91</v>
      </c>
      <c r="AP10">
        <f>_xll.EQNXTDZ($A$1,$B10,AP$1,$B$1)</f>
        <v>-0.91</v>
      </c>
      <c r="AQ10">
        <f>_xll.EQNXTDZ($A$1,$B10,AQ$1,$B$1)</f>
        <v>-0.59</v>
      </c>
      <c r="AR10">
        <f>_xll.EQNXTDZ($A$1,$B10,AR$1,$B$1)</f>
        <v>-1.94</v>
      </c>
      <c r="AS10">
        <f>_xll.EQNXTDZ($A$1,$B10,AS$1,$B$1)</f>
        <v>0.27400000000000002</v>
      </c>
      <c r="AT10">
        <f>_xll.EQNXTDZ($A$1,$B10,AT$1,$B$1)</f>
        <v>-1.3740000000000001</v>
      </c>
      <c r="AU10">
        <f>_xll.EQNXTDZ($A$1,$B10,AU$1,$B$1)</f>
        <v>-1.4470000000000001</v>
      </c>
      <c r="AV10">
        <f>_xll.EQNXTDZ($A$1,$B10,AV$1,$B$1)</f>
        <v>1.0920000000000001</v>
      </c>
      <c r="AW10">
        <f>_xll.EQNXTDZ($A$1,$B10,AW$1,$B$1)</f>
        <v>-15.055</v>
      </c>
      <c r="AX10">
        <f>_xll.EQNXTDZ($A$1,$B10,AX$1,$B$1)</f>
        <v>-6.2460000000000004</v>
      </c>
      <c r="AY10">
        <f>_xll.EQNXTDZ($A$1,$B10,AY$1,$B$1)</f>
        <v>18.638999999999999</v>
      </c>
      <c r="AZ10">
        <f>_xll.EQNXTDZ($A$1,$B10,AZ$1,$B$1)</f>
        <v>-7.2880000000000003</v>
      </c>
      <c r="BA10">
        <f>_xll.EQNXTDZ($A$1,$B10,BA$1,$B$1)</f>
        <v>1.298</v>
      </c>
      <c r="BB10">
        <f>_xll.EQNXTDZ($A$1,$B10,BB$1,$B$1)</f>
        <v>-12.32</v>
      </c>
      <c r="BC10">
        <f>_xll.EQNXTDZ($A$1,$B10,BC$1,$B$1)</f>
        <v>-2.3660000000000001</v>
      </c>
      <c r="BD10">
        <f>_xll.EQNXTDZ($A$1,$B10,BD$1,$B$1)</f>
        <v>-16.103000000000002</v>
      </c>
      <c r="BE10">
        <f>_xll.EQNXTDZ($A$1,$B10,BE$1,$B$1)</f>
        <v>5.827</v>
      </c>
      <c r="BF10">
        <f>_xll.EQNXTDZ($A$1,$B10,BF$1,$B$1)</f>
        <v>-3.8210000000000002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6.66</v>
      </c>
      <c r="AP12">
        <f>_xll.EQNXTDZ($A$1,$B12,AP$1,$B$1)</f>
        <v>3.601</v>
      </c>
      <c r="AQ12">
        <f>_xll.EQNXTDZ($A$1,$B12,AQ$1,$B$1)</f>
        <v>3.415</v>
      </c>
      <c r="AR12">
        <f>_xll.EQNXTDZ($A$1,$B12,AR$1,$B$1)</f>
        <v>5.3959999999999999</v>
      </c>
      <c r="AS12">
        <f>_xll.EQNXTDZ($A$1,$B12,AS$1,$B$1)</f>
        <v>5.8840000000000003</v>
      </c>
      <c r="AT12">
        <f>_xll.EQNXTDZ($A$1,$B12,AT$1,$B$1)</f>
        <v>5.0739999999999998</v>
      </c>
      <c r="AU12">
        <f>_xll.EQNXTDZ($A$1,$B12,AU$1,$B$1)</f>
        <v>4.6109999999999998</v>
      </c>
      <c r="AV12">
        <f>_xll.EQNXTDZ($A$1,$B12,AV$1,$B$1)</f>
        <v>4.7649999999999997</v>
      </c>
      <c r="AW12">
        <f>_xll.EQNXTDZ($A$1,$B12,AW$1,$B$1)</f>
        <v>26.018000000000001</v>
      </c>
      <c r="AX12">
        <f>_xll.EQNXTDZ($A$1,$B12,AX$1,$B$1)</f>
        <v>15.368</v>
      </c>
      <c r="AY12">
        <f>_xll.EQNXTDZ($A$1,$B12,AY$1,$B$1)</f>
        <v>9.7219999999999995</v>
      </c>
      <c r="AZ12">
        <f>_xll.EQNXTDZ($A$1,$B12,AZ$1,$B$1)</f>
        <v>20.512</v>
      </c>
      <c r="BA12">
        <f>_xll.EQNXTDZ($A$1,$B12,BA$1,$B$1)</f>
        <v>19.274999999999999</v>
      </c>
      <c r="BB12">
        <f>_xll.EQNXTDZ($A$1,$B12,BB$1,$B$1)</f>
        <v>26.154</v>
      </c>
      <c r="BC12">
        <f>_xll.EQNXTDZ($A$1,$B12,BC$1,$B$1)</f>
        <v>18.571999999999999</v>
      </c>
      <c r="BD12">
        <f>_xll.EQNXTDZ($A$1,$B12,BD$1,$B$1)</f>
        <v>43.747</v>
      </c>
      <c r="BE12">
        <f>_xll.EQNXTDZ($A$1,$B12,BE$1,$B$1)</f>
        <v>19.645</v>
      </c>
      <c r="BF12">
        <f>_xll.EQNXTDZ($A$1,$B12,BF$1,$B$1)</f>
        <v>19.771999999999998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0.14399999999999999</v>
      </c>
      <c r="AP14">
        <f>_xll.EQNXTDZ($A$1,$B14,AP$1,$B$1)</f>
        <v>0.58099999999999996</v>
      </c>
      <c r="AQ14">
        <f>_xll.EQNXTDZ($A$1,$B14,AQ$1,$B$1)</f>
        <v>0.98899999999999999</v>
      </c>
      <c r="AR14">
        <f>_xll.EQNXTDZ($A$1,$B14,AR$1,$B$1)</f>
        <v>1.1830000000000001</v>
      </c>
      <c r="AS14">
        <f>_xll.EQNXTDZ($A$1,$B14,AS$1,$B$1)</f>
        <v>1.5209999999999999</v>
      </c>
      <c r="AT14">
        <f>_xll.EQNXTDZ($A$1,$B14,AT$1,$B$1)</f>
        <v>1.28</v>
      </c>
      <c r="AU14">
        <f>_xll.EQNXTDZ($A$1,$B14,AU$1,$B$1)</f>
        <v>1.591</v>
      </c>
      <c r="AV14">
        <f>_xll.EQNXTDZ($A$1,$B14,AV$1,$B$1)</f>
        <v>2.1480000000000001</v>
      </c>
      <c r="AW14">
        <f>_xll.EQNXTDZ($A$1,$B14,AW$1,$B$1)</f>
        <v>2.2440000000000002</v>
      </c>
      <c r="AX14">
        <f>_xll.EQNXTDZ($A$1,$B14,AX$1,$B$1)</f>
        <v>2.6160000000000001</v>
      </c>
      <c r="AY14">
        <f>_xll.EQNXTDZ($A$1,$B14,AY$1,$B$1)</f>
        <v>1.4430000000000001</v>
      </c>
      <c r="AZ14">
        <f>_xll.EQNXTDZ($A$1,$B14,AZ$1,$B$1)</f>
        <v>2.2810000000000001</v>
      </c>
      <c r="BA14">
        <f>_xll.EQNXTDZ($A$1,$B14,BA$1,$B$1)</f>
        <v>3.5659999999999998</v>
      </c>
      <c r="BB14">
        <f>_xll.EQNXTDZ($A$1,$B14,BB$1,$B$1)</f>
        <v>3.53</v>
      </c>
      <c r="BC14">
        <f>_xll.EQNXTDZ($A$1,$B14,BC$1,$B$1)</f>
        <v>4.0780000000000003</v>
      </c>
      <c r="BD14">
        <f>_xll.EQNXTDZ($A$1,$B14,BD$1,$B$1)</f>
        <v>5.0540000000000003</v>
      </c>
      <c r="BE14">
        <f>_xll.EQNXTDZ($A$1,$B14,BE$1,$B$1)</f>
        <v>6.391</v>
      </c>
      <c r="BF14">
        <f>_xll.EQNXTDZ($A$1,$B14,BF$1,$B$1)</f>
        <v>5.7640000000000002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4.7E-2</v>
      </c>
      <c r="AP16">
        <f>_xll.EQNXTDZ($A$1,$B16,AP$1,$B$1)</f>
        <v>0.20300000000000001</v>
      </c>
      <c r="AQ16">
        <f>_xll.EQNXTDZ($A$1,$B16,AQ$1,$B$1)</f>
        <v>0.20899999999999999</v>
      </c>
      <c r="AR16">
        <f>_xll.EQNXTDZ($A$1,$B16,AR$1,$B$1)</f>
        <v>0.214</v>
      </c>
      <c r="AS16">
        <f>_xll.EQNXTDZ($A$1,$B16,AS$1,$B$1)</f>
        <v>0.30599999999999999</v>
      </c>
      <c r="AT16">
        <f>_xll.EQNXTDZ($A$1,$B16,AT$1,$B$1)</f>
        <v>0.27</v>
      </c>
      <c r="AU16">
        <f>_xll.EQNXTDZ($A$1,$B16,AU$1,$B$1)</f>
        <v>0.34100000000000003</v>
      </c>
      <c r="AV16">
        <f>_xll.EQNXTDZ($A$1,$B16,AV$1,$B$1)</f>
        <v>0.34799999999999998</v>
      </c>
      <c r="AW16">
        <f>_xll.EQNXTDZ($A$1,$B16,AW$1,$B$1)</f>
        <v>0.38900000000000001</v>
      </c>
      <c r="AX16">
        <f>_xll.EQNXTDZ($A$1,$B16,AX$1,$B$1)</f>
        <v>0.47499999999999998</v>
      </c>
      <c r="AY16">
        <f>_xll.EQNXTDZ($A$1,$B16,AY$1,$B$1)</f>
        <v>0.48399999999999999</v>
      </c>
      <c r="AZ16">
        <f>_xll.EQNXTDZ($A$1,$B16,AZ$1,$B$1)</f>
        <v>0.503</v>
      </c>
      <c r="BA16">
        <f>_xll.EQNXTDZ($A$1,$B16,BA$1,$B$1)</f>
        <v>0.50600000000000001</v>
      </c>
      <c r="BB16">
        <f>_xll.EQNXTDZ($A$1,$B16,BB$1,$B$1)</f>
        <v>0.58599999999999997</v>
      </c>
      <c r="BC16">
        <f>_xll.EQNXTDZ($A$1,$B16,BC$1,$B$1)</f>
        <v>0.68200000000000005</v>
      </c>
      <c r="BD16">
        <f>_xll.EQNXTDZ($A$1,$B16,BD$1,$B$1)</f>
        <v>0.73899999999999999</v>
      </c>
      <c r="BE16">
        <f>_xll.EQNXTDZ($A$1,$B16,BE$1,$B$1)</f>
        <v>0.86199999999999999</v>
      </c>
      <c r="BF16">
        <f>_xll.EQNXTDZ($A$1,$B16,BF$1,$B$1)</f>
        <v>0.92900000000000005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0.29900000000000099</v>
      </c>
      <c r="AP22">
        <f>_xll.EQNXTDZ($A$1,$B22,AP$1,$B$1)</f>
        <v>1.2250000000000001</v>
      </c>
      <c r="AQ22">
        <f>_xll.EQNXTDZ($A$1,$B22,AQ$1,$B$1)</f>
        <v>1.3049999999999999</v>
      </c>
      <c r="AR22">
        <f>_xll.EQNXTDZ($A$1,$B22,AR$1,$B$1)</f>
        <v>1.71</v>
      </c>
      <c r="AS22">
        <f>_xll.EQNXTDZ($A$1,$B22,AS$1,$B$1)</f>
        <v>1.7070000000000001</v>
      </c>
      <c r="AT22">
        <f>_xll.EQNXTDZ($A$1,$B22,AT$1,$B$1)</f>
        <v>1.84</v>
      </c>
      <c r="AU22">
        <f>_xll.EQNXTDZ($A$1,$B22,AU$1,$B$1)</f>
        <v>1.429</v>
      </c>
      <c r="AV22">
        <f>_xll.EQNXTDZ($A$1,$B22,AV$1,$B$1)</f>
        <v>2.4449999999999998</v>
      </c>
      <c r="AW22">
        <f>_xll.EQNXTDZ($A$1,$B22,AW$1,$B$1)</f>
        <v>4.1859999999999999</v>
      </c>
      <c r="AX22">
        <f>_xll.EQNXTDZ($A$1,$B22,AX$1,$B$1)</f>
        <v>3.1709999999999998</v>
      </c>
      <c r="AY22">
        <f>_xll.EQNXTDZ($A$1,$B22,AY$1,$B$1)</f>
        <v>14.167</v>
      </c>
      <c r="AZ22">
        <f>_xll.EQNXTDZ($A$1,$B22,AZ$1,$B$1)</f>
        <v>6.9429999999999996</v>
      </c>
      <c r="BA22">
        <f>_xll.EQNXTDZ($A$1,$B22,BA$1,$B$1)</f>
        <v>11.599</v>
      </c>
      <c r="BB22">
        <f>_xll.EQNXTDZ($A$1,$B22,BB$1,$B$1)</f>
        <v>4.7370000000000001</v>
      </c>
      <c r="BC22">
        <f>_xll.EQNXTDZ($A$1,$B22,BC$1,$B$1)</f>
        <v>6.3449999999999998</v>
      </c>
      <c r="BD22">
        <f>_xll.EQNXTDZ($A$1,$B22,BD$1,$B$1)</f>
        <v>13.010999999999999</v>
      </c>
      <c r="BE22">
        <f>_xll.EQNXTDZ($A$1,$B22,BE$1,$B$1)</f>
        <v>13.331</v>
      </c>
      <c r="BF22">
        <f>_xll.EQNXTDZ($A$1,$B22,BF$1,$B$1)</f>
        <v>6.9429999999999996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2.9000000000000001E-2</v>
      </c>
      <c r="AT23">
        <f>_xll.EQNXTDZ($A$1,$B23,AT$1,$B$1)</f>
        <v>0.125</v>
      </c>
      <c r="AU23">
        <f>_xll.EQNXTDZ($A$1,$B23,AU$1,$B$1)</f>
        <v>0.17199999999999999</v>
      </c>
      <c r="AV23">
        <f>_xll.EQNXTDZ($A$1,$B23,AV$1,$B$1)</f>
        <v>0.17299999999999999</v>
      </c>
      <c r="AW23">
        <f>_xll.EQNXTDZ($A$1,$B23,AW$1,$B$1)</f>
        <v>0.129</v>
      </c>
      <c r="AX23">
        <f>_xll.EQNXTDZ($A$1,$B23,AX$1,$B$1)</f>
        <v>0.13800000000000001</v>
      </c>
      <c r="AY23">
        <f>_xll.EQNXTDZ($A$1,$B23,AY$1,$B$1)</f>
        <v>7.0000000000000001E-3</v>
      </c>
      <c r="AZ23">
        <f>_xll.EQNXTDZ($A$1,$B23,AZ$1,$B$1)</f>
        <v>0.106</v>
      </c>
      <c r="BA23">
        <f>_xll.EQNXTDZ($A$1,$B23,BA$1,$B$1)</f>
        <v>0.94199999999999995</v>
      </c>
      <c r="BB23">
        <f>_xll.EQNXTDZ($A$1,$B23,BB$1,$B$1)</f>
        <v>1.056</v>
      </c>
      <c r="BC23">
        <f>_xll.EQNXTDZ($A$1,$B23,BC$1,$B$1)</f>
        <v>1.2050000000000001</v>
      </c>
      <c r="BD23">
        <f>_xll.EQNXTDZ($A$1,$B23,BD$1,$B$1)</f>
        <v>1.2829999999999999</v>
      </c>
      <c r="BE23">
        <f>_xll.EQNXTDZ($A$1,$B23,BE$1,$B$1)</f>
        <v>1.667</v>
      </c>
      <c r="BF23">
        <f>_xll.EQNXTDZ($A$1,$B23,BF$1,$B$1)</f>
        <v>1.1879999999999999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0.29900000000000099</v>
      </c>
      <c r="AP24">
        <f>_xll.EQNXTDZ($A$1,$B24,AP$1,$B$1)</f>
        <v>1.2250000000000001</v>
      </c>
      <c r="AQ24">
        <f>_xll.EQNXTDZ($A$1,$B24,AQ$1,$B$1)</f>
        <v>1.3049999999999999</v>
      </c>
      <c r="AR24">
        <f>_xll.EQNXTDZ($A$1,$B24,AR$1,$B$1)</f>
        <v>1.71</v>
      </c>
      <c r="AS24">
        <f>_xll.EQNXTDZ($A$1,$B24,AS$1,$B$1)</f>
        <v>1.736</v>
      </c>
      <c r="AT24">
        <f>_xll.EQNXTDZ($A$1,$B24,AT$1,$B$1)</f>
        <v>1.964</v>
      </c>
      <c r="AU24">
        <f>_xll.EQNXTDZ($A$1,$B24,AU$1,$B$1)</f>
        <v>1.601</v>
      </c>
      <c r="AV24">
        <f>_xll.EQNXTDZ($A$1,$B24,AV$1,$B$1)</f>
        <v>2.6190000000000002</v>
      </c>
      <c r="AW24">
        <f>_xll.EQNXTDZ($A$1,$B24,AW$1,$B$1)</f>
        <v>4.3150000000000004</v>
      </c>
      <c r="AX24">
        <f>_xll.EQNXTDZ($A$1,$B24,AX$1,$B$1)</f>
        <v>3.3090000000000002</v>
      </c>
      <c r="AY24">
        <f>_xll.EQNXTDZ($A$1,$B24,AY$1,$B$1)</f>
        <v>14.173999999999999</v>
      </c>
      <c r="AZ24">
        <f>_xll.EQNXTDZ($A$1,$B24,AZ$1,$B$1)</f>
        <v>7.0490000000000004</v>
      </c>
      <c r="BA24">
        <f>_xll.EQNXTDZ($A$1,$B24,BA$1,$B$1)</f>
        <v>12.541</v>
      </c>
      <c r="BB24">
        <f>_xll.EQNXTDZ($A$1,$B24,BB$1,$B$1)</f>
        <v>5.7939999999999996</v>
      </c>
      <c r="BC24">
        <f>_xll.EQNXTDZ($A$1,$B24,BC$1,$B$1)</f>
        <v>7.55</v>
      </c>
      <c r="BD24">
        <f>_xll.EQNXTDZ($A$1,$B24,BD$1,$B$1)</f>
        <v>14.294</v>
      </c>
      <c r="BE24">
        <f>_xll.EQNXTDZ($A$1,$B24,BE$1,$B$1)</f>
        <v>14.997</v>
      </c>
      <c r="BF24">
        <f>_xll.EQNXTDZ($A$1,$B24,BF$1,$B$1)</f>
        <v>8.1310000000000002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0.02</v>
      </c>
      <c r="AQ25">
        <f>_xll.EQNXTDZ($A$1,$B25,AQ$1,$B$1)</f>
        <v>0.06</v>
      </c>
      <c r="AR25">
        <f>_xll.EQNXTDZ($A$1,$B25,AR$1,$B$1)</f>
        <v>5.1999999999999998E-2</v>
      </c>
      <c r="AS25">
        <f>_xll.EQNXTDZ($A$1,$B25,AS$1,$B$1)</f>
        <v>6.7000000000000004E-2</v>
      </c>
      <c r="AT25">
        <f>_xll.EQNXTDZ($A$1,$B25,AT$1,$B$1)</f>
        <v>1.7000000000000001E-2</v>
      </c>
      <c r="AU25">
        <f>_xll.EQNXTDZ($A$1,$B25,AU$1,$B$1)</f>
        <v>2.4E-2</v>
      </c>
      <c r="AV25">
        <f>_xll.EQNXTDZ($A$1,$B25,AV$1,$B$1)</f>
        <v>2.5999999999999999E-2</v>
      </c>
      <c r="AW25">
        <f>_xll.EQNXTDZ($A$1,$B25,AW$1,$B$1)</f>
        <v>1.4E-2</v>
      </c>
      <c r="AX25">
        <f>_xll.EQNXTDZ($A$1,$B25,AX$1,$B$1)</f>
        <v>9.4E-2</v>
      </c>
      <c r="AY25">
        <f>_xll.EQNXTDZ($A$1,$B25,AY$1,$B$1)</f>
        <v>4.4999999999999998E-2</v>
      </c>
      <c r="AZ25">
        <f>_xll.EQNXTDZ($A$1,$B25,AZ$1,$B$1)</f>
        <v>3.3000000000000002E-2</v>
      </c>
      <c r="BA25">
        <f>_xll.EQNXTDZ($A$1,$B25,BA$1,$B$1)</f>
        <v>0.123</v>
      </c>
      <c r="BB25">
        <f>_xll.EQNXTDZ($A$1,$B25,BB$1,$B$1)</f>
        <v>6.0999999999999999E-2</v>
      </c>
      <c r="BC25">
        <f>_xll.EQNXTDZ($A$1,$B25,BC$1,$B$1)</f>
        <v>0.13900000000000001</v>
      </c>
      <c r="BD25">
        <f>_xll.EQNXTDZ($A$1,$B25,BD$1,$B$1)</f>
        <v>0.183</v>
      </c>
      <c r="BE25">
        <f>_xll.EQNXTDZ($A$1,$B25,BE$1,$B$1)</f>
        <v>0.25700000000000001</v>
      </c>
      <c r="BF25">
        <f>_xll.EQNXTDZ($A$1,$B25,BF$1,$B$1)</f>
        <v>0.29099999999999998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-0.152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0.29900000000000099</v>
      </c>
      <c r="AP27">
        <f>_xll.EQNXTDZ($A$1,$B27,AP$1,$B$1)</f>
        <v>1.2050000000000001</v>
      </c>
      <c r="AQ27">
        <f>_xll.EQNXTDZ($A$1,$B27,AQ$1,$B$1)</f>
        <v>1.2450000000000001</v>
      </c>
      <c r="AR27">
        <f>_xll.EQNXTDZ($A$1,$B27,AR$1,$B$1)</f>
        <v>1.6579999999999999</v>
      </c>
      <c r="AS27">
        <f>_xll.EQNXTDZ($A$1,$B27,AS$1,$B$1)</f>
        <v>1.669</v>
      </c>
      <c r="AT27">
        <f>_xll.EQNXTDZ($A$1,$B27,AT$1,$B$1)</f>
        <v>1.9470000000000001</v>
      </c>
      <c r="AU27">
        <f>_xll.EQNXTDZ($A$1,$B27,AU$1,$B$1)</f>
        <v>1.577</v>
      </c>
      <c r="AV27">
        <f>_xll.EQNXTDZ($A$1,$B27,AV$1,$B$1)</f>
        <v>2.593</v>
      </c>
      <c r="AW27">
        <f>_xll.EQNXTDZ($A$1,$B27,AW$1,$B$1)</f>
        <v>4.3010000000000002</v>
      </c>
      <c r="AX27">
        <f>_xll.EQNXTDZ($A$1,$B27,AX$1,$B$1)</f>
        <v>3.2149999999999999</v>
      </c>
      <c r="AY27">
        <f>_xll.EQNXTDZ($A$1,$B27,AY$1,$B$1)</f>
        <v>14.129</v>
      </c>
      <c r="AZ27">
        <f>_xll.EQNXTDZ($A$1,$B27,AZ$1,$B$1)</f>
        <v>7.016</v>
      </c>
      <c r="BA27">
        <f>_xll.EQNXTDZ($A$1,$B27,BA$1,$B$1)</f>
        <v>12.417999999999999</v>
      </c>
      <c r="BB27">
        <f>_xll.EQNXTDZ($A$1,$B27,BB$1,$B$1)</f>
        <v>5.7329999999999997</v>
      </c>
      <c r="BC27">
        <f>_xll.EQNXTDZ($A$1,$B27,BC$1,$B$1)</f>
        <v>7.4109999999999996</v>
      </c>
      <c r="BD27">
        <f>_xll.EQNXTDZ($A$1,$B27,BD$1,$B$1)</f>
        <v>14.111000000000001</v>
      </c>
      <c r="BE27">
        <f>_xll.EQNXTDZ($A$1,$B27,BE$1,$B$1)</f>
        <v>14.587999999999999</v>
      </c>
      <c r="BF27">
        <f>_xll.EQNXTDZ($A$1,$B27,BF$1,$B$1)</f>
        <v>7.84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6.0000000000000001E-3</v>
      </c>
      <c r="AP28">
        <f>_xll.EQNXTDZ($A$1,$B28,AP$1,$B$1)</f>
        <v>1.4999999999999999E-2</v>
      </c>
      <c r="AQ28">
        <f>_xll.EQNXTDZ($A$1,$B28,AQ$1,$B$1)</f>
        <v>1.6E-2</v>
      </c>
      <c r="AR28">
        <f>_xll.EQNXTDZ($A$1,$B28,AR$1,$B$1)</f>
        <v>3.2000000000000001E-2</v>
      </c>
      <c r="AS28">
        <f>_xll.EQNXTDZ($A$1,$B28,AS$1,$B$1)</f>
        <v>5.8999999999999997E-2</v>
      </c>
      <c r="AT28">
        <f>_xll.EQNXTDZ($A$1,$B28,AT$1,$B$1)</f>
        <v>6.9000000000000006E-2</v>
      </c>
      <c r="AU28">
        <f>_xll.EQNXTDZ($A$1,$B28,AU$1,$B$1)</f>
        <v>7.3999999999999996E-2</v>
      </c>
      <c r="AV28">
        <f>_xll.EQNXTDZ($A$1,$B28,AV$1,$B$1)</f>
        <v>0.08</v>
      </c>
      <c r="AW28">
        <f>_xll.EQNXTDZ($A$1,$B28,AW$1,$B$1)</f>
        <v>8.5999999999999993E-2</v>
      </c>
      <c r="AX28">
        <f>_xll.EQNXTDZ($A$1,$B28,AX$1,$B$1)</f>
        <v>9.2999999999999999E-2</v>
      </c>
      <c r="AY28">
        <f>_xll.EQNXTDZ($A$1,$B28,AY$1,$B$1)</f>
        <v>0.10299999999999999</v>
      </c>
      <c r="AZ28">
        <f>_xll.EQNXTDZ($A$1,$B28,AZ$1,$B$1)</f>
        <v>0.107</v>
      </c>
      <c r="BA28">
        <f>_xll.EQNXTDZ($A$1,$B28,BA$1,$B$1)</f>
        <v>0.156</v>
      </c>
      <c r="BB28">
        <f>_xll.EQNXTDZ($A$1,$B28,BB$1,$B$1)</f>
        <v>0.22900000000000001</v>
      </c>
      <c r="BC28">
        <f>_xll.EQNXTDZ($A$1,$B28,BC$1,$B$1)</f>
        <v>0.27300000000000002</v>
      </c>
      <c r="BD28">
        <f>_xll.EQNXTDZ($A$1,$B28,BD$1,$B$1)</f>
        <v>0.37</v>
      </c>
      <c r="BE28">
        <f>_xll.EQNXTDZ($A$1,$B28,BE$1,$B$1)</f>
        <v>0.40600000000000003</v>
      </c>
      <c r="BF28">
        <f>_xll.EQNXTDZ($A$1,$B28,BF$1,$B$1)</f>
        <v>0.52900000000000003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7.3999999999999996E-2</v>
      </c>
      <c r="AP29">
        <f>_xll.EQNXTDZ($A$1,$B29,AP$1,$B$1)</f>
        <v>0.30499999999999999</v>
      </c>
      <c r="AQ29">
        <f>_xll.EQNXTDZ($A$1,$B29,AQ$1,$B$1)</f>
        <v>0.31</v>
      </c>
      <c r="AR29">
        <f>_xll.EQNXTDZ($A$1,$B29,AR$1,$B$1)</f>
        <v>0.41299999999999998</v>
      </c>
      <c r="AS29">
        <f>_xll.EQNXTDZ($A$1,$B29,AS$1,$B$1)</f>
        <v>0.434</v>
      </c>
      <c r="AT29">
        <f>_xll.EQNXTDZ($A$1,$B29,AT$1,$B$1)</f>
        <v>0.52800000000000002</v>
      </c>
      <c r="AU29">
        <f>_xll.EQNXTDZ($A$1,$B29,AU$1,$B$1)</f>
        <v>0.22800000000000001</v>
      </c>
      <c r="AV29">
        <f>_xll.EQNXTDZ($A$1,$B29,AV$1,$B$1)</f>
        <v>0.83499999999999996</v>
      </c>
      <c r="AW29">
        <f>_xll.EQNXTDZ($A$1,$B29,AW$1,$B$1)</f>
        <v>1.0569999999999999</v>
      </c>
      <c r="AX29">
        <f>_xll.EQNXTDZ($A$1,$B29,AX$1,$B$1)</f>
        <v>0.77500000000000002</v>
      </c>
      <c r="AY29">
        <f>_xll.EQNXTDZ($A$1,$B29,AY$1,$B$1)</f>
        <v>3.5680000000000001</v>
      </c>
      <c r="AZ29">
        <f>_xll.EQNXTDZ($A$1,$B29,AZ$1,$B$1)</f>
        <v>1.8160000000000001</v>
      </c>
      <c r="BA29">
        <f>_xll.EQNXTDZ($A$1,$B29,BA$1,$B$1)</f>
        <v>3.1160000000000001</v>
      </c>
      <c r="BB29">
        <f>_xll.EQNXTDZ($A$1,$B29,BB$1,$B$1)</f>
        <v>1.395</v>
      </c>
      <c r="BC29">
        <f>_xll.EQNXTDZ($A$1,$B29,BC$1,$B$1)</f>
        <v>1.825</v>
      </c>
      <c r="BD29">
        <f>_xll.EQNXTDZ($A$1,$B29,BD$1,$B$1)</f>
        <v>3.4670000000000001</v>
      </c>
      <c r="BE29">
        <f>_xll.EQNXTDZ($A$1,$B29,BE$1,$B$1)</f>
        <v>3.5819999999999999</v>
      </c>
      <c r="BF29">
        <f>_xll.EQNXTDZ($A$1,$B29,BF$1,$B$1)</f>
        <v>2.1720000000000002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0.219000000000001</v>
      </c>
      <c r="AP30">
        <f>_xll.EQNXTDZ($A$1,$B30,AP$1,$B$1)</f>
        <v>0.88500000000000001</v>
      </c>
      <c r="AQ30">
        <f>_xll.EQNXTDZ($A$1,$B30,AQ$1,$B$1)</f>
        <v>0.91900000000000004</v>
      </c>
      <c r="AR30">
        <f>_xll.EQNXTDZ($A$1,$B30,AR$1,$B$1)</f>
        <v>1.2130000000000001</v>
      </c>
      <c r="AS30">
        <f>_xll.EQNXTDZ($A$1,$B30,AS$1,$B$1)</f>
        <v>1.1759999999999999</v>
      </c>
      <c r="AT30">
        <f>_xll.EQNXTDZ($A$1,$B30,AT$1,$B$1)</f>
        <v>1.35</v>
      </c>
      <c r="AU30">
        <f>_xll.EQNXTDZ($A$1,$B30,AU$1,$B$1)</f>
        <v>1.2749999999999999</v>
      </c>
      <c r="AV30">
        <f>_xll.EQNXTDZ($A$1,$B30,AV$1,$B$1)</f>
        <v>1.6779999999999999</v>
      </c>
      <c r="AW30">
        <f>_xll.EQNXTDZ($A$1,$B30,AW$1,$B$1)</f>
        <v>3.1579999999999999</v>
      </c>
      <c r="AX30">
        <f>_xll.EQNXTDZ($A$1,$B30,AX$1,$B$1)</f>
        <v>2.347</v>
      </c>
      <c r="AY30">
        <f>_xll.EQNXTDZ($A$1,$B30,AY$1,$B$1)</f>
        <v>10.458</v>
      </c>
      <c r="AZ30">
        <f>_xll.EQNXTDZ($A$1,$B30,AZ$1,$B$1)</f>
        <v>5.093</v>
      </c>
      <c r="BA30">
        <f>_xll.EQNXTDZ($A$1,$B30,BA$1,$B$1)</f>
        <v>9.1460000000000008</v>
      </c>
      <c r="BB30">
        <f>_xll.EQNXTDZ($A$1,$B30,BB$1,$B$1)</f>
        <v>4.109</v>
      </c>
      <c r="BC30">
        <f>_xll.EQNXTDZ($A$1,$B30,BC$1,$B$1)</f>
        <v>5.3129999999999997</v>
      </c>
      <c r="BD30">
        <f>_xll.EQNXTDZ($A$1,$B30,BD$1,$B$1)</f>
        <v>10.273999999999999</v>
      </c>
      <c r="BE30">
        <f>_xll.EQNXTDZ($A$1,$B30,BE$1,$B$1)</f>
        <v>10.6</v>
      </c>
      <c r="BF30">
        <f>_xll.EQNXTDZ($A$1,$B30,BF$1,$B$1)</f>
        <v>5.1390000000000002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0.219000000000001</v>
      </c>
      <c r="AP38">
        <f>_xll.EQNXTDZ($A$1,$B38,AP$1,$B$1)</f>
        <v>0.88500000000000001</v>
      </c>
      <c r="AQ38">
        <f>_xll.EQNXTDZ($A$1,$B38,AQ$1,$B$1)</f>
        <v>0.91900000000000004</v>
      </c>
      <c r="AR38">
        <f>_xll.EQNXTDZ($A$1,$B38,AR$1,$B$1)</f>
        <v>1.2130000000000001</v>
      </c>
      <c r="AS38">
        <f>_xll.EQNXTDZ($A$1,$B38,AS$1,$B$1)</f>
        <v>1.1759999999999999</v>
      </c>
      <c r="AT38">
        <f>_xll.EQNXTDZ($A$1,$B38,AT$1,$B$1)</f>
        <v>1.35</v>
      </c>
      <c r="AU38">
        <f>_xll.EQNXTDZ($A$1,$B38,AU$1,$B$1)</f>
        <v>1.2749999999999999</v>
      </c>
      <c r="AV38">
        <f>_xll.EQNXTDZ($A$1,$B38,AV$1,$B$1)</f>
        <v>1.6779999999999999</v>
      </c>
      <c r="AW38">
        <f>_xll.EQNXTDZ($A$1,$B38,AW$1,$B$1)</f>
        <v>3.1579999999999999</v>
      </c>
      <c r="AX38">
        <f>_xll.EQNXTDZ($A$1,$B38,AX$1,$B$1)</f>
        <v>2.347</v>
      </c>
      <c r="AY38">
        <f>_xll.EQNXTDZ($A$1,$B38,AY$1,$B$1)</f>
        <v>10.458</v>
      </c>
      <c r="AZ38">
        <f>_xll.EQNXTDZ($A$1,$B38,AZ$1,$B$1)</f>
        <v>5.093</v>
      </c>
      <c r="BA38">
        <f>_xll.EQNXTDZ($A$1,$B38,BA$1,$B$1)</f>
        <v>9.1460000000000008</v>
      </c>
      <c r="BB38">
        <f>_xll.EQNXTDZ($A$1,$B38,BB$1,$B$1)</f>
        <v>4.109</v>
      </c>
      <c r="BC38">
        <f>_xll.EQNXTDZ($A$1,$B38,BC$1,$B$1)</f>
        <v>5.3129999999999997</v>
      </c>
      <c r="BD38">
        <f>_xll.EQNXTDZ($A$1,$B38,BD$1,$B$1)</f>
        <v>10.273999999999999</v>
      </c>
      <c r="BE38">
        <f>_xll.EQNXTDZ($A$1,$B38,BE$1,$B$1)</f>
        <v>10.6</v>
      </c>
      <c r="BF38">
        <f>_xll.EQNXTDZ($A$1,$B38,BF$1,$B$1)</f>
        <v>5.1390000000000002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-2E-3</v>
      </c>
      <c r="AQ40">
        <f>_xll.EQNXTDZ($A$1,$B40,AQ$1,$B$1)</f>
        <v>-1E-3</v>
      </c>
      <c r="AR40">
        <f>_xll.EQNXTDZ($A$1,$B40,AR$1,$B$1)</f>
        <v>-2E-3</v>
      </c>
      <c r="AS40">
        <f>_xll.EQNXTDZ($A$1,$B40,AS$1,$B$1)</f>
        <v>-2E-3</v>
      </c>
      <c r="AT40">
        <f>_xll.EQNXTDZ($A$1,$B40,AT$1,$B$1)</f>
        <v>-1E-3</v>
      </c>
      <c r="AU40">
        <f>_xll.EQNXTDZ($A$1,$B40,AU$1,$B$1)</f>
        <v>-2E-3</v>
      </c>
      <c r="AV40">
        <f>_xll.EQNXTDZ($A$1,$B40,AV$1,$B$1)</f>
        <v>-2E-3</v>
      </c>
      <c r="AW40">
        <f>_xll.EQNXTDZ($A$1,$B40,AW$1,$B$1)</f>
        <v>-2E-3</v>
      </c>
      <c r="AX40">
        <f>_xll.EQNXTDZ($A$1,$B40,AX$1,$B$1)</f>
        <v>-1E-3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-1.9E-2</v>
      </c>
      <c r="BC40">
        <f>_xll.EQNXTDZ($A$1,$B40,BC$1,$B$1)</f>
        <v>-5.0000000000000001E-3</v>
      </c>
      <c r="BD40">
        <f>_xll.EQNXTDZ($A$1,$B40,BD$1,$B$1)</f>
        <v>-5.0000000000000001E-3</v>
      </c>
      <c r="BE40">
        <f>_xll.EQNXTDZ($A$1,$B40,BE$1,$B$1)</f>
        <v>-3.0000000000000001E-3</v>
      </c>
      <c r="BF40">
        <f>_xll.EQNXTDZ($A$1,$B40,BF$1,$B$1)</f>
        <v>0.01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0.219</v>
      </c>
      <c r="AP41">
        <f>_xll.EQNXTDZ($A$1,$B41,AP$1,$B$1)</f>
        <v>0.88500000000000001</v>
      </c>
      <c r="AQ41">
        <f>_xll.EQNXTDZ($A$1,$B41,AQ$1,$B$1)</f>
        <v>0.91800000000000004</v>
      </c>
      <c r="AR41">
        <f>_xll.EQNXTDZ($A$1,$B41,AR$1,$B$1)</f>
        <v>1.2110000000000001</v>
      </c>
      <c r="AS41">
        <f>_xll.EQNXTDZ($A$1,$B41,AS$1,$B$1)</f>
        <v>1.1739999999999999</v>
      </c>
      <c r="AT41">
        <f>_xll.EQNXTDZ($A$1,$B41,AT$1,$B$1)</f>
        <v>1.349</v>
      </c>
      <c r="AU41">
        <f>_xll.EQNXTDZ($A$1,$B41,AU$1,$B$1)</f>
        <v>1.274</v>
      </c>
      <c r="AV41">
        <f>_xll.EQNXTDZ($A$1,$B41,AV$1,$B$1)</f>
        <v>1.677</v>
      </c>
      <c r="AW41">
        <f>_xll.EQNXTDZ($A$1,$B41,AW$1,$B$1)</f>
        <v>3.157</v>
      </c>
      <c r="AX41">
        <f>_xll.EQNXTDZ($A$1,$B41,AX$1,$B$1)</f>
        <v>2.3450000000000002</v>
      </c>
      <c r="AY41">
        <f>_xll.EQNXTDZ($A$1,$B41,AY$1,$B$1)</f>
        <v>10.458</v>
      </c>
      <c r="AZ41">
        <f>_xll.EQNXTDZ($A$1,$B41,AZ$1,$B$1)</f>
        <v>5.093</v>
      </c>
      <c r="BA41">
        <f>_xll.EQNXTDZ($A$1,$B41,BA$1,$B$1)</f>
        <v>9.1460000000000008</v>
      </c>
      <c r="BB41">
        <f>_xll.EQNXTDZ($A$1,$B41,BB$1,$B$1)</f>
        <v>4.0910000000000002</v>
      </c>
      <c r="BC41">
        <f>_xll.EQNXTDZ($A$1,$B41,BC$1,$B$1)</f>
        <v>5.3090000000000002</v>
      </c>
      <c r="BD41">
        <f>_xll.EQNXTDZ($A$1,$B41,BD$1,$B$1)</f>
        <v>10.27</v>
      </c>
      <c r="BE41">
        <f>_xll.EQNXTDZ($A$1,$B41,BE$1,$B$1)</f>
        <v>10.599</v>
      </c>
      <c r="BF41">
        <f>_xll.EQNXTDZ($A$1,$B41,BF$1,$B$1)</f>
        <v>5.15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0.219000000000001</v>
      </c>
      <c r="AP42">
        <f>_xll.EQNXTDZ($A$1,$B42,AP$1,$B$1)</f>
        <v>0.88500000000000001</v>
      </c>
      <c r="AQ42">
        <f>_xll.EQNXTDZ($A$1,$B42,AQ$1,$B$1)</f>
        <v>0.91900000000000004</v>
      </c>
      <c r="AR42">
        <f>_xll.EQNXTDZ($A$1,$B42,AR$1,$B$1)</f>
        <v>1.2130000000000001</v>
      </c>
      <c r="AS42">
        <f>_xll.EQNXTDZ($A$1,$B42,AS$1,$B$1)</f>
        <v>1.1759999999999999</v>
      </c>
      <c r="AT42">
        <f>_xll.EQNXTDZ($A$1,$B42,AT$1,$B$1)</f>
        <v>1.35</v>
      </c>
      <c r="AU42">
        <f>_xll.EQNXTDZ($A$1,$B42,AU$1,$B$1)</f>
        <v>1.2749999999999999</v>
      </c>
      <c r="AV42">
        <f>_xll.EQNXTDZ($A$1,$B42,AV$1,$B$1)</f>
        <v>1.6779999999999999</v>
      </c>
      <c r="AW42">
        <f>_xll.EQNXTDZ($A$1,$B42,AW$1,$B$1)</f>
        <v>3.1579999999999999</v>
      </c>
      <c r="AX42">
        <f>_xll.EQNXTDZ($A$1,$B42,AX$1,$B$1)</f>
        <v>2.347</v>
      </c>
      <c r="AY42">
        <f>_xll.EQNXTDZ($A$1,$B42,AY$1,$B$1)</f>
        <v>10.458</v>
      </c>
      <c r="AZ42">
        <f>_xll.EQNXTDZ($A$1,$B42,AZ$1,$B$1)</f>
        <v>5.093</v>
      </c>
      <c r="BA42">
        <f>_xll.EQNXTDZ($A$1,$B42,BA$1,$B$1)</f>
        <v>9.1460000000000008</v>
      </c>
      <c r="BB42">
        <f>_xll.EQNXTDZ($A$1,$B42,BB$1,$B$1)</f>
        <v>4.109</v>
      </c>
      <c r="BC42">
        <f>_xll.EQNXTDZ($A$1,$B42,BC$1,$B$1)</f>
        <v>5.3129999999999997</v>
      </c>
      <c r="BD42">
        <f>_xll.EQNXTDZ($A$1,$B42,BD$1,$B$1)</f>
        <v>10.273999999999999</v>
      </c>
      <c r="BE42">
        <f>_xll.EQNXTDZ($A$1,$B42,BE$1,$B$1)</f>
        <v>10.6</v>
      </c>
      <c r="BF42">
        <f>_xll.EQNXTDZ($A$1,$B42,BF$1,$B$1)</f>
        <v>5.1390000000000002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0.01</v>
      </c>
      <c r="AP45">
        <f>_xll.EQNXTDZ($A$1,$B45,AP$1,$B$1)</f>
        <v>0.01</v>
      </c>
      <c r="AQ45">
        <f>_xll.EQNXTDZ($A$1,$B45,AQ$1,$B$1)</f>
        <v>0.01</v>
      </c>
      <c r="AR45">
        <f>_xll.EQNXTDZ($A$1,$B45,AR$1,$B$1)</f>
        <v>2.5099999999999998</v>
      </c>
      <c r="AS45">
        <f>_xll.EQNXTDZ($A$1,$B45,AS$1,$B$1)</f>
        <v>9.6280000000000001</v>
      </c>
      <c r="AT45">
        <f>_xll.EQNXTDZ($A$1,$B45,AT$1,$B$1)</f>
        <v>9.6280000000000001</v>
      </c>
      <c r="AU45">
        <f>_xll.EQNXTDZ($A$1,$B45,AU$1,$B$1)</f>
        <v>9.6280000000000001</v>
      </c>
      <c r="AV45">
        <f>_xll.EQNXTDZ($A$1,$B45,AV$1,$B$1)</f>
        <v>9.6280000000000001</v>
      </c>
      <c r="AW45">
        <f>_xll.EQNXTDZ($A$1,$B45,AW$1,$B$1)</f>
        <v>9.6280000000000001</v>
      </c>
      <c r="AX45">
        <f>_xll.EQNXTDZ($A$1,$B45,AX$1,$B$1)</f>
        <v>9.6280000000000001</v>
      </c>
      <c r="AY45">
        <f>_xll.EQNXTDZ($A$1,$B45,AY$1,$B$1)</f>
        <v>9.6280000000000001</v>
      </c>
      <c r="AZ45">
        <f>_xll.EQNXTDZ($A$1,$B45,AZ$1,$B$1)</f>
        <v>10.358000000000001</v>
      </c>
      <c r="BA45">
        <f>_xll.EQNXTDZ($A$1,$B45,BA$1,$B$1)</f>
        <v>10.358000000000001</v>
      </c>
      <c r="BB45">
        <f>_xll.EQNXTDZ($A$1,$B45,BB$1,$B$1)</f>
        <v>10.358000000000001</v>
      </c>
      <c r="BC45">
        <f>_xll.EQNXTDZ($A$1,$B45,BC$1,$B$1)</f>
        <v>10.358000000000001</v>
      </c>
      <c r="BD45">
        <f>_xll.EQNXTDZ($A$1,$B45,BD$1,$B$1)</f>
        <v>10.47</v>
      </c>
      <c r="BE45">
        <f>_xll.EQNXTDZ($A$1,$B45,BE$1,$B$1)</f>
        <v>10.47</v>
      </c>
      <c r="BF45">
        <f>_xll.EQNXTDZ($A$1,$B45,BF$1,$B$1)</f>
        <v>10.47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88.2</v>
      </c>
      <c r="AT48" s="55">
        <f>_xll.EQNXTDZ($A$1,$B48,AT$5)</f>
        <v>96.3</v>
      </c>
      <c r="AU48" s="55">
        <f>_xll.EQNXTDZ($A$1,$B48,AU$5)</f>
        <v>164</v>
      </c>
      <c r="AV48" s="55">
        <f>_xll.EQNXTDZ($A$1,$B48,AV$5)</f>
        <v>253.95</v>
      </c>
      <c r="AW48" s="55">
        <f>_xll.EQNXTDZ($A$1,$B48,AW$5)</f>
        <v>467.15</v>
      </c>
      <c r="AX48" s="55">
        <f>_xll.EQNXTDZ($A$1,$B48,AX$5)</f>
        <v>532.6</v>
      </c>
      <c r="AY48" s="55">
        <f>_xll.EQNXTDZ($A$1,$B48,AY$5)</f>
        <v>577.9</v>
      </c>
      <c r="AZ48" s="55">
        <f>_xll.EQNXTDZ($A$1,$B48,AZ$5)</f>
        <v>831.3</v>
      </c>
      <c r="BA48" s="55">
        <f>_xll.EQNXTDZ($A$1,$B48,BA$5)</f>
        <v>1319.65</v>
      </c>
      <c r="BB48" s="55">
        <f>_xll.EQNXTDZ($A$1,$B48,BB$5)</f>
        <v>925.45</v>
      </c>
      <c r="BC48" s="55">
        <f>_xll.EQNXTDZ($A$1,$B48,BC$5)</f>
        <v>865.6</v>
      </c>
      <c r="BD48" s="55">
        <f>_xll.EQNXTDZ($A$1,$B48,BD$5)</f>
        <v>856.1</v>
      </c>
      <c r="BE48" s="55">
        <f>_xll.EQNXTDZ($A$1,$B48,BE$5)</f>
        <v>1014</v>
      </c>
      <c r="BF48" s="55">
        <f>_xll.EQNXTDZ($A$1,$B48,BF$5)</f>
        <v>768.6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73</v>
      </c>
      <c r="AT49" s="55">
        <f>_xll.EQNXTDZ($A$1,$B49,AT$5)</f>
        <v>73</v>
      </c>
      <c r="AU49" s="55">
        <f>_xll.EQNXTDZ($A$1,$B49,AU$5)</f>
        <v>73</v>
      </c>
      <c r="AV49" s="55">
        <f>_xll.EQNXTDZ($A$1,$B49,AV$5)</f>
        <v>73</v>
      </c>
      <c r="AW49" s="55">
        <f>_xll.EQNXTDZ($A$1,$B49,AW$5)</f>
        <v>73</v>
      </c>
      <c r="AX49" s="55">
        <f>_xll.EQNXTDZ($A$1,$B49,AX$5)</f>
        <v>72.08</v>
      </c>
      <c r="AY49" s="55">
        <f>_xll.EQNXTDZ($A$1,$B49,AY$5)</f>
        <v>72.08</v>
      </c>
      <c r="AZ49" s="55">
        <f>_xll.EQNXTDZ($A$1,$B49,AZ$5)</f>
        <v>70.849999999999994</v>
      </c>
      <c r="BA49" s="55">
        <f>_xll.EQNXTDZ($A$1,$B49,BA$5)</f>
        <v>70.23</v>
      </c>
      <c r="BB49" s="55">
        <f>_xll.EQNXTDZ($A$1,$B49,BB$5)</f>
        <v>70.23</v>
      </c>
      <c r="BC49" s="55">
        <f>_xll.EQNXTDZ($A$1,$B49,BC$5)</f>
        <v>70.209999999999994</v>
      </c>
      <c r="BD49" s="55">
        <f>_xll.EQNXTDZ($A$1,$B49,BD$5)</f>
        <v>68.28</v>
      </c>
      <c r="BE49" s="55">
        <f>_xll.EQNXTDZ($A$1,$B49,BE$5)</f>
        <v>68.28</v>
      </c>
      <c r="BF49" s="55">
        <f>_xll.EQNXTDZ($A$1,$B49,BF$5)</f>
        <v>68.28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0.01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9.6280000000000001</v>
      </c>
      <c r="AU56" s="55">
        <f>_xll.EQNXTDZ($A$1,$B56,AU$5,$B$1)</f>
        <v>0</v>
      </c>
      <c r="AV56" s="55">
        <f>_xll.EQNXTDZ($A$1,$B56,AV$5,$B$1)</f>
        <v>9.6280000000000001</v>
      </c>
      <c r="AW56" s="55">
        <f>_xll.EQNXTDZ($A$1,$B56,AW$5,$B$1)</f>
        <v>0</v>
      </c>
      <c r="AX56" s="55">
        <f>_xll.EQNXTDZ($A$1,$B56,AX$5,$B$1)</f>
        <v>9.6280000000000001</v>
      </c>
      <c r="AY56" s="55">
        <f>_xll.EQNXTDZ($A$1,$B56,AY$5,$B$1)</f>
        <v>0</v>
      </c>
      <c r="AZ56" s="55">
        <f>_xll.EQNXTDZ($A$1,$B56,AZ$5,$B$1)</f>
        <v>10.358000000000001</v>
      </c>
      <c r="BA56" s="55">
        <f>_xll.EQNXTDZ($A$1,$B56,BA$5,$B$1)</f>
        <v>0</v>
      </c>
      <c r="BB56" s="55">
        <f>_xll.EQNXTDZ($A$1,$B56,BB$5,$B$1)</f>
        <v>10.358000000000001</v>
      </c>
      <c r="BC56" s="55">
        <f>_xll.EQNXTDZ($A$1,$B56,BC$5,$B$1)</f>
        <v>0</v>
      </c>
      <c r="BD56" s="55">
        <f>_xll.EQNXTDZ($A$1,$B56,BD$5,$B$1)</f>
        <v>10.47</v>
      </c>
      <c r="BE56" s="55">
        <f>_xll.EQNXTDZ($A$1,$B56,BE$5,$B$1)</f>
        <v>0</v>
      </c>
      <c r="BF56" s="55">
        <f>_xll.EQNXTDZ($A$1,$B56,BF$5,$B$1)</f>
        <v>10.47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1.1100000000000001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10.955</v>
      </c>
      <c r="AU58" s="55">
        <f>_xll.EQNXTDZ($A$1,$B58,AU$5,$B$1)</f>
        <v>0</v>
      </c>
      <c r="AV58" s="55">
        <f>_xll.EQNXTDZ($A$1,$B58,AV$5,$B$1)</f>
        <v>13.904999999999999</v>
      </c>
      <c r="AW58" s="55">
        <f>_xll.EQNXTDZ($A$1,$B58,AW$5,$B$1)</f>
        <v>0</v>
      </c>
      <c r="AX58" s="55">
        <f>_xll.EQNXTDZ($A$1,$B58,AX$5,$B$1)</f>
        <v>19.413</v>
      </c>
      <c r="AY58" s="55">
        <f>_xll.EQNXTDZ($A$1,$B58,AY$5,$B$1)</f>
        <v>0</v>
      </c>
      <c r="AZ58" s="55">
        <f>_xll.EQNXTDZ($A$1,$B58,AZ$5,$B$1)</f>
        <v>76.091999999999999</v>
      </c>
      <c r="BA58" s="55">
        <f>_xll.EQNXTDZ($A$1,$B58,BA$5,$B$1)</f>
        <v>0</v>
      </c>
      <c r="BB58" s="55">
        <f>_xll.EQNXTDZ($A$1,$B58,BB$5,$B$1)</f>
        <v>89.328000000000003</v>
      </c>
      <c r="BC58" s="55">
        <f>_xll.EQNXTDZ($A$1,$B58,BC$5,$B$1)</f>
        <v>0</v>
      </c>
      <c r="BD58" s="55">
        <f>_xll.EQNXTDZ($A$1,$B58,BD$5,$B$1)</f>
        <v>115.685</v>
      </c>
      <c r="BE58" s="55">
        <f>_xll.EQNXTDZ($A$1,$B58,BE$5,$B$1)</f>
        <v>0</v>
      </c>
      <c r="BF58" s="55">
        <f>_xll.EQNXTDZ($A$1,$B58,BF$5,$B$1)</f>
        <v>131.434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1.1200000000000001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20.582999999999998</v>
      </c>
      <c r="AU59" s="55">
        <f>_xll.EQNXTDZ($A$1,$B59,AU$5,$B$1)</f>
        <v>0</v>
      </c>
      <c r="AV59" s="55">
        <f>_xll.EQNXTDZ($A$1,$B59,AV$5,$B$1)</f>
        <v>23.533000000000001</v>
      </c>
      <c r="AW59" s="55">
        <f>_xll.EQNXTDZ($A$1,$B59,AW$5,$B$1)</f>
        <v>0</v>
      </c>
      <c r="AX59" s="55">
        <f>_xll.EQNXTDZ($A$1,$B59,AX$5,$B$1)</f>
        <v>29.041</v>
      </c>
      <c r="AY59" s="55">
        <f>_xll.EQNXTDZ($A$1,$B59,AY$5,$B$1)</f>
        <v>0</v>
      </c>
      <c r="AZ59" s="55">
        <f>_xll.EQNXTDZ($A$1,$B59,AZ$5,$B$1)</f>
        <v>86.45</v>
      </c>
      <c r="BA59" s="55">
        <f>_xll.EQNXTDZ($A$1,$B59,BA$5,$B$1)</f>
        <v>0</v>
      </c>
      <c r="BB59" s="55">
        <f>_xll.EQNXTDZ($A$1,$B59,BB$5,$B$1)</f>
        <v>99.686000000000007</v>
      </c>
      <c r="BC59" s="55">
        <f>_xll.EQNXTDZ($A$1,$B59,BC$5,$B$1)</f>
        <v>0</v>
      </c>
      <c r="BD59" s="55">
        <f>_xll.EQNXTDZ($A$1,$B59,BD$5,$B$1)</f>
        <v>126.155</v>
      </c>
      <c r="BE59" s="55">
        <f>_xll.EQNXTDZ($A$1,$B59,BE$5,$B$1)</f>
        <v>0</v>
      </c>
      <c r="BF59" s="55">
        <f>_xll.EQNXTDZ($A$1,$B59,BF$5,$B$1)</f>
        <v>141.904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3.1E-2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3.1E-2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0.36799999999999999</v>
      </c>
      <c r="AU64" s="55">
        <f>_xll.EQNXTDZ($A$1,$B64,AU$5,$B$1)</f>
        <v>0</v>
      </c>
      <c r="AV64" s="55">
        <f>_xll.EQNXTDZ($A$1,$B64,AV$5,$B$1)</f>
        <v>0.32400000000000001</v>
      </c>
      <c r="AW64" s="55">
        <f>_xll.EQNXTDZ($A$1,$B64,AW$5,$B$1)</f>
        <v>0</v>
      </c>
      <c r="AX64" s="55">
        <f>_xll.EQNXTDZ($A$1,$B64,AX$5,$B$1)</f>
        <v>0.72099999999999997</v>
      </c>
      <c r="AY64" s="55">
        <f>_xll.EQNXTDZ($A$1,$B64,AY$5,$B$1)</f>
        <v>0</v>
      </c>
      <c r="AZ64" s="55">
        <f>_xll.EQNXTDZ($A$1,$B64,AZ$5,$B$1)</f>
        <v>1.214</v>
      </c>
      <c r="BA64" s="55">
        <f>_xll.EQNXTDZ($A$1,$B64,BA$5,$B$1)</f>
        <v>0</v>
      </c>
      <c r="BB64" s="55">
        <f>_xll.EQNXTDZ($A$1,$B64,BB$5,$B$1)</f>
        <v>6.4329999999999998</v>
      </c>
      <c r="BC64" s="55">
        <f>_xll.EQNXTDZ($A$1,$B64,BC$5,$B$1)</f>
        <v>0</v>
      </c>
      <c r="BD64" s="55">
        <f>_xll.EQNXTDZ($A$1,$B64,BD$5,$B$1)</f>
        <v>10.853</v>
      </c>
      <c r="BE64" s="55">
        <f>_xll.EQNXTDZ($A$1,$B64,BE$5,$B$1)</f>
        <v>0</v>
      </c>
      <c r="BF64" s="55">
        <f>_xll.EQNXTDZ($A$1,$B64,BF$5,$B$1)</f>
        <v>14.869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0.11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0.14499999999999999</v>
      </c>
      <c r="AU66" s="55">
        <f>_xll.EQNXTDZ($A$1,$B66,AU$5,$B$1)</f>
        <v>0</v>
      </c>
      <c r="AV66" s="55">
        <f>_xll.EQNXTDZ($A$1,$B66,AV$5,$B$1)</f>
        <v>0.159</v>
      </c>
      <c r="AW66" s="55">
        <f>_xll.EQNXTDZ($A$1,$B66,AW$5,$B$1)</f>
        <v>0</v>
      </c>
      <c r="AX66" s="55">
        <f>_xll.EQNXTDZ($A$1,$B66,AX$5,$B$1)</f>
        <v>0.18</v>
      </c>
      <c r="AY66" s="55">
        <f>_xll.EQNXTDZ($A$1,$B66,AY$5,$B$1)</f>
        <v>0</v>
      </c>
      <c r="AZ66" s="55">
        <f>_xll.EQNXTDZ($A$1,$B66,AZ$5,$B$1)</f>
        <v>0.20300000000000001</v>
      </c>
      <c r="BA66" s="55">
        <f>_xll.EQNXTDZ($A$1,$B66,BA$5,$B$1)</f>
        <v>0</v>
      </c>
      <c r="BB66" s="55">
        <f>_xll.EQNXTDZ($A$1,$B66,BB$5,$B$1)</f>
        <v>0.26200000000000001</v>
      </c>
      <c r="BC66" s="55">
        <f>_xll.EQNXTDZ($A$1,$B66,BC$5,$B$1)</f>
        <v>0</v>
      </c>
      <c r="BD66" s="55">
        <f>_xll.EQNXTDZ($A$1,$B66,BD$5,$B$1)</f>
        <v>0.28299999999999997</v>
      </c>
      <c r="BE66" s="55">
        <f>_xll.EQNXTDZ($A$1,$B66,BE$5,$B$1)</f>
        <v>0</v>
      </c>
      <c r="BF66" s="55">
        <f>_xll.EQNXTDZ($A$1,$B66,BF$5,$B$1)</f>
        <v>0.44800000000000001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1.23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21.126999999999999</v>
      </c>
      <c r="AU67" s="55">
        <f>_xll.EQNXTDZ($A$1,$B67,AU$5,$B$1)</f>
        <v>0</v>
      </c>
      <c r="AV67" s="55">
        <f>_xll.EQNXTDZ($A$1,$B67,AV$5,$B$1)</f>
        <v>24.015999999999998</v>
      </c>
      <c r="AW67" s="55">
        <f>_xll.EQNXTDZ($A$1,$B67,AW$5,$B$1)</f>
        <v>0</v>
      </c>
      <c r="AX67" s="55">
        <f>_xll.EQNXTDZ($A$1,$B67,AX$5,$B$1)</f>
        <v>29.942</v>
      </c>
      <c r="AY67" s="55">
        <f>_xll.EQNXTDZ($A$1,$B67,AY$5,$B$1)</f>
        <v>0</v>
      </c>
      <c r="AZ67" s="55">
        <f>_xll.EQNXTDZ($A$1,$B67,AZ$5,$B$1)</f>
        <v>87.867000000000004</v>
      </c>
      <c r="BA67" s="55">
        <f>_xll.EQNXTDZ($A$1,$B67,BA$5,$B$1)</f>
        <v>0</v>
      </c>
      <c r="BB67" s="55">
        <f>_xll.EQNXTDZ($A$1,$B67,BB$5,$B$1)</f>
        <v>106.381</v>
      </c>
      <c r="BC67" s="55">
        <f>_xll.EQNXTDZ($A$1,$B67,BC$5,$B$1)</f>
        <v>0</v>
      </c>
      <c r="BD67" s="55">
        <f>_xll.EQNXTDZ($A$1,$B67,BD$5,$B$1)</f>
        <v>137.291</v>
      </c>
      <c r="BE67" s="55">
        <f>_xll.EQNXTDZ($A$1,$B67,BE$5,$B$1)</f>
        <v>0</v>
      </c>
      <c r="BF67" s="55">
        <f>_xll.EQNXTDZ($A$1,$B67,BF$5,$B$1)</f>
        <v>157.221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0.35599999999999998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0.82199999999999995</v>
      </c>
      <c r="AU68" s="55">
        <f>_xll.EQNXTDZ($A$1,$B68,AU$5,$B$1)</f>
        <v>0</v>
      </c>
      <c r="AV68" s="55">
        <f>_xll.EQNXTDZ($A$1,$B68,AV$5,$B$1)</f>
        <v>0.83299999999999996</v>
      </c>
      <c r="AW68" s="55">
        <f>_xll.EQNXTDZ($A$1,$B68,AW$5,$B$1)</f>
        <v>0</v>
      </c>
      <c r="AX68" s="55">
        <f>_xll.EQNXTDZ($A$1,$B68,AX$5,$B$1)</f>
        <v>1.129</v>
      </c>
      <c r="AY68" s="55">
        <f>_xll.EQNXTDZ($A$1,$B68,AY$5,$B$1)</f>
        <v>0</v>
      </c>
      <c r="AZ68" s="55">
        <f>_xll.EQNXTDZ($A$1,$B68,AZ$5,$B$1)</f>
        <v>1.1870000000000001</v>
      </c>
      <c r="BA68" s="55">
        <f>_xll.EQNXTDZ($A$1,$B68,BA$5,$B$1)</f>
        <v>0</v>
      </c>
      <c r="BB68" s="55">
        <f>_xll.EQNXTDZ($A$1,$B68,BB$5,$B$1)</f>
        <v>2.2829999999999999</v>
      </c>
      <c r="BC68" s="55">
        <f>_xll.EQNXTDZ($A$1,$B68,BC$5,$B$1)</f>
        <v>0</v>
      </c>
      <c r="BD68" s="55">
        <f>_xll.EQNXTDZ($A$1,$B68,BD$5,$B$1)</f>
        <v>2.6949999999999998</v>
      </c>
      <c r="BE68" s="55">
        <f>_xll.EQNXTDZ($A$1,$B68,BE$5,$B$1)</f>
        <v>0</v>
      </c>
      <c r="BF68" s="55">
        <f>_xll.EQNXTDZ($A$1,$B68,BF$5,$B$1)</f>
        <v>5.6879999999999997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0.35599999999999998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0.82199999999999995</v>
      </c>
      <c r="AU71" s="55">
        <f>_xll.EQNXTDZ($A$1,$B71,AU$5,$B$1)</f>
        <v>0</v>
      </c>
      <c r="AV71" s="55">
        <f>_xll.EQNXTDZ($A$1,$B71,AV$5,$B$1)</f>
        <v>0.83299999999999996</v>
      </c>
      <c r="AW71" s="55">
        <f>_xll.EQNXTDZ($A$1,$B71,AW$5,$B$1)</f>
        <v>0</v>
      </c>
      <c r="AX71" s="55">
        <f>_xll.EQNXTDZ($A$1,$B71,AX$5,$B$1)</f>
        <v>1.129</v>
      </c>
      <c r="AY71" s="55">
        <f>_xll.EQNXTDZ($A$1,$B71,AY$5,$B$1)</f>
        <v>0</v>
      </c>
      <c r="AZ71" s="55">
        <f>_xll.EQNXTDZ($A$1,$B71,AZ$5,$B$1)</f>
        <v>1.1870000000000001</v>
      </c>
      <c r="BA71" s="55">
        <f>_xll.EQNXTDZ($A$1,$B71,BA$5,$B$1)</f>
        <v>0</v>
      </c>
      <c r="BB71" s="55">
        <f>_xll.EQNXTDZ($A$1,$B71,BB$5,$B$1)</f>
        <v>2.2829999999999999</v>
      </c>
      <c r="BC71" s="55">
        <f>_xll.EQNXTDZ($A$1,$B71,BC$5,$B$1)</f>
        <v>0</v>
      </c>
      <c r="BD71" s="55">
        <f>_xll.EQNXTDZ($A$1,$B71,BD$5,$B$1)</f>
        <v>2.6949999999999998</v>
      </c>
      <c r="BE71" s="55">
        <f>_xll.EQNXTDZ($A$1,$B71,BE$5,$B$1)</f>
        <v>0</v>
      </c>
      <c r="BF71" s="55">
        <f>_xll.EQNXTDZ($A$1,$B71,BF$5,$B$1)</f>
        <v>5.6879999999999997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9.4E-2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0.10299999999999999</v>
      </c>
      <c r="AY77" s="55">
        <f>_xll.EQNXTDZ($A$1,$B77,AY$5,$B$1)</f>
        <v>0</v>
      </c>
      <c r="AZ77" s="55">
        <f>_xll.EQNXTDZ($A$1,$B77,AZ$5,$B$1)</f>
        <v>0.10299999999999999</v>
      </c>
      <c r="BA77" s="55">
        <f>_xll.EQNXTDZ($A$1,$B77,BA$5,$B$1)</f>
        <v>0</v>
      </c>
      <c r="BB77" s="55">
        <f>_xll.EQNXTDZ($A$1,$B77,BB$5,$B$1)</f>
        <v>0.10100000000000001</v>
      </c>
      <c r="BC77" s="55">
        <f>_xll.EQNXTDZ($A$1,$B77,BC$5,$B$1)</f>
        <v>0</v>
      </c>
      <c r="BD77" s="55">
        <f>_xll.EQNXTDZ($A$1,$B77,BD$5,$B$1)</f>
        <v>0.104</v>
      </c>
      <c r="BE77" s="55">
        <f>_xll.EQNXTDZ($A$1,$B77,BE$5,$B$1)</f>
        <v>0</v>
      </c>
      <c r="BF77" s="55">
        <f>_xll.EQNXTDZ($A$1,$B77,BF$5,$B$1)</f>
        <v>0.10100000000000001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0.59599999999999997</v>
      </c>
      <c r="AU79" s="55">
        <f>_xll.EQNXTDZ($A$1,$B79,AU$5,$B$1)</f>
        <v>0</v>
      </c>
      <c r="AV79" s="55">
        <f>_xll.EQNXTDZ($A$1,$B79,AV$5,$B$1)</f>
        <v>0.54500000000000004</v>
      </c>
      <c r="AW79" s="55">
        <f>_xll.EQNXTDZ($A$1,$B79,AW$5,$B$1)</f>
        <v>0</v>
      </c>
      <c r="AX79" s="55">
        <f>_xll.EQNXTDZ($A$1,$B79,AX$5,$B$1)</f>
        <v>0.49299999999999999</v>
      </c>
      <c r="AY79" s="55">
        <f>_xll.EQNXTDZ($A$1,$B79,AY$5,$B$1)</f>
        <v>0</v>
      </c>
      <c r="AZ79" s="55">
        <f>_xll.EQNXTDZ($A$1,$B79,AZ$5,$B$1)</f>
        <v>0.36399999999999999</v>
      </c>
      <c r="BA79" s="55">
        <f>_xll.EQNXTDZ($A$1,$B79,BA$5,$B$1)</f>
        <v>0</v>
      </c>
      <c r="BB79" s="55">
        <f>_xll.EQNXTDZ($A$1,$B79,BB$5,$B$1)</f>
        <v>6.4660000000000002</v>
      </c>
      <c r="BC79" s="55">
        <f>_xll.EQNXTDZ($A$1,$B79,BC$5,$B$1)</f>
        <v>0</v>
      </c>
      <c r="BD79" s="55">
        <f>_xll.EQNXTDZ($A$1,$B79,BD$5,$B$1)</f>
        <v>8.2639999999999993</v>
      </c>
      <c r="BE79" s="55">
        <f>_xll.EQNXTDZ($A$1,$B79,BE$5,$B$1)</f>
        <v>0</v>
      </c>
      <c r="BF79" s="55">
        <f>_xll.EQNXTDZ($A$1,$B79,BF$5,$B$1)</f>
        <v>11.4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0.1</v>
      </c>
      <c r="AW80" s="55">
        <f>_xll.EQNXTDZ($A$1,$B80,AW$5,$B$1)</f>
        <v>0</v>
      </c>
      <c r="AX80" s="55">
        <f>_xll.EQNXTDZ($A$1,$B80,AX$5,$B$1)</f>
        <v>9.7000000000000003E-2</v>
      </c>
      <c r="AY80" s="55">
        <f>_xll.EQNXTDZ($A$1,$B80,AY$5,$B$1)</f>
        <v>0</v>
      </c>
      <c r="AZ80" s="55">
        <f>_xll.EQNXTDZ($A$1,$B80,AZ$5,$B$1)</f>
        <v>0.1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6.82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10.45</v>
      </c>
      <c r="AU81" s="55">
        <f>_xll.EQNXTDZ($A$1,$B81,AU$5,$B$1)</f>
        <v>0</v>
      </c>
      <c r="AV81" s="55">
        <f>_xll.EQNXTDZ($A$1,$B81,AV$5,$B$1)</f>
        <v>10.805</v>
      </c>
      <c r="AW81" s="55">
        <f>_xll.EQNXTDZ($A$1,$B81,AW$5,$B$1)</f>
        <v>0</v>
      </c>
      <c r="AX81" s="55">
        <f>_xll.EQNXTDZ($A$1,$B81,AX$5,$B$1)</f>
        <v>32.106000000000002</v>
      </c>
      <c r="AY81" s="55">
        <f>_xll.EQNXTDZ($A$1,$B81,AY$5,$B$1)</f>
        <v>0</v>
      </c>
      <c r="AZ81" s="55">
        <f>_xll.EQNXTDZ($A$1,$B81,AZ$5,$B$1)</f>
        <v>20.754999999999999</v>
      </c>
      <c r="BA81" s="55">
        <f>_xll.EQNXTDZ($A$1,$B81,BA$5,$B$1)</f>
        <v>0</v>
      </c>
      <c r="BB81" s="55">
        <f>_xll.EQNXTDZ($A$1,$B81,BB$5,$B$1)</f>
        <v>31.777999999999999</v>
      </c>
      <c r="BC81" s="55">
        <f>_xll.EQNXTDZ($A$1,$B81,BC$5,$B$1)</f>
        <v>0</v>
      </c>
      <c r="BD81" s="55">
        <f>_xll.EQNXTDZ($A$1,$B81,BD$5,$B$1)</f>
        <v>50.247999999999998</v>
      </c>
      <c r="BE81" s="55">
        <f>_xll.EQNXTDZ($A$1,$B81,BE$5,$B$1)</f>
        <v>0</v>
      </c>
      <c r="BF81" s="55">
        <f>_xll.EQNXTDZ($A$1,$B81,BF$5,$B$1)</f>
        <v>48.241999999999997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7.0000000000000001E-3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2.8000000000000001E-2</v>
      </c>
      <c r="AU82" s="55">
        <f>_xll.EQNXTDZ($A$1,$B82,AU$5,$B$1)</f>
        <v>0</v>
      </c>
      <c r="AV82" s="55">
        <f>_xll.EQNXTDZ($A$1,$B82,AV$5,$B$1)</f>
        <v>0.75</v>
      </c>
      <c r="AW82" s="55">
        <f>_xll.EQNXTDZ($A$1,$B82,AW$5,$B$1)</f>
        <v>0</v>
      </c>
      <c r="AX82" s="55">
        <f>_xll.EQNXTDZ($A$1,$B82,AX$5,$B$1)</f>
        <v>1.8819999999999999</v>
      </c>
      <c r="AY82" s="55">
        <f>_xll.EQNXTDZ($A$1,$B82,AY$5,$B$1)</f>
        <v>0</v>
      </c>
      <c r="AZ82" s="55">
        <f>_xll.EQNXTDZ($A$1,$B82,AZ$5,$B$1)</f>
        <v>28.856000000000002</v>
      </c>
      <c r="BA82" s="55">
        <f>_xll.EQNXTDZ($A$1,$B82,BA$5,$B$1)</f>
        <v>0</v>
      </c>
      <c r="BB82" s="55">
        <f>_xll.EQNXTDZ($A$1,$B82,BB$5,$B$1)</f>
        <v>13.851000000000001</v>
      </c>
      <c r="BC82" s="55">
        <f>_xll.EQNXTDZ($A$1,$B82,BC$5,$B$1)</f>
        <v>0</v>
      </c>
      <c r="BD82" s="55">
        <f>_xll.EQNXTDZ($A$1,$B82,BD$5,$B$1)</f>
        <v>19.571000000000002</v>
      </c>
      <c r="BE82" s="55">
        <f>_xll.EQNXTDZ($A$1,$B82,BE$5,$B$1)</f>
        <v>0</v>
      </c>
      <c r="BF82" s="55">
        <f>_xll.EQNXTDZ($A$1,$B82,BF$5,$B$1)</f>
        <v>13.63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0.626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11.337</v>
      </c>
      <c r="AU83" s="55">
        <f>_xll.EQNXTDZ($A$1,$B83,AU$5,$B$1)</f>
        <v>0</v>
      </c>
      <c r="AV83" s="55">
        <f>_xll.EQNXTDZ($A$1,$B83,AV$5,$B$1)</f>
        <v>14.175000000000001</v>
      </c>
      <c r="AW83" s="55">
        <f>_xll.EQNXTDZ($A$1,$B83,AW$5,$B$1)</f>
        <v>0</v>
      </c>
      <c r="AX83" s="55">
        <f>_xll.EQNXTDZ($A$1,$B83,AX$5,$B$1)</f>
        <v>0.70099999999999996</v>
      </c>
      <c r="AY83" s="55">
        <f>_xll.EQNXTDZ($A$1,$B83,AY$5,$B$1)</f>
        <v>0</v>
      </c>
      <c r="AZ83" s="55">
        <f>_xll.EQNXTDZ($A$1,$B83,AZ$5,$B$1)</f>
        <v>53.011000000000003</v>
      </c>
      <c r="BA83" s="55">
        <f>_xll.EQNXTDZ($A$1,$B83,BA$5,$B$1)</f>
        <v>0</v>
      </c>
      <c r="BB83" s="55">
        <f>_xll.EQNXTDZ($A$1,$B83,BB$5,$B$1)</f>
        <v>54.13</v>
      </c>
      <c r="BC83" s="55">
        <f>_xll.EQNXTDZ($A$1,$B83,BC$5,$B$1)</f>
        <v>0</v>
      </c>
      <c r="BD83" s="55">
        <f>_xll.EQNXTDZ($A$1,$B83,BD$5,$B$1)</f>
        <v>68.960999999999999</v>
      </c>
      <c r="BE83" s="55">
        <f>_xll.EQNXTDZ($A$1,$B83,BE$5,$B$1)</f>
        <v>0</v>
      </c>
      <c r="BF83" s="55">
        <f>_xll.EQNXTDZ($A$1,$B83,BF$5,$B$1)</f>
        <v>72.751999999999995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0.52800000000000002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0.95299999999999996</v>
      </c>
      <c r="AU84" s="55">
        <f>_xll.EQNXTDZ($A$1,$B84,AU$5,$B$1)</f>
        <v>0</v>
      </c>
      <c r="AV84" s="55">
        <f>_xll.EQNXTDZ($A$1,$B84,AV$5,$B$1)</f>
        <v>1.2190000000000001</v>
      </c>
      <c r="AW84" s="55">
        <f>_xll.EQNXTDZ($A$1,$B84,AW$5,$B$1)</f>
        <v>0</v>
      </c>
      <c r="AX84" s="55">
        <f>_xll.EQNXTDZ($A$1,$B84,AX$5,$B$1)</f>
        <v>2.052</v>
      </c>
      <c r="AY84" s="55">
        <f>_xll.EQNXTDZ($A$1,$B84,AY$5,$B$1)</f>
        <v>0</v>
      </c>
      <c r="AZ84" s="55">
        <f>_xll.EQNXTDZ($A$1,$B84,AZ$5,$B$1)</f>
        <v>1.4570000000000001</v>
      </c>
      <c r="BA84" s="55">
        <f>_xll.EQNXTDZ($A$1,$B84,BA$5,$B$1)</f>
        <v>0</v>
      </c>
      <c r="BB84" s="55">
        <f>_xll.EQNXTDZ($A$1,$B84,BB$5,$B$1)</f>
        <v>8.4659999999999993</v>
      </c>
      <c r="BC84" s="55">
        <f>_xll.EQNXTDZ($A$1,$B84,BC$5,$B$1)</f>
        <v>0</v>
      </c>
      <c r="BD84" s="55">
        <f>_xll.EQNXTDZ($A$1,$B84,BD$5,$B$1)</f>
        <v>15.449</v>
      </c>
      <c r="BE84" s="55">
        <f>_xll.EQNXTDZ($A$1,$B84,BE$5,$B$1)</f>
        <v>0</v>
      </c>
      <c r="BF84" s="55">
        <f>_xll.EQNXTDZ($A$1,$B84,BF$5,$B$1)</f>
        <v>15.333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7.9809999999999999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22.768000000000001</v>
      </c>
      <c r="AU86" s="55">
        <f>_xll.EQNXTDZ($A$1,$B86,AU$5,$B$1)</f>
        <v>0</v>
      </c>
      <c r="AV86" s="55">
        <f>_xll.EQNXTDZ($A$1,$B86,AV$5,$B$1)</f>
        <v>27.048999999999999</v>
      </c>
      <c r="AW86" s="55">
        <f>_xll.EQNXTDZ($A$1,$B86,AW$5,$B$1)</f>
        <v>0</v>
      </c>
      <c r="AX86" s="55">
        <f>_xll.EQNXTDZ($A$1,$B86,AX$5,$B$1)</f>
        <v>36.838000000000001</v>
      </c>
      <c r="AY86" s="55">
        <f>_xll.EQNXTDZ($A$1,$B86,AY$5,$B$1)</f>
        <v>0</v>
      </c>
      <c r="AZ86" s="55">
        <f>_xll.EQNXTDZ($A$1,$B86,AZ$5,$B$1)</f>
        <v>104.179</v>
      </c>
      <c r="BA86" s="55">
        <f>_xll.EQNXTDZ($A$1,$B86,BA$5,$B$1)</f>
        <v>0</v>
      </c>
      <c r="BB86" s="55">
        <f>_xll.EQNXTDZ($A$1,$B86,BB$5,$B$1)</f>
        <v>108.22499999999999</v>
      </c>
      <c r="BC86" s="55">
        <f>_xll.EQNXTDZ($A$1,$B86,BC$5,$B$1)</f>
        <v>0</v>
      </c>
      <c r="BD86" s="55">
        <f>_xll.EQNXTDZ($A$1,$B86,BD$5,$B$1)</f>
        <v>154.22900000000001</v>
      </c>
      <c r="BE86" s="55">
        <f>_xll.EQNXTDZ($A$1,$B86,BE$5,$B$1)</f>
        <v>0</v>
      </c>
      <c r="BF86" s="55">
        <f>_xll.EQNXTDZ($A$1,$B86,BF$5,$B$1)</f>
        <v>149.95699999999999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5.3129999999999997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0.82399999999999995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1.7310000000000001</v>
      </c>
      <c r="AY88" s="55">
        <f>_xll.EQNXTDZ($A$1,$B88,AY$5,$B$1)</f>
        <v>0</v>
      </c>
      <c r="AZ88" s="55">
        <f>_xll.EQNXTDZ($A$1,$B88,AZ$5,$B$1)</f>
        <v>2.319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1.3009999999999999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1.3819999999999999</v>
      </c>
      <c r="AU89" s="55">
        <f>_xll.EQNXTDZ($A$1,$B89,AU$5,$B$1)</f>
        <v>0</v>
      </c>
      <c r="AV89" s="55">
        <f>_xll.EQNXTDZ($A$1,$B89,AV$5,$B$1)</f>
        <v>2.2999999999999998</v>
      </c>
      <c r="AW89" s="55">
        <f>_xll.EQNXTDZ($A$1,$B89,AW$5,$B$1)</f>
        <v>0</v>
      </c>
      <c r="AX89" s="55">
        <f>_xll.EQNXTDZ($A$1,$B89,AX$5,$B$1)</f>
        <v>5.234</v>
      </c>
      <c r="AY89" s="55">
        <f>_xll.EQNXTDZ($A$1,$B89,AY$5,$B$1)</f>
        <v>0</v>
      </c>
      <c r="AZ89" s="55">
        <f>_xll.EQNXTDZ($A$1,$B89,AZ$5,$B$1)</f>
        <v>12.839</v>
      </c>
      <c r="BA89" s="55">
        <f>_xll.EQNXTDZ($A$1,$B89,BA$5,$B$1)</f>
        <v>0</v>
      </c>
      <c r="BB89" s="55">
        <f>_xll.EQNXTDZ($A$1,$B89,BB$5,$B$1)</f>
        <v>8.3309999999999995</v>
      </c>
      <c r="BC89" s="55">
        <f>_xll.EQNXTDZ($A$1,$B89,BC$5,$B$1)</f>
        <v>0</v>
      </c>
      <c r="BD89" s="55">
        <f>_xll.EQNXTDZ($A$1,$B89,BD$5,$B$1)</f>
        <v>22.925000000000001</v>
      </c>
      <c r="BE89" s="55">
        <f>_xll.EQNXTDZ($A$1,$B89,BE$5,$B$1)</f>
        <v>0</v>
      </c>
      <c r="BF89" s="55">
        <f>_xll.EQNXTDZ($A$1,$B89,BF$5,$B$1)</f>
        <v>6.2510000000000003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0.46300000000000002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0.73299999999999998</v>
      </c>
      <c r="AU91" s="55">
        <f>_xll.EQNXTDZ($A$1,$B91,AU$5,$B$1)</f>
        <v>0</v>
      </c>
      <c r="AV91" s="55">
        <f>_xll.EQNXTDZ($A$1,$B91,AV$5,$B$1)</f>
        <v>1.694</v>
      </c>
      <c r="AW91" s="55">
        <f>_xll.EQNXTDZ($A$1,$B91,AW$5,$B$1)</f>
        <v>0</v>
      </c>
      <c r="AX91" s="55">
        <f>_xll.EQNXTDZ($A$1,$B91,AX$5,$B$1)</f>
        <v>1.69</v>
      </c>
      <c r="AY91" s="55">
        <f>_xll.EQNXTDZ($A$1,$B91,AY$5,$B$1)</f>
        <v>0</v>
      </c>
      <c r="AZ91" s="55">
        <f>_xll.EQNXTDZ($A$1,$B91,AZ$5,$B$1)</f>
        <v>2.5009999999999999</v>
      </c>
      <c r="BA91" s="55">
        <f>_xll.EQNXTDZ($A$1,$B91,BA$5,$B$1)</f>
        <v>0</v>
      </c>
      <c r="BB91" s="55">
        <f>_xll.EQNXTDZ($A$1,$B91,BB$5,$B$1)</f>
        <v>2.427</v>
      </c>
      <c r="BC91" s="55">
        <f>_xll.EQNXTDZ($A$1,$B91,BC$5,$B$1)</f>
        <v>0</v>
      </c>
      <c r="BD91" s="55">
        <f>_xll.EQNXTDZ($A$1,$B91,BD$5,$B$1)</f>
        <v>5.0620000000000003</v>
      </c>
      <c r="BE91" s="55">
        <f>_xll.EQNXTDZ($A$1,$B91,BE$5,$B$1)</f>
        <v>0</v>
      </c>
      <c r="BF91" s="55">
        <f>_xll.EQNXTDZ($A$1,$B91,BF$5,$B$1)</f>
        <v>3.867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5.5E-2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0.153</v>
      </c>
      <c r="AU92" s="55">
        <f>_xll.EQNXTDZ($A$1,$B92,AU$5,$B$1)</f>
        <v>0</v>
      </c>
      <c r="AV92" s="55">
        <f>_xll.EQNXTDZ($A$1,$B92,AV$5,$B$1)</f>
        <v>0.41199999999999998</v>
      </c>
      <c r="AW92" s="55">
        <f>_xll.EQNXTDZ($A$1,$B92,AW$5,$B$1)</f>
        <v>0</v>
      </c>
      <c r="AX92" s="55">
        <f>_xll.EQNXTDZ($A$1,$B92,AX$5,$B$1)</f>
        <v>4.2999999999999997E-2</v>
      </c>
      <c r="AY92" s="55">
        <f>_xll.EQNXTDZ($A$1,$B92,AY$5,$B$1)</f>
        <v>0</v>
      </c>
      <c r="AZ92" s="55">
        <f>_xll.EQNXTDZ($A$1,$B92,AZ$5,$B$1)</f>
        <v>0.38700000000000001</v>
      </c>
      <c r="BA92" s="55">
        <f>_xll.EQNXTDZ($A$1,$B92,BA$5,$B$1)</f>
        <v>0</v>
      </c>
      <c r="BB92" s="55">
        <f>_xll.EQNXTDZ($A$1,$B92,BB$5,$B$1)</f>
        <v>5.8000000000000003E-2</v>
      </c>
      <c r="BC92" s="55">
        <f>_xll.EQNXTDZ($A$1,$B92,BC$5,$B$1)</f>
        <v>0</v>
      </c>
      <c r="BD92" s="55">
        <f>_xll.EQNXTDZ($A$1,$B92,BD$5,$B$1)</f>
        <v>0.19500000000000001</v>
      </c>
      <c r="BE92" s="55">
        <f>_xll.EQNXTDZ($A$1,$B92,BE$5,$B$1)</f>
        <v>0</v>
      </c>
      <c r="BF92" s="55">
        <f>_xll.EQNXTDZ($A$1,$B92,BF$5,$B$1)</f>
        <v>0.122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7.1319999999999997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3.0920000000000001</v>
      </c>
      <c r="AU93" s="55">
        <f>_xll.EQNXTDZ($A$1,$B93,AU$5,$B$1)</f>
        <v>0</v>
      </c>
      <c r="AV93" s="55">
        <f>_xll.EQNXTDZ($A$1,$B93,AV$5,$B$1)</f>
        <v>4.4059999999999997</v>
      </c>
      <c r="AW93" s="55">
        <f>_xll.EQNXTDZ($A$1,$B93,AW$5,$B$1)</f>
        <v>0</v>
      </c>
      <c r="AX93" s="55">
        <f>_xll.EQNXTDZ($A$1,$B93,AX$5,$B$1)</f>
        <v>8.6980000000000004</v>
      </c>
      <c r="AY93" s="55">
        <f>_xll.EQNXTDZ($A$1,$B93,AY$5,$B$1)</f>
        <v>0</v>
      </c>
      <c r="AZ93" s="55">
        <f>_xll.EQNXTDZ($A$1,$B93,AZ$5,$B$1)</f>
        <v>18.045999999999999</v>
      </c>
      <c r="BA93" s="55">
        <f>_xll.EQNXTDZ($A$1,$B93,BA$5,$B$1)</f>
        <v>0</v>
      </c>
      <c r="BB93" s="55">
        <f>_xll.EQNXTDZ($A$1,$B93,BB$5,$B$1)</f>
        <v>10.816000000000001</v>
      </c>
      <c r="BC93" s="55">
        <f>_xll.EQNXTDZ($A$1,$B93,BC$5,$B$1)</f>
        <v>0</v>
      </c>
      <c r="BD93" s="55">
        <f>_xll.EQNXTDZ($A$1,$B93,BD$5,$B$1)</f>
        <v>28.181999999999999</v>
      </c>
      <c r="BE93" s="55">
        <f>_xll.EQNXTDZ($A$1,$B93,BE$5,$B$1)</f>
        <v>0</v>
      </c>
      <c r="BF93" s="55">
        <f>_xll.EQNXTDZ($A$1,$B93,BF$5,$B$1)</f>
        <v>10.24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0.84900000000000098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19.675999999999998</v>
      </c>
      <c r="AU94" s="55">
        <f>_xll.EQNXTDZ($A$1,$B94,AU$5,$B$1)</f>
        <v>0</v>
      </c>
      <c r="AV94" s="55">
        <f>_xll.EQNXTDZ($A$1,$B94,AV$5,$B$1)</f>
        <v>22.643000000000001</v>
      </c>
      <c r="AW94" s="55">
        <f>_xll.EQNXTDZ($A$1,$B94,AW$5,$B$1)</f>
        <v>0</v>
      </c>
      <c r="AX94" s="55">
        <f>_xll.EQNXTDZ($A$1,$B94,AX$5,$B$1)</f>
        <v>28.14</v>
      </c>
      <c r="AY94" s="55">
        <f>_xll.EQNXTDZ($A$1,$B94,AY$5,$B$1)</f>
        <v>0</v>
      </c>
      <c r="AZ94" s="55">
        <f>_xll.EQNXTDZ($A$1,$B94,AZ$5,$B$1)</f>
        <v>86.132999999999996</v>
      </c>
      <c r="BA94" s="55">
        <f>_xll.EQNXTDZ($A$1,$B94,BA$5,$B$1)</f>
        <v>0</v>
      </c>
      <c r="BB94" s="55">
        <f>_xll.EQNXTDZ($A$1,$B94,BB$5,$B$1)</f>
        <v>97.409000000000006</v>
      </c>
      <c r="BC94" s="55">
        <f>_xll.EQNXTDZ($A$1,$B94,BC$5,$B$1)</f>
        <v>0</v>
      </c>
      <c r="BD94" s="55">
        <f>_xll.EQNXTDZ($A$1,$B94,BD$5,$B$1)</f>
        <v>126.047</v>
      </c>
      <c r="BE94" s="55">
        <f>_xll.EQNXTDZ($A$1,$B94,BE$5,$B$1)</f>
        <v>0</v>
      </c>
      <c r="BF94" s="55">
        <f>_xll.EQNXTDZ($A$1,$B94,BF$5,$B$1)</f>
        <v>139.71700000000001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2.5000000000000001E-2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3.3000000000000002E-2</v>
      </c>
      <c r="AU96" s="55">
        <f>_xll.EQNXTDZ($A$1,$B96,AU$5,$B$1)</f>
        <v>0</v>
      </c>
      <c r="AV96" s="55">
        <f>_xll.EQNXTDZ($A$1,$B96,AV$5,$B$1)</f>
        <v>-5.0000000000000001E-3</v>
      </c>
      <c r="AW96" s="55">
        <f>_xll.EQNXTDZ($A$1,$B96,AW$5,$B$1)</f>
        <v>0</v>
      </c>
      <c r="AX96" s="55">
        <f>_xll.EQNXTDZ($A$1,$B96,AX$5,$B$1)</f>
        <v>7.5999999999999998E-2</v>
      </c>
      <c r="AY96" s="55">
        <f>_xll.EQNXTDZ($A$1,$B96,AY$5,$B$1)</f>
        <v>0</v>
      </c>
      <c r="AZ96" s="55">
        <f>_xll.EQNXTDZ($A$1,$B96,AZ$5,$B$1)</f>
        <v>8.1000000000000003E-2</v>
      </c>
      <c r="BA96" s="55">
        <f>_xll.EQNXTDZ($A$1,$B96,BA$5,$B$1)</f>
        <v>0</v>
      </c>
      <c r="BB96" s="55">
        <f>_xll.EQNXTDZ($A$1,$B96,BB$5,$B$1)</f>
        <v>0.122</v>
      </c>
      <c r="BC96" s="55">
        <f>_xll.EQNXTDZ($A$1,$B96,BC$5,$B$1)</f>
        <v>0</v>
      </c>
      <c r="BD96" s="55">
        <f>_xll.EQNXTDZ($A$1,$B96,BD$5,$B$1)</f>
        <v>0.18</v>
      </c>
      <c r="BE96" s="55">
        <f>_xll.EQNXTDZ($A$1,$B96,BE$5,$B$1)</f>
        <v>0</v>
      </c>
      <c r="BF96" s="55">
        <f>_xll.EQNXTDZ($A$1,$B96,BF$5,$B$1)</f>
        <v>0.222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1.23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21.126999999999999</v>
      </c>
      <c r="AU97" s="55">
        <f>_xll.EQNXTDZ($A$1,$B97,AU$5,$B$1)</f>
        <v>0</v>
      </c>
      <c r="AV97" s="55">
        <f>_xll.EQNXTDZ($A$1,$B97,AV$5,$B$1)</f>
        <v>24.015999999999998</v>
      </c>
      <c r="AW97" s="55">
        <f>_xll.EQNXTDZ($A$1,$B97,AW$5,$B$1)</f>
        <v>0</v>
      </c>
      <c r="AX97" s="55">
        <f>_xll.EQNXTDZ($A$1,$B97,AX$5,$B$1)</f>
        <v>29.940999999999999</v>
      </c>
      <c r="AY97" s="55">
        <f>_xll.EQNXTDZ($A$1,$B97,AY$5,$B$1)</f>
        <v>0</v>
      </c>
      <c r="AZ97" s="55">
        <f>_xll.EQNXTDZ($A$1,$B97,AZ$5,$B$1)</f>
        <v>87.867999999999995</v>
      </c>
      <c r="BA97" s="55">
        <f>_xll.EQNXTDZ($A$1,$B97,BA$5,$B$1)</f>
        <v>0</v>
      </c>
      <c r="BB97" s="55">
        <f>_xll.EQNXTDZ($A$1,$B97,BB$5,$B$1)</f>
        <v>106.381</v>
      </c>
      <c r="BC97" s="55">
        <f>_xll.EQNXTDZ($A$1,$B97,BC$5,$B$1)</f>
        <v>0</v>
      </c>
      <c r="BD97" s="55">
        <f>_xll.EQNXTDZ($A$1,$B97,BD$5,$B$1)</f>
        <v>137.29</v>
      </c>
      <c r="BE97" s="55">
        <f>_xll.EQNXTDZ($A$1,$B97,BE$5,$B$1)</f>
        <v>0</v>
      </c>
      <c r="BF97" s="55">
        <f>_xll.EQNXTDZ($A$1,$B97,BF$5,$B$1)</f>
        <v>157.22200000000001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308320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PNGS Gargi Fashion Jewellery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6.0000000000000001E-3</v>
      </c>
      <c r="X6" s="100">
        <f>_xll.EQNXTDZ($A$1,$B6,X$1,$B$1)</f>
        <v>5.9393000000000002</v>
      </c>
      <c r="Y6" s="100">
        <f>_xll.EQNXTDZ($A$1,$B6,Y$1,$B$1)</f>
        <v>28.6736</v>
      </c>
      <c r="Z6" s="100">
        <f>_xll.EQNXTDZ($A$1,$B6,Z$1,$B$1)</f>
        <v>50.509399999999999</v>
      </c>
      <c r="AA6" s="100">
        <f>_xll.EQNXTDZ($A$1,$B6,AA$1,$B$1)</f>
        <v>126.3224</v>
      </c>
      <c r="AB6" s="100">
        <f>_xll.EQNXTDZ($A$1,$B6,AB$1,$B$1)</f>
        <v>149.4014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6.0000000000000001E-3</v>
      </c>
      <c r="X10" s="100">
        <f>_xll.EQNXTDZ($A$1,$B10,X$1,$B$1)</f>
        <v>5.9393000000000002</v>
      </c>
      <c r="Y10" s="100">
        <f>_xll.EQNXTDZ($A$1,$B10,Y$1,$B$1)</f>
        <v>28.6736</v>
      </c>
      <c r="Z10" s="100">
        <f>_xll.EQNXTDZ($A$1,$B10,Z$1,$B$1)</f>
        <v>50.509399999999999</v>
      </c>
      <c r="AA10" s="100">
        <f>_xll.EQNXTDZ($A$1,$B10,AA$1,$B$1)</f>
        <v>126.3224</v>
      </c>
      <c r="AB10" s="100">
        <f>_xll.EQNXTDZ($A$1,$B10,AB$1,$B$1)</f>
        <v>149.4014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-6.82</v>
      </c>
      <c r="Y11" s="100">
        <f>_xll.EQNXTDZ($A$1,$B11,Y$1,$B$1)</f>
        <v>-3.63</v>
      </c>
      <c r="Z11" s="100">
        <f>_xll.EQNXTDZ($A$1,$B11,Z$1,$B$1)</f>
        <v>-21.655999999999999</v>
      </c>
      <c r="AA11" s="100">
        <f>_xll.EQNXTDZ($A$1,$B11,AA$1,$B$1)</f>
        <v>0.32790000000000002</v>
      </c>
      <c r="AB11" s="100">
        <f>_xll.EQNXTDZ($A$1,$B11,AB$1,$B$1)</f>
        <v>-16.464400000000001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10.031700000000001</v>
      </c>
      <c r="Y12" s="100">
        <f>_xll.EQNXTDZ($A$1,$B12,Y$1,$B$1)</f>
        <v>19.768799999999999</v>
      </c>
      <c r="Z12" s="100">
        <f>_xll.EQNXTDZ($A$1,$B12,Z$1,$B$1)</f>
        <v>50.761099999999999</v>
      </c>
      <c r="AA12" s="100">
        <f>_xll.EQNXTDZ($A$1,$B12,AA$1,$B$1)</f>
        <v>75.663399999999996</v>
      </c>
      <c r="AB12" s="100">
        <f>_xll.EQNXTDZ($A$1,$B12,AB$1,$B$1)</f>
        <v>101.7363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1.0500000000000001E-2</v>
      </c>
      <c r="Z13" s="100">
        <f>_xll.EQNXTDZ($A$1,$B13,Z$1,$B$1)</f>
        <v>1.7999999999999999E-2</v>
      </c>
      <c r="AA13" s="100">
        <f>_xll.EQNXTDZ($A$1,$B13,AA$1,$B$1)</f>
        <v>2.6200000000000001E-2</v>
      </c>
      <c r="AB13" s="100">
        <f>_xll.EQNXTDZ($A$1,$B13,AB$1,$B$1)</f>
        <v>0.1159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0.25</v>
      </c>
      <c r="Y14" s="100">
        <f>_xll.EQNXTDZ($A$1,$B14,Y$1,$B$1)</f>
        <v>0.94320000000000004</v>
      </c>
      <c r="Z14" s="100">
        <f>_xll.EQNXTDZ($A$1,$B14,Z$1,$B$1)</f>
        <v>1.5524</v>
      </c>
      <c r="AA14" s="100">
        <f>_xll.EQNXTDZ($A$1,$B14,AA$1,$B$1)</f>
        <v>2.0783999999999998</v>
      </c>
      <c r="AB14" s="100">
        <f>_xll.EQNXTDZ($A$1,$B14,AB$1,$B$1)</f>
        <v>3.2115999999999998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0.22889999999999999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5.9999999999999995E-4</v>
      </c>
      <c r="W17" s="100">
        <f>_xll.EQNXTDZ($A$1,$B17,W$1,$B$1)</f>
        <v>8.9999999999999998E-4</v>
      </c>
      <c r="X17" s="100">
        <f>_xll.EQNXTDZ($A$1,$B17,X$1,$B$1)</f>
        <v>0.2031</v>
      </c>
      <c r="Y17" s="100">
        <f>_xll.EQNXTDZ($A$1,$B17,Y$1,$B$1)</f>
        <v>1.0285</v>
      </c>
      <c r="Z17" s="100">
        <f>_xll.EQNXTDZ($A$1,$B17,Z$1,$B$1)</f>
        <v>1.6979</v>
      </c>
      <c r="AA17" s="100">
        <f>_xll.EQNXTDZ($A$1,$B17,AA$1,$B$1)</f>
        <v>2.5865999999999998</v>
      </c>
      <c r="AB17" s="100">
        <f>_xll.EQNXTDZ($A$1,$B17,AB$1,$B$1)</f>
        <v>4.7380000000000004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0.51759999999999995</v>
      </c>
      <c r="Y18" s="100">
        <f>_xll.EQNXTDZ($A$1,$B18,Y$1,$B$1)</f>
        <v>3.9630000000000001</v>
      </c>
      <c r="Z18" s="100">
        <f>_xll.EQNXTDZ($A$1,$B18,Z$1,$B$1)</f>
        <v>6.2224000000000004</v>
      </c>
      <c r="AA18" s="100">
        <f>_xll.EQNXTDZ($A$1,$B18,AA$1,$B$1)</f>
        <v>7.7262000000000004</v>
      </c>
      <c r="AB18" s="100">
        <f>_xll.EQNXTDZ($A$1,$B18,AB$1,$B$1)</f>
        <v>14.277799999999999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2.0000000000000001E-4</v>
      </c>
      <c r="W19" s="100">
        <f>_xll.EQNXTDZ($A$1,$B19,W$1,$B$1)</f>
        <v>1.1999999999999999E-3</v>
      </c>
      <c r="X19" s="100">
        <f>_xll.EQNXTDZ($A$1,$B19,X$1,$B$1)</f>
        <v>4.4000000000000003E-3</v>
      </c>
      <c r="Y19" s="100">
        <f>_xll.EQNXTDZ($A$1,$B19,Y$1,$B$1)</f>
        <v>2.75E-2</v>
      </c>
      <c r="Z19" s="100">
        <f>_xll.EQNXTDZ($A$1,$B19,Z$1,$B$1)</f>
        <v>0.43440000000000001</v>
      </c>
      <c r="AA19" s="100">
        <f>_xll.EQNXTDZ($A$1,$B19,AA$1,$B$1)</f>
        <v>0.43230000000000002</v>
      </c>
      <c r="AB19" s="100">
        <f>_xll.EQNXTDZ($A$1,$B19,AB$1,$B$1)</f>
        <v>2.0710000000000002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8.0000000000000004E-4</v>
      </c>
      <c r="W21" s="100">
        <f>_xll.EQNXTDZ($A$1,$B21,W$1,$B$1)</f>
        <v>2.0999999999999999E-3</v>
      </c>
      <c r="X21" s="100">
        <f>_xll.EQNXTDZ($A$1,$B21,X$1,$B$1)</f>
        <v>4.4157000000000002</v>
      </c>
      <c r="Y21" s="100">
        <f>_xll.EQNXTDZ($A$1,$B21,Y$1,$B$1)</f>
        <v>22.111499999999999</v>
      </c>
      <c r="Z21" s="100">
        <f>_xll.EQNXTDZ($A$1,$B21,Z$1,$B$1)</f>
        <v>39.030200000000001</v>
      </c>
      <c r="AA21" s="100">
        <f>_xll.EQNXTDZ($A$1,$B21,AA$1,$B$1)</f>
        <v>88.840999999999994</v>
      </c>
      <c r="AB21" s="100">
        <f>_xll.EQNXTDZ($A$1,$B21,AB$1,$B$1)</f>
        <v>109.6862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-8.0000000000000004E-4</v>
      </c>
      <c r="W22" s="100">
        <f>_xll.EQNXTDZ($A$1,$B22,W$1,$B$1)</f>
        <v>3.8999999999999998E-3</v>
      </c>
      <c r="X22" s="100">
        <f>_xll.EQNXTDZ($A$1,$B22,X$1,$B$1)</f>
        <v>1.5236000000000001</v>
      </c>
      <c r="Y22" s="100">
        <f>_xll.EQNXTDZ($A$1,$B22,Y$1,$B$1)</f>
        <v>6.5621</v>
      </c>
      <c r="Z22" s="100">
        <f>_xll.EQNXTDZ($A$1,$B22,Z$1,$B$1)</f>
        <v>11.479200000000001</v>
      </c>
      <c r="AA22" s="100">
        <f>_xll.EQNXTDZ($A$1,$B22,AA$1,$B$1)</f>
        <v>37.481400000000001</v>
      </c>
      <c r="AB22" s="100">
        <f>_xll.EQNXTDZ($A$1,$B22,AB$1,$B$1)</f>
        <v>39.715200000000003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2.9999999999999997E-4</v>
      </c>
      <c r="X23" s="100">
        <f>_xll.EQNXTDZ($A$1,$B23,X$1,$B$1)</f>
        <v>1E-4</v>
      </c>
      <c r="Y23" s="100">
        <f>_xll.EQNXTDZ($A$1,$B23,Y$1,$B$1)</f>
        <v>0.15379999999999999</v>
      </c>
      <c r="Z23" s="100">
        <f>_xll.EQNXTDZ($A$1,$B23,Z$1,$B$1)</f>
        <v>0.59179999999999999</v>
      </c>
      <c r="AA23" s="100">
        <f>_xll.EQNXTDZ($A$1,$B23,AA$1,$B$1)</f>
        <v>2.1261000000000001</v>
      </c>
      <c r="AB23" s="100">
        <f>_xll.EQNXTDZ($A$1,$B23,AB$1,$B$1)</f>
        <v>5.3426999999999998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-8.0000000000000004E-4</v>
      </c>
      <c r="W24" s="100">
        <f>_xll.EQNXTDZ($A$1,$B24,W$1,$B$1)</f>
        <v>4.1999999999999997E-3</v>
      </c>
      <c r="X24" s="100">
        <f>_xll.EQNXTDZ($A$1,$B24,X$1,$B$1)</f>
        <v>1.5237000000000001</v>
      </c>
      <c r="Y24" s="100">
        <f>_xll.EQNXTDZ($A$1,$B24,Y$1,$B$1)</f>
        <v>6.7159000000000004</v>
      </c>
      <c r="Z24" s="100">
        <f>_xll.EQNXTDZ($A$1,$B24,Z$1,$B$1)</f>
        <v>12.071</v>
      </c>
      <c r="AA24" s="100">
        <f>_xll.EQNXTDZ($A$1,$B24,AA$1,$B$1)</f>
        <v>39.607500000000002</v>
      </c>
      <c r="AB24" s="100">
        <f>_xll.EQNXTDZ($A$1,$B24,AB$1,$B$1)</f>
        <v>45.057899999999997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1E-4</v>
      </c>
      <c r="X25" s="100">
        <f>_xll.EQNXTDZ($A$1,$B25,X$1,$B$1)</f>
        <v>1.95E-2</v>
      </c>
      <c r="Y25" s="100">
        <f>_xll.EQNXTDZ($A$1,$B25,Y$1,$B$1)</f>
        <v>0.19689999999999999</v>
      </c>
      <c r="Z25" s="100">
        <f>_xll.EQNXTDZ($A$1,$B25,Z$1,$B$1)</f>
        <v>0.38479999999999998</v>
      </c>
      <c r="AA25" s="100">
        <f>_xll.EQNXTDZ($A$1,$B25,AA$1,$B$1)</f>
        <v>0.30990000000000001</v>
      </c>
      <c r="AB25" s="100">
        <f>_xll.EQNXTDZ($A$1,$B25,AB$1,$B$1)</f>
        <v>0.95320000000000005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-8.0000000000000004E-4</v>
      </c>
      <c r="W26" s="100">
        <f>_xll.EQNXTDZ($A$1,$B26,W$1,$B$1)</f>
        <v>4.1000000000000003E-3</v>
      </c>
      <c r="X26" s="100">
        <f>_xll.EQNXTDZ($A$1,$B26,X$1,$B$1)</f>
        <v>1.5042</v>
      </c>
      <c r="Y26" s="100">
        <f>_xll.EQNXTDZ($A$1,$B26,Y$1,$B$1)</f>
        <v>6.5190000000000001</v>
      </c>
      <c r="Z26" s="100">
        <f>_xll.EQNXTDZ($A$1,$B26,Z$1,$B$1)</f>
        <v>11.686199999999999</v>
      </c>
      <c r="AA26" s="100">
        <f>_xll.EQNXTDZ($A$1,$B26,AA$1,$B$1)</f>
        <v>39.297600000000003</v>
      </c>
      <c r="AB26" s="100">
        <f>_xll.EQNXTDZ($A$1,$B26,AB$1,$B$1)</f>
        <v>44.104700000000001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2.0000000000000001E-4</v>
      </c>
      <c r="W27" s="100">
        <f>_xll.EQNXTDZ($A$1,$B27,W$1,$B$1)</f>
        <v>0</v>
      </c>
      <c r="X27" s="100">
        <f>_xll.EQNXTDZ($A$1,$B27,X$1,$B$1)</f>
        <v>2.0500000000000001E-2</v>
      </c>
      <c r="Y27" s="100">
        <f>_xll.EQNXTDZ($A$1,$B27,Y$1,$B$1)</f>
        <v>0.17710000000000001</v>
      </c>
      <c r="Z27" s="100">
        <f>_xll.EQNXTDZ($A$1,$B27,Z$1,$B$1)</f>
        <v>0.33210000000000001</v>
      </c>
      <c r="AA27" s="100">
        <f>_xll.EQNXTDZ($A$1,$B27,AA$1,$B$1)</f>
        <v>0.59530000000000005</v>
      </c>
      <c r="AB27" s="100">
        <f>_xll.EQNXTDZ($A$1,$B27,AB$1,$B$1)</f>
        <v>1.5769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-0.15179999999999999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5.9999999999999995E-4</v>
      </c>
      <c r="X30" s="100">
        <f>_xll.EQNXTDZ($A$1,$B30,X$1,$B$1)</f>
        <v>0.37840000000000001</v>
      </c>
      <c r="Y30" s="100">
        <f>_xll.EQNXTDZ($A$1,$B30,Y$1,$B$1)</f>
        <v>1.6524000000000001</v>
      </c>
      <c r="Z30" s="100">
        <f>_xll.EQNXTDZ($A$1,$B30,Z$1,$B$1)</f>
        <v>2.8956</v>
      </c>
      <c r="AA30" s="100">
        <f>_xll.EQNXTDZ($A$1,$B30,AA$1,$B$1)</f>
        <v>9.8955000000000002</v>
      </c>
      <c r="AB30" s="100">
        <f>_xll.EQNXTDZ($A$1,$B30,AB$1,$B$1)</f>
        <v>11.0463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-1E-3</v>
      </c>
      <c r="W35" s="100">
        <f>_xll.EQNXTDZ($A$1,$B35,W$1,$B$1)</f>
        <v>3.5000000000000001E-3</v>
      </c>
      <c r="X35" s="100">
        <f>_xll.EQNXTDZ($A$1,$B35,X$1,$B$1)</f>
        <v>1.1052999999999999</v>
      </c>
      <c r="Y35" s="100">
        <f>_xll.EQNXTDZ($A$1,$B35,Y$1,$B$1)</f>
        <v>4.6894999999999998</v>
      </c>
      <c r="Z35" s="100">
        <f>_xll.EQNXTDZ($A$1,$B35,Z$1,$B$1)</f>
        <v>8.4585000000000008</v>
      </c>
      <c r="AA35" s="100">
        <f>_xll.EQNXTDZ($A$1,$B35,AA$1,$B$1)</f>
        <v>28.806799999999999</v>
      </c>
      <c r="AB35" s="100">
        <f>_xll.EQNXTDZ($A$1,$B35,AB$1,$B$1)</f>
        <v>31.329699999999999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0.01</v>
      </c>
      <c r="W41" s="55">
        <f>_xll.EQNXTDZ($A$1,$B41,W$1,$B$1)</f>
        <v>0.01</v>
      </c>
      <c r="X41" s="55">
        <f>_xll.EQNXTDZ($A$1,$B41,X$1,$B$1)</f>
        <v>0.01</v>
      </c>
      <c r="Y41" s="55">
        <f>_xll.EQNXTDZ($A$1,$B41,Y$1,$B$1)</f>
        <v>9.6280000000000001</v>
      </c>
      <c r="Z41" s="55">
        <f>_xll.EQNXTDZ($A$1,$B41,Z$1,$B$1)</f>
        <v>9.6280000000000001</v>
      </c>
      <c r="AA41" s="55">
        <f>_xll.EQNXTDZ($A$1,$B41,AA$1,$B$1)</f>
        <v>10.357799999999999</v>
      </c>
      <c r="AB41" s="55">
        <f>_xll.EQNXTDZ($A$1,$B41,AB$1,$B$1)</f>
        <v>10.4703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2.8E-3</v>
      </c>
      <c r="W43" s="55">
        <f>_xll.EQNXTDZ($A$1,$B43,W$1,$B$1)</f>
        <v>6.1999999999999998E-3</v>
      </c>
      <c r="X43" s="55">
        <f>_xll.EQNXTDZ($A$1,$B43,X$1,$B$1)</f>
        <v>1.1097999999999999</v>
      </c>
      <c r="Y43" s="55">
        <f>_xll.EQNXTDZ($A$1,$B43,Y$1,$B$1)</f>
        <v>10.9549</v>
      </c>
      <c r="Z43" s="55">
        <f>_xll.EQNXTDZ($A$1,$B43,Z$1,$B$1)</f>
        <v>19.4133</v>
      </c>
      <c r="AA43" s="55">
        <f>_xll.EQNXTDZ($A$1,$B43,AA$1,$B$1)</f>
        <v>89.328299999999999</v>
      </c>
      <c r="AB43" s="55">
        <f>_xll.EQNXTDZ($A$1,$B43,AB$1,$B$1)</f>
        <v>131.43360000000001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1.2800000000000001E-2</v>
      </c>
      <c r="W44" s="55">
        <f>_xll.EQNXTDZ($A$1,$B44,W$1,$B$1)</f>
        <v>1.6199999999999999E-2</v>
      </c>
      <c r="X44" s="55">
        <f>_xll.EQNXTDZ($A$1,$B44,X$1,$B$1)</f>
        <v>1.1197999999999999</v>
      </c>
      <c r="Y44" s="55">
        <f>_xll.EQNXTDZ($A$1,$B44,Y$1,$B$1)</f>
        <v>20.582899999999999</v>
      </c>
      <c r="Z44" s="55">
        <f>_xll.EQNXTDZ($A$1,$B44,Z$1,$B$1)</f>
        <v>29.0413</v>
      </c>
      <c r="AA44" s="55">
        <f>_xll.EQNXTDZ($A$1,$B44,AA$1,$B$1)</f>
        <v>99.686099999999996</v>
      </c>
      <c r="AB44" s="55">
        <f>_xll.EQNXTDZ($A$1,$B44,AB$1,$B$1)</f>
        <v>141.90389999999999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3.1399999999999997E-2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-2.4799999999999999E-2</v>
      </c>
      <c r="Y49" s="55">
        <f>_xll.EQNXTDZ($A$1,$B49,Y$1,$B$1)</f>
        <v>-3.2599999999999997E-2</v>
      </c>
      <c r="Z49" s="55">
        <f>_xll.EQNXTDZ($A$1,$B49,Z$1,$B$1)</f>
        <v>-7.5999999999999998E-2</v>
      </c>
      <c r="AA49" s="55">
        <f>_xll.EQNXTDZ($A$1,$B49,AA$1,$B$1)</f>
        <v>-0.12230000000000001</v>
      </c>
      <c r="AB49" s="55">
        <f>_xll.EQNXTDZ($A$1,$B49,AB$1,$B$1)</f>
        <v>-0.2225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0.36749999999999999</v>
      </c>
      <c r="Z50" s="55">
        <f>_xll.EQNXTDZ($A$1,$B50,Z$1,$B$1)</f>
        <v>0.72089999999999999</v>
      </c>
      <c r="AA50" s="55">
        <f>_xll.EQNXTDZ($A$1,$B50,AA$1,$B$1)</f>
        <v>6.4330999999999996</v>
      </c>
      <c r="AB50" s="55">
        <f>_xll.EQNXTDZ($A$1,$B50,AB$1,$B$1)</f>
        <v>14.869400000000001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0.1101</v>
      </c>
      <c r="Y52" s="55">
        <f>_xll.EQNXTDZ($A$1,$B52,Y$1,$B$1)</f>
        <v>0.14499999999999999</v>
      </c>
      <c r="Z52" s="55">
        <f>_xll.EQNXTDZ($A$1,$B52,Z$1,$B$1)</f>
        <v>0.1799</v>
      </c>
      <c r="AA52" s="55">
        <f>_xll.EQNXTDZ($A$1,$B52,AA$1,$B$1)</f>
        <v>0.26190000000000002</v>
      </c>
      <c r="AB52" s="55">
        <f>_xll.EQNXTDZ($A$1,$B52,AB$1,$B$1)</f>
        <v>0.44829999999999998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8.5300000000000001E-2</v>
      </c>
      <c r="Y53" s="55">
        <f>_xll.EQNXTDZ($A$1,$B53,Y$1,$B$1)</f>
        <v>0.51129999999999998</v>
      </c>
      <c r="Z53" s="55">
        <f>_xll.EQNXTDZ($A$1,$B53,Z$1,$B$1)</f>
        <v>0.82479999999999998</v>
      </c>
      <c r="AA53" s="55">
        <f>_xll.EQNXTDZ($A$1,$B53,AA$1,$B$1)</f>
        <v>6.5727000000000002</v>
      </c>
      <c r="AB53" s="55">
        <f>_xll.EQNXTDZ($A$1,$B53,AB$1,$B$1)</f>
        <v>15.0952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7.4000000000000003E-3</v>
      </c>
      <c r="W54" s="55">
        <f>_xll.EQNXTDZ($A$1,$B54,W$1,$B$1)</f>
        <v>6.0000000000000001E-3</v>
      </c>
      <c r="X54" s="55">
        <f>_xll.EQNXTDZ($A$1,$B54,X$1,$B$1)</f>
        <v>1.3012999999999999</v>
      </c>
      <c r="Y54" s="55">
        <f>_xll.EQNXTDZ($A$1,$B54,Y$1,$B$1)</f>
        <v>1.3815999999999999</v>
      </c>
      <c r="Z54" s="55">
        <f>_xll.EQNXTDZ($A$1,$B54,Z$1,$B$1)</f>
        <v>5.2331000000000003</v>
      </c>
      <c r="AA54" s="55">
        <f>_xll.EQNXTDZ($A$1,$B54,AA$1,$B$1)</f>
        <v>8.3312000000000008</v>
      </c>
      <c r="AB54" s="55">
        <f>_xll.EQNXTDZ($A$1,$B54,AB$1,$B$1)</f>
        <v>6.2507000000000001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0.26869999999999999</v>
      </c>
      <c r="Y55" s="55">
        <f>_xll.EQNXTDZ($A$1,$B55,Y$1,$B$1)</f>
        <v>0.4607</v>
      </c>
      <c r="Z55" s="55">
        <f>_xll.EQNXTDZ($A$1,$B55,Z$1,$B$1)</f>
        <v>1.1691</v>
      </c>
      <c r="AA55" s="55">
        <f>_xll.EQNXTDZ($A$1,$B55,AA$1,$B$1)</f>
        <v>1.4084000000000001</v>
      </c>
      <c r="AB55" s="55">
        <f>_xll.EQNXTDZ($A$1,$B55,AB$1,$B$1)</f>
        <v>3.4034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3.5999999999999999E-3</v>
      </c>
      <c r="W56" s="55">
        <f>_xll.EQNXTDZ($A$1,$B56,W$1,$B$1)</f>
        <v>3.5999999999999999E-3</v>
      </c>
      <c r="X56" s="55">
        <f>_xll.EQNXTDZ($A$1,$B56,X$1,$B$1)</f>
        <v>5.3128000000000002</v>
      </c>
      <c r="Y56" s="55">
        <f>_xll.EQNXTDZ($A$1,$B56,Y$1,$B$1)</f>
        <v>0.82350000000000001</v>
      </c>
      <c r="Z56" s="55">
        <f>_xll.EQNXTDZ($A$1,$B56,Z$1,$B$1)</f>
        <v>1.7313000000000001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5.4999999999999997E-3</v>
      </c>
      <c r="W57" s="55">
        <f>_xll.EQNXTDZ($A$1,$B57,W$1,$B$1)</f>
        <v>5.9999999999999995E-4</v>
      </c>
      <c r="X57" s="55">
        <f>_xll.EQNXTDZ($A$1,$B57,X$1,$B$1)</f>
        <v>0.45600000000000002</v>
      </c>
      <c r="Y57" s="55">
        <f>_xll.EQNXTDZ($A$1,$B57,Y$1,$B$1)</f>
        <v>1.7788999999999999</v>
      </c>
      <c r="Z57" s="55">
        <f>_xll.EQNXTDZ($A$1,$B57,Z$1,$B$1)</f>
        <v>2.9740000000000002</v>
      </c>
      <c r="AA57" s="55">
        <f>_xll.EQNXTDZ($A$1,$B57,AA$1,$B$1)</f>
        <v>9.9099000000000004</v>
      </c>
      <c r="AB57" s="55">
        <f>_xll.EQNXTDZ($A$1,$B57,AB$1,$B$1)</f>
        <v>11.1846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1.6500000000000001E-2</v>
      </c>
      <c r="W59" s="55">
        <f>_xll.EQNXTDZ($A$1,$B59,W$1,$B$1)</f>
        <v>1.0200000000000001E-2</v>
      </c>
      <c r="X59" s="55">
        <f>_xll.EQNXTDZ($A$1,$B59,X$1,$B$1)</f>
        <v>7.3388</v>
      </c>
      <c r="Y59" s="55">
        <f>_xll.EQNXTDZ($A$1,$B59,Y$1,$B$1)</f>
        <v>4.4447000000000001</v>
      </c>
      <c r="Z59" s="55">
        <f>_xll.EQNXTDZ($A$1,$B59,Z$1,$B$1)</f>
        <v>11.1075</v>
      </c>
      <c r="AA59" s="55">
        <f>_xll.EQNXTDZ($A$1,$B59,AA$1,$B$1)</f>
        <v>19.6495</v>
      </c>
      <c r="AB59" s="55">
        <f>_xll.EQNXTDZ($A$1,$B59,AB$1,$B$1)</f>
        <v>20.838699999999999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2.93E-2</v>
      </c>
      <c r="W60" s="55">
        <f>_xll.EQNXTDZ($A$1,$B60,W$1,$B$1)</f>
        <v>2.64E-2</v>
      </c>
      <c r="X60" s="55">
        <f>_xll.EQNXTDZ($A$1,$B60,X$1,$B$1)</f>
        <v>8.5439000000000007</v>
      </c>
      <c r="Y60" s="55">
        <f>_xll.EQNXTDZ($A$1,$B60,Y$1,$B$1)</f>
        <v>25.538900000000002</v>
      </c>
      <c r="Z60" s="55">
        <f>_xll.EQNXTDZ($A$1,$B60,Z$1,$B$1)</f>
        <v>40.973599999999998</v>
      </c>
      <c r="AA60" s="55">
        <f>_xll.EQNXTDZ($A$1,$B60,AA$1,$B$1)</f>
        <v>125.9083</v>
      </c>
      <c r="AB60" s="55">
        <f>_xll.EQNXTDZ($A$1,$B60,AB$1,$B$1)</f>
        <v>177.83779999999999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2.3999999999999998E-3</v>
      </c>
      <c r="W62" s="55">
        <f>_xll.EQNXTDZ($A$1,$B62,W$1,$B$1)</f>
        <v>5.9999999999999995E-4</v>
      </c>
      <c r="X62" s="55">
        <f>_xll.EQNXTDZ($A$1,$B62,X$1,$B$1)</f>
        <v>0.37769999999999998</v>
      </c>
      <c r="Y62" s="55">
        <f>_xll.EQNXTDZ($A$1,$B62,Y$1,$B$1)</f>
        <v>1.4276</v>
      </c>
      <c r="Z62" s="55">
        <f>_xll.EQNXTDZ($A$1,$B62,Z$1,$B$1)</f>
        <v>1.8544</v>
      </c>
      <c r="AA62" s="55">
        <f>_xll.EQNXTDZ($A$1,$B62,AA$1,$B$1)</f>
        <v>5.6148999999999996</v>
      </c>
      <c r="AB62" s="55">
        <f>_xll.EQNXTDZ($A$1,$B62,AB$1,$B$1)</f>
        <v>16.622199999999999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2.2000000000000001E-3</v>
      </c>
      <c r="W63" s="55">
        <f>_xll.EQNXTDZ($A$1,$B63,W$1,$B$1)</f>
        <v>5.9999999999999995E-4</v>
      </c>
      <c r="X63" s="55">
        <f>_xll.EQNXTDZ($A$1,$B63,X$1,$B$1)</f>
        <v>2.1100000000000001E-2</v>
      </c>
      <c r="Y63" s="55">
        <f>_xll.EQNXTDZ($A$1,$B63,Y$1,$B$1)</f>
        <v>0.1361</v>
      </c>
      <c r="Z63" s="55">
        <f>_xll.EQNXTDZ($A$1,$B63,Z$1,$B$1)</f>
        <v>0.36159999999999998</v>
      </c>
      <c r="AA63" s="55">
        <f>_xll.EQNXTDZ($A$1,$B63,AA$1,$B$1)</f>
        <v>0.95679999999999998</v>
      </c>
      <c r="AB63" s="55">
        <f>_xll.EQNXTDZ($A$1,$B63,AB$1,$B$1)</f>
        <v>2.5337000000000001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2.0000000000000001E-4</v>
      </c>
      <c r="W65" s="55">
        <f>_xll.EQNXTDZ($A$1,$B65,W$1,$B$1)</f>
        <v>0</v>
      </c>
      <c r="X65" s="55">
        <f>_xll.EQNXTDZ($A$1,$B65,X$1,$B$1)</f>
        <v>0.35659999999999997</v>
      </c>
      <c r="Y65" s="55">
        <f>_xll.EQNXTDZ($A$1,$B65,Y$1,$B$1)</f>
        <v>1.2915000000000001</v>
      </c>
      <c r="Z65" s="55">
        <f>_xll.EQNXTDZ($A$1,$B65,Z$1,$B$1)</f>
        <v>1.4927999999999999</v>
      </c>
      <c r="AA65" s="55">
        <f>_xll.EQNXTDZ($A$1,$B65,AA$1,$B$1)</f>
        <v>4.6581000000000001</v>
      </c>
      <c r="AB65" s="55">
        <f>_xll.EQNXTDZ($A$1,$B65,AB$1,$B$1)</f>
        <v>14.0885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9.3700000000000006E-2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7.2499999999999995E-2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0.1032</v>
      </c>
      <c r="AA71" s="55">
        <f>_xll.EQNXTDZ($A$1,$B71,AA$1,$B$1)</f>
        <v>0.1011</v>
      </c>
      <c r="AB71" s="55">
        <f>_xll.EQNXTDZ($A$1,$B71,AB$1,$B$1)</f>
        <v>0.1008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0.12609999999999999</v>
      </c>
      <c r="Z72" s="55">
        <f>_xll.EQNXTDZ($A$1,$B72,Z$1,$B$1)</f>
        <v>0.12920000000000001</v>
      </c>
      <c r="AA72" s="55">
        <f>_xll.EQNXTDZ($A$1,$B72,AA$1,$B$1)</f>
        <v>0.24479999999999999</v>
      </c>
      <c r="AB72" s="55">
        <f>_xll.EQNXTDZ($A$1,$B72,AB$1,$B$1)</f>
        <v>0.84340000000000004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3.7734999999999999</v>
      </c>
      <c r="AB73" s="55">
        <f>_xll.EQNXTDZ($A$1,$B73,AB$1,$B$1)</f>
        <v>2.1568000000000001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2.0000000000000001E-4</v>
      </c>
      <c r="W74" s="55">
        <f>_xll.EQNXTDZ($A$1,$B74,W$1,$B$1)</f>
        <v>0</v>
      </c>
      <c r="X74" s="55">
        <f>_xll.EQNXTDZ($A$1,$B74,X$1,$B$1)</f>
        <v>0.35659999999999997</v>
      </c>
      <c r="Y74" s="55">
        <f>_xll.EQNXTDZ($A$1,$B74,Y$1,$B$1)</f>
        <v>1.4176</v>
      </c>
      <c r="Z74" s="55">
        <f>_xll.EQNXTDZ($A$1,$B74,Z$1,$B$1)</f>
        <v>1.7252000000000001</v>
      </c>
      <c r="AA74" s="55">
        <f>_xll.EQNXTDZ($A$1,$B74,AA$1,$B$1)</f>
        <v>8.85</v>
      </c>
      <c r="AB74" s="55">
        <f>_xll.EQNXTDZ($A$1,$B74,AB$1,$B$1)</f>
        <v>17.283200000000001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9.6500000000000002E-2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6.82</v>
      </c>
      <c r="Y76" s="55">
        <f>_xll.EQNXTDZ($A$1,$B76,Y$1,$B$1)</f>
        <v>10.45</v>
      </c>
      <c r="Z76" s="55">
        <f>_xll.EQNXTDZ($A$1,$B76,Z$1,$B$1)</f>
        <v>32.106000000000002</v>
      </c>
      <c r="AA76" s="55">
        <f>_xll.EQNXTDZ($A$1,$B76,AA$1,$B$1)</f>
        <v>31.778099999999998</v>
      </c>
      <c r="AB76" s="55">
        <f>_xll.EQNXTDZ($A$1,$B76,AB$1,$B$1)</f>
        <v>48.2425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6.7999999999999996E-3</v>
      </c>
      <c r="W77" s="55">
        <f>_xll.EQNXTDZ($A$1,$B77,W$1,$B$1)</f>
        <v>6.0000000000000001E-3</v>
      </c>
      <c r="X77" s="55">
        <f>_xll.EQNXTDZ($A$1,$B77,X$1,$B$1)</f>
        <v>6.8999999999999999E-3</v>
      </c>
      <c r="Y77" s="55">
        <f>_xll.EQNXTDZ($A$1,$B77,Y$1,$B$1)</f>
        <v>2.76E-2</v>
      </c>
      <c r="Z77" s="55">
        <f>_xll.EQNXTDZ($A$1,$B77,Z$1,$B$1)</f>
        <v>1.8823000000000001</v>
      </c>
      <c r="AA77" s="55">
        <f>_xll.EQNXTDZ($A$1,$B77,AA$1,$B$1)</f>
        <v>13.850899999999999</v>
      </c>
      <c r="AB77" s="55">
        <f>_xll.EQNXTDZ($A$1,$B77,AB$1,$B$1)</f>
        <v>13.6297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2.0799999999999999E-2</v>
      </c>
      <c r="W78" s="55">
        <f>_xll.EQNXTDZ($A$1,$B78,W$1,$B$1)</f>
        <v>1.89E-2</v>
      </c>
      <c r="X78" s="55">
        <f>_xll.EQNXTDZ($A$1,$B78,X$1,$B$1)</f>
        <v>0.62549999999999994</v>
      </c>
      <c r="Y78" s="55">
        <f>_xll.EQNXTDZ($A$1,$B78,Y$1,$B$1)</f>
        <v>11.337300000000001</v>
      </c>
      <c r="Z78" s="55">
        <f>_xll.EQNXTDZ($A$1,$B78,Z$1,$B$1)</f>
        <v>0.70089999999999997</v>
      </c>
      <c r="AA78" s="55">
        <f>_xll.EQNXTDZ($A$1,$B78,AA$1,$B$1)</f>
        <v>54.129600000000003</v>
      </c>
      <c r="AB78" s="55">
        <f>_xll.EQNXTDZ($A$1,$B78,AB$1,$B$1)</f>
        <v>72.751900000000006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0.1084</v>
      </c>
      <c r="Y79" s="55">
        <f>_xll.EQNXTDZ($A$1,$B79,Y$1,$B$1)</f>
        <v>9.11E-2</v>
      </c>
      <c r="Z79" s="55">
        <f>_xll.EQNXTDZ($A$1,$B79,Z$1,$B$1)</f>
        <v>9.7299999999999998E-2</v>
      </c>
      <c r="AA79" s="55">
        <f>_xll.EQNXTDZ($A$1,$B79,AA$1,$B$1)</f>
        <v>0.46260000000000001</v>
      </c>
      <c r="AB79" s="55">
        <f>_xll.EQNXTDZ($A$1,$B79,AB$1,$B$1)</f>
        <v>1.1797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1.5E-3</v>
      </c>
      <c r="W80" s="55">
        <f>_xll.EQNXTDZ($A$1,$B80,W$1,$B$1)</f>
        <v>1.5E-3</v>
      </c>
      <c r="X80" s="55">
        <f>_xll.EQNXTDZ($A$1,$B80,X$1,$B$1)</f>
        <v>0.62649999999999995</v>
      </c>
      <c r="Y80" s="55">
        <f>_xll.EQNXTDZ($A$1,$B80,Y$1,$B$1)</f>
        <v>2.2153</v>
      </c>
      <c r="Z80" s="55">
        <f>_xll.EQNXTDZ($A$1,$B80,Z$1,$B$1)</f>
        <v>4.3654000000000002</v>
      </c>
      <c r="AA80" s="55">
        <f>_xll.EQNXTDZ($A$1,$B80,AA$1,$B$1)</f>
        <v>16.8371</v>
      </c>
      <c r="AB80" s="55">
        <f>_xll.EQNXTDZ($A$1,$B80,AB$1,$B$1)</f>
        <v>24.750800000000002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2.9100000000000001E-2</v>
      </c>
      <c r="W82" s="55">
        <f>_xll.EQNXTDZ($A$1,$B82,W$1,$B$1)</f>
        <v>2.64E-2</v>
      </c>
      <c r="X82" s="55">
        <f>_xll.EQNXTDZ($A$1,$B82,X$1,$B$1)</f>
        <v>8.1873000000000005</v>
      </c>
      <c r="Y82" s="55">
        <f>_xll.EQNXTDZ($A$1,$B82,Y$1,$B$1)</f>
        <v>24.121300000000002</v>
      </c>
      <c r="Z82" s="55">
        <f>_xll.EQNXTDZ($A$1,$B82,Z$1,$B$1)</f>
        <v>39.248399999999997</v>
      </c>
      <c r="AA82" s="55">
        <f>_xll.EQNXTDZ($A$1,$B82,AA$1,$B$1)</f>
        <v>117.0583</v>
      </c>
      <c r="AB82" s="55">
        <f>_xll.EQNXTDZ($A$1,$B82,AB$1,$B$1)</f>
        <v>160.55459999999999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2.93E-2</v>
      </c>
      <c r="W84" s="55">
        <f>_xll.EQNXTDZ($A$1,$B84,W$1,$B$1)</f>
        <v>2.64E-2</v>
      </c>
      <c r="X84" s="55">
        <f>_xll.EQNXTDZ($A$1,$B84,X$1,$B$1)</f>
        <v>8.5439000000000007</v>
      </c>
      <c r="Y84" s="55">
        <f>_xll.EQNXTDZ($A$1,$B84,Y$1,$B$1)</f>
        <v>25.538900000000002</v>
      </c>
      <c r="Z84" s="55">
        <f>_xll.EQNXTDZ($A$1,$B84,Z$1,$B$1)</f>
        <v>40.973599999999998</v>
      </c>
      <c r="AA84" s="55">
        <f>_xll.EQNXTDZ($A$1,$B84,AA$1,$B$1)</f>
        <v>125.9083</v>
      </c>
      <c r="AB84" s="55">
        <f>_xll.EQNXTDZ($A$1,$B84,AB$1,$B$1)</f>
        <v>177.83779999999999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0.01</v>
      </c>
      <c r="W104" s="55">
        <f>_xll.EQNXTDZ($A$1,$B104,W$1,$B$1)</f>
        <v>0.01</v>
      </c>
      <c r="X104" s="55">
        <f>_xll.EQNXTDZ($A$1,$B104,X$1,$B$1)</f>
        <v>0.01</v>
      </c>
      <c r="Y104" s="55">
        <f>_xll.EQNXTDZ($A$1,$B104,Y$1,$B$1)</f>
        <v>9.6280000000000001</v>
      </c>
      <c r="Z104" s="55">
        <f>_xll.EQNXTDZ($A$1,$B104,Z$1,$B$1)</f>
        <v>9.6280000000000001</v>
      </c>
      <c r="AA104" s="55">
        <f>_xll.EQNXTDZ($A$1,$B104,AA$1,$B$1)</f>
        <v>10.357799999999999</v>
      </c>
      <c r="AB104" s="55">
        <f>_xll.EQNXTDZ($A$1,$B104,AB$1,$B$1)</f>
        <v>10.4703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96.3</v>
      </c>
      <c r="Z106" s="55">
        <f>_xll.EQNXTDZ($A$1,$B106,Z$1,$B$1)</f>
        <v>532.6</v>
      </c>
      <c r="AA106" s="55">
        <f>_xll.EQNXTDZ($A$1,$B106,AA$1,$B$1)</f>
        <v>925.45</v>
      </c>
      <c r="AB106" s="55">
        <f>_xll.EQNXTDZ($A$1,$B106,AB$1,$B$1)</f>
        <v>768.6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201.15</v>
      </c>
      <c r="Z107" s="55">
        <f>_xll.EQNXTDZ($A$1,$B107,Z$1,$B$1)</f>
        <v>700.55</v>
      </c>
      <c r="AA107" s="55">
        <f>_xll.EQNXTDZ($A$1,$B107,AA$1,$B$1)</f>
        <v>1516.75</v>
      </c>
      <c r="AB107" s="55">
        <f>_xll.EQNXTDZ($A$1,$B107,AB$1,$B$1)</f>
        <v>1197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57</v>
      </c>
      <c r="Z108" s="55">
        <f>_xll.EQNXTDZ($A$1,$B108,Z$1,$B$1)</f>
        <v>100</v>
      </c>
      <c r="AA108" s="55">
        <f>_xll.EQNXTDZ($A$1,$B108,AA$1,$B$1)</f>
        <v>438.5</v>
      </c>
      <c r="AB108" s="55">
        <f>_xll.EQNXTDZ($A$1,$B108,AB$1,$B$1)</f>
        <v>686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92.717640000000003</v>
      </c>
      <c r="Z109" s="55">
        <f>_xll.EQNXTDZ($A$1,$B109,Z$1,$B$1)</f>
        <v>512.78728000000001</v>
      </c>
      <c r="AA109" s="55">
        <f>_xll.EQNXTDZ($A$1,$B109,AA$1,$B$1)</f>
        <v>958.56260099999997</v>
      </c>
      <c r="AB109" s="55">
        <f>_xll.EQNXTDZ($A$1,$B109,AB$1,$B$1)</f>
        <v>804.74725799999999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73</v>
      </c>
      <c r="Z112" s="56">
        <f>_xll.EQNXTDZ($A$1,$B112,Z$5)</f>
        <v>72.08</v>
      </c>
      <c r="AA112" s="56">
        <f>_xll.EQNXTDZ($A$1,$B112,AA$5)</f>
        <v>70.23</v>
      </c>
      <c r="AB112" s="56">
        <f>_xll.EQNXTDZ($A$1,$B112,AB$5)</f>
        <v>68.28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308320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57</v>
      </c>
      <c r="DZ13" cm="1">
        <f t="array" ref="DZ13">_xll.EQNXTDZ($A$1,$B13,DZ$1)</f>
        <v>92.6</v>
      </c>
      <c r="EA13" cm="1">
        <f t="array" ref="EA13">_xll.EQNXTDZ($A$1,$B13,EA$1)</f>
        <v>191.6</v>
      </c>
      <c r="EB13" cm="1">
        <f t="array" ref="EB13">_xll.EQNXTDZ($A$1,$B13,EB$1)</f>
        <v>108.7</v>
      </c>
      <c r="EC13" cm="1">
        <f t="array" ref="EC13">_xll.EQNXTDZ($A$1,$B13,EC$1)</f>
        <v>100</v>
      </c>
      <c r="ED13" cm="1">
        <f t="array" ref="ED13">_xll.EQNXTDZ($A$1,$B13,ED$1)</f>
        <v>131</v>
      </c>
      <c r="EE13" cm="1">
        <f t="array" ref="EE13">_xll.EQNXTDZ($A$1,$B13,EE$1)</f>
        <v>115</v>
      </c>
      <c r="EF13" cm="1">
        <f t="array" ref="EF13">_xll.EQNXTDZ($A$1,$B13,EF$1)</f>
        <v>164.5</v>
      </c>
      <c r="EG13" cm="1">
        <f t="array" ref="EG13">_xll.EQNXTDZ($A$1,$B13,EG$1)</f>
        <v>190</v>
      </c>
      <c r="EH13" cm="1">
        <f t="array" ref="EH13">_xll.EQNXTDZ($A$1,$B13,EH$1)</f>
        <v>223.9</v>
      </c>
      <c r="EI13" cm="1">
        <f t="array" ref="EI13">_xll.EQNXTDZ($A$1,$B13,EI$1)</f>
        <v>263.8</v>
      </c>
      <c r="EJ13" cm="1">
        <f t="array" ref="EJ13">_xll.EQNXTDZ($A$1,$B13,EJ$1)</f>
        <v>305</v>
      </c>
      <c r="EK13" cm="1">
        <f t="array" ref="EK13">_xll.EQNXTDZ($A$1,$B13,EK$1)</f>
        <v>388.9</v>
      </c>
      <c r="EL13" cm="1">
        <f t="array" ref="EL13">_xll.EQNXTDZ($A$1,$B13,EL$1)</f>
        <v>484</v>
      </c>
      <c r="EM13" cm="1">
        <f t="array" ref="EM13">_xll.EQNXTDZ($A$1,$B13,EM$1)</f>
        <v>695</v>
      </c>
      <c r="EN13" cm="1">
        <f t="array" ref="EN13">_xll.EQNXTDZ($A$1,$B13,EN$1)</f>
        <v>587</v>
      </c>
      <c r="EO13" cm="1">
        <f t="array" ref="EO13">_xll.EQNXTDZ($A$1,$B13,EO$1)</f>
        <v>520</v>
      </c>
      <c r="EP13" cm="1">
        <f t="array" ref="EP13">_xll.EQNXTDZ($A$1,$B13,EP$1)</f>
        <v>527</v>
      </c>
      <c r="EQ13" cm="1">
        <f t="array" ref="EQ13">_xll.EQNXTDZ($A$1,$B13,EQ$1)</f>
        <v>511</v>
      </c>
      <c r="ER13" cm="1">
        <f t="array" ref="ER13">_xll.EQNXTDZ($A$1,$B13,ER$1)</f>
        <v>600</v>
      </c>
      <c r="ES13" cm="1">
        <f t="array" ref="ES13">_xll.EQNXTDZ($A$1,$B13,ES$1)</f>
        <v>841.25</v>
      </c>
      <c r="ET13" cm="1">
        <f t="array" ref="ET13">_xll.EQNXTDZ($A$1,$B13,ET$1)</f>
        <v>880.2</v>
      </c>
      <c r="EU13" cm="1">
        <f t="array" ref="EU13">_xll.EQNXTDZ($A$1,$B13,EU$1)</f>
        <v>864</v>
      </c>
      <c r="EV13" cm="1">
        <f t="array" ref="EV13">_xll.EQNXTDZ($A$1,$B13,EV$1)</f>
        <v>1026</v>
      </c>
      <c r="EW13" cm="1">
        <f t="array" ref="EW13">_xll.EQNXTDZ($A$1,$B13,EW$1)</f>
        <v>1097.8</v>
      </c>
      <c r="EX13" cm="1">
        <f t="array" ref="EX13">_xll.EQNXTDZ($A$1,$B13,EX$1)</f>
        <v>1319.65</v>
      </c>
      <c r="EY13" cm="1">
        <f t="array" ref="EY13">_xll.EQNXTDZ($A$1,$B13,EY$1)</f>
        <v>1225</v>
      </c>
      <c r="EZ13" cm="1">
        <f t="array" ref="EZ13">_xll.EQNXTDZ($A$1,$B13,EZ$1)</f>
        <v>875</v>
      </c>
      <c r="FA13" cm="1">
        <f t="array" ref="FA13">_xll.EQNXTDZ($A$1,$B13,FA$1)</f>
        <v>879.2</v>
      </c>
      <c r="FB13" cm="1">
        <f t="array" ref="FB13">_xll.EQNXTDZ($A$1,$B13,FB$1)</f>
        <v>1005</v>
      </c>
      <c r="FC13" cm="1">
        <f t="array" ref="FC13">_xll.EQNXTDZ($A$1,$B13,FC$1)</f>
        <v>882</v>
      </c>
      <c r="FD13" cm="1">
        <f t="array" ref="FD13">_xll.EQNXTDZ($A$1,$B13,FD$1)</f>
        <v>868</v>
      </c>
      <c r="FE13" cm="1">
        <f t="array" ref="FE13">_xll.EQNXTDZ($A$1,$B13,FE$1)</f>
        <v>851</v>
      </c>
      <c r="FF13" cm="1">
        <f t="array" ref="FF13">_xll.EQNXTDZ($A$1,$B13,FF$1)</f>
        <v>883</v>
      </c>
      <c r="FG13" cm="1">
        <f t="array" ref="FG13">_xll.EQNXTDZ($A$1,$B13,FG$1)</f>
        <v>855</v>
      </c>
      <c r="FH13" cm="1">
        <f t="array" ref="FH13">_xll.EQNXTDZ($A$1,$B13,FH$1)</f>
        <v>1175</v>
      </c>
      <c r="FI13" cm="1">
        <f t="array" ref="FI13">_xll.EQNXTDZ($A$1,$B13,FI$1)</f>
        <v>1101</v>
      </c>
      <c r="FJ13" cm="1">
        <f t="array" ref="FJ13">_xll.EQNXTDZ($A$1,$B13,FJ$1)</f>
        <v>1014</v>
      </c>
      <c r="FK13" cm="1">
        <f t="array" ref="FK13">_xll.EQNXTDZ($A$1,$B13,FK$1)</f>
        <v>1061.0999999999999</v>
      </c>
      <c r="FL13" cm="1">
        <f t="array" ref="FL13">_xll.EQNXTDZ($A$1,$B13,FL$1)</f>
        <v>775</v>
      </c>
      <c r="FM13" cm="1">
        <f t="array" ref="FM13">_xll.EQNXTDZ($A$1,$B13,FM$1)</f>
        <v>805.85</v>
      </c>
      <c r="FN13" cm="1">
        <f t="array" ref="FN13">_xll.EQNXTDZ($A$1,$B13,FN$1)</f>
        <v>978.05</v>
      </c>
      <c r="FO13" cm="1">
        <f t="array" ref="FO13">_xll.EQNXTDZ($A$1,$B13,FO$1)</f>
        <v>821.3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88.2</v>
      </c>
      <c r="DZ14" s="116" cm="1">
        <f t="array" ref="DZ14">_xll.EQNXTDZ($A$1,$B14,DZ$1)</f>
        <v>182.5</v>
      </c>
      <c r="EA14" s="116" cm="1">
        <f t="array" ref="EA14">_xll.EQNXTDZ($A$1,$B14,EA$1)</f>
        <v>201.15</v>
      </c>
      <c r="EB14" s="116" cm="1">
        <f t="array" ref="EB14">_xll.EQNXTDZ($A$1,$B14,EB$1)</f>
        <v>120.8</v>
      </c>
      <c r="EC14" s="116" cm="1">
        <f t="array" ref="EC14">_xll.EQNXTDZ($A$1,$B14,EC$1)</f>
        <v>141.6</v>
      </c>
      <c r="ED14" s="116" cm="1">
        <f t="array" ref="ED14">_xll.EQNXTDZ($A$1,$B14,ED$1)</f>
        <v>143</v>
      </c>
      <c r="EE14" s="116" cm="1">
        <f t="array" ref="EE14">_xll.EQNXTDZ($A$1,$B14,EE$1)</f>
        <v>179.95</v>
      </c>
      <c r="EF14" s="116" cm="1">
        <f t="array" ref="EF14">_xll.EQNXTDZ($A$1,$B14,EF$1)</f>
        <v>191.7</v>
      </c>
      <c r="EG14" s="116" cm="1">
        <f t="array" ref="EG14">_xll.EQNXTDZ($A$1,$B14,EG$1)</f>
        <v>240.8</v>
      </c>
      <c r="EH14" s="116" cm="1">
        <f t="array" ref="EH14">_xll.EQNXTDZ($A$1,$B14,EH$1)</f>
        <v>347.4</v>
      </c>
      <c r="EI14" s="116" cm="1">
        <f t="array" ref="EI14">_xll.EQNXTDZ($A$1,$B14,EI$1)</f>
        <v>340</v>
      </c>
      <c r="EJ14" s="116" cm="1">
        <f t="array" ref="EJ14">_xll.EQNXTDZ($A$1,$B14,EJ$1)</f>
        <v>435</v>
      </c>
      <c r="EK14" s="116" cm="1">
        <f t="array" ref="EK14">_xll.EQNXTDZ($A$1,$B14,EK$1)</f>
        <v>467.15</v>
      </c>
      <c r="EL14" s="116" cm="1">
        <f t="array" ref="EL14">_xll.EQNXTDZ($A$1,$B14,EL$1)</f>
        <v>700.55</v>
      </c>
      <c r="EM14" s="116" cm="1">
        <f t="array" ref="EM14">_xll.EQNXTDZ($A$1,$B14,EM$1)</f>
        <v>695</v>
      </c>
      <c r="EN14" s="116" cm="1">
        <f t="array" ref="EN14">_xll.EQNXTDZ($A$1,$B14,EN$1)</f>
        <v>587</v>
      </c>
      <c r="EO14" s="116" cm="1">
        <f t="array" ref="EO14">_xll.EQNXTDZ($A$1,$B14,EO$1)</f>
        <v>629</v>
      </c>
      <c r="EP14" s="116" cm="1">
        <f t="array" ref="EP14">_xll.EQNXTDZ($A$1,$B14,EP$1)</f>
        <v>540</v>
      </c>
      <c r="EQ14" s="116" cm="1">
        <f t="array" ref="EQ14">_xll.EQNXTDZ($A$1,$B14,EQ$1)</f>
        <v>620</v>
      </c>
      <c r="ER14" s="116" cm="1">
        <f t="array" ref="ER14">_xll.EQNXTDZ($A$1,$B14,ER$1)</f>
        <v>818.5</v>
      </c>
      <c r="ES14" s="116" cm="1">
        <f t="array" ref="ES14">_xll.EQNXTDZ($A$1,$B14,ES$1)</f>
        <v>1064</v>
      </c>
      <c r="ET14" s="116" cm="1">
        <f t="array" ref="ET14">_xll.EQNXTDZ($A$1,$B14,ET$1)</f>
        <v>955.35</v>
      </c>
      <c r="EU14" s="116" cm="1">
        <f t="array" ref="EU14">_xll.EQNXTDZ($A$1,$B14,EU$1)</f>
        <v>1047.4000000000001</v>
      </c>
      <c r="EV14" s="116" cm="1">
        <f t="array" ref="EV14">_xll.EQNXTDZ($A$1,$B14,EV$1)</f>
        <v>1128</v>
      </c>
      <c r="EW14" s="116" cm="1">
        <f t="array" ref="EW14">_xll.EQNXTDZ($A$1,$B14,EW$1)</f>
        <v>1458</v>
      </c>
      <c r="EX14" s="116" cm="1">
        <f t="array" ref="EX14">_xll.EQNXTDZ($A$1,$B14,EX$1)</f>
        <v>1516.75</v>
      </c>
      <c r="EY14" s="116" cm="1">
        <f t="array" ref="EY14">_xll.EQNXTDZ($A$1,$B14,EY$1)</f>
        <v>1456.75</v>
      </c>
      <c r="EZ14" s="116" cm="1">
        <f t="array" ref="EZ14">_xll.EQNXTDZ($A$1,$B14,EZ$1)</f>
        <v>1130</v>
      </c>
      <c r="FA14" s="116" cm="1">
        <f t="array" ref="FA14">_xll.EQNXTDZ($A$1,$B14,FA$1)</f>
        <v>1104.8499999999999</v>
      </c>
      <c r="FB14" s="116" cm="1">
        <f t="array" ref="FB14">_xll.EQNXTDZ($A$1,$B14,FB$1)</f>
        <v>1078.95</v>
      </c>
      <c r="FC14" s="116" cm="1">
        <f t="array" ref="FC14">_xll.EQNXTDZ($A$1,$B14,FC$1)</f>
        <v>954</v>
      </c>
      <c r="FD14" s="116" cm="1">
        <f t="array" ref="FD14">_xll.EQNXTDZ($A$1,$B14,FD$1)</f>
        <v>920</v>
      </c>
      <c r="FE14" s="116" cm="1">
        <f t="array" ref="FE14">_xll.EQNXTDZ($A$1,$B14,FE$1)</f>
        <v>895</v>
      </c>
      <c r="FF14" s="116" cm="1">
        <f t="array" ref="FF14">_xll.EQNXTDZ($A$1,$B14,FF$1)</f>
        <v>895</v>
      </c>
      <c r="FG14" s="116" cm="1">
        <f t="array" ref="FG14">_xll.EQNXTDZ($A$1,$B14,FG$1)</f>
        <v>1197</v>
      </c>
      <c r="FH14" s="116" cm="1">
        <f t="array" ref="FH14">_xll.EQNXTDZ($A$1,$B14,FH$1)</f>
        <v>1175</v>
      </c>
      <c r="FI14" s="116" cm="1">
        <f t="array" ref="FI14">_xll.EQNXTDZ($A$1,$B14,FI$1)</f>
        <v>1123.8499999999999</v>
      </c>
      <c r="FJ14" s="116" cm="1">
        <f t="array" ref="FJ14">_xll.EQNXTDZ($A$1,$B14,FJ$1)</f>
        <v>1075.9000000000001</v>
      </c>
      <c r="FK14" s="116" cm="1">
        <f t="array" ref="FK14">_xll.EQNXTDZ($A$1,$B14,FK$1)</f>
        <v>1092</v>
      </c>
      <c r="FL14" s="116" cm="1">
        <f t="array" ref="FL14">_xll.EQNXTDZ($A$1,$B14,FL$1)</f>
        <v>925</v>
      </c>
      <c r="FM14" s="116" cm="1">
        <f t="array" ref="FM14">_xll.EQNXTDZ($A$1,$B14,FM$1)</f>
        <v>994</v>
      </c>
      <c r="FN14" s="116" cm="1">
        <f t="array" ref="FN14">_xll.EQNXTDZ($A$1,$B14,FN$1)</f>
        <v>1010.5</v>
      </c>
      <c r="FO14" s="116" cm="1">
        <f t="array" ref="FO14">_xll.EQNXTDZ($A$1,$B14,FO$1)</f>
        <v>875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88.2</v>
      </c>
      <c r="JF14" s="116">
        <f>+MAX(DZ14:EB14)</f>
        <v>201.15</v>
      </c>
      <c r="JG14" s="116">
        <f>+MAX(EC14:EE14)</f>
        <v>179.95</v>
      </c>
      <c r="JH14" s="116">
        <f>+MAX(EF14:EH14)</f>
        <v>347.4</v>
      </c>
      <c r="JI14" s="116">
        <f>+MAX(EI14:EK14)</f>
        <v>467.15</v>
      </c>
      <c r="JJ14" s="116">
        <f>+MAX(EL14:EN14)</f>
        <v>700.55</v>
      </c>
      <c r="JK14" s="116">
        <f>MAX(EO14:EQ14)</f>
        <v>629</v>
      </c>
      <c r="JL14" s="116">
        <f>MAX(ER14:ET14)</f>
        <v>1064</v>
      </c>
      <c r="JM14" s="116">
        <f>MAX(EU14:EW14)</f>
        <v>1458</v>
      </c>
      <c r="JN14" s="116">
        <f>MAX(EX14:EZ14)</f>
        <v>1516.75</v>
      </c>
      <c r="JO14" s="116">
        <f>MAX(FA14:FC14)</f>
        <v>1104.8499999999999</v>
      </c>
      <c r="JP14" s="116">
        <f>MAX(FD14:FF14)</f>
        <v>920</v>
      </c>
      <c r="JQ14" s="116">
        <f>MAX(FG14:FI14)</f>
        <v>1197</v>
      </c>
      <c r="JR14" s="116">
        <f>MAX(FJ14:FL14)</f>
        <v>1092</v>
      </c>
      <c r="JS14" s="116">
        <f>MAX(FM14:FO14)</f>
        <v>1010.5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57</v>
      </c>
      <c r="DZ15" s="116" cm="1">
        <f t="array" ref="DZ15">_xll.EQNXTDZ($A$1,$B15,DZ$1)</f>
        <v>92.6</v>
      </c>
      <c r="EA15" s="116" cm="1">
        <f t="array" ref="EA15">_xll.EQNXTDZ($A$1,$B15,EA$1)</f>
        <v>93.75</v>
      </c>
      <c r="EB15" s="116" cm="1">
        <f t="array" ref="EB15">_xll.EQNXTDZ($A$1,$B15,EB$1)</f>
        <v>86.2</v>
      </c>
      <c r="EC15" s="116" cm="1">
        <f t="array" ref="EC15">_xll.EQNXTDZ($A$1,$B15,EC$1)</f>
        <v>100</v>
      </c>
      <c r="ED15" s="116" cm="1">
        <f t="array" ref="ED15">_xll.EQNXTDZ($A$1,$B15,ED$1)</f>
        <v>110</v>
      </c>
      <c r="EE15" s="116" cm="1">
        <f t="array" ref="EE15">_xll.EQNXTDZ($A$1,$B15,EE$1)</f>
        <v>113.55</v>
      </c>
      <c r="EF15" s="116" cm="1">
        <f t="array" ref="EF15">_xll.EQNXTDZ($A$1,$B15,EF$1)</f>
        <v>149</v>
      </c>
      <c r="EG15" s="116" cm="1">
        <f t="array" ref="EG15">_xll.EQNXTDZ($A$1,$B15,EG$1)</f>
        <v>171</v>
      </c>
      <c r="EH15" s="116" cm="1">
        <f t="array" ref="EH15">_xll.EQNXTDZ($A$1,$B15,EH$1)</f>
        <v>216</v>
      </c>
      <c r="EI15" s="116" cm="1">
        <f t="array" ref="EI15">_xll.EQNXTDZ($A$1,$B15,EI$1)</f>
        <v>241.25</v>
      </c>
      <c r="EJ15" s="116" cm="1">
        <f t="array" ref="EJ15">_xll.EQNXTDZ($A$1,$B15,EJ$1)</f>
        <v>305</v>
      </c>
      <c r="EK15" s="116" cm="1">
        <f t="array" ref="EK15">_xll.EQNXTDZ($A$1,$B15,EK$1)</f>
        <v>372.05</v>
      </c>
      <c r="EL15" s="116" cm="1">
        <f t="array" ref="EL15">_xll.EQNXTDZ($A$1,$B15,EL$1)</f>
        <v>460.1</v>
      </c>
      <c r="EM15" s="116" cm="1">
        <f t="array" ref="EM15">_xll.EQNXTDZ($A$1,$B15,EM$1)</f>
        <v>580</v>
      </c>
      <c r="EN15" s="116" cm="1">
        <f t="array" ref="EN15">_xll.EQNXTDZ($A$1,$B15,EN$1)</f>
        <v>453.75</v>
      </c>
      <c r="EO15" s="116" cm="1">
        <f t="array" ref="EO15">_xll.EQNXTDZ($A$1,$B15,EO$1)</f>
        <v>500</v>
      </c>
      <c r="EP15" s="116" cm="1">
        <f t="array" ref="EP15">_xll.EQNXTDZ($A$1,$B15,EP$1)</f>
        <v>478</v>
      </c>
      <c r="EQ15" s="116" cm="1">
        <f t="array" ref="EQ15">_xll.EQNXTDZ($A$1,$B15,EQ$1)</f>
        <v>438.5</v>
      </c>
      <c r="ER15" s="116" cm="1">
        <f t="array" ref="ER15">_xll.EQNXTDZ($A$1,$B15,ER$1)</f>
        <v>584.5</v>
      </c>
      <c r="ES15" s="116" cm="1">
        <f t="array" ref="ES15">_xll.EQNXTDZ($A$1,$B15,ES$1)</f>
        <v>766</v>
      </c>
      <c r="ET15" s="116" cm="1">
        <f t="array" ref="ET15">_xll.EQNXTDZ($A$1,$B15,ET$1)</f>
        <v>780</v>
      </c>
      <c r="EU15" s="116" cm="1">
        <f t="array" ref="EU15">_xll.EQNXTDZ($A$1,$B15,EU$1)</f>
        <v>820.1</v>
      </c>
      <c r="EV15" s="116" cm="1">
        <f t="array" ref="EV15">_xll.EQNXTDZ($A$1,$B15,EV$1)</f>
        <v>945</v>
      </c>
      <c r="EW15" s="116" cm="1">
        <f t="array" ref="EW15">_xll.EQNXTDZ($A$1,$B15,EW$1)</f>
        <v>1070</v>
      </c>
      <c r="EX15" s="116" cm="1">
        <f t="array" ref="EX15">_xll.EQNXTDZ($A$1,$B15,EX$1)</f>
        <v>1224.05</v>
      </c>
      <c r="EY15" s="116" cm="1">
        <f t="array" ref="EY15">_xll.EQNXTDZ($A$1,$B15,EY$1)</f>
        <v>907.25</v>
      </c>
      <c r="EZ15" s="116" cm="1">
        <f t="array" ref="EZ15">_xll.EQNXTDZ($A$1,$B15,EZ$1)</f>
        <v>849</v>
      </c>
      <c r="FA15" s="116" cm="1">
        <f t="array" ref="FA15">_xll.EQNXTDZ($A$1,$B15,FA$1)</f>
        <v>879.2</v>
      </c>
      <c r="FB15" s="116" cm="1">
        <f t="array" ref="FB15">_xll.EQNXTDZ($A$1,$B15,FB$1)</f>
        <v>833</v>
      </c>
      <c r="FC15" s="116" cm="1">
        <f t="array" ref="FC15">_xll.EQNXTDZ($A$1,$B15,FC$1)</f>
        <v>857</v>
      </c>
      <c r="FD15" s="116" cm="1">
        <f t="array" ref="FD15">_xll.EQNXTDZ($A$1,$B15,FD$1)</f>
        <v>798</v>
      </c>
      <c r="FE15" s="116" cm="1">
        <f t="array" ref="FE15">_xll.EQNXTDZ($A$1,$B15,FE$1)</f>
        <v>789.2</v>
      </c>
      <c r="FF15" s="116" cm="1">
        <f t="array" ref="FF15">_xll.EQNXTDZ($A$1,$B15,FF$1)</f>
        <v>795.05</v>
      </c>
      <c r="FG15" s="116" cm="1">
        <f t="array" ref="FG15">_xll.EQNXTDZ($A$1,$B15,FG$1)</f>
        <v>821.8</v>
      </c>
      <c r="FH15" s="116" cm="1">
        <f t="array" ref="FH15">_xll.EQNXTDZ($A$1,$B15,FH$1)</f>
        <v>980</v>
      </c>
      <c r="FI15" s="116" cm="1">
        <f t="array" ref="FI15">_xll.EQNXTDZ($A$1,$B15,FI$1)</f>
        <v>981</v>
      </c>
      <c r="FJ15" s="116" cm="1">
        <f t="array" ref="FJ15">_xll.EQNXTDZ($A$1,$B15,FJ$1)</f>
        <v>966.3</v>
      </c>
      <c r="FK15" s="116" cm="1">
        <f t="array" ref="FK15">_xll.EQNXTDZ($A$1,$B15,FK$1)</f>
        <v>795.2</v>
      </c>
      <c r="FL15" s="116" cm="1">
        <f t="array" ref="FL15">_xll.EQNXTDZ($A$1,$B15,FL$1)</f>
        <v>686</v>
      </c>
      <c r="FM15" s="116" cm="1">
        <f t="array" ref="FM15">_xll.EQNXTDZ($A$1,$B15,FM$1)</f>
        <v>784.05</v>
      </c>
      <c r="FN15" s="116" cm="1">
        <f t="array" ref="FN15">_xll.EQNXTDZ($A$1,$B15,FN$1)</f>
        <v>792.15</v>
      </c>
      <c r="FO15" s="116" cm="1">
        <f t="array" ref="FO15">_xll.EQNXTDZ($A$1,$B15,FO$1)</f>
        <v>786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86.2</v>
      </c>
      <c r="JG15" s="116">
        <f>+MIN(EC15:EE15)</f>
        <v>100</v>
      </c>
      <c r="JH15" s="116">
        <f>+MIN(EF15:EH15)</f>
        <v>149</v>
      </c>
      <c r="JI15" s="116">
        <f>+MIN(EI15:EK15)</f>
        <v>241.25</v>
      </c>
      <c r="JJ15" s="116">
        <f>+MIN(EL15:EN15)</f>
        <v>453.75</v>
      </c>
      <c r="JK15" s="116">
        <f>MIN(EO15:EQ15)</f>
        <v>438.5</v>
      </c>
      <c r="JL15" s="116">
        <f>MIN(ER15:ET15)</f>
        <v>584.5</v>
      </c>
      <c r="JM15" s="116">
        <f>MIN(EU15:EW15)</f>
        <v>820.1</v>
      </c>
      <c r="JN15" s="116">
        <f>MIN(EX15:EZ15)</f>
        <v>849</v>
      </c>
      <c r="JO15" s="116">
        <f>MIN(FA15:FC15)</f>
        <v>833</v>
      </c>
      <c r="JP15" s="116">
        <f>MIN(FD15:FF15)</f>
        <v>789.2</v>
      </c>
      <c r="JQ15" s="116">
        <f>MIN(FG15:FI15)</f>
        <v>821.8</v>
      </c>
      <c r="JR15" s="116">
        <f>MIN(FJ15:FL15)</f>
        <v>686</v>
      </c>
      <c r="JS15" s="116">
        <f>MIN(FM15:FO15)</f>
        <v>784.05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88.2</v>
      </c>
      <c r="DZ16" s="116" cm="1">
        <f t="array" ref="DZ16">_xll.EQNXTDZ($A$1,$B16,DZ$1)</f>
        <v>182.5</v>
      </c>
      <c r="EA16" s="116" cm="1">
        <f t="array" ref="EA16">_xll.EQNXTDZ($A$1,$B16,EA$1)</f>
        <v>103.55</v>
      </c>
      <c r="EB16" s="116" cm="1">
        <f t="array" ref="EB16">_xll.EQNXTDZ($A$1,$B16,EB$1)</f>
        <v>96.3</v>
      </c>
      <c r="EC16" s="116" cm="1">
        <f t="array" ref="EC16">_xll.EQNXTDZ($A$1,$B16,EC$1)</f>
        <v>128.9</v>
      </c>
      <c r="ED16" s="116" cm="1">
        <f t="array" ref="ED16">_xll.EQNXTDZ($A$1,$B16,ED$1)</f>
        <v>114</v>
      </c>
      <c r="EE16" s="116" cm="1">
        <f t="array" ref="EE16">_xll.EQNXTDZ($A$1,$B16,EE$1)</f>
        <v>164</v>
      </c>
      <c r="EF16" s="116" cm="1">
        <f t="array" ref="EF16">_xll.EQNXTDZ($A$1,$B16,EF$1)</f>
        <v>189</v>
      </c>
      <c r="EG16" s="116" cm="1">
        <f t="array" ref="EG16">_xll.EQNXTDZ($A$1,$B16,EG$1)</f>
        <v>223.9</v>
      </c>
      <c r="EH16" s="116" cm="1">
        <f t="array" ref="EH16">_xll.EQNXTDZ($A$1,$B16,EH$1)</f>
        <v>253.95</v>
      </c>
      <c r="EI16" s="116" cm="1">
        <f t="array" ref="EI16">_xll.EQNXTDZ($A$1,$B16,EI$1)</f>
        <v>314</v>
      </c>
      <c r="EJ16" s="116" cm="1">
        <f t="array" ref="EJ16">_xll.EQNXTDZ($A$1,$B16,EJ$1)</f>
        <v>377.65</v>
      </c>
      <c r="EK16" s="116" cm="1">
        <f t="array" ref="EK16">_xll.EQNXTDZ($A$1,$B16,EK$1)</f>
        <v>467.15</v>
      </c>
      <c r="EL16" s="116" cm="1">
        <f t="array" ref="EL16">_xll.EQNXTDZ($A$1,$B16,EL$1)</f>
        <v>695</v>
      </c>
      <c r="EM16" s="116" cm="1">
        <f t="array" ref="EM16">_xll.EQNXTDZ($A$1,$B16,EM$1)</f>
        <v>587</v>
      </c>
      <c r="EN16" s="116" cm="1">
        <f t="array" ref="EN16">_xll.EQNXTDZ($A$1,$B16,EN$1)</f>
        <v>532.6</v>
      </c>
      <c r="EO16" s="116" cm="1">
        <f t="array" ref="EO16">_xll.EQNXTDZ($A$1,$B16,EO$1)</f>
        <v>525.5</v>
      </c>
      <c r="EP16" s="116" cm="1">
        <f t="array" ref="EP16">_xll.EQNXTDZ($A$1,$B16,EP$1)</f>
        <v>487.55</v>
      </c>
      <c r="EQ16" s="116" cm="1">
        <f t="array" ref="EQ16">_xll.EQNXTDZ($A$1,$B16,EQ$1)</f>
        <v>577.9</v>
      </c>
      <c r="ER16" s="116" cm="1">
        <f t="array" ref="ER16">_xll.EQNXTDZ($A$1,$B16,ER$1)</f>
        <v>801.2</v>
      </c>
      <c r="ES16" s="116" cm="1">
        <f t="array" ref="ES16">_xll.EQNXTDZ($A$1,$B16,ES$1)</f>
        <v>889.5</v>
      </c>
      <c r="ET16" s="116" cm="1">
        <f t="array" ref="ET16">_xll.EQNXTDZ($A$1,$B16,ET$1)</f>
        <v>831.3</v>
      </c>
      <c r="EU16" s="116" cm="1">
        <f t="array" ref="EU16">_xll.EQNXTDZ($A$1,$B16,EU$1)</f>
        <v>1006.45</v>
      </c>
      <c r="EV16" s="116" cm="1">
        <f t="array" ref="EV16">_xll.EQNXTDZ($A$1,$B16,EV$1)</f>
        <v>1104.95</v>
      </c>
      <c r="EW16" s="116" cm="1">
        <f t="array" ref="EW16">_xll.EQNXTDZ($A$1,$B16,EW$1)</f>
        <v>1319.65</v>
      </c>
      <c r="EX16" s="116" cm="1">
        <f t="array" ref="EX16">_xll.EQNXTDZ($A$1,$B16,EX$1)</f>
        <v>1225.7</v>
      </c>
      <c r="EY16" s="116" cm="1">
        <f t="array" ref="EY16">_xll.EQNXTDZ($A$1,$B16,EY$1)</f>
        <v>907.25</v>
      </c>
      <c r="EZ16" s="116" cm="1">
        <f t="array" ref="EZ16">_xll.EQNXTDZ($A$1,$B16,EZ$1)</f>
        <v>925.45</v>
      </c>
      <c r="FA16" s="116" cm="1">
        <f t="array" ref="FA16">_xll.EQNXTDZ($A$1,$B16,FA$1)</f>
        <v>1008.75</v>
      </c>
      <c r="FB16" s="116" cm="1">
        <f t="array" ref="FB16">_xll.EQNXTDZ($A$1,$B16,FB$1)</f>
        <v>893.1</v>
      </c>
      <c r="FC16" s="116" cm="1">
        <f t="array" ref="FC16">_xll.EQNXTDZ($A$1,$B16,FC$1)</f>
        <v>865.6</v>
      </c>
      <c r="FD16" s="116" cm="1">
        <f t="array" ref="FD16">_xll.EQNXTDZ($A$1,$B16,FD$1)</f>
        <v>856.3</v>
      </c>
      <c r="FE16" s="116" cm="1">
        <f t="array" ref="FE16">_xll.EQNXTDZ($A$1,$B16,FE$1)</f>
        <v>876.6</v>
      </c>
      <c r="FF16" s="116" cm="1">
        <f t="array" ref="FF16">_xll.EQNXTDZ($A$1,$B16,FF$1)</f>
        <v>856.1</v>
      </c>
      <c r="FG16" s="116" cm="1">
        <f t="array" ref="FG16">_xll.EQNXTDZ($A$1,$B16,FG$1)</f>
        <v>1175.3</v>
      </c>
      <c r="FH16" s="116" cm="1">
        <f t="array" ref="FH16">_xll.EQNXTDZ($A$1,$B16,FH$1)</f>
        <v>1116.3</v>
      </c>
      <c r="FI16" s="116" cm="1">
        <f t="array" ref="FI16">_xll.EQNXTDZ($A$1,$B16,FI$1)</f>
        <v>1014</v>
      </c>
      <c r="FJ16" s="116" cm="1">
        <f t="array" ref="FJ16">_xll.EQNXTDZ($A$1,$B16,FJ$1)</f>
        <v>1061.0999999999999</v>
      </c>
      <c r="FK16" s="116" cm="1">
        <f t="array" ref="FK16">_xll.EQNXTDZ($A$1,$B16,FK$1)</f>
        <v>812.55</v>
      </c>
      <c r="FL16" s="116" cm="1">
        <f t="array" ref="FL16">_xll.EQNXTDZ($A$1,$B16,FL$1)</f>
        <v>768.6</v>
      </c>
      <c r="FM16" s="116" cm="1">
        <f t="array" ref="FM16">_xll.EQNXTDZ($A$1,$B16,FM$1)</f>
        <v>976.1</v>
      </c>
      <c r="FN16" s="116" cm="1">
        <f t="array" ref="FN16">_xll.EQNXTDZ($A$1,$B16,FN$1)</f>
        <v>817.15</v>
      </c>
      <c r="FO16" s="116" cm="1">
        <f t="array" ref="FO16">_xll.EQNXTDZ($A$1,$B16,FO$1)</f>
        <v>842.05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88.2</v>
      </c>
      <c r="JF16" s="116">
        <f>+EB16</f>
        <v>96.3</v>
      </c>
      <c r="JG16" s="116">
        <f>+EE16</f>
        <v>164</v>
      </c>
      <c r="JH16" s="116">
        <f>+EH16</f>
        <v>253.95</v>
      </c>
      <c r="JI16" s="116">
        <f>+EK16</f>
        <v>467.15</v>
      </c>
      <c r="JJ16" s="116">
        <f>+EN16</f>
        <v>532.6</v>
      </c>
      <c r="JK16" s="116">
        <f>EQ16</f>
        <v>577.9</v>
      </c>
      <c r="JL16" s="116">
        <f>ET16</f>
        <v>831.3</v>
      </c>
      <c r="JM16" s="116">
        <f>EW16</f>
        <v>1319.65</v>
      </c>
      <c r="JN16" s="116">
        <f>EZ16</f>
        <v>925.45</v>
      </c>
      <c r="JO16" s="116">
        <f>FC16</f>
        <v>865.6</v>
      </c>
      <c r="JP16" s="116">
        <f>FF16</f>
        <v>856.1</v>
      </c>
      <c r="JQ16" s="116">
        <f>FI16</f>
        <v>1014</v>
      </c>
      <c r="JR16" s="116">
        <f>FL16</f>
        <v>768.6</v>
      </c>
      <c r="JS16" s="116">
        <f>FO16</f>
        <v>842.05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88.2</v>
      </c>
      <c r="JF19" s="116">
        <f t="shared" si="1"/>
        <v>201.15</v>
      </c>
      <c r="JG19" s="116">
        <f t="shared" si="1"/>
        <v>179.95</v>
      </c>
      <c r="JH19" s="116">
        <f t="shared" si="1"/>
        <v>347.4</v>
      </c>
      <c r="JI19" s="116">
        <f t="shared" si="1"/>
        <v>467.15</v>
      </c>
      <c r="JJ19" s="116">
        <f t="shared" ref="JJ19:JJ21" si="2">+IF(JJ14=0,JJ7,JJ14)</f>
        <v>700.55</v>
      </c>
      <c r="JK19" s="116">
        <f t="shared" ref="JK19" si="3">+IF(JK14=0,JK7,JK14)</f>
        <v>629</v>
      </c>
      <c r="JL19" s="116">
        <f t="shared" ref="JL19:JM19" si="4">+IF(JL14=0,JL7,JL14)</f>
        <v>1064</v>
      </c>
      <c r="JM19" s="116">
        <f t="shared" si="4"/>
        <v>1458</v>
      </c>
      <c r="JN19" s="116">
        <f t="shared" ref="JN19:JO19" si="5">+IF(JN14=0,JN7,JN14)</f>
        <v>1516.75</v>
      </c>
      <c r="JO19" s="116">
        <f t="shared" si="5"/>
        <v>1104.8499999999999</v>
      </c>
      <c r="JP19" s="116">
        <f t="shared" ref="JP19" si="6">+IF(JP14=0,JP7,JP14)</f>
        <v>920</v>
      </c>
      <c r="JQ19" s="116">
        <f t="shared" ref="JQ19:KH19" si="7">+IF(JQ14=0,JQ7,JQ14)</f>
        <v>1197</v>
      </c>
      <c r="JR19" s="116">
        <f t="shared" si="7"/>
        <v>1092</v>
      </c>
      <c r="JS19" s="116">
        <f t="shared" si="7"/>
        <v>1010.5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86.2</v>
      </c>
      <c r="JG20" s="116">
        <f t="shared" si="1"/>
        <v>100</v>
      </c>
      <c r="JH20" s="116">
        <f t="shared" si="1"/>
        <v>149</v>
      </c>
      <c r="JI20" s="116">
        <f t="shared" si="1"/>
        <v>241.25</v>
      </c>
      <c r="JJ20" s="116">
        <f t="shared" si="2"/>
        <v>453.75</v>
      </c>
      <c r="JK20" s="116">
        <f t="shared" ref="JK20" si="9">+IF(JK15=0,JK8,JK15)</f>
        <v>438.5</v>
      </c>
      <c r="JL20" s="116">
        <f t="shared" ref="JL20:JM20" si="10">+IF(JL15=0,JL8,JL15)</f>
        <v>584.5</v>
      </c>
      <c r="JM20" s="116">
        <f t="shared" si="10"/>
        <v>820.1</v>
      </c>
      <c r="JN20" s="116">
        <f t="shared" ref="JN20:JO20" si="11">+IF(JN15=0,JN8,JN15)</f>
        <v>849</v>
      </c>
      <c r="JO20" s="116">
        <f t="shared" si="11"/>
        <v>833</v>
      </c>
      <c r="JP20" s="116">
        <f t="shared" ref="JP20" si="12">+IF(JP15=0,JP8,JP15)</f>
        <v>789.2</v>
      </c>
      <c r="JQ20" s="116">
        <f t="shared" ref="JQ20:KH20" si="13">+IF(JQ15=0,JQ8,JQ15)</f>
        <v>821.8</v>
      </c>
      <c r="JR20" s="116">
        <f t="shared" si="13"/>
        <v>686</v>
      </c>
      <c r="JS20" s="116">
        <f t="shared" si="13"/>
        <v>784.05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88.2</v>
      </c>
      <c r="JF21" s="116">
        <f t="shared" si="1"/>
        <v>96.3</v>
      </c>
      <c r="JG21" s="116">
        <f t="shared" si="1"/>
        <v>164</v>
      </c>
      <c r="JH21" s="116">
        <f t="shared" si="1"/>
        <v>253.95</v>
      </c>
      <c r="JI21" s="116">
        <f t="shared" si="1"/>
        <v>467.15</v>
      </c>
      <c r="JJ21" s="116">
        <f t="shared" si="2"/>
        <v>532.6</v>
      </c>
      <c r="JK21" s="116">
        <f t="shared" ref="JK21" si="14">+IF(JK16=0,JK9,JK16)</f>
        <v>577.9</v>
      </c>
      <c r="JL21" s="116">
        <f t="shared" ref="JL21:JM21" si="15">+IF(JL16=0,JL9,JL16)</f>
        <v>831.3</v>
      </c>
      <c r="JM21" s="116">
        <f t="shared" si="15"/>
        <v>1319.65</v>
      </c>
      <c r="JN21" s="116">
        <f t="shared" ref="JN21:JO21" si="16">+IF(JN16=0,JN9,JN16)</f>
        <v>925.45</v>
      </c>
      <c r="JO21" s="116">
        <f t="shared" si="16"/>
        <v>865.6</v>
      </c>
      <c r="JP21" s="116">
        <f t="shared" ref="JP21" si="17">+IF(JP16=0,JP9,JP16)</f>
        <v>856.1</v>
      </c>
      <c r="JQ21" s="116">
        <f t="shared" ref="JQ21:KH21" si="18">+IF(JQ16=0,JQ9,JQ16)</f>
        <v>1014</v>
      </c>
      <c r="JR21" s="116">
        <f t="shared" si="18"/>
        <v>768.6</v>
      </c>
      <c r="JS21" s="116">
        <f t="shared" si="18"/>
        <v>842.05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308320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9628003</v>
      </c>
      <c r="AT6" cm="1">
        <f t="array" ref="AT6">_xll.EQNXTDZ($A$1,$B6,AT$1)</f>
        <v>9628003</v>
      </c>
      <c r="AU6" cm="1">
        <f t="array" ref="AU6">_xll.EQNXTDZ($A$1,$B6,AU$1)</f>
        <v>9628003</v>
      </c>
      <c r="AV6" cm="1">
        <f t="array" ref="AV6">_xll.EQNXTDZ($A$1,$B6,AV$1)</f>
        <v>9628003</v>
      </c>
      <c r="AW6" cm="1">
        <f t="array" ref="AW6">_xll.EQNXTDZ($A$1,$B6,AW$1)</f>
        <v>9628003</v>
      </c>
      <c r="AX6" cm="1">
        <f t="array" ref="AX6">_xll.EQNXTDZ($A$1,$B6,AX$1)</f>
        <v>9628003</v>
      </c>
      <c r="AY6" cm="1">
        <f t="array" ref="AY6">_xll.EQNXTDZ($A$1,$B6,AY$1)</f>
        <v>9628003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0.96280030000000005</v>
      </c>
      <c r="AT7" s="100">
        <f t="shared" ref="AT7:AX7" si="2">+AT6/10^7</f>
        <v>0.96280030000000005</v>
      </c>
      <c r="AU7" s="100">
        <f t="shared" si="2"/>
        <v>0.96280030000000005</v>
      </c>
      <c r="AV7" s="100">
        <f t="shared" si="2"/>
        <v>0.96280030000000005</v>
      </c>
      <c r="AW7" s="100">
        <f t="shared" si="2"/>
        <v>0.96280030000000005</v>
      </c>
      <c r="AX7" s="100">
        <f t="shared" si="2"/>
        <v>0.96280030000000005</v>
      </c>
      <c r="AY7" s="100">
        <f t="shared" ref="AY7" si="3">+AY6/10^7</f>
        <v>0.96280030000000005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308320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44915</v>
      </c>
      <c r="B4" s="116">
        <v>59.85</v>
      </c>
      <c r="C4" s="116">
        <v>59.85</v>
      </c>
      <c r="D4" s="116">
        <v>57</v>
      </c>
      <c r="E4" s="116">
        <v>57</v>
      </c>
      <c r="F4" s="116">
        <v>59.85</v>
      </c>
      <c r="G4">
        <v>860000</v>
      </c>
      <c r="H4" s="116"/>
      <c r="I4" s="116"/>
      <c r="L4" s="170"/>
    </row>
    <row r="5" spans="1:18" x14ac:dyDescent="0.25">
      <c r="A5" s="170">
        <v>44916</v>
      </c>
      <c r="B5" s="116">
        <v>62.8</v>
      </c>
      <c r="C5" s="116">
        <v>62.8</v>
      </c>
      <c r="D5" s="116">
        <v>62.8</v>
      </c>
      <c r="E5" s="116">
        <v>62.8</v>
      </c>
      <c r="F5" s="116">
        <v>62.8</v>
      </c>
      <c r="G5">
        <v>160000</v>
      </c>
      <c r="H5" s="116"/>
      <c r="I5" s="116"/>
      <c r="L5" s="170"/>
    </row>
    <row r="6" spans="1:18" x14ac:dyDescent="0.25">
      <c r="A6" s="170">
        <v>44917</v>
      </c>
      <c r="B6" s="116">
        <v>65.900000000000006</v>
      </c>
      <c r="C6" s="116">
        <v>65.900000000000006</v>
      </c>
      <c r="D6" s="116">
        <v>65.900000000000006</v>
      </c>
      <c r="E6" s="116">
        <v>65.900000000000006</v>
      </c>
      <c r="F6" s="116">
        <v>65.900000000000006</v>
      </c>
      <c r="G6">
        <v>1092000</v>
      </c>
      <c r="H6" s="116"/>
      <c r="I6" s="116"/>
      <c r="L6" s="170"/>
    </row>
    <row r="7" spans="1:18" x14ac:dyDescent="0.25">
      <c r="A7" s="170">
        <v>44918</v>
      </c>
      <c r="B7" s="116">
        <v>69.150000000000006</v>
      </c>
      <c r="C7" s="116">
        <v>69.150000000000006</v>
      </c>
      <c r="D7" s="116">
        <v>69.150000000000006</v>
      </c>
      <c r="E7" s="116">
        <v>69.150000000000006</v>
      </c>
      <c r="F7" s="116">
        <v>69.150000000000006</v>
      </c>
      <c r="G7">
        <v>360000</v>
      </c>
      <c r="H7" s="116"/>
      <c r="I7" s="116"/>
      <c r="L7" s="170"/>
    </row>
    <row r="8" spans="1:18" x14ac:dyDescent="0.25">
      <c r="A8" s="170">
        <v>44921</v>
      </c>
      <c r="B8" s="116">
        <v>72.599999999999994</v>
      </c>
      <c r="C8" s="116">
        <v>72.599999999999994</v>
      </c>
      <c r="D8" s="116">
        <v>72.599999999999994</v>
      </c>
      <c r="E8" s="116">
        <v>72.599999999999994</v>
      </c>
      <c r="F8" s="116">
        <v>72.599999999999994</v>
      </c>
      <c r="G8">
        <v>8000</v>
      </c>
      <c r="H8" s="116"/>
      <c r="I8" s="116"/>
      <c r="L8" s="170"/>
    </row>
    <row r="9" spans="1:18" x14ac:dyDescent="0.25">
      <c r="A9" s="170">
        <v>44922</v>
      </c>
      <c r="B9" s="116">
        <v>76.2</v>
      </c>
      <c r="C9" s="116">
        <v>76.2</v>
      </c>
      <c r="D9" s="116">
        <v>76.2</v>
      </c>
      <c r="E9" s="116">
        <v>76.2</v>
      </c>
      <c r="F9" s="116">
        <v>76.2</v>
      </c>
      <c r="G9">
        <v>20000</v>
      </c>
      <c r="H9" s="116"/>
      <c r="I9" s="116"/>
      <c r="L9" s="170"/>
    </row>
    <row r="10" spans="1:18" x14ac:dyDescent="0.25">
      <c r="A10" s="170">
        <v>44923</v>
      </c>
      <c r="B10" s="116">
        <v>80</v>
      </c>
      <c r="C10" s="116">
        <v>80</v>
      </c>
      <c r="D10" s="116">
        <v>80</v>
      </c>
      <c r="E10" s="116">
        <v>80</v>
      </c>
      <c r="F10" s="116">
        <v>80</v>
      </c>
      <c r="G10">
        <v>44000</v>
      </c>
      <c r="H10" s="116"/>
      <c r="I10" s="116"/>
      <c r="L10" s="170"/>
    </row>
    <row r="11" spans="1:18" x14ac:dyDescent="0.25">
      <c r="A11" s="170">
        <v>44924</v>
      </c>
      <c r="B11" s="116">
        <v>84</v>
      </c>
      <c r="C11" s="116">
        <v>84</v>
      </c>
      <c r="D11" s="116">
        <v>84</v>
      </c>
      <c r="E11" s="116">
        <v>84</v>
      </c>
      <c r="F11" s="116">
        <v>84</v>
      </c>
      <c r="G11">
        <v>16000</v>
      </c>
      <c r="H11" s="116"/>
      <c r="I11" s="116"/>
      <c r="L11" s="170"/>
    </row>
    <row r="12" spans="1:18" x14ac:dyDescent="0.25">
      <c r="A12" s="170">
        <v>44925</v>
      </c>
      <c r="B12" s="116">
        <v>88.2</v>
      </c>
      <c r="C12" s="116">
        <v>88.2</v>
      </c>
      <c r="D12" s="116">
        <v>88.2</v>
      </c>
      <c r="E12" s="116">
        <v>88.2</v>
      </c>
      <c r="F12" s="116">
        <v>88.2</v>
      </c>
      <c r="G12">
        <v>288000</v>
      </c>
      <c r="H12" s="116"/>
      <c r="I12" s="116"/>
      <c r="L12" s="170"/>
    </row>
    <row r="13" spans="1:18" x14ac:dyDescent="0.25">
      <c r="A13" s="170">
        <v>44928</v>
      </c>
      <c r="B13" s="116">
        <v>92.6</v>
      </c>
      <c r="C13" s="116">
        <v>92.6</v>
      </c>
      <c r="D13" s="116">
        <v>92.6</v>
      </c>
      <c r="E13" s="116">
        <v>92.6</v>
      </c>
      <c r="F13" s="116">
        <v>92.6</v>
      </c>
      <c r="G13">
        <v>292000</v>
      </c>
      <c r="H13" s="116"/>
      <c r="I13" s="116"/>
      <c r="L13" s="170"/>
    </row>
    <row r="14" spans="1:18" x14ac:dyDescent="0.25">
      <c r="A14" s="170">
        <v>44929</v>
      </c>
      <c r="B14" s="116">
        <v>101.85</v>
      </c>
      <c r="C14" s="116">
        <v>101.85</v>
      </c>
      <c r="D14" s="116">
        <v>101.85</v>
      </c>
      <c r="E14" s="116">
        <v>101.85</v>
      </c>
      <c r="F14" s="116">
        <v>101.85</v>
      </c>
      <c r="G14">
        <v>8000</v>
      </c>
      <c r="H14" s="116"/>
      <c r="I14" s="116"/>
      <c r="L14" s="170"/>
    </row>
    <row r="15" spans="1:18" x14ac:dyDescent="0.25">
      <c r="A15" s="170">
        <v>44930</v>
      </c>
      <c r="B15" s="116">
        <v>112</v>
      </c>
      <c r="C15" s="116">
        <v>112</v>
      </c>
      <c r="D15" s="116">
        <v>103.05</v>
      </c>
      <c r="E15" s="116">
        <v>108.7</v>
      </c>
      <c r="F15" s="116">
        <v>112</v>
      </c>
      <c r="G15">
        <v>712000</v>
      </c>
      <c r="H15" s="116"/>
      <c r="I15" s="116"/>
      <c r="L15" s="170"/>
    </row>
    <row r="16" spans="1:18" x14ac:dyDescent="0.25">
      <c r="A16" s="170">
        <v>44931</v>
      </c>
      <c r="B16" s="116">
        <v>123.2</v>
      </c>
      <c r="C16" s="116">
        <v>123.2</v>
      </c>
      <c r="D16" s="116">
        <v>118</v>
      </c>
      <c r="E16" s="116">
        <v>120.5</v>
      </c>
      <c r="F16" s="116">
        <v>123.2</v>
      </c>
      <c r="G16">
        <v>80000</v>
      </c>
      <c r="H16" s="116"/>
      <c r="I16" s="116"/>
      <c r="L16" s="170"/>
    </row>
    <row r="17" spans="1:12" x14ac:dyDescent="0.25">
      <c r="A17" s="170">
        <v>44932</v>
      </c>
      <c r="B17" s="116">
        <v>129.35</v>
      </c>
      <c r="C17" s="116">
        <v>129.35</v>
      </c>
      <c r="D17" s="116">
        <v>129.35</v>
      </c>
      <c r="E17" s="116">
        <v>129.35</v>
      </c>
      <c r="F17" s="116">
        <v>129.35</v>
      </c>
      <c r="G17">
        <v>12000</v>
      </c>
      <c r="H17" s="116"/>
      <c r="I17" s="116"/>
      <c r="L17" s="170"/>
    </row>
    <row r="18" spans="1:12" x14ac:dyDescent="0.25">
      <c r="A18" s="170">
        <v>44935</v>
      </c>
      <c r="B18" s="116">
        <v>135.80000000000001</v>
      </c>
      <c r="C18" s="116">
        <v>135.80000000000001</v>
      </c>
      <c r="D18" s="116">
        <v>135.80000000000001</v>
      </c>
      <c r="E18" s="116">
        <v>135.80000000000001</v>
      </c>
      <c r="F18" s="116">
        <v>135.80000000000001</v>
      </c>
      <c r="G18">
        <v>4000</v>
      </c>
      <c r="H18" s="116"/>
      <c r="I18" s="116"/>
      <c r="L18" s="170"/>
    </row>
    <row r="19" spans="1:12" x14ac:dyDescent="0.25">
      <c r="A19" s="170">
        <v>44936</v>
      </c>
      <c r="B19" s="116">
        <v>142.55000000000001</v>
      </c>
      <c r="C19" s="116">
        <v>142.55000000000001</v>
      </c>
      <c r="D19" s="116">
        <v>142.55000000000001</v>
      </c>
      <c r="E19" s="116">
        <v>142.55000000000001</v>
      </c>
      <c r="F19" s="116">
        <v>142.55000000000001</v>
      </c>
      <c r="G19">
        <v>8000</v>
      </c>
      <c r="H19" s="116"/>
      <c r="I19" s="116"/>
      <c r="L19" s="170"/>
    </row>
    <row r="20" spans="1:12" x14ac:dyDescent="0.25">
      <c r="A20" s="170">
        <v>44937</v>
      </c>
      <c r="B20" s="116">
        <v>149.65</v>
      </c>
      <c r="C20" s="116">
        <v>149.65</v>
      </c>
      <c r="D20" s="116">
        <v>149.65</v>
      </c>
      <c r="E20" s="116">
        <v>149.65</v>
      </c>
      <c r="F20" s="116">
        <v>149.65</v>
      </c>
      <c r="G20">
        <v>8000</v>
      </c>
      <c r="H20" s="116"/>
      <c r="I20" s="116"/>
      <c r="L20" s="170"/>
    </row>
    <row r="21" spans="1:12" x14ac:dyDescent="0.25">
      <c r="A21" s="170">
        <v>44938</v>
      </c>
      <c r="B21" s="116">
        <v>157.1</v>
      </c>
      <c r="C21" s="116">
        <v>157.1</v>
      </c>
      <c r="D21" s="116">
        <v>142.25</v>
      </c>
      <c r="E21" s="116">
        <v>157.1</v>
      </c>
      <c r="F21" s="116">
        <v>157.1</v>
      </c>
      <c r="G21">
        <v>528000</v>
      </c>
      <c r="H21" s="116"/>
      <c r="I21" s="116"/>
      <c r="L21" s="170"/>
    </row>
    <row r="22" spans="1:12" x14ac:dyDescent="0.25">
      <c r="A22" s="170">
        <v>44939</v>
      </c>
      <c r="B22" s="116">
        <v>164.95</v>
      </c>
      <c r="C22" s="116">
        <v>164.95</v>
      </c>
      <c r="D22" s="116">
        <v>163.95</v>
      </c>
      <c r="E22" s="116">
        <v>164.95</v>
      </c>
      <c r="F22" s="116">
        <v>164.95</v>
      </c>
      <c r="G22">
        <v>48000</v>
      </c>
      <c r="H22" s="116"/>
      <c r="I22" s="116"/>
      <c r="L22" s="170"/>
    </row>
    <row r="23" spans="1:12" x14ac:dyDescent="0.25">
      <c r="A23" s="170">
        <v>44942</v>
      </c>
      <c r="B23" s="116">
        <v>173.15</v>
      </c>
      <c r="C23" s="116">
        <v>173.15</v>
      </c>
      <c r="D23" s="116">
        <v>173.15</v>
      </c>
      <c r="E23" s="116">
        <v>173.15</v>
      </c>
      <c r="F23" s="116">
        <v>173.15</v>
      </c>
      <c r="G23">
        <v>28000</v>
      </c>
      <c r="H23" s="116"/>
      <c r="I23" s="116"/>
      <c r="L23" s="170"/>
    </row>
    <row r="24" spans="1:12" x14ac:dyDescent="0.25">
      <c r="A24" s="170">
        <v>44943</v>
      </c>
      <c r="B24" s="116">
        <v>181.8</v>
      </c>
      <c r="C24" s="116">
        <v>164.5</v>
      </c>
      <c r="D24" s="116">
        <v>164.5</v>
      </c>
      <c r="E24" s="116">
        <v>181.8</v>
      </c>
      <c r="F24" s="116">
        <v>164.5</v>
      </c>
      <c r="G24">
        <v>340000</v>
      </c>
      <c r="H24" s="116"/>
      <c r="I24" s="116"/>
      <c r="L24" s="170"/>
    </row>
    <row r="25" spans="1:12" x14ac:dyDescent="0.25">
      <c r="A25" s="170">
        <v>44944</v>
      </c>
      <c r="B25" s="116">
        <v>172.7</v>
      </c>
      <c r="C25" s="116">
        <v>156.30000000000001</v>
      </c>
      <c r="D25" s="116">
        <v>156.30000000000001</v>
      </c>
      <c r="E25" s="116">
        <v>156.30000000000001</v>
      </c>
      <c r="F25" s="116">
        <v>156.30000000000001</v>
      </c>
      <c r="G25">
        <v>292000</v>
      </c>
      <c r="H25" s="116"/>
      <c r="I25" s="116"/>
      <c r="L25" s="170"/>
    </row>
    <row r="26" spans="1:12" x14ac:dyDescent="0.25">
      <c r="A26" s="170">
        <v>44945</v>
      </c>
      <c r="B26" s="116">
        <v>155.75</v>
      </c>
      <c r="C26" s="116">
        <v>148.5</v>
      </c>
      <c r="D26" s="116">
        <v>148.5</v>
      </c>
      <c r="E26" s="116">
        <v>152</v>
      </c>
      <c r="F26" s="116">
        <v>148.5</v>
      </c>
      <c r="G26">
        <v>184000</v>
      </c>
      <c r="H26" s="116"/>
      <c r="I26" s="116"/>
      <c r="L26" s="170"/>
    </row>
    <row r="27" spans="1:12" x14ac:dyDescent="0.25">
      <c r="A27" s="170">
        <v>44946</v>
      </c>
      <c r="B27" s="116">
        <v>151</v>
      </c>
      <c r="C27" s="116">
        <v>141.19999999999999</v>
      </c>
      <c r="D27" s="116">
        <v>141.1</v>
      </c>
      <c r="E27" s="116">
        <v>141.1</v>
      </c>
      <c r="F27" s="116">
        <v>141.19999999999999</v>
      </c>
      <c r="G27">
        <v>388000</v>
      </c>
      <c r="H27" s="116"/>
      <c r="I27" s="116"/>
      <c r="L27" s="170"/>
    </row>
    <row r="28" spans="1:12" x14ac:dyDescent="0.25">
      <c r="A28" s="170">
        <v>44949</v>
      </c>
      <c r="B28" s="116">
        <v>148.25</v>
      </c>
      <c r="C28" s="116">
        <v>148.25</v>
      </c>
      <c r="D28" s="116">
        <v>142</v>
      </c>
      <c r="E28" s="116">
        <v>147</v>
      </c>
      <c r="F28" s="116">
        <v>148.25</v>
      </c>
      <c r="G28">
        <v>220000</v>
      </c>
      <c r="H28" s="116"/>
      <c r="I28" s="116"/>
      <c r="L28" s="170"/>
    </row>
    <row r="29" spans="1:12" x14ac:dyDescent="0.25">
      <c r="A29" s="170">
        <v>44950</v>
      </c>
      <c r="B29" s="116">
        <v>155.65</v>
      </c>
      <c r="C29" s="116">
        <v>155.65</v>
      </c>
      <c r="D29" s="116">
        <v>154.1</v>
      </c>
      <c r="E29" s="116">
        <v>154.4</v>
      </c>
      <c r="F29" s="116">
        <v>155.65</v>
      </c>
      <c r="G29">
        <v>40000</v>
      </c>
      <c r="H29" s="116"/>
      <c r="I29" s="116"/>
      <c r="L29" s="170"/>
    </row>
    <row r="30" spans="1:12" x14ac:dyDescent="0.25">
      <c r="A30" s="170">
        <v>44951</v>
      </c>
      <c r="B30" s="116">
        <v>163.4</v>
      </c>
      <c r="C30" s="116">
        <v>163.4</v>
      </c>
      <c r="D30" s="116">
        <v>163.4</v>
      </c>
      <c r="E30" s="116">
        <v>163.4</v>
      </c>
      <c r="F30" s="116">
        <v>163.4</v>
      </c>
      <c r="G30">
        <v>8000</v>
      </c>
      <c r="H30" s="116"/>
      <c r="I30" s="116"/>
      <c r="L30" s="170"/>
    </row>
    <row r="31" spans="1:12" x14ac:dyDescent="0.25">
      <c r="A31" s="170">
        <v>44953</v>
      </c>
      <c r="B31" s="116">
        <v>171.55</v>
      </c>
      <c r="C31" s="116">
        <v>165.6</v>
      </c>
      <c r="D31" s="116">
        <v>155.30000000000001</v>
      </c>
      <c r="E31" s="116">
        <v>171.4</v>
      </c>
      <c r="F31" s="116">
        <v>165.6</v>
      </c>
      <c r="G31">
        <v>364000</v>
      </c>
      <c r="H31" s="116"/>
      <c r="I31" s="116"/>
      <c r="L31" s="170"/>
    </row>
    <row r="32" spans="1:12" x14ac:dyDescent="0.25">
      <c r="A32" s="170">
        <v>44956</v>
      </c>
      <c r="B32" s="116">
        <v>173.85</v>
      </c>
      <c r="C32" s="116">
        <v>173.85</v>
      </c>
      <c r="D32" s="116">
        <v>160.55000000000001</v>
      </c>
      <c r="E32" s="116">
        <v>171</v>
      </c>
      <c r="F32" s="116">
        <v>173.85</v>
      </c>
      <c r="G32">
        <v>88000</v>
      </c>
      <c r="H32" s="116"/>
      <c r="I32" s="116"/>
      <c r="L32" s="170"/>
    </row>
    <row r="33" spans="1:12" x14ac:dyDescent="0.25">
      <c r="A33" s="170">
        <v>44957</v>
      </c>
      <c r="B33" s="116">
        <v>182.5</v>
      </c>
      <c r="C33" s="116">
        <v>182.5</v>
      </c>
      <c r="D33" s="116">
        <v>173.4</v>
      </c>
      <c r="E33" s="116">
        <v>181.65</v>
      </c>
      <c r="F33" s="116">
        <v>182.5</v>
      </c>
      <c r="G33">
        <v>68000</v>
      </c>
      <c r="H33" s="116"/>
      <c r="I33" s="116"/>
      <c r="L33" s="170"/>
    </row>
    <row r="34" spans="1:12" x14ac:dyDescent="0.25">
      <c r="A34" s="170">
        <v>44958</v>
      </c>
      <c r="B34" s="116">
        <v>191.6</v>
      </c>
      <c r="C34" s="116">
        <v>191.6</v>
      </c>
      <c r="D34" s="116">
        <v>191.6</v>
      </c>
      <c r="E34" s="116">
        <v>191.6</v>
      </c>
      <c r="F34" s="116">
        <v>191.6</v>
      </c>
      <c r="G34">
        <v>24000</v>
      </c>
      <c r="H34" s="116"/>
      <c r="I34" s="116"/>
      <c r="L34" s="170"/>
    </row>
    <row r="35" spans="1:12" x14ac:dyDescent="0.25">
      <c r="A35" s="170">
        <v>44959</v>
      </c>
      <c r="B35" s="116">
        <v>201.15</v>
      </c>
      <c r="C35" s="116">
        <v>199</v>
      </c>
      <c r="D35" s="116">
        <v>182.05</v>
      </c>
      <c r="E35" s="116">
        <v>201.15</v>
      </c>
      <c r="F35" s="116">
        <v>199</v>
      </c>
      <c r="G35">
        <v>200000</v>
      </c>
      <c r="H35" s="116"/>
      <c r="I35" s="116"/>
      <c r="L35" s="170"/>
    </row>
    <row r="36" spans="1:12" x14ac:dyDescent="0.25">
      <c r="A36" s="170">
        <v>44960</v>
      </c>
      <c r="B36" s="116">
        <v>201</v>
      </c>
      <c r="C36" s="116">
        <v>189.05</v>
      </c>
      <c r="D36" s="116">
        <v>189.05</v>
      </c>
      <c r="E36" s="116">
        <v>200</v>
      </c>
      <c r="F36" s="116">
        <v>189.05</v>
      </c>
      <c r="G36">
        <v>84000</v>
      </c>
      <c r="H36" s="116"/>
      <c r="I36" s="116"/>
      <c r="L36" s="170"/>
    </row>
    <row r="37" spans="1:12" x14ac:dyDescent="0.25">
      <c r="A37" s="170">
        <v>44963</v>
      </c>
      <c r="B37" s="116">
        <v>179.6</v>
      </c>
      <c r="C37" s="116">
        <v>179.6</v>
      </c>
      <c r="D37" s="116">
        <v>179.6</v>
      </c>
      <c r="E37" s="116">
        <v>179.6</v>
      </c>
      <c r="F37" s="116">
        <v>179.6</v>
      </c>
      <c r="G37">
        <v>8000</v>
      </c>
      <c r="H37" s="116"/>
      <c r="I37" s="116"/>
      <c r="L37" s="170"/>
    </row>
    <row r="38" spans="1:12" x14ac:dyDescent="0.25">
      <c r="A38" s="170">
        <v>44964</v>
      </c>
      <c r="B38" s="116">
        <v>170.65</v>
      </c>
      <c r="C38" s="116">
        <v>170.65</v>
      </c>
      <c r="D38" s="116">
        <v>170.65</v>
      </c>
      <c r="E38" s="116">
        <v>170.65</v>
      </c>
      <c r="F38" s="116">
        <v>170.65</v>
      </c>
      <c r="G38">
        <v>96000</v>
      </c>
      <c r="H38" s="116"/>
      <c r="I38" s="116"/>
      <c r="L38" s="170"/>
    </row>
    <row r="39" spans="1:12" x14ac:dyDescent="0.25">
      <c r="A39" s="170">
        <v>44965</v>
      </c>
      <c r="B39" s="116">
        <v>162.15</v>
      </c>
      <c r="C39" s="116">
        <v>162.15</v>
      </c>
      <c r="D39" s="116">
        <v>162.15</v>
      </c>
      <c r="E39" s="116">
        <v>162.15</v>
      </c>
      <c r="F39" s="116">
        <v>162.15</v>
      </c>
      <c r="G39">
        <v>20000</v>
      </c>
      <c r="H39" s="116"/>
      <c r="I39" s="116"/>
      <c r="L39" s="170"/>
    </row>
    <row r="40" spans="1:12" x14ac:dyDescent="0.25">
      <c r="A40" s="170">
        <v>44966</v>
      </c>
      <c r="B40" s="116">
        <v>154.05000000000001</v>
      </c>
      <c r="C40" s="116">
        <v>154.05000000000001</v>
      </c>
      <c r="D40" s="116">
        <v>154.05000000000001</v>
      </c>
      <c r="E40" s="116">
        <v>154.05000000000001</v>
      </c>
      <c r="F40" s="116">
        <v>154.05000000000001</v>
      </c>
      <c r="G40">
        <v>8000</v>
      </c>
      <c r="H40" s="116"/>
      <c r="I40" s="116"/>
      <c r="L40" s="170"/>
    </row>
    <row r="41" spans="1:12" x14ac:dyDescent="0.25">
      <c r="A41" s="170">
        <v>44967</v>
      </c>
      <c r="B41" s="116">
        <v>146.35</v>
      </c>
      <c r="C41" s="116">
        <v>146.35</v>
      </c>
      <c r="D41" s="116">
        <v>146.35</v>
      </c>
      <c r="E41" s="116">
        <v>146.35</v>
      </c>
      <c r="F41" s="116">
        <v>146.35</v>
      </c>
      <c r="G41">
        <v>8000</v>
      </c>
      <c r="H41" s="116"/>
      <c r="I41" s="116"/>
      <c r="L41" s="170"/>
    </row>
    <row r="42" spans="1:12" x14ac:dyDescent="0.25">
      <c r="A42" s="170">
        <v>44970</v>
      </c>
      <c r="B42" s="116">
        <v>151.5</v>
      </c>
      <c r="C42" s="116">
        <v>139.30000000000001</v>
      </c>
      <c r="D42" s="116">
        <v>139.05000000000001</v>
      </c>
      <c r="E42" s="116">
        <v>139.05000000000001</v>
      </c>
      <c r="F42" s="116">
        <v>139.30000000000001</v>
      </c>
      <c r="G42">
        <v>412000</v>
      </c>
      <c r="H42" s="116"/>
      <c r="I42" s="116"/>
      <c r="L42" s="170"/>
    </row>
    <row r="43" spans="1:12" x14ac:dyDescent="0.25">
      <c r="A43" s="170">
        <v>44971</v>
      </c>
      <c r="B43" s="116">
        <v>142.5</v>
      </c>
      <c r="C43" s="116">
        <v>132.4</v>
      </c>
      <c r="D43" s="116">
        <v>132.35</v>
      </c>
      <c r="E43" s="116">
        <v>142</v>
      </c>
      <c r="F43" s="116">
        <v>132.4</v>
      </c>
      <c r="G43">
        <v>76000</v>
      </c>
      <c r="H43" s="116"/>
      <c r="I43" s="116"/>
      <c r="L43" s="170"/>
    </row>
    <row r="44" spans="1:12" x14ac:dyDescent="0.25">
      <c r="A44" s="170">
        <v>44972</v>
      </c>
      <c r="B44" s="116">
        <v>136.4</v>
      </c>
      <c r="C44" s="116">
        <v>125.8</v>
      </c>
      <c r="D44" s="116">
        <v>125.8</v>
      </c>
      <c r="E44" s="116">
        <v>134</v>
      </c>
      <c r="F44" s="116">
        <v>125.8</v>
      </c>
      <c r="G44">
        <v>120000</v>
      </c>
      <c r="H44" s="116"/>
      <c r="I44" s="116"/>
      <c r="L44" s="170"/>
    </row>
    <row r="45" spans="1:12" x14ac:dyDescent="0.25">
      <c r="A45" s="170">
        <v>44973</v>
      </c>
      <c r="B45" s="116">
        <v>126</v>
      </c>
      <c r="C45" s="116">
        <v>122.8</v>
      </c>
      <c r="D45" s="116">
        <v>119.55</v>
      </c>
      <c r="E45" s="116">
        <v>126</v>
      </c>
      <c r="F45" s="116">
        <v>122.8</v>
      </c>
      <c r="G45">
        <v>260000</v>
      </c>
      <c r="H45" s="116"/>
      <c r="I45" s="116"/>
      <c r="L45" s="170"/>
    </row>
    <row r="46" spans="1:12" x14ac:dyDescent="0.25">
      <c r="A46" s="170">
        <v>44974</v>
      </c>
      <c r="B46" s="116">
        <v>124.9</v>
      </c>
      <c r="C46" s="116">
        <v>124.9</v>
      </c>
      <c r="D46" s="116">
        <v>122</v>
      </c>
      <c r="E46" s="116">
        <v>124.05</v>
      </c>
      <c r="F46" s="116">
        <v>124.9</v>
      </c>
      <c r="G46">
        <v>16000</v>
      </c>
      <c r="H46" s="116"/>
      <c r="I46" s="116"/>
      <c r="L46" s="170"/>
    </row>
    <row r="47" spans="1:12" x14ac:dyDescent="0.25">
      <c r="A47" s="170">
        <v>44977</v>
      </c>
      <c r="B47" s="116">
        <v>126</v>
      </c>
      <c r="C47" s="116">
        <v>126</v>
      </c>
      <c r="D47" s="116">
        <v>125</v>
      </c>
      <c r="E47" s="116">
        <v>126</v>
      </c>
      <c r="F47" s="116">
        <v>126</v>
      </c>
      <c r="G47">
        <v>12000</v>
      </c>
      <c r="H47" s="116"/>
      <c r="I47" s="116"/>
      <c r="L47" s="170"/>
    </row>
    <row r="48" spans="1:12" x14ac:dyDescent="0.25">
      <c r="A48" s="170">
        <v>44978</v>
      </c>
      <c r="B48" s="116">
        <v>126</v>
      </c>
      <c r="C48" s="116">
        <v>121.05</v>
      </c>
      <c r="D48" s="116">
        <v>119.7</v>
      </c>
      <c r="E48" s="116">
        <v>126</v>
      </c>
      <c r="F48" s="116">
        <v>121.05</v>
      </c>
      <c r="G48">
        <v>60000</v>
      </c>
      <c r="H48" s="116"/>
      <c r="I48" s="116"/>
      <c r="L48" s="170"/>
    </row>
    <row r="49" spans="1:12" x14ac:dyDescent="0.25">
      <c r="A49" s="170">
        <v>44979</v>
      </c>
      <c r="B49" s="116">
        <v>119.9</v>
      </c>
      <c r="C49" s="116">
        <v>115</v>
      </c>
      <c r="D49" s="116">
        <v>115</v>
      </c>
      <c r="E49" s="116">
        <v>119</v>
      </c>
      <c r="F49" s="116">
        <v>115</v>
      </c>
      <c r="G49">
        <v>28000</v>
      </c>
      <c r="H49" s="116"/>
      <c r="I49" s="116"/>
      <c r="L49" s="170"/>
    </row>
    <row r="50" spans="1:12" x14ac:dyDescent="0.25">
      <c r="A50" s="170">
        <v>44980</v>
      </c>
      <c r="B50" s="116">
        <v>110</v>
      </c>
      <c r="C50" s="116">
        <v>109.25</v>
      </c>
      <c r="D50" s="116">
        <v>109.25</v>
      </c>
      <c r="E50" s="116">
        <v>110</v>
      </c>
      <c r="F50" s="116">
        <v>109.25</v>
      </c>
      <c r="G50">
        <v>104000</v>
      </c>
      <c r="H50" s="116"/>
      <c r="I50" s="116"/>
      <c r="L50" s="170"/>
    </row>
    <row r="51" spans="1:12" x14ac:dyDescent="0.25">
      <c r="A51" s="170">
        <v>44981</v>
      </c>
      <c r="B51" s="116">
        <v>103.8</v>
      </c>
      <c r="C51" s="116">
        <v>103.8</v>
      </c>
      <c r="D51" s="116">
        <v>103.8</v>
      </c>
      <c r="E51" s="116">
        <v>103.8</v>
      </c>
      <c r="F51" s="116">
        <v>103.8</v>
      </c>
      <c r="G51">
        <v>28000</v>
      </c>
      <c r="H51" s="116"/>
      <c r="I51" s="116"/>
      <c r="L51" s="170"/>
    </row>
    <row r="52" spans="1:12" x14ac:dyDescent="0.25">
      <c r="A52" s="170">
        <v>44984</v>
      </c>
      <c r="B52" s="116">
        <v>99.7</v>
      </c>
      <c r="C52" s="116">
        <v>98.65</v>
      </c>
      <c r="D52" s="116">
        <v>98.65</v>
      </c>
      <c r="E52" s="116">
        <v>99.7</v>
      </c>
      <c r="F52" s="116">
        <v>98.65</v>
      </c>
      <c r="G52">
        <v>128000</v>
      </c>
      <c r="H52" s="116"/>
      <c r="I52" s="116"/>
      <c r="L52" s="170"/>
    </row>
    <row r="53" spans="1:12" x14ac:dyDescent="0.25">
      <c r="A53" s="170">
        <v>44985</v>
      </c>
      <c r="B53" s="116">
        <v>103.55</v>
      </c>
      <c r="C53" s="116">
        <v>103.55</v>
      </c>
      <c r="D53" s="116">
        <v>93.75</v>
      </c>
      <c r="E53" s="116">
        <v>94.1</v>
      </c>
      <c r="F53" s="116">
        <v>103.55</v>
      </c>
      <c r="G53">
        <v>192000</v>
      </c>
      <c r="H53" s="116"/>
      <c r="I53" s="116"/>
      <c r="L53" s="170"/>
    </row>
    <row r="54" spans="1:12" x14ac:dyDescent="0.25">
      <c r="A54" s="170">
        <v>44986</v>
      </c>
      <c r="B54" s="116">
        <v>108.7</v>
      </c>
      <c r="C54" s="116">
        <v>108.7</v>
      </c>
      <c r="D54" s="116">
        <v>108.7</v>
      </c>
      <c r="E54" s="116">
        <v>108.7</v>
      </c>
      <c r="F54" s="116">
        <v>108.7</v>
      </c>
      <c r="G54">
        <v>12000</v>
      </c>
      <c r="H54" s="116"/>
      <c r="I54" s="116"/>
      <c r="L54" s="170"/>
    </row>
    <row r="55" spans="1:12" x14ac:dyDescent="0.25">
      <c r="A55" s="170">
        <v>44987</v>
      </c>
      <c r="B55" s="116">
        <v>114.1</v>
      </c>
      <c r="C55" s="116">
        <v>114.1</v>
      </c>
      <c r="D55" s="116">
        <v>114.1</v>
      </c>
      <c r="E55" s="116">
        <v>114.1</v>
      </c>
      <c r="F55" s="116">
        <v>114.1</v>
      </c>
      <c r="G55">
        <v>8000</v>
      </c>
      <c r="H55" s="116"/>
      <c r="I55" s="116"/>
      <c r="L55" s="170"/>
    </row>
    <row r="56" spans="1:12" x14ac:dyDescent="0.25">
      <c r="A56" s="170">
        <v>44988</v>
      </c>
      <c r="B56" s="116">
        <v>119.8</v>
      </c>
      <c r="C56" s="116">
        <v>115.05</v>
      </c>
      <c r="D56" s="116">
        <v>108.4</v>
      </c>
      <c r="E56" s="116">
        <v>119.8</v>
      </c>
      <c r="F56" s="116">
        <v>115.05</v>
      </c>
      <c r="G56">
        <v>192000</v>
      </c>
      <c r="H56" s="116"/>
      <c r="I56" s="116"/>
      <c r="L56" s="170"/>
    </row>
    <row r="57" spans="1:12" x14ac:dyDescent="0.25">
      <c r="A57" s="170">
        <v>44993</v>
      </c>
      <c r="B57" s="116">
        <v>120.8</v>
      </c>
      <c r="C57" s="116">
        <v>117.05</v>
      </c>
      <c r="D57" s="116">
        <v>115</v>
      </c>
      <c r="E57" s="116">
        <v>117.7</v>
      </c>
      <c r="F57" s="116">
        <v>117.05</v>
      </c>
      <c r="G57">
        <v>56000</v>
      </c>
      <c r="H57" s="116"/>
      <c r="I57" s="116"/>
      <c r="L57" s="170"/>
    </row>
    <row r="58" spans="1:12" x14ac:dyDescent="0.25">
      <c r="A58" s="170">
        <v>44994</v>
      </c>
      <c r="B58" s="116">
        <v>115</v>
      </c>
      <c r="C58" s="116">
        <v>111.25</v>
      </c>
      <c r="D58" s="116">
        <v>111.2</v>
      </c>
      <c r="E58" s="116">
        <v>115</v>
      </c>
      <c r="F58" s="116">
        <v>111.25</v>
      </c>
      <c r="G58">
        <v>40000</v>
      </c>
      <c r="H58" s="116"/>
      <c r="I58" s="116"/>
      <c r="L58" s="170"/>
    </row>
    <row r="59" spans="1:12" x14ac:dyDescent="0.25">
      <c r="A59" s="170">
        <v>44995</v>
      </c>
      <c r="B59" s="116">
        <v>107.35</v>
      </c>
      <c r="C59" s="116">
        <v>105.7</v>
      </c>
      <c r="D59" s="116">
        <v>105.7</v>
      </c>
      <c r="E59" s="116">
        <v>105.7</v>
      </c>
      <c r="F59" s="116">
        <v>105.7</v>
      </c>
      <c r="G59">
        <v>48000</v>
      </c>
      <c r="H59" s="116"/>
      <c r="I59" s="116"/>
      <c r="L59" s="170"/>
    </row>
    <row r="60" spans="1:12" x14ac:dyDescent="0.25">
      <c r="A60" s="170">
        <v>44998</v>
      </c>
      <c r="B60" s="116">
        <v>100.45</v>
      </c>
      <c r="C60" s="116">
        <v>100.45</v>
      </c>
      <c r="D60" s="116">
        <v>100.45</v>
      </c>
      <c r="E60" s="116">
        <v>100.45</v>
      </c>
      <c r="F60" s="116">
        <v>100.45</v>
      </c>
      <c r="G60">
        <v>40000</v>
      </c>
      <c r="H60" s="116"/>
      <c r="I60" s="116"/>
      <c r="L60" s="170"/>
    </row>
    <row r="61" spans="1:12" x14ac:dyDescent="0.25">
      <c r="A61" s="170">
        <v>44999</v>
      </c>
      <c r="B61" s="116">
        <v>96</v>
      </c>
      <c r="C61" s="116">
        <v>95.45</v>
      </c>
      <c r="D61" s="116">
        <v>95.45</v>
      </c>
      <c r="E61" s="116">
        <v>96</v>
      </c>
      <c r="F61" s="116">
        <v>95.45</v>
      </c>
      <c r="G61">
        <v>40000</v>
      </c>
      <c r="H61" s="116"/>
      <c r="I61" s="116"/>
      <c r="L61" s="170"/>
    </row>
    <row r="62" spans="1:12" x14ac:dyDescent="0.25">
      <c r="A62" s="170">
        <v>45000</v>
      </c>
      <c r="B62" s="116">
        <v>100.2</v>
      </c>
      <c r="C62" s="116">
        <v>90.7</v>
      </c>
      <c r="D62" s="116">
        <v>90.7</v>
      </c>
      <c r="E62" s="116">
        <v>90.7</v>
      </c>
      <c r="F62" s="116">
        <v>90.7</v>
      </c>
      <c r="G62">
        <v>212000</v>
      </c>
      <c r="H62" s="116"/>
      <c r="I62" s="116"/>
      <c r="L62" s="170"/>
    </row>
    <row r="63" spans="1:12" x14ac:dyDescent="0.25">
      <c r="A63" s="170">
        <v>45001</v>
      </c>
      <c r="B63" s="116">
        <v>94</v>
      </c>
      <c r="C63" s="116">
        <v>86.2</v>
      </c>
      <c r="D63" s="116">
        <v>86.2</v>
      </c>
      <c r="E63" s="116">
        <v>91.7</v>
      </c>
      <c r="F63" s="116">
        <v>86.2</v>
      </c>
      <c r="G63">
        <v>212000</v>
      </c>
      <c r="H63" s="116"/>
      <c r="I63" s="116"/>
      <c r="L63" s="170"/>
    </row>
    <row r="64" spans="1:12" x14ac:dyDescent="0.25">
      <c r="A64" s="170">
        <v>45002</v>
      </c>
      <c r="B64" s="116">
        <v>90.5</v>
      </c>
      <c r="C64" s="116">
        <v>90.5</v>
      </c>
      <c r="D64" s="116">
        <v>87</v>
      </c>
      <c r="E64" s="116">
        <v>87</v>
      </c>
      <c r="F64" s="116">
        <v>90.5</v>
      </c>
      <c r="G64">
        <v>104000</v>
      </c>
      <c r="H64" s="116"/>
      <c r="I64" s="116"/>
      <c r="L64" s="170"/>
    </row>
    <row r="65" spans="1:12" x14ac:dyDescent="0.25">
      <c r="A65" s="170">
        <v>45005</v>
      </c>
      <c r="B65" s="116">
        <v>94.8</v>
      </c>
      <c r="C65" s="116">
        <v>91</v>
      </c>
      <c r="D65" s="116">
        <v>88</v>
      </c>
      <c r="E65" s="116">
        <v>94.8</v>
      </c>
      <c r="F65" s="116">
        <v>91</v>
      </c>
      <c r="G65">
        <v>72000</v>
      </c>
      <c r="H65" s="116"/>
      <c r="I65" s="116"/>
      <c r="L65" s="170"/>
    </row>
    <row r="66" spans="1:12" x14ac:dyDescent="0.25">
      <c r="A66" s="170">
        <v>45006</v>
      </c>
      <c r="B66" s="116">
        <v>92</v>
      </c>
      <c r="C66" s="116">
        <v>91.05</v>
      </c>
      <c r="D66" s="116">
        <v>90</v>
      </c>
      <c r="E66" s="116">
        <v>90.5</v>
      </c>
      <c r="F66" s="116">
        <v>91.05</v>
      </c>
      <c r="G66">
        <v>72000</v>
      </c>
      <c r="H66" s="116"/>
      <c r="I66" s="116"/>
      <c r="L66" s="170"/>
    </row>
    <row r="67" spans="1:12" x14ac:dyDescent="0.25">
      <c r="A67" s="170">
        <v>45007</v>
      </c>
      <c r="B67" s="116">
        <v>91.5</v>
      </c>
      <c r="C67" s="116">
        <v>91.5</v>
      </c>
      <c r="D67" s="116">
        <v>88</v>
      </c>
      <c r="E67" s="116">
        <v>89.9</v>
      </c>
      <c r="F67" s="116">
        <v>91.5</v>
      </c>
      <c r="G67">
        <v>44000</v>
      </c>
      <c r="H67" s="116"/>
      <c r="I67" s="116"/>
      <c r="L67" s="170"/>
    </row>
    <row r="68" spans="1:12" x14ac:dyDescent="0.25">
      <c r="A68" s="170">
        <v>45008</v>
      </c>
      <c r="B68" s="116">
        <v>94</v>
      </c>
      <c r="C68" s="116">
        <v>93.75</v>
      </c>
      <c r="D68" s="116">
        <v>92</v>
      </c>
      <c r="E68" s="116">
        <v>92</v>
      </c>
      <c r="F68" s="116">
        <v>93.75</v>
      </c>
      <c r="G68">
        <v>60000</v>
      </c>
      <c r="H68" s="116"/>
      <c r="I68" s="116"/>
      <c r="L68" s="170"/>
    </row>
    <row r="69" spans="1:12" x14ac:dyDescent="0.25">
      <c r="A69" s="170">
        <v>45009</v>
      </c>
      <c r="B69" s="116">
        <v>98.4</v>
      </c>
      <c r="C69" s="116">
        <v>98.4</v>
      </c>
      <c r="D69" s="116">
        <v>94</v>
      </c>
      <c r="E69" s="116">
        <v>95</v>
      </c>
      <c r="F69" s="116">
        <v>98.4</v>
      </c>
      <c r="G69">
        <v>60000</v>
      </c>
      <c r="H69" s="116"/>
      <c r="I69" s="116"/>
      <c r="L69" s="170"/>
    </row>
    <row r="70" spans="1:12" x14ac:dyDescent="0.25">
      <c r="A70" s="170">
        <v>45012</v>
      </c>
      <c r="B70" s="116">
        <v>103.3</v>
      </c>
      <c r="C70" s="116">
        <v>100.65</v>
      </c>
      <c r="D70" s="116">
        <v>100</v>
      </c>
      <c r="E70" s="116">
        <v>102</v>
      </c>
      <c r="F70" s="116">
        <v>100.65</v>
      </c>
      <c r="G70">
        <v>96000</v>
      </c>
      <c r="H70" s="116"/>
      <c r="I70" s="116"/>
      <c r="L70" s="170"/>
    </row>
    <row r="71" spans="1:12" x14ac:dyDescent="0.25">
      <c r="A71" s="170">
        <v>45013</v>
      </c>
      <c r="B71" s="116">
        <v>103.9</v>
      </c>
      <c r="C71" s="116">
        <v>95.65</v>
      </c>
      <c r="D71" s="116">
        <v>95.65</v>
      </c>
      <c r="E71" s="116">
        <v>99.2</v>
      </c>
      <c r="F71" s="116">
        <v>95.65</v>
      </c>
      <c r="G71">
        <v>32000</v>
      </c>
      <c r="H71" s="116"/>
      <c r="I71" s="116"/>
      <c r="L71" s="170"/>
    </row>
    <row r="72" spans="1:12" x14ac:dyDescent="0.25">
      <c r="A72" s="170">
        <v>45014</v>
      </c>
      <c r="B72" s="116">
        <v>93.4</v>
      </c>
      <c r="C72" s="116">
        <v>92</v>
      </c>
      <c r="D72" s="116">
        <v>92</v>
      </c>
      <c r="E72" s="116">
        <v>93.4</v>
      </c>
      <c r="F72" s="116">
        <v>92</v>
      </c>
      <c r="G72">
        <v>32000</v>
      </c>
      <c r="H72" s="116"/>
      <c r="I72" s="116"/>
      <c r="L72" s="170"/>
    </row>
    <row r="73" spans="1:12" x14ac:dyDescent="0.25">
      <c r="A73" s="170">
        <v>45016</v>
      </c>
      <c r="B73" s="116">
        <v>96.6</v>
      </c>
      <c r="C73" s="116">
        <v>96.3</v>
      </c>
      <c r="D73" s="116">
        <v>89.75</v>
      </c>
      <c r="E73" s="116">
        <v>89.75</v>
      </c>
      <c r="F73" s="116">
        <v>96.3</v>
      </c>
      <c r="G73">
        <v>112000</v>
      </c>
      <c r="H73" s="116"/>
      <c r="I73" s="116"/>
      <c r="L73" s="170"/>
    </row>
    <row r="74" spans="1:12" x14ac:dyDescent="0.25">
      <c r="A74" s="170">
        <v>45019</v>
      </c>
      <c r="B74" s="116">
        <v>101.11</v>
      </c>
      <c r="C74" s="116">
        <v>101.11</v>
      </c>
      <c r="D74" s="116">
        <v>100</v>
      </c>
      <c r="E74" s="116">
        <v>100</v>
      </c>
      <c r="F74" s="116">
        <v>101.11</v>
      </c>
      <c r="G74">
        <v>20000</v>
      </c>
      <c r="H74" s="116"/>
      <c r="I74" s="116"/>
      <c r="L74" s="170"/>
    </row>
    <row r="75" spans="1:12" x14ac:dyDescent="0.25">
      <c r="A75" s="170">
        <v>45021</v>
      </c>
      <c r="B75" s="116">
        <v>106.16</v>
      </c>
      <c r="C75" s="116">
        <v>106.16</v>
      </c>
      <c r="D75" s="116">
        <v>106.16</v>
      </c>
      <c r="E75" s="116">
        <v>106.16</v>
      </c>
      <c r="F75" s="116">
        <v>106.16</v>
      </c>
      <c r="G75">
        <v>8000</v>
      </c>
      <c r="H75" s="116"/>
      <c r="I75" s="116"/>
      <c r="L75" s="170"/>
    </row>
    <row r="76" spans="1:12" x14ac:dyDescent="0.25">
      <c r="A76" s="170">
        <v>45022</v>
      </c>
      <c r="B76" s="116">
        <v>111.46</v>
      </c>
      <c r="C76" s="116">
        <v>111.46</v>
      </c>
      <c r="D76" s="116">
        <v>111.46</v>
      </c>
      <c r="E76" s="116">
        <v>111.46</v>
      </c>
      <c r="F76" s="116">
        <v>111.46</v>
      </c>
      <c r="G76">
        <v>4000</v>
      </c>
      <c r="H76" s="116"/>
      <c r="I76" s="116"/>
      <c r="L76" s="170"/>
    </row>
    <row r="77" spans="1:12" x14ac:dyDescent="0.25">
      <c r="A77" s="170">
        <v>45026</v>
      </c>
      <c r="B77" s="116">
        <v>117.03</v>
      </c>
      <c r="C77" s="116">
        <v>117.03</v>
      </c>
      <c r="D77" s="116">
        <v>117.03</v>
      </c>
      <c r="E77" s="116">
        <v>117.03</v>
      </c>
      <c r="F77" s="116">
        <v>117.03</v>
      </c>
      <c r="G77">
        <v>4000</v>
      </c>
      <c r="H77" s="116"/>
      <c r="I77" s="116"/>
      <c r="L77" s="170"/>
    </row>
    <row r="78" spans="1:12" x14ac:dyDescent="0.25">
      <c r="A78" s="170">
        <v>45027</v>
      </c>
      <c r="B78" s="116">
        <v>128.72999999999999</v>
      </c>
      <c r="C78" s="116">
        <v>128.72999999999999</v>
      </c>
      <c r="D78" s="116">
        <v>128.72999999999999</v>
      </c>
      <c r="E78" s="116">
        <v>128.72999999999999</v>
      </c>
      <c r="F78" s="116">
        <v>128.72999999999999</v>
      </c>
      <c r="G78">
        <v>4000</v>
      </c>
      <c r="H78" s="116"/>
      <c r="I78" s="116"/>
      <c r="L78" s="170"/>
    </row>
    <row r="79" spans="1:12" x14ac:dyDescent="0.25">
      <c r="A79" s="170">
        <v>45028</v>
      </c>
      <c r="B79" s="116">
        <v>141.6</v>
      </c>
      <c r="C79" s="116">
        <v>128.72999999999999</v>
      </c>
      <c r="D79" s="116">
        <v>128.72999999999999</v>
      </c>
      <c r="E79" s="116">
        <v>141.59</v>
      </c>
      <c r="F79" s="116">
        <v>128.72999999999999</v>
      </c>
      <c r="G79">
        <v>324000</v>
      </c>
      <c r="H79" s="116"/>
      <c r="I79" s="116"/>
      <c r="L79" s="170"/>
    </row>
    <row r="80" spans="1:12" x14ac:dyDescent="0.25">
      <c r="A80" s="170">
        <v>45029</v>
      </c>
      <c r="B80" s="116">
        <v>130.30000000000001</v>
      </c>
      <c r="C80" s="116">
        <v>121</v>
      </c>
      <c r="D80" s="116">
        <v>120</v>
      </c>
      <c r="E80" s="116">
        <v>130.30000000000001</v>
      </c>
      <c r="F80" s="116">
        <v>121</v>
      </c>
      <c r="G80">
        <v>44000</v>
      </c>
      <c r="H80" s="116"/>
      <c r="I80" s="116"/>
      <c r="L80" s="170"/>
    </row>
    <row r="81" spans="1:12" x14ac:dyDescent="0.25">
      <c r="A81" s="170">
        <v>45033</v>
      </c>
      <c r="B81" s="116">
        <v>133.1</v>
      </c>
      <c r="C81" s="116">
        <v>133.1</v>
      </c>
      <c r="D81" s="116">
        <v>115.5</v>
      </c>
      <c r="E81" s="116">
        <v>115.5</v>
      </c>
      <c r="F81" s="116">
        <v>133.1</v>
      </c>
      <c r="G81">
        <v>104000</v>
      </c>
      <c r="H81" s="116"/>
      <c r="I81" s="116"/>
      <c r="L81" s="170"/>
    </row>
    <row r="82" spans="1:12" x14ac:dyDescent="0.25">
      <c r="A82" s="170">
        <v>45034</v>
      </c>
      <c r="B82" s="116">
        <v>139.85</v>
      </c>
      <c r="C82" s="116">
        <v>134</v>
      </c>
      <c r="D82" s="116">
        <v>134</v>
      </c>
      <c r="E82" s="116">
        <v>137.4</v>
      </c>
      <c r="F82" s="116">
        <v>134</v>
      </c>
      <c r="G82">
        <v>72000</v>
      </c>
      <c r="H82" s="116"/>
      <c r="I82" s="116"/>
      <c r="L82" s="170"/>
    </row>
    <row r="83" spans="1:12" x14ac:dyDescent="0.25">
      <c r="A83" s="170">
        <v>45035</v>
      </c>
      <c r="B83" s="116">
        <v>135</v>
      </c>
      <c r="C83" s="116">
        <v>135</v>
      </c>
      <c r="D83" s="116">
        <v>130</v>
      </c>
      <c r="E83" s="116">
        <v>130</v>
      </c>
      <c r="F83" s="116">
        <v>135</v>
      </c>
      <c r="G83">
        <v>24000</v>
      </c>
      <c r="H83" s="116"/>
      <c r="I83" s="116"/>
      <c r="L83" s="170"/>
    </row>
    <row r="84" spans="1:12" x14ac:dyDescent="0.25">
      <c r="A84" s="170">
        <v>45036</v>
      </c>
      <c r="B84" s="116">
        <v>136</v>
      </c>
      <c r="C84" s="116">
        <v>132</v>
      </c>
      <c r="D84" s="116">
        <v>130</v>
      </c>
      <c r="E84" s="116">
        <v>136</v>
      </c>
      <c r="F84" s="116">
        <v>132</v>
      </c>
      <c r="G84">
        <v>32000</v>
      </c>
      <c r="H84" s="116"/>
      <c r="I84" s="116"/>
      <c r="L84" s="170"/>
    </row>
    <row r="85" spans="1:12" x14ac:dyDescent="0.25">
      <c r="A85" s="170">
        <v>45037</v>
      </c>
      <c r="B85" s="116">
        <v>131</v>
      </c>
      <c r="C85" s="116">
        <v>129.4</v>
      </c>
      <c r="D85" s="116">
        <v>118.85</v>
      </c>
      <c r="E85" s="116">
        <v>131</v>
      </c>
      <c r="F85" s="116">
        <v>129.4</v>
      </c>
      <c r="G85">
        <v>80000</v>
      </c>
      <c r="H85" s="116"/>
      <c r="I85" s="116"/>
      <c r="L85" s="170"/>
    </row>
    <row r="86" spans="1:12" x14ac:dyDescent="0.25">
      <c r="A86" s="170">
        <v>45040</v>
      </c>
      <c r="B86" s="116">
        <v>131</v>
      </c>
      <c r="C86" s="116">
        <v>129</v>
      </c>
      <c r="D86" s="116">
        <v>129</v>
      </c>
      <c r="E86" s="116">
        <v>131</v>
      </c>
      <c r="F86" s="116">
        <v>129</v>
      </c>
      <c r="G86">
        <v>12000</v>
      </c>
      <c r="H86" s="116"/>
      <c r="I86" s="116"/>
      <c r="L86" s="170"/>
    </row>
    <row r="87" spans="1:12" x14ac:dyDescent="0.25">
      <c r="A87" s="170">
        <v>45041</v>
      </c>
      <c r="B87" s="116">
        <v>125.65</v>
      </c>
      <c r="C87" s="116">
        <v>125</v>
      </c>
      <c r="D87" s="116">
        <v>125</v>
      </c>
      <c r="E87" s="116">
        <v>125.1</v>
      </c>
      <c r="F87" s="116">
        <v>125</v>
      </c>
      <c r="G87">
        <v>28000</v>
      </c>
      <c r="H87" s="116"/>
      <c r="I87" s="116"/>
      <c r="L87" s="170"/>
    </row>
    <row r="88" spans="1:12" x14ac:dyDescent="0.25">
      <c r="A88" s="170">
        <v>45042</v>
      </c>
      <c r="B88" s="116">
        <v>131</v>
      </c>
      <c r="C88" s="116">
        <v>129</v>
      </c>
      <c r="D88" s="116">
        <v>127</v>
      </c>
      <c r="E88" s="116">
        <v>127</v>
      </c>
      <c r="F88" s="116">
        <v>129</v>
      </c>
      <c r="G88">
        <v>16000</v>
      </c>
      <c r="H88" s="116"/>
      <c r="I88" s="116"/>
      <c r="L88" s="170"/>
    </row>
    <row r="89" spans="1:12" x14ac:dyDescent="0.25">
      <c r="A89" s="170">
        <v>45043</v>
      </c>
      <c r="B89" s="116">
        <v>131</v>
      </c>
      <c r="C89" s="116">
        <v>131</v>
      </c>
      <c r="D89" s="116">
        <v>121</v>
      </c>
      <c r="E89" s="116">
        <v>125</v>
      </c>
      <c r="F89" s="116">
        <v>131</v>
      </c>
      <c r="G89">
        <v>40000</v>
      </c>
      <c r="H89" s="116"/>
      <c r="I89" s="116"/>
      <c r="L89" s="170"/>
    </row>
    <row r="90" spans="1:12" x14ac:dyDescent="0.25">
      <c r="A90" s="170">
        <v>45044</v>
      </c>
      <c r="B90" s="116">
        <v>129</v>
      </c>
      <c r="C90" s="116">
        <v>128.9</v>
      </c>
      <c r="D90" s="116">
        <v>128.9</v>
      </c>
      <c r="E90" s="116">
        <v>129</v>
      </c>
      <c r="F90" s="116">
        <v>128.9</v>
      </c>
      <c r="G90">
        <v>8000</v>
      </c>
      <c r="H90" s="116"/>
      <c r="I90" s="116"/>
      <c r="L90" s="170"/>
    </row>
    <row r="91" spans="1:12" x14ac:dyDescent="0.25">
      <c r="A91" s="170">
        <v>45048</v>
      </c>
      <c r="B91" s="116">
        <v>134.94999999999999</v>
      </c>
      <c r="C91" s="116">
        <v>131.94999999999999</v>
      </c>
      <c r="D91" s="116">
        <v>131</v>
      </c>
      <c r="E91" s="116">
        <v>131</v>
      </c>
      <c r="F91" s="116">
        <v>131.94999999999999</v>
      </c>
      <c r="G91">
        <v>28000</v>
      </c>
      <c r="H91" s="116"/>
      <c r="I91" s="116"/>
      <c r="L91" s="170"/>
    </row>
    <row r="92" spans="1:12" x14ac:dyDescent="0.25">
      <c r="A92" s="170">
        <v>45049</v>
      </c>
      <c r="B92" s="116">
        <v>143</v>
      </c>
      <c r="C92" s="116">
        <v>129</v>
      </c>
      <c r="D92" s="116">
        <v>127.6</v>
      </c>
      <c r="E92" s="116">
        <v>131.94999999999999</v>
      </c>
      <c r="F92" s="116">
        <v>129</v>
      </c>
      <c r="G92">
        <v>100000</v>
      </c>
      <c r="H92" s="116"/>
      <c r="I92" s="116"/>
      <c r="L92" s="170"/>
    </row>
    <row r="93" spans="1:12" x14ac:dyDescent="0.25">
      <c r="A93" s="170">
        <v>45050</v>
      </c>
      <c r="B93" s="116">
        <v>133</v>
      </c>
      <c r="C93" s="116">
        <v>132.5</v>
      </c>
      <c r="D93" s="116">
        <v>129</v>
      </c>
      <c r="E93" s="116">
        <v>130.94999999999999</v>
      </c>
      <c r="F93" s="116">
        <v>132.5</v>
      </c>
      <c r="G93">
        <v>38000</v>
      </c>
      <c r="H93" s="116"/>
      <c r="I93" s="116"/>
      <c r="L93" s="170"/>
    </row>
    <row r="94" spans="1:12" x14ac:dyDescent="0.25">
      <c r="A94" s="170">
        <v>45051</v>
      </c>
      <c r="B94" s="116">
        <v>132.5</v>
      </c>
      <c r="C94" s="116">
        <v>130</v>
      </c>
      <c r="D94" s="116">
        <v>127</v>
      </c>
      <c r="E94" s="116">
        <v>132.5</v>
      </c>
      <c r="F94" s="116">
        <v>130</v>
      </c>
      <c r="G94">
        <v>22000</v>
      </c>
      <c r="H94" s="116"/>
      <c r="I94" s="116"/>
      <c r="L94" s="170"/>
    </row>
    <row r="95" spans="1:12" x14ac:dyDescent="0.25">
      <c r="A95" s="170">
        <v>45054</v>
      </c>
      <c r="B95" s="116">
        <v>135.9</v>
      </c>
      <c r="C95" s="116">
        <v>126.95</v>
      </c>
      <c r="D95" s="116">
        <v>126.1</v>
      </c>
      <c r="E95" s="116">
        <v>135.9</v>
      </c>
      <c r="F95" s="116">
        <v>126.95</v>
      </c>
      <c r="G95">
        <v>30000</v>
      </c>
      <c r="H95" s="116"/>
      <c r="I95" s="116"/>
      <c r="L95" s="170"/>
    </row>
    <row r="96" spans="1:12" x14ac:dyDescent="0.25">
      <c r="A96" s="170">
        <v>45055</v>
      </c>
      <c r="B96" s="116">
        <v>131</v>
      </c>
      <c r="C96" s="116">
        <v>130.9</v>
      </c>
      <c r="D96" s="116">
        <v>125.6</v>
      </c>
      <c r="E96" s="116">
        <v>125.6</v>
      </c>
      <c r="F96" s="116">
        <v>130.9</v>
      </c>
      <c r="G96">
        <v>28000</v>
      </c>
      <c r="H96" s="116"/>
      <c r="I96" s="116"/>
      <c r="L96" s="170"/>
    </row>
    <row r="97" spans="1:12" x14ac:dyDescent="0.25">
      <c r="A97" s="170">
        <v>45056</v>
      </c>
      <c r="B97" s="116">
        <v>134</v>
      </c>
      <c r="C97" s="116">
        <v>132.75</v>
      </c>
      <c r="D97" s="116">
        <v>130.19999999999999</v>
      </c>
      <c r="E97" s="116">
        <v>134</v>
      </c>
      <c r="F97" s="116">
        <v>132.75</v>
      </c>
      <c r="G97">
        <v>16000</v>
      </c>
      <c r="H97" s="116"/>
      <c r="I97" s="116"/>
      <c r="L97" s="170"/>
    </row>
    <row r="98" spans="1:12" x14ac:dyDescent="0.25">
      <c r="A98" s="170">
        <v>45057</v>
      </c>
      <c r="B98" s="116">
        <v>134</v>
      </c>
      <c r="C98" s="116">
        <v>127.55</v>
      </c>
      <c r="D98" s="116">
        <v>126.5</v>
      </c>
      <c r="E98" s="116">
        <v>133</v>
      </c>
      <c r="F98" s="116">
        <v>127.55</v>
      </c>
      <c r="G98">
        <v>46000</v>
      </c>
      <c r="H98" s="116"/>
      <c r="I98" s="116"/>
      <c r="L98" s="170"/>
    </row>
    <row r="99" spans="1:12" x14ac:dyDescent="0.25">
      <c r="A99" s="170">
        <v>45058</v>
      </c>
      <c r="B99" s="116">
        <v>131</v>
      </c>
      <c r="C99" s="116">
        <v>130.85</v>
      </c>
      <c r="D99" s="116">
        <v>129</v>
      </c>
      <c r="E99" s="116">
        <v>130.94999999999999</v>
      </c>
      <c r="F99" s="116">
        <v>130.85</v>
      </c>
      <c r="G99">
        <v>20000</v>
      </c>
      <c r="H99" s="116"/>
      <c r="I99" s="116"/>
      <c r="L99" s="170"/>
    </row>
    <row r="100" spans="1:12" x14ac:dyDescent="0.25">
      <c r="A100" s="170">
        <v>45061</v>
      </c>
      <c r="B100" s="116">
        <v>131</v>
      </c>
      <c r="C100" s="116">
        <v>125.9</v>
      </c>
      <c r="D100" s="116">
        <v>125.65</v>
      </c>
      <c r="E100" s="116">
        <v>131</v>
      </c>
      <c r="F100" s="116">
        <v>125.9</v>
      </c>
      <c r="G100">
        <v>26000</v>
      </c>
      <c r="H100" s="116"/>
      <c r="I100" s="116"/>
      <c r="L100" s="170"/>
    </row>
    <row r="101" spans="1:12" x14ac:dyDescent="0.25">
      <c r="A101" s="170">
        <v>45062</v>
      </c>
      <c r="B101" s="116">
        <v>125.05</v>
      </c>
      <c r="C101" s="116">
        <v>119.6</v>
      </c>
      <c r="D101" s="116">
        <v>117</v>
      </c>
      <c r="E101" s="116">
        <v>125.05</v>
      </c>
      <c r="F101" s="116">
        <v>119.6</v>
      </c>
      <c r="G101">
        <v>40000</v>
      </c>
      <c r="H101" s="116"/>
      <c r="I101" s="116"/>
      <c r="L101" s="170"/>
    </row>
    <row r="102" spans="1:12" x14ac:dyDescent="0.25">
      <c r="A102" s="170">
        <v>45063</v>
      </c>
      <c r="B102" s="116">
        <v>119</v>
      </c>
      <c r="C102" s="116">
        <v>119</v>
      </c>
      <c r="D102" s="116">
        <v>117</v>
      </c>
      <c r="E102" s="116">
        <v>117.5</v>
      </c>
      <c r="F102" s="116">
        <v>119</v>
      </c>
      <c r="G102">
        <v>22000</v>
      </c>
      <c r="H102" s="116"/>
      <c r="I102" s="116"/>
      <c r="L102" s="170"/>
    </row>
    <row r="103" spans="1:12" x14ac:dyDescent="0.25">
      <c r="A103" s="170">
        <v>45064</v>
      </c>
      <c r="B103" s="116">
        <v>121.05</v>
      </c>
      <c r="C103" s="116">
        <v>118.9</v>
      </c>
      <c r="D103" s="116">
        <v>116</v>
      </c>
      <c r="E103" s="116">
        <v>117</v>
      </c>
      <c r="F103" s="116">
        <v>118.9</v>
      </c>
      <c r="G103">
        <v>20000</v>
      </c>
      <c r="H103" s="116"/>
      <c r="I103" s="116"/>
      <c r="L103" s="170"/>
    </row>
    <row r="104" spans="1:12" x14ac:dyDescent="0.25">
      <c r="A104" s="170">
        <v>45065</v>
      </c>
      <c r="B104" s="116">
        <v>118.9</v>
      </c>
      <c r="C104" s="116">
        <v>113.85</v>
      </c>
      <c r="D104" s="116">
        <v>111</v>
      </c>
      <c r="E104" s="116">
        <v>118.9</v>
      </c>
      <c r="F104" s="116">
        <v>113.85</v>
      </c>
      <c r="G104">
        <v>42000</v>
      </c>
      <c r="H104" s="116"/>
      <c r="I104" s="116"/>
      <c r="L104" s="170"/>
    </row>
    <row r="105" spans="1:12" x14ac:dyDescent="0.25">
      <c r="A105" s="170">
        <v>45068</v>
      </c>
      <c r="B105" s="116">
        <v>122.75</v>
      </c>
      <c r="C105" s="116">
        <v>122.5</v>
      </c>
      <c r="D105" s="116">
        <v>113.8</v>
      </c>
      <c r="E105" s="116">
        <v>113.8</v>
      </c>
      <c r="F105" s="116">
        <v>122.5</v>
      </c>
      <c r="G105">
        <v>24000</v>
      </c>
      <c r="H105" s="116"/>
      <c r="I105" s="116"/>
      <c r="L105" s="170"/>
    </row>
    <row r="106" spans="1:12" x14ac:dyDescent="0.25">
      <c r="A106" s="170">
        <v>45069</v>
      </c>
      <c r="B106" s="116">
        <v>128.80000000000001</v>
      </c>
      <c r="C106" s="116">
        <v>125</v>
      </c>
      <c r="D106" s="116">
        <v>123</v>
      </c>
      <c r="E106" s="116">
        <v>123</v>
      </c>
      <c r="F106" s="116">
        <v>125</v>
      </c>
      <c r="G106">
        <v>14000</v>
      </c>
      <c r="H106" s="116"/>
      <c r="I106" s="116"/>
      <c r="L106" s="170"/>
    </row>
    <row r="107" spans="1:12" x14ac:dyDescent="0.25">
      <c r="A107" s="170">
        <v>45070</v>
      </c>
      <c r="B107" s="116">
        <v>123</v>
      </c>
      <c r="C107" s="116">
        <v>120</v>
      </c>
      <c r="D107" s="116">
        <v>120</v>
      </c>
      <c r="E107" s="116">
        <v>121</v>
      </c>
      <c r="F107" s="116">
        <v>120</v>
      </c>
      <c r="G107">
        <v>12000</v>
      </c>
      <c r="H107" s="116"/>
      <c r="I107" s="116"/>
      <c r="L107" s="170"/>
    </row>
    <row r="108" spans="1:12" x14ac:dyDescent="0.25">
      <c r="A108" s="170">
        <v>45071</v>
      </c>
      <c r="B108" s="116">
        <v>117.1</v>
      </c>
      <c r="C108" s="116">
        <v>115</v>
      </c>
      <c r="D108" s="116">
        <v>113.5</v>
      </c>
      <c r="E108" s="116">
        <v>117.1</v>
      </c>
      <c r="F108" s="116">
        <v>115</v>
      </c>
      <c r="G108">
        <v>56000</v>
      </c>
      <c r="H108" s="116"/>
      <c r="I108" s="116"/>
      <c r="L108" s="170"/>
    </row>
    <row r="109" spans="1:12" x14ac:dyDescent="0.25">
      <c r="A109" s="170">
        <v>45072</v>
      </c>
      <c r="B109" s="116">
        <v>124</v>
      </c>
      <c r="C109" s="116">
        <v>115.9</v>
      </c>
      <c r="D109" s="116">
        <v>114.95</v>
      </c>
      <c r="E109" s="116">
        <v>118.45</v>
      </c>
      <c r="F109" s="116">
        <v>115.9</v>
      </c>
      <c r="G109">
        <v>32000</v>
      </c>
      <c r="H109" s="116"/>
      <c r="I109" s="116"/>
      <c r="L109" s="170"/>
    </row>
    <row r="110" spans="1:12" x14ac:dyDescent="0.25">
      <c r="A110" s="170">
        <v>45075</v>
      </c>
      <c r="B110" s="116">
        <v>118.75</v>
      </c>
      <c r="C110" s="116">
        <v>116.95</v>
      </c>
      <c r="D110" s="116">
        <v>116</v>
      </c>
      <c r="E110" s="116">
        <v>118.4</v>
      </c>
      <c r="F110" s="116">
        <v>116.95</v>
      </c>
      <c r="G110">
        <v>20000</v>
      </c>
      <c r="H110" s="116"/>
      <c r="I110" s="116"/>
      <c r="L110" s="170"/>
    </row>
    <row r="111" spans="1:12" x14ac:dyDescent="0.25">
      <c r="A111" s="170">
        <v>45076</v>
      </c>
      <c r="B111" s="116">
        <v>115.9</v>
      </c>
      <c r="C111" s="116">
        <v>115.9</v>
      </c>
      <c r="D111" s="116">
        <v>113.25</v>
      </c>
      <c r="E111" s="116">
        <v>115</v>
      </c>
      <c r="F111" s="116">
        <v>115.9</v>
      </c>
      <c r="G111">
        <v>18000</v>
      </c>
      <c r="H111" s="116"/>
      <c r="I111" s="116"/>
      <c r="L111" s="170"/>
    </row>
    <row r="112" spans="1:12" x14ac:dyDescent="0.25">
      <c r="A112" s="170">
        <v>45077</v>
      </c>
      <c r="B112" s="116">
        <v>114</v>
      </c>
      <c r="C112" s="116">
        <v>114</v>
      </c>
      <c r="D112" s="116">
        <v>110</v>
      </c>
      <c r="E112" s="116">
        <v>113.2</v>
      </c>
      <c r="F112" s="116">
        <v>114</v>
      </c>
      <c r="G112">
        <v>8000</v>
      </c>
      <c r="H112" s="116"/>
      <c r="I112" s="116"/>
      <c r="L112" s="170"/>
    </row>
    <row r="113" spans="1:12" x14ac:dyDescent="0.25">
      <c r="A113" s="170">
        <v>45079</v>
      </c>
      <c r="B113" s="116">
        <v>117.8</v>
      </c>
      <c r="C113" s="116">
        <v>116</v>
      </c>
      <c r="D113" s="116">
        <v>115</v>
      </c>
      <c r="E113" s="116">
        <v>115</v>
      </c>
      <c r="F113" s="116">
        <v>116</v>
      </c>
      <c r="G113">
        <v>22000</v>
      </c>
      <c r="H113" s="116"/>
      <c r="I113" s="116"/>
      <c r="L113" s="170"/>
    </row>
    <row r="114" spans="1:12" x14ac:dyDescent="0.25">
      <c r="A114" s="170">
        <v>45082</v>
      </c>
      <c r="B114" s="116">
        <v>119</v>
      </c>
      <c r="C114" s="116">
        <v>118.5</v>
      </c>
      <c r="D114" s="116">
        <v>117</v>
      </c>
      <c r="E114" s="116">
        <v>119</v>
      </c>
      <c r="F114" s="116">
        <v>118.5</v>
      </c>
      <c r="G114">
        <v>10000</v>
      </c>
      <c r="H114" s="116"/>
      <c r="I114" s="116"/>
      <c r="L114" s="170"/>
    </row>
    <row r="115" spans="1:12" x14ac:dyDescent="0.25">
      <c r="A115" s="170">
        <v>45083</v>
      </c>
      <c r="B115" s="116">
        <v>121</v>
      </c>
      <c r="C115" s="116">
        <v>120.35</v>
      </c>
      <c r="D115" s="116">
        <v>113.55</v>
      </c>
      <c r="E115" s="116">
        <v>113.55</v>
      </c>
      <c r="F115" s="116">
        <v>120.35</v>
      </c>
      <c r="G115">
        <v>26000</v>
      </c>
      <c r="H115" s="116"/>
      <c r="I115" s="116"/>
      <c r="L115" s="170"/>
    </row>
    <row r="116" spans="1:12" x14ac:dyDescent="0.25">
      <c r="A116" s="170">
        <v>45084</v>
      </c>
      <c r="B116" s="116">
        <v>138.05000000000001</v>
      </c>
      <c r="C116" s="116">
        <v>136.15</v>
      </c>
      <c r="D116" s="116">
        <v>122.95</v>
      </c>
      <c r="E116" s="116">
        <v>122.95</v>
      </c>
      <c r="F116" s="116">
        <v>136.15</v>
      </c>
      <c r="G116">
        <v>116000</v>
      </c>
      <c r="H116" s="116"/>
      <c r="I116" s="116"/>
      <c r="L116" s="170"/>
    </row>
    <row r="117" spans="1:12" x14ac:dyDescent="0.25">
      <c r="A117" s="170">
        <v>45085</v>
      </c>
      <c r="B117" s="116">
        <v>136</v>
      </c>
      <c r="C117" s="116">
        <v>131.5</v>
      </c>
      <c r="D117" s="116">
        <v>126.6</v>
      </c>
      <c r="E117" s="116">
        <v>135</v>
      </c>
      <c r="F117" s="116">
        <v>131.5</v>
      </c>
      <c r="G117">
        <v>48000</v>
      </c>
      <c r="H117" s="116"/>
      <c r="I117" s="116"/>
      <c r="L117" s="170"/>
    </row>
    <row r="118" spans="1:12" x14ac:dyDescent="0.25">
      <c r="A118" s="170">
        <v>45086</v>
      </c>
      <c r="B118" s="116">
        <v>140</v>
      </c>
      <c r="C118" s="116">
        <v>140</v>
      </c>
      <c r="D118" s="116">
        <v>133.9</v>
      </c>
      <c r="E118" s="116">
        <v>133.9</v>
      </c>
      <c r="F118" s="116">
        <v>140</v>
      </c>
      <c r="G118">
        <v>36000</v>
      </c>
      <c r="H118" s="116"/>
      <c r="I118" s="116"/>
      <c r="L118" s="170"/>
    </row>
    <row r="119" spans="1:12" x14ac:dyDescent="0.25">
      <c r="A119" s="170">
        <v>45089</v>
      </c>
      <c r="B119" s="116">
        <v>144.30000000000001</v>
      </c>
      <c r="C119" s="116">
        <v>141.4</v>
      </c>
      <c r="D119" s="116">
        <v>139</v>
      </c>
      <c r="E119" s="116">
        <v>141</v>
      </c>
      <c r="F119" s="116">
        <v>141.4</v>
      </c>
      <c r="G119">
        <v>32000</v>
      </c>
      <c r="H119" s="116"/>
      <c r="I119" s="116"/>
      <c r="L119" s="170"/>
    </row>
    <row r="120" spans="1:12" x14ac:dyDescent="0.25">
      <c r="A120" s="170">
        <v>45090</v>
      </c>
      <c r="B120" s="116">
        <v>142.5</v>
      </c>
      <c r="C120" s="116">
        <v>141.85</v>
      </c>
      <c r="D120" s="116">
        <v>138</v>
      </c>
      <c r="E120" s="116">
        <v>142.5</v>
      </c>
      <c r="F120" s="116">
        <v>141.85</v>
      </c>
      <c r="G120">
        <v>22000</v>
      </c>
      <c r="H120" s="116"/>
      <c r="I120" s="116"/>
      <c r="L120" s="170"/>
    </row>
    <row r="121" spans="1:12" x14ac:dyDescent="0.25">
      <c r="A121" s="170">
        <v>45091</v>
      </c>
      <c r="B121" s="116">
        <v>150</v>
      </c>
      <c r="C121" s="116">
        <v>149.4</v>
      </c>
      <c r="D121" s="116">
        <v>143.94999999999999</v>
      </c>
      <c r="E121" s="116">
        <v>143.94999999999999</v>
      </c>
      <c r="F121" s="116">
        <v>149.4</v>
      </c>
      <c r="G121">
        <v>52000</v>
      </c>
      <c r="H121" s="116"/>
      <c r="I121" s="116"/>
      <c r="L121" s="170"/>
    </row>
    <row r="122" spans="1:12" x14ac:dyDescent="0.25">
      <c r="A122" s="170">
        <v>45092</v>
      </c>
      <c r="B122" s="116">
        <v>157.5</v>
      </c>
      <c r="C122" s="116">
        <v>152</v>
      </c>
      <c r="D122" s="116">
        <v>145.1</v>
      </c>
      <c r="E122" s="116">
        <v>151</v>
      </c>
      <c r="F122" s="116">
        <v>152</v>
      </c>
      <c r="G122">
        <v>56000</v>
      </c>
      <c r="H122" s="116"/>
      <c r="I122" s="116"/>
      <c r="L122" s="170"/>
    </row>
    <row r="123" spans="1:12" x14ac:dyDescent="0.25">
      <c r="A123" s="170">
        <v>45093</v>
      </c>
      <c r="B123" s="116">
        <v>157</v>
      </c>
      <c r="C123" s="116">
        <v>146.15</v>
      </c>
      <c r="D123" s="116">
        <v>146.15</v>
      </c>
      <c r="E123" s="116">
        <v>157</v>
      </c>
      <c r="F123" s="116">
        <v>146.15</v>
      </c>
      <c r="G123">
        <v>12000</v>
      </c>
      <c r="H123" s="116"/>
      <c r="I123" s="116"/>
      <c r="L123" s="170"/>
    </row>
    <row r="124" spans="1:12" x14ac:dyDescent="0.25">
      <c r="A124" s="170">
        <v>45096</v>
      </c>
      <c r="B124" s="116">
        <v>151.5</v>
      </c>
      <c r="C124" s="116">
        <v>151.5</v>
      </c>
      <c r="D124" s="116">
        <v>145.1</v>
      </c>
      <c r="E124" s="116">
        <v>146.1</v>
      </c>
      <c r="F124" s="116">
        <v>151.5</v>
      </c>
      <c r="G124">
        <v>10000</v>
      </c>
      <c r="H124" s="116"/>
      <c r="I124" s="116"/>
      <c r="L124" s="170"/>
    </row>
    <row r="125" spans="1:12" x14ac:dyDescent="0.25">
      <c r="A125" s="170">
        <v>45097</v>
      </c>
      <c r="B125" s="116">
        <v>167.3</v>
      </c>
      <c r="C125" s="116">
        <v>166.15</v>
      </c>
      <c r="D125" s="116">
        <v>145</v>
      </c>
      <c r="E125" s="116">
        <v>146.80000000000001</v>
      </c>
      <c r="F125" s="116">
        <v>166.15</v>
      </c>
      <c r="G125">
        <v>126000</v>
      </c>
      <c r="H125" s="116"/>
      <c r="I125" s="116"/>
      <c r="L125" s="170"/>
    </row>
    <row r="126" spans="1:12" x14ac:dyDescent="0.25">
      <c r="A126" s="170">
        <v>45098</v>
      </c>
      <c r="B126" s="116">
        <v>177.5</v>
      </c>
      <c r="C126" s="116">
        <v>171.4</v>
      </c>
      <c r="D126" s="116">
        <v>166.3</v>
      </c>
      <c r="E126" s="116">
        <v>169</v>
      </c>
      <c r="F126" s="116">
        <v>171.4</v>
      </c>
      <c r="G126">
        <v>90000</v>
      </c>
      <c r="H126" s="116"/>
      <c r="I126" s="116"/>
      <c r="L126" s="170"/>
    </row>
    <row r="127" spans="1:12" x14ac:dyDescent="0.25">
      <c r="A127" s="170">
        <v>45099</v>
      </c>
      <c r="B127" s="116">
        <v>179.95</v>
      </c>
      <c r="C127" s="116">
        <v>171.95</v>
      </c>
      <c r="D127" s="116">
        <v>171.9</v>
      </c>
      <c r="E127" s="116">
        <v>173</v>
      </c>
      <c r="F127" s="116">
        <v>171.95</v>
      </c>
      <c r="G127">
        <v>28000</v>
      </c>
      <c r="H127" s="116"/>
      <c r="I127" s="116"/>
      <c r="L127" s="170"/>
    </row>
    <row r="128" spans="1:12" x14ac:dyDescent="0.25">
      <c r="A128" s="170">
        <v>45100</v>
      </c>
      <c r="B128" s="116">
        <v>167.05</v>
      </c>
      <c r="C128" s="116">
        <v>162.15</v>
      </c>
      <c r="D128" s="116">
        <v>161</v>
      </c>
      <c r="E128" s="116">
        <v>167.05</v>
      </c>
      <c r="F128" s="116">
        <v>162.15</v>
      </c>
      <c r="G128">
        <v>22000</v>
      </c>
      <c r="H128" s="116"/>
      <c r="I128" s="116"/>
      <c r="L128" s="170"/>
    </row>
    <row r="129" spans="1:12" x14ac:dyDescent="0.25">
      <c r="A129" s="170">
        <v>45103</v>
      </c>
      <c r="B129" s="116">
        <v>166</v>
      </c>
      <c r="C129" s="116">
        <v>165.95</v>
      </c>
      <c r="D129" s="116">
        <v>161</v>
      </c>
      <c r="E129" s="116">
        <v>161</v>
      </c>
      <c r="F129" s="116">
        <v>165.95</v>
      </c>
      <c r="G129">
        <v>28000</v>
      </c>
      <c r="H129" s="116"/>
      <c r="I129" s="116"/>
      <c r="L129" s="170"/>
    </row>
    <row r="130" spans="1:12" x14ac:dyDescent="0.25">
      <c r="A130" s="170">
        <v>45104</v>
      </c>
      <c r="B130" s="116">
        <v>162.05000000000001</v>
      </c>
      <c r="C130" s="116">
        <v>162</v>
      </c>
      <c r="D130" s="116">
        <v>161.25</v>
      </c>
      <c r="E130" s="116">
        <v>162.05000000000001</v>
      </c>
      <c r="F130" s="116">
        <v>162</v>
      </c>
      <c r="G130">
        <v>10000</v>
      </c>
      <c r="H130" s="116"/>
      <c r="I130" s="116"/>
      <c r="L130" s="170"/>
    </row>
    <row r="131" spans="1:12" x14ac:dyDescent="0.25">
      <c r="A131" s="170">
        <v>45105</v>
      </c>
      <c r="B131" s="116">
        <v>161.05000000000001</v>
      </c>
      <c r="C131" s="116">
        <v>156.5</v>
      </c>
      <c r="D131" s="116">
        <v>155.55000000000001</v>
      </c>
      <c r="E131" s="116">
        <v>161.05000000000001</v>
      </c>
      <c r="F131" s="116">
        <v>156.5</v>
      </c>
      <c r="G131">
        <v>16000</v>
      </c>
      <c r="H131" s="116"/>
      <c r="I131" s="116"/>
      <c r="L131" s="170"/>
    </row>
    <row r="132" spans="1:12" x14ac:dyDescent="0.25">
      <c r="A132" s="170">
        <v>45107</v>
      </c>
      <c r="B132" s="116">
        <v>165</v>
      </c>
      <c r="C132" s="116">
        <v>164</v>
      </c>
      <c r="D132" s="116">
        <v>156.1</v>
      </c>
      <c r="E132" s="116">
        <v>160.55000000000001</v>
      </c>
      <c r="F132" s="116">
        <v>164</v>
      </c>
      <c r="G132">
        <v>20000</v>
      </c>
      <c r="H132" s="116"/>
      <c r="I132" s="116"/>
      <c r="L132" s="170"/>
    </row>
    <row r="133" spans="1:12" x14ac:dyDescent="0.25">
      <c r="A133" s="170">
        <v>45110</v>
      </c>
      <c r="B133" s="116">
        <v>170</v>
      </c>
      <c r="C133" s="116">
        <v>170</v>
      </c>
      <c r="D133" s="116">
        <v>164.5</v>
      </c>
      <c r="E133" s="116">
        <v>164.5</v>
      </c>
      <c r="F133" s="116">
        <v>170</v>
      </c>
      <c r="G133">
        <v>20000</v>
      </c>
      <c r="H133" s="116"/>
      <c r="I133" s="116"/>
      <c r="L133" s="170"/>
    </row>
    <row r="134" spans="1:12" x14ac:dyDescent="0.25">
      <c r="A134" s="170">
        <v>45111</v>
      </c>
      <c r="B134" s="116">
        <v>172</v>
      </c>
      <c r="C134" s="116">
        <v>161</v>
      </c>
      <c r="D134" s="116">
        <v>161</v>
      </c>
      <c r="E134" s="116">
        <v>172</v>
      </c>
      <c r="F134" s="116">
        <v>161</v>
      </c>
      <c r="G134">
        <v>12000</v>
      </c>
      <c r="H134" s="116"/>
      <c r="I134" s="116"/>
      <c r="L134" s="170"/>
    </row>
    <row r="135" spans="1:12" x14ac:dyDescent="0.25">
      <c r="A135" s="170">
        <v>45112</v>
      </c>
      <c r="B135" s="116">
        <v>161</v>
      </c>
      <c r="C135" s="116">
        <v>161</v>
      </c>
      <c r="D135" s="116">
        <v>155.1</v>
      </c>
      <c r="E135" s="116">
        <v>156</v>
      </c>
      <c r="F135" s="116">
        <v>161</v>
      </c>
      <c r="G135">
        <v>10000</v>
      </c>
      <c r="H135" s="116"/>
      <c r="I135" s="116"/>
      <c r="L135" s="170"/>
    </row>
    <row r="136" spans="1:12" x14ac:dyDescent="0.25">
      <c r="A136" s="170">
        <v>45113</v>
      </c>
      <c r="B136" s="116">
        <v>169</v>
      </c>
      <c r="C136" s="116">
        <v>169</v>
      </c>
      <c r="D136" s="116">
        <v>163</v>
      </c>
      <c r="E136" s="116">
        <v>163</v>
      </c>
      <c r="F136" s="116">
        <v>169</v>
      </c>
      <c r="G136">
        <v>10000</v>
      </c>
      <c r="H136" s="116"/>
      <c r="I136" s="116"/>
      <c r="L136" s="170"/>
    </row>
    <row r="137" spans="1:12" x14ac:dyDescent="0.25">
      <c r="A137" s="170">
        <v>45114</v>
      </c>
      <c r="B137" s="116">
        <v>177.4</v>
      </c>
      <c r="C137" s="116">
        <v>175</v>
      </c>
      <c r="D137" s="116">
        <v>172</v>
      </c>
      <c r="E137" s="116">
        <v>172</v>
      </c>
      <c r="F137" s="116">
        <v>175</v>
      </c>
      <c r="G137">
        <v>38000</v>
      </c>
      <c r="H137" s="116"/>
      <c r="I137" s="116"/>
      <c r="L137" s="170"/>
    </row>
    <row r="138" spans="1:12" x14ac:dyDescent="0.25">
      <c r="A138" s="170">
        <v>45117</v>
      </c>
      <c r="B138" s="116">
        <v>175</v>
      </c>
      <c r="C138" s="116">
        <v>175</v>
      </c>
      <c r="D138" s="116">
        <v>175</v>
      </c>
      <c r="E138" s="116">
        <v>175</v>
      </c>
      <c r="F138" s="116">
        <v>175</v>
      </c>
      <c r="G138">
        <v>10000</v>
      </c>
      <c r="H138" s="116"/>
      <c r="I138" s="116"/>
      <c r="L138" s="170"/>
    </row>
    <row r="139" spans="1:12" x14ac:dyDescent="0.25">
      <c r="A139" s="170">
        <v>45118</v>
      </c>
      <c r="B139" s="116">
        <v>185</v>
      </c>
      <c r="C139" s="116">
        <v>181.95</v>
      </c>
      <c r="D139" s="116">
        <v>175</v>
      </c>
      <c r="E139" s="116">
        <v>175</v>
      </c>
      <c r="F139" s="116">
        <v>181.95</v>
      </c>
      <c r="G139">
        <v>38000</v>
      </c>
      <c r="H139" s="116"/>
      <c r="I139" s="116"/>
      <c r="L139" s="170"/>
    </row>
    <row r="140" spans="1:12" x14ac:dyDescent="0.25">
      <c r="A140" s="170">
        <v>45119</v>
      </c>
      <c r="B140" s="116">
        <v>184</v>
      </c>
      <c r="C140" s="116">
        <v>183</v>
      </c>
      <c r="D140" s="116">
        <v>178.1</v>
      </c>
      <c r="E140" s="116">
        <v>184</v>
      </c>
      <c r="F140" s="116">
        <v>183</v>
      </c>
      <c r="G140">
        <v>22000</v>
      </c>
      <c r="H140" s="116"/>
      <c r="I140" s="116"/>
      <c r="L140" s="170"/>
    </row>
    <row r="141" spans="1:12" x14ac:dyDescent="0.25">
      <c r="A141" s="170">
        <v>45120</v>
      </c>
      <c r="B141" s="116">
        <v>177</v>
      </c>
      <c r="C141" s="116">
        <v>176.85</v>
      </c>
      <c r="D141" s="116">
        <v>176.7</v>
      </c>
      <c r="E141" s="116">
        <v>177</v>
      </c>
      <c r="F141" s="116">
        <v>176.85</v>
      </c>
      <c r="G141">
        <v>4000</v>
      </c>
      <c r="H141" s="116"/>
      <c r="I141" s="116"/>
      <c r="L141" s="170"/>
    </row>
    <row r="142" spans="1:12" x14ac:dyDescent="0.25">
      <c r="A142" s="170">
        <v>45124</v>
      </c>
      <c r="B142" s="116">
        <v>184.7</v>
      </c>
      <c r="C142" s="116">
        <v>180</v>
      </c>
      <c r="D142" s="116">
        <v>180</v>
      </c>
      <c r="E142" s="116">
        <v>180</v>
      </c>
      <c r="F142" s="116">
        <v>180</v>
      </c>
      <c r="G142">
        <v>24000</v>
      </c>
      <c r="H142" s="116"/>
      <c r="I142" s="116"/>
      <c r="L142" s="170"/>
    </row>
    <row r="143" spans="1:12" x14ac:dyDescent="0.25">
      <c r="A143" s="170">
        <v>45125</v>
      </c>
      <c r="B143" s="116">
        <v>182</v>
      </c>
      <c r="C143" s="116">
        <v>180</v>
      </c>
      <c r="D143" s="116">
        <v>178</v>
      </c>
      <c r="E143" s="116">
        <v>182</v>
      </c>
      <c r="F143" s="116">
        <v>180</v>
      </c>
      <c r="G143">
        <v>12000</v>
      </c>
      <c r="H143" s="116"/>
      <c r="I143" s="116"/>
      <c r="L143" s="170"/>
    </row>
    <row r="144" spans="1:12" x14ac:dyDescent="0.25">
      <c r="A144" s="170">
        <v>45126</v>
      </c>
      <c r="B144" s="116">
        <v>182</v>
      </c>
      <c r="C144" s="116">
        <v>182</v>
      </c>
      <c r="D144" s="116">
        <v>178</v>
      </c>
      <c r="E144" s="116">
        <v>178</v>
      </c>
      <c r="F144" s="116">
        <v>182</v>
      </c>
      <c r="G144">
        <v>12000</v>
      </c>
      <c r="H144" s="116"/>
      <c r="I144" s="116"/>
      <c r="L144" s="170"/>
    </row>
    <row r="145" spans="1:18" x14ac:dyDescent="0.25">
      <c r="A145" s="170">
        <v>45127</v>
      </c>
      <c r="B145" s="116">
        <v>187.4</v>
      </c>
      <c r="C145" s="116">
        <v>187.3</v>
      </c>
      <c r="D145" s="116">
        <v>184</v>
      </c>
      <c r="E145" s="116">
        <v>184</v>
      </c>
      <c r="F145" s="116">
        <v>187.3</v>
      </c>
      <c r="G145">
        <v>14000</v>
      </c>
      <c r="H145" s="116"/>
      <c r="I145" s="116"/>
      <c r="L145" s="170"/>
    </row>
    <row r="146" spans="1:18" x14ac:dyDescent="0.25">
      <c r="A146" s="170">
        <v>45128</v>
      </c>
      <c r="B146" s="116">
        <v>191.7</v>
      </c>
      <c r="C146" s="116">
        <v>191.7</v>
      </c>
      <c r="D146" s="116">
        <v>187</v>
      </c>
      <c r="E146" s="116">
        <v>187</v>
      </c>
      <c r="F146" s="116">
        <v>191.7</v>
      </c>
      <c r="G146">
        <v>24000</v>
      </c>
      <c r="H146" s="116"/>
      <c r="I146" s="116"/>
      <c r="L146" s="170"/>
    </row>
    <row r="147" spans="1:18" x14ac:dyDescent="0.25">
      <c r="A147" s="170">
        <v>45131</v>
      </c>
      <c r="B147" s="116">
        <v>190</v>
      </c>
      <c r="C147" s="116">
        <v>186</v>
      </c>
      <c r="D147" s="116">
        <v>186</v>
      </c>
      <c r="E147" s="116">
        <v>187</v>
      </c>
      <c r="F147" s="116">
        <v>186</v>
      </c>
      <c r="G147">
        <v>12000</v>
      </c>
      <c r="H147" s="116"/>
      <c r="I147" s="116"/>
      <c r="L147" s="170"/>
    </row>
    <row r="148" spans="1:18" x14ac:dyDescent="0.25">
      <c r="A148" s="170">
        <v>45132</v>
      </c>
      <c r="B148" s="116">
        <v>185</v>
      </c>
      <c r="C148" s="116">
        <v>180</v>
      </c>
      <c r="D148" s="116">
        <v>180</v>
      </c>
      <c r="E148" s="116">
        <v>181.1</v>
      </c>
      <c r="F148" s="116">
        <v>180</v>
      </c>
      <c r="G148">
        <v>20000</v>
      </c>
      <c r="H148" s="116"/>
      <c r="I148" s="116"/>
      <c r="L148" s="170"/>
    </row>
    <row r="149" spans="1:18" x14ac:dyDescent="0.25">
      <c r="A149" s="170">
        <v>45133</v>
      </c>
      <c r="B149" s="116">
        <v>182</v>
      </c>
      <c r="C149" s="116">
        <v>179.9</v>
      </c>
      <c r="D149" s="116">
        <v>176</v>
      </c>
      <c r="E149" s="116">
        <v>182</v>
      </c>
      <c r="F149" s="116">
        <v>179.9</v>
      </c>
      <c r="G149">
        <v>24000</v>
      </c>
      <c r="H149" s="116"/>
      <c r="I149" s="116"/>
      <c r="L149" s="170"/>
    </row>
    <row r="150" spans="1:18" x14ac:dyDescent="0.25">
      <c r="A150" s="170">
        <v>45134</v>
      </c>
      <c r="B150" s="116">
        <v>173</v>
      </c>
      <c r="C150" s="116">
        <v>161.19999999999999</v>
      </c>
      <c r="D150" s="116">
        <v>149</v>
      </c>
      <c r="E150" s="116">
        <v>173</v>
      </c>
      <c r="F150" s="116">
        <v>161.19999999999999</v>
      </c>
      <c r="G150">
        <v>126000</v>
      </c>
      <c r="H150" s="116"/>
      <c r="I150" s="116"/>
      <c r="L150" s="170"/>
    </row>
    <row r="151" spans="1:18" x14ac:dyDescent="0.25">
      <c r="A151" s="170">
        <v>45135</v>
      </c>
      <c r="B151" s="116">
        <v>170</v>
      </c>
      <c r="C151" s="116">
        <v>168</v>
      </c>
      <c r="D151" s="116">
        <v>165</v>
      </c>
      <c r="E151" s="116">
        <v>165</v>
      </c>
      <c r="F151" s="116">
        <v>168</v>
      </c>
      <c r="G151">
        <v>14000</v>
      </c>
      <c r="H151" s="116"/>
      <c r="I151" s="116"/>
      <c r="L151" s="170"/>
    </row>
    <row r="152" spans="1:18" x14ac:dyDescent="0.25">
      <c r="A152" s="170">
        <v>45138</v>
      </c>
      <c r="B152" s="116">
        <v>190</v>
      </c>
      <c r="C152" s="116">
        <v>189</v>
      </c>
      <c r="D152" s="116">
        <v>171.5</v>
      </c>
      <c r="E152" s="116">
        <v>171.5</v>
      </c>
      <c r="F152" s="116">
        <v>189</v>
      </c>
      <c r="G152">
        <v>26000</v>
      </c>
      <c r="H152" s="116"/>
      <c r="I152" s="116"/>
      <c r="L152" s="170"/>
    </row>
    <row r="153" spans="1:18" x14ac:dyDescent="0.25">
      <c r="A153" s="170">
        <v>45139</v>
      </c>
      <c r="B153" s="116">
        <v>226.8</v>
      </c>
      <c r="C153" s="116">
        <v>226.8</v>
      </c>
      <c r="D153" s="116">
        <v>189</v>
      </c>
      <c r="E153" s="116">
        <v>190</v>
      </c>
      <c r="F153" s="116">
        <v>226.8</v>
      </c>
      <c r="G153">
        <v>94000</v>
      </c>
      <c r="H153" s="116"/>
      <c r="I153" s="116"/>
      <c r="L153" s="170"/>
    </row>
    <row r="154" spans="1:18" x14ac:dyDescent="0.25">
      <c r="A154" s="170">
        <v>45140</v>
      </c>
      <c r="B154" s="116">
        <v>240.8</v>
      </c>
      <c r="C154" s="116">
        <v>211</v>
      </c>
      <c r="D154" s="116">
        <v>193.6</v>
      </c>
      <c r="E154" s="116">
        <v>240.8</v>
      </c>
      <c r="F154" s="116">
        <v>211</v>
      </c>
      <c r="G154">
        <v>48000</v>
      </c>
      <c r="H154" s="116"/>
      <c r="I154" s="116"/>
      <c r="L154" s="170">
        <v>42223</v>
      </c>
      <c r="M154" s="116">
        <v>161.55000000000001</v>
      </c>
      <c r="N154" s="116">
        <v>165.88</v>
      </c>
      <c r="O154" s="116">
        <v>159.4</v>
      </c>
      <c r="P154" s="116">
        <v>159.94</v>
      </c>
      <c r="Q154" s="116">
        <v>807.75</v>
      </c>
      <c r="R154">
        <v>108192</v>
      </c>
    </row>
    <row r="155" spans="1:18" x14ac:dyDescent="0.25">
      <c r="A155" s="170">
        <v>45141</v>
      </c>
      <c r="B155" s="116">
        <v>205.2</v>
      </c>
      <c r="C155" s="116">
        <v>205</v>
      </c>
      <c r="D155" s="116">
        <v>198</v>
      </c>
      <c r="E155" s="116">
        <v>205.2</v>
      </c>
      <c r="F155" s="116">
        <v>205</v>
      </c>
      <c r="G155">
        <v>16000</v>
      </c>
      <c r="H155" s="116"/>
      <c r="I155" s="116"/>
      <c r="L155" s="170">
        <v>42226</v>
      </c>
      <c r="M155" s="116">
        <v>160.41</v>
      </c>
      <c r="N155" s="116">
        <v>163.6</v>
      </c>
      <c r="O155" s="116">
        <v>159.72999999999999</v>
      </c>
      <c r="P155" s="116">
        <v>161.61000000000001</v>
      </c>
      <c r="Q155" s="116">
        <v>802.05</v>
      </c>
      <c r="R155">
        <v>35474</v>
      </c>
    </row>
    <row r="156" spans="1:18" x14ac:dyDescent="0.25">
      <c r="A156" s="170">
        <v>45145</v>
      </c>
      <c r="B156" s="116">
        <v>215</v>
      </c>
      <c r="C156" s="116">
        <v>212.5</v>
      </c>
      <c r="D156" s="116">
        <v>205.1</v>
      </c>
      <c r="E156" s="116">
        <v>207.9</v>
      </c>
      <c r="F156" s="116">
        <v>212.5</v>
      </c>
      <c r="G156">
        <v>14000</v>
      </c>
      <c r="H156" s="116"/>
      <c r="I156" s="116"/>
      <c r="L156" s="170">
        <v>42227</v>
      </c>
      <c r="M156" s="116">
        <v>158.08000000000001</v>
      </c>
      <c r="N156" s="116">
        <v>161.4</v>
      </c>
      <c r="O156" s="116">
        <v>157.71</v>
      </c>
      <c r="P156" s="116">
        <v>160.99</v>
      </c>
      <c r="Q156" s="116">
        <v>790.4</v>
      </c>
      <c r="R156">
        <v>18847</v>
      </c>
    </row>
    <row r="157" spans="1:18" x14ac:dyDescent="0.25">
      <c r="A157" s="170">
        <v>45146</v>
      </c>
      <c r="B157" s="116">
        <v>210</v>
      </c>
      <c r="C157" s="116">
        <v>201.5</v>
      </c>
      <c r="D157" s="116">
        <v>197.1</v>
      </c>
      <c r="E157" s="116">
        <v>209.9</v>
      </c>
      <c r="F157" s="116">
        <v>201.5</v>
      </c>
      <c r="G157">
        <v>20000</v>
      </c>
      <c r="H157" s="116"/>
      <c r="I157" s="116"/>
      <c r="L157" s="170">
        <v>42228</v>
      </c>
      <c r="M157" s="116">
        <v>151.19999999999999</v>
      </c>
      <c r="N157" s="116">
        <v>158</v>
      </c>
      <c r="O157" s="116">
        <v>150.33000000000001</v>
      </c>
      <c r="P157" s="116">
        <v>156.02000000000001</v>
      </c>
      <c r="Q157" s="116">
        <v>756</v>
      </c>
      <c r="R157">
        <v>38640</v>
      </c>
    </row>
    <row r="158" spans="1:18" x14ac:dyDescent="0.25">
      <c r="A158" s="170">
        <v>45147</v>
      </c>
      <c r="B158" s="116">
        <v>197.9</v>
      </c>
      <c r="C158" s="116">
        <v>188.5</v>
      </c>
      <c r="D158" s="116">
        <v>185</v>
      </c>
      <c r="E158" s="116">
        <v>193</v>
      </c>
      <c r="F158" s="116">
        <v>188.5</v>
      </c>
      <c r="G158">
        <v>34000</v>
      </c>
      <c r="H158" s="116"/>
      <c r="I158" s="116"/>
      <c r="L158" s="170">
        <v>42229</v>
      </c>
      <c r="M158" s="116">
        <v>152.88</v>
      </c>
      <c r="N158" s="116">
        <v>158.18</v>
      </c>
      <c r="O158" s="116">
        <v>151.19</v>
      </c>
      <c r="P158" s="116">
        <v>151.19999999999999</v>
      </c>
      <c r="Q158" s="116">
        <v>764.4</v>
      </c>
      <c r="R158">
        <v>37581</v>
      </c>
    </row>
    <row r="159" spans="1:18" x14ac:dyDescent="0.25">
      <c r="A159" s="170">
        <v>45148</v>
      </c>
      <c r="B159" s="116">
        <v>204</v>
      </c>
      <c r="C159" s="116">
        <v>177.9</v>
      </c>
      <c r="D159" s="116">
        <v>175.1</v>
      </c>
      <c r="E159" s="116">
        <v>204</v>
      </c>
      <c r="F159" s="116">
        <v>177.9</v>
      </c>
      <c r="G159">
        <v>70000</v>
      </c>
      <c r="H159" s="116"/>
      <c r="I159" s="116"/>
      <c r="L159" s="170">
        <v>42230</v>
      </c>
      <c r="M159" s="116">
        <v>156.15</v>
      </c>
      <c r="N159" s="116">
        <v>157.19999999999999</v>
      </c>
      <c r="O159" s="116">
        <v>153.19999999999999</v>
      </c>
      <c r="P159" s="116">
        <v>153.51</v>
      </c>
      <c r="Q159" s="116">
        <v>780.75</v>
      </c>
      <c r="R159">
        <v>24153</v>
      </c>
    </row>
    <row r="160" spans="1:18" x14ac:dyDescent="0.25">
      <c r="A160" s="170">
        <v>45149</v>
      </c>
      <c r="B160" s="116">
        <v>179.3</v>
      </c>
      <c r="C160" s="116">
        <v>172.65</v>
      </c>
      <c r="D160" s="116">
        <v>171</v>
      </c>
      <c r="E160" s="116">
        <v>176</v>
      </c>
      <c r="F160" s="116">
        <v>172.65</v>
      </c>
      <c r="G160">
        <v>20000</v>
      </c>
      <c r="H160" s="116"/>
      <c r="I160" s="116"/>
      <c r="L160" s="170">
        <v>42233</v>
      </c>
      <c r="M160" s="116">
        <v>162.63</v>
      </c>
      <c r="N160" s="116">
        <v>164.2</v>
      </c>
      <c r="O160" s="116">
        <v>153.61000000000001</v>
      </c>
      <c r="P160" s="116">
        <v>156.19999999999999</v>
      </c>
      <c r="Q160" s="116">
        <v>813.15</v>
      </c>
      <c r="R160">
        <v>51002</v>
      </c>
    </row>
    <row r="161" spans="1:18" x14ac:dyDescent="0.25">
      <c r="A161" s="170">
        <v>45152</v>
      </c>
      <c r="B161" s="116">
        <v>192</v>
      </c>
      <c r="C161" s="116">
        <v>188.95</v>
      </c>
      <c r="D161" s="116">
        <v>178</v>
      </c>
      <c r="E161" s="116">
        <v>178</v>
      </c>
      <c r="F161" s="116">
        <v>188.95</v>
      </c>
      <c r="G161">
        <v>24000</v>
      </c>
      <c r="H161" s="116"/>
      <c r="I161" s="116"/>
      <c r="L161" s="170">
        <v>42234</v>
      </c>
      <c r="M161" s="116">
        <v>160.61000000000001</v>
      </c>
      <c r="N161" s="116">
        <v>166.74</v>
      </c>
      <c r="O161" s="116">
        <v>159.41</v>
      </c>
      <c r="P161" s="116">
        <v>163.19999999999999</v>
      </c>
      <c r="Q161" s="116">
        <v>803.05</v>
      </c>
      <c r="R161">
        <v>67272</v>
      </c>
    </row>
    <row r="162" spans="1:18" x14ac:dyDescent="0.25">
      <c r="A162" s="170">
        <v>45154</v>
      </c>
      <c r="B162" s="116">
        <v>193</v>
      </c>
      <c r="C162" s="116">
        <v>190</v>
      </c>
      <c r="D162" s="116">
        <v>190</v>
      </c>
      <c r="E162" s="116">
        <v>193</v>
      </c>
      <c r="F162" s="116">
        <v>190</v>
      </c>
      <c r="G162">
        <v>8000</v>
      </c>
      <c r="H162" s="116"/>
      <c r="I162" s="116"/>
      <c r="L162" s="170">
        <v>42235</v>
      </c>
      <c r="M162" s="116">
        <v>160.6</v>
      </c>
      <c r="N162" s="116">
        <v>162.80000000000001</v>
      </c>
      <c r="O162" s="116">
        <v>159.4</v>
      </c>
      <c r="P162" s="116">
        <v>160.75</v>
      </c>
      <c r="Q162" s="116">
        <v>803</v>
      </c>
      <c r="R162">
        <v>31220</v>
      </c>
    </row>
    <row r="163" spans="1:18" x14ac:dyDescent="0.25">
      <c r="A163" s="170">
        <v>45155</v>
      </c>
      <c r="B163" s="116">
        <v>200</v>
      </c>
      <c r="C163" s="116">
        <v>193</v>
      </c>
      <c r="D163" s="116">
        <v>192</v>
      </c>
      <c r="E163" s="116">
        <v>196</v>
      </c>
      <c r="F163" s="116">
        <v>193</v>
      </c>
      <c r="G163">
        <v>12000</v>
      </c>
      <c r="H163" s="116"/>
      <c r="I163" s="116"/>
      <c r="L163" s="170">
        <v>42236</v>
      </c>
      <c r="M163" s="116">
        <v>156.13</v>
      </c>
      <c r="N163" s="116">
        <v>161.57</v>
      </c>
      <c r="O163" s="116">
        <v>155.19999999999999</v>
      </c>
      <c r="P163" s="116">
        <v>158.02000000000001</v>
      </c>
      <c r="Q163" s="116">
        <v>780.65</v>
      </c>
      <c r="R163">
        <v>35636</v>
      </c>
    </row>
    <row r="164" spans="1:18" x14ac:dyDescent="0.25">
      <c r="A164" s="170">
        <v>45156</v>
      </c>
      <c r="B164" s="116">
        <v>197.5</v>
      </c>
      <c r="C164" s="116">
        <v>197.5</v>
      </c>
      <c r="D164" s="116">
        <v>197.5</v>
      </c>
      <c r="E164" s="116">
        <v>197.5</v>
      </c>
      <c r="F164" s="116">
        <v>197.5</v>
      </c>
      <c r="G164">
        <v>2000</v>
      </c>
      <c r="H164" s="116"/>
      <c r="I164" s="116"/>
      <c r="L164" s="170">
        <v>42237</v>
      </c>
      <c r="M164" s="116">
        <v>159.21</v>
      </c>
      <c r="N164" s="116">
        <v>159.80000000000001</v>
      </c>
      <c r="O164" s="116">
        <v>152</v>
      </c>
      <c r="P164" s="116">
        <v>154</v>
      </c>
      <c r="Q164" s="116">
        <v>796.05</v>
      </c>
      <c r="R164">
        <v>49654</v>
      </c>
    </row>
    <row r="165" spans="1:18" x14ac:dyDescent="0.25">
      <c r="A165" s="170">
        <v>45159</v>
      </c>
      <c r="B165" s="116">
        <v>199</v>
      </c>
      <c r="C165" s="116">
        <v>192</v>
      </c>
      <c r="D165" s="116">
        <v>192</v>
      </c>
      <c r="E165" s="116">
        <v>199</v>
      </c>
      <c r="F165" s="116">
        <v>192</v>
      </c>
      <c r="G165">
        <v>6000</v>
      </c>
      <c r="H165" s="116"/>
      <c r="I165" s="116"/>
      <c r="L165" s="170">
        <v>42240</v>
      </c>
      <c r="M165" s="116">
        <v>145.63999999999999</v>
      </c>
      <c r="N165" s="116">
        <v>154.80000000000001</v>
      </c>
      <c r="O165" s="116">
        <v>142.86000000000001</v>
      </c>
      <c r="P165" s="116">
        <v>154</v>
      </c>
      <c r="Q165" s="116">
        <v>728.2</v>
      </c>
      <c r="R165">
        <v>68529</v>
      </c>
    </row>
    <row r="166" spans="1:18" x14ac:dyDescent="0.25">
      <c r="A166" s="170">
        <v>45160</v>
      </c>
      <c r="B166" s="116">
        <v>191.95</v>
      </c>
      <c r="C166" s="116">
        <v>190</v>
      </c>
      <c r="D166" s="116">
        <v>190</v>
      </c>
      <c r="E166" s="116">
        <v>191.95</v>
      </c>
      <c r="F166" s="116">
        <v>190</v>
      </c>
      <c r="G166">
        <v>6000</v>
      </c>
      <c r="H166" s="116"/>
      <c r="I166" s="116"/>
      <c r="L166" s="170">
        <v>42241</v>
      </c>
      <c r="M166" s="116">
        <v>150.4</v>
      </c>
      <c r="N166" s="116">
        <v>152.97999999999999</v>
      </c>
      <c r="O166" s="116">
        <v>136</v>
      </c>
      <c r="P166" s="116">
        <v>152</v>
      </c>
      <c r="Q166" s="116">
        <v>752</v>
      </c>
      <c r="R166">
        <v>87239</v>
      </c>
    </row>
    <row r="167" spans="1:18" x14ac:dyDescent="0.25">
      <c r="A167" s="170">
        <v>45161</v>
      </c>
      <c r="B167" s="116">
        <v>214</v>
      </c>
      <c r="C167" s="116">
        <v>209</v>
      </c>
      <c r="D167" s="116">
        <v>198</v>
      </c>
      <c r="E167" s="116">
        <v>198</v>
      </c>
      <c r="F167" s="116">
        <v>209</v>
      </c>
      <c r="G167">
        <v>28000</v>
      </c>
      <c r="H167" s="116"/>
      <c r="I167" s="116"/>
      <c r="L167" s="170">
        <v>42242</v>
      </c>
      <c r="M167" s="116">
        <v>145.04</v>
      </c>
      <c r="N167" s="116">
        <v>152.61000000000001</v>
      </c>
      <c r="O167" s="116">
        <v>144</v>
      </c>
      <c r="P167" s="116">
        <v>152.54</v>
      </c>
      <c r="Q167" s="116">
        <v>725.2</v>
      </c>
      <c r="R167">
        <v>82242</v>
      </c>
    </row>
    <row r="168" spans="1:18" x14ac:dyDescent="0.25">
      <c r="A168" s="170">
        <v>45162</v>
      </c>
      <c r="B168" s="116">
        <v>221.9</v>
      </c>
      <c r="C168" s="116">
        <v>199.2</v>
      </c>
      <c r="D168" s="116">
        <v>199.2</v>
      </c>
      <c r="E168" s="116">
        <v>220</v>
      </c>
      <c r="F168" s="116">
        <v>199.2</v>
      </c>
      <c r="G168">
        <v>18000</v>
      </c>
      <c r="H168" s="116"/>
      <c r="I168" s="116"/>
      <c r="L168" s="170">
        <v>42243</v>
      </c>
      <c r="M168" s="116">
        <v>148.08000000000001</v>
      </c>
      <c r="N168" s="116">
        <v>149.4</v>
      </c>
      <c r="O168" s="116">
        <v>143.44999999999999</v>
      </c>
      <c r="P168" s="116">
        <v>146.76</v>
      </c>
      <c r="Q168" s="116">
        <v>740.4</v>
      </c>
      <c r="R168">
        <v>34687</v>
      </c>
    </row>
    <row r="169" spans="1:18" x14ac:dyDescent="0.25">
      <c r="A169" s="170">
        <v>45163</v>
      </c>
      <c r="B169" s="116">
        <v>210</v>
      </c>
      <c r="C169" s="116">
        <v>209.15</v>
      </c>
      <c r="D169" s="116">
        <v>208.5</v>
      </c>
      <c r="E169" s="116">
        <v>210</v>
      </c>
      <c r="F169" s="116">
        <v>209.15</v>
      </c>
      <c r="G169">
        <v>8000</v>
      </c>
      <c r="H169" s="116"/>
      <c r="I169" s="116"/>
      <c r="L169" s="170">
        <v>42244</v>
      </c>
      <c r="M169" s="116">
        <v>152.08000000000001</v>
      </c>
      <c r="N169" s="116">
        <v>153</v>
      </c>
      <c r="O169" s="116">
        <v>149.01</v>
      </c>
      <c r="P169" s="116">
        <v>151.03</v>
      </c>
      <c r="Q169" s="116">
        <v>760.4</v>
      </c>
      <c r="R169">
        <v>42312</v>
      </c>
    </row>
    <row r="170" spans="1:18" x14ac:dyDescent="0.25">
      <c r="A170" s="170">
        <v>45166</v>
      </c>
      <c r="B170" s="116">
        <v>211</v>
      </c>
      <c r="C170" s="116">
        <v>211</v>
      </c>
      <c r="D170" s="116">
        <v>195.5</v>
      </c>
      <c r="E170" s="116">
        <v>211</v>
      </c>
      <c r="F170" s="116">
        <v>211</v>
      </c>
      <c r="G170">
        <v>24000</v>
      </c>
      <c r="H170" s="116"/>
      <c r="I170" s="116"/>
      <c r="L170" s="170">
        <v>42247</v>
      </c>
      <c r="M170" s="116">
        <v>155.53</v>
      </c>
      <c r="N170" s="116">
        <v>157</v>
      </c>
      <c r="O170" s="116">
        <v>149.74</v>
      </c>
      <c r="P170" s="116">
        <v>152.08000000000001</v>
      </c>
      <c r="Q170" s="116">
        <v>777.65</v>
      </c>
      <c r="R170">
        <v>51514</v>
      </c>
    </row>
    <row r="171" spans="1:18" x14ac:dyDescent="0.25">
      <c r="A171" s="170">
        <v>45167</v>
      </c>
      <c r="B171" s="116">
        <v>211</v>
      </c>
      <c r="C171" s="116">
        <v>211</v>
      </c>
      <c r="D171" s="116">
        <v>211</v>
      </c>
      <c r="E171" s="116">
        <v>211</v>
      </c>
      <c r="F171" s="116">
        <v>211</v>
      </c>
      <c r="G171">
        <v>2000</v>
      </c>
      <c r="H171" s="116"/>
      <c r="I171" s="116"/>
      <c r="L171" s="170">
        <v>42248</v>
      </c>
      <c r="M171" s="116">
        <v>152.88999999999999</v>
      </c>
      <c r="N171" s="116">
        <v>154.99</v>
      </c>
      <c r="O171" s="116">
        <v>149</v>
      </c>
      <c r="P171" s="116">
        <v>154.99</v>
      </c>
      <c r="Q171" s="116">
        <v>764.45</v>
      </c>
      <c r="R171">
        <v>28530</v>
      </c>
    </row>
    <row r="172" spans="1:18" x14ac:dyDescent="0.25">
      <c r="A172" s="170">
        <v>45168</v>
      </c>
      <c r="B172" s="116">
        <v>217</v>
      </c>
      <c r="C172" s="116">
        <v>216.45</v>
      </c>
      <c r="D172" s="116">
        <v>215.9</v>
      </c>
      <c r="E172" s="116">
        <v>215.9</v>
      </c>
      <c r="F172" s="116">
        <v>216.45</v>
      </c>
      <c r="G172">
        <v>4000</v>
      </c>
      <c r="H172" s="116"/>
      <c r="I172" s="116"/>
      <c r="L172" s="170">
        <v>42249</v>
      </c>
      <c r="M172" s="116">
        <v>147.81</v>
      </c>
      <c r="N172" s="116">
        <v>155</v>
      </c>
      <c r="O172" s="116">
        <v>146.38999999999999</v>
      </c>
      <c r="P172" s="116">
        <v>153.22</v>
      </c>
      <c r="Q172" s="116">
        <v>739.05</v>
      </c>
      <c r="R172">
        <v>39040</v>
      </c>
    </row>
    <row r="173" spans="1:18" x14ac:dyDescent="0.25">
      <c r="A173" s="170">
        <v>45169</v>
      </c>
      <c r="B173" s="116">
        <v>223.9</v>
      </c>
      <c r="C173" s="116">
        <v>223.9</v>
      </c>
      <c r="D173" s="116">
        <v>216.25</v>
      </c>
      <c r="E173" s="116">
        <v>216.25</v>
      </c>
      <c r="F173" s="116">
        <v>223.9</v>
      </c>
      <c r="G173">
        <v>10000</v>
      </c>
      <c r="H173" s="116"/>
      <c r="I173" s="116"/>
      <c r="L173" s="170">
        <v>42250</v>
      </c>
      <c r="M173" s="116">
        <v>152.97999999999999</v>
      </c>
      <c r="N173" s="116">
        <v>153.80000000000001</v>
      </c>
      <c r="O173" s="116">
        <v>147.4</v>
      </c>
      <c r="P173" s="116">
        <v>147.4</v>
      </c>
      <c r="Q173" s="116">
        <v>764.9</v>
      </c>
      <c r="R173">
        <v>29759</v>
      </c>
    </row>
    <row r="174" spans="1:18" x14ac:dyDescent="0.25">
      <c r="A174" s="170">
        <v>45170</v>
      </c>
      <c r="B174" s="116">
        <v>223.9</v>
      </c>
      <c r="C174" s="116">
        <v>223.9</v>
      </c>
      <c r="D174" s="116">
        <v>223.9</v>
      </c>
      <c r="E174" s="116">
        <v>223.9</v>
      </c>
      <c r="F174" s="116">
        <v>223.9</v>
      </c>
      <c r="G174">
        <v>2000</v>
      </c>
      <c r="H174" s="116"/>
      <c r="I174" s="116"/>
      <c r="L174" s="170">
        <v>42251</v>
      </c>
      <c r="M174" s="116">
        <v>147.96</v>
      </c>
      <c r="N174" s="116">
        <v>153</v>
      </c>
      <c r="O174" s="116">
        <v>144</v>
      </c>
      <c r="P174" s="116">
        <v>153</v>
      </c>
      <c r="Q174" s="116">
        <v>739.8</v>
      </c>
      <c r="R174">
        <v>30808</v>
      </c>
    </row>
    <row r="175" spans="1:18" x14ac:dyDescent="0.25">
      <c r="A175" s="170">
        <v>45173</v>
      </c>
      <c r="B175" s="116">
        <v>255</v>
      </c>
      <c r="C175" s="116">
        <v>246.95</v>
      </c>
      <c r="D175" s="116">
        <v>216</v>
      </c>
      <c r="E175" s="116">
        <v>216</v>
      </c>
      <c r="F175" s="116">
        <v>246.95</v>
      </c>
      <c r="G175">
        <v>52000</v>
      </c>
      <c r="H175" s="116"/>
      <c r="I175" s="116"/>
      <c r="L175" s="170">
        <v>42254</v>
      </c>
      <c r="M175" s="116">
        <v>148.62</v>
      </c>
      <c r="N175" s="116">
        <v>152</v>
      </c>
      <c r="O175" s="116">
        <v>145</v>
      </c>
      <c r="P175" s="116">
        <v>150.80000000000001</v>
      </c>
      <c r="Q175" s="116">
        <v>743.1</v>
      </c>
      <c r="R175">
        <v>26477</v>
      </c>
    </row>
    <row r="176" spans="1:18" x14ac:dyDescent="0.25">
      <c r="A176" s="170">
        <v>45174</v>
      </c>
      <c r="B176" s="116">
        <v>259.85000000000002</v>
      </c>
      <c r="C176" s="116">
        <v>257.75</v>
      </c>
      <c r="D176" s="116">
        <v>234</v>
      </c>
      <c r="E176" s="116">
        <v>234</v>
      </c>
      <c r="F176" s="116">
        <v>257.75</v>
      </c>
      <c r="G176">
        <v>22000</v>
      </c>
      <c r="H176" s="116"/>
      <c r="I176" s="116"/>
      <c r="L176" s="170">
        <v>42255</v>
      </c>
      <c r="M176" s="116">
        <v>148.94</v>
      </c>
      <c r="N176" s="116">
        <v>150.36000000000001</v>
      </c>
      <c r="O176" s="116">
        <v>144.46</v>
      </c>
      <c r="P176" s="116">
        <v>147.24</v>
      </c>
      <c r="Q176" s="116">
        <v>744.7</v>
      </c>
      <c r="R176">
        <v>31194</v>
      </c>
    </row>
    <row r="177" spans="1:18" x14ac:dyDescent="0.25">
      <c r="A177" s="170">
        <v>45175</v>
      </c>
      <c r="B177" s="116">
        <v>268.89999999999998</v>
      </c>
      <c r="C177" s="116">
        <v>257.14999999999998</v>
      </c>
      <c r="D177" s="116">
        <v>238.05</v>
      </c>
      <c r="E177" s="116">
        <v>264.45</v>
      </c>
      <c r="F177" s="116">
        <v>257.14999999999998</v>
      </c>
      <c r="G177">
        <v>38000</v>
      </c>
      <c r="H177" s="116"/>
      <c r="I177" s="116"/>
      <c r="L177" s="170">
        <v>42256</v>
      </c>
      <c r="M177" s="116">
        <v>152.72</v>
      </c>
      <c r="N177" s="116">
        <v>154.19999999999999</v>
      </c>
      <c r="O177" s="116">
        <v>148.47999999999999</v>
      </c>
      <c r="P177" s="116">
        <v>151.78</v>
      </c>
      <c r="Q177" s="116">
        <v>763.6</v>
      </c>
      <c r="R177">
        <v>38468</v>
      </c>
    </row>
    <row r="178" spans="1:18" x14ac:dyDescent="0.25">
      <c r="A178" s="170">
        <v>45176</v>
      </c>
      <c r="B178" s="116">
        <v>277</v>
      </c>
      <c r="C178" s="116">
        <v>271.5</v>
      </c>
      <c r="D178" s="116">
        <v>248</v>
      </c>
      <c r="E178" s="116">
        <v>271</v>
      </c>
      <c r="F178" s="116">
        <v>271.5</v>
      </c>
      <c r="G178">
        <v>48000</v>
      </c>
      <c r="H178" s="116"/>
      <c r="I178" s="116"/>
      <c r="L178" s="170">
        <v>42257</v>
      </c>
      <c r="M178" s="116">
        <v>160.38</v>
      </c>
      <c r="N178" s="116">
        <v>161.94</v>
      </c>
      <c r="O178" s="116">
        <v>147.44</v>
      </c>
      <c r="P178" s="116">
        <v>151.19999999999999</v>
      </c>
      <c r="Q178" s="116">
        <v>801.9</v>
      </c>
      <c r="R178">
        <v>85863</v>
      </c>
    </row>
    <row r="179" spans="1:18" x14ac:dyDescent="0.25">
      <c r="A179" s="170">
        <v>45177</v>
      </c>
      <c r="B179" s="116">
        <v>325.8</v>
      </c>
      <c r="C179" s="116">
        <v>319.89999999999998</v>
      </c>
      <c r="D179" s="116">
        <v>286</v>
      </c>
      <c r="E179" s="116">
        <v>301</v>
      </c>
      <c r="F179" s="116">
        <v>319.89999999999998</v>
      </c>
      <c r="G179">
        <v>114000</v>
      </c>
      <c r="H179" s="116"/>
      <c r="I179" s="116"/>
      <c r="L179" s="170">
        <v>42258</v>
      </c>
      <c r="M179" s="116">
        <v>162.59</v>
      </c>
      <c r="N179" s="116">
        <v>163.74</v>
      </c>
      <c r="O179" s="116">
        <v>160.47</v>
      </c>
      <c r="P179" s="116">
        <v>162.19999999999999</v>
      </c>
      <c r="Q179" s="116">
        <v>812.95</v>
      </c>
      <c r="R179">
        <v>52542</v>
      </c>
    </row>
    <row r="180" spans="1:18" x14ac:dyDescent="0.25">
      <c r="A180" s="170">
        <v>45180</v>
      </c>
      <c r="B180" s="116">
        <v>342.5</v>
      </c>
      <c r="C180" s="116">
        <v>341</v>
      </c>
      <c r="D180" s="116">
        <v>330.1</v>
      </c>
      <c r="E180" s="116">
        <v>339.6</v>
      </c>
      <c r="F180" s="116">
        <v>341</v>
      </c>
      <c r="G180">
        <v>32000</v>
      </c>
      <c r="H180" s="116"/>
      <c r="I180" s="116"/>
      <c r="L180" s="170">
        <v>42261</v>
      </c>
      <c r="M180" s="116">
        <v>162.36000000000001</v>
      </c>
      <c r="N180" s="116">
        <v>164.86</v>
      </c>
      <c r="O180" s="116">
        <v>161.36000000000001</v>
      </c>
      <c r="P180" s="116">
        <v>162.6</v>
      </c>
      <c r="Q180" s="116">
        <v>811.8</v>
      </c>
      <c r="R180">
        <v>22645</v>
      </c>
    </row>
    <row r="181" spans="1:18" x14ac:dyDescent="0.25">
      <c r="A181" s="170">
        <v>45181</v>
      </c>
      <c r="B181" s="116">
        <v>347.4</v>
      </c>
      <c r="C181" s="116">
        <v>306.89999999999998</v>
      </c>
      <c r="D181" s="116">
        <v>306.89999999999998</v>
      </c>
      <c r="E181" s="116">
        <v>347.4</v>
      </c>
      <c r="F181" s="116">
        <v>306.89999999999998</v>
      </c>
      <c r="G181">
        <v>22000</v>
      </c>
      <c r="H181" s="116"/>
      <c r="I181" s="116"/>
      <c r="L181" s="170">
        <v>42262</v>
      </c>
      <c r="M181" s="116">
        <v>162.54</v>
      </c>
      <c r="N181" s="116">
        <v>163.6</v>
      </c>
      <c r="O181" s="116">
        <v>160.69</v>
      </c>
      <c r="P181" s="116">
        <v>162.4</v>
      </c>
      <c r="Q181" s="116">
        <v>812.7</v>
      </c>
      <c r="R181">
        <v>21125</v>
      </c>
    </row>
    <row r="182" spans="1:18" x14ac:dyDescent="0.25">
      <c r="A182" s="170">
        <v>45182</v>
      </c>
      <c r="B182" s="116">
        <v>281</v>
      </c>
      <c r="C182" s="116">
        <v>276.25</v>
      </c>
      <c r="D182" s="116">
        <v>276.25</v>
      </c>
      <c r="E182" s="116">
        <v>281</v>
      </c>
      <c r="F182" s="116">
        <v>276.25</v>
      </c>
      <c r="G182">
        <v>36000</v>
      </c>
      <c r="H182" s="116"/>
      <c r="I182" s="116"/>
      <c r="L182" s="170">
        <v>42263</v>
      </c>
      <c r="M182" s="116">
        <v>163.75</v>
      </c>
      <c r="N182" s="116">
        <v>164.4</v>
      </c>
      <c r="O182" s="116">
        <v>160.75</v>
      </c>
      <c r="P182" s="116">
        <v>162.80000000000001</v>
      </c>
      <c r="Q182" s="116">
        <v>818.75</v>
      </c>
      <c r="R182">
        <v>23881</v>
      </c>
    </row>
    <row r="183" spans="1:18" x14ac:dyDescent="0.25">
      <c r="A183" s="170">
        <v>45183</v>
      </c>
      <c r="B183" s="116">
        <v>280</v>
      </c>
      <c r="C183" s="116">
        <v>273.39999999999998</v>
      </c>
      <c r="D183" s="116">
        <v>264</v>
      </c>
      <c r="E183" s="116">
        <v>275</v>
      </c>
      <c r="F183" s="116">
        <v>273.39999999999998</v>
      </c>
      <c r="G183">
        <v>14000</v>
      </c>
      <c r="H183" s="116"/>
      <c r="I183" s="116"/>
      <c r="L183" s="170">
        <v>42265</v>
      </c>
      <c r="M183" s="116">
        <v>166.11</v>
      </c>
      <c r="N183" s="116">
        <v>168.12</v>
      </c>
      <c r="O183" s="116">
        <v>164.8</v>
      </c>
      <c r="P183" s="116">
        <v>164.8</v>
      </c>
      <c r="Q183" s="116">
        <v>830.55</v>
      </c>
      <c r="R183">
        <v>39066</v>
      </c>
    </row>
    <row r="184" spans="1:18" x14ac:dyDescent="0.25">
      <c r="A184" s="170">
        <v>45184</v>
      </c>
      <c r="B184" s="116">
        <v>289</v>
      </c>
      <c r="C184" s="116">
        <v>285</v>
      </c>
      <c r="D184" s="116">
        <v>275</v>
      </c>
      <c r="E184" s="116">
        <v>281</v>
      </c>
      <c r="F184" s="116">
        <v>285</v>
      </c>
      <c r="G184">
        <v>12000</v>
      </c>
      <c r="H184" s="116"/>
      <c r="I184" s="116"/>
      <c r="L184" s="170">
        <v>42268</v>
      </c>
      <c r="M184" s="116">
        <v>165.31</v>
      </c>
      <c r="N184" s="116">
        <v>166.6</v>
      </c>
      <c r="O184" s="116">
        <v>163.61000000000001</v>
      </c>
      <c r="P184" s="116">
        <v>166.6</v>
      </c>
      <c r="Q184" s="116">
        <v>826.55</v>
      </c>
      <c r="R184">
        <v>14045</v>
      </c>
    </row>
    <row r="185" spans="1:18" x14ac:dyDescent="0.25">
      <c r="A185" s="170">
        <v>45187</v>
      </c>
      <c r="B185" s="116">
        <v>301</v>
      </c>
      <c r="C185" s="116">
        <v>299</v>
      </c>
      <c r="D185" s="116">
        <v>295</v>
      </c>
      <c r="E185" s="116">
        <v>297.39999999999998</v>
      </c>
      <c r="F185" s="116">
        <v>299</v>
      </c>
      <c r="G185">
        <v>16000</v>
      </c>
      <c r="H185" s="116"/>
      <c r="I185" s="116"/>
      <c r="L185" s="170">
        <v>42269</v>
      </c>
      <c r="M185" s="116">
        <v>164.03</v>
      </c>
      <c r="N185" s="116">
        <v>166.99</v>
      </c>
      <c r="O185" s="116">
        <v>163.38999999999999</v>
      </c>
      <c r="P185" s="116">
        <v>166.6</v>
      </c>
      <c r="Q185" s="116">
        <v>820.15</v>
      </c>
      <c r="R185">
        <v>16931</v>
      </c>
    </row>
    <row r="186" spans="1:18" x14ac:dyDescent="0.25">
      <c r="A186" s="170">
        <v>45189</v>
      </c>
      <c r="B186" s="116">
        <v>290</v>
      </c>
      <c r="C186" s="116">
        <v>282</v>
      </c>
      <c r="D186" s="116">
        <v>273</v>
      </c>
      <c r="E186" s="116">
        <v>282</v>
      </c>
      <c r="F186" s="116">
        <v>282</v>
      </c>
      <c r="G186">
        <v>20000</v>
      </c>
      <c r="H186" s="116"/>
      <c r="I186" s="116"/>
      <c r="L186" s="170">
        <v>42270</v>
      </c>
      <c r="M186" s="116">
        <v>162.19999999999999</v>
      </c>
      <c r="N186" s="116">
        <v>165.42</v>
      </c>
      <c r="O186" s="116">
        <v>161.9</v>
      </c>
      <c r="P186" s="116">
        <v>163.4</v>
      </c>
      <c r="Q186" s="116">
        <v>811</v>
      </c>
      <c r="R186">
        <v>36980</v>
      </c>
    </row>
    <row r="187" spans="1:18" x14ac:dyDescent="0.25">
      <c r="A187" s="170">
        <v>45190</v>
      </c>
      <c r="B187" s="116">
        <v>282</v>
      </c>
      <c r="C187" s="116">
        <v>282</v>
      </c>
      <c r="D187" s="116">
        <v>282</v>
      </c>
      <c r="E187" s="116">
        <v>282</v>
      </c>
      <c r="F187" s="116">
        <v>282</v>
      </c>
      <c r="G187">
        <v>4000</v>
      </c>
      <c r="H187" s="116"/>
      <c r="I187" s="116"/>
      <c r="L187" s="170">
        <v>42271</v>
      </c>
      <c r="M187" s="116">
        <v>174.85</v>
      </c>
      <c r="N187" s="116">
        <v>179.56</v>
      </c>
      <c r="O187" s="116">
        <v>162</v>
      </c>
      <c r="P187" s="116">
        <v>162.6</v>
      </c>
      <c r="Q187" s="116">
        <v>874.25</v>
      </c>
      <c r="R187">
        <v>173783</v>
      </c>
    </row>
    <row r="188" spans="1:18" x14ac:dyDescent="0.25">
      <c r="A188" s="170">
        <v>45191</v>
      </c>
      <c r="B188" s="116">
        <v>285</v>
      </c>
      <c r="C188" s="116">
        <v>276.95</v>
      </c>
      <c r="D188" s="116">
        <v>265</v>
      </c>
      <c r="E188" s="116">
        <v>275</v>
      </c>
      <c r="F188" s="116">
        <v>276.95</v>
      </c>
      <c r="G188">
        <v>46000</v>
      </c>
      <c r="H188" s="116"/>
      <c r="I188" s="116"/>
      <c r="L188" s="170">
        <v>42275</v>
      </c>
      <c r="M188" s="116">
        <v>173.09</v>
      </c>
      <c r="N188" s="116">
        <v>180.74</v>
      </c>
      <c r="O188" s="116">
        <v>172</v>
      </c>
      <c r="P188" s="116">
        <v>174.6</v>
      </c>
      <c r="Q188" s="116">
        <v>865.45</v>
      </c>
      <c r="R188">
        <v>108483</v>
      </c>
    </row>
    <row r="189" spans="1:18" x14ac:dyDescent="0.25">
      <c r="A189" s="170">
        <v>45194</v>
      </c>
      <c r="B189" s="116">
        <v>294</v>
      </c>
      <c r="C189" s="116">
        <v>256.64999999999998</v>
      </c>
      <c r="D189" s="116">
        <v>254.6</v>
      </c>
      <c r="E189" s="116">
        <v>294</v>
      </c>
      <c r="F189" s="116">
        <v>256.64999999999998</v>
      </c>
      <c r="G189">
        <v>20000</v>
      </c>
      <c r="H189" s="116"/>
      <c r="I189" s="116"/>
      <c r="L189" s="170">
        <v>42276</v>
      </c>
      <c r="M189" s="116">
        <v>182.22</v>
      </c>
      <c r="N189" s="116">
        <v>184.33</v>
      </c>
      <c r="O189" s="116">
        <v>168.94</v>
      </c>
      <c r="P189" s="116">
        <v>170.79</v>
      </c>
      <c r="Q189" s="116">
        <v>911.1</v>
      </c>
      <c r="R189">
        <v>221216</v>
      </c>
    </row>
    <row r="190" spans="1:18" x14ac:dyDescent="0.25">
      <c r="A190" s="170">
        <v>45195</v>
      </c>
      <c r="B190" s="116">
        <v>258.8</v>
      </c>
      <c r="C190" s="116">
        <v>250</v>
      </c>
      <c r="D190" s="116">
        <v>242</v>
      </c>
      <c r="E190" s="116">
        <v>257.89999999999998</v>
      </c>
      <c r="F190" s="116">
        <v>250</v>
      </c>
      <c r="G190">
        <v>26000</v>
      </c>
      <c r="H190" s="116"/>
      <c r="I190" s="116"/>
      <c r="L190" s="170">
        <v>42277</v>
      </c>
      <c r="M190" s="116">
        <v>182.75</v>
      </c>
      <c r="N190" s="116">
        <v>186.8</v>
      </c>
      <c r="O190" s="116">
        <v>181.02</v>
      </c>
      <c r="P190" s="116">
        <v>184.2</v>
      </c>
      <c r="Q190" s="116">
        <v>913.75</v>
      </c>
      <c r="R190">
        <v>109511</v>
      </c>
    </row>
    <row r="191" spans="1:18" x14ac:dyDescent="0.25">
      <c r="A191" s="170">
        <v>45196</v>
      </c>
      <c r="B191" s="116">
        <v>259.3</v>
      </c>
      <c r="C191" s="116">
        <v>259.3</v>
      </c>
      <c r="D191" s="116">
        <v>250</v>
      </c>
      <c r="E191" s="116">
        <v>254</v>
      </c>
      <c r="F191" s="116">
        <v>259.3</v>
      </c>
      <c r="G191">
        <v>12000</v>
      </c>
      <c r="H191" s="116"/>
      <c r="I191" s="116"/>
      <c r="L191" s="170">
        <v>42278</v>
      </c>
      <c r="M191" s="116">
        <v>175.94</v>
      </c>
      <c r="N191" s="116">
        <v>184.54</v>
      </c>
      <c r="O191" s="116">
        <v>175</v>
      </c>
      <c r="P191" s="116">
        <v>184.54</v>
      </c>
      <c r="Q191" s="116">
        <v>879.7</v>
      </c>
      <c r="R191">
        <v>48549</v>
      </c>
    </row>
    <row r="192" spans="1:18" x14ac:dyDescent="0.25">
      <c r="A192" s="170">
        <v>45197</v>
      </c>
      <c r="B192" s="116">
        <v>255</v>
      </c>
      <c r="C192" s="116">
        <v>252.6</v>
      </c>
      <c r="D192" s="116">
        <v>247.95</v>
      </c>
      <c r="E192" s="116">
        <v>255</v>
      </c>
      <c r="F192" s="116">
        <v>252.6</v>
      </c>
      <c r="G192">
        <v>16000</v>
      </c>
      <c r="H192" s="116"/>
      <c r="I192" s="116"/>
      <c r="L192" s="170">
        <v>42282</v>
      </c>
      <c r="M192" s="116">
        <v>182.5</v>
      </c>
      <c r="N192" s="116">
        <v>184.96</v>
      </c>
      <c r="O192" s="116">
        <v>176.8</v>
      </c>
      <c r="P192" s="116">
        <v>178</v>
      </c>
      <c r="Q192" s="116">
        <v>912.5</v>
      </c>
      <c r="R192">
        <v>56214</v>
      </c>
    </row>
    <row r="193" spans="1:18" x14ac:dyDescent="0.25">
      <c r="A193" s="170">
        <v>45198</v>
      </c>
      <c r="B193" s="116">
        <v>255</v>
      </c>
      <c r="C193" s="116">
        <v>253.95</v>
      </c>
      <c r="D193" s="116">
        <v>246</v>
      </c>
      <c r="E193" s="116">
        <v>255</v>
      </c>
      <c r="F193" s="116">
        <v>253.95</v>
      </c>
      <c r="G193">
        <v>8000</v>
      </c>
      <c r="H193" s="116"/>
      <c r="I193" s="116"/>
      <c r="L193" s="170">
        <v>42283</v>
      </c>
      <c r="M193" s="116">
        <v>189.77</v>
      </c>
      <c r="N193" s="116">
        <v>191.72</v>
      </c>
      <c r="O193" s="116">
        <v>182.41</v>
      </c>
      <c r="P193" s="116">
        <v>183.79</v>
      </c>
      <c r="Q193" s="116">
        <v>948.85</v>
      </c>
      <c r="R193">
        <v>131167</v>
      </c>
    </row>
    <row r="194" spans="1:18" x14ac:dyDescent="0.25">
      <c r="A194" s="170">
        <v>45202</v>
      </c>
      <c r="B194" s="116">
        <v>263.8</v>
      </c>
      <c r="C194" s="116">
        <v>248.25</v>
      </c>
      <c r="D194" s="116">
        <v>248.25</v>
      </c>
      <c r="E194" s="116">
        <v>263.8</v>
      </c>
      <c r="F194" s="116">
        <v>248.25</v>
      </c>
      <c r="G194">
        <v>4000</v>
      </c>
      <c r="H194" s="116"/>
      <c r="I194" s="116"/>
      <c r="L194" s="170">
        <v>42284</v>
      </c>
      <c r="M194" s="116">
        <v>189.66</v>
      </c>
      <c r="N194" s="116">
        <v>191.87</v>
      </c>
      <c r="O194" s="116">
        <v>188.3</v>
      </c>
      <c r="P194" s="116">
        <v>191</v>
      </c>
      <c r="Q194" s="116">
        <v>948.3</v>
      </c>
      <c r="R194">
        <v>71080</v>
      </c>
    </row>
    <row r="195" spans="1:18" x14ac:dyDescent="0.25">
      <c r="A195" s="170">
        <v>45203</v>
      </c>
      <c r="B195" s="116">
        <v>244.1</v>
      </c>
      <c r="C195" s="116">
        <v>241.25</v>
      </c>
      <c r="D195" s="116">
        <v>241.25</v>
      </c>
      <c r="E195" s="116">
        <v>244.1</v>
      </c>
      <c r="F195" s="116">
        <v>241.25</v>
      </c>
      <c r="G195">
        <v>8000</v>
      </c>
      <c r="H195" s="116"/>
      <c r="I195" s="116"/>
      <c r="L195" s="170">
        <v>42285</v>
      </c>
      <c r="M195" s="116">
        <v>193.18</v>
      </c>
      <c r="N195" s="116">
        <v>198.88</v>
      </c>
      <c r="O195" s="116">
        <v>187.11</v>
      </c>
      <c r="P195" s="116">
        <v>189.8</v>
      </c>
      <c r="Q195" s="116">
        <v>965.9</v>
      </c>
      <c r="R195">
        <v>118877</v>
      </c>
    </row>
    <row r="196" spans="1:18" x14ac:dyDescent="0.25">
      <c r="A196" s="170">
        <v>45205</v>
      </c>
      <c r="B196" s="116">
        <v>262</v>
      </c>
      <c r="C196" s="116">
        <v>260.95</v>
      </c>
      <c r="D196" s="116">
        <v>250</v>
      </c>
      <c r="E196" s="116">
        <v>254.9</v>
      </c>
      <c r="F196" s="116">
        <v>260.95</v>
      </c>
      <c r="G196">
        <v>18000</v>
      </c>
      <c r="H196" s="116"/>
      <c r="I196" s="116"/>
      <c r="L196" s="170">
        <v>42286</v>
      </c>
      <c r="M196" s="116">
        <v>198.56</v>
      </c>
      <c r="N196" s="116">
        <v>200.8</v>
      </c>
      <c r="O196" s="116">
        <v>194.42</v>
      </c>
      <c r="P196" s="116">
        <v>195.94</v>
      </c>
      <c r="Q196" s="116">
        <v>992.8</v>
      </c>
      <c r="R196">
        <v>106285</v>
      </c>
    </row>
    <row r="197" spans="1:18" x14ac:dyDescent="0.25">
      <c r="A197" s="170">
        <v>45208</v>
      </c>
      <c r="B197" s="116">
        <v>260.89999999999998</v>
      </c>
      <c r="C197" s="116">
        <v>260.10000000000002</v>
      </c>
      <c r="D197" s="116">
        <v>260.10000000000002</v>
      </c>
      <c r="E197" s="116">
        <v>260.89999999999998</v>
      </c>
      <c r="F197" s="116">
        <v>260.10000000000002</v>
      </c>
      <c r="G197">
        <v>4000</v>
      </c>
      <c r="H197" s="116"/>
      <c r="I197" s="116"/>
      <c r="L197" s="170">
        <v>42289</v>
      </c>
      <c r="M197" s="116">
        <v>196.22</v>
      </c>
      <c r="N197" s="116">
        <v>201.8</v>
      </c>
      <c r="O197" s="116">
        <v>193.74</v>
      </c>
      <c r="P197" s="116">
        <v>198.8</v>
      </c>
      <c r="Q197" s="116">
        <v>981.1</v>
      </c>
      <c r="R197">
        <v>64989</v>
      </c>
    </row>
    <row r="198" spans="1:18" x14ac:dyDescent="0.25">
      <c r="A198" s="170">
        <v>45209</v>
      </c>
      <c r="B198" s="116">
        <v>274.60000000000002</v>
      </c>
      <c r="C198" s="116">
        <v>270</v>
      </c>
      <c r="D198" s="116">
        <v>265</v>
      </c>
      <c r="E198" s="116">
        <v>265</v>
      </c>
      <c r="F198" s="116">
        <v>270</v>
      </c>
      <c r="G198">
        <v>8000</v>
      </c>
      <c r="H198" s="116"/>
      <c r="I198" s="116"/>
      <c r="L198" s="170">
        <v>42290</v>
      </c>
      <c r="M198" s="116">
        <v>195.27</v>
      </c>
      <c r="N198" s="116">
        <v>197.98</v>
      </c>
      <c r="O198" s="116">
        <v>192.6</v>
      </c>
      <c r="P198" s="116">
        <v>196.02</v>
      </c>
      <c r="Q198" s="116">
        <v>976.35</v>
      </c>
      <c r="R198">
        <v>43507</v>
      </c>
    </row>
    <row r="199" spans="1:18" x14ac:dyDescent="0.25">
      <c r="A199" s="170">
        <v>45211</v>
      </c>
      <c r="B199" s="116">
        <v>290</v>
      </c>
      <c r="C199" s="116">
        <v>280</v>
      </c>
      <c r="D199" s="116">
        <v>271</v>
      </c>
      <c r="E199" s="116">
        <v>271</v>
      </c>
      <c r="F199" s="116">
        <v>280</v>
      </c>
      <c r="G199">
        <v>16000</v>
      </c>
      <c r="H199" s="116"/>
      <c r="I199" s="116"/>
      <c r="L199" s="170">
        <v>42291</v>
      </c>
      <c r="M199" s="116">
        <v>193.64</v>
      </c>
      <c r="N199" s="116">
        <v>196</v>
      </c>
      <c r="O199" s="116">
        <v>192.8</v>
      </c>
      <c r="P199" s="116">
        <v>195</v>
      </c>
      <c r="Q199" s="116">
        <v>968.2</v>
      </c>
      <c r="R199">
        <v>17886</v>
      </c>
    </row>
    <row r="200" spans="1:18" x14ac:dyDescent="0.25">
      <c r="A200" s="170">
        <v>45212</v>
      </c>
      <c r="B200" s="116">
        <v>298</v>
      </c>
      <c r="C200" s="116">
        <v>290</v>
      </c>
      <c r="D200" s="116">
        <v>287.55</v>
      </c>
      <c r="E200" s="116">
        <v>288</v>
      </c>
      <c r="F200" s="116">
        <v>290</v>
      </c>
      <c r="G200">
        <v>28000</v>
      </c>
      <c r="H200" s="116"/>
      <c r="I200" s="116"/>
      <c r="L200" s="170">
        <v>42292</v>
      </c>
      <c r="M200" s="116">
        <v>200</v>
      </c>
      <c r="N200" s="116">
        <v>203.6</v>
      </c>
      <c r="O200" s="116">
        <v>193.23</v>
      </c>
      <c r="P200" s="116">
        <v>193.86</v>
      </c>
      <c r="Q200" s="116">
        <v>1000</v>
      </c>
      <c r="R200">
        <v>94348</v>
      </c>
    </row>
    <row r="201" spans="1:18" x14ac:dyDescent="0.25">
      <c r="A201" s="170">
        <v>45215</v>
      </c>
      <c r="B201" s="116">
        <v>300.10000000000002</v>
      </c>
      <c r="C201" s="116">
        <v>295.8</v>
      </c>
      <c r="D201" s="116">
        <v>280</v>
      </c>
      <c r="E201" s="116">
        <v>290</v>
      </c>
      <c r="F201" s="116">
        <v>295.8</v>
      </c>
      <c r="G201">
        <v>18000</v>
      </c>
      <c r="H201" s="116"/>
      <c r="I201" s="116"/>
      <c r="L201" s="170">
        <v>42293</v>
      </c>
      <c r="M201" s="116">
        <v>199.11</v>
      </c>
      <c r="N201" s="116">
        <v>201.66</v>
      </c>
      <c r="O201" s="116">
        <v>197.12</v>
      </c>
      <c r="P201" s="116">
        <v>201.4</v>
      </c>
      <c r="Q201" s="116">
        <v>995.55</v>
      </c>
      <c r="R201">
        <v>42479</v>
      </c>
    </row>
    <row r="202" spans="1:18" x14ac:dyDescent="0.25">
      <c r="A202" s="170">
        <v>45216</v>
      </c>
      <c r="B202" s="116">
        <v>318</v>
      </c>
      <c r="C202" s="116">
        <v>313.05</v>
      </c>
      <c r="D202" s="116">
        <v>300</v>
      </c>
      <c r="E202" s="116">
        <v>300</v>
      </c>
      <c r="F202" s="116">
        <v>313.05</v>
      </c>
      <c r="G202">
        <v>40000</v>
      </c>
      <c r="H202" s="116"/>
      <c r="I202" s="116"/>
      <c r="L202" s="170">
        <v>42296</v>
      </c>
      <c r="M202" s="116">
        <v>194.91</v>
      </c>
      <c r="N202" s="116">
        <v>200.11</v>
      </c>
      <c r="O202" s="116">
        <v>193</v>
      </c>
      <c r="P202" s="116">
        <v>200.11</v>
      </c>
      <c r="Q202" s="116">
        <v>974.55</v>
      </c>
      <c r="R202">
        <v>33734</v>
      </c>
    </row>
    <row r="203" spans="1:18" x14ac:dyDescent="0.25">
      <c r="A203" s="170">
        <v>45217</v>
      </c>
      <c r="B203" s="116">
        <v>334.7</v>
      </c>
      <c r="C203" s="116">
        <v>334.7</v>
      </c>
      <c r="D203" s="116">
        <v>310</v>
      </c>
      <c r="E203" s="116">
        <v>328.8</v>
      </c>
      <c r="F203" s="116">
        <v>334.7</v>
      </c>
      <c r="G203">
        <v>20000</v>
      </c>
      <c r="H203" s="116"/>
      <c r="I203" s="116"/>
      <c r="L203" s="170">
        <v>42297</v>
      </c>
      <c r="M203" s="116">
        <v>198.47</v>
      </c>
      <c r="N203" s="116">
        <v>205.8</v>
      </c>
      <c r="O203" s="116">
        <v>192.3</v>
      </c>
      <c r="P203" s="116">
        <v>196.54</v>
      </c>
      <c r="Q203" s="116">
        <v>992.35</v>
      </c>
      <c r="R203">
        <v>292428</v>
      </c>
    </row>
    <row r="204" spans="1:18" x14ac:dyDescent="0.25">
      <c r="A204" s="170">
        <v>45218</v>
      </c>
      <c r="B204" s="116">
        <v>330.8</v>
      </c>
      <c r="C204" s="116">
        <v>318</v>
      </c>
      <c r="D204" s="116">
        <v>317</v>
      </c>
      <c r="E204" s="116">
        <v>330.8</v>
      </c>
      <c r="F204" s="116">
        <v>318</v>
      </c>
      <c r="G204">
        <v>8000</v>
      </c>
      <c r="H204" s="116"/>
      <c r="I204" s="116"/>
      <c r="L204" s="170">
        <v>42298</v>
      </c>
      <c r="M204" s="116">
        <v>199.31</v>
      </c>
      <c r="N204" s="116">
        <v>205</v>
      </c>
      <c r="O204" s="116">
        <v>197.23</v>
      </c>
      <c r="P204" s="116">
        <v>201.96</v>
      </c>
      <c r="Q204" s="116">
        <v>996.55</v>
      </c>
      <c r="R204">
        <v>66099</v>
      </c>
    </row>
    <row r="205" spans="1:18" x14ac:dyDescent="0.25">
      <c r="A205" s="170">
        <v>45219</v>
      </c>
      <c r="B205" s="116">
        <v>340</v>
      </c>
      <c r="C205" s="116">
        <v>328</v>
      </c>
      <c r="D205" s="116">
        <v>320</v>
      </c>
      <c r="E205" s="116">
        <v>320</v>
      </c>
      <c r="F205" s="116">
        <v>328</v>
      </c>
      <c r="G205">
        <v>10000</v>
      </c>
      <c r="H205" s="116"/>
      <c r="I205" s="116"/>
      <c r="L205" s="170">
        <v>42300</v>
      </c>
      <c r="M205" s="116">
        <v>198.76</v>
      </c>
      <c r="N205" s="116">
        <v>202.38</v>
      </c>
      <c r="O205" s="116">
        <v>198.2</v>
      </c>
      <c r="P205" s="116">
        <v>201.2</v>
      </c>
      <c r="Q205" s="116">
        <v>993.8</v>
      </c>
      <c r="R205">
        <v>26519</v>
      </c>
    </row>
    <row r="206" spans="1:18" x14ac:dyDescent="0.25">
      <c r="A206" s="170">
        <v>45222</v>
      </c>
      <c r="B206" s="116">
        <v>324</v>
      </c>
      <c r="C206" s="116">
        <v>303.64999999999998</v>
      </c>
      <c r="D206" s="116">
        <v>302</v>
      </c>
      <c r="E206" s="116">
        <v>304.3</v>
      </c>
      <c r="F206" s="116">
        <v>303.64999999999998</v>
      </c>
      <c r="G206">
        <v>14000</v>
      </c>
      <c r="H206" s="116"/>
      <c r="I206" s="116"/>
      <c r="L206" s="170">
        <v>42303</v>
      </c>
      <c r="M206" s="116">
        <v>197.24</v>
      </c>
      <c r="N206" s="116">
        <v>199.21</v>
      </c>
      <c r="O206" s="116">
        <v>193.5</v>
      </c>
      <c r="P206" s="116">
        <v>198.8</v>
      </c>
      <c r="Q206" s="116">
        <v>986.2</v>
      </c>
      <c r="R206">
        <v>18428</v>
      </c>
    </row>
    <row r="207" spans="1:18" x14ac:dyDescent="0.25">
      <c r="A207" s="170">
        <v>45224</v>
      </c>
      <c r="B207" s="116">
        <v>304</v>
      </c>
      <c r="C207" s="116">
        <v>304</v>
      </c>
      <c r="D207" s="116">
        <v>296.10000000000002</v>
      </c>
      <c r="E207" s="116">
        <v>300</v>
      </c>
      <c r="F207" s="116">
        <v>304</v>
      </c>
      <c r="G207">
        <v>8000</v>
      </c>
      <c r="H207" s="116"/>
      <c r="I207" s="116"/>
      <c r="L207" s="170">
        <v>42304</v>
      </c>
      <c r="M207" s="116">
        <v>197</v>
      </c>
      <c r="N207" s="116">
        <v>199.6</v>
      </c>
      <c r="O207" s="116">
        <v>194.4</v>
      </c>
      <c r="P207" s="116">
        <v>198</v>
      </c>
      <c r="Q207" s="116">
        <v>985</v>
      </c>
      <c r="R207">
        <v>24609</v>
      </c>
    </row>
    <row r="208" spans="1:18" x14ac:dyDescent="0.25">
      <c r="A208" s="170">
        <v>45225</v>
      </c>
      <c r="B208" s="116">
        <v>303.8</v>
      </c>
      <c r="C208" s="116">
        <v>303.8</v>
      </c>
      <c r="D208" s="116">
        <v>280</v>
      </c>
      <c r="E208" s="116">
        <v>300</v>
      </c>
      <c r="F208" s="116">
        <v>303.8</v>
      </c>
      <c r="G208">
        <v>12000</v>
      </c>
      <c r="H208" s="116"/>
      <c r="I208" s="116"/>
      <c r="L208" s="170">
        <v>42305</v>
      </c>
      <c r="M208" s="116">
        <v>196.13</v>
      </c>
      <c r="N208" s="116">
        <v>199.6</v>
      </c>
      <c r="O208" s="116">
        <v>195.2</v>
      </c>
      <c r="P208" s="116">
        <v>197.98</v>
      </c>
      <c r="Q208" s="116">
        <v>980.65</v>
      </c>
      <c r="R208">
        <v>20993</v>
      </c>
    </row>
    <row r="209" spans="1:18" x14ac:dyDescent="0.25">
      <c r="A209" s="170">
        <v>45230</v>
      </c>
      <c r="B209" s="116">
        <v>315</v>
      </c>
      <c r="C209" s="116">
        <v>314</v>
      </c>
      <c r="D209" s="116">
        <v>310</v>
      </c>
      <c r="E209" s="116">
        <v>310</v>
      </c>
      <c r="F209" s="116">
        <v>314</v>
      </c>
      <c r="G209">
        <v>8000</v>
      </c>
      <c r="H209" s="116"/>
      <c r="I209" s="116"/>
      <c r="L209" s="170">
        <v>42306</v>
      </c>
      <c r="M209" s="116">
        <v>194.35</v>
      </c>
      <c r="N209" s="116">
        <v>197.58</v>
      </c>
      <c r="O209" s="116">
        <v>192.87</v>
      </c>
      <c r="P209" s="116">
        <v>197.58</v>
      </c>
      <c r="Q209" s="116">
        <v>971.75</v>
      </c>
      <c r="R209">
        <v>21012</v>
      </c>
    </row>
    <row r="210" spans="1:18" x14ac:dyDescent="0.25">
      <c r="A210" s="170">
        <v>45231</v>
      </c>
      <c r="B210" s="116">
        <v>305</v>
      </c>
      <c r="C210" s="116">
        <v>305</v>
      </c>
      <c r="D210" s="116">
        <v>305</v>
      </c>
      <c r="E210" s="116">
        <v>305</v>
      </c>
      <c r="F210" s="116">
        <v>305</v>
      </c>
      <c r="G210">
        <v>2000</v>
      </c>
      <c r="H210" s="116"/>
      <c r="I210" s="116"/>
      <c r="L210" s="170">
        <v>42307</v>
      </c>
      <c r="M210" s="116">
        <v>191.07</v>
      </c>
      <c r="N210" s="116">
        <v>197.74</v>
      </c>
      <c r="O210" s="116">
        <v>187.11</v>
      </c>
      <c r="P210" s="116">
        <v>193.81</v>
      </c>
      <c r="Q210" s="116">
        <v>955.35</v>
      </c>
      <c r="R210">
        <v>29427</v>
      </c>
    </row>
    <row r="211" spans="1:18" x14ac:dyDescent="0.25">
      <c r="A211" s="170">
        <v>45232</v>
      </c>
      <c r="B211" s="116">
        <v>305</v>
      </c>
      <c r="C211" s="116">
        <v>305</v>
      </c>
      <c r="D211" s="116">
        <v>305</v>
      </c>
      <c r="E211" s="116">
        <v>305</v>
      </c>
      <c r="F211" s="116">
        <v>305</v>
      </c>
      <c r="G211">
        <v>4000</v>
      </c>
      <c r="H211" s="116"/>
      <c r="I211" s="116"/>
      <c r="L211" s="170">
        <v>42310</v>
      </c>
      <c r="M211" s="116">
        <v>185.82</v>
      </c>
      <c r="N211" s="116">
        <v>192.16</v>
      </c>
      <c r="O211" s="116">
        <v>183.82</v>
      </c>
      <c r="P211" s="116">
        <v>192.16</v>
      </c>
      <c r="Q211" s="116">
        <v>929.1</v>
      </c>
      <c r="R211">
        <v>24743</v>
      </c>
    </row>
    <row r="212" spans="1:18" x14ac:dyDescent="0.25">
      <c r="A212" s="170">
        <v>45233</v>
      </c>
      <c r="B212" s="116">
        <v>334.95</v>
      </c>
      <c r="C212" s="116">
        <v>333.75</v>
      </c>
      <c r="D212" s="116">
        <v>315</v>
      </c>
      <c r="E212" s="116">
        <v>318.95</v>
      </c>
      <c r="F212" s="116">
        <v>333.75</v>
      </c>
      <c r="G212">
        <v>20500</v>
      </c>
      <c r="H212" s="116"/>
      <c r="I212" s="116"/>
      <c r="L212" s="170">
        <v>42311</v>
      </c>
      <c r="M212" s="116">
        <v>189.27</v>
      </c>
      <c r="N212" s="116">
        <v>193</v>
      </c>
      <c r="O212" s="116">
        <v>186.42</v>
      </c>
      <c r="P212" s="116">
        <v>186.42</v>
      </c>
      <c r="Q212" s="116">
        <v>946.35</v>
      </c>
      <c r="R212">
        <v>21023</v>
      </c>
    </row>
    <row r="213" spans="1:18" x14ac:dyDescent="0.25">
      <c r="A213" s="170">
        <v>45236</v>
      </c>
      <c r="B213" s="116">
        <v>367.1</v>
      </c>
      <c r="C213" s="116">
        <v>367.1</v>
      </c>
      <c r="D213" s="116">
        <v>332</v>
      </c>
      <c r="E213" s="116">
        <v>347.4</v>
      </c>
      <c r="F213" s="116">
        <v>367.1</v>
      </c>
      <c r="G213">
        <v>39500</v>
      </c>
      <c r="H213" s="116"/>
      <c r="I213" s="116"/>
      <c r="L213" s="170">
        <v>42312</v>
      </c>
      <c r="M213" s="116">
        <v>191.38</v>
      </c>
      <c r="N213" s="116">
        <v>194</v>
      </c>
      <c r="O213" s="116">
        <v>190.22</v>
      </c>
      <c r="P213" s="116">
        <v>191.99</v>
      </c>
      <c r="Q213" s="116">
        <v>956.9</v>
      </c>
      <c r="R213">
        <v>23371</v>
      </c>
    </row>
    <row r="214" spans="1:18" x14ac:dyDescent="0.25">
      <c r="A214" s="170">
        <v>45237</v>
      </c>
      <c r="B214" s="116">
        <v>396</v>
      </c>
      <c r="C214" s="116">
        <v>386.05</v>
      </c>
      <c r="D214" s="116">
        <v>357</v>
      </c>
      <c r="E214" s="116">
        <v>384</v>
      </c>
      <c r="F214" s="116">
        <v>386.05</v>
      </c>
      <c r="G214">
        <v>28000</v>
      </c>
      <c r="H214" s="116"/>
      <c r="I214" s="116"/>
      <c r="L214" s="170">
        <v>42313</v>
      </c>
      <c r="M214" s="116">
        <v>188.06</v>
      </c>
      <c r="N214" s="116">
        <v>192.96</v>
      </c>
      <c r="O214" s="116">
        <v>186.42</v>
      </c>
      <c r="P214" s="116">
        <v>192.96</v>
      </c>
      <c r="Q214" s="116">
        <v>940.3</v>
      </c>
      <c r="R214">
        <v>11978</v>
      </c>
    </row>
    <row r="215" spans="1:18" x14ac:dyDescent="0.25">
      <c r="A215" s="170">
        <v>45238</v>
      </c>
      <c r="B215" s="116">
        <v>423.25</v>
      </c>
      <c r="C215" s="116">
        <v>400.5</v>
      </c>
      <c r="D215" s="116">
        <v>394.4</v>
      </c>
      <c r="E215" s="116">
        <v>397</v>
      </c>
      <c r="F215" s="116">
        <v>400.5</v>
      </c>
      <c r="G215">
        <v>38500</v>
      </c>
      <c r="H215" s="116"/>
      <c r="I215" s="116"/>
      <c r="L215" s="170">
        <v>42314</v>
      </c>
      <c r="M215" s="116">
        <v>185.79</v>
      </c>
      <c r="N215" s="116">
        <v>191.6</v>
      </c>
      <c r="O215" s="116">
        <v>185.2</v>
      </c>
      <c r="P215" s="116">
        <v>188.4</v>
      </c>
      <c r="Q215" s="116">
        <v>928.95</v>
      </c>
      <c r="R215">
        <v>12833</v>
      </c>
    </row>
    <row r="216" spans="1:18" x14ac:dyDescent="0.25">
      <c r="A216" s="170">
        <v>45239</v>
      </c>
      <c r="B216" s="116">
        <v>420.5</v>
      </c>
      <c r="C216" s="116">
        <v>414.15</v>
      </c>
      <c r="D216" s="116">
        <v>408</v>
      </c>
      <c r="E216" s="116">
        <v>420.45</v>
      </c>
      <c r="F216" s="116">
        <v>414.15</v>
      </c>
      <c r="G216">
        <v>22000</v>
      </c>
      <c r="H216" s="116"/>
      <c r="I216" s="116"/>
      <c r="L216" s="170">
        <v>42317</v>
      </c>
      <c r="M216" s="116">
        <v>189.04</v>
      </c>
      <c r="N216" s="116">
        <v>190</v>
      </c>
      <c r="O216" s="116">
        <v>180</v>
      </c>
      <c r="P216" s="116">
        <v>185.79</v>
      </c>
      <c r="Q216" s="116">
        <v>945.2</v>
      </c>
      <c r="R216">
        <v>29564</v>
      </c>
    </row>
    <row r="217" spans="1:18" x14ac:dyDescent="0.25">
      <c r="A217" s="170">
        <v>45240</v>
      </c>
      <c r="B217" s="116">
        <v>431</v>
      </c>
      <c r="C217" s="116">
        <v>409.4</v>
      </c>
      <c r="D217" s="116">
        <v>393.45</v>
      </c>
      <c r="E217" s="116">
        <v>424.5</v>
      </c>
      <c r="F217" s="116">
        <v>409.4</v>
      </c>
      <c r="G217">
        <v>26500</v>
      </c>
      <c r="H217" s="116"/>
      <c r="I217" s="116"/>
      <c r="L217" s="170">
        <v>42318</v>
      </c>
      <c r="M217" s="116">
        <v>186.99</v>
      </c>
      <c r="N217" s="116">
        <v>191.35</v>
      </c>
      <c r="O217" s="116">
        <v>186.2</v>
      </c>
      <c r="P217" s="116">
        <v>190.36</v>
      </c>
      <c r="Q217" s="116">
        <v>934.95</v>
      </c>
      <c r="R217">
        <v>14302</v>
      </c>
    </row>
    <row r="218" spans="1:18" x14ac:dyDescent="0.25">
      <c r="A218" s="170">
        <v>45242</v>
      </c>
      <c r="B218" s="116">
        <v>428.95</v>
      </c>
      <c r="C218" s="116">
        <v>405.5</v>
      </c>
      <c r="D218" s="116">
        <v>400</v>
      </c>
      <c r="E218" s="116">
        <v>428.95</v>
      </c>
      <c r="F218" s="116">
        <v>405.5</v>
      </c>
      <c r="G218">
        <v>2500</v>
      </c>
      <c r="H218" s="116"/>
      <c r="I218" s="116"/>
      <c r="L218" s="170">
        <v>42319</v>
      </c>
      <c r="M218" s="116">
        <v>189.77</v>
      </c>
      <c r="N218" s="116">
        <v>191.4</v>
      </c>
      <c r="O218" s="116">
        <v>187</v>
      </c>
      <c r="P218" s="116">
        <v>191.37</v>
      </c>
      <c r="Q218" s="116">
        <v>948.85</v>
      </c>
      <c r="R218">
        <v>5842</v>
      </c>
    </row>
    <row r="219" spans="1:18" x14ac:dyDescent="0.25">
      <c r="A219" s="170">
        <v>45243</v>
      </c>
      <c r="B219" s="116">
        <v>410</v>
      </c>
      <c r="C219" s="116">
        <v>399</v>
      </c>
      <c r="D219" s="116">
        <v>395.15</v>
      </c>
      <c r="E219" s="116">
        <v>410</v>
      </c>
      <c r="F219" s="116">
        <v>399</v>
      </c>
      <c r="G219">
        <v>2500</v>
      </c>
      <c r="H219" s="116"/>
      <c r="I219" s="116"/>
      <c r="L219" s="170">
        <v>42321</v>
      </c>
      <c r="M219" s="116">
        <v>191.81</v>
      </c>
      <c r="N219" s="116">
        <v>193.76</v>
      </c>
      <c r="O219" s="116">
        <v>186</v>
      </c>
      <c r="P219" s="116">
        <v>187</v>
      </c>
      <c r="Q219" s="116">
        <v>959.05</v>
      </c>
      <c r="R219">
        <v>26353</v>
      </c>
    </row>
    <row r="220" spans="1:18" x14ac:dyDescent="0.25">
      <c r="A220" s="170">
        <v>45245</v>
      </c>
      <c r="B220" s="116">
        <v>414.95</v>
      </c>
      <c r="C220" s="116">
        <v>409.6</v>
      </c>
      <c r="D220" s="116">
        <v>400</v>
      </c>
      <c r="E220" s="116">
        <v>400</v>
      </c>
      <c r="F220" s="116">
        <v>409.6</v>
      </c>
      <c r="G220">
        <v>10000</v>
      </c>
      <c r="H220" s="116"/>
      <c r="I220" s="116"/>
      <c r="L220" s="170">
        <v>42324</v>
      </c>
      <c r="M220" s="116">
        <v>195.46</v>
      </c>
      <c r="N220" s="116">
        <v>196</v>
      </c>
      <c r="O220" s="116">
        <v>189.2</v>
      </c>
      <c r="P220" s="116">
        <v>190</v>
      </c>
      <c r="Q220" s="116">
        <v>977.3</v>
      </c>
      <c r="R220">
        <v>27865</v>
      </c>
    </row>
    <row r="221" spans="1:18" x14ac:dyDescent="0.25">
      <c r="A221" s="170">
        <v>45246</v>
      </c>
      <c r="B221" s="116">
        <v>430.05</v>
      </c>
      <c r="C221" s="116">
        <v>416.2</v>
      </c>
      <c r="D221" s="116">
        <v>410</v>
      </c>
      <c r="E221" s="116">
        <v>430.05</v>
      </c>
      <c r="F221" s="116">
        <v>416.2</v>
      </c>
      <c r="G221">
        <v>7500</v>
      </c>
      <c r="H221" s="116"/>
      <c r="I221" s="116"/>
      <c r="L221" s="170">
        <v>42325</v>
      </c>
      <c r="M221" s="116">
        <v>193.22</v>
      </c>
      <c r="N221" s="116">
        <v>197</v>
      </c>
      <c r="O221" s="116">
        <v>192.53</v>
      </c>
      <c r="P221" s="116">
        <v>195.2</v>
      </c>
      <c r="Q221" s="116">
        <v>966.1</v>
      </c>
      <c r="R221">
        <v>11560</v>
      </c>
    </row>
    <row r="222" spans="1:18" x14ac:dyDescent="0.25">
      <c r="A222" s="170">
        <v>45247</v>
      </c>
      <c r="B222" s="116">
        <v>435</v>
      </c>
      <c r="C222" s="116">
        <v>424.7</v>
      </c>
      <c r="D222" s="116">
        <v>413.7</v>
      </c>
      <c r="E222" s="116">
        <v>435</v>
      </c>
      <c r="F222" s="116">
        <v>424.7</v>
      </c>
      <c r="G222">
        <v>16000</v>
      </c>
      <c r="H222" s="116"/>
      <c r="I222" s="116"/>
      <c r="L222" s="170">
        <v>42326</v>
      </c>
      <c r="M222" s="116">
        <v>191.74</v>
      </c>
      <c r="N222" s="116">
        <v>195.4</v>
      </c>
      <c r="O222" s="116">
        <v>189.8</v>
      </c>
      <c r="P222" s="116">
        <v>192.2</v>
      </c>
      <c r="Q222" s="116">
        <v>958.7</v>
      </c>
      <c r="R222">
        <v>20121</v>
      </c>
    </row>
    <row r="223" spans="1:18" x14ac:dyDescent="0.25">
      <c r="A223" s="170">
        <v>45250</v>
      </c>
      <c r="B223" s="116">
        <v>419.95</v>
      </c>
      <c r="C223" s="116">
        <v>403.5</v>
      </c>
      <c r="D223" s="116">
        <v>403.5</v>
      </c>
      <c r="E223" s="116">
        <v>405.05</v>
      </c>
      <c r="F223" s="116">
        <v>403.5</v>
      </c>
      <c r="G223">
        <v>15500</v>
      </c>
      <c r="H223" s="116"/>
      <c r="I223" s="116"/>
      <c r="L223" s="170">
        <v>42327</v>
      </c>
      <c r="M223" s="116">
        <v>193.48</v>
      </c>
      <c r="N223" s="116">
        <v>194.8</v>
      </c>
      <c r="O223" s="116">
        <v>191.21</v>
      </c>
      <c r="P223" s="116">
        <v>192</v>
      </c>
      <c r="Q223" s="116">
        <v>967.4</v>
      </c>
      <c r="R223">
        <v>7709</v>
      </c>
    </row>
    <row r="224" spans="1:18" x14ac:dyDescent="0.25">
      <c r="A224" s="170">
        <v>45251</v>
      </c>
      <c r="B224" s="116">
        <v>404</v>
      </c>
      <c r="C224" s="116">
        <v>384.95</v>
      </c>
      <c r="D224" s="116">
        <v>383.35</v>
      </c>
      <c r="E224" s="116">
        <v>387.05</v>
      </c>
      <c r="F224" s="116">
        <v>384.95</v>
      </c>
      <c r="G224">
        <v>23000</v>
      </c>
      <c r="H224" s="116"/>
      <c r="I224" s="116"/>
      <c r="L224" s="170">
        <v>42328</v>
      </c>
      <c r="M224" s="116">
        <v>197.64</v>
      </c>
      <c r="N224" s="116">
        <v>199.2</v>
      </c>
      <c r="O224" s="116">
        <v>193.01</v>
      </c>
      <c r="P224" s="116">
        <v>193.99</v>
      </c>
      <c r="Q224" s="116">
        <v>988.2</v>
      </c>
      <c r="R224">
        <v>22423</v>
      </c>
    </row>
    <row r="225" spans="1:18" x14ac:dyDescent="0.25">
      <c r="A225" s="170">
        <v>45252</v>
      </c>
      <c r="B225" s="116">
        <v>397.5</v>
      </c>
      <c r="C225" s="116">
        <v>375</v>
      </c>
      <c r="D225" s="116">
        <v>375</v>
      </c>
      <c r="E225" s="116">
        <v>397.5</v>
      </c>
      <c r="F225" s="116">
        <v>375</v>
      </c>
      <c r="G225">
        <v>16500</v>
      </c>
      <c r="H225" s="116"/>
      <c r="I225" s="116"/>
      <c r="L225" s="170">
        <v>42331</v>
      </c>
      <c r="M225" s="116">
        <v>200.03</v>
      </c>
      <c r="N225" s="116">
        <v>202.88</v>
      </c>
      <c r="O225" s="116">
        <v>197</v>
      </c>
      <c r="P225" s="116">
        <v>197</v>
      </c>
      <c r="Q225" s="116">
        <v>1000.15</v>
      </c>
      <c r="R225">
        <v>31244</v>
      </c>
    </row>
    <row r="226" spans="1:18" x14ac:dyDescent="0.25">
      <c r="A226" s="170">
        <v>45253</v>
      </c>
      <c r="B226" s="116">
        <v>382</v>
      </c>
      <c r="C226" s="116">
        <v>371.1</v>
      </c>
      <c r="D226" s="116">
        <v>365</v>
      </c>
      <c r="E226" s="116">
        <v>365</v>
      </c>
      <c r="F226" s="116">
        <v>371.1</v>
      </c>
      <c r="G226">
        <v>13500</v>
      </c>
      <c r="H226" s="116"/>
      <c r="I226" s="116"/>
      <c r="L226" s="170">
        <v>42332</v>
      </c>
      <c r="M226" s="116">
        <v>198.01</v>
      </c>
      <c r="N226" s="116">
        <v>203.6</v>
      </c>
      <c r="O226" s="116">
        <v>197</v>
      </c>
      <c r="P226" s="116">
        <v>203.49</v>
      </c>
      <c r="Q226" s="116">
        <v>990.05</v>
      </c>
      <c r="R226">
        <v>10103</v>
      </c>
    </row>
    <row r="227" spans="1:18" x14ac:dyDescent="0.25">
      <c r="A227" s="170">
        <v>45254</v>
      </c>
      <c r="B227" s="116">
        <v>374</v>
      </c>
      <c r="C227" s="116">
        <v>366.1</v>
      </c>
      <c r="D227" s="116">
        <v>366.1</v>
      </c>
      <c r="E227" s="116">
        <v>372</v>
      </c>
      <c r="F227" s="116">
        <v>366.1</v>
      </c>
      <c r="G227">
        <v>4000</v>
      </c>
      <c r="H227" s="116"/>
      <c r="I227" s="116"/>
      <c r="L227" s="170">
        <v>42334</v>
      </c>
      <c r="M227" s="116">
        <v>196.39</v>
      </c>
      <c r="N227" s="116">
        <v>200</v>
      </c>
      <c r="O227" s="116">
        <v>194.9</v>
      </c>
      <c r="P227" s="116">
        <v>198.79</v>
      </c>
      <c r="Q227" s="116">
        <v>981.95</v>
      </c>
      <c r="R227">
        <v>12129</v>
      </c>
    </row>
    <row r="228" spans="1:18" x14ac:dyDescent="0.25">
      <c r="A228" s="170">
        <v>45258</v>
      </c>
      <c r="B228" s="116">
        <v>374.8</v>
      </c>
      <c r="C228" s="116">
        <v>355</v>
      </c>
      <c r="D228" s="116">
        <v>348.3</v>
      </c>
      <c r="E228" s="116">
        <v>348.3</v>
      </c>
      <c r="F228" s="116">
        <v>355</v>
      </c>
      <c r="G228">
        <v>20000</v>
      </c>
      <c r="H228" s="116"/>
      <c r="I228" s="116"/>
      <c r="L228" s="170">
        <v>42335</v>
      </c>
      <c r="M228" s="116">
        <v>195.89</v>
      </c>
      <c r="N228" s="116">
        <v>198.77</v>
      </c>
      <c r="O228" s="116">
        <v>194.41</v>
      </c>
      <c r="P228" s="116">
        <v>198.77</v>
      </c>
      <c r="Q228" s="116">
        <v>979.45</v>
      </c>
      <c r="R228">
        <v>8842</v>
      </c>
    </row>
    <row r="229" spans="1:18" x14ac:dyDescent="0.25">
      <c r="A229" s="170">
        <v>45259</v>
      </c>
      <c r="B229" s="116">
        <v>372.75</v>
      </c>
      <c r="C229" s="116">
        <v>372.75</v>
      </c>
      <c r="D229" s="116">
        <v>368.9</v>
      </c>
      <c r="E229" s="116">
        <v>368.9</v>
      </c>
      <c r="F229" s="116">
        <v>372.75</v>
      </c>
      <c r="G229">
        <v>6000</v>
      </c>
      <c r="H229" s="116"/>
      <c r="I229" s="116"/>
      <c r="L229" s="170">
        <v>42338</v>
      </c>
      <c r="M229" s="116">
        <v>193.41</v>
      </c>
      <c r="N229" s="116">
        <v>197.4</v>
      </c>
      <c r="O229" s="116">
        <v>192</v>
      </c>
      <c r="P229" s="116">
        <v>195.6</v>
      </c>
      <c r="Q229" s="116">
        <v>967.05</v>
      </c>
      <c r="R229">
        <v>13621</v>
      </c>
    </row>
    <row r="230" spans="1:18" x14ac:dyDescent="0.25">
      <c r="A230" s="170">
        <v>45260</v>
      </c>
      <c r="B230" s="116">
        <v>389.7</v>
      </c>
      <c r="C230" s="116">
        <v>377.65</v>
      </c>
      <c r="D230" s="116">
        <v>373</v>
      </c>
      <c r="E230" s="116">
        <v>373</v>
      </c>
      <c r="F230" s="116">
        <v>377.65</v>
      </c>
      <c r="G230">
        <v>8000</v>
      </c>
      <c r="H230" s="116"/>
      <c r="I230" s="116"/>
      <c r="L230" s="170">
        <v>42339</v>
      </c>
      <c r="M230" s="116">
        <v>193.31</v>
      </c>
      <c r="N230" s="116">
        <v>195.4</v>
      </c>
      <c r="O230" s="116">
        <v>192.41</v>
      </c>
      <c r="P230" s="116">
        <v>193.4</v>
      </c>
      <c r="Q230" s="116">
        <v>966.55</v>
      </c>
      <c r="R230">
        <v>9879</v>
      </c>
    </row>
    <row r="231" spans="1:18" x14ac:dyDescent="0.25">
      <c r="A231" s="170">
        <v>45261</v>
      </c>
      <c r="B231" s="116">
        <v>396</v>
      </c>
      <c r="C231" s="116">
        <v>390.05</v>
      </c>
      <c r="D231" s="116">
        <v>372.05</v>
      </c>
      <c r="E231" s="116">
        <v>388.9</v>
      </c>
      <c r="F231" s="116">
        <v>390.05</v>
      </c>
      <c r="G231">
        <v>9500</v>
      </c>
      <c r="H231" s="116"/>
      <c r="I231" s="116"/>
      <c r="L231" s="170">
        <v>42340</v>
      </c>
      <c r="M231" s="116">
        <v>197.97</v>
      </c>
      <c r="N231" s="116">
        <v>200.59</v>
      </c>
      <c r="O231" s="116">
        <v>192.6</v>
      </c>
      <c r="P231" s="116">
        <v>192.6</v>
      </c>
      <c r="Q231" s="116">
        <v>989.85</v>
      </c>
      <c r="R231">
        <v>24258</v>
      </c>
    </row>
    <row r="232" spans="1:18" x14ac:dyDescent="0.25">
      <c r="A232" s="170">
        <v>45264</v>
      </c>
      <c r="B232" s="116">
        <v>409.55</v>
      </c>
      <c r="C232" s="116">
        <v>409.55</v>
      </c>
      <c r="D232" s="116">
        <v>393</v>
      </c>
      <c r="E232" s="116">
        <v>407</v>
      </c>
      <c r="F232" s="116">
        <v>409.55</v>
      </c>
      <c r="G232">
        <v>28000</v>
      </c>
      <c r="H232" s="116"/>
      <c r="I232" s="116"/>
      <c r="L232" s="170">
        <v>42341</v>
      </c>
      <c r="M232" s="116">
        <v>195.35</v>
      </c>
      <c r="N232" s="116">
        <v>199.8</v>
      </c>
      <c r="O232" s="116">
        <v>193</v>
      </c>
      <c r="P232" s="116">
        <v>199.69</v>
      </c>
      <c r="Q232" s="116">
        <v>976.75</v>
      </c>
      <c r="R232">
        <v>11788</v>
      </c>
    </row>
    <row r="233" spans="1:18" x14ac:dyDescent="0.25">
      <c r="A233" s="170">
        <v>45265</v>
      </c>
      <c r="B233" s="116">
        <v>428</v>
      </c>
      <c r="C233" s="116">
        <v>419.85</v>
      </c>
      <c r="D233" s="116">
        <v>407.55</v>
      </c>
      <c r="E233" s="116">
        <v>428</v>
      </c>
      <c r="F233" s="116">
        <v>419.85</v>
      </c>
      <c r="G233">
        <v>12500</v>
      </c>
      <c r="H233" s="116"/>
      <c r="I233" s="116"/>
      <c r="L233" s="170">
        <v>42342</v>
      </c>
      <c r="M233" s="116">
        <v>192.88</v>
      </c>
      <c r="N233" s="116">
        <v>196</v>
      </c>
      <c r="O233" s="116">
        <v>192</v>
      </c>
      <c r="P233" s="116">
        <v>196</v>
      </c>
      <c r="Q233" s="116">
        <v>964.4</v>
      </c>
      <c r="R233">
        <v>12999</v>
      </c>
    </row>
    <row r="234" spans="1:18" x14ac:dyDescent="0.25">
      <c r="A234" s="170">
        <v>45266</v>
      </c>
      <c r="B234" s="116">
        <v>425.05</v>
      </c>
      <c r="C234" s="116">
        <v>422.65</v>
      </c>
      <c r="D234" s="116">
        <v>420</v>
      </c>
      <c r="E234" s="116">
        <v>425.05</v>
      </c>
      <c r="F234" s="116">
        <v>422.65</v>
      </c>
      <c r="G234">
        <v>12500</v>
      </c>
      <c r="H234" s="116"/>
      <c r="I234" s="116"/>
      <c r="L234" s="170">
        <v>42345</v>
      </c>
      <c r="M234" s="116">
        <v>196.64</v>
      </c>
      <c r="N234" s="116">
        <v>197</v>
      </c>
      <c r="O234" s="116">
        <v>191.21</v>
      </c>
      <c r="P234" s="116">
        <v>192.88</v>
      </c>
      <c r="Q234" s="116">
        <v>983.2</v>
      </c>
      <c r="R234">
        <v>25192</v>
      </c>
    </row>
    <row r="235" spans="1:18" x14ac:dyDescent="0.25">
      <c r="A235" s="170">
        <v>45267</v>
      </c>
      <c r="B235" s="116">
        <v>441</v>
      </c>
      <c r="C235" s="116">
        <v>441</v>
      </c>
      <c r="D235" s="116">
        <v>430</v>
      </c>
      <c r="E235" s="116">
        <v>430</v>
      </c>
      <c r="F235" s="116">
        <v>441</v>
      </c>
      <c r="G235">
        <v>5500</v>
      </c>
      <c r="H235" s="116"/>
      <c r="I235" s="116"/>
      <c r="L235" s="170">
        <v>42346</v>
      </c>
      <c r="M235" s="116">
        <v>196.69</v>
      </c>
      <c r="N235" s="116">
        <v>198.4</v>
      </c>
      <c r="O235" s="116">
        <v>193</v>
      </c>
      <c r="P235" s="116">
        <v>193</v>
      </c>
      <c r="Q235" s="116">
        <v>983.45</v>
      </c>
      <c r="R235">
        <v>15961</v>
      </c>
    </row>
    <row r="236" spans="1:18" x14ac:dyDescent="0.25">
      <c r="A236" s="170">
        <v>45268</v>
      </c>
      <c r="B236" s="116">
        <v>442</v>
      </c>
      <c r="C236" s="116">
        <v>423.1</v>
      </c>
      <c r="D236" s="116">
        <v>412</v>
      </c>
      <c r="E236" s="116">
        <v>412</v>
      </c>
      <c r="F236" s="116">
        <v>423.1</v>
      </c>
      <c r="G236">
        <v>2000</v>
      </c>
      <c r="H236" s="116"/>
      <c r="I236" s="116"/>
      <c r="L236" s="170">
        <v>42347</v>
      </c>
      <c r="M236" s="116">
        <v>197.63</v>
      </c>
      <c r="N236" s="116">
        <v>199.4</v>
      </c>
      <c r="O236" s="116">
        <v>189.2</v>
      </c>
      <c r="P236" s="116">
        <v>193.61</v>
      </c>
      <c r="Q236" s="116">
        <v>988.15</v>
      </c>
      <c r="R236">
        <v>30963</v>
      </c>
    </row>
    <row r="237" spans="1:18" x14ac:dyDescent="0.25">
      <c r="A237" s="170">
        <v>45271</v>
      </c>
      <c r="B237" s="116">
        <v>424</v>
      </c>
      <c r="C237" s="116">
        <v>420</v>
      </c>
      <c r="D237" s="116">
        <v>417</v>
      </c>
      <c r="E237" s="116">
        <v>423.1</v>
      </c>
      <c r="F237" s="116">
        <v>420</v>
      </c>
      <c r="G237">
        <v>3000</v>
      </c>
      <c r="H237" s="116"/>
      <c r="I237" s="116"/>
      <c r="L237" s="170">
        <v>42348</v>
      </c>
      <c r="M237" s="116">
        <v>195.98</v>
      </c>
      <c r="N237" s="116">
        <v>199</v>
      </c>
      <c r="O237" s="116">
        <v>194.21</v>
      </c>
      <c r="P237" s="116">
        <v>198.21</v>
      </c>
      <c r="Q237" s="116">
        <v>979.9</v>
      </c>
      <c r="R237">
        <v>12275</v>
      </c>
    </row>
    <row r="238" spans="1:18" x14ac:dyDescent="0.25">
      <c r="A238" s="170">
        <v>45272</v>
      </c>
      <c r="B238" s="116">
        <v>450.95</v>
      </c>
      <c r="C238" s="116">
        <v>421.25</v>
      </c>
      <c r="D238" s="116">
        <v>417</v>
      </c>
      <c r="E238" s="116">
        <v>417.05</v>
      </c>
      <c r="F238" s="116">
        <v>421.25</v>
      </c>
      <c r="G238">
        <v>13000</v>
      </c>
      <c r="H238" s="116"/>
      <c r="I238" s="116"/>
      <c r="L238" s="170">
        <v>42349</v>
      </c>
      <c r="M238" s="116">
        <v>197.14</v>
      </c>
      <c r="N238" s="116">
        <v>199</v>
      </c>
      <c r="O238" s="116">
        <v>194.21</v>
      </c>
      <c r="P238" s="116">
        <v>199</v>
      </c>
      <c r="Q238" s="116">
        <v>985.7</v>
      </c>
      <c r="R238">
        <v>20208</v>
      </c>
    </row>
    <row r="239" spans="1:18" x14ac:dyDescent="0.25">
      <c r="A239" s="170">
        <v>45273</v>
      </c>
      <c r="B239" s="116">
        <v>441</v>
      </c>
      <c r="C239" s="116">
        <v>434</v>
      </c>
      <c r="D239" s="116">
        <v>425</v>
      </c>
      <c r="E239" s="116">
        <v>441</v>
      </c>
      <c r="F239" s="116">
        <v>434</v>
      </c>
      <c r="G239">
        <v>4500</v>
      </c>
      <c r="H239" s="116"/>
      <c r="I239" s="116"/>
      <c r="L239" s="170">
        <v>42352</v>
      </c>
      <c r="M239" s="116">
        <v>196.09</v>
      </c>
      <c r="N239" s="116">
        <v>197.19</v>
      </c>
      <c r="O239" s="116">
        <v>192.01</v>
      </c>
      <c r="P239" s="116">
        <v>192.01</v>
      </c>
      <c r="Q239" s="116">
        <v>980.45</v>
      </c>
      <c r="R239">
        <v>11380</v>
      </c>
    </row>
    <row r="240" spans="1:18" x14ac:dyDescent="0.25">
      <c r="A240" s="170">
        <v>45274</v>
      </c>
      <c r="B240" s="116">
        <v>440</v>
      </c>
      <c r="C240" s="116">
        <v>440</v>
      </c>
      <c r="D240" s="116">
        <v>434</v>
      </c>
      <c r="E240" s="116">
        <v>434</v>
      </c>
      <c r="F240" s="116">
        <v>440</v>
      </c>
      <c r="G240">
        <v>1000</v>
      </c>
      <c r="H240" s="116"/>
      <c r="I240" s="116"/>
      <c r="L240" s="170">
        <v>42353</v>
      </c>
      <c r="M240" s="116">
        <v>198.21</v>
      </c>
      <c r="N240" s="116">
        <v>199.56</v>
      </c>
      <c r="O240" s="116">
        <v>194.01</v>
      </c>
      <c r="P240" s="116">
        <v>195.8</v>
      </c>
      <c r="Q240" s="116">
        <v>991.05</v>
      </c>
      <c r="R240">
        <v>8557</v>
      </c>
    </row>
    <row r="241" spans="1:18" x14ac:dyDescent="0.25">
      <c r="A241" s="170">
        <v>45275</v>
      </c>
      <c r="B241" s="116">
        <v>440</v>
      </c>
      <c r="C241" s="116">
        <v>417.75</v>
      </c>
      <c r="D241" s="116">
        <v>412.5</v>
      </c>
      <c r="E241" s="116">
        <v>440</v>
      </c>
      <c r="F241" s="116">
        <v>417.75</v>
      </c>
      <c r="G241">
        <v>5000</v>
      </c>
      <c r="H241" s="116"/>
      <c r="I241" s="116"/>
      <c r="L241" s="170">
        <v>42354</v>
      </c>
      <c r="M241" s="116">
        <v>197.25</v>
      </c>
      <c r="N241" s="116">
        <v>203.8</v>
      </c>
      <c r="O241" s="116">
        <v>196.3</v>
      </c>
      <c r="P241" s="116">
        <v>201.57</v>
      </c>
      <c r="Q241" s="116">
        <v>986.25</v>
      </c>
      <c r="R241">
        <v>22694</v>
      </c>
    </row>
    <row r="242" spans="1:18" x14ac:dyDescent="0.25">
      <c r="A242" s="170">
        <v>45278</v>
      </c>
      <c r="B242" s="116">
        <v>433</v>
      </c>
      <c r="C242" s="116">
        <v>400.05</v>
      </c>
      <c r="D242" s="116">
        <v>377</v>
      </c>
      <c r="E242" s="116">
        <v>432</v>
      </c>
      <c r="F242" s="116">
        <v>400.05</v>
      </c>
      <c r="G242">
        <v>17000</v>
      </c>
      <c r="H242" s="116"/>
      <c r="I242" s="116"/>
      <c r="L242" s="170">
        <v>42355</v>
      </c>
      <c r="M242" s="116">
        <v>198.5</v>
      </c>
      <c r="N242" s="116">
        <v>200.97</v>
      </c>
      <c r="O242" s="116">
        <v>196.2</v>
      </c>
      <c r="P242" s="116">
        <v>200.4</v>
      </c>
      <c r="Q242" s="116">
        <v>992.5</v>
      </c>
      <c r="R242">
        <v>17082</v>
      </c>
    </row>
    <row r="243" spans="1:18" x14ac:dyDescent="0.25">
      <c r="A243" s="170">
        <v>45279</v>
      </c>
      <c r="B243" s="116">
        <v>422</v>
      </c>
      <c r="C243" s="116">
        <v>418.35</v>
      </c>
      <c r="D243" s="116">
        <v>413.1</v>
      </c>
      <c r="E243" s="116">
        <v>418</v>
      </c>
      <c r="F243" s="116">
        <v>418.35</v>
      </c>
      <c r="G243">
        <v>2000</v>
      </c>
      <c r="H243" s="116"/>
      <c r="I243" s="116"/>
      <c r="L243" s="170">
        <v>42356</v>
      </c>
      <c r="M243" s="116">
        <v>206.6</v>
      </c>
      <c r="N243" s="116">
        <v>210.87</v>
      </c>
      <c r="O243" s="116">
        <v>198.24</v>
      </c>
      <c r="P243" s="116">
        <v>199</v>
      </c>
      <c r="Q243" s="116">
        <v>1033</v>
      </c>
      <c r="R243">
        <v>77668</v>
      </c>
    </row>
    <row r="244" spans="1:18" x14ac:dyDescent="0.25">
      <c r="A244" s="170">
        <v>45280</v>
      </c>
      <c r="B244" s="116">
        <v>414.9</v>
      </c>
      <c r="C244" s="116">
        <v>404</v>
      </c>
      <c r="D244" s="116">
        <v>399</v>
      </c>
      <c r="E244" s="116">
        <v>405</v>
      </c>
      <c r="F244" s="116">
        <v>404</v>
      </c>
      <c r="G244">
        <v>5000</v>
      </c>
      <c r="H244" s="116"/>
      <c r="I244" s="116"/>
      <c r="L244" s="170">
        <v>42359</v>
      </c>
      <c r="M244" s="116">
        <v>209.7</v>
      </c>
      <c r="N244" s="116">
        <v>211</v>
      </c>
      <c r="O244" s="116">
        <v>206.6</v>
      </c>
      <c r="P244" s="116">
        <v>206.6</v>
      </c>
      <c r="Q244" s="116">
        <v>1048.5</v>
      </c>
      <c r="R244">
        <v>36681</v>
      </c>
    </row>
    <row r="245" spans="1:18" x14ac:dyDescent="0.25">
      <c r="A245" s="170">
        <v>45281</v>
      </c>
      <c r="B245" s="116">
        <v>415</v>
      </c>
      <c r="C245" s="116">
        <v>412</v>
      </c>
      <c r="D245" s="116">
        <v>403</v>
      </c>
      <c r="E245" s="116">
        <v>405</v>
      </c>
      <c r="F245" s="116">
        <v>412</v>
      </c>
      <c r="G245">
        <v>4500</v>
      </c>
      <c r="H245" s="116"/>
      <c r="I245" s="116"/>
      <c r="L245" s="170">
        <v>42360</v>
      </c>
      <c r="M245" s="116">
        <v>214.63</v>
      </c>
      <c r="N245" s="116">
        <v>217.59</v>
      </c>
      <c r="O245" s="116">
        <v>206.2</v>
      </c>
      <c r="P245" s="116">
        <v>207.69</v>
      </c>
      <c r="Q245" s="116">
        <v>1073.1500000000001</v>
      </c>
      <c r="R245">
        <v>63828</v>
      </c>
    </row>
    <row r="246" spans="1:18" x14ac:dyDescent="0.25">
      <c r="A246" s="170">
        <v>45282</v>
      </c>
      <c r="B246" s="116">
        <v>425</v>
      </c>
      <c r="C246" s="116">
        <v>424.8</v>
      </c>
      <c r="D246" s="116">
        <v>424.5</v>
      </c>
      <c r="E246" s="116">
        <v>424.5</v>
      </c>
      <c r="F246" s="116">
        <v>424.8</v>
      </c>
      <c r="G246">
        <v>2500</v>
      </c>
      <c r="H246" s="116"/>
      <c r="I246" s="116"/>
      <c r="L246" s="170">
        <v>42361</v>
      </c>
      <c r="M246" s="116">
        <v>219.47</v>
      </c>
      <c r="N246" s="116">
        <v>222.54</v>
      </c>
      <c r="O246" s="116">
        <v>212.2</v>
      </c>
      <c r="P246" s="116">
        <v>212.2</v>
      </c>
      <c r="Q246" s="116">
        <v>1097.3499999999999</v>
      </c>
      <c r="R246">
        <v>85592</v>
      </c>
    </row>
    <row r="247" spans="1:18" x14ac:dyDescent="0.25">
      <c r="A247" s="170">
        <v>45286</v>
      </c>
      <c r="B247" s="116">
        <v>458</v>
      </c>
      <c r="C247" s="116">
        <v>423.9</v>
      </c>
      <c r="D247" s="116">
        <v>399</v>
      </c>
      <c r="E247" s="116">
        <v>458</v>
      </c>
      <c r="F247" s="116">
        <v>423.9</v>
      </c>
      <c r="G247">
        <v>10500</v>
      </c>
      <c r="H247" s="116"/>
      <c r="I247" s="116"/>
      <c r="L247" s="170">
        <v>42362</v>
      </c>
      <c r="M247" s="116">
        <v>220.02</v>
      </c>
      <c r="N247" s="116">
        <v>224</v>
      </c>
      <c r="O247" s="116">
        <v>217.61</v>
      </c>
      <c r="P247" s="116">
        <v>221.39</v>
      </c>
      <c r="Q247" s="116">
        <v>1100.0999999999999</v>
      </c>
      <c r="R247">
        <v>27032</v>
      </c>
    </row>
    <row r="248" spans="1:18" x14ac:dyDescent="0.25">
      <c r="A248" s="170">
        <v>45287</v>
      </c>
      <c r="B248" s="116">
        <v>429</v>
      </c>
      <c r="C248" s="116">
        <v>423.25</v>
      </c>
      <c r="D248" s="116">
        <v>409.15</v>
      </c>
      <c r="E248" s="116">
        <v>425</v>
      </c>
      <c r="F248" s="116">
        <v>423.25</v>
      </c>
      <c r="G248">
        <v>10000</v>
      </c>
      <c r="H248" s="116"/>
      <c r="I248" s="116"/>
      <c r="L248" s="170">
        <v>42366</v>
      </c>
      <c r="M248" s="116">
        <v>218.44</v>
      </c>
      <c r="N248" s="116">
        <v>221.6</v>
      </c>
      <c r="O248" s="116">
        <v>218.01</v>
      </c>
      <c r="P248" s="116">
        <v>220.2</v>
      </c>
      <c r="Q248" s="116">
        <v>1092.2</v>
      </c>
      <c r="R248">
        <v>21606</v>
      </c>
    </row>
    <row r="249" spans="1:18" x14ac:dyDescent="0.25">
      <c r="A249" s="170">
        <v>45288</v>
      </c>
      <c r="B249" s="116">
        <v>428</v>
      </c>
      <c r="C249" s="116">
        <v>424.7</v>
      </c>
      <c r="D249" s="116">
        <v>409.9</v>
      </c>
      <c r="E249" s="116">
        <v>427.9</v>
      </c>
      <c r="F249" s="116">
        <v>424.7</v>
      </c>
      <c r="G249">
        <v>15000</v>
      </c>
      <c r="H249" s="116"/>
      <c r="I249" s="116"/>
      <c r="L249" s="170">
        <v>42367</v>
      </c>
      <c r="M249" s="116">
        <v>219.05</v>
      </c>
      <c r="N249" s="116">
        <v>223.53</v>
      </c>
      <c r="O249" s="116">
        <v>216.25</v>
      </c>
      <c r="P249" s="116">
        <v>216.29</v>
      </c>
      <c r="Q249" s="116">
        <v>1095.25</v>
      </c>
      <c r="R249">
        <v>49272</v>
      </c>
    </row>
    <row r="250" spans="1:18" x14ac:dyDescent="0.25">
      <c r="A250" s="170">
        <v>45289</v>
      </c>
      <c r="B250" s="116">
        <v>467.15</v>
      </c>
      <c r="C250" s="116">
        <v>467.15</v>
      </c>
      <c r="D250" s="116">
        <v>433.5</v>
      </c>
      <c r="E250" s="116">
        <v>439.9</v>
      </c>
      <c r="F250" s="116">
        <v>467.15</v>
      </c>
      <c r="G250">
        <v>59000</v>
      </c>
      <c r="H250" s="116"/>
      <c r="I250" s="116"/>
      <c r="L250" s="170">
        <v>42368</v>
      </c>
      <c r="M250" s="116">
        <v>216.98</v>
      </c>
      <c r="N250" s="116">
        <v>221.6</v>
      </c>
      <c r="O250" s="116">
        <v>215.52</v>
      </c>
      <c r="P250" s="116">
        <v>219</v>
      </c>
      <c r="Q250" s="116">
        <v>1084.9000000000001</v>
      </c>
      <c r="R250">
        <v>25365</v>
      </c>
    </row>
    <row r="251" spans="1:18" x14ac:dyDescent="0.25">
      <c r="A251" s="170">
        <v>45292</v>
      </c>
      <c r="B251" s="116">
        <v>485</v>
      </c>
      <c r="C251" s="116">
        <v>476.2</v>
      </c>
      <c r="D251" s="116">
        <v>469</v>
      </c>
      <c r="E251" s="116">
        <v>484</v>
      </c>
      <c r="F251" s="116">
        <v>476.2</v>
      </c>
      <c r="G251">
        <v>17000</v>
      </c>
      <c r="H251" s="116"/>
      <c r="I251" s="116"/>
      <c r="L251" s="170">
        <v>42369</v>
      </c>
      <c r="M251" s="116">
        <v>215.74</v>
      </c>
      <c r="N251" s="116">
        <v>221</v>
      </c>
      <c r="O251" s="116">
        <v>215</v>
      </c>
      <c r="P251" s="116">
        <v>221</v>
      </c>
      <c r="Q251" s="116">
        <v>1078.7</v>
      </c>
      <c r="R251">
        <v>15503</v>
      </c>
    </row>
    <row r="252" spans="1:18" x14ac:dyDescent="0.25">
      <c r="A252" s="170">
        <v>45293</v>
      </c>
      <c r="B252" s="116">
        <v>490.05</v>
      </c>
      <c r="C252" s="116">
        <v>486.1</v>
      </c>
      <c r="D252" s="116">
        <v>460.1</v>
      </c>
      <c r="E252" s="116">
        <v>482</v>
      </c>
      <c r="F252" s="116">
        <v>486.1</v>
      </c>
      <c r="G252">
        <v>16000</v>
      </c>
      <c r="H252" s="116"/>
      <c r="I252" s="116"/>
      <c r="L252" s="170">
        <v>42370</v>
      </c>
      <c r="M252" s="116">
        <v>219.43</v>
      </c>
      <c r="N252" s="116">
        <v>221.4</v>
      </c>
      <c r="O252" s="116">
        <v>214.97</v>
      </c>
      <c r="P252" s="116">
        <v>215.2</v>
      </c>
      <c r="Q252" s="116">
        <v>1097.1500000000001</v>
      </c>
      <c r="R252">
        <v>55033</v>
      </c>
    </row>
    <row r="253" spans="1:18" x14ac:dyDescent="0.25">
      <c r="A253" s="170">
        <v>45294</v>
      </c>
      <c r="B253" s="116">
        <v>534.70000000000005</v>
      </c>
      <c r="C253" s="116">
        <v>534.70000000000005</v>
      </c>
      <c r="D253" s="116">
        <v>489.95</v>
      </c>
      <c r="E253" s="116">
        <v>491</v>
      </c>
      <c r="F253" s="116">
        <v>534.70000000000005</v>
      </c>
      <c r="G253">
        <v>64000</v>
      </c>
      <c r="H253" s="116"/>
      <c r="I253" s="116"/>
      <c r="L253" s="170">
        <v>42373</v>
      </c>
      <c r="M253" s="116">
        <v>214.33</v>
      </c>
      <c r="N253" s="116">
        <v>221</v>
      </c>
      <c r="O253" s="116">
        <v>212.04</v>
      </c>
      <c r="P253" s="116">
        <v>221</v>
      </c>
      <c r="Q253" s="116">
        <v>1071.6500000000001</v>
      </c>
      <c r="R253">
        <v>23941</v>
      </c>
    </row>
    <row r="254" spans="1:18" x14ac:dyDescent="0.25">
      <c r="A254" s="170">
        <v>45295</v>
      </c>
      <c r="B254" s="116">
        <v>545</v>
      </c>
      <c r="C254" s="116">
        <v>526.04999999999995</v>
      </c>
      <c r="D254" s="116">
        <v>520</v>
      </c>
      <c r="E254" s="116">
        <v>521</v>
      </c>
      <c r="F254" s="116">
        <v>526.04999999999995</v>
      </c>
      <c r="G254">
        <v>30500</v>
      </c>
      <c r="H254" s="116"/>
      <c r="I254" s="116"/>
      <c r="L254" s="170">
        <v>42374</v>
      </c>
      <c r="M254" s="116">
        <v>213.73</v>
      </c>
      <c r="N254" s="116">
        <v>218.89</v>
      </c>
      <c r="O254" s="116">
        <v>212.91</v>
      </c>
      <c r="P254" s="116">
        <v>215.01</v>
      </c>
      <c r="Q254" s="116">
        <v>1068.6500000000001</v>
      </c>
      <c r="R254">
        <v>18020</v>
      </c>
    </row>
    <row r="255" spans="1:18" x14ac:dyDescent="0.25">
      <c r="A255" s="170">
        <v>45296</v>
      </c>
      <c r="B255" s="116">
        <v>534.5</v>
      </c>
      <c r="C255" s="116">
        <v>516</v>
      </c>
      <c r="D255" s="116">
        <v>516</v>
      </c>
      <c r="E255" s="116">
        <v>529.95000000000005</v>
      </c>
      <c r="F255" s="116">
        <v>516</v>
      </c>
      <c r="G255">
        <v>12000</v>
      </c>
      <c r="H255" s="116"/>
      <c r="I255" s="116"/>
      <c r="L255" s="170">
        <v>42375</v>
      </c>
      <c r="M255" s="116">
        <v>213.43</v>
      </c>
      <c r="N255" s="116">
        <v>216.29</v>
      </c>
      <c r="O255" s="116">
        <v>211.63</v>
      </c>
      <c r="P255" s="116">
        <v>216.29</v>
      </c>
      <c r="Q255" s="116">
        <v>1067.1500000000001</v>
      </c>
      <c r="R255">
        <v>12732</v>
      </c>
    </row>
    <row r="256" spans="1:18" x14ac:dyDescent="0.25">
      <c r="A256" s="170">
        <v>45299</v>
      </c>
      <c r="B256" s="116">
        <v>500.55</v>
      </c>
      <c r="C256" s="116">
        <v>490.25</v>
      </c>
      <c r="D256" s="116">
        <v>490.2</v>
      </c>
      <c r="E256" s="116">
        <v>495.05</v>
      </c>
      <c r="F256" s="116">
        <v>490.25</v>
      </c>
      <c r="G256">
        <v>13000</v>
      </c>
      <c r="H256" s="116"/>
      <c r="I256" s="116"/>
      <c r="L256" s="170">
        <v>42376</v>
      </c>
      <c r="M256" s="116">
        <v>205.02</v>
      </c>
      <c r="N256" s="116">
        <v>213</v>
      </c>
      <c r="O256" s="116">
        <v>204.28</v>
      </c>
      <c r="P256" s="116">
        <v>211.32</v>
      </c>
      <c r="Q256" s="116">
        <v>1025.0999999999999</v>
      </c>
      <c r="R256">
        <v>23279</v>
      </c>
    </row>
    <row r="257" spans="1:18" x14ac:dyDescent="0.25">
      <c r="A257" s="170">
        <v>45300</v>
      </c>
      <c r="B257" s="116">
        <v>513.85</v>
      </c>
      <c r="C257" s="116">
        <v>498.2</v>
      </c>
      <c r="D257" s="116">
        <v>472.1</v>
      </c>
      <c r="E257" s="116">
        <v>490.2</v>
      </c>
      <c r="F257" s="116">
        <v>498.2</v>
      </c>
      <c r="G257">
        <v>16500</v>
      </c>
      <c r="H257" s="116"/>
      <c r="I257" s="116"/>
      <c r="L257" s="170">
        <v>42377</v>
      </c>
      <c r="M257" s="116">
        <v>209.52</v>
      </c>
      <c r="N257" s="116">
        <v>210.19</v>
      </c>
      <c r="O257" s="116">
        <v>207.09</v>
      </c>
      <c r="P257" s="116">
        <v>208</v>
      </c>
      <c r="Q257" s="116">
        <v>1047.5999999999999</v>
      </c>
      <c r="R257">
        <v>12021</v>
      </c>
    </row>
    <row r="258" spans="1:18" x14ac:dyDescent="0.25">
      <c r="A258" s="170">
        <v>45301</v>
      </c>
      <c r="B258" s="116">
        <v>510</v>
      </c>
      <c r="C258" s="116">
        <v>510</v>
      </c>
      <c r="D258" s="116">
        <v>498.2</v>
      </c>
      <c r="E258" s="116">
        <v>498.2</v>
      </c>
      <c r="F258" s="116">
        <v>510</v>
      </c>
      <c r="G258">
        <v>7500</v>
      </c>
      <c r="H258" s="116"/>
      <c r="I258" s="116"/>
      <c r="L258" s="170">
        <v>42380</v>
      </c>
      <c r="M258" s="116">
        <v>207.83</v>
      </c>
      <c r="N258" s="116">
        <v>212</v>
      </c>
      <c r="O258" s="116">
        <v>203.64</v>
      </c>
      <c r="P258" s="116">
        <v>206.1</v>
      </c>
      <c r="Q258" s="116">
        <v>1039.1500000000001</v>
      </c>
      <c r="R258">
        <v>17174</v>
      </c>
    </row>
    <row r="259" spans="1:18" x14ac:dyDescent="0.25">
      <c r="A259" s="170">
        <v>45302</v>
      </c>
      <c r="B259" s="116">
        <v>535.5</v>
      </c>
      <c r="C259" s="116">
        <v>535.5</v>
      </c>
      <c r="D259" s="116">
        <v>515</v>
      </c>
      <c r="E259" s="116">
        <v>528</v>
      </c>
      <c r="F259" s="116">
        <v>535.5</v>
      </c>
      <c r="G259">
        <v>18500</v>
      </c>
      <c r="H259" s="116"/>
      <c r="I259" s="116"/>
      <c r="L259" s="170">
        <v>42381</v>
      </c>
      <c r="M259" s="116">
        <v>202.56</v>
      </c>
      <c r="N259" s="116">
        <v>207.41</v>
      </c>
      <c r="O259" s="116">
        <v>200.6</v>
      </c>
      <c r="P259" s="116">
        <v>207.4</v>
      </c>
      <c r="Q259" s="116">
        <v>1012.8</v>
      </c>
      <c r="R259">
        <v>26365</v>
      </c>
    </row>
    <row r="260" spans="1:18" x14ac:dyDescent="0.25">
      <c r="A260" s="170">
        <v>45303</v>
      </c>
      <c r="B260" s="116">
        <v>561.5</v>
      </c>
      <c r="C260" s="116">
        <v>556.54999999999995</v>
      </c>
      <c r="D260" s="116">
        <v>535</v>
      </c>
      <c r="E260" s="116">
        <v>547.45000000000005</v>
      </c>
      <c r="F260" s="116">
        <v>556.54999999999995</v>
      </c>
      <c r="G260">
        <v>30000</v>
      </c>
      <c r="H260" s="116"/>
      <c r="I260" s="116"/>
      <c r="L260" s="170">
        <v>42382</v>
      </c>
      <c r="M260" s="116">
        <v>197.77</v>
      </c>
      <c r="N260" s="116">
        <v>204</v>
      </c>
      <c r="O260" s="116">
        <v>184.06</v>
      </c>
      <c r="P260" s="116">
        <v>204</v>
      </c>
      <c r="Q260" s="116">
        <v>988.85</v>
      </c>
      <c r="R260">
        <v>42907</v>
      </c>
    </row>
    <row r="261" spans="1:18" x14ac:dyDescent="0.25">
      <c r="A261" s="170">
        <v>45306</v>
      </c>
      <c r="B261" s="116">
        <v>584.35</v>
      </c>
      <c r="C261" s="116">
        <v>575.35</v>
      </c>
      <c r="D261" s="116">
        <v>557</v>
      </c>
      <c r="E261" s="116">
        <v>565</v>
      </c>
      <c r="F261" s="116">
        <v>575.35</v>
      </c>
      <c r="G261">
        <v>22500</v>
      </c>
      <c r="H261" s="116"/>
      <c r="I261" s="116"/>
      <c r="L261" s="170">
        <v>42383</v>
      </c>
      <c r="M261" s="116">
        <v>191.65</v>
      </c>
      <c r="N261" s="116">
        <v>196.74</v>
      </c>
      <c r="O261" s="116">
        <v>190</v>
      </c>
      <c r="P261" s="116">
        <v>191.44</v>
      </c>
      <c r="Q261" s="116">
        <v>958.25</v>
      </c>
      <c r="R261">
        <v>28583</v>
      </c>
    </row>
    <row r="262" spans="1:18" x14ac:dyDescent="0.25">
      <c r="A262" s="170">
        <v>45307</v>
      </c>
      <c r="B262" s="116">
        <v>592.5</v>
      </c>
      <c r="C262" s="116">
        <v>571.35</v>
      </c>
      <c r="D262" s="116">
        <v>567.5</v>
      </c>
      <c r="E262" s="116">
        <v>587.5</v>
      </c>
      <c r="F262" s="116">
        <v>571.35</v>
      </c>
      <c r="G262">
        <v>11000</v>
      </c>
      <c r="H262" s="116"/>
      <c r="I262" s="116"/>
      <c r="L262" s="170">
        <v>42384</v>
      </c>
      <c r="M262" s="116">
        <v>190.33</v>
      </c>
      <c r="N262" s="116">
        <v>195</v>
      </c>
      <c r="O262" s="116">
        <v>189.77</v>
      </c>
      <c r="P262" s="116">
        <v>192.95</v>
      </c>
      <c r="Q262" s="116">
        <v>951.65</v>
      </c>
      <c r="R262">
        <v>18551</v>
      </c>
    </row>
    <row r="263" spans="1:18" x14ac:dyDescent="0.25">
      <c r="A263" s="170">
        <v>45308</v>
      </c>
      <c r="B263" s="116">
        <v>599.9</v>
      </c>
      <c r="C263" s="116">
        <v>595.6</v>
      </c>
      <c r="D263" s="116">
        <v>552.1</v>
      </c>
      <c r="E263" s="116">
        <v>594</v>
      </c>
      <c r="F263" s="116">
        <v>595.6</v>
      </c>
      <c r="G263">
        <v>43500</v>
      </c>
      <c r="H263" s="116"/>
      <c r="I263" s="116"/>
      <c r="L263" s="170">
        <v>42387</v>
      </c>
      <c r="M263" s="116">
        <v>179.99</v>
      </c>
      <c r="N263" s="116">
        <v>199</v>
      </c>
      <c r="O263" s="116">
        <v>179.6</v>
      </c>
      <c r="P263" s="116">
        <v>190</v>
      </c>
      <c r="Q263" s="116">
        <v>899.95</v>
      </c>
      <c r="R263">
        <v>90639</v>
      </c>
    </row>
    <row r="264" spans="1:18" x14ac:dyDescent="0.25">
      <c r="A264" s="170">
        <v>45309</v>
      </c>
      <c r="B264" s="116">
        <v>625.35</v>
      </c>
      <c r="C264" s="116">
        <v>612.5</v>
      </c>
      <c r="D264" s="116">
        <v>593</v>
      </c>
      <c r="E264" s="116">
        <v>625.35</v>
      </c>
      <c r="F264" s="116">
        <v>612.5</v>
      </c>
      <c r="G264">
        <v>24500</v>
      </c>
      <c r="H264" s="116"/>
      <c r="I264" s="116"/>
      <c r="L264" s="170">
        <v>42388</v>
      </c>
      <c r="M264" s="116">
        <v>175.48</v>
      </c>
      <c r="N264" s="116">
        <v>185.2</v>
      </c>
      <c r="O264" s="116">
        <v>174.2</v>
      </c>
      <c r="P264" s="116">
        <v>185.2</v>
      </c>
      <c r="Q264" s="116">
        <v>877.4</v>
      </c>
      <c r="R264">
        <v>40403</v>
      </c>
    </row>
    <row r="265" spans="1:18" x14ac:dyDescent="0.25">
      <c r="A265" s="170">
        <v>45310</v>
      </c>
      <c r="B265" s="116">
        <v>624</v>
      </c>
      <c r="C265" s="116">
        <v>622</v>
      </c>
      <c r="D265" s="116">
        <v>606.5</v>
      </c>
      <c r="E265" s="116">
        <v>620</v>
      </c>
      <c r="F265" s="116">
        <v>622</v>
      </c>
      <c r="G265">
        <v>4000</v>
      </c>
      <c r="H265" s="116"/>
      <c r="I265" s="116"/>
      <c r="L265" s="170">
        <v>42389</v>
      </c>
      <c r="M265" s="116">
        <v>175.45</v>
      </c>
      <c r="N265" s="116">
        <v>179</v>
      </c>
      <c r="O265" s="116">
        <v>169</v>
      </c>
      <c r="P265" s="116">
        <v>175.6</v>
      </c>
      <c r="Q265" s="116">
        <v>877.25</v>
      </c>
      <c r="R265">
        <v>28230</v>
      </c>
    </row>
    <row r="266" spans="1:18" x14ac:dyDescent="0.25">
      <c r="A266" s="170">
        <v>45311</v>
      </c>
      <c r="B266" s="116">
        <v>653.1</v>
      </c>
      <c r="C266" s="116">
        <v>653.1</v>
      </c>
      <c r="D266" s="116">
        <v>650</v>
      </c>
      <c r="E266" s="116">
        <v>653.1</v>
      </c>
      <c r="F266" s="116">
        <v>653.1</v>
      </c>
      <c r="G266">
        <v>28500</v>
      </c>
      <c r="H266" s="116"/>
      <c r="I266" s="116"/>
      <c r="L266" s="170">
        <v>42390</v>
      </c>
      <c r="M266" s="116">
        <v>180.16</v>
      </c>
      <c r="N266" s="116">
        <v>183.3</v>
      </c>
      <c r="O266" s="116">
        <v>177.2</v>
      </c>
      <c r="P266" s="116">
        <v>180.51</v>
      </c>
      <c r="Q266" s="116">
        <v>900.8</v>
      </c>
      <c r="R266">
        <v>26535</v>
      </c>
    </row>
    <row r="267" spans="1:18" x14ac:dyDescent="0.25">
      <c r="A267" s="170">
        <v>45314</v>
      </c>
      <c r="B267" s="116">
        <v>685.75</v>
      </c>
      <c r="C267" s="116">
        <v>659.7</v>
      </c>
      <c r="D267" s="116">
        <v>630</v>
      </c>
      <c r="E267" s="116">
        <v>685.75</v>
      </c>
      <c r="F267" s="116">
        <v>659.7</v>
      </c>
      <c r="G267">
        <v>64000</v>
      </c>
      <c r="H267" s="116"/>
      <c r="I267" s="116"/>
      <c r="L267" s="170">
        <v>42391</v>
      </c>
      <c r="M267" s="116">
        <v>204.44</v>
      </c>
      <c r="N267" s="116">
        <v>211.4</v>
      </c>
      <c r="O267" s="116">
        <v>181.72</v>
      </c>
      <c r="P267" s="116">
        <v>182.4</v>
      </c>
      <c r="Q267" s="116">
        <v>1022.2</v>
      </c>
      <c r="R267">
        <v>559529</v>
      </c>
    </row>
    <row r="268" spans="1:18" x14ac:dyDescent="0.25">
      <c r="A268" s="170">
        <v>45315</v>
      </c>
      <c r="B268" s="116">
        <v>669</v>
      </c>
      <c r="C268" s="116">
        <v>642.04999999999995</v>
      </c>
      <c r="D268" s="116">
        <v>631.1</v>
      </c>
      <c r="E268" s="116">
        <v>631.1</v>
      </c>
      <c r="F268" s="116">
        <v>642.04999999999995</v>
      </c>
      <c r="G268">
        <v>11000</v>
      </c>
      <c r="H268" s="116"/>
      <c r="I268" s="116"/>
      <c r="L268" s="170">
        <v>42394</v>
      </c>
      <c r="M268" s="116">
        <v>206.21</v>
      </c>
      <c r="N268" s="116">
        <v>208.79</v>
      </c>
      <c r="O268" s="116">
        <v>198.24</v>
      </c>
      <c r="P268" s="116">
        <v>204.8</v>
      </c>
      <c r="Q268" s="116">
        <v>1031.05</v>
      </c>
      <c r="R268">
        <v>96532</v>
      </c>
    </row>
    <row r="269" spans="1:18" x14ac:dyDescent="0.25">
      <c r="A269" s="170">
        <v>45316</v>
      </c>
      <c r="B269" s="116">
        <v>664</v>
      </c>
      <c r="C269" s="116">
        <v>647.75</v>
      </c>
      <c r="D269" s="116">
        <v>631.25</v>
      </c>
      <c r="E269" s="116">
        <v>650</v>
      </c>
      <c r="F269" s="116">
        <v>647.75</v>
      </c>
      <c r="G269">
        <v>11000</v>
      </c>
      <c r="H269" s="116"/>
      <c r="I269" s="116"/>
      <c r="L269" s="170">
        <v>42396</v>
      </c>
      <c r="M269" s="116">
        <v>204.82</v>
      </c>
      <c r="N269" s="116">
        <v>207.89</v>
      </c>
      <c r="O269" s="116">
        <v>200.42</v>
      </c>
      <c r="P269" s="116">
        <v>200.44</v>
      </c>
      <c r="Q269" s="116">
        <v>1024.0999999999999</v>
      </c>
      <c r="R269">
        <v>56807</v>
      </c>
    </row>
    <row r="270" spans="1:18" x14ac:dyDescent="0.25">
      <c r="A270" s="170">
        <v>45320</v>
      </c>
      <c r="B270" s="116">
        <v>669.45</v>
      </c>
      <c r="C270" s="116">
        <v>665.25</v>
      </c>
      <c r="D270" s="116">
        <v>632</v>
      </c>
      <c r="E270" s="116">
        <v>647.5</v>
      </c>
      <c r="F270" s="116">
        <v>665.25</v>
      </c>
      <c r="G270">
        <v>34000</v>
      </c>
      <c r="H270" s="116"/>
      <c r="I270" s="116"/>
      <c r="L270" s="170">
        <v>42397</v>
      </c>
      <c r="M270" s="116">
        <v>210.87</v>
      </c>
      <c r="N270" s="116">
        <v>219</v>
      </c>
      <c r="O270" s="116">
        <v>200.8</v>
      </c>
      <c r="P270" s="116">
        <v>204.81</v>
      </c>
      <c r="Q270" s="116">
        <v>1054.3499999999999</v>
      </c>
      <c r="R270">
        <v>122048</v>
      </c>
    </row>
    <row r="271" spans="1:18" x14ac:dyDescent="0.25">
      <c r="A271" s="170">
        <v>45321</v>
      </c>
      <c r="B271" s="116">
        <v>687.7</v>
      </c>
      <c r="C271" s="116">
        <v>670</v>
      </c>
      <c r="D271" s="116">
        <v>666.6</v>
      </c>
      <c r="E271" s="116">
        <v>687.7</v>
      </c>
      <c r="F271" s="116">
        <v>670</v>
      </c>
      <c r="G271">
        <v>7500</v>
      </c>
      <c r="H271" s="116"/>
      <c r="I271" s="116"/>
      <c r="L271" s="170">
        <v>42398</v>
      </c>
      <c r="M271" s="116">
        <v>211.96</v>
      </c>
      <c r="N271" s="116">
        <v>219</v>
      </c>
      <c r="O271" s="116">
        <v>208.21</v>
      </c>
      <c r="P271" s="116">
        <v>211</v>
      </c>
      <c r="Q271" s="116">
        <v>1059.8</v>
      </c>
      <c r="R271">
        <v>28219</v>
      </c>
    </row>
    <row r="272" spans="1:18" x14ac:dyDescent="0.25">
      <c r="A272" s="170">
        <v>45322</v>
      </c>
      <c r="B272" s="116">
        <v>700.55</v>
      </c>
      <c r="C272" s="116">
        <v>695</v>
      </c>
      <c r="D272" s="116">
        <v>680</v>
      </c>
      <c r="E272" s="116">
        <v>700.55</v>
      </c>
      <c r="F272" s="116">
        <v>695</v>
      </c>
      <c r="G272">
        <v>5000</v>
      </c>
      <c r="H272" s="116"/>
      <c r="I272" s="116"/>
      <c r="L272" s="170">
        <v>42401</v>
      </c>
      <c r="M272" s="116">
        <v>210.67</v>
      </c>
      <c r="N272" s="116">
        <v>216.4</v>
      </c>
      <c r="O272" s="116">
        <v>208.81</v>
      </c>
      <c r="P272" s="116">
        <v>213</v>
      </c>
      <c r="Q272" s="116">
        <v>1053.3499999999999</v>
      </c>
      <c r="R272">
        <v>19939</v>
      </c>
    </row>
    <row r="273" spans="1:18" x14ac:dyDescent="0.25">
      <c r="A273" s="170">
        <v>45323</v>
      </c>
      <c r="B273" s="116">
        <v>695</v>
      </c>
      <c r="C273" s="116">
        <v>665</v>
      </c>
      <c r="D273" s="116">
        <v>665</v>
      </c>
      <c r="E273" s="116">
        <v>695</v>
      </c>
      <c r="F273" s="116">
        <v>665</v>
      </c>
      <c r="G273">
        <v>3500</v>
      </c>
      <c r="H273" s="116"/>
      <c r="I273" s="116"/>
      <c r="L273" s="170">
        <v>42402</v>
      </c>
      <c r="M273" s="116">
        <v>202.66</v>
      </c>
      <c r="N273" s="116">
        <v>212.8</v>
      </c>
      <c r="O273" s="116">
        <v>201</v>
      </c>
      <c r="P273" s="116">
        <v>212.6</v>
      </c>
      <c r="Q273" s="116">
        <v>1013.3</v>
      </c>
      <c r="R273">
        <v>20208</v>
      </c>
    </row>
    <row r="274" spans="1:18" x14ac:dyDescent="0.25">
      <c r="A274" s="170">
        <v>45324</v>
      </c>
      <c r="B274" s="116">
        <v>640</v>
      </c>
      <c r="C274" s="116">
        <v>640</v>
      </c>
      <c r="D274" s="116">
        <v>640</v>
      </c>
      <c r="E274" s="116">
        <v>640</v>
      </c>
      <c r="F274" s="116">
        <v>640</v>
      </c>
      <c r="G274">
        <v>500</v>
      </c>
      <c r="H274" s="116"/>
      <c r="I274" s="116"/>
      <c r="L274" s="170">
        <v>42403</v>
      </c>
      <c r="M274" s="116">
        <v>201.11</v>
      </c>
      <c r="N274" s="116">
        <v>203.99</v>
      </c>
      <c r="O274" s="116">
        <v>195</v>
      </c>
      <c r="P274" s="116">
        <v>197.2</v>
      </c>
      <c r="Q274" s="116">
        <v>1005.55</v>
      </c>
      <c r="R274">
        <v>26798</v>
      </c>
    </row>
    <row r="275" spans="1:18" x14ac:dyDescent="0.25">
      <c r="A275" s="170">
        <v>45327</v>
      </c>
      <c r="B275" s="116">
        <v>639</v>
      </c>
      <c r="C275" s="116">
        <v>635</v>
      </c>
      <c r="D275" s="116">
        <v>608</v>
      </c>
      <c r="E275" s="116">
        <v>608.29999999999995</v>
      </c>
      <c r="F275" s="116">
        <v>635</v>
      </c>
      <c r="G275">
        <v>15500</v>
      </c>
      <c r="H275" s="116"/>
      <c r="I275" s="116"/>
      <c r="L275" s="170">
        <v>42404</v>
      </c>
      <c r="M275" s="116">
        <v>200.49</v>
      </c>
      <c r="N275" s="116">
        <v>206.8</v>
      </c>
      <c r="O275" s="116">
        <v>199.04</v>
      </c>
      <c r="P275" s="116">
        <v>202.4</v>
      </c>
      <c r="Q275" s="116">
        <v>1002.45</v>
      </c>
      <c r="R275">
        <v>26213</v>
      </c>
    </row>
    <row r="276" spans="1:18" x14ac:dyDescent="0.25">
      <c r="A276" s="170">
        <v>45328</v>
      </c>
      <c r="B276" s="116">
        <v>651</v>
      </c>
      <c r="C276" s="116">
        <v>639.79999999999995</v>
      </c>
      <c r="D276" s="116">
        <v>610.20000000000005</v>
      </c>
      <c r="E276" s="116">
        <v>640</v>
      </c>
      <c r="F276" s="116">
        <v>639.79999999999995</v>
      </c>
      <c r="G276">
        <v>7000</v>
      </c>
      <c r="H276" s="116"/>
      <c r="I276" s="116"/>
      <c r="L276" s="170">
        <v>42405</v>
      </c>
      <c r="M276" s="116">
        <v>210.28</v>
      </c>
      <c r="N276" s="116">
        <v>211</v>
      </c>
      <c r="O276" s="116">
        <v>198.47</v>
      </c>
      <c r="P276" s="116">
        <v>201.8</v>
      </c>
      <c r="Q276" s="116">
        <v>1051.4000000000001</v>
      </c>
      <c r="R276">
        <v>41351</v>
      </c>
    </row>
    <row r="277" spans="1:18" x14ac:dyDescent="0.25">
      <c r="A277" s="170">
        <v>45329</v>
      </c>
      <c r="B277" s="116">
        <v>621.04999999999995</v>
      </c>
      <c r="C277" s="116">
        <v>619</v>
      </c>
      <c r="D277" s="116">
        <v>618</v>
      </c>
      <c r="E277" s="116">
        <v>621.04999999999995</v>
      </c>
      <c r="F277" s="116">
        <v>619</v>
      </c>
      <c r="G277">
        <v>2500</v>
      </c>
      <c r="H277" s="116"/>
      <c r="I277" s="116"/>
      <c r="L277" s="170">
        <v>42408</v>
      </c>
      <c r="M277" s="116">
        <v>205.13</v>
      </c>
      <c r="N277" s="116">
        <v>211.8</v>
      </c>
      <c r="O277" s="116">
        <v>203.06</v>
      </c>
      <c r="P277" s="116">
        <v>211.8</v>
      </c>
      <c r="Q277" s="116">
        <v>1025.6500000000001</v>
      </c>
      <c r="R277">
        <v>18312</v>
      </c>
    </row>
    <row r="278" spans="1:18" x14ac:dyDescent="0.25">
      <c r="A278" s="170">
        <v>45330</v>
      </c>
      <c r="B278" s="116">
        <v>644</v>
      </c>
      <c r="C278" s="116">
        <v>609.95000000000005</v>
      </c>
      <c r="D278" s="116">
        <v>607</v>
      </c>
      <c r="E278" s="116">
        <v>644</v>
      </c>
      <c r="F278" s="116">
        <v>609.95000000000005</v>
      </c>
      <c r="G278">
        <v>8000</v>
      </c>
      <c r="H278" s="116"/>
      <c r="I278" s="116"/>
      <c r="L278" s="170">
        <v>42409</v>
      </c>
      <c r="M278" s="116">
        <v>199.8</v>
      </c>
      <c r="N278" s="116">
        <v>205.36</v>
      </c>
      <c r="O278" s="116">
        <v>199.21</v>
      </c>
      <c r="P278" s="116">
        <v>201.78</v>
      </c>
      <c r="Q278" s="116">
        <v>999</v>
      </c>
      <c r="R278">
        <v>18599</v>
      </c>
    </row>
    <row r="279" spans="1:18" x14ac:dyDescent="0.25">
      <c r="A279" s="170">
        <v>45331</v>
      </c>
      <c r="B279" s="116">
        <v>629</v>
      </c>
      <c r="C279" s="116">
        <v>627</v>
      </c>
      <c r="D279" s="116">
        <v>580.5</v>
      </c>
      <c r="E279" s="116">
        <v>607</v>
      </c>
      <c r="F279" s="116">
        <v>627</v>
      </c>
      <c r="G279">
        <v>8000</v>
      </c>
      <c r="H279" s="116"/>
      <c r="I279" s="116"/>
      <c r="L279" s="170">
        <v>42410</v>
      </c>
      <c r="M279" s="116">
        <v>197.64</v>
      </c>
      <c r="N279" s="116">
        <v>199.99</v>
      </c>
      <c r="O279" s="116">
        <v>194.3</v>
      </c>
      <c r="P279" s="116">
        <v>199.74</v>
      </c>
      <c r="Q279" s="116">
        <v>988.2</v>
      </c>
      <c r="R279">
        <v>19796</v>
      </c>
    </row>
    <row r="280" spans="1:18" x14ac:dyDescent="0.25">
      <c r="A280" s="170">
        <v>45334</v>
      </c>
      <c r="B280" s="116">
        <v>651</v>
      </c>
      <c r="C280" s="116">
        <v>609</v>
      </c>
      <c r="D280" s="116">
        <v>609</v>
      </c>
      <c r="E280" s="116">
        <v>651</v>
      </c>
      <c r="F280" s="116">
        <v>609</v>
      </c>
      <c r="G280">
        <v>4000</v>
      </c>
      <c r="H280" s="116"/>
      <c r="I280" s="116"/>
      <c r="L280" s="170">
        <v>42411</v>
      </c>
      <c r="M280" s="116">
        <v>187.06</v>
      </c>
      <c r="N280" s="116">
        <v>198.4</v>
      </c>
      <c r="O280" s="116">
        <v>183.9</v>
      </c>
      <c r="P280" s="116">
        <v>197.39</v>
      </c>
      <c r="Q280" s="116">
        <v>935.3</v>
      </c>
      <c r="R280">
        <v>25694</v>
      </c>
    </row>
    <row r="281" spans="1:18" x14ac:dyDescent="0.25">
      <c r="A281" s="170">
        <v>45335</v>
      </c>
      <c r="B281" s="116">
        <v>620</v>
      </c>
      <c r="C281" s="116">
        <v>620</v>
      </c>
      <c r="D281" s="116">
        <v>600</v>
      </c>
      <c r="E281" s="116">
        <v>609</v>
      </c>
      <c r="F281" s="116">
        <v>620</v>
      </c>
      <c r="G281">
        <v>1500</v>
      </c>
      <c r="H281" s="116"/>
      <c r="I281" s="116"/>
      <c r="L281" s="170">
        <v>42412</v>
      </c>
      <c r="M281" s="116">
        <v>173.47</v>
      </c>
      <c r="N281" s="116">
        <v>187</v>
      </c>
      <c r="O281" s="116">
        <v>168</v>
      </c>
      <c r="P281" s="116">
        <v>181.12</v>
      </c>
      <c r="Q281" s="116">
        <v>867.35</v>
      </c>
      <c r="R281">
        <v>122992</v>
      </c>
    </row>
    <row r="282" spans="1:18" x14ac:dyDescent="0.25">
      <c r="A282" s="170">
        <v>45336</v>
      </c>
      <c r="B282" s="116">
        <v>620</v>
      </c>
      <c r="C282" s="116">
        <v>620</v>
      </c>
      <c r="D282" s="116">
        <v>615</v>
      </c>
      <c r="E282" s="116">
        <v>620</v>
      </c>
      <c r="F282" s="116">
        <v>620</v>
      </c>
      <c r="G282">
        <v>2000</v>
      </c>
      <c r="H282" s="116"/>
      <c r="I282" s="116"/>
      <c r="L282" s="170">
        <v>42415</v>
      </c>
      <c r="M282" s="116">
        <v>186.46</v>
      </c>
      <c r="N282" s="116">
        <v>189.28</v>
      </c>
      <c r="O282" s="116">
        <v>179.79</v>
      </c>
      <c r="P282" s="116">
        <v>179.99</v>
      </c>
      <c r="Q282" s="116">
        <v>932.3</v>
      </c>
      <c r="R282">
        <v>43091</v>
      </c>
    </row>
    <row r="283" spans="1:18" x14ac:dyDescent="0.25">
      <c r="A283" s="170">
        <v>45337</v>
      </c>
      <c r="B283" s="116">
        <v>620</v>
      </c>
      <c r="C283" s="116">
        <v>616.04999999999995</v>
      </c>
      <c r="D283" s="116">
        <v>615</v>
      </c>
      <c r="E283" s="116">
        <v>615</v>
      </c>
      <c r="F283" s="116">
        <v>616.04999999999995</v>
      </c>
      <c r="G283">
        <v>2500</v>
      </c>
      <c r="H283" s="116"/>
      <c r="I283" s="116"/>
      <c r="L283" s="170">
        <v>42416</v>
      </c>
      <c r="M283" s="116">
        <v>187.26</v>
      </c>
      <c r="N283" s="116">
        <v>193.5</v>
      </c>
      <c r="O283" s="116">
        <v>185.02</v>
      </c>
      <c r="P283" s="116">
        <v>190.03</v>
      </c>
      <c r="Q283" s="116">
        <v>936.3</v>
      </c>
      <c r="R283">
        <v>40911</v>
      </c>
    </row>
    <row r="284" spans="1:18" x14ac:dyDescent="0.25">
      <c r="A284" s="170">
        <v>45338</v>
      </c>
      <c r="B284" s="116">
        <v>646.79999999999995</v>
      </c>
      <c r="C284" s="116">
        <v>646.4</v>
      </c>
      <c r="D284" s="116">
        <v>618</v>
      </c>
      <c r="E284" s="116">
        <v>635</v>
      </c>
      <c r="F284" s="116">
        <v>646.4</v>
      </c>
      <c r="G284">
        <v>7500</v>
      </c>
      <c r="H284" s="116"/>
      <c r="I284" s="116"/>
      <c r="L284" s="170">
        <v>42417</v>
      </c>
      <c r="M284" s="116">
        <v>185.97</v>
      </c>
      <c r="N284" s="116">
        <v>189.78</v>
      </c>
      <c r="O284" s="116">
        <v>183.31</v>
      </c>
      <c r="P284" s="116">
        <v>187.31</v>
      </c>
      <c r="Q284" s="116">
        <v>929.85</v>
      </c>
      <c r="R284">
        <v>27754</v>
      </c>
    </row>
    <row r="285" spans="1:18" x14ac:dyDescent="0.25">
      <c r="A285" s="170">
        <v>45341</v>
      </c>
      <c r="B285" s="116">
        <v>650.5</v>
      </c>
      <c r="C285" s="116">
        <v>626.79999999999995</v>
      </c>
      <c r="D285" s="116">
        <v>624</v>
      </c>
      <c r="E285" s="116">
        <v>650</v>
      </c>
      <c r="F285" s="116">
        <v>626.79999999999995</v>
      </c>
      <c r="G285">
        <v>5500</v>
      </c>
      <c r="H285" s="116"/>
      <c r="I285" s="116"/>
      <c r="L285" s="170">
        <v>42418</v>
      </c>
      <c r="M285" s="116">
        <v>187.35</v>
      </c>
      <c r="N285" s="116">
        <v>193</v>
      </c>
      <c r="O285" s="116">
        <v>186.25</v>
      </c>
      <c r="P285" s="116">
        <v>189</v>
      </c>
      <c r="Q285" s="116">
        <v>936.75</v>
      </c>
      <c r="R285">
        <v>22739</v>
      </c>
    </row>
    <row r="286" spans="1:18" x14ac:dyDescent="0.25">
      <c r="A286" s="170">
        <v>45342</v>
      </c>
      <c r="B286" s="116">
        <v>649.79999999999995</v>
      </c>
      <c r="C286" s="116">
        <v>602</v>
      </c>
      <c r="D286" s="116">
        <v>602</v>
      </c>
      <c r="E286" s="116">
        <v>640</v>
      </c>
      <c r="F286" s="116">
        <v>602</v>
      </c>
      <c r="G286">
        <v>4500</v>
      </c>
      <c r="H286" s="116"/>
      <c r="I286" s="116"/>
      <c r="L286" s="170">
        <v>42419</v>
      </c>
      <c r="M286" s="116">
        <v>189.63</v>
      </c>
      <c r="N286" s="116">
        <v>190.96</v>
      </c>
      <c r="O286" s="116">
        <v>184.22</v>
      </c>
      <c r="P286" s="116">
        <v>188</v>
      </c>
      <c r="Q286" s="116">
        <v>948.15</v>
      </c>
      <c r="R286">
        <v>15965</v>
      </c>
    </row>
    <row r="287" spans="1:18" x14ac:dyDescent="0.25">
      <c r="A287" s="170">
        <v>45343</v>
      </c>
      <c r="B287" s="116">
        <v>630</v>
      </c>
      <c r="C287" s="116">
        <v>625</v>
      </c>
      <c r="D287" s="116">
        <v>595</v>
      </c>
      <c r="E287" s="116">
        <v>597.04999999999995</v>
      </c>
      <c r="F287" s="116">
        <v>625</v>
      </c>
      <c r="G287">
        <v>82500</v>
      </c>
      <c r="H287" s="116"/>
      <c r="I287" s="116"/>
      <c r="L287" s="170">
        <v>42422</v>
      </c>
      <c r="M287" s="116">
        <v>192.84</v>
      </c>
      <c r="N287" s="116">
        <v>194.6</v>
      </c>
      <c r="O287" s="116">
        <v>190</v>
      </c>
      <c r="P287" s="116">
        <v>191</v>
      </c>
      <c r="Q287" s="116">
        <v>964.2</v>
      </c>
      <c r="R287">
        <v>25868</v>
      </c>
    </row>
    <row r="288" spans="1:18" x14ac:dyDescent="0.25">
      <c r="A288" s="170">
        <v>45344</v>
      </c>
      <c r="B288" s="116">
        <v>625</v>
      </c>
      <c r="C288" s="116">
        <v>617</v>
      </c>
      <c r="D288" s="116">
        <v>598</v>
      </c>
      <c r="E288" s="116">
        <v>625</v>
      </c>
      <c r="F288" s="116">
        <v>617</v>
      </c>
      <c r="G288">
        <v>14000</v>
      </c>
      <c r="H288" s="116"/>
      <c r="I288" s="116"/>
      <c r="L288" s="170">
        <v>42423</v>
      </c>
      <c r="M288" s="116">
        <v>186.88</v>
      </c>
      <c r="N288" s="116">
        <v>193.79</v>
      </c>
      <c r="O288" s="116">
        <v>183.6</v>
      </c>
      <c r="P288" s="116">
        <v>193.79</v>
      </c>
      <c r="Q288" s="116">
        <v>934.4</v>
      </c>
      <c r="R288">
        <v>17715</v>
      </c>
    </row>
    <row r="289" spans="1:18" x14ac:dyDescent="0.25">
      <c r="A289" s="170">
        <v>45345</v>
      </c>
      <c r="B289" s="116">
        <v>634</v>
      </c>
      <c r="C289" s="116">
        <v>611</v>
      </c>
      <c r="D289" s="116">
        <v>611</v>
      </c>
      <c r="E289" s="116">
        <v>617</v>
      </c>
      <c r="F289" s="116">
        <v>611</v>
      </c>
      <c r="G289">
        <v>2000</v>
      </c>
      <c r="H289" s="116"/>
      <c r="I289" s="116"/>
      <c r="L289" s="170">
        <v>42424</v>
      </c>
      <c r="M289" s="116">
        <v>184.98</v>
      </c>
      <c r="N289" s="116">
        <v>188.79</v>
      </c>
      <c r="O289" s="116">
        <v>183.95</v>
      </c>
      <c r="P289" s="116">
        <v>186.07</v>
      </c>
      <c r="Q289" s="116">
        <v>924.9</v>
      </c>
      <c r="R289">
        <v>13903</v>
      </c>
    </row>
    <row r="290" spans="1:18" x14ac:dyDescent="0.25">
      <c r="A290" s="170">
        <v>45348</v>
      </c>
      <c r="B290" s="116">
        <v>641.54999999999995</v>
      </c>
      <c r="C290" s="116">
        <v>608</v>
      </c>
      <c r="D290" s="116">
        <v>608</v>
      </c>
      <c r="E290" s="116">
        <v>641.54999999999995</v>
      </c>
      <c r="F290" s="116">
        <v>608</v>
      </c>
      <c r="G290">
        <v>2000</v>
      </c>
      <c r="H290" s="116"/>
      <c r="I290" s="116"/>
      <c r="L290" s="170">
        <v>42425</v>
      </c>
      <c r="M290" s="116">
        <v>188.29</v>
      </c>
      <c r="N290" s="116">
        <v>189.18</v>
      </c>
      <c r="O290" s="116">
        <v>186.99</v>
      </c>
      <c r="P290" s="116">
        <v>186.99</v>
      </c>
      <c r="Q290" s="116">
        <v>941.45</v>
      </c>
      <c r="R290">
        <v>10361</v>
      </c>
    </row>
    <row r="291" spans="1:18" x14ac:dyDescent="0.25">
      <c r="A291" s="170">
        <v>45349</v>
      </c>
      <c r="B291" s="116">
        <v>623.95000000000005</v>
      </c>
      <c r="C291" s="116">
        <v>600</v>
      </c>
      <c r="D291" s="116">
        <v>580</v>
      </c>
      <c r="E291" s="116">
        <v>608</v>
      </c>
      <c r="F291" s="116">
        <v>600</v>
      </c>
      <c r="G291">
        <v>7500</v>
      </c>
      <c r="H291" s="116"/>
      <c r="I291" s="116"/>
      <c r="L291" s="170">
        <v>42426</v>
      </c>
      <c r="M291" s="116">
        <v>191.14</v>
      </c>
      <c r="N291" s="116">
        <v>193.8</v>
      </c>
      <c r="O291" s="116">
        <v>185.3</v>
      </c>
      <c r="P291" s="116">
        <v>189.99</v>
      </c>
      <c r="Q291" s="116">
        <v>955.7</v>
      </c>
      <c r="R291">
        <v>17659</v>
      </c>
    </row>
    <row r="292" spans="1:18" x14ac:dyDescent="0.25">
      <c r="A292" s="170">
        <v>45350</v>
      </c>
      <c r="B292" s="116">
        <v>622.4</v>
      </c>
      <c r="C292" s="116">
        <v>590.9</v>
      </c>
      <c r="D292" s="116">
        <v>590.9</v>
      </c>
      <c r="E292" s="116">
        <v>622.4</v>
      </c>
      <c r="F292" s="116">
        <v>590.9</v>
      </c>
      <c r="G292">
        <v>5500</v>
      </c>
      <c r="H292" s="116"/>
      <c r="I292" s="116"/>
      <c r="L292" s="170">
        <v>42429</v>
      </c>
      <c r="M292" s="116">
        <v>188.76</v>
      </c>
      <c r="N292" s="116">
        <v>196</v>
      </c>
      <c r="O292" s="116">
        <v>182</v>
      </c>
      <c r="P292" s="116">
        <v>194.8</v>
      </c>
      <c r="Q292" s="116">
        <v>943.8</v>
      </c>
      <c r="R292">
        <v>43400</v>
      </c>
    </row>
    <row r="293" spans="1:18" x14ac:dyDescent="0.25">
      <c r="A293" s="170">
        <v>45351</v>
      </c>
      <c r="B293" s="116">
        <v>595</v>
      </c>
      <c r="C293" s="116">
        <v>587</v>
      </c>
      <c r="D293" s="116">
        <v>584.1</v>
      </c>
      <c r="E293" s="116">
        <v>592</v>
      </c>
      <c r="F293" s="116">
        <v>587</v>
      </c>
      <c r="G293">
        <v>5500</v>
      </c>
      <c r="H293" s="116"/>
      <c r="I293" s="116"/>
      <c r="L293" s="170">
        <v>42430</v>
      </c>
      <c r="M293" s="116">
        <v>198.96</v>
      </c>
      <c r="N293" s="116">
        <v>204.4</v>
      </c>
      <c r="O293" s="116">
        <v>189</v>
      </c>
      <c r="P293" s="116">
        <v>193.95</v>
      </c>
      <c r="Q293" s="116">
        <v>994.8</v>
      </c>
      <c r="R293">
        <v>31005</v>
      </c>
    </row>
    <row r="294" spans="1:18" x14ac:dyDescent="0.25">
      <c r="A294" s="170">
        <v>45352</v>
      </c>
      <c r="B294" s="116">
        <v>587</v>
      </c>
      <c r="C294" s="116">
        <v>570</v>
      </c>
      <c r="D294" s="116">
        <v>570</v>
      </c>
      <c r="E294" s="116">
        <v>587</v>
      </c>
      <c r="F294" s="116">
        <v>570</v>
      </c>
      <c r="G294">
        <v>4500</v>
      </c>
      <c r="H294" s="116"/>
      <c r="I294" s="116"/>
      <c r="L294" s="170">
        <v>42431</v>
      </c>
      <c r="M294" s="116">
        <v>204.56</v>
      </c>
      <c r="N294" s="116">
        <v>210</v>
      </c>
      <c r="O294" s="116">
        <v>200.2</v>
      </c>
      <c r="P294" s="116">
        <v>202.6</v>
      </c>
      <c r="Q294" s="116">
        <v>1022.8</v>
      </c>
      <c r="R294">
        <v>48311</v>
      </c>
    </row>
    <row r="295" spans="1:18" x14ac:dyDescent="0.25">
      <c r="A295" s="170">
        <v>45355</v>
      </c>
      <c r="B295" s="116">
        <v>565</v>
      </c>
      <c r="C295" s="116">
        <v>555</v>
      </c>
      <c r="D295" s="116">
        <v>541.5</v>
      </c>
      <c r="E295" s="116">
        <v>561</v>
      </c>
      <c r="F295" s="116">
        <v>555</v>
      </c>
      <c r="G295">
        <v>24500</v>
      </c>
      <c r="H295" s="116"/>
      <c r="I295" s="116"/>
      <c r="L295" s="170">
        <v>42432</v>
      </c>
      <c r="M295" s="116">
        <v>203.42</v>
      </c>
      <c r="N295" s="116">
        <v>204.8</v>
      </c>
      <c r="O295" s="116">
        <v>200.4</v>
      </c>
      <c r="P295" s="116">
        <v>204.8</v>
      </c>
      <c r="Q295" s="116">
        <v>1017.1</v>
      </c>
      <c r="R295">
        <v>17149</v>
      </c>
    </row>
    <row r="296" spans="1:18" x14ac:dyDescent="0.25">
      <c r="A296" s="170">
        <v>45356</v>
      </c>
      <c r="B296" s="116">
        <v>569</v>
      </c>
      <c r="C296" s="116">
        <v>557.70000000000005</v>
      </c>
      <c r="D296" s="116">
        <v>550</v>
      </c>
      <c r="E296" s="116">
        <v>550</v>
      </c>
      <c r="F296" s="116">
        <v>557.70000000000005</v>
      </c>
      <c r="G296">
        <v>4000</v>
      </c>
      <c r="H296" s="116"/>
      <c r="I296" s="116"/>
      <c r="L296" s="170">
        <v>42433</v>
      </c>
      <c r="M296" s="116">
        <v>203.11</v>
      </c>
      <c r="N296" s="116">
        <v>205.76</v>
      </c>
      <c r="O296" s="116">
        <v>201</v>
      </c>
      <c r="P296" s="116">
        <v>205.76</v>
      </c>
      <c r="Q296" s="116">
        <v>1015.55</v>
      </c>
      <c r="R296">
        <v>12664</v>
      </c>
    </row>
    <row r="297" spans="1:18" x14ac:dyDescent="0.25">
      <c r="A297" s="170">
        <v>45357</v>
      </c>
      <c r="B297" s="116">
        <v>555</v>
      </c>
      <c r="C297" s="116">
        <v>555</v>
      </c>
      <c r="D297" s="116">
        <v>529.85</v>
      </c>
      <c r="E297" s="116">
        <v>543</v>
      </c>
      <c r="F297" s="116">
        <v>555</v>
      </c>
      <c r="G297">
        <v>8500</v>
      </c>
      <c r="H297" s="116"/>
      <c r="I297" s="116"/>
      <c r="L297" s="170">
        <v>42437</v>
      </c>
      <c r="M297" s="116">
        <v>204.68</v>
      </c>
      <c r="N297" s="116">
        <v>206.07</v>
      </c>
      <c r="O297" s="116">
        <v>201.62</v>
      </c>
      <c r="P297" s="116">
        <v>201.62</v>
      </c>
      <c r="Q297" s="116">
        <v>1023.4</v>
      </c>
      <c r="R297">
        <v>13428</v>
      </c>
    </row>
    <row r="298" spans="1:18" x14ac:dyDescent="0.25">
      <c r="A298" s="170">
        <v>45358</v>
      </c>
      <c r="B298" s="116">
        <v>561</v>
      </c>
      <c r="C298" s="116">
        <v>557</v>
      </c>
      <c r="D298" s="116">
        <v>530.29999999999995</v>
      </c>
      <c r="E298" s="116">
        <v>550</v>
      </c>
      <c r="F298" s="116">
        <v>557</v>
      </c>
      <c r="G298">
        <v>4500</v>
      </c>
      <c r="H298" s="116"/>
      <c r="I298" s="116"/>
      <c r="L298" s="170">
        <v>42438</v>
      </c>
      <c r="M298" s="116">
        <v>203.71</v>
      </c>
      <c r="N298" s="116">
        <v>205.68</v>
      </c>
      <c r="O298" s="116">
        <v>202.2</v>
      </c>
      <c r="P298" s="116">
        <v>204.68</v>
      </c>
      <c r="Q298" s="116">
        <v>1018.55</v>
      </c>
      <c r="R298">
        <v>18294</v>
      </c>
    </row>
    <row r="299" spans="1:18" x14ac:dyDescent="0.25">
      <c r="A299" s="170">
        <v>45362</v>
      </c>
      <c r="B299" s="116">
        <v>584</v>
      </c>
      <c r="C299" s="116">
        <v>529.15</v>
      </c>
      <c r="D299" s="116">
        <v>529.15</v>
      </c>
      <c r="E299" s="116">
        <v>560</v>
      </c>
      <c r="F299" s="116">
        <v>529.15</v>
      </c>
      <c r="G299">
        <v>21500</v>
      </c>
      <c r="H299" s="116"/>
      <c r="I299" s="116"/>
      <c r="L299" s="170">
        <v>42439</v>
      </c>
      <c r="M299" s="116">
        <v>202.81</v>
      </c>
      <c r="N299" s="116">
        <v>207.39</v>
      </c>
      <c r="O299" s="116">
        <v>201.85</v>
      </c>
      <c r="P299" s="116">
        <v>205.59</v>
      </c>
      <c r="Q299" s="116">
        <v>1014.05</v>
      </c>
      <c r="R299">
        <v>17637</v>
      </c>
    </row>
    <row r="300" spans="1:18" x14ac:dyDescent="0.25">
      <c r="A300" s="170">
        <v>45363</v>
      </c>
      <c r="B300" s="116">
        <v>530</v>
      </c>
      <c r="C300" s="116">
        <v>502.7</v>
      </c>
      <c r="D300" s="116">
        <v>502.7</v>
      </c>
      <c r="E300" s="116">
        <v>530</v>
      </c>
      <c r="F300" s="116">
        <v>502.7</v>
      </c>
      <c r="G300">
        <v>23000</v>
      </c>
      <c r="H300" s="116"/>
      <c r="I300" s="116"/>
      <c r="L300" s="170">
        <v>42440</v>
      </c>
      <c r="M300" s="116">
        <v>201.9</v>
      </c>
      <c r="N300" s="116">
        <v>205.25</v>
      </c>
      <c r="O300" s="116">
        <v>200.8</v>
      </c>
      <c r="P300" s="116">
        <v>202.8</v>
      </c>
      <c r="Q300" s="116">
        <v>1009.5</v>
      </c>
      <c r="R300">
        <v>13944</v>
      </c>
    </row>
    <row r="301" spans="1:18" x14ac:dyDescent="0.25">
      <c r="A301" s="170">
        <v>45364</v>
      </c>
      <c r="B301" s="116">
        <v>501.95</v>
      </c>
      <c r="C301" s="116">
        <v>477.6</v>
      </c>
      <c r="D301" s="116">
        <v>477.6</v>
      </c>
      <c r="E301" s="116">
        <v>481</v>
      </c>
      <c r="F301" s="116">
        <v>477.6</v>
      </c>
      <c r="G301">
        <v>5500</v>
      </c>
      <c r="H301" s="116"/>
      <c r="I301" s="116"/>
      <c r="L301" s="170">
        <v>42443</v>
      </c>
      <c r="M301" s="116">
        <v>207.25</v>
      </c>
      <c r="N301" s="116">
        <v>210.3</v>
      </c>
      <c r="O301" s="116">
        <v>203.19</v>
      </c>
      <c r="P301" s="116">
        <v>204.9</v>
      </c>
      <c r="Q301" s="116">
        <v>1036.25</v>
      </c>
      <c r="R301">
        <v>34681</v>
      </c>
    </row>
    <row r="302" spans="1:18" x14ac:dyDescent="0.25">
      <c r="A302" s="170">
        <v>45365</v>
      </c>
      <c r="B302" s="116">
        <v>501.45</v>
      </c>
      <c r="C302" s="116">
        <v>493.15</v>
      </c>
      <c r="D302" s="116">
        <v>453.75</v>
      </c>
      <c r="E302" s="116">
        <v>454</v>
      </c>
      <c r="F302" s="116">
        <v>493.15</v>
      </c>
      <c r="G302">
        <v>39500</v>
      </c>
      <c r="H302" s="116"/>
      <c r="I302" s="116"/>
      <c r="L302" s="170">
        <v>42444</v>
      </c>
      <c r="M302" s="116">
        <v>205.69</v>
      </c>
      <c r="N302" s="116">
        <v>208.4</v>
      </c>
      <c r="O302" s="116">
        <v>203</v>
      </c>
      <c r="P302" s="116">
        <v>206.44</v>
      </c>
      <c r="Q302" s="116">
        <v>1028.45</v>
      </c>
      <c r="R302">
        <v>18882</v>
      </c>
    </row>
    <row r="303" spans="1:18" x14ac:dyDescent="0.25">
      <c r="A303" s="170">
        <v>45366</v>
      </c>
      <c r="B303" s="116">
        <v>517.79999999999995</v>
      </c>
      <c r="C303" s="116">
        <v>507</v>
      </c>
      <c r="D303" s="116">
        <v>490</v>
      </c>
      <c r="E303" s="116">
        <v>517.79999999999995</v>
      </c>
      <c r="F303" s="116">
        <v>507</v>
      </c>
      <c r="G303">
        <v>6500</v>
      </c>
      <c r="H303" s="116"/>
      <c r="I303" s="116"/>
      <c r="L303" s="170">
        <v>42445</v>
      </c>
      <c r="M303" s="116">
        <v>207.28</v>
      </c>
      <c r="N303" s="116">
        <v>208.6</v>
      </c>
      <c r="O303" s="116">
        <v>203.4</v>
      </c>
      <c r="P303" s="116">
        <v>206.39</v>
      </c>
      <c r="Q303" s="116">
        <v>1036.4000000000001</v>
      </c>
      <c r="R303">
        <v>12046</v>
      </c>
    </row>
    <row r="304" spans="1:18" x14ac:dyDescent="0.25">
      <c r="A304" s="170">
        <v>45369</v>
      </c>
      <c r="B304" s="116">
        <v>532</v>
      </c>
      <c r="C304" s="116">
        <v>502</v>
      </c>
      <c r="D304" s="116">
        <v>502</v>
      </c>
      <c r="E304" s="116">
        <v>532</v>
      </c>
      <c r="F304" s="116">
        <v>502</v>
      </c>
      <c r="G304">
        <v>2500</v>
      </c>
      <c r="H304" s="116"/>
      <c r="I304" s="116"/>
      <c r="L304" s="170">
        <v>42446</v>
      </c>
      <c r="M304" s="116">
        <v>203.64</v>
      </c>
      <c r="N304" s="116">
        <v>208.6</v>
      </c>
      <c r="O304" s="116">
        <v>202.25</v>
      </c>
      <c r="P304" s="116">
        <v>203.6</v>
      </c>
      <c r="Q304" s="116">
        <v>1018.2</v>
      </c>
      <c r="R304">
        <v>23010</v>
      </c>
    </row>
    <row r="305" spans="1:18" x14ac:dyDescent="0.25">
      <c r="A305" s="170">
        <v>45370</v>
      </c>
      <c r="B305" s="116">
        <v>527.1</v>
      </c>
      <c r="C305" s="116">
        <v>527.1</v>
      </c>
      <c r="D305" s="116">
        <v>490.1</v>
      </c>
      <c r="E305" s="116">
        <v>490.1</v>
      </c>
      <c r="F305" s="116">
        <v>527.1</v>
      </c>
      <c r="G305">
        <v>5500</v>
      </c>
      <c r="H305" s="116"/>
      <c r="I305" s="116"/>
      <c r="L305" s="170">
        <v>42447</v>
      </c>
      <c r="M305" s="116">
        <v>204.73</v>
      </c>
      <c r="N305" s="116">
        <v>206.2</v>
      </c>
      <c r="O305" s="116">
        <v>202.8</v>
      </c>
      <c r="P305" s="116">
        <v>205.59</v>
      </c>
      <c r="Q305" s="116">
        <v>1023.65</v>
      </c>
      <c r="R305">
        <v>8825</v>
      </c>
    </row>
    <row r="306" spans="1:18" x14ac:dyDescent="0.25">
      <c r="A306" s="170">
        <v>45371</v>
      </c>
      <c r="B306" s="116">
        <v>550</v>
      </c>
      <c r="C306" s="116">
        <v>524</v>
      </c>
      <c r="D306" s="116">
        <v>524</v>
      </c>
      <c r="E306" s="116">
        <v>537.4</v>
      </c>
      <c r="F306" s="116">
        <v>524</v>
      </c>
      <c r="G306">
        <v>3000</v>
      </c>
      <c r="H306" s="116"/>
      <c r="I306" s="116"/>
      <c r="L306" s="170">
        <v>42450</v>
      </c>
      <c r="M306" s="116">
        <v>206.5</v>
      </c>
      <c r="N306" s="116">
        <v>207.6</v>
      </c>
      <c r="O306" s="116">
        <v>204.01</v>
      </c>
      <c r="P306" s="116">
        <v>205.8</v>
      </c>
      <c r="Q306" s="116">
        <v>1032.5</v>
      </c>
      <c r="R306">
        <v>28526</v>
      </c>
    </row>
    <row r="307" spans="1:18" x14ac:dyDescent="0.25">
      <c r="A307" s="170">
        <v>45372</v>
      </c>
      <c r="B307" s="116">
        <v>547</v>
      </c>
      <c r="C307" s="116">
        <v>547</v>
      </c>
      <c r="D307" s="116">
        <v>502.6</v>
      </c>
      <c r="E307" s="116">
        <v>502.6</v>
      </c>
      <c r="F307" s="116">
        <v>547</v>
      </c>
      <c r="G307">
        <v>10500</v>
      </c>
      <c r="H307" s="116"/>
      <c r="I307" s="116"/>
      <c r="L307" s="170">
        <v>42451</v>
      </c>
      <c r="M307" s="116">
        <v>206.14</v>
      </c>
      <c r="N307" s="116">
        <v>207.98</v>
      </c>
      <c r="O307" s="116">
        <v>204</v>
      </c>
      <c r="P307" s="116">
        <v>207.2</v>
      </c>
      <c r="Q307" s="116">
        <v>1030.7</v>
      </c>
      <c r="R307">
        <v>17351</v>
      </c>
    </row>
    <row r="308" spans="1:18" x14ac:dyDescent="0.25">
      <c r="A308" s="170">
        <v>45373</v>
      </c>
      <c r="B308" s="116">
        <v>547</v>
      </c>
      <c r="C308" s="116">
        <v>539.5</v>
      </c>
      <c r="D308" s="116">
        <v>520.1</v>
      </c>
      <c r="E308" s="116">
        <v>547</v>
      </c>
      <c r="F308" s="116">
        <v>539.5</v>
      </c>
      <c r="G308">
        <v>2500</v>
      </c>
      <c r="H308" s="116"/>
      <c r="I308" s="116"/>
      <c r="L308" s="170">
        <v>42452</v>
      </c>
      <c r="M308" s="116">
        <v>209.52</v>
      </c>
      <c r="N308" s="116">
        <v>211.8</v>
      </c>
      <c r="O308" s="116">
        <v>205</v>
      </c>
      <c r="P308" s="116">
        <v>207.57</v>
      </c>
      <c r="Q308" s="116">
        <v>1047.5999999999999</v>
      </c>
      <c r="R308">
        <v>40871</v>
      </c>
    </row>
    <row r="309" spans="1:18" x14ac:dyDescent="0.25">
      <c r="A309" s="170">
        <v>45377</v>
      </c>
      <c r="B309" s="116">
        <v>539.5</v>
      </c>
      <c r="C309" s="116">
        <v>530</v>
      </c>
      <c r="D309" s="116">
        <v>530</v>
      </c>
      <c r="E309" s="116">
        <v>539.5</v>
      </c>
      <c r="F309" s="116">
        <v>530</v>
      </c>
      <c r="G309">
        <v>1500</v>
      </c>
      <c r="H309" s="116"/>
      <c r="I309" s="116"/>
      <c r="L309" s="170">
        <v>42457</v>
      </c>
      <c r="M309" s="116">
        <v>210.22</v>
      </c>
      <c r="N309" s="116">
        <v>212.4</v>
      </c>
      <c r="O309" s="116">
        <v>206</v>
      </c>
      <c r="P309" s="116">
        <v>208.27</v>
      </c>
      <c r="Q309" s="116">
        <v>1051.0999999999999</v>
      </c>
      <c r="R309">
        <v>28564</v>
      </c>
    </row>
    <row r="310" spans="1:18" x14ac:dyDescent="0.25">
      <c r="A310" s="170">
        <v>45378</v>
      </c>
      <c r="B310" s="116">
        <v>548</v>
      </c>
      <c r="C310" s="116">
        <v>530</v>
      </c>
      <c r="D310" s="116">
        <v>512</v>
      </c>
      <c r="E310" s="116">
        <v>535</v>
      </c>
      <c r="F310" s="116">
        <v>530</v>
      </c>
      <c r="G310">
        <v>2500</v>
      </c>
      <c r="H310" s="116"/>
      <c r="I310" s="116"/>
      <c r="L310" s="170">
        <v>42458</v>
      </c>
      <c r="M310" s="116">
        <v>224</v>
      </c>
      <c r="N310" s="116">
        <v>225.99</v>
      </c>
      <c r="O310" s="116">
        <v>207.4</v>
      </c>
      <c r="P310" s="116">
        <v>208</v>
      </c>
      <c r="Q310" s="116">
        <v>1120</v>
      </c>
      <c r="R310">
        <v>124946</v>
      </c>
    </row>
    <row r="311" spans="1:18" x14ac:dyDescent="0.25">
      <c r="A311" s="170">
        <v>45379</v>
      </c>
      <c r="B311" s="116">
        <v>539</v>
      </c>
      <c r="C311" s="116">
        <v>532.6</v>
      </c>
      <c r="D311" s="116">
        <v>506</v>
      </c>
      <c r="E311" s="116">
        <v>539</v>
      </c>
      <c r="F311" s="116">
        <v>532.6</v>
      </c>
      <c r="G311">
        <v>9500</v>
      </c>
      <c r="H311" s="116"/>
      <c r="I311" s="116"/>
      <c r="L311" s="170">
        <v>42459</v>
      </c>
      <c r="M311" s="116">
        <v>229.17</v>
      </c>
      <c r="N311" s="116">
        <v>231.77</v>
      </c>
      <c r="O311" s="116">
        <v>218.99</v>
      </c>
      <c r="P311" s="116">
        <v>225</v>
      </c>
      <c r="Q311" s="116">
        <v>1145.8499999999999</v>
      </c>
      <c r="R311">
        <v>78766</v>
      </c>
    </row>
    <row r="312" spans="1:18" x14ac:dyDescent="0.25">
      <c r="A312" s="170">
        <v>45383</v>
      </c>
      <c r="B312" s="116">
        <v>530</v>
      </c>
      <c r="C312" s="116">
        <v>513.54999999999995</v>
      </c>
      <c r="D312" s="116">
        <v>512.1</v>
      </c>
      <c r="E312" s="116">
        <v>520</v>
      </c>
      <c r="F312" s="116">
        <v>513.54999999999995</v>
      </c>
      <c r="G312">
        <v>4000</v>
      </c>
      <c r="H312" s="116"/>
      <c r="I312" s="116"/>
      <c r="L312" s="170">
        <v>42460</v>
      </c>
      <c r="M312" s="116">
        <v>230.94</v>
      </c>
      <c r="N312" s="116">
        <v>234.18</v>
      </c>
      <c r="O312" s="116">
        <v>221.2</v>
      </c>
      <c r="P312" s="116">
        <v>229.23000000000002</v>
      </c>
      <c r="Q312" s="116">
        <v>1154.7</v>
      </c>
      <c r="R312">
        <v>65621</v>
      </c>
    </row>
    <row r="313" spans="1:18" x14ac:dyDescent="0.25">
      <c r="A313" s="170">
        <v>45384</v>
      </c>
      <c r="B313" s="116">
        <v>530</v>
      </c>
      <c r="C313" s="116">
        <v>525</v>
      </c>
      <c r="D313" s="116">
        <v>520</v>
      </c>
      <c r="E313" s="116">
        <v>529.5</v>
      </c>
      <c r="F313" s="116">
        <v>525</v>
      </c>
      <c r="G313">
        <v>4500</v>
      </c>
      <c r="H313" s="116"/>
      <c r="I313" s="116"/>
      <c r="L313" s="170">
        <v>42461</v>
      </c>
      <c r="M313" s="116">
        <v>236.95</v>
      </c>
      <c r="N313" s="116">
        <v>238</v>
      </c>
      <c r="O313" s="116">
        <v>229.2</v>
      </c>
      <c r="P313" s="116">
        <v>231.6</v>
      </c>
      <c r="Q313" s="116">
        <v>1184.75</v>
      </c>
      <c r="R313">
        <v>23935</v>
      </c>
    </row>
    <row r="314" spans="1:18" x14ac:dyDescent="0.25">
      <c r="A314" s="170">
        <v>45385</v>
      </c>
      <c r="B314" s="116">
        <v>528</v>
      </c>
      <c r="C314" s="116">
        <v>528</v>
      </c>
      <c r="D314" s="116">
        <v>512.20000000000005</v>
      </c>
      <c r="E314" s="116">
        <v>520</v>
      </c>
      <c r="F314" s="116">
        <v>528</v>
      </c>
      <c r="G314">
        <v>5000</v>
      </c>
      <c r="H314" s="116"/>
      <c r="I314" s="116"/>
      <c r="L314" s="170">
        <v>42464</v>
      </c>
      <c r="M314" s="116">
        <v>237.57</v>
      </c>
      <c r="N314" s="116">
        <v>240</v>
      </c>
      <c r="O314" s="116">
        <v>234.2</v>
      </c>
      <c r="P314" s="116">
        <v>240</v>
      </c>
      <c r="Q314" s="116">
        <v>1187.8499999999999</v>
      </c>
      <c r="R314">
        <v>22326</v>
      </c>
    </row>
    <row r="315" spans="1:18" x14ac:dyDescent="0.25">
      <c r="A315" s="170">
        <v>45386</v>
      </c>
      <c r="B315" s="116">
        <v>528</v>
      </c>
      <c r="C315" s="116">
        <v>522</v>
      </c>
      <c r="D315" s="116">
        <v>502</v>
      </c>
      <c r="E315" s="116">
        <v>510</v>
      </c>
      <c r="F315" s="116">
        <v>522</v>
      </c>
      <c r="G315">
        <v>4000</v>
      </c>
      <c r="H315" s="116"/>
      <c r="I315" s="116"/>
      <c r="L315" s="170">
        <v>42465</v>
      </c>
      <c r="M315" s="116">
        <v>229.85999999999999</v>
      </c>
      <c r="N315" s="116">
        <v>238.6</v>
      </c>
      <c r="O315" s="116">
        <v>228</v>
      </c>
      <c r="P315" s="116">
        <v>238.6</v>
      </c>
      <c r="Q315" s="116">
        <v>1149.3</v>
      </c>
      <c r="R315">
        <v>20942</v>
      </c>
    </row>
    <row r="316" spans="1:18" x14ac:dyDescent="0.25">
      <c r="A316" s="170">
        <v>45387</v>
      </c>
      <c r="B316" s="116">
        <v>524</v>
      </c>
      <c r="C316" s="116">
        <v>514</v>
      </c>
      <c r="D316" s="116">
        <v>514</v>
      </c>
      <c r="E316" s="116">
        <v>518</v>
      </c>
      <c r="F316" s="116">
        <v>514</v>
      </c>
      <c r="G316">
        <v>2000</v>
      </c>
      <c r="H316" s="116"/>
      <c r="I316" s="116"/>
      <c r="L316" s="170">
        <v>42466</v>
      </c>
      <c r="M316" s="116">
        <v>234.56</v>
      </c>
      <c r="N316" s="116">
        <v>236</v>
      </c>
      <c r="O316" s="116">
        <v>227.68</v>
      </c>
      <c r="P316" s="116">
        <v>230</v>
      </c>
      <c r="Q316" s="116">
        <v>1172.8</v>
      </c>
      <c r="R316">
        <v>17624</v>
      </c>
    </row>
    <row r="317" spans="1:18" x14ac:dyDescent="0.25">
      <c r="A317" s="170">
        <v>45390</v>
      </c>
      <c r="B317" s="116">
        <v>530</v>
      </c>
      <c r="C317" s="116">
        <v>530</v>
      </c>
      <c r="D317" s="116">
        <v>500</v>
      </c>
      <c r="E317" s="116">
        <v>503</v>
      </c>
      <c r="F317" s="116">
        <v>530</v>
      </c>
      <c r="G317">
        <v>17500</v>
      </c>
      <c r="H317" s="116"/>
      <c r="I317" s="116"/>
      <c r="L317" s="170">
        <v>42467</v>
      </c>
      <c r="M317" s="116">
        <v>231.56</v>
      </c>
      <c r="N317" s="116">
        <v>237</v>
      </c>
      <c r="O317" s="116">
        <v>228.8</v>
      </c>
      <c r="P317" s="116">
        <v>235</v>
      </c>
      <c r="Q317" s="116">
        <v>1157.8</v>
      </c>
      <c r="R317">
        <v>17385</v>
      </c>
    </row>
    <row r="318" spans="1:18" x14ac:dyDescent="0.25">
      <c r="A318" s="170">
        <v>45391</v>
      </c>
      <c r="B318" s="116">
        <v>548</v>
      </c>
      <c r="C318" s="116">
        <v>544.75</v>
      </c>
      <c r="D318" s="116">
        <v>530</v>
      </c>
      <c r="E318" s="116">
        <v>530</v>
      </c>
      <c r="F318" s="116">
        <v>544.75</v>
      </c>
      <c r="G318">
        <v>3500</v>
      </c>
      <c r="H318" s="116"/>
      <c r="I318" s="116"/>
      <c r="L318" s="170">
        <v>42468</v>
      </c>
      <c r="M318" s="116">
        <v>230.42</v>
      </c>
      <c r="N318" s="116">
        <v>233</v>
      </c>
      <c r="O318" s="116">
        <v>229.01</v>
      </c>
      <c r="P318" s="116">
        <v>233</v>
      </c>
      <c r="Q318" s="116">
        <v>1152.0999999999999</v>
      </c>
      <c r="R318">
        <v>7645</v>
      </c>
    </row>
    <row r="319" spans="1:18" x14ac:dyDescent="0.25">
      <c r="A319" s="170">
        <v>45392</v>
      </c>
      <c r="B319" s="116">
        <v>534</v>
      </c>
      <c r="C319" s="116">
        <v>534</v>
      </c>
      <c r="D319" s="116">
        <v>518.75</v>
      </c>
      <c r="E319" s="116">
        <v>530</v>
      </c>
      <c r="F319" s="116">
        <v>534</v>
      </c>
      <c r="G319">
        <v>3000</v>
      </c>
      <c r="H319" s="116"/>
      <c r="I319" s="116"/>
      <c r="L319" s="170">
        <v>42471</v>
      </c>
      <c r="M319" s="116">
        <v>235.79000000000002</v>
      </c>
      <c r="N319" s="116">
        <v>237.6</v>
      </c>
      <c r="O319" s="116">
        <v>229.79000000000002</v>
      </c>
      <c r="P319" s="116">
        <v>232.95</v>
      </c>
      <c r="Q319" s="116">
        <v>1178.95</v>
      </c>
      <c r="R319">
        <v>8300</v>
      </c>
    </row>
    <row r="320" spans="1:18" x14ac:dyDescent="0.25">
      <c r="A320" s="170">
        <v>45394</v>
      </c>
      <c r="B320" s="116">
        <v>540</v>
      </c>
      <c r="C320" s="116">
        <v>540</v>
      </c>
      <c r="D320" s="116">
        <v>533</v>
      </c>
      <c r="E320" s="116">
        <v>533</v>
      </c>
      <c r="F320" s="116">
        <v>540</v>
      </c>
      <c r="G320">
        <v>3000</v>
      </c>
      <c r="H320" s="116"/>
      <c r="I320" s="116"/>
      <c r="L320" s="170">
        <v>42472</v>
      </c>
      <c r="M320" s="116">
        <v>244.15</v>
      </c>
      <c r="N320" s="116">
        <v>245.6</v>
      </c>
      <c r="O320" s="116">
        <v>236</v>
      </c>
      <c r="P320" s="116">
        <v>238</v>
      </c>
      <c r="Q320" s="116">
        <v>1220.75</v>
      </c>
      <c r="R320">
        <v>46534</v>
      </c>
    </row>
    <row r="321" spans="1:18" x14ac:dyDescent="0.25">
      <c r="A321" s="170">
        <v>45397</v>
      </c>
      <c r="B321" s="116">
        <v>535</v>
      </c>
      <c r="C321" s="116">
        <v>535</v>
      </c>
      <c r="D321" s="116">
        <v>514</v>
      </c>
      <c r="E321" s="116">
        <v>515</v>
      </c>
      <c r="F321" s="116">
        <v>535</v>
      </c>
      <c r="G321">
        <v>3500</v>
      </c>
      <c r="H321" s="116"/>
      <c r="I321" s="116"/>
      <c r="L321" s="170">
        <v>42473</v>
      </c>
      <c r="M321" s="116">
        <v>261.75</v>
      </c>
      <c r="N321" s="116">
        <v>263.78000000000003</v>
      </c>
      <c r="O321" s="116">
        <v>244.2</v>
      </c>
      <c r="P321" s="116">
        <v>244.2</v>
      </c>
      <c r="Q321" s="116">
        <v>1308.75</v>
      </c>
      <c r="R321">
        <v>120758</v>
      </c>
    </row>
    <row r="322" spans="1:18" x14ac:dyDescent="0.25">
      <c r="A322" s="170">
        <v>45398</v>
      </c>
      <c r="B322" s="116">
        <v>530</v>
      </c>
      <c r="C322" s="116">
        <v>528</v>
      </c>
      <c r="D322" s="116">
        <v>512</v>
      </c>
      <c r="E322" s="116">
        <v>512</v>
      </c>
      <c r="F322" s="116">
        <v>528</v>
      </c>
      <c r="G322">
        <v>2500</v>
      </c>
      <c r="H322" s="116"/>
      <c r="I322" s="116"/>
      <c r="L322" s="170">
        <v>42478</v>
      </c>
      <c r="M322" s="116">
        <v>248.73000000000002</v>
      </c>
      <c r="N322" s="116">
        <v>264.95999999999998</v>
      </c>
      <c r="O322" s="116">
        <v>246.46999999999997</v>
      </c>
      <c r="P322" s="116">
        <v>256.02</v>
      </c>
      <c r="Q322" s="116">
        <v>1243.6500000000001</v>
      </c>
      <c r="R322">
        <v>63846</v>
      </c>
    </row>
    <row r="323" spans="1:18" x14ac:dyDescent="0.25">
      <c r="A323" s="170">
        <v>45400</v>
      </c>
      <c r="B323" s="116">
        <v>554.4</v>
      </c>
      <c r="C323" s="116">
        <v>554.4</v>
      </c>
      <c r="D323" s="116">
        <v>528</v>
      </c>
      <c r="E323" s="116">
        <v>546</v>
      </c>
      <c r="F323" s="116">
        <v>554.4</v>
      </c>
      <c r="G323">
        <v>18500</v>
      </c>
      <c r="H323" s="116"/>
      <c r="I323" s="116"/>
      <c r="L323" s="170">
        <v>42480</v>
      </c>
      <c r="M323" s="116">
        <v>245.61999999999998</v>
      </c>
      <c r="N323" s="116">
        <v>252.4</v>
      </c>
      <c r="O323" s="116">
        <v>242.6</v>
      </c>
      <c r="P323" s="116">
        <v>252.4</v>
      </c>
      <c r="Q323" s="116">
        <v>1228.0999999999999</v>
      </c>
      <c r="R323">
        <v>40433</v>
      </c>
    </row>
    <row r="324" spans="1:18" x14ac:dyDescent="0.25">
      <c r="A324" s="170">
        <v>45401</v>
      </c>
      <c r="B324" s="116">
        <v>582.1</v>
      </c>
      <c r="C324" s="116">
        <v>582</v>
      </c>
      <c r="D324" s="116">
        <v>576.95000000000005</v>
      </c>
      <c r="E324" s="116">
        <v>581.9</v>
      </c>
      <c r="F324" s="116">
        <v>582</v>
      </c>
      <c r="G324">
        <v>20000</v>
      </c>
      <c r="H324" s="116"/>
      <c r="I324" s="116"/>
      <c r="L324" s="170">
        <v>42481</v>
      </c>
      <c r="M324" s="116">
        <v>239.75</v>
      </c>
      <c r="N324" s="116">
        <v>249.6</v>
      </c>
      <c r="O324" s="116">
        <v>237.43</v>
      </c>
      <c r="P324" s="116">
        <v>245.61999999999998</v>
      </c>
      <c r="Q324" s="116">
        <v>1198.75</v>
      </c>
      <c r="R324">
        <v>25341</v>
      </c>
    </row>
    <row r="325" spans="1:18" x14ac:dyDescent="0.25">
      <c r="A325" s="170">
        <v>45404</v>
      </c>
      <c r="B325" s="116">
        <v>607.4</v>
      </c>
      <c r="C325" s="116">
        <v>589</v>
      </c>
      <c r="D325" s="116">
        <v>567</v>
      </c>
      <c r="E325" s="116">
        <v>600</v>
      </c>
      <c r="F325" s="116">
        <v>589</v>
      </c>
      <c r="G325">
        <v>13000</v>
      </c>
      <c r="H325" s="116"/>
      <c r="I325" s="116"/>
      <c r="L325" s="170">
        <v>42482</v>
      </c>
      <c r="M325" s="116">
        <v>243.24</v>
      </c>
      <c r="N325" s="116">
        <v>246</v>
      </c>
      <c r="O325" s="116">
        <v>238.05</v>
      </c>
      <c r="P325" s="116">
        <v>239.75</v>
      </c>
      <c r="Q325" s="116">
        <v>1216.2</v>
      </c>
      <c r="R325">
        <v>19325</v>
      </c>
    </row>
    <row r="326" spans="1:18" x14ac:dyDescent="0.25">
      <c r="A326" s="170">
        <v>45405</v>
      </c>
      <c r="B326" s="116">
        <v>616</v>
      </c>
      <c r="C326" s="116">
        <v>614.25</v>
      </c>
      <c r="D326" s="116">
        <v>602</v>
      </c>
      <c r="E326" s="116">
        <v>610</v>
      </c>
      <c r="F326" s="116">
        <v>614.25</v>
      </c>
      <c r="G326">
        <v>5000</v>
      </c>
      <c r="H326" s="116"/>
      <c r="I326" s="116"/>
      <c r="L326" s="170">
        <v>42485</v>
      </c>
      <c r="M326" s="116">
        <v>244.61999999999998</v>
      </c>
      <c r="N326" s="116">
        <v>248.65</v>
      </c>
      <c r="O326" s="116">
        <v>241.82</v>
      </c>
      <c r="P326" s="116">
        <v>241.82</v>
      </c>
      <c r="Q326" s="116">
        <v>1223.0999999999999</v>
      </c>
      <c r="R326">
        <v>30775</v>
      </c>
    </row>
    <row r="327" spans="1:18" x14ac:dyDescent="0.25">
      <c r="A327" s="170">
        <v>45406</v>
      </c>
      <c r="B327" s="116">
        <v>617.4</v>
      </c>
      <c r="C327" s="116">
        <v>599.20000000000005</v>
      </c>
      <c r="D327" s="116">
        <v>589</v>
      </c>
      <c r="E327" s="116">
        <v>617.4</v>
      </c>
      <c r="F327" s="116">
        <v>599.20000000000005</v>
      </c>
      <c r="G327">
        <v>14000</v>
      </c>
      <c r="H327" s="116"/>
      <c r="I327" s="116"/>
      <c r="L327" s="170">
        <v>42486</v>
      </c>
      <c r="M327" s="116">
        <v>244.4</v>
      </c>
      <c r="N327" s="116">
        <v>247.8</v>
      </c>
      <c r="O327" s="116">
        <v>242</v>
      </c>
      <c r="P327" s="116">
        <v>244.4</v>
      </c>
      <c r="Q327" s="116">
        <v>1222</v>
      </c>
      <c r="R327">
        <v>26968</v>
      </c>
    </row>
    <row r="328" spans="1:18" x14ac:dyDescent="0.25">
      <c r="A328" s="170">
        <v>45407</v>
      </c>
      <c r="B328" s="116">
        <v>629</v>
      </c>
      <c r="C328" s="116">
        <v>569.25</v>
      </c>
      <c r="D328" s="116">
        <v>569.25</v>
      </c>
      <c r="E328" s="116">
        <v>629</v>
      </c>
      <c r="F328" s="116">
        <v>569.25</v>
      </c>
      <c r="G328">
        <v>20500</v>
      </c>
      <c r="H328" s="116"/>
      <c r="I328" s="116"/>
      <c r="L328" s="170">
        <v>42487</v>
      </c>
      <c r="M328" s="116">
        <v>245.21999999999997</v>
      </c>
      <c r="N328" s="116">
        <v>247.76999999999998</v>
      </c>
      <c r="O328" s="116">
        <v>242.3</v>
      </c>
      <c r="P328" s="116">
        <v>247.35999999999999</v>
      </c>
      <c r="Q328" s="116">
        <v>1226.0999999999999</v>
      </c>
      <c r="R328">
        <v>20072</v>
      </c>
    </row>
    <row r="329" spans="1:18" x14ac:dyDescent="0.25">
      <c r="A329" s="170">
        <v>45408</v>
      </c>
      <c r="B329" s="116">
        <v>542</v>
      </c>
      <c r="C329" s="116">
        <v>540.79999999999995</v>
      </c>
      <c r="D329" s="116">
        <v>540.79999999999995</v>
      </c>
      <c r="E329" s="116">
        <v>540.79999999999995</v>
      </c>
      <c r="F329" s="116">
        <v>540.79999999999995</v>
      </c>
      <c r="G329">
        <v>8500</v>
      </c>
      <c r="H329" s="116"/>
      <c r="I329" s="116"/>
      <c r="L329" s="170">
        <v>42488</v>
      </c>
      <c r="M329" s="116">
        <v>236.84</v>
      </c>
      <c r="N329" s="116">
        <v>250.23000000000002</v>
      </c>
      <c r="O329" s="116">
        <v>227.32</v>
      </c>
      <c r="P329" s="116">
        <v>246.66</v>
      </c>
      <c r="Q329" s="116">
        <v>1184.2</v>
      </c>
      <c r="R329">
        <v>67748</v>
      </c>
    </row>
    <row r="330" spans="1:18" x14ac:dyDescent="0.25">
      <c r="A330" s="170">
        <v>45411</v>
      </c>
      <c r="B330" s="116">
        <v>557.79999999999995</v>
      </c>
      <c r="C330" s="116">
        <v>527.25</v>
      </c>
      <c r="D330" s="116">
        <v>513.79999999999995</v>
      </c>
      <c r="E330" s="116">
        <v>513.79999999999995</v>
      </c>
      <c r="F330" s="116">
        <v>527.25</v>
      </c>
      <c r="G330">
        <v>57000</v>
      </c>
      <c r="H330" s="116"/>
      <c r="I330" s="116"/>
      <c r="L330" s="170">
        <v>42489</v>
      </c>
      <c r="M330" s="116">
        <v>240.43</v>
      </c>
      <c r="N330" s="116">
        <v>253.6</v>
      </c>
      <c r="O330" s="116">
        <v>238</v>
      </c>
      <c r="P330" s="116">
        <v>252.07</v>
      </c>
      <c r="Q330" s="116">
        <v>1202.1500000000001</v>
      </c>
      <c r="R330">
        <v>220750</v>
      </c>
    </row>
    <row r="331" spans="1:18" x14ac:dyDescent="0.25">
      <c r="A331" s="170">
        <v>45412</v>
      </c>
      <c r="B331" s="116">
        <v>537.95000000000005</v>
      </c>
      <c r="C331" s="116">
        <v>525.5</v>
      </c>
      <c r="D331" s="116">
        <v>525</v>
      </c>
      <c r="E331" s="116">
        <v>530</v>
      </c>
      <c r="F331" s="116">
        <v>525.5</v>
      </c>
      <c r="G331">
        <v>18000</v>
      </c>
      <c r="H331" s="116"/>
      <c r="I331" s="116"/>
      <c r="L331" s="170">
        <v>42492</v>
      </c>
      <c r="M331" s="116">
        <v>246.26</v>
      </c>
      <c r="N331" s="116">
        <v>247.55</v>
      </c>
      <c r="O331" s="116">
        <v>234</v>
      </c>
      <c r="P331" s="116">
        <v>240.4</v>
      </c>
      <c r="Q331" s="116">
        <v>1231.3</v>
      </c>
      <c r="R331">
        <v>64378</v>
      </c>
    </row>
    <row r="332" spans="1:18" x14ac:dyDescent="0.25">
      <c r="A332" s="170">
        <v>45414</v>
      </c>
      <c r="B332" s="116">
        <v>531</v>
      </c>
      <c r="C332" s="116">
        <v>527.9</v>
      </c>
      <c r="D332" s="116">
        <v>520</v>
      </c>
      <c r="E332" s="116">
        <v>527</v>
      </c>
      <c r="F332" s="116">
        <v>527.9</v>
      </c>
      <c r="G332">
        <v>10000</v>
      </c>
      <c r="H332" s="116"/>
      <c r="I332" s="116"/>
      <c r="L332" s="170">
        <v>42493</v>
      </c>
      <c r="M332" s="116">
        <v>254.13000000000002</v>
      </c>
      <c r="N332" s="116">
        <v>257.12</v>
      </c>
      <c r="O332" s="116">
        <v>245.01</v>
      </c>
      <c r="P332" s="116">
        <v>246.58</v>
      </c>
      <c r="Q332" s="116">
        <v>1270.6500000000001</v>
      </c>
      <c r="R332">
        <v>123126</v>
      </c>
    </row>
    <row r="333" spans="1:18" x14ac:dyDescent="0.25">
      <c r="A333" s="170">
        <v>45415</v>
      </c>
      <c r="B333" s="116">
        <v>536.95000000000005</v>
      </c>
      <c r="C333" s="116">
        <v>525</v>
      </c>
      <c r="D333" s="116">
        <v>522.65</v>
      </c>
      <c r="E333" s="116">
        <v>522.65</v>
      </c>
      <c r="F333" s="116">
        <v>525</v>
      </c>
      <c r="G333">
        <v>9000</v>
      </c>
      <c r="H333" s="116"/>
      <c r="I333" s="116"/>
      <c r="L333" s="170">
        <v>42494</v>
      </c>
      <c r="M333" s="116">
        <v>246.85999999999999</v>
      </c>
      <c r="N333" s="116">
        <v>259.2</v>
      </c>
      <c r="O333" s="116">
        <v>244.99</v>
      </c>
      <c r="P333" s="116">
        <v>254.19</v>
      </c>
      <c r="Q333" s="116">
        <v>1234.3</v>
      </c>
      <c r="R333">
        <v>69466</v>
      </c>
    </row>
    <row r="334" spans="1:18" x14ac:dyDescent="0.25">
      <c r="A334" s="170">
        <v>45418</v>
      </c>
      <c r="B334" s="116">
        <v>521.5</v>
      </c>
      <c r="C334" s="116">
        <v>514.5</v>
      </c>
      <c r="D334" s="116">
        <v>508</v>
      </c>
      <c r="E334" s="116">
        <v>520</v>
      </c>
      <c r="F334" s="116">
        <v>514.5</v>
      </c>
      <c r="G334">
        <v>14250</v>
      </c>
      <c r="H334" s="116"/>
      <c r="I334" s="116"/>
      <c r="L334" s="170">
        <v>42495</v>
      </c>
      <c r="M334" s="116">
        <v>237.85</v>
      </c>
      <c r="N334" s="116">
        <v>247.8</v>
      </c>
      <c r="O334" s="116">
        <v>236.8</v>
      </c>
      <c r="P334" s="116">
        <v>247.8</v>
      </c>
      <c r="Q334" s="116">
        <v>1189.25</v>
      </c>
      <c r="R334">
        <v>101723</v>
      </c>
    </row>
    <row r="335" spans="1:18" x14ac:dyDescent="0.25">
      <c r="A335" s="170">
        <v>45419</v>
      </c>
      <c r="B335" s="116">
        <v>513</v>
      </c>
      <c r="C335" s="116">
        <v>508</v>
      </c>
      <c r="D335" s="116">
        <v>500</v>
      </c>
      <c r="E335" s="116">
        <v>501</v>
      </c>
      <c r="F335" s="116">
        <v>508</v>
      </c>
      <c r="G335">
        <v>10000</v>
      </c>
      <c r="H335" s="116"/>
      <c r="I335" s="116"/>
      <c r="L335" s="170">
        <v>42496</v>
      </c>
      <c r="M335" s="116">
        <v>235.95</v>
      </c>
      <c r="N335" s="116">
        <v>240</v>
      </c>
      <c r="O335" s="116">
        <v>234</v>
      </c>
      <c r="P335" s="116">
        <v>236</v>
      </c>
      <c r="Q335" s="116">
        <v>1179.75</v>
      </c>
      <c r="R335">
        <v>52755</v>
      </c>
    </row>
    <row r="336" spans="1:18" x14ac:dyDescent="0.25">
      <c r="A336" s="170">
        <v>45420</v>
      </c>
      <c r="B336" s="116">
        <v>520</v>
      </c>
      <c r="C336" s="116">
        <v>514.5</v>
      </c>
      <c r="D336" s="116">
        <v>508</v>
      </c>
      <c r="E336" s="116">
        <v>508</v>
      </c>
      <c r="F336" s="116">
        <v>514.5</v>
      </c>
      <c r="G336">
        <v>4250</v>
      </c>
      <c r="H336" s="116"/>
      <c r="I336" s="116"/>
      <c r="L336" s="170">
        <v>42499</v>
      </c>
      <c r="M336" s="116">
        <v>235.99</v>
      </c>
      <c r="N336" s="116">
        <v>239.95</v>
      </c>
      <c r="O336" s="116">
        <v>234.45</v>
      </c>
      <c r="P336" s="116">
        <v>236.55</v>
      </c>
      <c r="Q336" s="116">
        <v>1179.95</v>
      </c>
      <c r="R336">
        <v>52306</v>
      </c>
    </row>
    <row r="337" spans="1:18" x14ac:dyDescent="0.25">
      <c r="A337" s="170">
        <v>45421</v>
      </c>
      <c r="B337" s="116">
        <v>525</v>
      </c>
      <c r="C337" s="116">
        <v>497.95</v>
      </c>
      <c r="D337" s="116">
        <v>488.8</v>
      </c>
      <c r="E337" s="116">
        <v>523</v>
      </c>
      <c r="F337" s="116">
        <v>497.95</v>
      </c>
      <c r="G337">
        <v>7250</v>
      </c>
      <c r="H337" s="116"/>
      <c r="I337" s="116"/>
      <c r="L337" s="170">
        <v>42500</v>
      </c>
      <c r="M337" s="116">
        <v>235.42</v>
      </c>
      <c r="N337" s="116">
        <v>238.6</v>
      </c>
      <c r="O337" s="116">
        <v>234.45</v>
      </c>
      <c r="P337" s="116">
        <v>237.8</v>
      </c>
      <c r="Q337" s="116">
        <v>1177.0999999999999</v>
      </c>
      <c r="R337">
        <v>40617</v>
      </c>
    </row>
    <row r="338" spans="1:18" x14ac:dyDescent="0.25">
      <c r="A338" s="170">
        <v>45422</v>
      </c>
      <c r="B338" s="116">
        <v>500</v>
      </c>
      <c r="C338" s="116">
        <v>494.2</v>
      </c>
      <c r="D338" s="116">
        <v>490.25</v>
      </c>
      <c r="E338" s="116">
        <v>497.95</v>
      </c>
      <c r="F338" s="116">
        <v>494.2</v>
      </c>
      <c r="G338">
        <v>4500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45425</v>
      </c>
      <c r="B339" s="116">
        <v>505</v>
      </c>
      <c r="C339" s="116">
        <v>489.9</v>
      </c>
      <c r="D339" s="116">
        <v>478</v>
      </c>
      <c r="E339" s="116">
        <v>500</v>
      </c>
      <c r="F339" s="116">
        <v>489.9</v>
      </c>
      <c r="G339">
        <v>15000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45426</v>
      </c>
      <c r="B340" s="116">
        <v>514.35</v>
      </c>
      <c r="C340" s="116">
        <v>514.35</v>
      </c>
      <c r="D340" s="116">
        <v>490</v>
      </c>
      <c r="E340" s="116">
        <v>490</v>
      </c>
      <c r="F340" s="116">
        <v>514.35</v>
      </c>
      <c r="G340">
        <v>4500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45427</v>
      </c>
      <c r="B341" s="116">
        <v>532</v>
      </c>
      <c r="C341" s="116">
        <v>510</v>
      </c>
      <c r="D341" s="116">
        <v>505</v>
      </c>
      <c r="E341" s="116">
        <v>531</v>
      </c>
      <c r="F341" s="116">
        <v>510</v>
      </c>
      <c r="G341">
        <v>8000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45428</v>
      </c>
      <c r="B342" s="116">
        <v>519.70000000000005</v>
      </c>
      <c r="C342" s="116">
        <v>505.3</v>
      </c>
      <c r="D342" s="116">
        <v>502</v>
      </c>
      <c r="E342" s="116">
        <v>514.95000000000005</v>
      </c>
      <c r="F342" s="116">
        <v>505.3</v>
      </c>
      <c r="G342">
        <v>6500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45429</v>
      </c>
      <c r="B343" s="116">
        <v>520</v>
      </c>
      <c r="C343" s="116">
        <v>518.45000000000005</v>
      </c>
      <c r="D343" s="116">
        <v>505.3</v>
      </c>
      <c r="E343" s="116">
        <v>505.5</v>
      </c>
      <c r="F343" s="116">
        <v>518.45000000000005</v>
      </c>
      <c r="G343">
        <v>3500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45430</v>
      </c>
      <c r="B344" s="116">
        <v>540</v>
      </c>
      <c r="C344" s="116">
        <v>518.6</v>
      </c>
      <c r="D344" s="116">
        <v>518.45000000000005</v>
      </c>
      <c r="E344" s="116">
        <v>529.95000000000005</v>
      </c>
      <c r="F344" s="116">
        <v>518.6</v>
      </c>
      <c r="G344">
        <v>9250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45433</v>
      </c>
      <c r="B345" s="116">
        <v>527</v>
      </c>
      <c r="C345" s="116">
        <v>520.04999999999995</v>
      </c>
      <c r="D345" s="116">
        <v>503.35</v>
      </c>
      <c r="E345" s="116">
        <v>520</v>
      </c>
      <c r="F345" s="116">
        <v>520.04999999999995</v>
      </c>
      <c r="G345">
        <v>3750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45434</v>
      </c>
      <c r="B346" s="116">
        <v>525</v>
      </c>
      <c r="C346" s="116">
        <v>524.35</v>
      </c>
      <c r="D346" s="116">
        <v>509</v>
      </c>
      <c r="E346" s="116">
        <v>509.25</v>
      </c>
      <c r="F346" s="116">
        <v>524.35</v>
      </c>
      <c r="G346">
        <v>8500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45435</v>
      </c>
      <c r="B347" s="116">
        <v>520</v>
      </c>
      <c r="C347" s="116">
        <v>520</v>
      </c>
      <c r="D347" s="116">
        <v>515</v>
      </c>
      <c r="E347" s="116">
        <v>520</v>
      </c>
      <c r="F347" s="116">
        <v>520</v>
      </c>
      <c r="G347">
        <v>4250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45436</v>
      </c>
      <c r="B348" s="116">
        <v>519</v>
      </c>
      <c r="C348" s="116">
        <v>500.15</v>
      </c>
      <c r="D348" s="116">
        <v>500</v>
      </c>
      <c r="E348" s="116">
        <v>519</v>
      </c>
      <c r="F348" s="116">
        <v>500.15</v>
      </c>
      <c r="G348">
        <v>5250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45439</v>
      </c>
      <c r="B349" s="116">
        <v>525.15</v>
      </c>
      <c r="C349" s="116">
        <v>522</v>
      </c>
      <c r="D349" s="116">
        <v>519.9</v>
      </c>
      <c r="E349" s="116">
        <v>519.9</v>
      </c>
      <c r="F349" s="116">
        <v>522</v>
      </c>
      <c r="G349">
        <v>9000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45440</v>
      </c>
      <c r="B350" s="116">
        <v>513.45000000000005</v>
      </c>
      <c r="C350" s="116">
        <v>499.9</v>
      </c>
      <c r="D350" s="116">
        <v>495.9</v>
      </c>
      <c r="E350" s="116">
        <v>512</v>
      </c>
      <c r="F350" s="116">
        <v>499.9</v>
      </c>
      <c r="G350">
        <v>5750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45441</v>
      </c>
      <c r="B351" s="116">
        <v>503</v>
      </c>
      <c r="C351" s="116">
        <v>499</v>
      </c>
      <c r="D351" s="116">
        <v>479.95</v>
      </c>
      <c r="E351" s="116">
        <v>496</v>
      </c>
      <c r="F351" s="116">
        <v>499</v>
      </c>
      <c r="G351">
        <v>14250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45442</v>
      </c>
      <c r="B352" s="116">
        <v>501.95</v>
      </c>
      <c r="C352" s="116">
        <v>481.4</v>
      </c>
      <c r="D352" s="116">
        <v>480</v>
      </c>
      <c r="E352" s="116">
        <v>500</v>
      </c>
      <c r="F352" s="116">
        <v>481.4</v>
      </c>
      <c r="G352">
        <v>5000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45443</v>
      </c>
      <c r="B353" s="116">
        <v>505</v>
      </c>
      <c r="C353" s="116">
        <v>487.55</v>
      </c>
      <c r="D353" s="116">
        <v>485</v>
      </c>
      <c r="E353" s="116">
        <v>505</v>
      </c>
      <c r="F353" s="116">
        <v>487.55</v>
      </c>
      <c r="G353">
        <v>4500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45446</v>
      </c>
      <c r="B354" s="116">
        <v>511</v>
      </c>
      <c r="C354" s="116">
        <v>485.8</v>
      </c>
      <c r="D354" s="116">
        <v>478</v>
      </c>
      <c r="E354" s="116">
        <v>511</v>
      </c>
      <c r="F354" s="116">
        <v>485.8</v>
      </c>
      <c r="G354">
        <v>13250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45447</v>
      </c>
      <c r="B355" s="116">
        <v>490</v>
      </c>
      <c r="C355" s="116">
        <v>461.55</v>
      </c>
      <c r="D355" s="116">
        <v>461.55</v>
      </c>
      <c r="E355" s="116">
        <v>470</v>
      </c>
      <c r="F355" s="116">
        <v>461.55</v>
      </c>
      <c r="G355">
        <v>26750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45448</v>
      </c>
      <c r="B356" s="116">
        <v>465</v>
      </c>
      <c r="C356" s="116">
        <v>458.75</v>
      </c>
      <c r="D356" s="116">
        <v>438.5</v>
      </c>
      <c r="E356" s="116">
        <v>460.55</v>
      </c>
      <c r="F356" s="116">
        <v>458.75</v>
      </c>
      <c r="G356">
        <v>21000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45449</v>
      </c>
      <c r="B357" s="116">
        <v>481.65</v>
      </c>
      <c r="C357" s="116">
        <v>481.65</v>
      </c>
      <c r="D357" s="116">
        <v>465</v>
      </c>
      <c r="E357" s="116">
        <v>467</v>
      </c>
      <c r="F357" s="116">
        <v>481.65</v>
      </c>
      <c r="G357">
        <v>11000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45450</v>
      </c>
      <c r="B358" s="116">
        <v>519</v>
      </c>
      <c r="C358" s="116">
        <v>505.5</v>
      </c>
      <c r="D358" s="116">
        <v>499.75</v>
      </c>
      <c r="E358" s="116">
        <v>519</v>
      </c>
      <c r="F358" s="116">
        <v>505.5</v>
      </c>
      <c r="G358">
        <v>3000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45453</v>
      </c>
      <c r="B359" s="116">
        <v>520</v>
      </c>
      <c r="C359" s="116">
        <v>500</v>
      </c>
      <c r="D359" s="116">
        <v>484</v>
      </c>
      <c r="E359" s="116">
        <v>505</v>
      </c>
      <c r="F359" s="116">
        <v>500</v>
      </c>
      <c r="G359">
        <v>9250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45454</v>
      </c>
      <c r="B360" s="116">
        <v>528</v>
      </c>
      <c r="C360" s="116">
        <v>521.75</v>
      </c>
      <c r="D360" s="116">
        <v>503.5</v>
      </c>
      <c r="E360" s="116">
        <v>528</v>
      </c>
      <c r="F360" s="116">
        <v>521.75</v>
      </c>
      <c r="G360">
        <v>5250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45455</v>
      </c>
      <c r="B361" s="116">
        <v>528</v>
      </c>
      <c r="C361" s="116">
        <v>519.29999999999995</v>
      </c>
      <c r="D361" s="116">
        <v>518</v>
      </c>
      <c r="E361" s="116">
        <v>528</v>
      </c>
      <c r="F361" s="116">
        <v>519.29999999999995</v>
      </c>
      <c r="G361">
        <v>3000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45456</v>
      </c>
      <c r="B362" s="116">
        <v>525</v>
      </c>
      <c r="C362" s="116">
        <v>507.55</v>
      </c>
      <c r="D362" s="116">
        <v>502.6</v>
      </c>
      <c r="E362" s="116">
        <v>524.9</v>
      </c>
      <c r="F362" s="116">
        <v>507.55</v>
      </c>
      <c r="G362">
        <v>3500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45457</v>
      </c>
      <c r="B363" s="116">
        <v>515</v>
      </c>
      <c r="C363" s="116">
        <v>510.75</v>
      </c>
      <c r="D363" s="116">
        <v>503.05</v>
      </c>
      <c r="E363" s="116">
        <v>503.05</v>
      </c>
      <c r="F363" s="116">
        <v>510.75</v>
      </c>
      <c r="G363">
        <v>4750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45461</v>
      </c>
      <c r="B364" s="116">
        <v>530.95000000000005</v>
      </c>
      <c r="C364" s="116">
        <v>521</v>
      </c>
      <c r="D364" s="116">
        <v>500</v>
      </c>
      <c r="E364" s="116">
        <v>501.15</v>
      </c>
      <c r="F364" s="116">
        <v>521</v>
      </c>
      <c r="G364">
        <v>12500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45462</v>
      </c>
      <c r="B365" s="116">
        <v>537.4</v>
      </c>
      <c r="C365" s="116">
        <v>533</v>
      </c>
      <c r="D365" s="116">
        <v>521</v>
      </c>
      <c r="E365" s="116">
        <v>531</v>
      </c>
      <c r="F365" s="116">
        <v>533</v>
      </c>
      <c r="G365">
        <v>7250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45463</v>
      </c>
      <c r="B366" s="116">
        <v>586.29999999999995</v>
      </c>
      <c r="C366" s="116">
        <v>586.29999999999995</v>
      </c>
      <c r="D366" s="116">
        <v>500</v>
      </c>
      <c r="E366" s="116">
        <v>531</v>
      </c>
      <c r="F366" s="116">
        <v>586.29999999999995</v>
      </c>
      <c r="G366">
        <v>45500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45464</v>
      </c>
      <c r="B367" s="116">
        <v>620</v>
      </c>
      <c r="C367" s="116">
        <v>582</v>
      </c>
      <c r="D367" s="116">
        <v>571</v>
      </c>
      <c r="E367" s="116">
        <v>620</v>
      </c>
      <c r="F367" s="116">
        <v>582</v>
      </c>
      <c r="G367">
        <v>18250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45467</v>
      </c>
      <c r="B368" s="116">
        <v>590</v>
      </c>
      <c r="C368" s="116">
        <v>560.5</v>
      </c>
      <c r="D368" s="116">
        <v>550.1</v>
      </c>
      <c r="E368" s="116">
        <v>590</v>
      </c>
      <c r="F368" s="116">
        <v>560.5</v>
      </c>
      <c r="G368">
        <v>4750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45468</v>
      </c>
      <c r="B369" s="116">
        <v>551</v>
      </c>
      <c r="C369" s="116">
        <v>546.5</v>
      </c>
      <c r="D369" s="116">
        <v>537.65</v>
      </c>
      <c r="E369" s="116">
        <v>543.70000000000005</v>
      </c>
      <c r="F369" s="116">
        <v>546.5</v>
      </c>
      <c r="G369">
        <v>5000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45469</v>
      </c>
      <c r="B370" s="116">
        <v>590.4</v>
      </c>
      <c r="C370" s="116">
        <v>584.95000000000005</v>
      </c>
      <c r="D370" s="116">
        <v>531</v>
      </c>
      <c r="E370" s="116">
        <v>531</v>
      </c>
      <c r="F370" s="116">
        <v>584.95000000000005</v>
      </c>
      <c r="G370">
        <v>13250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45470</v>
      </c>
      <c r="B371" s="116">
        <v>594</v>
      </c>
      <c r="C371" s="116">
        <v>570.1</v>
      </c>
      <c r="D371" s="116">
        <v>570.1</v>
      </c>
      <c r="E371" s="116">
        <v>588.1</v>
      </c>
      <c r="F371" s="116">
        <v>570.1</v>
      </c>
      <c r="G371">
        <v>5250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45471</v>
      </c>
      <c r="B372" s="116">
        <v>589</v>
      </c>
      <c r="C372" s="116">
        <v>577.9</v>
      </c>
      <c r="D372" s="116">
        <v>541</v>
      </c>
      <c r="E372" s="116">
        <v>541</v>
      </c>
      <c r="F372" s="116">
        <v>577.9</v>
      </c>
      <c r="G372">
        <v>7000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45474</v>
      </c>
      <c r="B373" s="116">
        <v>615</v>
      </c>
      <c r="C373" s="116">
        <v>586.79999999999995</v>
      </c>
      <c r="D373" s="116">
        <v>584.5</v>
      </c>
      <c r="E373" s="116">
        <v>600</v>
      </c>
      <c r="F373" s="116">
        <v>586.79999999999995</v>
      </c>
      <c r="G373">
        <v>9750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45475</v>
      </c>
      <c r="B374" s="116">
        <v>609.79999999999995</v>
      </c>
      <c r="C374" s="116">
        <v>597.95000000000005</v>
      </c>
      <c r="D374" s="116">
        <v>589.20000000000005</v>
      </c>
      <c r="E374" s="116">
        <v>592</v>
      </c>
      <c r="F374" s="116">
        <v>597.95000000000005</v>
      </c>
      <c r="G374">
        <v>6250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45476</v>
      </c>
      <c r="B375" s="116">
        <v>614.9</v>
      </c>
      <c r="C375" s="116">
        <v>601</v>
      </c>
      <c r="D375" s="116">
        <v>585</v>
      </c>
      <c r="E375" s="116">
        <v>607.4</v>
      </c>
      <c r="F375" s="116">
        <v>601</v>
      </c>
      <c r="G375">
        <v>15750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45477</v>
      </c>
      <c r="B376" s="116">
        <v>657</v>
      </c>
      <c r="C376" s="116">
        <v>642.65</v>
      </c>
      <c r="D376" s="116">
        <v>620</v>
      </c>
      <c r="E376" s="116">
        <v>639.95000000000005</v>
      </c>
      <c r="F376" s="116">
        <v>642.65</v>
      </c>
      <c r="G376">
        <v>40500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45478</v>
      </c>
      <c r="B377" s="116">
        <v>706.9</v>
      </c>
      <c r="C377" s="116">
        <v>706.9</v>
      </c>
      <c r="D377" s="116">
        <v>651</v>
      </c>
      <c r="E377" s="116">
        <v>652</v>
      </c>
      <c r="F377" s="116">
        <v>706.9</v>
      </c>
      <c r="G377">
        <v>78250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45481</v>
      </c>
      <c r="B378" s="116">
        <v>774</v>
      </c>
      <c r="C378" s="116">
        <v>747.7</v>
      </c>
      <c r="D378" s="116">
        <v>711</v>
      </c>
      <c r="E378" s="116">
        <v>749.95</v>
      </c>
      <c r="F378" s="116">
        <v>747.7</v>
      </c>
      <c r="G378">
        <v>38500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45482</v>
      </c>
      <c r="B379" s="116">
        <v>773.95</v>
      </c>
      <c r="C379" s="116">
        <v>722.6</v>
      </c>
      <c r="D379" s="116">
        <v>710.35</v>
      </c>
      <c r="E379" s="116">
        <v>773.95</v>
      </c>
      <c r="F379" s="116">
        <v>722.6</v>
      </c>
      <c r="G379">
        <v>20750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45483</v>
      </c>
      <c r="B380" s="116">
        <v>743</v>
      </c>
      <c r="C380" s="116">
        <v>727.25</v>
      </c>
      <c r="D380" s="116">
        <v>700</v>
      </c>
      <c r="E380" s="116">
        <v>715</v>
      </c>
      <c r="F380" s="116">
        <v>727.25</v>
      </c>
      <c r="G380">
        <v>14750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45484</v>
      </c>
      <c r="B381" s="116">
        <v>720</v>
      </c>
      <c r="C381" s="116">
        <v>708.7</v>
      </c>
      <c r="D381" s="116">
        <v>690.9</v>
      </c>
      <c r="E381" s="116">
        <v>720</v>
      </c>
      <c r="F381" s="116">
        <v>708.7</v>
      </c>
      <c r="G381">
        <v>36250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45485</v>
      </c>
      <c r="B382" s="116">
        <v>735.5</v>
      </c>
      <c r="C382" s="116">
        <v>716.65</v>
      </c>
      <c r="D382" s="116">
        <v>706</v>
      </c>
      <c r="E382" s="116">
        <v>715</v>
      </c>
      <c r="F382" s="116">
        <v>716.65</v>
      </c>
      <c r="G382">
        <v>10500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45488</v>
      </c>
      <c r="B383" s="116">
        <v>720</v>
      </c>
      <c r="C383" s="116">
        <v>715</v>
      </c>
      <c r="D383" s="116">
        <v>690</v>
      </c>
      <c r="E383" s="116">
        <v>718</v>
      </c>
      <c r="F383" s="116">
        <v>715</v>
      </c>
      <c r="G383">
        <v>16500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45489</v>
      </c>
      <c r="B384" s="116">
        <v>711.95</v>
      </c>
      <c r="C384" s="116">
        <v>703.5</v>
      </c>
      <c r="D384" s="116">
        <v>697.35</v>
      </c>
      <c r="E384" s="116">
        <v>710.95</v>
      </c>
      <c r="F384" s="116">
        <v>703.5</v>
      </c>
      <c r="G384">
        <v>5250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45491</v>
      </c>
      <c r="B385" s="116">
        <v>710.8</v>
      </c>
      <c r="C385" s="116">
        <v>673.35</v>
      </c>
      <c r="D385" s="116">
        <v>670</v>
      </c>
      <c r="E385" s="116">
        <v>710.8</v>
      </c>
      <c r="F385" s="116">
        <v>673.35</v>
      </c>
      <c r="G385">
        <v>8250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45492</v>
      </c>
      <c r="B386" s="116">
        <v>654.9</v>
      </c>
      <c r="C386" s="116">
        <v>648.79999999999995</v>
      </c>
      <c r="D386" s="116">
        <v>639.70000000000005</v>
      </c>
      <c r="E386" s="116">
        <v>650</v>
      </c>
      <c r="F386" s="116">
        <v>648.79999999999995</v>
      </c>
      <c r="G386">
        <v>29000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45495</v>
      </c>
      <c r="B387" s="116">
        <v>665</v>
      </c>
      <c r="C387" s="116">
        <v>653.35</v>
      </c>
      <c r="D387" s="116">
        <v>640</v>
      </c>
      <c r="E387" s="116">
        <v>645</v>
      </c>
      <c r="F387" s="116">
        <v>653.35</v>
      </c>
      <c r="G387">
        <v>8250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45496</v>
      </c>
      <c r="B388" s="116">
        <v>685</v>
      </c>
      <c r="C388" s="116">
        <v>683.3</v>
      </c>
      <c r="D388" s="116">
        <v>620.70000000000005</v>
      </c>
      <c r="E388" s="116">
        <v>650</v>
      </c>
      <c r="F388" s="116">
        <v>683.3</v>
      </c>
      <c r="G388">
        <v>22000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45497</v>
      </c>
      <c r="B389" s="116">
        <v>715</v>
      </c>
      <c r="C389" s="116">
        <v>709.75</v>
      </c>
      <c r="D389" s="116">
        <v>695</v>
      </c>
      <c r="E389" s="116">
        <v>711</v>
      </c>
      <c r="F389" s="116">
        <v>709.75</v>
      </c>
      <c r="G389">
        <v>13000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45498</v>
      </c>
      <c r="B390" s="116">
        <v>732</v>
      </c>
      <c r="C390" s="116">
        <v>726.5</v>
      </c>
      <c r="D390" s="116">
        <v>705</v>
      </c>
      <c r="E390" s="116">
        <v>705</v>
      </c>
      <c r="F390" s="116">
        <v>726.5</v>
      </c>
      <c r="G390">
        <v>9000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45499</v>
      </c>
      <c r="B391" s="116">
        <v>762.8</v>
      </c>
      <c r="C391" s="116">
        <v>745.25</v>
      </c>
      <c r="D391" s="116">
        <v>726.5</v>
      </c>
      <c r="E391" s="116">
        <v>726.5</v>
      </c>
      <c r="F391" s="116">
        <v>745.25</v>
      </c>
      <c r="G391">
        <v>22250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45502</v>
      </c>
      <c r="B392" s="116">
        <v>782.5</v>
      </c>
      <c r="C392" s="116">
        <v>782.5</v>
      </c>
      <c r="D392" s="116">
        <v>769</v>
      </c>
      <c r="E392" s="116">
        <v>782.45</v>
      </c>
      <c r="F392" s="116">
        <v>782.5</v>
      </c>
      <c r="G392">
        <v>41000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45503</v>
      </c>
      <c r="B393" s="116">
        <v>811</v>
      </c>
      <c r="C393" s="116">
        <v>797.15</v>
      </c>
      <c r="D393" s="116">
        <v>773</v>
      </c>
      <c r="E393" s="116">
        <v>800</v>
      </c>
      <c r="F393" s="116">
        <v>797.15</v>
      </c>
      <c r="G393">
        <v>25250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45504</v>
      </c>
      <c r="B394" s="116">
        <v>818.5</v>
      </c>
      <c r="C394" s="116">
        <v>801.2</v>
      </c>
      <c r="D394" s="116">
        <v>793</v>
      </c>
      <c r="E394" s="116">
        <v>818</v>
      </c>
      <c r="F394" s="116">
        <v>801.2</v>
      </c>
      <c r="G394">
        <v>8750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45505</v>
      </c>
      <c r="B395" s="116">
        <v>841.25</v>
      </c>
      <c r="C395" s="116">
        <v>841.25</v>
      </c>
      <c r="D395" s="116">
        <v>841.25</v>
      </c>
      <c r="E395" s="116">
        <v>841.25</v>
      </c>
      <c r="F395" s="116">
        <v>841.25</v>
      </c>
      <c r="G395">
        <v>25500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45506</v>
      </c>
      <c r="B396" s="116">
        <v>883.3</v>
      </c>
      <c r="C396" s="116">
        <v>883.3</v>
      </c>
      <c r="D396" s="116">
        <v>870.1</v>
      </c>
      <c r="E396" s="116">
        <v>883.3</v>
      </c>
      <c r="F396" s="116">
        <v>883.3</v>
      </c>
      <c r="G396">
        <v>140500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45509</v>
      </c>
      <c r="B397" s="116">
        <v>927.45</v>
      </c>
      <c r="C397" s="116">
        <v>919.3</v>
      </c>
      <c r="D397" s="116">
        <v>840.05</v>
      </c>
      <c r="E397" s="116">
        <v>901</v>
      </c>
      <c r="F397" s="116">
        <v>919.3</v>
      </c>
      <c r="G397">
        <v>173750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45510</v>
      </c>
      <c r="B398" s="116">
        <v>944.7</v>
      </c>
      <c r="C398" s="116">
        <v>873.35</v>
      </c>
      <c r="D398" s="116">
        <v>873.35</v>
      </c>
      <c r="E398" s="116">
        <v>936.95</v>
      </c>
      <c r="F398" s="116">
        <v>873.35</v>
      </c>
      <c r="G398">
        <v>81250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45511</v>
      </c>
      <c r="B399" s="116">
        <v>900</v>
      </c>
      <c r="C399" s="116">
        <v>829.7</v>
      </c>
      <c r="D399" s="116">
        <v>829.7</v>
      </c>
      <c r="E399" s="116">
        <v>867.8</v>
      </c>
      <c r="F399" s="116">
        <v>829.7</v>
      </c>
      <c r="G399">
        <v>46750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45512</v>
      </c>
      <c r="B400" s="116">
        <v>831</v>
      </c>
      <c r="C400" s="116">
        <v>788.25</v>
      </c>
      <c r="D400" s="116">
        <v>788.25</v>
      </c>
      <c r="E400" s="116">
        <v>831</v>
      </c>
      <c r="F400" s="116">
        <v>788.25</v>
      </c>
      <c r="G400">
        <v>92500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45513</v>
      </c>
      <c r="B401" s="116">
        <v>827.65</v>
      </c>
      <c r="C401" s="116">
        <v>827.65</v>
      </c>
      <c r="D401" s="116">
        <v>766</v>
      </c>
      <c r="E401" s="116">
        <v>788.5</v>
      </c>
      <c r="F401" s="116">
        <v>827.65</v>
      </c>
      <c r="G401">
        <v>36000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45516</v>
      </c>
      <c r="B402" s="116">
        <v>869</v>
      </c>
      <c r="C402" s="116">
        <v>869</v>
      </c>
      <c r="D402" s="116">
        <v>853</v>
      </c>
      <c r="E402" s="116">
        <v>854.85</v>
      </c>
      <c r="F402" s="116">
        <v>869</v>
      </c>
      <c r="G402">
        <v>20750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45517</v>
      </c>
      <c r="B403" s="116">
        <v>912.45</v>
      </c>
      <c r="C403" s="116">
        <v>912.45</v>
      </c>
      <c r="D403" s="116">
        <v>882.5</v>
      </c>
      <c r="E403" s="116">
        <v>912.45</v>
      </c>
      <c r="F403" s="116">
        <v>912.45</v>
      </c>
      <c r="G403">
        <v>70500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45518</v>
      </c>
      <c r="B404" s="116">
        <v>956.9</v>
      </c>
      <c r="C404" s="116">
        <v>922.15</v>
      </c>
      <c r="D404" s="116">
        <v>906</v>
      </c>
      <c r="E404" s="116">
        <v>929</v>
      </c>
      <c r="F404" s="116">
        <v>922.15</v>
      </c>
      <c r="G404">
        <v>36750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45520</v>
      </c>
      <c r="B405" s="116">
        <v>928</v>
      </c>
      <c r="C405" s="116">
        <v>879.9</v>
      </c>
      <c r="D405" s="116">
        <v>876.05</v>
      </c>
      <c r="E405" s="116">
        <v>928</v>
      </c>
      <c r="F405" s="116">
        <v>879.9</v>
      </c>
      <c r="G405">
        <v>23000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45523</v>
      </c>
      <c r="B406" s="116">
        <v>897</v>
      </c>
      <c r="C406" s="116">
        <v>884.9</v>
      </c>
      <c r="D406" s="116">
        <v>850.1</v>
      </c>
      <c r="E406" s="116">
        <v>850.1</v>
      </c>
      <c r="F406" s="116">
        <v>884.9</v>
      </c>
      <c r="G406">
        <v>23500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45524</v>
      </c>
      <c r="B407" s="116">
        <v>929.1</v>
      </c>
      <c r="C407" s="116">
        <v>929.1</v>
      </c>
      <c r="D407" s="116">
        <v>896</v>
      </c>
      <c r="E407" s="116">
        <v>896</v>
      </c>
      <c r="F407" s="116">
        <v>929.1</v>
      </c>
      <c r="G407">
        <v>37250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45525</v>
      </c>
      <c r="B408" s="116">
        <v>975.55</v>
      </c>
      <c r="C408" s="116">
        <v>975.55</v>
      </c>
      <c r="D408" s="116">
        <v>945</v>
      </c>
      <c r="E408" s="116">
        <v>958</v>
      </c>
      <c r="F408" s="116">
        <v>975.55</v>
      </c>
      <c r="G408">
        <v>31250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45526</v>
      </c>
      <c r="B409" s="116">
        <v>1024.3</v>
      </c>
      <c r="C409" s="116">
        <v>1024.3</v>
      </c>
      <c r="D409" s="116">
        <v>1001.5</v>
      </c>
      <c r="E409" s="116">
        <v>1024.3</v>
      </c>
      <c r="F409" s="116">
        <v>1024.3</v>
      </c>
      <c r="G409">
        <v>38500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45527</v>
      </c>
      <c r="B410" s="116">
        <v>1064</v>
      </c>
      <c r="C410" s="116">
        <v>1018.5</v>
      </c>
      <c r="D410" s="116">
        <v>998</v>
      </c>
      <c r="E410" s="116">
        <v>1064</v>
      </c>
      <c r="F410" s="116">
        <v>1018.5</v>
      </c>
      <c r="G410">
        <v>52250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45530</v>
      </c>
      <c r="B411" s="116">
        <v>1024</v>
      </c>
      <c r="C411" s="116">
        <v>981.15</v>
      </c>
      <c r="D411" s="116">
        <v>970.1</v>
      </c>
      <c r="E411" s="116">
        <v>1024</v>
      </c>
      <c r="F411" s="116">
        <v>981.15</v>
      </c>
      <c r="G411">
        <v>32500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45531</v>
      </c>
      <c r="B412" s="116">
        <v>1010</v>
      </c>
      <c r="C412" s="116">
        <v>976.1</v>
      </c>
      <c r="D412" s="116">
        <v>961.05</v>
      </c>
      <c r="E412" s="116">
        <v>961.05</v>
      </c>
      <c r="F412" s="116">
        <v>976.1</v>
      </c>
      <c r="G412">
        <v>10250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45532</v>
      </c>
      <c r="B413" s="116">
        <v>1018.6</v>
      </c>
      <c r="C413" s="116">
        <v>956.45</v>
      </c>
      <c r="D413" s="116">
        <v>950</v>
      </c>
      <c r="E413" s="116">
        <v>1018.6</v>
      </c>
      <c r="F413" s="116">
        <v>956.45</v>
      </c>
      <c r="G413">
        <v>18250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45533</v>
      </c>
      <c r="B414" s="116">
        <v>942</v>
      </c>
      <c r="C414" s="116">
        <v>908.65</v>
      </c>
      <c r="D414" s="116">
        <v>908.65</v>
      </c>
      <c r="E414" s="116">
        <v>942</v>
      </c>
      <c r="F414" s="116">
        <v>908.65</v>
      </c>
      <c r="G414">
        <v>31250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45534</v>
      </c>
      <c r="B415" s="116">
        <v>907.95</v>
      </c>
      <c r="C415" s="116">
        <v>889.5</v>
      </c>
      <c r="D415" s="116">
        <v>871</v>
      </c>
      <c r="E415" s="116">
        <v>886.05</v>
      </c>
      <c r="F415" s="116">
        <v>889.5</v>
      </c>
      <c r="G415">
        <v>22250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45537</v>
      </c>
      <c r="B416" s="116">
        <v>891</v>
      </c>
      <c r="C416" s="116">
        <v>861.2</v>
      </c>
      <c r="D416" s="116">
        <v>856.1</v>
      </c>
      <c r="E416" s="116">
        <v>880.2</v>
      </c>
      <c r="F416" s="116">
        <v>861.2</v>
      </c>
      <c r="G416">
        <v>34000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45538</v>
      </c>
      <c r="B417" s="116">
        <v>898.9</v>
      </c>
      <c r="C417" s="116">
        <v>877</v>
      </c>
      <c r="D417" s="116">
        <v>850</v>
      </c>
      <c r="E417" s="116">
        <v>860</v>
      </c>
      <c r="F417" s="116">
        <v>877</v>
      </c>
      <c r="G417">
        <v>16000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45539</v>
      </c>
      <c r="B418" s="116">
        <v>890</v>
      </c>
      <c r="C418" s="116">
        <v>871.15</v>
      </c>
      <c r="D418" s="116">
        <v>860</v>
      </c>
      <c r="E418" s="116">
        <v>880</v>
      </c>
      <c r="F418" s="116">
        <v>871.15</v>
      </c>
      <c r="G418">
        <v>9250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45540</v>
      </c>
      <c r="B419" s="116">
        <v>883.8</v>
      </c>
      <c r="C419" s="116">
        <v>869.25</v>
      </c>
      <c r="D419" s="116">
        <v>860</v>
      </c>
      <c r="E419" s="116">
        <v>871</v>
      </c>
      <c r="F419" s="116">
        <v>869.25</v>
      </c>
      <c r="G419">
        <v>22250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45541</v>
      </c>
      <c r="B420" s="116">
        <v>869.25</v>
      </c>
      <c r="C420" s="116">
        <v>866.6</v>
      </c>
      <c r="D420" s="116">
        <v>850</v>
      </c>
      <c r="E420" s="116">
        <v>869.25</v>
      </c>
      <c r="F420" s="116">
        <v>866.6</v>
      </c>
      <c r="G420">
        <v>20500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45544</v>
      </c>
      <c r="B421" s="116">
        <v>909.9</v>
      </c>
      <c r="C421" s="116">
        <v>909.9</v>
      </c>
      <c r="D421" s="116">
        <v>870</v>
      </c>
      <c r="E421" s="116">
        <v>870</v>
      </c>
      <c r="F421" s="116">
        <v>909.9</v>
      </c>
      <c r="G421">
        <v>27250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45545</v>
      </c>
      <c r="B422" s="116">
        <v>955.35</v>
      </c>
      <c r="C422" s="116">
        <v>910.35</v>
      </c>
      <c r="D422" s="116">
        <v>905</v>
      </c>
      <c r="E422" s="116">
        <v>955.35</v>
      </c>
      <c r="F422" s="116">
        <v>910.35</v>
      </c>
      <c r="G422">
        <v>32500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45546</v>
      </c>
      <c r="B423" s="116">
        <v>910.35</v>
      </c>
      <c r="C423" s="116">
        <v>866.85</v>
      </c>
      <c r="D423" s="116">
        <v>864.85</v>
      </c>
      <c r="E423" s="116">
        <v>910.35</v>
      </c>
      <c r="F423" s="116">
        <v>866.85</v>
      </c>
      <c r="G423">
        <v>24750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45547</v>
      </c>
      <c r="B424" s="116">
        <v>889.95</v>
      </c>
      <c r="C424" s="116">
        <v>876.4</v>
      </c>
      <c r="D424" s="116">
        <v>870</v>
      </c>
      <c r="E424" s="116">
        <v>889.95</v>
      </c>
      <c r="F424" s="116">
        <v>876.4</v>
      </c>
      <c r="G424">
        <v>4500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45548</v>
      </c>
      <c r="B425" s="116">
        <v>912</v>
      </c>
      <c r="C425" s="116">
        <v>890</v>
      </c>
      <c r="D425" s="116">
        <v>865</v>
      </c>
      <c r="E425" s="116">
        <v>876.65</v>
      </c>
      <c r="F425" s="116">
        <v>890</v>
      </c>
      <c r="G425">
        <v>17000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45551</v>
      </c>
      <c r="B426" s="116">
        <v>903.95</v>
      </c>
      <c r="C426" s="116">
        <v>878.35</v>
      </c>
      <c r="D426" s="116">
        <v>871.1</v>
      </c>
      <c r="E426" s="116">
        <v>900</v>
      </c>
      <c r="F426" s="116">
        <v>878.35</v>
      </c>
      <c r="G426">
        <v>10250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45552</v>
      </c>
      <c r="B427" s="116">
        <v>878</v>
      </c>
      <c r="C427" s="116">
        <v>856.35</v>
      </c>
      <c r="D427" s="116">
        <v>850.05</v>
      </c>
      <c r="E427" s="116">
        <v>878</v>
      </c>
      <c r="F427" s="116">
        <v>856.35</v>
      </c>
      <c r="G427">
        <v>10250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45553</v>
      </c>
      <c r="B428" s="116">
        <v>876</v>
      </c>
      <c r="C428" s="116">
        <v>834.55</v>
      </c>
      <c r="D428" s="116">
        <v>816.1</v>
      </c>
      <c r="E428" s="116">
        <v>868</v>
      </c>
      <c r="F428" s="116">
        <v>834.55</v>
      </c>
      <c r="G428">
        <v>15500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45554</v>
      </c>
      <c r="B429" s="116">
        <v>872</v>
      </c>
      <c r="C429" s="116">
        <v>824.95</v>
      </c>
      <c r="D429" s="116">
        <v>817</v>
      </c>
      <c r="E429" s="116">
        <v>872</v>
      </c>
      <c r="F429" s="116">
        <v>824.95</v>
      </c>
      <c r="G429">
        <v>13750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45555</v>
      </c>
      <c r="B430" s="116">
        <v>848</v>
      </c>
      <c r="C430" s="116">
        <v>827.75</v>
      </c>
      <c r="D430" s="116">
        <v>817</v>
      </c>
      <c r="E430" s="116">
        <v>847.7</v>
      </c>
      <c r="F430" s="116">
        <v>827.75</v>
      </c>
      <c r="G430">
        <v>7000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45558</v>
      </c>
      <c r="B431" s="116">
        <v>855</v>
      </c>
      <c r="C431" s="116">
        <v>836.5</v>
      </c>
      <c r="D431" s="116">
        <v>820.1</v>
      </c>
      <c r="E431" s="116">
        <v>854.8</v>
      </c>
      <c r="F431" s="116">
        <v>836.5</v>
      </c>
      <c r="G431">
        <v>16000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45559</v>
      </c>
      <c r="B432" s="116">
        <v>849.25</v>
      </c>
      <c r="C432" s="116">
        <v>826.9</v>
      </c>
      <c r="D432" s="116">
        <v>825</v>
      </c>
      <c r="E432" s="116">
        <v>840</v>
      </c>
      <c r="F432" s="116">
        <v>826.9</v>
      </c>
      <c r="G432">
        <v>19500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45560</v>
      </c>
      <c r="B433" s="116">
        <v>842.95</v>
      </c>
      <c r="C433" s="116">
        <v>835</v>
      </c>
      <c r="D433" s="116">
        <v>825</v>
      </c>
      <c r="E433" s="116">
        <v>837</v>
      </c>
      <c r="F433" s="116">
        <v>835</v>
      </c>
      <c r="G433">
        <v>7250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45561</v>
      </c>
      <c r="B434" s="116">
        <v>835</v>
      </c>
      <c r="C434" s="116">
        <v>799.25</v>
      </c>
      <c r="D434" s="116">
        <v>794</v>
      </c>
      <c r="E434" s="116">
        <v>835</v>
      </c>
      <c r="F434" s="116">
        <v>799.25</v>
      </c>
      <c r="G434">
        <v>25500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45562</v>
      </c>
      <c r="B435" s="116">
        <v>815</v>
      </c>
      <c r="C435" s="116">
        <v>791.75</v>
      </c>
      <c r="D435" s="116">
        <v>785</v>
      </c>
      <c r="E435" s="116">
        <v>815</v>
      </c>
      <c r="F435" s="116">
        <v>791.75</v>
      </c>
      <c r="G435">
        <v>21750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45565</v>
      </c>
      <c r="B436" s="116">
        <v>831.3</v>
      </c>
      <c r="C436" s="116">
        <v>831.3</v>
      </c>
      <c r="D436" s="116">
        <v>780</v>
      </c>
      <c r="E436" s="116">
        <v>780</v>
      </c>
      <c r="F436" s="116">
        <v>831.3</v>
      </c>
      <c r="G436">
        <v>15500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45566</v>
      </c>
      <c r="B437" s="116">
        <v>872.85</v>
      </c>
      <c r="C437" s="116">
        <v>872.85</v>
      </c>
      <c r="D437" s="116">
        <v>843.6</v>
      </c>
      <c r="E437" s="116">
        <v>864</v>
      </c>
      <c r="F437" s="116">
        <v>872.85</v>
      </c>
      <c r="G437">
        <v>9000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45568</v>
      </c>
      <c r="B438" s="116">
        <v>907.8</v>
      </c>
      <c r="C438" s="116">
        <v>850.85</v>
      </c>
      <c r="D438" s="116">
        <v>840</v>
      </c>
      <c r="E438" s="116">
        <v>855</v>
      </c>
      <c r="F438" s="116">
        <v>850.85</v>
      </c>
      <c r="G438">
        <v>25250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45569</v>
      </c>
      <c r="B439" s="116">
        <v>888</v>
      </c>
      <c r="C439" s="116">
        <v>863.25</v>
      </c>
      <c r="D439" s="116">
        <v>844</v>
      </c>
      <c r="E439" s="116">
        <v>850</v>
      </c>
      <c r="F439" s="116">
        <v>863.25</v>
      </c>
      <c r="G439">
        <v>13000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45572</v>
      </c>
      <c r="B440" s="116">
        <v>895</v>
      </c>
      <c r="C440" s="116">
        <v>820.1</v>
      </c>
      <c r="D440" s="116">
        <v>820.1</v>
      </c>
      <c r="E440" s="116">
        <v>895</v>
      </c>
      <c r="F440" s="116">
        <v>820.1</v>
      </c>
      <c r="G440">
        <v>22750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45573</v>
      </c>
      <c r="B441" s="116">
        <v>900</v>
      </c>
      <c r="C441" s="116">
        <v>853.95</v>
      </c>
      <c r="D441" s="116">
        <v>820.1</v>
      </c>
      <c r="E441" s="116">
        <v>820.1</v>
      </c>
      <c r="F441" s="116">
        <v>853.95</v>
      </c>
      <c r="G441">
        <v>15500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45574</v>
      </c>
      <c r="B442" s="116">
        <v>925</v>
      </c>
      <c r="C442" s="116">
        <v>917.65</v>
      </c>
      <c r="D442" s="116">
        <v>872.55</v>
      </c>
      <c r="E442" s="116">
        <v>891</v>
      </c>
      <c r="F442" s="116">
        <v>917.65</v>
      </c>
      <c r="G442">
        <v>19750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45575</v>
      </c>
      <c r="B443" s="116">
        <v>952</v>
      </c>
      <c r="C443" s="116">
        <v>915.65</v>
      </c>
      <c r="D443" s="116">
        <v>908</v>
      </c>
      <c r="E443" s="116">
        <v>946</v>
      </c>
      <c r="F443" s="116">
        <v>915.65</v>
      </c>
      <c r="G443">
        <v>9250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45576</v>
      </c>
      <c r="B444" s="116">
        <v>927.8</v>
      </c>
      <c r="C444" s="116">
        <v>892.5</v>
      </c>
      <c r="D444" s="116">
        <v>875.5</v>
      </c>
      <c r="E444" s="116">
        <v>927.8</v>
      </c>
      <c r="F444" s="116">
        <v>892.5</v>
      </c>
      <c r="G444">
        <v>12000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45579</v>
      </c>
      <c r="B445" s="116">
        <v>946.95</v>
      </c>
      <c r="C445" s="116">
        <v>912.15</v>
      </c>
      <c r="D445" s="116">
        <v>891</v>
      </c>
      <c r="E445" s="116">
        <v>891</v>
      </c>
      <c r="F445" s="116">
        <v>912.15</v>
      </c>
      <c r="G445">
        <v>12500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45580</v>
      </c>
      <c r="B446" s="116">
        <v>925</v>
      </c>
      <c r="C446" s="116">
        <v>898.65</v>
      </c>
      <c r="D446" s="116">
        <v>889</v>
      </c>
      <c r="E446" s="116">
        <v>925</v>
      </c>
      <c r="F446" s="116">
        <v>898.65</v>
      </c>
      <c r="G446">
        <v>9500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45581</v>
      </c>
      <c r="B447" s="116">
        <v>935</v>
      </c>
      <c r="C447" s="116">
        <v>920</v>
      </c>
      <c r="D447" s="116">
        <v>901.1</v>
      </c>
      <c r="E447" s="116">
        <v>923.95</v>
      </c>
      <c r="F447" s="116">
        <v>920</v>
      </c>
      <c r="G447">
        <v>16500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45582</v>
      </c>
      <c r="B448" s="116">
        <v>928</v>
      </c>
      <c r="C448" s="116">
        <v>926.6</v>
      </c>
      <c r="D448" s="116">
        <v>910.05</v>
      </c>
      <c r="E448" s="116">
        <v>920</v>
      </c>
      <c r="F448" s="116">
        <v>926.6</v>
      </c>
      <c r="G448">
        <v>6750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45583</v>
      </c>
      <c r="B449" s="116">
        <v>916</v>
      </c>
      <c r="C449" s="116">
        <v>910.65</v>
      </c>
      <c r="D449" s="116">
        <v>905</v>
      </c>
      <c r="E449" s="116">
        <v>905</v>
      </c>
      <c r="F449" s="116">
        <v>910.65</v>
      </c>
      <c r="G449">
        <v>4750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45586</v>
      </c>
      <c r="B450" s="116">
        <v>910</v>
      </c>
      <c r="C450" s="116">
        <v>882.3</v>
      </c>
      <c r="D450" s="116">
        <v>877</v>
      </c>
      <c r="E450" s="116">
        <v>896</v>
      </c>
      <c r="F450" s="116">
        <v>882.3</v>
      </c>
      <c r="G450">
        <v>6500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45587</v>
      </c>
      <c r="B451" s="116">
        <v>910</v>
      </c>
      <c r="C451" s="116">
        <v>861.05</v>
      </c>
      <c r="D451" s="116">
        <v>852</v>
      </c>
      <c r="E451" s="116">
        <v>903</v>
      </c>
      <c r="F451" s="116">
        <v>861.05</v>
      </c>
      <c r="G451">
        <v>13500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45588</v>
      </c>
      <c r="B452" s="116">
        <v>930</v>
      </c>
      <c r="C452" s="116">
        <v>917.5</v>
      </c>
      <c r="D452" s="116">
        <v>870.95</v>
      </c>
      <c r="E452" s="116">
        <v>875</v>
      </c>
      <c r="F452" s="116">
        <v>917.5</v>
      </c>
      <c r="G452">
        <v>18250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45589</v>
      </c>
      <c r="B453" s="116">
        <v>1047.4000000000001</v>
      </c>
      <c r="C453" s="116">
        <v>960</v>
      </c>
      <c r="D453" s="116">
        <v>900</v>
      </c>
      <c r="E453" s="116">
        <v>921.9</v>
      </c>
      <c r="F453" s="116">
        <v>960</v>
      </c>
      <c r="G453">
        <v>181500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45590</v>
      </c>
      <c r="B454" s="116">
        <v>985</v>
      </c>
      <c r="C454" s="116">
        <v>961.2</v>
      </c>
      <c r="D454" s="116">
        <v>922</v>
      </c>
      <c r="E454" s="116">
        <v>959</v>
      </c>
      <c r="F454" s="116">
        <v>961.2</v>
      </c>
      <c r="G454">
        <v>29500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45593</v>
      </c>
      <c r="B455" s="116">
        <v>982</v>
      </c>
      <c r="C455" s="116">
        <v>938.15</v>
      </c>
      <c r="D455" s="116">
        <v>925</v>
      </c>
      <c r="E455" s="116">
        <v>978</v>
      </c>
      <c r="F455" s="116">
        <v>938.15</v>
      </c>
      <c r="G455">
        <v>63750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45594</v>
      </c>
      <c r="B456" s="116">
        <v>930</v>
      </c>
      <c r="C456" s="116">
        <v>913.35</v>
      </c>
      <c r="D456" s="116">
        <v>880</v>
      </c>
      <c r="E456" s="116">
        <v>928</v>
      </c>
      <c r="F456" s="116">
        <v>913.35</v>
      </c>
      <c r="G456">
        <v>25250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45595</v>
      </c>
      <c r="B457" s="116">
        <v>997.4</v>
      </c>
      <c r="C457" s="116">
        <v>993.55</v>
      </c>
      <c r="D457" s="116">
        <v>916</v>
      </c>
      <c r="E457" s="116">
        <v>916</v>
      </c>
      <c r="F457" s="116">
        <v>993.55</v>
      </c>
      <c r="G457">
        <v>26250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45596</v>
      </c>
      <c r="B458" s="116">
        <v>1026</v>
      </c>
      <c r="C458" s="116">
        <v>1006.45</v>
      </c>
      <c r="D458" s="116">
        <v>980.05</v>
      </c>
      <c r="E458" s="116">
        <v>1021</v>
      </c>
      <c r="F458" s="116">
        <v>1006.45</v>
      </c>
      <c r="G458">
        <v>20500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45597</v>
      </c>
      <c r="B459" s="116">
        <v>1045</v>
      </c>
      <c r="C459" s="116">
        <v>1004.75</v>
      </c>
      <c r="D459" s="116">
        <v>988.05</v>
      </c>
      <c r="E459" s="116">
        <v>1026</v>
      </c>
      <c r="F459" s="116">
        <v>1004.75</v>
      </c>
      <c r="G459">
        <v>7750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45600</v>
      </c>
      <c r="B460" s="116">
        <v>1004.75</v>
      </c>
      <c r="C460" s="116">
        <v>966.8</v>
      </c>
      <c r="D460" s="116">
        <v>958.05</v>
      </c>
      <c r="E460" s="116">
        <v>1004.75</v>
      </c>
      <c r="F460" s="116">
        <v>966.8</v>
      </c>
      <c r="G460">
        <v>33500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45601</v>
      </c>
      <c r="B461" s="116">
        <v>1014</v>
      </c>
      <c r="C461" s="116">
        <v>984.95</v>
      </c>
      <c r="D461" s="116">
        <v>960</v>
      </c>
      <c r="E461" s="116">
        <v>984</v>
      </c>
      <c r="F461" s="116">
        <v>984.95</v>
      </c>
      <c r="G461">
        <v>14500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45602</v>
      </c>
      <c r="B462" s="116">
        <v>989.95</v>
      </c>
      <c r="C462" s="116">
        <v>974.05</v>
      </c>
      <c r="D462" s="116">
        <v>965</v>
      </c>
      <c r="E462" s="116">
        <v>965</v>
      </c>
      <c r="F462" s="116">
        <v>974.05</v>
      </c>
      <c r="G462">
        <v>15750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45603</v>
      </c>
      <c r="B463" s="116">
        <v>1039.95</v>
      </c>
      <c r="C463" s="116">
        <v>1033.75</v>
      </c>
      <c r="D463" s="116">
        <v>945</v>
      </c>
      <c r="E463" s="116">
        <v>962.1</v>
      </c>
      <c r="F463" s="116">
        <v>1033.75</v>
      </c>
      <c r="G463">
        <v>29500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45604</v>
      </c>
      <c r="B464" s="116">
        <v>1052</v>
      </c>
      <c r="C464" s="116">
        <v>1031.5999999999999</v>
      </c>
      <c r="D464" s="116">
        <v>1029.25</v>
      </c>
      <c r="E464" s="116">
        <v>1035</v>
      </c>
      <c r="F464" s="116">
        <v>1031.5999999999999</v>
      </c>
      <c r="G464">
        <v>20375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45607</v>
      </c>
      <c r="B465" s="116">
        <v>1039</v>
      </c>
      <c r="C465" s="116">
        <v>1029.05</v>
      </c>
      <c r="D465" s="116">
        <v>980</v>
      </c>
      <c r="E465" s="116">
        <v>1022.4</v>
      </c>
      <c r="F465" s="116">
        <v>1029.05</v>
      </c>
      <c r="G465">
        <v>21000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45608</v>
      </c>
      <c r="B466" s="116">
        <v>1056.6500000000001</v>
      </c>
      <c r="C466" s="116">
        <v>1043.4000000000001</v>
      </c>
      <c r="D466" s="116">
        <v>1011.1</v>
      </c>
      <c r="E466" s="116">
        <v>1031</v>
      </c>
      <c r="F466" s="116">
        <v>1043.4000000000001</v>
      </c>
      <c r="G466">
        <v>28875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45609</v>
      </c>
      <c r="B467" s="116">
        <v>1041</v>
      </c>
      <c r="C467" s="116">
        <v>1005</v>
      </c>
      <c r="D467" s="116">
        <v>991</v>
      </c>
      <c r="E467" s="116">
        <v>1041</v>
      </c>
      <c r="F467" s="116">
        <v>1005</v>
      </c>
      <c r="G467">
        <v>12125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45610</v>
      </c>
      <c r="B468" s="116">
        <v>1068.9000000000001</v>
      </c>
      <c r="C468" s="116">
        <v>1062.05</v>
      </c>
      <c r="D468" s="116">
        <v>1011</v>
      </c>
      <c r="E468" s="116">
        <v>1048.7</v>
      </c>
      <c r="F468" s="116">
        <v>1062.05</v>
      </c>
      <c r="G468">
        <v>18875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45614</v>
      </c>
      <c r="B469" s="116">
        <v>1089</v>
      </c>
      <c r="C469" s="116">
        <v>1083.25</v>
      </c>
      <c r="D469" s="116">
        <v>1050</v>
      </c>
      <c r="E469" s="116">
        <v>1089</v>
      </c>
      <c r="F469" s="116">
        <v>1083.25</v>
      </c>
      <c r="G469">
        <v>23500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45615</v>
      </c>
      <c r="B470" s="116">
        <v>1109.95</v>
      </c>
      <c r="C470" s="116">
        <v>1094.8499999999999</v>
      </c>
      <c r="D470" s="116">
        <v>1052</v>
      </c>
      <c r="E470" s="116">
        <v>1080</v>
      </c>
      <c r="F470" s="116">
        <v>1094.8499999999999</v>
      </c>
      <c r="G470">
        <v>25625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45617</v>
      </c>
      <c r="B471" s="116">
        <v>1125</v>
      </c>
      <c r="C471" s="116">
        <v>1078</v>
      </c>
      <c r="D471" s="116">
        <v>1067.5</v>
      </c>
      <c r="E471" s="116">
        <v>1115</v>
      </c>
      <c r="F471" s="116">
        <v>1078</v>
      </c>
      <c r="G471">
        <v>12000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45618</v>
      </c>
      <c r="B472" s="116">
        <v>1088.5</v>
      </c>
      <c r="C472" s="116">
        <v>1069.8</v>
      </c>
      <c r="D472" s="116">
        <v>1055.5999999999999</v>
      </c>
      <c r="E472" s="116">
        <v>1078</v>
      </c>
      <c r="F472" s="116">
        <v>1069.8</v>
      </c>
      <c r="G472">
        <v>8250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45621</v>
      </c>
      <c r="B473" s="116">
        <v>1121</v>
      </c>
      <c r="C473" s="116">
        <v>1102.5</v>
      </c>
      <c r="D473" s="116">
        <v>1070.05</v>
      </c>
      <c r="E473" s="116">
        <v>1101.55</v>
      </c>
      <c r="F473" s="116">
        <v>1102.5</v>
      </c>
      <c r="G473">
        <v>17625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45622</v>
      </c>
      <c r="B474" s="116">
        <v>1117.5</v>
      </c>
      <c r="C474" s="116">
        <v>1107.3499999999999</v>
      </c>
      <c r="D474" s="116">
        <v>1085</v>
      </c>
      <c r="E474" s="116">
        <v>1085</v>
      </c>
      <c r="F474" s="116">
        <v>1107.3499999999999</v>
      </c>
      <c r="G474">
        <v>11750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45623</v>
      </c>
      <c r="B475" s="116">
        <v>1128</v>
      </c>
      <c r="C475" s="116">
        <v>1092.3499999999999</v>
      </c>
      <c r="D475" s="116">
        <v>1085</v>
      </c>
      <c r="E475" s="116">
        <v>1128</v>
      </c>
      <c r="F475" s="116">
        <v>1092.3499999999999</v>
      </c>
      <c r="G475">
        <v>19250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45624</v>
      </c>
      <c r="B476" s="116">
        <v>1106.9000000000001</v>
      </c>
      <c r="C476" s="116">
        <v>1054.8499999999999</v>
      </c>
      <c r="D476" s="116">
        <v>1050</v>
      </c>
      <c r="E476" s="116">
        <v>1106.9000000000001</v>
      </c>
      <c r="F476" s="116">
        <v>1054.8499999999999</v>
      </c>
      <c r="G476">
        <v>12000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45625</v>
      </c>
      <c r="B477" s="116">
        <v>1123.7</v>
      </c>
      <c r="C477" s="116">
        <v>1104.95</v>
      </c>
      <c r="D477" s="116">
        <v>1016</v>
      </c>
      <c r="E477" s="116">
        <v>1054</v>
      </c>
      <c r="F477" s="116">
        <v>1104.95</v>
      </c>
      <c r="G477">
        <v>20000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45628</v>
      </c>
      <c r="B478" s="116">
        <v>1110.95</v>
      </c>
      <c r="C478" s="116">
        <v>1103.9000000000001</v>
      </c>
      <c r="D478" s="116">
        <v>1070</v>
      </c>
      <c r="E478" s="116">
        <v>1097.8</v>
      </c>
      <c r="F478" s="116">
        <v>1103.9000000000001</v>
      </c>
      <c r="G478">
        <v>14250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45629</v>
      </c>
      <c r="B479" s="116">
        <v>1134.75</v>
      </c>
      <c r="C479" s="116">
        <v>1130</v>
      </c>
      <c r="D479" s="116">
        <v>1102.5999999999999</v>
      </c>
      <c r="E479" s="116">
        <v>1120</v>
      </c>
      <c r="F479" s="116">
        <v>1130</v>
      </c>
      <c r="G479">
        <v>4750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45630</v>
      </c>
      <c r="B480" s="116">
        <v>1160</v>
      </c>
      <c r="C480" s="116">
        <v>1142.4000000000001</v>
      </c>
      <c r="D480" s="116">
        <v>1103.05</v>
      </c>
      <c r="E480" s="116">
        <v>1130</v>
      </c>
      <c r="F480" s="116">
        <v>1142.4000000000001</v>
      </c>
      <c r="G480">
        <v>6625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45631</v>
      </c>
      <c r="B481" s="116">
        <v>1165.9000000000001</v>
      </c>
      <c r="C481" s="116">
        <v>1160.7</v>
      </c>
      <c r="D481" s="116">
        <v>1140</v>
      </c>
      <c r="E481" s="116">
        <v>1159</v>
      </c>
      <c r="F481" s="116">
        <v>1160.7</v>
      </c>
      <c r="G481">
        <v>8000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45632</v>
      </c>
      <c r="B482" s="116">
        <v>1230</v>
      </c>
      <c r="C482" s="116">
        <v>1206.1500000000001</v>
      </c>
      <c r="D482" s="116">
        <v>1180</v>
      </c>
      <c r="E482" s="116">
        <v>1185</v>
      </c>
      <c r="F482" s="116">
        <v>1206.1500000000001</v>
      </c>
      <c r="G482">
        <v>17750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45635</v>
      </c>
      <c r="B483" s="116">
        <v>1287</v>
      </c>
      <c r="C483" s="116">
        <v>1273.55</v>
      </c>
      <c r="D483" s="116">
        <v>1211</v>
      </c>
      <c r="E483" s="116">
        <v>1224.75</v>
      </c>
      <c r="F483" s="116">
        <v>1273.55</v>
      </c>
      <c r="G483">
        <v>19250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45636</v>
      </c>
      <c r="B484" s="116">
        <v>1350</v>
      </c>
      <c r="C484" s="116">
        <v>1328.4</v>
      </c>
      <c r="D484" s="116">
        <v>1297</v>
      </c>
      <c r="E484" s="116">
        <v>1319</v>
      </c>
      <c r="F484" s="116">
        <v>1328.4</v>
      </c>
      <c r="G484">
        <v>22125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45637</v>
      </c>
      <c r="B485" s="116">
        <v>1458</v>
      </c>
      <c r="C485" s="116">
        <v>1433.7</v>
      </c>
      <c r="D485" s="116">
        <v>1363.2</v>
      </c>
      <c r="E485" s="116">
        <v>1365</v>
      </c>
      <c r="F485" s="116">
        <v>1433.7</v>
      </c>
      <c r="G485">
        <v>46500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45638</v>
      </c>
      <c r="B486" s="116">
        <v>1430</v>
      </c>
      <c r="C486" s="116">
        <v>1377.7</v>
      </c>
      <c r="D486" s="116">
        <v>1360.05</v>
      </c>
      <c r="E486" s="116">
        <v>1400.05</v>
      </c>
      <c r="F486" s="116">
        <v>1377.7</v>
      </c>
      <c r="G486">
        <v>19125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45639</v>
      </c>
      <c r="B487" s="116">
        <v>1360</v>
      </c>
      <c r="C487" s="116">
        <v>1358</v>
      </c>
      <c r="D487" s="116">
        <v>1262</v>
      </c>
      <c r="E487" s="116">
        <v>1353</v>
      </c>
      <c r="F487" s="116">
        <v>1358</v>
      </c>
      <c r="G487">
        <v>16750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45642</v>
      </c>
      <c r="B488" s="116">
        <v>1420</v>
      </c>
      <c r="C488" s="116">
        <v>1384.15</v>
      </c>
      <c r="D488" s="116">
        <v>1349.95</v>
      </c>
      <c r="E488" s="116">
        <v>1349.95</v>
      </c>
      <c r="F488" s="116">
        <v>1384.15</v>
      </c>
      <c r="G488">
        <v>7375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45643</v>
      </c>
      <c r="B489" s="116">
        <v>1410.25</v>
      </c>
      <c r="C489" s="116">
        <v>1399.6</v>
      </c>
      <c r="D489" s="116">
        <v>1355</v>
      </c>
      <c r="E489" s="116">
        <v>1384.15</v>
      </c>
      <c r="F489" s="116">
        <v>1399.6</v>
      </c>
      <c r="G489">
        <v>9125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45644</v>
      </c>
      <c r="B490" s="116">
        <v>1429.5</v>
      </c>
      <c r="C490" s="116">
        <v>1408.5</v>
      </c>
      <c r="D490" s="116">
        <v>1400</v>
      </c>
      <c r="E490" s="116">
        <v>1400</v>
      </c>
      <c r="F490" s="116">
        <v>1408.5</v>
      </c>
      <c r="G490">
        <v>6000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45645</v>
      </c>
      <c r="B491" s="116">
        <v>1407.9</v>
      </c>
      <c r="C491" s="116">
        <v>1395</v>
      </c>
      <c r="D491" s="116">
        <v>1367</v>
      </c>
      <c r="E491" s="116">
        <v>1395</v>
      </c>
      <c r="F491" s="116">
        <v>1395</v>
      </c>
      <c r="G491">
        <v>8000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45646</v>
      </c>
      <c r="B492" s="116">
        <v>1408</v>
      </c>
      <c r="C492" s="116">
        <v>1372.8</v>
      </c>
      <c r="D492" s="116">
        <v>1359</v>
      </c>
      <c r="E492" s="116">
        <v>1359</v>
      </c>
      <c r="F492" s="116">
        <v>1372.8</v>
      </c>
      <c r="G492">
        <v>7875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45649</v>
      </c>
      <c r="B493" s="116">
        <v>1377.85</v>
      </c>
      <c r="C493" s="116">
        <v>1306</v>
      </c>
      <c r="D493" s="116">
        <v>1300</v>
      </c>
      <c r="E493" s="116">
        <v>1374.3</v>
      </c>
      <c r="F493" s="116">
        <v>1306</v>
      </c>
      <c r="G493">
        <v>13125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45650</v>
      </c>
      <c r="B494" s="116">
        <v>1320</v>
      </c>
      <c r="C494" s="116">
        <v>1301.95</v>
      </c>
      <c r="D494" s="116">
        <v>1255</v>
      </c>
      <c r="E494" s="116">
        <v>1320</v>
      </c>
      <c r="F494" s="116">
        <v>1301.95</v>
      </c>
      <c r="G494">
        <v>7250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45652</v>
      </c>
      <c r="B495" s="116">
        <v>1360</v>
      </c>
      <c r="C495" s="116">
        <v>1309.8</v>
      </c>
      <c r="D495" s="116">
        <v>1285</v>
      </c>
      <c r="E495" s="116">
        <v>1312.05</v>
      </c>
      <c r="F495" s="116">
        <v>1309.8</v>
      </c>
      <c r="G495">
        <v>4750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45653</v>
      </c>
      <c r="B496" s="116">
        <v>1373.5</v>
      </c>
      <c r="C496" s="116">
        <v>1338.9</v>
      </c>
      <c r="D496" s="116">
        <v>1286.1500000000001</v>
      </c>
      <c r="E496" s="116">
        <v>1328.95</v>
      </c>
      <c r="F496" s="116">
        <v>1338.9</v>
      </c>
      <c r="G496">
        <v>6875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45656</v>
      </c>
      <c r="B497" s="116">
        <v>1338.45</v>
      </c>
      <c r="C497" s="116">
        <v>1317.65</v>
      </c>
      <c r="D497" s="116">
        <v>1300</v>
      </c>
      <c r="E497" s="116">
        <v>1338.45</v>
      </c>
      <c r="F497" s="116">
        <v>1317.65</v>
      </c>
      <c r="G497">
        <v>4000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45657</v>
      </c>
      <c r="B498" s="116">
        <v>1327</v>
      </c>
      <c r="C498" s="116">
        <v>1319.65</v>
      </c>
      <c r="D498" s="116">
        <v>1255</v>
      </c>
      <c r="E498" s="116">
        <v>1320.55</v>
      </c>
      <c r="F498" s="116">
        <v>1319.65</v>
      </c>
      <c r="G498">
        <v>5375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45658</v>
      </c>
      <c r="B499" s="116">
        <v>1358</v>
      </c>
      <c r="C499" s="116">
        <v>1357.95</v>
      </c>
      <c r="D499" s="116">
        <v>1300</v>
      </c>
      <c r="E499" s="116">
        <v>1319.65</v>
      </c>
      <c r="F499" s="116">
        <v>1357.95</v>
      </c>
      <c r="G499">
        <v>2625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45659</v>
      </c>
      <c r="B500" s="116">
        <v>1360</v>
      </c>
      <c r="C500" s="116">
        <v>1359.5</v>
      </c>
      <c r="D500" s="116">
        <v>1317.2</v>
      </c>
      <c r="E500" s="116">
        <v>1357.95</v>
      </c>
      <c r="F500" s="116">
        <v>1359.5</v>
      </c>
      <c r="G500">
        <v>3375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45660</v>
      </c>
      <c r="B501" s="116">
        <v>1427.45</v>
      </c>
      <c r="C501" s="116">
        <v>1427.45</v>
      </c>
      <c r="D501" s="116">
        <v>1360</v>
      </c>
      <c r="E501" s="116">
        <v>1360</v>
      </c>
      <c r="F501" s="116">
        <v>1427.45</v>
      </c>
      <c r="G501">
        <v>5250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45663</v>
      </c>
      <c r="B502" s="116">
        <v>1460</v>
      </c>
      <c r="C502" s="116">
        <v>1377.45</v>
      </c>
      <c r="D502" s="116">
        <v>1372.2</v>
      </c>
      <c r="E502" s="116">
        <v>1460</v>
      </c>
      <c r="F502" s="116">
        <v>1377.45</v>
      </c>
      <c r="G502">
        <v>7750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45664</v>
      </c>
      <c r="B503" s="116">
        <v>1429</v>
      </c>
      <c r="C503" s="116">
        <v>1420.95</v>
      </c>
      <c r="D503" s="116">
        <v>1390</v>
      </c>
      <c r="E503" s="116">
        <v>1400</v>
      </c>
      <c r="F503" s="116">
        <v>1420.95</v>
      </c>
      <c r="G503">
        <v>4375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45665</v>
      </c>
      <c r="B504" s="116">
        <v>1460</v>
      </c>
      <c r="C504" s="116">
        <v>1410.3</v>
      </c>
      <c r="D504" s="116">
        <v>1391.05</v>
      </c>
      <c r="E504" s="116">
        <v>1427.5</v>
      </c>
      <c r="F504" s="116">
        <v>1410.3</v>
      </c>
      <c r="G504">
        <v>5875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45666</v>
      </c>
      <c r="B505" s="116">
        <v>1450</v>
      </c>
      <c r="C505" s="116">
        <v>1435</v>
      </c>
      <c r="D505" s="116">
        <v>1410</v>
      </c>
      <c r="E505" s="116">
        <v>1425</v>
      </c>
      <c r="F505" s="116">
        <v>1435</v>
      </c>
      <c r="G505">
        <v>5125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45667</v>
      </c>
      <c r="B506" s="116">
        <v>1470</v>
      </c>
      <c r="C506" s="116">
        <v>1462.35</v>
      </c>
      <c r="D506" s="116">
        <v>1380</v>
      </c>
      <c r="E506" s="116">
        <v>1445</v>
      </c>
      <c r="F506" s="116">
        <v>1462.35</v>
      </c>
      <c r="G506">
        <v>9125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45670</v>
      </c>
      <c r="B507" s="116">
        <v>1487.9</v>
      </c>
      <c r="C507" s="116">
        <v>1442</v>
      </c>
      <c r="D507" s="116">
        <v>1389.25</v>
      </c>
      <c r="E507" s="116">
        <v>1435</v>
      </c>
      <c r="F507" s="116">
        <v>1442</v>
      </c>
      <c r="G507">
        <v>12750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45671</v>
      </c>
      <c r="B508" s="116">
        <v>1474</v>
      </c>
      <c r="C508" s="116">
        <v>1463.6</v>
      </c>
      <c r="D508" s="116">
        <v>1386</v>
      </c>
      <c r="E508" s="116">
        <v>1441</v>
      </c>
      <c r="F508" s="116">
        <v>1463.6</v>
      </c>
      <c r="G508">
        <v>5750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45672</v>
      </c>
      <c r="B509" s="116">
        <v>1485</v>
      </c>
      <c r="C509" s="116">
        <v>1469</v>
      </c>
      <c r="D509" s="116">
        <v>1430</v>
      </c>
      <c r="E509" s="116">
        <v>1474.95</v>
      </c>
      <c r="F509" s="116">
        <v>1469</v>
      </c>
      <c r="G509">
        <v>6125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45673</v>
      </c>
      <c r="B510" s="116">
        <v>1503.95</v>
      </c>
      <c r="C510" s="116">
        <v>1434</v>
      </c>
      <c r="D510" s="116">
        <v>1425.5</v>
      </c>
      <c r="E510" s="116">
        <v>1490</v>
      </c>
      <c r="F510" s="116">
        <v>1434</v>
      </c>
      <c r="G510">
        <v>8500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45674</v>
      </c>
      <c r="B511" s="116">
        <v>1435</v>
      </c>
      <c r="C511" s="116">
        <v>1375.8</v>
      </c>
      <c r="D511" s="116">
        <v>1363</v>
      </c>
      <c r="E511" s="116">
        <v>1435</v>
      </c>
      <c r="F511" s="116">
        <v>1375.8</v>
      </c>
      <c r="G511">
        <v>8000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45677</v>
      </c>
      <c r="B512" s="116">
        <v>1444.55</v>
      </c>
      <c r="C512" s="116">
        <v>1444.55</v>
      </c>
      <c r="D512" s="116">
        <v>1369</v>
      </c>
      <c r="E512" s="116">
        <v>1385</v>
      </c>
      <c r="F512" s="116">
        <v>1444.55</v>
      </c>
      <c r="G512">
        <v>6750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45678</v>
      </c>
      <c r="B513" s="116">
        <v>1516.75</v>
      </c>
      <c r="C513" s="116">
        <v>1480.5</v>
      </c>
      <c r="D513" s="116">
        <v>1450</v>
      </c>
      <c r="E513" s="116">
        <v>1507</v>
      </c>
      <c r="F513" s="116">
        <v>1480.5</v>
      </c>
      <c r="G513">
        <v>18250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45679</v>
      </c>
      <c r="B514" s="116">
        <v>1492.4</v>
      </c>
      <c r="C514" s="116">
        <v>1460</v>
      </c>
      <c r="D514" s="116">
        <v>1406.5</v>
      </c>
      <c r="E514" s="116">
        <v>1451</v>
      </c>
      <c r="F514" s="116">
        <v>1460</v>
      </c>
      <c r="G514">
        <v>8375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45680</v>
      </c>
      <c r="B515" s="116">
        <v>1458</v>
      </c>
      <c r="C515" s="116">
        <v>1421.1</v>
      </c>
      <c r="D515" s="116">
        <v>1409</v>
      </c>
      <c r="E515" s="116">
        <v>1458</v>
      </c>
      <c r="F515" s="116">
        <v>1421.1</v>
      </c>
      <c r="G515">
        <v>5750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45681</v>
      </c>
      <c r="B516" s="116">
        <v>1492.15</v>
      </c>
      <c r="C516" s="116">
        <v>1486.75</v>
      </c>
      <c r="D516" s="116">
        <v>1362</v>
      </c>
      <c r="E516" s="116">
        <v>1362</v>
      </c>
      <c r="F516" s="116">
        <v>1486.75</v>
      </c>
      <c r="G516">
        <v>61625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45684</v>
      </c>
      <c r="B517" s="116">
        <v>1490</v>
      </c>
      <c r="C517" s="116">
        <v>1412.45</v>
      </c>
      <c r="D517" s="116">
        <v>1412.45</v>
      </c>
      <c r="E517" s="116">
        <v>1490</v>
      </c>
      <c r="F517" s="116">
        <v>1412.45</v>
      </c>
      <c r="G517">
        <v>23875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45685</v>
      </c>
      <c r="B518" s="116">
        <v>1400</v>
      </c>
      <c r="C518" s="116">
        <v>1341.85</v>
      </c>
      <c r="D518" s="116">
        <v>1341.85</v>
      </c>
      <c r="E518" s="116">
        <v>1341.85</v>
      </c>
      <c r="F518" s="116">
        <v>1341.85</v>
      </c>
      <c r="G518">
        <v>15250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45686</v>
      </c>
      <c r="B519" s="116">
        <v>1400</v>
      </c>
      <c r="C519" s="116">
        <v>1352</v>
      </c>
      <c r="D519" s="116">
        <v>1274.8</v>
      </c>
      <c r="E519" s="116">
        <v>1274.8</v>
      </c>
      <c r="F519" s="116">
        <v>1352</v>
      </c>
      <c r="G519">
        <v>27625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45687</v>
      </c>
      <c r="B520" s="116">
        <v>1352</v>
      </c>
      <c r="C520" s="116">
        <v>1288.45</v>
      </c>
      <c r="D520" s="116">
        <v>1284.4000000000001</v>
      </c>
      <c r="E520" s="116">
        <v>1352</v>
      </c>
      <c r="F520" s="116">
        <v>1288.45</v>
      </c>
      <c r="G520">
        <v>8750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45688</v>
      </c>
      <c r="B521" s="116">
        <v>1270</v>
      </c>
      <c r="C521" s="116">
        <v>1225.7</v>
      </c>
      <c r="D521" s="116">
        <v>1224.05</v>
      </c>
      <c r="E521" s="116">
        <v>1245</v>
      </c>
      <c r="F521" s="116">
        <v>1225.7</v>
      </c>
      <c r="G521">
        <v>21125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45689</v>
      </c>
      <c r="B522" s="116">
        <v>1286.95</v>
      </c>
      <c r="C522" s="116">
        <v>1286.95</v>
      </c>
      <c r="D522" s="116">
        <v>1176.25</v>
      </c>
      <c r="E522" s="116">
        <v>1225</v>
      </c>
      <c r="F522" s="116">
        <v>1286.95</v>
      </c>
      <c r="G522">
        <v>11000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45691</v>
      </c>
      <c r="B523" s="116">
        <v>1351.25</v>
      </c>
      <c r="C523" s="116">
        <v>1338.55</v>
      </c>
      <c r="D523" s="116">
        <v>1299.8</v>
      </c>
      <c r="E523" s="116">
        <v>1351.1</v>
      </c>
      <c r="F523" s="116">
        <v>1338.55</v>
      </c>
      <c r="G523">
        <v>6500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45692</v>
      </c>
      <c r="B524" s="116">
        <v>1405.4</v>
      </c>
      <c r="C524" s="116">
        <v>1398.7</v>
      </c>
      <c r="D524" s="116">
        <v>1325</v>
      </c>
      <c r="E524" s="116">
        <v>1380</v>
      </c>
      <c r="F524" s="116">
        <v>1398.7</v>
      </c>
      <c r="G524">
        <v>10125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45693</v>
      </c>
      <c r="B525" s="116">
        <v>1456.75</v>
      </c>
      <c r="C525" s="116">
        <v>1437.65</v>
      </c>
      <c r="D525" s="116">
        <v>1411</v>
      </c>
      <c r="E525" s="116">
        <v>1456.75</v>
      </c>
      <c r="F525" s="116">
        <v>1437.65</v>
      </c>
      <c r="G525">
        <v>8375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45694</v>
      </c>
      <c r="B526" s="116">
        <v>1435</v>
      </c>
      <c r="C526" s="116">
        <v>1366.55</v>
      </c>
      <c r="D526" s="116">
        <v>1365.8</v>
      </c>
      <c r="E526" s="116">
        <v>1435</v>
      </c>
      <c r="F526" s="116">
        <v>1366.55</v>
      </c>
      <c r="G526">
        <v>11375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45695</v>
      </c>
      <c r="B527" s="116">
        <v>1366.55</v>
      </c>
      <c r="C527" s="116">
        <v>1359</v>
      </c>
      <c r="D527" s="116">
        <v>1313</v>
      </c>
      <c r="E527" s="116">
        <v>1366.55</v>
      </c>
      <c r="F527" s="116">
        <v>1359</v>
      </c>
      <c r="G527">
        <v>4375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45698</v>
      </c>
      <c r="B528" s="116">
        <v>1317.1</v>
      </c>
      <c r="C528" s="116">
        <v>1291.05</v>
      </c>
      <c r="D528" s="116">
        <v>1291.05</v>
      </c>
      <c r="E528" s="116">
        <v>1317</v>
      </c>
      <c r="F528" s="116">
        <v>1291.05</v>
      </c>
      <c r="G528">
        <v>4375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45699</v>
      </c>
      <c r="B529" s="116">
        <v>1227</v>
      </c>
      <c r="C529" s="116">
        <v>1226.5</v>
      </c>
      <c r="D529" s="116">
        <v>1226.5</v>
      </c>
      <c r="E529" s="116">
        <v>1227</v>
      </c>
      <c r="F529" s="116">
        <v>1226.5</v>
      </c>
      <c r="G529">
        <v>5375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45700</v>
      </c>
      <c r="B530" s="116">
        <v>1165.2</v>
      </c>
      <c r="C530" s="116">
        <v>1165.2</v>
      </c>
      <c r="D530" s="116">
        <v>1165.2</v>
      </c>
      <c r="E530" s="116">
        <v>1165.2</v>
      </c>
      <c r="F530" s="116">
        <v>1165.2</v>
      </c>
      <c r="G530">
        <v>7875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45701</v>
      </c>
      <c r="B531" s="116">
        <v>1223.45</v>
      </c>
      <c r="C531" s="116">
        <v>1223.45</v>
      </c>
      <c r="D531" s="116">
        <v>1106.95</v>
      </c>
      <c r="E531" s="116">
        <v>1106.95</v>
      </c>
      <c r="F531" s="116">
        <v>1223.45</v>
      </c>
      <c r="G531">
        <v>19375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45702</v>
      </c>
      <c r="B532" s="116">
        <v>1225</v>
      </c>
      <c r="C532" s="116">
        <v>1162.3</v>
      </c>
      <c r="D532" s="116">
        <v>1162.3</v>
      </c>
      <c r="E532" s="116">
        <v>1223.5999999999999</v>
      </c>
      <c r="F532" s="116">
        <v>1162.3</v>
      </c>
      <c r="G532">
        <v>9375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45705</v>
      </c>
      <c r="B533" s="116">
        <v>1105</v>
      </c>
      <c r="C533" s="116">
        <v>1104.2</v>
      </c>
      <c r="D533" s="116">
        <v>1104.2</v>
      </c>
      <c r="E533" s="116">
        <v>1105</v>
      </c>
      <c r="F533" s="116">
        <v>1104.2</v>
      </c>
      <c r="G533">
        <v>10375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45706</v>
      </c>
      <c r="B534" s="116">
        <v>1049</v>
      </c>
      <c r="C534" s="116">
        <v>1049</v>
      </c>
      <c r="D534" s="116">
        <v>1049</v>
      </c>
      <c r="E534" s="116">
        <v>1049</v>
      </c>
      <c r="F534" s="116">
        <v>1049</v>
      </c>
      <c r="G534">
        <v>6750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45707</v>
      </c>
      <c r="B535" s="116">
        <v>1090</v>
      </c>
      <c r="C535" s="116">
        <v>1029.7</v>
      </c>
      <c r="D535" s="116">
        <v>996.55</v>
      </c>
      <c r="E535" s="116">
        <v>998</v>
      </c>
      <c r="F535" s="116">
        <v>1029.7</v>
      </c>
      <c r="G535">
        <v>27250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45708</v>
      </c>
      <c r="B536" s="116">
        <v>1081.1500000000001</v>
      </c>
      <c r="C536" s="116">
        <v>1078.4000000000001</v>
      </c>
      <c r="D536" s="116">
        <v>980.1</v>
      </c>
      <c r="E536" s="116">
        <v>1024.95</v>
      </c>
      <c r="F536" s="116">
        <v>1078.4000000000001</v>
      </c>
      <c r="G536">
        <v>19000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45709</v>
      </c>
      <c r="B537" s="116">
        <v>1129</v>
      </c>
      <c r="C537" s="116">
        <v>1106.5</v>
      </c>
      <c r="D537" s="116">
        <v>1050.0999999999999</v>
      </c>
      <c r="E537" s="116">
        <v>1069.7</v>
      </c>
      <c r="F537" s="116">
        <v>1106.5</v>
      </c>
      <c r="G537">
        <v>10625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45712</v>
      </c>
      <c r="B538" s="116">
        <v>1075</v>
      </c>
      <c r="C538" s="116">
        <v>1051.6500000000001</v>
      </c>
      <c r="D538" s="116">
        <v>1051.2</v>
      </c>
      <c r="E538" s="116">
        <v>1060</v>
      </c>
      <c r="F538" s="116">
        <v>1051.6500000000001</v>
      </c>
      <c r="G538">
        <v>8000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45713</v>
      </c>
      <c r="B539" s="116">
        <v>1057</v>
      </c>
      <c r="C539" s="116">
        <v>1005.25</v>
      </c>
      <c r="D539" s="116">
        <v>999.1</v>
      </c>
      <c r="E539" s="116">
        <v>1048.9000000000001</v>
      </c>
      <c r="F539" s="116">
        <v>1005.25</v>
      </c>
      <c r="G539">
        <v>11500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45715</v>
      </c>
      <c r="B540" s="116">
        <v>1028.5</v>
      </c>
      <c r="C540" s="116">
        <v>955</v>
      </c>
      <c r="D540" s="116">
        <v>955</v>
      </c>
      <c r="E540" s="116">
        <v>963.1</v>
      </c>
      <c r="F540" s="116">
        <v>955</v>
      </c>
      <c r="G540">
        <v>14750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45716</v>
      </c>
      <c r="B541" s="116">
        <v>909</v>
      </c>
      <c r="C541" s="116">
        <v>907.25</v>
      </c>
      <c r="D541" s="116">
        <v>907.25</v>
      </c>
      <c r="E541" s="116">
        <v>907.25</v>
      </c>
      <c r="F541" s="116">
        <v>907.25</v>
      </c>
      <c r="G541">
        <v>22250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45719</v>
      </c>
      <c r="B542" s="116">
        <v>925</v>
      </c>
      <c r="C542" s="116">
        <v>885.65</v>
      </c>
      <c r="D542" s="116">
        <v>861.9</v>
      </c>
      <c r="E542" s="116">
        <v>875</v>
      </c>
      <c r="F542" s="116">
        <v>885.65</v>
      </c>
      <c r="G542">
        <v>24625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45720</v>
      </c>
      <c r="B543" s="116">
        <v>929.9</v>
      </c>
      <c r="C543" s="116">
        <v>906.65</v>
      </c>
      <c r="D543" s="116">
        <v>849</v>
      </c>
      <c r="E543" s="116">
        <v>855</v>
      </c>
      <c r="F543" s="116">
        <v>906.65</v>
      </c>
      <c r="G543">
        <v>18750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45721</v>
      </c>
      <c r="B544" s="116">
        <v>951.95</v>
      </c>
      <c r="C544" s="116">
        <v>951.95</v>
      </c>
      <c r="D544" s="116">
        <v>902.15</v>
      </c>
      <c r="E544" s="116">
        <v>902.15</v>
      </c>
      <c r="F544" s="116">
        <v>951.95</v>
      </c>
      <c r="G544">
        <v>7875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45722</v>
      </c>
      <c r="B545" s="116">
        <v>999.5</v>
      </c>
      <c r="C545" s="116">
        <v>999.5</v>
      </c>
      <c r="D545" s="116">
        <v>999.5</v>
      </c>
      <c r="E545" s="116">
        <v>999.5</v>
      </c>
      <c r="F545" s="116">
        <v>999.5</v>
      </c>
      <c r="G545">
        <v>1875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45723</v>
      </c>
      <c r="B546" s="116">
        <v>1049.45</v>
      </c>
      <c r="C546" s="116">
        <v>1049.45</v>
      </c>
      <c r="D546" s="116">
        <v>1040</v>
      </c>
      <c r="E546" s="116">
        <v>1048.4000000000001</v>
      </c>
      <c r="F546" s="116">
        <v>1049.45</v>
      </c>
      <c r="G546">
        <v>11375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45726</v>
      </c>
      <c r="B547" s="116">
        <v>1101.9000000000001</v>
      </c>
      <c r="C547" s="116">
        <v>1071.6500000000001</v>
      </c>
      <c r="D547" s="116">
        <v>1049.45</v>
      </c>
      <c r="E547" s="116">
        <v>1101.9000000000001</v>
      </c>
      <c r="F547" s="116">
        <v>1071.6500000000001</v>
      </c>
      <c r="G547">
        <v>22250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45727</v>
      </c>
      <c r="B548" s="116">
        <v>1119.95</v>
      </c>
      <c r="C548" s="116">
        <v>1101.75</v>
      </c>
      <c r="D548" s="116">
        <v>1018.55</v>
      </c>
      <c r="E548" s="116">
        <v>1018.55</v>
      </c>
      <c r="F548" s="116">
        <v>1101.75</v>
      </c>
      <c r="G548">
        <v>6875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45728</v>
      </c>
      <c r="B549" s="116">
        <v>1130</v>
      </c>
      <c r="C549" s="116">
        <v>1066.4000000000001</v>
      </c>
      <c r="D549" s="116">
        <v>1062</v>
      </c>
      <c r="E549" s="116">
        <v>1095</v>
      </c>
      <c r="F549" s="116">
        <v>1066.4000000000001</v>
      </c>
      <c r="G549">
        <v>7000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45729</v>
      </c>
      <c r="B550" s="116">
        <v>1103</v>
      </c>
      <c r="C550" s="116">
        <v>1076</v>
      </c>
      <c r="D550" s="116">
        <v>1066.5</v>
      </c>
      <c r="E550" s="116">
        <v>1066.5</v>
      </c>
      <c r="F550" s="116">
        <v>1076</v>
      </c>
      <c r="G550">
        <v>3750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45733</v>
      </c>
      <c r="B551" s="116">
        <v>1086.8</v>
      </c>
      <c r="C551" s="116">
        <v>1022.2</v>
      </c>
      <c r="D551" s="116">
        <v>1022.2</v>
      </c>
      <c r="E551" s="116">
        <v>1081.4000000000001</v>
      </c>
      <c r="F551" s="116">
        <v>1022.2</v>
      </c>
      <c r="G551">
        <v>6000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45734</v>
      </c>
      <c r="B552" s="116">
        <v>1073.3</v>
      </c>
      <c r="C552" s="116">
        <v>1073.3</v>
      </c>
      <c r="D552" s="116">
        <v>971.1</v>
      </c>
      <c r="E552" s="116">
        <v>971.1</v>
      </c>
      <c r="F552" s="116">
        <v>1073.3</v>
      </c>
      <c r="G552">
        <v>7250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45735</v>
      </c>
      <c r="B553" s="116">
        <v>1124.7</v>
      </c>
      <c r="C553" s="116">
        <v>1101.3499999999999</v>
      </c>
      <c r="D553" s="116">
        <v>1073.3</v>
      </c>
      <c r="E553" s="116">
        <v>1073.3</v>
      </c>
      <c r="F553" s="116">
        <v>1101.3499999999999</v>
      </c>
      <c r="G553">
        <v>7375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45736</v>
      </c>
      <c r="B554" s="116">
        <v>1115</v>
      </c>
      <c r="C554" s="116">
        <v>1050.5999999999999</v>
      </c>
      <c r="D554" s="116">
        <v>1046.3499999999999</v>
      </c>
      <c r="E554" s="116">
        <v>1110</v>
      </c>
      <c r="F554" s="116">
        <v>1050.5999999999999</v>
      </c>
      <c r="G554">
        <v>8500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45737</v>
      </c>
      <c r="B555" s="116">
        <v>1060</v>
      </c>
      <c r="C555" s="116">
        <v>1057.8</v>
      </c>
      <c r="D555" s="116">
        <v>1011</v>
      </c>
      <c r="E555" s="116">
        <v>1011</v>
      </c>
      <c r="F555" s="116">
        <v>1057.8</v>
      </c>
      <c r="G555">
        <v>9125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45740</v>
      </c>
      <c r="B556" s="116">
        <v>1061</v>
      </c>
      <c r="C556" s="116">
        <v>1038.75</v>
      </c>
      <c r="D556" s="116">
        <v>1030</v>
      </c>
      <c r="E556" s="116">
        <v>1058</v>
      </c>
      <c r="F556" s="116">
        <v>1038.75</v>
      </c>
      <c r="G556">
        <v>7500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45741</v>
      </c>
      <c r="B557" s="116">
        <v>1069.7</v>
      </c>
      <c r="C557" s="116">
        <v>1028.4000000000001</v>
      </c>
      <c r="D557" s="116">
        <v>1021</v>
      </c>
      <c r="E557" s="116">
        <v>1038.75</v>
      </c>
      <c r="F557" s="116">
        <v>1028.4000000000001</v>
      </c>
      <c r="G557">
        <v>5125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45742</v>
      </c>
      <c r="B558" s="116">
        <v>1024</v>
      </c>
      <c r="C558" s="116">
        <v>995.7</v>
      </c>
      <c r="D558" s="116">
        <v>990</v>
      </c>
      <c r="E558" s="116">
        <v>1001</v>
      </c>
      <c r="F558" s="116">
        <v>995.7</v>
      </c>
      <c r="G558">
        <v>8500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45743</v>
      </c>
      <c r="B559" s="116">
        <v>1011</v>
      </c>
      <c r="C559" s="116">
        <v>974.15</v>
      </c>
      <c r="D559" s="116">
        <v>970</v>
      </c>
      <c r="E559" s="116">
        <v>1010</v>
      </c>
      <c r="F559" s="116">
        <v>974.15</v>
      </c>
      <c r="G559">
        <v>11500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45744</v>
      </c>
      <c r="B560" s="116">
        <v>994</v>
      </c>
      <c r="C560" s="116">
        <v>925.45</v>
      </c>
      <c r="D560" s="116">
        <v>925.45</v>
      </c>
      <c r="E560" s="116">
        <v>976.25</v>
      </c>
      <c r="F560" s="116">
        <v>925.45</v>
      </c>
      <c r="G560">
        <v>43875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45748</v>
      </c>
      <c r="B561" s="116">
        <v>925.4</v>
      </c>
      <c r="C561" s="116">
        <v>914.1</v>
      </c>
      <c r="D561" s="116">
        <v>879.2</v>
      </c>
      <c r="E561" s="116">
        <v>879.2</v>
      </c>
      <c r="F561" s="116">
        <v>914.1</v>
      </c>
      <c r="G561">
        <v>32750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45749</v>
      </c>
      <c r="B562" s="116">
        <v>959.8</v>
      </c>
      <c r="C562" s="116">
        <v>959.8</v>
      </c>
      <c r="D562" s="116">
        <v>906</v>
      </c>
      <c r="E562" s="116">
        <v>913.75</v>
      </c>
      <c r="F562" s="116">
        <v>959.8</v>
      </c>
      <c r="G562">
        <v>14000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45750</v>
      </c>
      <c r="B563" s="116">
        <v>1007.75</v>
      </c>
      <c r="C563" s="116">
        <v>1007.75</v>
      </c>
      <c r="D563" s="116">
        <v>978</v>
      </c>
      <c r="E563" s="116">
        <v>978</v>
      </c>
      <c r="F563" s="116">
        <v>1007.75</v>
      </c>
      <c r="G563">
        <v>16750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45751</v>
      </c>
      <c r="B564" s="116">
        <v>1035</v>
      </c>
      <c r="C564" s="116">
        <v>1000.85</v>
      </c>
      <c r="D564" s="116">
        <v>985.05</v>
      </c>
      <c r="E564" s="116">
        <v>1034.8</v>
      </c>
      <c r="F564" s="116">
        <v>1000.85</v>
      </c>
      <c r="G564">
        <v>19000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45754</v>
      </c>
      <c r="B565" s="116">
        <v>943.9</v>
      </c>
      <c r="C565" s="116">
        <v>916</v>
      </c>
      <c r="D565" s="116">
        <v>900.8</v>
      </c>
      <c r="E565" s="116">
        <v>901</v>
      </c>
      <c r="F565" s="116">
        <v>916</v>
      </c>
      <c r="G565">
        <v>44250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45755</v>
      </c>
      <c r="B566" s="116">
        <v>984</v>
      </c>
      <c r="C566" s="116">
        <v>973.3</v>
      </c>
      <c r="D566" s="116">
        <v>940</v>
      </c>
      <c r="E566" s="116">
        <v>969.95</v>
      </c>
      <c r="F566" s="116">
        <v>973.3</v>
      </c>
      <c r="G566">
        <v>7500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45756</v>
      </c>
      <c r="B567" s="116">
        <v>982</v>
      </c>
      <c r="C567" s="116">
        <v>969.7</v>
      </c>
      <c r="D567" s="116">
        <v>940</v>
      </c>
      <c r="E567" s="116">
        <v>960</v>
      </c>
      <c r="F567" s="116">
        <v>969.7</v>
      </c>
      <c r="G567">
        <v>6375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45758</v>
      </c>
      <c r="B568" s="116">
        <v>1039.95</v>
      </c>
      <c r="C568" s="116">
        <v>1002.05</v>
      </c>
      <c r="D568" s="116">
        <v>1001.35</v>
      </c>
      <c r="E568" s="116">
        <v>1039.95</v>
      </c>
      <c r="F568" s="116">
        <v>1002.05</v>
      </c>
      <c r="G568">
        <v>12750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45762</v>
      </c>
      <c r="B569" s="116">
        <v>1045.5</v>
      </c>
      <c r="C569" s="116">
        <v>1018.4</v>
      </c>
      <c r="D569" s="116">
        <v>1002.05</v>
      </c>
      <c r="E569" s="116">
        <v>1002.05</v>
      </c>
      <c r="F569" s="116">
        <v>1018.4</v>
      </c>
      <c r="G569">
        <v>11625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45763</v>
      </c>
      <c r="B570" s="116">
        <v>1048.95</v>
      </c>
      <c r="C570" s="116">
        <v>1018.1</v>
      </c>
      <c r="D570" s="116">
        <v>1006</v>
      </c>
      <c r="E570" s="116">
        <v>1048.95</v>
      </c>
      <c r="F570" s="116">
        <v>1018.1</v>
      </c>
      <c r="G570">
        <v>10000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45764</v>
      </c>
      <c r="B571" s="116">
        <v>1020</v>
      </c>
      <c r="C571" s="116">
        <v>1004.45</v>
      </c>
      <c r="D571" s="116">
        <v>990.5</v>
      </c>
      <c r="E571" s="116">
        <v>1007</v>
      </c>
      <c r="F571" s="116">
        <v>1004.45</v>
      </c>
      <c r="G571">
        <v>16375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45768</v>
      </c>
      <c r="B572" s="116">
        <v>1104.8499999999999</v>
      </c>
      <c r="C572" s="116">
        <v>1099.55</v>
      </c>
      <c r="D572" s="116">
        <v>1005.5</v>
      </c>
      <c r="E572" s="116">
        <v>1005.5</v>
      </c>
      <c r="F572" s="116">
        <v>1099.55</v>
      </c>
      <c r="G572">
        <v>29375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45769</v>
      </c>
      <c r="B573" s="116">
        <v>1095</v>
      </c>
      <c r="C573" s="116">
        <v>1045.05</v>
      </c>
      <c r="D573" s="116">
        <v>1036</v>
      </c>
      <c r="E573" s="116">
        <v>1036</v>
      </c>
      <c r="F573" s="116">
        <v>1045.05</v>
      </c>
      <c r="G573">
        <v>15375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45770</v>
      </c>
      <c r="B574" s="116">
        <v>1071</v>
      </c>
      <c r="C574" s="116">
        <v>1030.8</v>
      </c>
      <c r="D574" s="116">
        <v>1014</v>
      </c>
      <c r="E574" s="116">
        <v>1047</v>
      </c>
      <c r="F574" s="116">
        <v>1030.8</v>
      </c>
      <c r="G574">
        <v>10250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45771</v>
      </c>
      <c r="B575" s="116">
        <v>1070</v>
      </c>
      <c r="C575" s="116">
        <v>1054.95</v>
      </c>
      <c r="D575" s="116">
        <v>1029</v>
      </c>
      <c r="E575" s="116">
        <v>1029</v>
      </c>
      <c r="F575" s="116">
        <v>1054.95</v>
      </c>
      <c r="G575">
        <v>8875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45772</v>
      </c>
      <c r="B576" s="116">
        <v>1050.05</v>
      </c>
      <c r="C576" s="116">
        <v>1026.7</v>
      </c>
      <c r="D576" s="116">
        <v>999.05</v>
      </c>
      <c r="E576" s="116">
        <v>1046</v>
      </c>
      <c r="F576" s="116">
        <v>1026.7</v>
      </c>
      <c r="G576">
        <v>10875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45775</v>
      </c>
      <c r="B577" s="116">
        <v>1041</v>
      </c>
      <c r="C577" s="116">
        <v>1012.5</v>
      </c>
      <c r="D577" s="116">
        <v>1012.5</v>
      </c>
      <c r="E577" s="116">
        <v>1015</v>
      </c>
      <c r="F577" s="116">
        <v>1012.5</v>
      </c>
      <c r="G577">
        <v>3750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45776</v>
      </c>
      <c r="B578" s="116">
        <v>1044</v>
      </c>
      <c r="C578" s="116">
        <v>1021.4</v>
      </c>
      <c r="D578" s="116">
        <v>1013.55</v>
      </c>
      <c r="E578" s="116">
        <v>1039.95</v>
      </c>
      <c r="F578" s="116">
        <v>1021.4</v>
      </c>
      <c r="G578">
        <v>8125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45777</v>
      </c>
      <c r="B579" s="116">
        <v>1021.4</v>
      </c>
      <c r="C579" s="116">
        <v>1008.75</v>
      </c>
      <c r="D579" s="116">
        <v>1006.25</v>
      </c>
      <c r="E579" s="116">
        <v>1021.4</v>
      </c>
      <c r="F579" s="116">
        <v>1008.75</v>
      </c>
      <c r="G579">
        <v>7125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45779</v>
      </c>
      <c r="B580" s="116">
        <v>1066.3</v>
      </c>
      <c r="C580" s="116">
        <v>1039.7</v>
      </c>
      <c r="D580" s="116">
        <v>1005</v>
      </c>
      <c r="E580" s="116">
        <v>1005</v>
      </c>
      <c r="F580" s="116">
        <v>1039.7</v>
      </c>
      <c r="G580">
        <v>8375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45782</v>
      </c>
      <c r="B581" s="116">
        <v>1055</v>
      </c>
      <c r="C581" s="116">
        <v>1044.9000000000001</v>
      </c>
      <c r="D581" s="116">
        <v>1026</v>
      </c>
      <c r="E581" s="116">
        <v>1044</v>
      </c>
      <c r="F581" s="116">
        <v>1044.9000000000001</v>
      </c>
      <c r="G581">
        <v>7625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45783</v>
      </c>
      <c r="B582" s="116">
        <v>1043.95</v>
      </c>
      <c r="C582" s="116">
        <v>1018.3</v>
      </c>
      <c r="D582" s="116">
        <v>1015.15</v>
      </c>
      <c r="E582" s="116">
        <v>1043.95</v>
      </c>
      <c r="F582" s="116">
        <v>1018.3</v>
      </c>
      <c r="G582">
        <v>11250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45784</v>
      </c>
      <c r="B583" s="116">
        <v>1071</v>
      </c>
      <c r="C583" s="116">
        <v>1051.9000000000001</v>
      </c>
      <c r="D583" s="116">
        <v>999</v>
      </c>
      <c r="E583" s="116">
        <v>999</v>
      </c>
      <c r="F583" s="116">
        <v>1051.9000000000001</v>
      </c>
      <c r="G583">
        <v>8875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45785</v>
      </c>
      <c r="B584" s="116">
        <v>1069</v>
      </c>
      <c r="C584" s="116">
        <v>1032.5</v>
      </c>
      <c r="D584" s="116">
        <v>1030.0999999999999</v>
      </c>
      <c r="E584" s="116">
        <v>1036.05</v>
      </c>
      <c r="F584" s="116">
        <v>1032.5</v>
      </c>
      <c r="G584">
        <v>15250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45786</v>
      </c>
      <c r="B585" s="116">
        <v>1078.95</v>
      </c>
      <c r="C585" s="116">
        <v>1048.7</v>
      </c>
      <c r="D585" s="116">
        <v>1025</v>
      </c>
      <c r="E585" s="116">
        <v>1025</v>
      </c>
      <c r="F585" s="116">
        <v>1048.7</v>
      </c>
      <c r="G585">
        <v>13500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45789</v>
      </c>
      <c r="B586" s="116">
        <v>1030</v>
      </c>
      <c r="C586" s="116">
        <v>945.1</v>
      </c>
      <c r="D586" s="116">
        <v>943.85</v>
      </c>
      <c r="E586" s="116">
        <v>1030</v>
      </c>
      <c r="F586" s="116">
        <v>945.1</v>
      </c>
      <c r="G586">
        <v>82000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45790</v>
      </c>
      <c r="B587" s="116">
        <v>965</v>
      </c>
      <c r="C587" s="116">
        <v>948.25</v>
      </c>
      <c r="D587" s="116">
        <v>907</v>
      </c>
      <c r="E587" s="116">
        <v>950</v>
      </c>
      <c r="F587" s="116">
        <v>948.25</v>
      </c>
      <c r="G587">
        <v>42125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45791</v>
      </c>
      <c r="B588" s="116">
        <v>975</v>
      </c>
      <c r="C588" s="116">
        <v>930</v>
      </c>
      <c r="D588" s="116">
        <v>918.2</v>
      </c>
      <c r="E588" s="116">
        <v>946</v>
      </c>
      <c r="F588" s="116">
        <v>930</v>
      </c>
      <c r="G588">
        <v>22000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45792</v>
      </c>
      <c r="B589" s="116">
        <v>943.4</v>
      </c>
      <c r="C589" s="116">
        <v>936.45</v>
      </c>
      <c r="D589" s="116">
        <v>927.05</v>
      </c>
      <c r="E589" s="116">
        <v>930</v>
      </c>
      <c r="F589" s="116">
        <v>936.45</v>
      </c>
      <c r="G589">
        <v>11125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45793</v>
      </c>
      <c r="B590" s="116">
        <v>941.8</v>
      </c>
      <c r="C590" s="116">
        <v>907.45</v>
      </c>
      <c r="D590" s="116">
        <v>902</v>
      </c>
      <c r="E590" s="116">
        <v>941.8</v>
      </c>
      <c r="F590" s="116">
        <v>907.45</v>
      </c>
      <c r="G590">
        <v>19625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45796</v>
      </c>
      <c r="B591" s="116">
        <v>944</v>
      </c>
      <c r="C591" s="116">
        <v>938.6</v>
      </c>
      <c r="D591" s="116">
        <v>900</v>
      </c>
      <c r="E591" s="116">
        <v>918.95</v>
      </c>
      <c r="F591" s="116">
        <v>938.6</v>
      </c>
      <c r="G591">
        <v>12750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45797</v>
      </c>
      <c r="B592" s="116">
        <v>944</v>
      </c>
      <c r="C592" s="116">
        <v>924.85</v>
      </c>
      <c r="D592" s="116">
        <v>918</v>
      </c>
      <c r="E592" s="116">
        <v>944</v>
      </c>
      <c r="F592" s="116">
        <v>924.85</v>
      </c>
      <c r="G592">
        <v>8375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45798</v>
      </c>
      <c r="B593" s="116">
        <v>937.95</v>
      </c>
      <c r="C593" s="116">
        <v>922.25</v>
      </c>
      <c r="D593" s="116">
        <v>916</v>
      </c>
      <c r="E593" s="116">
        <v>932.9</v>
      </c>
      <c r="F593" s="116">
        <v>922.25</v>
      </c>
      <c r="G593">
        <v>5125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45799</v>
      </c>
      <c r="B594" s="116">
        <v>925.6</v>
      </c>
      <c r="C594" s="116">
        <v>905.65</v>
      </c>
      <c r="D594" s="116">
        <v>868</v>
      </c>
      <c r="E594" s="116">
        <v>925.6</v>
      </c>
      <c r="F594" s="116">
        <v>905.65</v>
      </c>
      <c r="G594">
        <v>20125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45800</v>
      </c>
      <c r="B595" s="116">
        <v>915.6</v>
      </c>
      <c r="C595" s="116">
        <v>895.65</v>
      </c>
      <c r="D595" s="116">
        <v>892</v>
      </c>
      <c r="E595" s="116">
        <v>915.6</v>
      </c>
      <c r="F595" s="116">
        <v>895.65</v>
      </c>
      <c r="G595">
        <v>9000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45803</v>
      </c>
      <c r="B596" s="116">
        <v>904.5</v>
      </c>
      <c r="C596" s="116">
        <v>878.95</v>
      </c>
      <c r="D596" s="116">
        <v>872</v>
      </c>
      <c r="E596" s="116">
        <v>899.5</v>
      </c>
      <c r="F596" s="116">
        <v>878.95</v>
      </c>
      <c r="G596">
        <v>12250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45804</v>
      </c>
      <c r="B597" s="116">
        <v>886.9</v>
      </c>
      <c r="C597" s="116">
        <v>864.95</v>
      </c>
      <c r="D597" s="116">
        <v>856.1</v>
      </c>
      <c r="E597" s="116">
        <v>872.05</v>
      </c>
      <c r="F597" s="116">
        <v>864.95</v>
      </c>
      <c r="G597">
        <v>18750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45805</v>
      </c>
      <c r="B598" s="116">
        <v>872</v>
      </c>
      <c r="C598" s="116">
        <v>849.55</v>
      </c>
      <c r="D598" s="116">
        <v>839</v>
      </c>
      <c r="E598" s="116">
        <v>865.55</v>
      </c>
      <c r="F598" s="116">
        <v>849.55</v>
      </c>
      <c r="G598">
        <v>21125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45806</v>
      </c>
      <c r="B599" s="116">
        <v>872</v>
      </c>
      <c r="C599" s="116">
        <v>842.75</v>
      </c>
      <c r="D599" s="116">
        <v>833</v>
      </c>
      <c r="E599" s="116">
        <v>856</v>
      </c>
      <c r="F599" s="116">
        <v>842.75</v>
      </c>
      <c r="G599">
        <v>14375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45807</v>
      </c>
      <c r="B600" s="116">
        <v>910</v>
      </c>
      <c r="C600" s="116">
        <v>893.1</v>
      </c>
      <c r="D600" s="116">
        <v>844.45</v>
      </c>
      <c r="E600" s="116">
        <v>849</v>
      </c>
      <c r="F600" s="116">
        <v>893.1</v>
      </c>
      <c r="G600">
        <v>10375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45810</v>
      </c>
      <c r="B601" s="116">
        <v>909.75</v>
      </c>
      <c r="C601" s="116">
        <v>899.3</v>
      </c>
      <c r="D601" s="116">
        <v>882</v>
      </c>
      <c r="E601" s="116">
        <v>882</v>
      </c>
      <c r="F601" s="116">
        <v>899.3</v>
      </c>
      <c r="G601">
        <v>10375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45811</v>
      </c>
      <c r="B602" s="116">
        <v>929.95</v>
      </c>
      <c r="C602" s="116">
        <v>925.5</v>
      </c>
      <c r="D602" s="116">
        <v>900</v>
      </c>
      <c r="E602" s="116">
        <v>900</v>
      </c>
      <c r="F602" s="116">
        <v>925.5</v>
      </c>
      <c r="G602">
        <v>9875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45812</v>
      </c>
      <c r="B603" s="116">
        <v>925.6</v>
      </c>
      <c r="C603" s="116">
        <v>910.45</v>
      </c>
      <c r="D603" s="116">
        <v>907</v>
      </c>
      <c r="E603" s="116">
        <v>925.6</v>
      </c>
      <c r="F603" s="116">
        <v>910.45</v>
      </c>
      <c r="G603">
        <v>2750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45813</v>
      </c>
      <c r="B604" s="116">
        <v>907</v>
      </c>
      <c r="C604" s="116">
        <v>901.5</v>
      </c>
      <c r="D604" s="116">
        <v>890</v>
      </c>
      <c r="E604" s="116">
        <v>907</v>
      </c>
      <c r="F604" s="116">
        <v>901.5</v>
      </c>
      <c r="G604">
        <v>10375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45814</v>
      </c>
      <c r="B605" s="116">
        <v>915</v>
      </c>
      <c r="C605" s="116">
        <v>912.45</v>
      </c>
      <c r="D605" s="116">
        <v>890.2</v>
      </c>
      <c r="E605" s="116">
        <v>890.2</v>
      </c>
      <c r="F605" s="116">
        <v>912.45</v>
      </c>
      <c r="G605">
        <v>4500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45817</v>
      </c>
      <c r="B606" s="116">
        <v>934</v>
      </c>
      <c r="C606" s="116">
        <v>926.45</v>
      </c>
      <c r="D606" s="116">
        <v>908</v>
      </c>
      <c r="E606" s="116">
        <v>908</v>
      </c>
      <c r="F606" s="116">
        <v>926.45</v>
      </c>
      <c r="G606">
        <v>23000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45818</v>
      </c>
      <c r="B607" s="116">
        <v>942</v>
      </c>
      <c r="C607" s="116">
        <v>934.9</v>
      </c>
      <c r="D607" s="116">
        <v>927</v>
      </c>
      <c r="E607" s="116">
        <v>928</v>
      </c>
      <c r="F607" s="116">
        <v>934.9</v>
      </c>
      <c r="G607">
        <v>7375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45819</v>
      </c>
      <c r="B608" s="116">
        <v>954</v>
      </c>
      <c r="C608" s="116">
        <v>931.5</v>
      </c>
      <c r="D608" s="116">
        <v>921</v>
      </c>
      <c r="E608" s="116">
        <v>933</v>
      </c>
      <c r="F608" s="116">
        <v>931.5</v>
      </c>
      <c r="G608">
        <v>12000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45820</v>
      </c>
      <c r="B609" s="116">
        <v>948.95</v>
      </c>
      <c r="C609" s="116">
        <v>903.15</v>
      </c>
      <c r="D609" s="116">
        <v>890</v>
      </c>
      <c r="E609" s="116">
        <v>948.95</v>
      </c>
      <c r="F609" s="116">
        <v>903.15</v>
      </c>
      <c r="G609">
        <v>16000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45821</v>
      </c>
      <c r="B610" s="116">
        <v>909</v>
      </c>
      <c r="C610" s="116">
        <v>905.5</v>
      </c>
      <c r="D610" s="116">
        <v>880</v>
      </c>
      <c r="E610" s="116">
        <v>880</v>
      </c>
      <c r="F610" s="116">
        <v>905.5</v>
      </c>
      <c r="G610">
        <v>7000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45824</v>
      </c>
      <c r="B611" s="116">
        <v>915</v>
      </c>
      <c r="C611" s="116">
        <v>902.8</v>
      </c>
      <c r="D611" s="116">
        <v>891</v>
      </c>
      <c r="E611" s="116">
        <v>898</v>
      </c>
      <c r="F611" s="116">
        <v>902.8</v>
      </c>
      <c r="G611">
        <v>10000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45825</v>
      </c>
      <c r="B612" s="116">
        <v>915.55</v>
      </c>
      <c r="C612" s="116">
        <v>888.2</v>
      </c>
      <c r="D612" s="116">
        <v>885</v>
      </c>
      <c r="E612" s="116">
        <v>915.55</v>
      </c>
      <c r="F612" s="116">
        <v>888.2</v>
      </c>
      <c r="G612">
        <v>5750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45826</v>
      </c>
      <c r="B613" s="116">
        <v>915</v>
      </c>
      <c r="C613" s="116">
        <v>903.3</v>
      </c>
      <c r="D613" s="116">
        <v>881</v>
      </c>
      <c r="E613" s="116">
        <v>881</v>
      </c>
      <c r="F613" s="116">
        <v>903.3</v>
      </c>
      <c r="G613">
        <v>9500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45827</v>
      </c>
      <c r="B614" s="116">
        <v>900</v>
      </c>
      <c r="C614" s="116">
        <v>888.5</v>
      </c>
      <c r="D614" s="116">
        <v>876</v>
      </c>
      <c r="E614" s="116">
        <v>900</v>
      </c>
      <c r="F614" s="116">
        <v>888.5</v>
      </c>
      <c r="G614">
        <v>5500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45828</v>
      </c>
      <c r="B615" s="116">
        <v>894</v>
      </c>
      <c r="C615" s="116">
        <v>876.6</v>
      </c>
      <c r="D615" s="116">
        <v>875</v>
      </c>
      <c r="E615" s="116">
        <v>886</v>
      </c>
      <c r="F615" s="116">
        <v>876.6</v>
      </c>
      <c r="G615">
        <v>10750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45831</v>
      </c>
      <c r="B616" s="116">
        <v>887</v>
      </c>
      <c r="C616" s="116">
        <v>876.65</v>
      </c>
      <c r="D616" s="116">
        <v>871.15</v>
      </c>
      <c r="E616" s="116">
        <v>876.6</v>
      </c>
      <c r="F616" s="116">
        <v>876.65</v>
      </c>
      <c r="G616">
        <v>5000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45832</v>
      </c>
      <c r="B617" s="116">
        <v>902</v>
      </c>
      <c r="C617" s="116">
        <v>867</v>
      </c>
      <c r="D617" s="116">
        <v>860</v>
      </c>
      <c r="E617" s="116">
        <v>893</v>
      </c>
      <c r="F617" s="116">
        <v>867</v>
      </c>
      <c r="G617">
        <v>7500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45833</v>
      </c>
      <c r="B618" s="116">
        <v>873</v>
      </c>
      <c r="C618" s="116">
        <v>867.35</v>
      </c>
      <c r="D618" s="116">
        <v>863.05</v>
      </c>
      <c r="E618" s="116">
        <v>868</v>
      </c>
      <c r="F618" s="116">
        <v>867.35</v>
      </c>
      <c r="G618">
        <v>9000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45834</v>
      </c>
      <c r="B619" s="116">
        <v>889</v>
      </c>
      <c r="C619" s="116">
        <v>870.2</v>
      </c>
      <c r="D619" s="116">
        <v>868.05</v>
      </c>
      <c r="E619" s="116">
        <v>877.9</v>
      </c>
      <c r="F619" s="116">
        <v>870.2</v>
      </c>
      <c r="G619">
        <v>6250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45835</v>
      </c>
      <c r="B620" s="116">
        <v>870</v>
      </c>
      <c r="C620" s="116">
        <v>865.5</v>
      </c>
      <c r="D620" s="116">
        <v>857</v>
      </c>
      <c r="E620" s="116">
        <v>870</v>
      </c>
      <c r="F620" s="116">
        <v>865.5</v>
      </c>
      <c r="G620">
        <v>16375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45838</v>
      </c>
      <c r="B621" s="116">
        <v>880</v>
      </c>
      <c r="C621" s="116">
        <v>865.6</v>
      </c>
      <c r="D621" s="116">
        <v>863.1</v>
      </c>
      <c r="E621" s="116">
        <v>870</v>
      </c>
      <c r="F621" s="116">
        <v>865.6</v>
      </c>
      <c r="G621">
        <v>7000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45839</v>
      </c>
      <c r="B622" s="116">
        <v>897.95</v>
      </c>
      <c r="C622" s="116">
        <v>880</v>
      </c>
      <c r="D622" s="116">
        <v>867</v>
      </c>
      <c r="E622" s="116">
        <v>868</v>
      </c>
      <c r="F622" s="116">
        <v>880</v>
      </c>
      <c r="G622">
        <v>7000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45840</v>
      </c>
      <c r="B623" s="116">
        <v>918.95</v>
      </c>
      <c r="C623" s="116">
        <v>887.7</v>
      </c>
      <c r="D623" s="116">
        <v>885</v>
      </c>
      <c r="E623" s="116">
        <v>886</v>
      </c>
      <c r="F623" s="116">
        <v>887.7</v>
      </c>
      <c r="G623">
        <v>18750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45841</v>
      </c>
      <c r="B624" s="116">
        <v>896</v>
      </c>
      <c r="C624" s="116">
        <v>892.25</v>
      </c>
      <c r="D624" s="116">
        <v>881.3</v>
      </c>
      <c r="E624" s="116">
        <v>881.3</v>
      </c>
      <c r="F624" s="116">
        <v>892.25</v>
      </c>
      <c r="G624">
        <v>3000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45842</v>
      </c>
      <c r="B625" s="116">
        <v>899.9</v>
      </c>
      <c r="C625" s="116">
        <v>897.35</v>
      </c>
      <c r="D625" s="116">
        <v>882</v>
      </c>
      <c r="E625" s="116">
        <v>892</v>
      </c>
      <c r="F625" s="116">
        <v>897.35</v>
      </c>
      <c r="G625">
        <v>9750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45845</v>
      </c>
      <c r="B626" s="116">
        <v>919.65</v>
      </c>
      <c r="C626" s="116">
        <v>898.9</v>
      </c>
      <c r="D626" s="116">
        <v>890</v>
      </c>
      <c r="E626" s="116">
        <v>902.1</v>
      </c>
      <c r="F626" s="116">
        <v>898.9</v>
      </c>
      <c r="G626">
        <v>11625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45846</v>
      </c>
      <c r="B627" s="116">
        <v>907</v>
      </c>
      <c r="C627" s="116">
        <v>894.15</v>
      </c>
      <c r="D627" s="116">
        <v>887.05</v>
      </c>
      <c r="E627" s="116">
        <v>907</v>
      </c>
      <c r="F627" s="116">
        <v>894.15</v>
      </c>
      <c r="G627">
        <v>5500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45847</v>
      </c>
      <c r="B628" s="116">
        <v>888.35</v>
      </c>
      <c r="C628" s="116">
        <v>866.7</v>
      </c>
      <c r="D628" s="116">
        <v>863</v>
      </c>
      <c r="E628" s="116">
        <v>888.35</v>
      </c>
      <c r="F628" s="116">
        <v>866.7</v>
      </c>
      <c r="G628">
        <v>15750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45848</v>
      </c>
      <c r="B629" s="116">
        <v>899</v>
      </c>
      <c r="C629" s="116">
        <v>883.75</v>
      </c>
      <c r="D629" s="116">
        <v>873.4</v>
      </c>
      <c r="E629" s="116">
        <v>878.95</v>
      </c>
      <c r="F629" s="116">
        <v>883.75</v>
      </c>
      <c r="G629">
        <v>16125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45849</v>
      </c>
      <c r="B630" s="116">
        <v>920</v>
      </c>
      <c r="C630" s="116">
        <v>891.3</v>
      </c>
      <c r="D630" s="116">
        <v>882.6</v>
      </c>
      <c r="E630" s="116">
        <v>894</v>
      </c>
      <c r="F630" s="116">
        <v>891.3</v>
      </c>
      <c r="G630">
        <v>21500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45852</v>
      </c>
      <c r="B631" s="116">
        <v>894</v>
      </c>
      <c r="C631" s="116">
        <v>883.75</v>
      </c>
      <c r="D631" s="116">
        <v>872</v>
      </c>
      <c r="E631" s="116">
        <v>894</v>
      </c>
      <c r="F631" s="116">
        <v>883.75</v>
      </c>
      <c r="G631">
        <v>6375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45853</v>
      </c>
      <c r="B632" s="116">
        <v>883.9</v>
      </c>
      <c r="C632" s="116">
        <v>872.25</v>
      </c>
      <c r="D632" s="116">
        <v>870</v>
      </c>
      <c r="E632" s="116">
        <v>883.9</v>
      </c>
      <c r="F632" s="116">
        <v>872.25</v>
      </c>
      <c r="G632">
        <v>6250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45854</v>
      </c>
      <c r="B633" s="116">
        <v>873.25</v>
      </c>
      <c r="C633" s="116">
        <v>861.4</v>
      </c>
      <c r="D633" s="116">
        <v>856</v>
      </c>
      <c r="E633" s="116">
        <v>872.3</v>
      </c>
      <c r="F633" s="116">
        <v>861.4</v>
      </c>
      <c r="G633">
        <v>8375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45855</v>
      </c>
      <c r="B634" s="116">
        <v>888.95</v>
      </c>
      <c r="C634" s="116">
        <v>879.05</v>
      </c>
      <c r="D634" s="116">
        <v>865</v>
      </c>
      <c r="E634" s="116">
        <v>865</v>
      </c>
      <c r="F634" s="116">
        <v>879.05</v>
      </c>
      <c r="G634">
        <v>7000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45856</v>
      </c>
      <c r="B635" s="116">
        <v>878</v>
      </c>
      <c r="C635" s="116">
        <v>871.85</v>
      </c>
      <c r="D635" s="116">
        <v>866</v>
      </c>
      <c r="E635" s="116">
        <v>875</v>
      </c>
      <c r="F635" s="116">
        <v>871.85</v>
      </c>
      <c r="G635">
        <v>3875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45859</v>
      </c>
      <c r="B636" s="116">
        <v>878.25</v>
      </c>
      <c r="C636" s="116">
        <v>874.9</v>
      </c>
      <c r="D636" s="116">
        <v>865</v>
      </c>
      <c r="E636" s="116">
        <v>866</v>
      </c>
      <c r="F636" s="116">
        <v>874.9</v>
      </c>
      <c r="G636">
        <v>4375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45860</v>
      </c>
      <c r="B637" s="116">
        <v>876.9</v>
      </c>
      <c r="C637" s="116">
        <v>872.05</v>
      </c>
      <c r="D637" s="116">
        <v>870.05</v>
      </c>
      <c r="E637" s="116">
        <v>870.05</v>
      </c>
      <c r="F637" s="116">
        <v>872.05</v>
      </c>
      <c r="G637">
        <v>7375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45861</v>
      </c>
      <c r="B638" s="116">
        <v>880</v>
      </c>
      <c r="C638" s="116">
        <v>873</v>
      </c>
      <c r="D638" s="116">
        <v>865.3</v>
      </c>
      <c r="E638" s="116">
        <v>867</v>
      </c>
      <c r="F638" s="116">
        <v>873</v>
      </c>
      <c r="G638">
        <v>10875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45862</v>
      </c>
      <c r="B639" s="116">
        <v>890</v>
      </c>
      <c r="C639" s="116">
        <v>871.65</v>
      </c>
      <c r="D639" s="116">
        <v>870.1</v>
      </c>
      <c r="E639" s="116">
        <v>877.35</v>
      </c>
      <c r="F639" s="116">
        <v>871.65</v>
      </c>
      <c r="G639">
        <v>7625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45863</v>
      </c>
      <c r="B640" s="116">
        <v>885</v>
      </c>
      <c r="C640" s="116">
        <v>874.85</v>
      </c>
      <c r="D640" s="116">
        <v>862</v>
      </c>
      <c r="E640" s="116">
        <v>870</v>
      </c>
      <c r="F640" s="116">
        <v>874.85</v>
      </c>
      <c r="G640">
        <v>5750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45866</v>
      </c>
      <c r="B641" s="116">
        <v>867</v>
      </c>
      <c r="C641" s="116">
        <v>846.65</v>
      </c>
      <c r="D641" s="116">
        <v>845</v>
      </c>
      <c r="E641" s="116">
        <v>852.05</v>
      </c>
      <c r="F641" s="116">
        <v>846.65</v>
      </c>
      <c r="G641">
        <v>17375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45867</v>
      </c>
      <c r="B642" s="116">
        <v>870</v>
      </c>
      <c r="C642" s="116">
        <v>869.8</v>
      </c>
      <c r="D642" s="116">
        <v>850</v>
      </c>
      <c r="E642" s="116">
        <v>857</v>
      </c>
      <c r="F642" s="116">
        <v>869.8</v>
      </c>
      <c r="G642">
        <v>7500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45868</v>
      </c>
      <c r="B643" s="116">
        <v>890</v>
      </c>
      <c r="C643" s="116">
        <v>867.55</v>
      </c>
      <c r="D643" s="116">
        <v>798</v>
      </c>
      <c r="E643" s="116">
        <v>869.4</v>
      </c>
      <c r="F643" s="116">
        <v>867.55</v>
      </c>
      <c r="G643">
        <v>40625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45869</v>
      </c>
      <c r="B644" s="116">
        <v>870</v>
      </c>
      <c r="C644" s="116">
        <v>856.3</v>
      </c>
      <c r="D644" s="116">
        <v>835</v>
      </c>
      <c r="E644" s="116">
        <v>840</v>
      </c>
      <c r="F644" s="116">
        <v>856.3</v>
      </c>
      <c r="G644">
        <v>15500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45870</v>
      </c>
      <c r="B645" s="116">
        <v>852.05</v>
      </c>
      <c r="C645" s="116">
        <v>829.95</v>
      </c>
      <c r="D645" s="116">
        <v>828.5</v>
      </c>
      <c r="E645" s="116">
        <v>851</v>
      </c>
      <c r="F645" s="116">
        <v>829.95</v>
      </c>
      <c r="G645">
        <v>7625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45873</v>
      </c>
      <c r="B646" s="116">
        <v>832</v>
      </c>
      <c r="C646" s="116">
        <v>810.1</v>
      </c>
      <c r="D646" s="116">
        <v>800</v>
      </c>
      <c r="E646" s="116">
        <v>830.2</v>
      </c>
      <c r="F646" s="116">
        <v>810.1</v>
      </c>
      <c r="G646">
        <v>14875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45874</v>
      </c>
      <c r="B647" s="116">
        <v>824.25</v>
      </c>
      <c r="C647" s="116">
        <v>812.25</v>
      </c>
      <c r="D647" s="116">
        <v>798</v>
      </c>
      <c r="E647" s="116">
        <v>813</v>
      </c>
      <c r="F647" s="116">
        <v>812.25</v>
      </c>
      <c r="G647">
        <v>13375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45875</v>
      </c>
      <c r="B648" s="116">
        <v>825</v>
      </c>
      <c r="C648" s="116">
        <v>821.45</v>
      </c>
      <c r="D648" s="116">
        <v>790</v>
      </c>
      <c r="E648" s="116">
        <v>800.4</v>
      </c>
      <c r="F648" s="116">
        <v>821.45</v>
      </c>
      <c r="G648">
        <v>7875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45876</v>
      </c>
      <c r="B649" s="116">
        <v>817</v>
      </c>
      <c r="C649" s="116">
        <v>801.05</v>
      </c>
      <c r="D649" s="116">
        <v>797.1</v>
      </c>
      <c r="E649" s="116">
        <v>817</v>
      </c>
      <c r="F649" s="116">
        <v>801.05</v>
      </c>
      <c r="G649">
        <v>6375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45877</v>
      </c>
      <c r="B650" s="116">
        <v>801.3</v>
      </c>
      <c r="C650" s="116">
        <v>791.65</v>
      </c>
      <c r="D650" s="116">
        <v>789.2</v>
      </c>
      <c r="E650" s="116">
        <v>797.1</v>
      </c>
      <c r="F650" s="116">
        <v>791.65</v>
      </c>
      <c r="G650">
        <v>7625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45880</v>
      </c>
      <c r="B651" s="116">
        <v>809</v>
      </c>
      <c r="C651" s="116">
        <v>806.75</v>
      </c>
      <c r="D651" s="116">
        <v>792.2</v>
      </c>
      <c r="E651" s="116">
        <v>792.2</v>
      </c>
      <c r="F651" s="116">
        <v>806.75</v>
      </c>
      <c r="G651">
        <v>9125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45881</v>
      </c>
      <c r="B652" s="116">
        <v>811.5</v>
      </c>
      <c r="C652" s="116">
        <v>800.1</v>
      </c>
      <c r="D652" s="116">
        <v>800</v>
      </c>
      <c r="E652" s="116">
        <v>806.75</v>
      </c>
      <c r="F652" s="116">
        <v>800.1</v>
      </c>
      <c r="G652">
        <v>6500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45882</v>
      </c>
      <c r="B653" s="116">
        <v>874.5</v>
      </c>
      <c r="C653" s="116">
        <v>864.65</v>
      </c>
      <c r="D653" s="116">
        <v>800.1</v>
      </c>
      <c r="E653" s="116">
        <v>800.1</v>
      </c>
      <c r="F653" s="116">
        <v>864.65</v>
      </c>
      <c r="G653">
        <v>19375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45883</v>
      </c>
      <c r="B654" s="116">
        <v>882.4</v>
      </c>
      <c r="C654" s="116">
        <v>865.45</v>
      </c>
      <c r="D654" s="116">
        <v>861.85</v>
      </c>
      <c r="E654" s="116">
        <v>870</v>
      </c>
      <c r="F654" s="116">
        <v>865.45</v>
      </c>
      <c r="G654">
        <v>9250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45887</v>
      </c>
      <c r="B655" s="116">
        <v>892</v>
      </c>
      <c r="C655" s="116">
        <v>885.95</v>
      </c>
      <c r="D655" s="116">
        <v>873.3</v>
      </c>
      <c r="E655" s="116">
        <v>883.9</v>
      </c>
      <c r="F655" s="116">
        <v>885.95</v>
      </c>
      <c r="G655">
        <v>17875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45888</v>
      </c>
      <c r="B656" s="116">
        <v>894</v>
      </c>
      <c r="C656" s="116">
        <v>876</v>
      </c>
      <c r="D656" s="116">
        <v>876</v>
      </c>
      <c r="E656" s="116">
        <v>886</v>
      </c>
      <c r="F656" s="116">
        <v>876</v>
      </c>
      <c r="G656">
        <v>5625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45889</v>
      </c>
      <c r="B657" s="116">
        <v>881</v>
      </c>
      <c r="C657" s="116">
        <v>867</v>
      </c>
      <c r="D657" s="116">
        <v>856</v>
      </c>
      <c r="E657" s="116">
        <v>876</v>
      </c>
      <c r="F657" s="116">
        <v>867</v>
      </c>
      <c r="G657">
        <v>6375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45890</v>
      </c>
      <c r="B658" s="116">
        <v>873.5</v>
      </c>
      <c r="C658" s="116">
        <v>870.05</v>
      </c>
      <c r="D658" s="116">
        <v>860.1</v>
      </c>
      <c r="E658" s="116">
        <v>867</v>
      </c>
      <c r="F658" s="116">
        <v>870.05</v>
      </c>
      <c r="G658">
        <v>1625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45891</v>
      </c>
      <c r="B659" s="116">
        <v>868</v>
      </c>
      <c r="C659" s="116">
        <v>851.35</v>
      </c>
      <c r="D659" s="116">
        <v>846</v>
      </c>
      <c r="E659" s="116">
        <v>868</v>
      </c>
      <c r="F659" s="116">
        <v>851.35</v>
      </c>
      <c r="G659">
        <v>3375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45894</v>
      </c>
      <c r="B660" s="116">
        <v>840</v>
      </c>
      <c r="C660" s="116">
        <v>830.5</v>
      </c>
      <c r="D660" s="116">
        <v>823.3</v>
      </c>
      <c r="E660" s="116">
        <v>840</v>
      </c>
      <c r="F660" s="116">
        <v>830.5</v>
      </c>
      <c r="G660">
        <v>5000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45895</v>
      </c>
      <c r="B661" s="116">
        <v>851.35</v>
      </c>
      <c r="C661" s="116">
        <v>850.65</v>
      </c>
      <c r="D661" s="116">
        <v>819.4</v>
      </c>
      <c r="E661" s="116">
        <v>826</v>
      </c>
      <c r="F661" s="116">
        <v>850.65</v>
      </c>
      <c r="G661">
        <v>8750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45897</v>
      </c>
      <c r="B662" s="116">
        <v>883</v>
      </c>
      <c r="C662" s="116">
        <v>878.05</v>
      </c>
      <c r="D662" s="116">
        <v>850</v>
      </c>
      <c r="E662" s="116">
        <v>850</v>
      </c>
      <c r="F662" s="116">
        <v>878.05</v>
      </c>
      <c r="G662">
        <v>10000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45898</v>
      </c>
      <c r="B663" s="116">
        <v>895</v>
      </c>
      <c r="C663" s="116">
        <v>876.6</v>
      </c>
      <c r="D663" s="116">
        <v>870</v>
      </c>
      <c r="E663" s="116">
        <v>882</v>
      </c>
      <c r="F663" s="116">
        <v>876.6</v>
      </c>
      <c r="G663">
        <v>5500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45901</v>
      </c>
      <c r="B664" s="116">
        <v>895</v>
      </c>
      <c r="C664" s="116">
        <v>887.75</v>
      </c>
      <c r="D664" s="116">
        <v>876</v>
      </c>
      <c r="E664" s="116">
        <v>883</v>
      </c>
      <c r="F664" s="116">
        <v>887.75</v>
      </c>
      <c r="G664">
        <v>9000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45902</v>
      </c>
      <c r="B665" s="116">
        <v>895</v>
      </c>
      <c r="C665" s="116">
        <v>885</v>
      </c>
      <c r="D665" s="116">
        <v>880.5</v>
      </c>
      <c r="E665" s="116">
        <v>889</v>
      </c>
      <c r="F665" s="116">
        <v>885</v>
      </c>
      <c r="G665">
        <v>5500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45903</v>
      </c>
      <c r="B666" s="116">
        <v>893</v>
      </c>
      <c r="C666" s="116">
        <v>888.25</v>
      </c>
      <c r="D666" s="116">
        <v>885</v>
      </c>
      <c r="E666" s="116">
        <v>891.85</v>
      </c>
      <c r="F666" s="116">
        <v>888.25</v>
      </c>
      <c r="G666">
        <v>4375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45904</v>
      </c>
      <c r="B667" s="116">
        <v>887.75</v>
      </c>
      <c r="C667" s="116">
        <v>871.4</v>
      </c>
      <c r="D667" s="116">
        <v>870</v>
      </c>
      <c r="E667" s="116">
        <v>887.75</v>
      </c>
      <c r="F667" s="116">
        <v>871.4</v>
      </c>
      <c r="G667">
        <v>2250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45905</v>
      </c>
      <c r="B668" s="116">
        <v>879</v>
      </c>
      <c r="C668" s="116">
        <v>868.6</v>
      </c>
      <c r="D668" s="116">
        <v>860</v>
      </c>
      <c r="E668" s="116">
        <v>879</v>
      </c>
      <c r="F668" s="116">
        <v>868.6</v>
      </c>
      <c r="G668">
        <v>6625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45908</v>
      </c>
      <c r="B669" s="116">
        <v>888</v>
      </c>
      <c r="C669" s="116">
        <v>855.7</v>
      </c>
      <c r="D669" s="116">
        <v>852.05</v>
      </c>
      <c r="E669" s="116">
        <v>868.5</v>
      </c>
      <c r="F669" s="116">
        <v>855.7</v>
      </c>
      <c r="G669">
        <v>6875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45909</v>
      </c>
      <c r="B670" s="116">
        <v>882</v>
      </c>
      <c r="C670" s="116">
        <v>861.45</v>
      </c>
      <c r="D670" s="116">
        <v>853</v>
      </c>
      <c r="E670" s="116">
        <v>858.1</v>
      </c>
      <c r="F670" s="116">
        <v>861.45</v>
      </c>
      <c r="G670">
        <v>5500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45910</v>
      </c>
      <c r="B671" s="116">
        <v>873</v>
      </c>
      <c r="C671" s="116">
        <v>863.4</v>
      </c>
      <c r="D671" s="116">
        <v>850</v>
      </c>
      <c r="E671" s="116">
        <v>865</v>
      </c>
      <c r="F671" s="116">
        <v>863.4</v>
      </c>
      <c r="G671">
        <v>8125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45911</v>
      </c>
      <c r="B672" s="116">
        <v>875</v>
      </c>
      <c r="C672" s="116">
        <v>861.95</v>
      </c>
      <c r="D672" s="116">
        <v>858</v>
      </c>
      <c r="E672" s="116">
        <v>864</v>
      </c>
      <c r="F672" s="116">
        <v>861.95</v>
      </c>
      <c r="G672">
        <v>2750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45912</v>
      </c>
      <c r="B673" s="116">
        <v>869</v>
      </c>
      <c r="C673" s="116">
        <v>861.45</v>
      </c>
      <c r="D673" s="116">
        <v>841</v>
      </c>
      <c r="E673" s="116">
        <v>858</v>
      </c>
      <c r="F673" s="116">
        <v>861.45</v>
      </c>
      <c r="G673">
        <v>6000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45915</v>
      </c>
      <c r="B674" s="116">
        <v>860</v>
      </c>
      <c r="C674" s="116">
        <v>855</v>
      </c>
      <c r="D674" s="116">
        <v>845.3</v>
      </c>
      <c r="E674" s="116">
        <v>860</v>
      </c>
      <c r="F674" s="116">
        <v>855</v>
      </c>
      <c r="G674">
        <v>3000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45916</v>
      </c>
      <c r="B675" s="116">
        <v>874</v>
      </c>
      <c r="C675" s="116">
        <v>853</v>
      </c>
      <c r="D675" s="116">
        <v>847</v>
      </c>
      <c r="E675" s="116">
        <v>859.25</v>
      </c>
      <c r="F675" s="116">
        <v>853</v>
      </c>
      <c r="G675">
        <v>6625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45917</v>
      </c>
      <c r="B676" s="116">
        <v>858</v>
      </c>
      <c r="C676" s="116">
        <v>854.9</v>
      </c>
      <c r="D676" s="116">
        <v>842.1</v>
      </c>
      <c r="E676" s="116">
        <v>855</v>
      </c>
      <c r="F676" s="116">
        <v>854.9</v>
      </c>
      <c r="G676">
        <v>9375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45918</v>
      </c>
      <c r="B677" s="116">
        <v>860</v>
      </c>
      <c r="C677" s="116">
        <v>846.55</v>
      </c>
      <c r="D677" s="116">
        <v>840</v>
      </c>
      <c r="E677" s="116">
        <v>860</v>
      </c>
      <c r="F677" s="116">
        <v>846.55</v>
      </c>
      <c r="G677">
        <v>5625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45919</v>
      </c>
      <c r="B678" s="116">
        <v>842.5</v>
      </c>
      <c r="C678" s="116">
        <v>832.1</v>
      </c>
      <c r="D678" s="116">
        <v>825</v>
      </c>
      <c r="E678" s="116">
        <v>842.5</v>
      </c>
      <c r="F678" s="116">
        <v>832.1</v>
      </c>
      <c r="G678">
        <v>11375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45922</v>
      </c>
      <c r="B679" s="116">
        <v>844</v>
      </c>
      <c r="C679" s="116">
        <v>823.8</v>
      </c>
      <c r="D679" s="116">
        <v>808.2</v>
      </c>
      <c r="E679" s="116">
        <v>840</v>
      </c>
      <c r="F679" s="116">
        <v>823.8</v>
      </c>
      <c r="G679">
        <v>17750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45923</v>
      </c>
      <c r="B680" s="116">
        <v>823</v>
      </c>
      <c r="C680" s="116">
        <v>813.9</v>
      </c>
      <c r="D680" s="116">
        <v>802.6</v>
      </c>
      <c r="E680" s="116">
        <v>821</v>
      </c>
      <c r="F680" s="116">
        <v>813.9</v>
      </c>
      <c r="G680">
        <v>17750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45924</v>
      </c>
      <c r="B681" s="116">
        <v>867</v>
      </c>
      <c r="C681" s="116">
        <v>861.75</v>
      </c>
      <c r="D681" s="116">
        <v>819.95</v>
      </c>
      <c r="E681" s="116">
        <v>819.95</v>
      </c>
      <c r="F681" s="116">
        <v>861.75</v>
      </c>
      <c r="G681">
        <v>18125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45925</v>
      </c>
      <c r="B682" s="116">
        <v>865</v>
      </c>
      <c r="C682" s="116">
        <v>844.05</v>
      </c>
      <c r="D682" s="116">
        <v>841.1</v>
      </c>
      <c r="E682" s="116">
        <v>863.95</v>
      </c>
      <c r="F682" s="116">
        <v>844.05</v>
      </c>
      <c r="G682">
        <v>5125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45926</v>
      </c>
      <c r="B683" s="116">
        <v>850</v>
      </c>
      <c r="C683" s="116">
        <v>817.1</v>
      </c>
      <c r="D683" s="116">
        <v>813</v>
      </c>
      <c r="E683" s="116">
        <v>850</v>
      </c>
      <c r="F683" s="116">
        <v>817.1</v>
      </c>
      <c r="G683">
        <v>10500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45929</v>
      </c>
      <c r="B684" s="116">
        <v>830</v>
      </c>
      <c r="C684" s="116">
        <v>827.9</v>
      </c>
      <c r="D684" s="116">
        <v>795.05</v>
      </c>
      <c r="E684" s="116">
        <v>825.1</v>
      </c>
      <c r="F684" s="116">
        <v>827.9</v>
      </c>
      <c r="G684">
        <v>15625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45930</v>
      </c>
      <c r="B685" s="116">
        <v>858.85</v>
      </c>
      <c r="C685" s="116">
        <v>856.1</v>
      </c>
      <c r="D685" s="116">
        <v>826</v>
      </c>
      <c r="E685" s="116">
        <v>826</v>
      </c>
      <c r="F685" s="116">
        <v>856.1</v>
      </c>
      <c r="G685">
        <v>8125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45931</v>
      </c>
      <c r="B686" s="116">
        <v>863.55</v>
      </c>
      <c r="C686" s="116">
        <v>852.3</v>
      </c>
      <c r="D686" s="116">
        <v>848.5</v>
      </c>
      <c r="E686" s="116">
        <v>855</v>
      </c>
      <c r="F686" s="116">
        <v>852.3</v>
      </c>
      <c r="G686">
        <v>5750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45933</v>
      </c>
      <c r="B687" s="116">
        <v>868.95</v>
      </c>
      <c r="C687" s="116">
        <v>849.1</v>
      </c>
      <c r="D687" s="116">
        <v>831</v>
      </c>
      <c r="E687" s="116">
        <v>857.75</v>
      </c>
      <c r="F687" s="116">
        <v>849.1</v>
      </c>
      <c r="G687">
        <v>16250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45936</v>
      </c>
      <c r="B688" s="116">
        <v>863</v>
      </c>
      <c r="C688" s="116">
        <v>854.6</v>
      </c>
      <c r="D688" s="116">
        <v>843.1</v>
      </c>
      <c r="E688" s="116">
        <v>849.1</v>
      </c>
      <c r="F688" s="116">
        <v>854.6</v>
      </c>
      <c r="G688">
        <v>9750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45937</v>
      </c>
      <c r="B689" s="116">
        <v>873</v>
      </c>
      <c r="C689" s="116">
        <v>856.95</v>
      </c>
      <c r="D689" s="116">
        <v>856.4</v>
      </c>
      <c r="E689" s="116">
        <v>865</v>
      </c>
      <c r="F689" s="116">
        <v>856.95</v>
      </c>
      <c r="G689">
        <v>5875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45938</v>
      </c>
      <c r="B690" s="116">
        <v>856.4</v>
      </c>
      <c r="C690" s="116">
        <v>833.55</v>
      </c>
      <c r="D690" s="116">
        <v>831.05</v>
      </c>
      <c r="E690" s="116">
        <v>856.4</v>
      </c>
      <c r="F690" s="116">
        <v>833.55</v>
      </c>
      <c r="G690">
        <v>3625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45939</v>
      </c>
      <c r="B691" s="116">
        <v>928</v>
      </c>
      <c r="C691" s="116">
        <v>888.95</v>
      </c>
      <c r="D691" s="116">
        <v>849.3</v>
      </c>
      <c r="E691" s="116">
        <v>849.95</v>
      </c>
      <c r="F691" s="116">
        <v>888.95</v>
      </c>
      <c r="G691">
        <v>23250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45940</v>
      </c>
      <c r="B692" s="116">
        <v>897</v>
      </c>
      <c r="C692" s="116">
        <v>867.25</v>
      </c>
      <c r="D692" s="116">
        <v>857</v>
      </c>
      <c r="E692" s="116">
        <v>890</v>
      </c>
      <c r="F692" s="116">
        <v>867.25</v>
      </c>
      <c r="G692">
        <v>5750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45943</v>
      </c>
      <c r="B693" s="116">
        <v>883.8</v>
      </c>
      <c r="C693" s="116">
        <v>875.75</v>
      </c>
      <c r="D693" s="116">
        <v>860</v>
      </c>
      <c r="E693" s="116">
        <v>883.8</v>
      </c>
      <c r="F693" s="116">
        <v>875.75</v>
      </c>
      <c r="G693">
        <v>3250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45944</v>
      </c>
      <c r="B694" s="116">
        <v>871.75</v>
      </c>
      <c r="C694" s="116">
        <v>843</v>
      </c>
      <c r="D694" s="116">
        <v>835</v>
      </c>
      <c r="E694" s="116">
        <v>866.9</v>
      </c>
      <c r="F694" s="116">
        <v>843</v>
      </c>
      <c r="G694">
        <v>2500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45945</v>
      </c>
      <c r="B695" s="116">
        <v>867.95</v>
      </c>
      <c r="C695" s="116">
        <v>836.55</v>
      </c>
      <c r="D695" s="116">
        <v>836.5</v>
      </c>
      <c r="E695" s="116">
        <v>865</v>
      </c>
      <c r="F695" s="116">
        <v>836.55</v>
      </c>
      <c r="G695">
        <v>3000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45946</v>
      </c>
      <c r="B696" s="116">
        <v>875.75</v>
      </c>
      <c r="C696" s="116">
        <v>870.35</v>
      </c>
      <c r="D696" s="116">
        <v>821.8</v>
      </c>
      <c r="E696" s="116">
        <v>836</v>
      </c>
      <c r="F696" s="116">
        <v>870.35</v>
      </c>
      <c r="G696">
        <v>8500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45947</v>
      </c>
      <c r="B697" s="116">
        <v>885.95</v>
      </c>
      <c r="C697" s="116">
        <v>861.45</v>
      </c>
      <c r="D697" s="116">
        <v>842</v>
      </c>
      <c r="E697" s="116">
        <v>866</v>
      </c>
      <c r="F697" s="116">
        <v>861.45</v>
      </c>
      <c r="G697">
        <v>4000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45950</v>
      </c>
      <c r="B698" s="116">
        <v>897.4</v>
      </c>
      <c r="C698" s="116">
        <v>880.3</v>
      </c>
      <c r="D698" s="116">
        <v>865</v>
      </c>
      <c r="E698" s="116">
        <v>885</v>
      </c>
      <c r="F698" s="116">
        <v>880.3</v>
      </c>
      <c r="G698">
        <v>6500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45951</v>
      </c>
      <c r="B699" s="116">
        <v>901</v>
      </c>
      <c r="C699" s="116">
        <v>885.35</v>
      </c>
      <c r="D699" s="116">
        <v>879.25</v>
      </c>
      <c r="E699" s="116">
        <v>892.5</v>
      </c>
      <c r="F699" s="116">
        <v>885.35</v>
      </c>
      <c r="G699">
        <v>4375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45953</v>
      </c>
      <c r="B700" s="116">
        <v>895</v>
      </c>
      <c r="C700" s="116">
        <v>867.8</v>
      </c>
      <c r="D700" s="116">
        <v>861</v>
      </c>
      <c r="E700" s="116">
        <v>895</v>
      </c>
      <c r="F700" s="116">
        <v>867.8</v>
      </c>
      <c r="G700">
        <v>4375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45954</v>
      </c>
      <c r="B701" s="116">
        <v>874.4</v>
      </c>
      <c r="C701" s="116">
        <v>847.6</v>
      </c>
      <c r="D701" s="116">
        <v>835.5</v>
      </c>
      <c r="E701" s="116">
        <v>874.4</v>
      </c>
      <c r="F701" s="116">
        <v>847.6</v>
      </c>
      <c r="G701">
        <v>6375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45957</v>
      </c>
      <c r="B702" s="116">
        <v>900</v>
      </c>
      <c r="C702" s="116">
        <v>885.1</v>
      </c>
      <c r="D702" s="116">
        <v>855</v>
      </c>
      <c r="E702" s="116">
        <v>855</v>
      </c>
      <c r="F702" s="116">
        <v>885.1</v>
      </c>
      <c r="G702">
        <v>25500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45958</v>
      </c>
      <c r="B703" s="116">
        <v>915</v>
      </c>
      <c r="C703" s="116">
        <v>900.65</v>
      </c>
      <c r="D703" s="116">
        <v>895</v>
      </c>
      <c r="E703" s="116">
        <v>899.95</v>
      </c>
      <c r="F703" s="116">
        <v>900.65</v>
      </c>
      <c r="G703">
        <v>30125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45959</v>
      </c>
      <c r="B704" s="116">
        <v>1080.75</v>
      </c>
      <c r="C704" s="116">
        <v>1080.75</v>
      </c>
      <c r="D704" s="116">
        <v>880</v>
      </c>
      <c r="E704" s="116">
        <v>905.15</v>
      </c>
      <c r="F704" s="116">
        <v>1080.75</v>
      </c>
      <c r="G704">
        <v>236500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45960</v>
      </c>
      <c r="B705" s="116">
        <v>1195</v>
      </c>
      <c r="C705" s="116">
        <v>1146.2</v>
      </c>
      <c r="D705" s="116">
        <v>1080</v>
      </c>
      <c r="E705" s="116">
        <v>1107</v>
      </c>
      <c r="F705" s="116">
        <v>1146.2</v>
      </c>
      <c r="G705">
        <v>94000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45961</v>
      </c>
      <c r="B706" s="116">
        <v>1197</v>
      </c>
      <c r="C706" s="116">
        <v>1175.3</v>
      </c>
      <c r="D706" s="116">
        <v>1083</v>
      </c>
      <c r="E706" s="116">
        <v>1188.95</v>
      </c>
      <c r="F706" s="116">
        <v>1175.3</v>
      </c>
      <c r="G706">
        <v>32125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45964</v>
      </c>
      <c r="B707" s="116">
        <v>1175</v>
      </c>
      <c r="C707" s="116">
        <v>1117.1500000000001</v>
      </c>
      <c r="D707" s="116">
        <v>1110</v>
      </c>
      <c r="E707" s="116">
        <v>1175</v>
      </c>
      <c r="F707" s="116">
        <v>1117.1500000000001</v>
      </c>
      <c r="G707">
        <v>17000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45965</v>
      </c>
      <c r="B708" s="116">
        <v>1128</v>
      </c>
      <c r="C708" s="116">
        <v>1064.5</v>
      </c>
      <c r="D708" s="116">
        <v>1030</v>
      </c>
      <c r="E708" s="116">
        <v>1117.5999999999999</v>
      </c>
      <c r="F708" s="116">
        <v>1064.5</v>
      </c>
      <c r="G708">
        <v>41500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45967</v>
      </c>
      <c r="B709" s="116">
        <v>1045</v>
      </c>
      <c r="C709" s="116">
        <v>1012.5</v>
      </c>
      <c r="D709" s="116">
        <v>980</v>
      </c>
      <c r="E709" s="116">
        <v>1045</v>
      </c>
      <c r="F709" s="116">
        <v>1012.5</v>
      </c>
      <c r="G709">
        <v>46500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45968</v>
      </c>
      <c r="B710" s="116">
        <v>1065.5</v>
      </c>
      <c r="C710" s="116">
        <v>1048.4000000000001</v>
      </c>
      <c r="D710" s="116">
        <v>991</v>
      </c>
      <c r="E710" s="116">
        <v>1014</v>
      </c>
      <c r="F710" s="116">
        <v>1048.4000000000001</v>
      </c>
      <c r="G710">
        <v>16000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45971</v>
      </c>
      <c r="B711" s="116">
        <v>1077</v>
      </c>
      <c r="C711" s="116">
        <v>1022.45</v>
      </c>
      <c r="D711" s="116">
        <v>1011</v>
      </c>
      <c r="E711" s="116">
        <v>1077</v>
      </c>
      <c r="F711" s="116">
        <v>1022.45</v>
      </c>
      <c r="G711">
        <v>12625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45972</v>
      </c>
      <c r="B712" s="116">
        <v>1111</v>
      </c>
      <c r="C712" s="116">
        <v>1093.1500000000001</v>
      </c>
      <c r="D712" s="116">
        <v>1017.4</v>
      </c>
      <c r="E712" s="116">
        <v>1017.4</v>
      </c>
      <c r="F712" s="116">
        <v>1093.1500000000001</v>
      </c>
      <c r="G712">
        <v>21750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45973</v>
      </c>
      <c r="B713" s="116">
        <v>1130</v>
      </c>
      <c r="C713" s="116">
        <v>1111.1500000000001</v>
      </c>
      <c r="D713" s="116">
        <v>1050</v>
      </c>
      <c r="E713" s="116">
        <v>1130</v>
      </c>
      <c r="F713" s="116">
        <v>1111.1500000000001</v>
      </c>
      <c r="G713">
        <v>21625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45974</v>
      </c>
      <c r="B714" s="116">
        <v>1154</v>
      </c>
      <c r="C714" s="116">
        <v>1139.7</v>
      </c>
      <c r="D714" s="116">
        <v>1104.2</v>
      </c>
      <c r="E714" s="116">
        <v>1115</v>
      </c>
      <c r="F714" s="116">
        <v>1139.7</v>
      </c>
      <c r="G714">
        <v>17250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45975</v>
      </c>
      <c r="B715" s="116">
        <v>1150</v>
      </c>
      <c r="C715" s="116">
        <v>1122.2</v>
      </c>
      <c r="D715" s="116">
        <v>1081</v>
      </c>
      <c r="E715" s="116">
        <v>1150</v>
      </c>
      <c r="F715" s="116">
        <v>1122.2</v>
      </c>
      <c r="G715">
        <v>15500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45978</v>
      </c>
      <c r="B716" s="116">
        <v>1131.5</v>
      </c>
      <c r="C716" s="116">
        <v>1112.25</v>
      </c>
      <c r="D716" s="116">
        <v>1096</v>
      </c>
      <c r="E716" s="116">
        <v>1116.5999999999999</v>
      </c>
      <c r="F716" s="116">
        <v>1112.25</v>
      </c>
      <c r="G716">
        <v>14750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45979</v>
      </c>
      <c r="B717" s="116">
        <v>1122.7</v>
      </c>
      <c r="C717" s="116">
        <v>1118.55</v>
      </c>
      <c r="D717" s="116">
        <v>1100.6500000000001</v>
      </c>
      <c r="E717" s="116">
        <v>1105</v>
      </c>
      <c r="F717" s="116">
        <v>1118.55</v>
      </c>
      <c r="G717">
        <v>7750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45980</v>
      </c>
      <c r="B718" s="116">
        <v>1151</v>
      </c>
      <c r="C718" s="116">
        <v>1141.05</v>
      </c>
      <c r="D718" s="116">
        <v>1122</v>
      </c>
      <c r="E718" s="116">
        <v>1128.8499999999999</v>
      </c>
      <c r="F718" s="116">
        <v>1141.05</v>
      </c>
      <c r="G718">
        <v>15625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45981</v>
      </c>
      <c r="B719" s="116">
        <v>1165.5</v>
      </c>
      <c r="C719" s="116">
        <v>1122.25</v>
      </c>
      <c r="D719" s="116">
        <v>1118.0999999999999</v>
      </c>
      <c r="E719" s="116">
        <v>1140</v>
      </c>
      <c r="F719" s="116">
        <v>1122.25</v>
      </c>
      <c r="G719">
        <v>10875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45982</v>
      </c>
      <c r="B720" s="116">
        <v>1123.0999999999999</v>
      </c>
      <c r="C720" s="116">
        <v>1095.45</v>
      </c>
      <c r="D720" s="116">
        <v>1070</v>
      </c>
      <c r="E720" s="116">
        <v>1123.0999999999999</v>
      </c>
      <c r="F720" s="116">
        <v>1095.45</v>
      </c>
      <c r="G720">
        <v>6500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45985</v>
      </c>
      <c r="B721" s="116">
        <v>1129.95</v>
      </c>
      <c r="C721" s="116">
        <v>1089.45</v>
      </c>
      <c r="D721" s="116">
        <v>1040.4000000000001</v>
      </c>
      <c r="E721" s="116">
        <v>1072.45</v>
      </c>
      <c r="F721" s="116">
        <v>1089.45</v>
      </c>
      <c r="G721">
        <v>7875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45986</v>
      </c>
      <c r="B722" s="116">
        <v>1110.8499999999999</v>
      </c>
      <c r="C722" s="116">
        <v>1093.25</v>
      </c>
      <c r="D722" s="116">
        <v>1077</v>
      </c>
      <c r="E722" s="116">
        <v>1077</v>
      </c>
      <c r="F722" s="116">
        <v>1093.25</v>
      </c>
      <c r="G722">
        <v>4375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45987</v>
      </c>
      <c r="B723" s="116">
        <v>1129</v>
      </c>
      <c r="C723" s="116">
        <v>1123.6500000000001</v>
      </c>
      <c r="D723" s="116">
        <v>1088</v>
      </c>
      <c r="E723" s="116">
        <v>1088</v>
      </c>
      <c r="F723" s="116">
        <v>1123.6500000000001</v>
      </c>
      <c r="G723">
        <v>9125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45988</v>
      </c>
      <c r="B724" s="116">
        <v>1129.5999999999999</v>
      </c>
      <c r="C724" s="116">
        <v>1112.1500000000001</v>
      </c>
      <c r="D724" s="116">
        <v>1110</v>
      </c>
      <c r="E724" s="116">
        <v>1110</v>
      </c>
      <c r="F724" s="116">
        <v>1112.1500000000001</v>
      </c>
      <c r="G724">
        <v>8500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45989</v>
      </c>
      <c r="B725" s="116">
        <v>1124.9000000000001</v>
      </c>
      <c r="C725" s="116">
        <v>1116.3</v>
      </c>
      <c r="D725" s="116">
        <v>1110</v>
      </c>
      <c r="E725" s="116">
        <v>1116.3</v>
      </c>
      <c r="F725" s="116">
        <v>1116.3</v>
      </c>
      <c r="G725">
        <v>8625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45992</v>
      </c>
      <c r="B726" s="116">
        <v>1123.8499999999999</v>
      </c>
      <c r="C726" s="116">
        <v>1099.55</v>
      </c>
      <c r="D726" s="116">
        <v>1092.05</v>
      </c>
      <c r="E726" s="116">
        <v>1101</v>
      </c>
      <c r="F726" s="116">
        <v>1099.55</v>
      </c>
      <c r="G726">
        <v>5750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45993</v>
      </c>
      <c r="B727" s="116">
        <v>1099</v>
      </c>
      <c r="C727" s="116">
        <v>1095</v>
      </c>
      <c r="D727" s="116">
        <v>1048</v>
      </c>
      <c r="E727" s="116">
        <v>1099</v>
      </c>
      <c r="F727" s="116">
        <v>1095</v>
      </c>
      <c r="G727">
        <v>4625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45994</v>
      </c>
      <c r="B728" s="116">
        <v>1075</v>
      </c>
      <c r="C728" s="116">
        <v>1043.8</v>
      </c>
      <c r="D728" s="116">
        <v>1040.75</v>
      </c>
      <c r="E728" s="116">
        <v>1071.4000000000001</v>
      </c>
      <c r="F728" s="116">
        <v>1043.8</v>
      </c>
      <c r="G728">
        <v>8875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45995</v>
      </c>
      <c r="B729" s="116">
        <v>1074.9000000000001</v>
      </c>
      <c r="C729" s="116">
        <v>1050</v>
      </c>
      <c r="D729" s="116">
        <v>1015</v>
      </c>
      <c r="E729" s="116">
        <v>1043.8</v>
      </c>
      <c r="F729" s="116">
        <v>1050</v>
      </c>
      <c r="G729">
        <v>2500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45996</v>
      </c>
      <c r="B730" s="116">
        <v>1082.95</v>
      </c>
      <c r="C730" s="116">
        <v>1059.5</v>
      </c>
      <c r="D730" s="116">
        <v>1050</v>
      </c>
      <c r="E730" s="116">
        <v>1082.95</v>
      </c>
      <c r="F730" s="116">
        <v>1059.5</v>
      </c>
      <c r="G730">
        <v>2500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45999</v>
      </c>
      <c r="B731" s="116">
        <v>1081.8</v>
      </c>
      <c r="C731" s="116">
        <v>1034.9000000000001</v>
      </c>
      <c r="D731" s="116">
        <v>1014</v>
      </c>
      <c r="E731" s="116">
        <v>1014</v>
      </c>
      <c r="F731" s="116">
        <v>1034.9000000000001</v>
      </c>
      <c r="G731">
        <v>7000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46000</v>
      </c>
      <c r="B732" s="116">
        <v>1050.45</v>
      </c>
      <c r="C732" s="116">
        <v>1035.1500000000001</v>
      </c>
      <c r="D732" s="116">
        <v>1013</v>
      </c>
      <c r="E732" s="116">
        <v>1016</v>
      </c>
      <c r="F732" s="116">
        <v>1035.1500000000001</v>
      </c>
      <c r="G732">
        <v>5250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46001</v>
      </c>
      <c r="B733" s="116">
        <v>1070</v>
      </c>
      <c r="C733" s="116">
        <v>1018.7</v>
      </c>
      <c r="D733" s="116">
        <v>1010</v>
      </c>
      <c r="E733" s="116">
        <v>1035.1500000000001</v>
      </c>
      <c r="F733" s="116">
        <v>1018.7</v>
      </c>
      <c r="G733">
        <v>5875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46002</v>
      </c>
      <c r="B734" s="116">
        <v>1048</v>
      </c>
      <c r="C734" s="116">
        <v>1033.5</v>
      </c>
      <c r="D734" s="116">
        <v>981</v>
      </c>
      <c r="E734" s="116">
        <v>981.05</v>
      </c>
      <c r="F734" s="116">
        <v>1033.5</v>
      </c>
      <c r="G734">
        <v>4375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46003</v>
      </c>
      <c r="B735" s="116">
        <v>1050</v>
      </c>
      <c r="C735" s="116">
        <v>1031</v>
      </c>
      <c r="D735" s="116">
        <v>1016</v>
      </c>
      <c r="E735" s="116">
        <v>1017</v>
      </c>
      <c r="F735" s="116">
        <v>1031</v>
      </c>
      <c r="G735">
        <v>4375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46006</v>
      </c>
      <c r="B736" s="116">
        <v>1044</v>
      </c>
      <c r="C736" s="116">
        <v>1015.7</v>
      </c>
      <c r="D736" s="116">
        <v>1014.7</v>
      </c>
      <c r="E736" s="116">
        <v>1030</v>
      </c>
      <c r="F736" s="116">
        <v>1015.7</v>
      </c>
      <c r="G736">
        <v>3500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46007</v>
      </c>
      <c r="B737" s="116">
        <v>1027.9000000000001</v>
      </c>
      <c r="C737" s="116">
        <v>1007.4</v>
      </c>
      <c r="D737" s="116">
        <v>1003</v>
      </c>
      <c r="E737" s="116">
        <v>1003</v>
      </c>
      <c r="F737" s="116">
        <v>1007.4</v>
      </c>
      <c r="G737">
        <v>2625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46008</v>
      </c>
      <c r="B738" s="116">
        <v>1013</v>
      </c>
      <c r="C738" s="116">
        <v>1012.5</v>
      </c>
      <c r="D738" s="116">
        <v>982</v>
      </c>
      <c r="E738" s="116">
        <v>1001.55</v>
      </c>
      <c r="F738" s="116">
        <v>1012.5</v>
      </c>
      <c r="G738">
        <v>4250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46009</v>
      </c>
      <c r="B739" s="116">
        <v>1009.9</v>
      </c>
      <c r="C739" s="116">
        <v>1009.8</v>
      </c>
      <c r="D739" s="116">
        <v>1009.8</v>
      </c>
      <c r="E739" s="116">
        <v>1009.9</v>
      </c>
      <c r="F739" s="116">
        <v>1009.8</v>
      </c>
      <c r="G739">
        <v>375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46010</v>
      </c>
      <c r="B740" s="116">
        <v>1030.9000000000001</v>
      </c>
      <c r="C740" s="116">
        <v>1005</v>
      </c>
      <c r="D740" s="116">
        <v>995</v>
      </c>
      <c r="E740" s="116">
        <v>1005</v>
      </c>
      <c r="F740" s="116">
        <v>1005</v>
      </c>
      <c r="G740">
        <v>6375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46013</v>
      </c>
      <c r="B741" s="116">
        <v>1040</v>
      </c>
      <c r="C741" s="116">
        <v>1021.35</v>
      </c>
      <c r="D741" s="116">
        <v>985.05</v>
      </c>
      <c r="E741" s="116">
        <v>985.05</v>
      </c>
      <c r="F741" s="116">
        <v>1021.35</v>
      </c>
      <c r="G741">
        <v>7375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46014</v>
      </c>
      <c r="B742" s="116">
        <v>1072.4000000000001</v>
      </c>
      <c r="C742" s="116">
        <v>1072.3</v>
      </c>
      <c r="D742" s="116">
        <v>1035</v>
      </c>
      <c r="E742" s="116">
        <v>1039.5</v>
      </c>
      <c r="F742" s="116">
        <v>1072.3</v>
      </c>
      <c r="G742">
        <v>15375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46015</v>
      </c>
      <c r="B743" s="116">
        <v>1094</v>
      </c>
      <c r="C743" s="116">
        <v>1071.5</v>
      </c>
      <c r="D743" s="116">
        <v>1050</v>
      </c>
      <c r="E743" s="116">
        <v>1069.95</v>
      </c>
      <c r="F743" s="116">
        <v>1071.5</v>
      </c>
      <c r="G743">
        <v>9750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46017</v>
      </c>
      <c r="B744" s="116">
        <v>1071.5</v>
      </c>
      <c r="C744" s="116">
        <v>1028.3499999999999</v>
      </c>
      <c r="D744" s="116">
        <v>1020</v>
      </c>
      <c r="E744" s="116">
        <v>1071.5</v>
      </c>
      <c r="F744" s="116">
        <v>1028.3499999999999</v>
      </c>
      <c r="G744">
        <v>9000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46020</v>
      </c>
      <c r="B745" s="116">
        <v>1042</v>
      </c>
      <c r="C745" s="116">
        <v>997.1</v>
      </c>
      <c r="D745" s="116">
        <v>989</v>
      </c>
      <c r="E745" s="116">
        <v>1025</v>
      </c>
      <c r="F745" s="116">
        <v>997.1</v>
      </c>
      <c r="G745">
        <v>11375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46021</v>
      </c>
      <c r="B746" s="116">
        <v>999.8</v>
      </c>
      <c r="C746" s="116">
        <v>993.05</v>
      </c>
      <c r="D746" s="116">
        <v>982.1</v>
      </c>
      <c r="E746" s="116">
        <v>990</v>
      </c>
      <c r="F746" s="116">
        <v>993.05</v>
      </c>
      <c r="G746">
        <v>2250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46022</v>
      </c>
      <c r="B747" s="116">
        <v>1033.9000000000001</v>
      </c>
      <c r="C747" s="116">
        <v>1014</v>
      </c>
      <c r="D747" s="116">
        <v>991</v>
      </c>
      <c r="E747" s="116">
        <v>1033.9000000000001</v>
      </c>
      <c r="F747" s="116">
        <v>1014</v>
      </c>
      <c r="G747">
        <v>3500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46023</v>
      </c>
      <c r="B748" s="116">
        <v>1030</v>
      </c>
      <c r="C748" s="116">
        <v>1005.05</v>
      </c>
      <c r="D748" s="116">
        <v>1001.1</v>
      </c>
      <c r="E748" s="116">
        <v>1014</v>
      </c>
      <c r="F748" s="116">
        <v>1005.05</v>
      </c>
      <c r="G748">
        <v>3250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46024</v>
      </c>
      <c r="B749" s="116">
        <v>1017</v>
      </c>
      <c r="C749" s="116">
        <v>1010</v>
      </c>
      <c r="D749" s="116">
        <v>998</v>
      </c>
      <c r="E749" s="116">
        <v>1005.05</v>
      </c>
      <c r="F749" s="116">
        <v>1010</v>
      </c>
      <c r="G749">
        <v>5000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46027</v>
      </c>
      <c r="B750" s="116">
        <v>1032</v>
      </c>
      <c r="C750" s="116">
        <v>1025</v>
      </c>
      <c r="D750" s="116">
        <v>1001.1</v>
      </c>
      <c r="E750" s="116">
        <v>1010</v>
      </c>
      <c r="F750" s="116">
        <v>1025</v>
      </c>
      <c r="G750">
        <v>5000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46028</v>
      </c>
      <c r="B751" s="116">
        <v>1034.9000000000001</v>
      </c>
      <c r="C751" s="116">
        <v>1013.05</v>
      </c>
      <c r="D751" s="116">
        <v>1010</v>
      </c>
      <c r="E751" s="116">
        <v>1030</v>
      </c>
      <c r="F751" s="116">
        <v>1013.05</v>
      </c>
      <c r="G751">
        <v>2750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46029</v>
      </c>
      <c r="B752" s="116">
        <v>1047</v>
      </c>
      <c r="C752" s="116">
        <v>1029.75</v>
      </c>
      <c r="D752" s="116">
        <v>1020</v>
      </c>
      <c r="E752" s="116">
        <v>1026</v>
      </c>
      <c r="F752" s="116">
        <v>1029.75</v>
      </c>
      <c r="G752">
        <v>7000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46030</v>
      </c>
      <c r="B753" s="116">
        <v>1050</v>
      </c>
      <c r="C753" s="116">
        <v>1028.5</v>
      </c>
      <c r="D753" s="116">
        <v>1020</v>
      </c>
      <c r="E753" s="116">
        <v>1035</v>
      </c>
      <c r="F753" s="116">
        <v>1028.5</v>
      </c>
      <c r="G753">
        <v>3000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46031</v>
      </c>
      <c r="B754" s="116">
        <v>1053</v>
      </c>
      <c r="C754" s="116">
        <v>1015</v>
      </c>
      <c r="D754" s="116">
        <v>1000</v>
      </c>
      <c r="E754" s="116">
        <v>1031</v>
      </c>
      <c r="F754" s="116">
        <v>1015</v>
      </c>
      <c r="G754">
        <v>8750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46034</v>
      </c>
      <c r="B755" s="116">
        <v>1014</v>
      </c>
      <c r="C755" s="116">
        <v>1011.65</v>
      </c>
      <c r="D755" s="116">
        <v>981</v>
      </c>
      <c r="E755" s="116">
        <v>982</v>
      </c>
      <c r="F755" s="116">
        <v>1011.65</v>
      </c>
      <c r="G755">
        <v>7500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46035</v>
      </c>
      <c r="B756" s="116">
        <v>1011.65</v>
      </c>
      <c r="C756" s="116">
        <v>999.95</v>
      </c>
      <c r="D756" s="116">
        <v>979</v>
      </c>
      <c r="E756" s="116">
        <v>1011.65</v>
      </c>
      <c r="F756" s="116">
        <v>999.95</v>
      </c>
      <c r="G756">
        <v>5250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46036</v>
      </c>
      <c r="B757" s="116">
        <v>1020.5</v>
      </c>
      <c r="C757" s="116">
        <v>1009</v>
      </c>
      <c r="D757" s="116">
        <v>1008</v>
      </c>
      <c r="E757" s="116">
        <v>1012.5</v>
      </c>
      <c r="F757" s="116">
        <v>1009</v>
      </c>
      <c r="G757">
        <v>1750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46038</v>
      </c>
      <c r="B758" s="116">
        <v>1030</v>
      </c>
      <c r="C758" s="116">
        <v>1026.8</v>
      </c>
      <c r="D758" s="116">
        <v>1009</v>
      </c>
      <c r="E758" s="116">
        <v>1015</v>
      </c>
      <c r="F758" s="116">
        <v>1026.8</v>
      </c>
      <c r="G758">
        <v>6750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46041</v>
      </c>
      <c r="B759" s="116">
        <v>1052</v>
      </c>
      <c r="C759" s="116">
        <v>1048.7</v>
      </c>
      <c r="D759" s="116">
        <v>1015.5</v>
      </c>
      <c r="E759" s="116">
        <v>1015.5</v>
      </c>
      <c r="F759" s="116">
        <v>1048.7</v>
      </c>
      <c r="G759">
        <v>9500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46042</v>
      </c>
      <c r="B760" s="116">
        <v>1048</v>
      </c>
      <c r="C760" s="116">
        <v>1017.15</v>
      </c>
      <c r="D760" s="116">
        <v>1011.5</v>
      </c>
      <c r="E760" s="116">
        <v>1047</v>
      </c>
      <c r="F760" s="116">
        <v>1017.15</v>
      </c>
      <c r="G760">
        <v>5500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46043</v>
      </c>
      <c r="B761" s="116">
        <v>1010</v>
      </c>
      <c r="C761" s="116">
        <v>990.75</v>
      </c>
      <c r="D761" s="116">
        <v>966.3</v>
      </c>
      <c r="E761" s="116">
        <v>1010</v>
      </c>
      <c r="F761" s="116">
        <v>990.75</v>
      </c>
      <c r="G761">
        <v>7500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46044</v>
      </c>
      <c r="B762" s="116">
        <v>1038.75</v>
      </c>
      <c r="C762" s="116">
        <v>1035.6500000000001</v>
      </c>
      <c r="D762" s="116">
        <v>1000</v>
      </c>
      <c r="E762" s="116">
        <v>1010</v>
      </c>
      <c r="F762" s="116">
        <v>1035.6500000000001</v>
      </c>
      <c r="G762">
        <v>4500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46045</v>
      </c>
      <c r="B763" s="116">
        <v>1035</v>
      </c>
      <c r="C763" s="116">
        <v>1012.1</v>
      </c>
      <c r="D763" s="116">
        <v>1010.55</v>
      </c>
      <c r="E763" s="116">
        <v>1030</v>
      </c>
      <c r="F763" s="116">
        <v>1012.1</v>
      </c>
      <c r="G763">
        <v>4750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46049</v>
      </c>
      <c r="B764" s="116">
        <v>1030</v>
      </c>
      <c r="C764" s="116">
        <v>1027</v>
      </c>
      <c r="D764" s="116">
        <v>1012</v>
      </c>
      <c r="E764" s="116">
        <v>1012</v>
      </c>
      <c r="F764" s="116">
        <v>1027</v>
      </c>
      <c r="G764">
        <v>2125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46050</v>
      </c>
      <c r="B765" s="116">
        <v>1057</v>
      </c>
      <c r="C765" s="116">
        <v>1025.2</v>
      </c>
      <c r="D765" s="116">
        <v>1020</v>
      </c>
      <c r="E765" s="116">
        <v>1039.95</v>
      </c>
      <c r="F765" s="116">
        <v>1025.2</v>
      </c>
      <c r="G765">
        <v>2875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46051</v>
      </c>
      <c r="B766" s="116">
        <v>1075.9000000000001</v>
      </c>
      <c r="C766" s="116">
        <v>1041</v>
      </c>
      <c r="D766" s="116">
        <v>1040</v>
      </c>
      <c r="E766" s="116">
        <v>1070</v>
      </c>
      <c r="F766" s="116">
        <v>1041</v>
      </c>
      <c r="G766">
        <v>3750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46052</v>
      </c>
      <c r="B767" s="116">
        <v>1067</v>
      </c>
      <c r="C767" s="116">
        <v>1061.0999999999999</v>
      </c>
      <c r="D767" s="116">
        <v>1025.3</v>
      </c>
      <c r="E767" s="116">
        <v>1027</v>
      </c>
      <c r="F767" s="116">
        <v>1061.0999999999999</v>
      </c>
      <c r="G767">
        <v>9000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46054</v>
      </c>
      <c r="B768" s="116">
        <v>1080</v>
      </c>
      <c r="C768" s="116">
        <v>1040</v>
      </c>
      <c r="D768" s="116">
        <v>1040</v>
      </c>
      <c r="E768" s="116">
        <v>1061.0999999999999</v>
      </c>
      <c r="F768" s="116">
        <v>1040</v>
      </c>
      <c r="G768">
        <v>2625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46055</v>
      </c>
      <c r="B769" s="116">
        <v>1092</v>
      </c>
      <c r="C769" s="116">
        <v>1057.75</v>
      </c>
      <c r="D769" s="116">
        <v>1020.5</v>
      </c>
      <c r="E769" s="116">
        <v>1021</v>
      </c>
      <c r="F769" s="116">
        <v>1057.75</v>
      </c>
      <c r="G769">
        <v>18000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46056</v>
      </c>
      <c r="B770" s="116">
        <v>1080.5</v>
      </c>
      <c r="C770" s="116">
        <v>1051</v>
      </c>
      <c r="D770" s="116">
        <v>1028.2</v>
      </c>
      <c r="E770" s="116">
        <v>1080</v>
      </c>
      <c r="F770" s="116">
        <v>1051</v>
      </c>
      <c r="G770">
        <v>6625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46057</v>
      </c>
      <c r="B771" s="116">
        <v>1077.5</v>
      </c>
      <c r="C771" s="116">
        <v>1035.25</v>
      </c>
      <c r="D771" s="116">
        <v>1020</v>
      </c>
      <c r="E771" s="116">
        <v>1063.9000000000001</v>
      </c>
      <c r="F771" s="116">
        <v>1035.25</v>
      </c>
      <c r="G771">
        <v>7750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46058</v>
      </c>
      <c r="B772" s="116">
        <v>1040</v>
      </c>
      <c r="C772" s="116">
        <v>1019.75</v>
      </c>
      <c r="D772" s="116">
        <v>1017.8</v>
      </c>
      <c r="E772" s="116">
        <v>1020</v>
      </c>
      <c r="F772" s="116">
        <v>1019.75</v>
      </c>
      <c r="G772">
        <v>6125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46059</v>
      </c>
      <c r="B773" s="116">
        <v>1050</v>
      </c>
      <c r="C773" s="116">
        <v>1027</v>
      </c>
      <c r="D773" s="116">
        <v>1018</v>
      </c>
      <c r="E773" s="116">
        <v>1020.2</v>
      </c>
      <c r="F773" s="116">
        <v>1027</v>
      </c>
      <c r="G773">
        <v>2375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46062</v>
      </c>
      <c r="B774" s="116">
        <v>1070</v>
      </c>
      <c r="C774" s="116">
        <v>975.65</v>
      </c>
      <c r="D774" s="116">
        <v>975.65</v>
      </c>
      <c r="E774" s="116">
        <v>1060</v>
      </c>
      <c r="F774" s="116">
        <v>975.65</v>
      </c>
      <c r="G774">
        <v>22500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46063</v>
      </c>
      <c r="B775" s="116">
        <v>926.9</v>
      </c>
      <c r="C775" s="116">
        <v>926.9</v>
      </c>
      <c r="D775" s="116">
        <v>926.9</v>
      </c>
      <c r="E775" s="116">
        <v>926.9</v>
      </c>
      <c r="F775" s="116">
        <v>926.9</v>
      </c>
      <c r="G775">
        <v>6375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46064</v>
      </c>
      <c r="B776" s="116">
        <v>880.6</v>
      </c>
      <c r="C776" s="116">
        <v>880.6</v>
      </c>
      <c r="D776" s="116">
        <v>880.6</v>
      </c>
      <c r="E776" s="116">
        <v>880.6</v>
      </c>
      <c r="F776" s="116">
        <v>880.6</v>
      </c>
      <c r="G776">
        <v>12375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46065</v>
      </c>
      <c r="B777" s="116">
        <v>924.6</v>
      </c>
      <c r="C777" s="116">
        <v>924.6</v>
      </c>
      <c r="D777" s="116">
        <v>836.6</v>
      </c>
      <c r="E777" s="116">
        <v>836.6</v>
      </c>
      <c r="F777" s="116">
        <v>924.6</v>
      </c>
      <c r="G777">
        <v>44500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46066</v>
      </c>
      <c r="B778" s="116">
        <v>897.6</v>
      </c>
      <c r="C778" s="116">
        <v>879.05</v>
      </c>
      <c r="D778" s="116">
        <v>878.4</v>
      </c>
      <c r="E778" s="116">
        <v>890</v>
      </c>
      <c r="F778" s="116">
        <v>879.05</v>
      </c>
      <c r="G778">
        <v>15625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46069</v>
      </c>
      <c r="B779" s="116">
        <v>913.95</v>
      </c>
      <c r="C779" s="116">
        <v>897.8</v>
      </c>
      <c r="D779" s="116">
        <v>878</v>
      </c>
      <c r="E779" s="116">
        <v>888</v>
      </c>
      <c r="F779" s="116">
        <v>897.8</v>
      </c>
      <c r="G779">
        <v>9750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46070</v>
      </c>
      <c r="B780" s="116">
        <v>921</v>
      </c>
      <c r="C780" s="116">
        <v>911.3</v>
      </c>
      <c r="D780" s="116">
        <v>900</v>
      </c>
      <c r="E780" s="116">
        <v>900</v>
      </c>
      <c r="F780" s="116">
        <v>911.3</v>
      </c>
      <c r="G780">
        <v>6375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46071</v>
      </c>
      <c r="B781" s="116">
        <v>919</v>
      </c>
      <c r="C781" s="116">
        <v>913.6</v>
      </c>
      <c r="D781" s="116">
        <v>900</v>
      </c>
      <c r="E781" s="116">
        <v>910.1</v>
      </c>
      <c r="F781" s="116">
        <v>913.6</v>
      </c>
      <c r="G781">
        <v>4875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46072</v>
      </c>
      <c r="B782" s="116">
        <v>920</v>
      </c>
      <c r="C782" s="116">
        <v>900.7</v>
      </c>
      <c r="D782" s="116">
        <v>900</v>
      </c>
      <c r="E782" s="116">
        <v>920</v>
      </c>
      <c r="F782" s="116">
        <v>900.7</v>
      </c>
      <c r="G782">
        <v>3625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46073</v>
      </c>
      <c r="B783" s="116">
        <v>913.95</v>
      </c>
      <c r="C783" s="116">
        <v>901.9</v>
      </c>
      <c r="D783" s="116">
        <v>890</v>
      </c>
      <c r="E783" s="116">
        <v>913.95</v>
      </c>
      <c r="F783" s="116">
        <v>901.9</v>
      </c>
      <c r="G783">
        <v>3000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46076</v>
      </c>
      <c r="B784" s="116">
        <v>899.85</v>
      </c>
      <c r="C784" s="116">
        <v>889.55</v>
      </c>
      <c r="D784" s="116">
        <v>871.5</v>
      </c>
      <c r="E784" s="116">
        <v>881.1</v>
      </c>
      <c r="F784" s="116">
        <v>889.55</v>
      </c>
      <c r="G784">
        <v>7250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46077</v>
      </c>
      <c r="B785" s="116">
        <v>885</v>
      </c>
      <c r="C785" s="116">
        <v>882</v>
      </c>
      <c r="D785" s="116">
        <v>869</v>
      </c>
      <c r="E785" s="116">
        <v>873.25</v>
      </c>
      <c r="F785" s="116">
        <v>882</v>
      </c>
      <c r="G785">
        <v>1875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46078</v>
      </c>
      <c r="B786" s="116">
        <v>868</v>
      </c>
      <c r="C786" s="116">
        <v>848.6</v>
      </c>
      <c r="D786" s="116">
        <v>838</v>
      </c>
      <c r="E786" s="116">
        <v>868</v>
      </c>
      <c r="F786" s="116">
        <v>848.6</v>
      </c>
      <c r="G786">
        <v>11000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46079</v>
      </c>
      <c r="B787" s="116">
        <v>854.75</v>
      </c>
      <c r="C787" s="116">
        <v>836</v>
      </c>
      <c r="D787" s="116">
        <v>830</v>
      </c>
      <c r="E787" s="116">
        <v>851</v>
      </c>
      <c r="F787" s="116">
        <v>836</v>
      </c>
      <c r="G787">
        <v>7875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46080</v>
      </c>
      <c r="B788" s="116">
        <v>834.75</v>
      </c>
      <c r="C788" s="116">
        <v>812.55</v>
      </c>
      <c r="D788" s="116">
        <v>795.2</v>
      </c>
      <c r="E788" s="116">
        <v>815.1</v>
      </c>
      <c r="F788" s="116">
        <v>812.55</v>
      </c>
      <c r="G788">
        <v>14250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46083</v>
      </c>
      <c r="B789" s="116">
        <v>806.3</v>
      </c>
      <c r="C789" s="116">
        <v>771.95</v>
      </c>
      <c r="D789" s="116">
        <v>771.95</v>
      </c>
      <c r="E789" s="116">
        <v>775</v>
      </c>
      <c r="F789" s="116">
        <v>771.95</v>
      </c>
      <c r="G789">
        <v>28750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46085</v>
      </c>
      <c r="B790" s="116">
        <v>759.95</v>
      </c>
      <c r="C790" s="116">
        <v>734.3</v>
      </c>
      <c r="D790" s="116">
        <v>733.4</v>
      </c>
      <c r="E790" s="116">
        <v>753</v>
      </c>
      <c r="F790" s="116">
        <v>734.3</v>
      </c>
      <c r="G790">
        <v>40125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46086</v>
      </c>
      <c r="B791" s="116">
        <v>749</v>
      </c>
      <c r="C791" s="116">
        <v>737.1</v>
      </c>
      <c r="D791" s="116">
        <v>731.1</v>
      </c>
      <c r="E791" s="116">
        <v>745</v>
      </c>
      <c r="F791" s="116">
        <v>737.1</v>
      </c>
      <c r="G791">
        <v>8000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46087</v>
      </c>
      <c r="B792" s="116">
        <v>763.95</v>
      </c>
      <c r="C792" s="116">
        <v>749.5</v>
      </c>
      <c r="D792" s="116">
        <v>722</v>
      </c>
      <c r="E792" s="116">
        <v>731</v>
      </c>
      <c r="F792" s="116">
        <v>749.5</v>
      </c>
      <c r="G792">
        <v>4125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46090</v>
      </c>
      <c r="B793" s="116">
        <v>737.35</v>
      </c>
      <c r="C793" s="116">
        <v>712.05</v>
      </c>
      <c r="D793" s="116">
        <v>712.05</v>
      </c>
      <c r="E793" s="116">
        <v>712.6</v>
      </c>
      <c r="F793" s="116">
        <v>712.05</v>
      </c>
      <c r="G793">
        <v>19375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46091</v>
      </c>
      <c r="B794" s="116">
        <v>731.95</v>
      </c>
      <c r="C794" s="116">
        <v>710.55</v>
      </c>
      <c r="D794" s="116">
        <v>690</v>
      </c>
      <c r="E794" s="116">
        <v>712.05</v>
      </c>
      <c r="F794" s="116">
        <v>710.55</v>
      </c>
      <c r="G794">
        <v>18500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46092</v>
      </c>
      <c r="B795" s="116">
        <v>746.05</v>
      </c>
      <c r="C795" s="116">
        <v>743.25</v>
      </c>
      <c r="D795" s="116">
        <v>686</v>
      </c>
      <c r="E795" s="116">
        <v>686</v>
      </c>
      <c r="F795" s="116">
        <v>743.25</v>
      </c>
      <c r="G795">
        <v>13000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46093</v>
      </c>
      <c r="B796" s="116">
        <v>780.4</v>
      </c>
      <c r="C796" s="116">
        <v>780.4</v>
      </c>
      <c r="D796" s="116">
        <v>742</v>
      </c>
      <c r="E796" s="116">
        <v>743.4</v>
      </c>
      <c r="F796" s="116">
        <v>780.4</v>
      </c>
      <c r="G796">
        <v>11375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46094</v>
      </c>
      <c r="B797" s="116">
        <v>819.4</v>
      </c>
      <c r="C797" s="116">
        <v>810.15</v>
      </c>
      <c r="D797" s="116">
        <v>743</v>
      </c>
      <c r="E797" s="116">
        <v>795</v>
      </c>
      <c r="F797" s="116">
        <v>810.15</v>
      </c>
      <c r="G797">
        <v>29625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46097</v>
      </c>
      <c r="B798" s="116">
        <v>850.65</v>
      </c>
      <c r="C798" s="116">
        <v>850.2</v>
      </c>
      <c r="D798" s="116">
        <v>785</v>
      </c>
      <c r="E798" s="116">
        <v>811</v>
      </c>
      <c r="F798" s="116">
        <v>850.2</v>
      </c>
      <c r="G798">
        <v>19375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46098</v>
      </c>
      <c r="B799" s="116">
        <v>892.7</v>
      </c>
      <c r="C799" s="116">
        <v>881.5</v>
      </c>
      <c r="D799" s="116">
        <v>830.05</v>
      </c>
      <c r="E799" s="116">
        <v>892.6</v>
      </c>
      <c r="F799" s="116">
        <v>881.5</v>
      </c>
      <c r="G799">
        <v>22875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46099</v>
      </c>
      <c r="B800" s="116">
        <v>902</v>
      </c>
      <c r="C800" s="116">
        <v>899.5</v>
      </c>
      <c r="D800" s="116">
        <v>866.2</v>
      </c>
      <c r="E800" s="116">
        <v>881.5</v>
      </c>
      <c r="F800" s="116">
        <v>899.5</v>
      </c>
      <c r="G800">
        <v>5250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46100</v>
      </c>
      <c r="B801" s="116">
        <v>925</v>
      </c>
      <c r="C801" s="116">
        <v>891.75</v>
      </c>
      <c r="D801" s="116">
        <v>870</v>
      </c>
      <c r="E801" s="116">
        <v>870</v>
      </c>
      <c r="F801" s="116">
        <v>891.75</v>
      </c>
      <c r="G801">
        <v>7250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46101</v>
      </c>
      <c r="B802" s="116">
        <v>906</v>
      </c>
      <c r="C802" s="116">
        <v>866.7</v>
      </c>
      <c r="D802" s="116">
        <v>864.3</v>
      </c>
      <c r="E802" s="116">
        <v>895</v>
      </c>
      <c r="F802" s="116">
        <v>866.7</v>
      </c>
      <c r="G802">
        <v>8875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46104</v>
      </c>
      <c r="B803" s="116">
        <v>888</v>
      </c>
      <c r="C803" s="116">
        <v>839.15</v>
      </c>
      <c r="D803" s="116">
        <v>823.4</v>
      </c>
      <c r="E803" s="116">
        <v>861.25</v>
      </c>
      <c r="F803" s="116">
        <v>839.15</v>
      </c>
      <c r="G803">
        <v>12250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46105</v>
      </c>
      <c r="B804" s="116">
        <v>831.45</v>
      </c>
      <c r="C804" s="116">
        <v>812.1</v>
      </c>
      <c r="D804" s="116">
        <v>810</v>
      </c>
      <c r="E804" s="116">
        <v>830.1</v>
      </c>
      <c r="F804" s="116">
        <v>812.1</v>
      </c>
      <c r="G804">
        <v>10250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46106</v>
      </c>
      <c r="B805" s="116">
        <v>845.95</v>
      </c>
      <c r="C805" s="116">
        <v>823.15</v>
      </c>
      <c r="D805" s="116">
        <v>787.65</v>
      </c>
      <c r="E805" s="116">
        <v>820</v>
      </c>
      <c r="F805" s="116">
        <v>823.15</v>
      </c>
      <c r="G805">
        <v>11875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46108</v>
      </c>
      <c r="B806" s="116">
        <v>823.15</v>
      </c>
      <c r="C806" s="116">
        <v>782</v>
      </c>
      <c r="D806" s="116">
        <v>782</v>
      </c>
      <c r="E806" s="116">
        <v>823.15</v>
      </c>
      <c r="F806" s="116">
        <v>782</v>
      </c>
      <c r="G806">
        <v>28000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46111</v>
      </c>
      <c r="B807" s="116">
        <v>780</v>
      </c>
      <c r="C807" s="116">
        <v>768.6</v>
      </c>
      <c r="D807" s="116">
        <v>747</v>
      </c>
      <c r="E807" s="116">
        <v>775</v>
      </c>
      <c r="F807" s="116">
        <v>768.6</v>
      </c>
      <c r="G807">
        <v>21500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46113</v>
      </c>
      <c r="B808" s="116">
        <v>807</v>
      </c>
      <c r="C808" s="116">
        <v>803.25</v>
      </c>
      <c r="D808" s="116">
        <v>800</v>
      </c>
      <c r="E808" s="116">
        <v>805.85</v>
      </c>
      <c r="F808" s="116">
        <v>803.25</v>
      </c>
      <c r="G808">
        <v>32750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46114</v>
      </c>
      <c r="B809" s="116">
        <v>839</v>
      </c>
      <c r="C809" s="116">
        <v>838.55</v>
      </c>
      <c r="D809" s="116">
        <v>784.05</v>
      </c>
      <c r="E809" s="116">
        <v>821.4</v>
      </c>
      <c r="F809" s="116">
        <v>838.55</v>
      </c>
      <c r="G809">
        <v>9750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46118</v>
      </c>
      <c r="B810" s="116">
        <v>848.3</v>
      </c>
      <c r="C810" s="116">
        <v>844.3</v>
      </c>
      <c r="D810" s="116">
        <v>829.05</v>
      </c>
      <c r="E810" s="116">
        <v>838</v>
      </c>
      <c r="F810" s="116">
        <v>844.3</v>
      </c>
      <c r="G810">
        <v>3000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46119</v>
      </c>
      <c r="B811" s="116">
        <v>873.95</v>
      </c>
      <c r="C811" s="116">
        <v>860.2</v>
      </c>
      <c r="D811" s="116">
        <v>823.35</v>
      </c>
      <c r="E811" s="116">
        <v>835</v>
      </c>
      <c r="F811" s="116">
        <v>860.2</v>
      </c>
      <c r="G811">
        <v>12000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46120</v>
      </c>
      <c r="B812" s="116">
        <v>946.75</v>
      </c>
      <c r="C812" s="116">
        <v>878.35</v>
      </c>
      <c r="D812" s="116">
        <v>866</v>
      </c>
      <c r="E812" s="116">
        <v>939</v>
      </c>
      <c r="F812" s="116">
        <v>878.35</v>
      </c>
      <c r="G812">
        <v>20500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46121</v>
      </c>
      <c r="B813" s="116">
        <v>884.4</v>
      </c>
      <c r="C813" s="116">
        <v>855</v>
      </c>
      <c r="D813" s="116">
        <v>838.3</v>
      </c>
      <c r="E813" s="116">
        <v>880</v>
      </c>
      <c r="F813" s="116">
        <v>855</v>
      </c>
      <c r="G813">
        <v>13625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46122</v>
      </c>
      <c r="B814" s="116">
        <v>869</v>
      </c>
      <c r="C814" s="116">
        <v>849.6</v>
      </c>
      <c r="D814" s="116">
        <v>840.05</v>
      </c>
      <c r="E814" s="116">
        <v>850</v>
      </c>
      <c r="F814" s="116">
        <v>849.6</v>
      </c>
      <c r="G814">
        <v>12500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46125</v>
      </c>
      <c r="B815" s="116">
        <v>890</v>
      </c>
      <c r="C815" s="116">
        <v>846.55</v>
      </c>
      <c r="D815" s="116">
        <v>820</v>
      </c>
      <c r="E815" s="116">
        <v>838.8</v>
      </c>
      <c r="F815" s="116">
        <v>846.55</v>
      </c>
      <c r="G815">
        <v>13125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46127</v>
      </c>
      <c r="B816" s="116">
        <v>879</v>
      </c>
      <c r="C816" s="116">
        <v>863.95</v>
      </c>
      <c r="D816" s="116">
        <v>850</v>
      </c>
      <c r="E816" s="116">
        <v>878</v>
      </c>
      <c r="F816" s="116">
        <v>863.95</v>
      </c>
      <c r="G816">
        <v>10250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46128</v>
      </c>
      <c r="B817" s="116">
        <v>874</v>
      </c>
      <c r="C817" s="116">
        <v>870.1</v>
      </c>
      <c r="D817" s="116">
        <v>848</v>
      </c>
      <c r="E817" s="116">
        <v>870</v>
      </c>
      <c r="F817" s="116">
        <v>870.1</v>
      </c>
      <c r="G817">
        <v>10000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46129</v>
      </c>
      <c r="B818" s="116">
        <v>889.4</v>
      </c>
      <c r="C818" s="116">
        <v>865.9</v>
      </c>
      <c r="D818" s="116">
        <v>849.95</v>
      </c>
      <c r="E818" s="116">
        <v>860</v>
      </c>
      <c r="F818" s="116">
        <v>865.9</v>
      </c>
      <c r="G818">
        <v>21125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46132</v>
      </c>
      <c r="B819" s="116">
        <v>866</v>
      </c>
      <c r="C819" s="116">
        <v>850.5</v>
      </c>
      <c r="D819" s="116">
        <v>845.1</v>
      </c>
      <c r="E819" s="116">
        <v>866</v>
      </c>
      <c r="F819" s="116">
        <v>850.5</v>
      </c>
      <c r="G819">
        <v>23750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46133</v>
      </c>
      <c r="B820" s="116">
        <v>861.7</v>
      </c>
      <c r="C820" s="116">
        <v>833.35</v>
      </c>
      <c r="D820" s="116">
        <v>816.75</v>
      </c>
      <c r="E820" s="116">
        <v>840.5</v>
      </c>
      <c r="F820" s="116">
        <v>833.35</v>
      </c>
      <c r="G820">
        <v>20375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46134</v>
      </c>
      <c r="B821" s="116">
        <v>874</v>
      </c>
      <c r="C821" s="116">
        <v>858</v>
      </c>
      <c r="D821" s="116">
        <v>832</v>
      </c>
      <c r="E821" s="116">
        <v>840</v>
      </c>
      <c r="F821" s="116">
        <v>858</v>
      </c>
      <c r="G821">
        <v>6000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46135</v>
      </c>
      <c r="B822" s="116">
        <v>863</v>
      </c>
      <c r="C822" s="116">
        <v>856.8</v>
      </c>
      <c r="D822" s="116">
        <v>840.05</v>
      </c>
      <c r="E822" s="116">
        <v>855</v>
      </c>
      <c r="F822" s="116">
        <v>856.8</v>
      </c>
      <c r="G822">
        <v>8250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46136</v>
      </c>
      <c r="B823" s="116">
        <v>867</v>
      </c>
      <c r="C823" s="116">
        <v>860</v>
      </c>
      <c r="D823" s="116">
        <v>850.05</v>
      </c>
      <c r="E823" s="116">
        <v>865</v>
      </c>
      <c r="F823" s="116">
        <v>860</v>
      </c>
      <c r="G823">
        <v>5500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46139</v>
      </c>
      <c r="B824" s="116">
        <v>869</v>
      </c>
      <c r="C824" s="116">
        <v>861.7</v>
      </c>
      <c r="D824" s="116">
        <v>849</v>
      </c>
      <c r="E824" s="116">
        <v>859</v>
      </c>
      <c r="F824" s="116">
        <v>861.7</v>
      </c>
      <c r="G824">
        <v>8125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46140</v>
      </c>
      <c r="B825" s="116">
        <v>878</v>
      </c>
      <c r="C825" s="116">
        <v>876.6</v>
      </c>
      <c r="D825" s="116">
        <v>850.5</v>
      </c>
      <c r="E825" s="116">
        <v>850.5</v>
      </c>
      <c r="F825" s="116">
        <v>876.6</v>
      </c>
      <c r="G825">
        <v>14500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46141</v>
      </c>
      <c r="B826" s="116">
        <v>973.9</v>
      </c>
      <c r="C826" s="116">
        <v>950.5</v>
      </c>
      <c r="D826" s="116">
        <v>876.6</v>
      </c>
      <c r="E826" s="116">
        <v>876.6</v>
      </c>
      <c r="F826" s="116">
        <v>950.5</v>
      </c>
      <c r="G826">
        <v>33125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46142</v>
      </c>
      <c r="B827" s="116">
        <v>994</v>
      </c>
      <c r="C827" s="116">
        <v>976.1</v>
      </c>
      <c r="D827" s="116">
        <v>929</v>
      </c>
      <c r="E827" s="116">
        <v>945.75</v>
      </c>
      <c r="F827" s="116">
        <v>976.1</v>
      </c>
      <c r="G827">
        <v>19000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46146</v>
      </c>
      <c r="B828" s="116">
        <v>1010.5</v>
      </c>
      <c r="C828" s="116">
        <v>960.1</v>
      </c>
      <c r="D828" s="116">
        <v>951.25</v>
      </c>
      <c r="E828" s="116">
        <v>978.05</v>
      </c>
      <c r="F828" s="116">
        <v>960.1</v>
      </c>
      <c r="G828">
        <v>27625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46147</v>
      </c>
      <c r="B829" s="116">
        <v>989</v>
      </c>
      <c r="C829" s="116">
        <v>945.35</v>
      </c>
      <c r="D829" s="116">
        <v>944.95</v>
      </c>
      <c r="E829" s="116">
        <v>961</v>
      </c>
      <c r="F829" s="116">
        <v>945.35</v>
      </c>
      <c r="G829">
        <v>24250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46148</v>
      </c>
      <c r="B830" s="116">
        <v>975</v>
      </c>
      <c r="C830" s="116">
        <v>907.55</v>
      </c>
      <c r="D830" s="116">
        <v>835</v>
      </c>
      <c r="E830" s="116">
        <v>960</v>
      </c>
      <c r="F830" s="116">
        <v>907.55</v>
      </c>
      <c r="G830">
        <v>75250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46149</v>
      </c>
      <c r="B831" s="116">
        <v>910</v>
      </c>
      <c r="C831" s="116">
        <v>890.6</v>
      </c>
      <c r="D831" s="116">
        <v>865</v>
      </c>
      <c r="E831" s="116">
        <v>910</v>
      </c>
      <c r="F831" s="116">
        <v>890.6</v>
      </c>
      <c r="G831">
        <v>30500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46150</v>
      </c>
      <c r="B832" s="116">
        <v>883</v>
      </c>
      <c r="C832" s="116">
        <v>877.8</v>
      </c>
      <c r="D832" s="116">
        <v>865</v>
      </c>
      <c r="E832" s="116">
        <v>865.5</v>
      </c>
      <c r="F832" s="116">
        <v>877.8</v>
      </c>
      <c r="G832">
        <v>14125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46153</v>
      </c>
      <c r="B833" s="116">
        <v>905</v>
      </c>
      <c r="C833" s="116">
        <v>902.75</v>
      </c>
      <c r="D833" s="116">
        <v>850.05</v>
      </c>
      <c r="E833" s="116">
        <v>857.2</v>
      </c>
      <c r="F833" s="116">
        <v>902.75</v>
      </c>
      <c r="G833">
        <v>14250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46154</v>
      </c>
      <c r="B834" s="116">
        <v>907.95</v>
      </c>
      <c r="C834" s="116">
        <v>888</v>
      </c>
      <c r="D834" s="116">
        <v>865</v>
      </c>
      <c r="E834" s="116">
        <v>865</v>
      </c>
      <c r="F834" s="116">
        <v>888</v>
      </c>
      <c r="G834">
        <v>10750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46155</v>
      </c>
      <c r="B835" s="116">
        <v>896</v>
      </c>
      <c r="C835" s="116">
        <v>872.65</v>
      </c>
      <c r="D835" s="116">
        <v>871.25</v>
      </c>
      <c r="E835" s="116">
        <v>880</v>
      </c>
      <c r="F835" s="116">
        <v>872.65</v>
      </c>
      <c r="G835">
        <v>8875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46156</v>
      </c>
      <c r="B836" s="116">
        <v>885</v>
      </c>
      <c r="C836" s="116">
        <v>872.7</v>
      </c>
      <c r="D836" s="116">
        <v>867</v>
      </c>
      <c r="E836" s="116">
        <v>872.65</v>
      </c>
      <c r="F836" s="116">
        <v>872.7</v>
      </c>
      <c r="G836">
        <v>6500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46157</v>
      </c>
      <c r="B837" s="116">
        <v>885</v>
      </c>
      <c r="C837" s="116">
        <v>870.8</v>
      </c>
      <c r="D837" s="116">
        <v>870</v>
      </c>
      <c r="E837" s="116">
        <v>885</v>
      </c>
      <c r="F837" s="116">
        <v>870.8</v>
      </c>
      <c r="G837">
        <v>5250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46160</v>
      </c>
      <c r="B838" s="116">
        <v>870</v>
      </c>
      <c r="C838" s="116">
        <v>837.75</v>
      </c>
      <c r="D838" s="116">
        <v>830</v>
      </c>
      <c r="E838" s="116">
        <v>866.45</v>
      </c>
      <c r="F838" s="116">
        <v>837.75</v>
      </c>
      <c r="G838">
        <v>7125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46161</v>
      </c>
      <c r="B839" s="116">
        <v>860</v>
      </c>
      <c r="C839" s="116">
        <v>860</v>
      </c>
      <c r="D839" s="116">
        <v>837.75</v>
      </c>
      <c r="E839" s="116">
        <v>837.75</v>
      </c>
      <c r="F839" s="116">
        <v>860</v>
      </c>
      <c r="G839">
        <v>1875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46162</v>
      </c>
      <c r="B840" s="116">
        <v>864.95</v>
      </c>
      <c r="C840" s="116">
        <v>847.2</v>
      </c>
      <c r="D840" s="116">
        <v>825</v>
      </c>
      <c r="E840" s="116">
        <v>825</v>
      </c>
      <c r="F840" s="116">
        <v>847.2</v>
      </c>
      <c r="G840">
        <v>3625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46163</v>
      </c>
      <c r="B841" s="116">
        <v>850</v>
      </c>
      <c r="C841" s="116">
        <v>833.2</v>
      </c>
      <c r="D841" s="116">
        <v>825.2</v>
      </c>
      <c r="E841" s="116">
        <v>850</v>
      </c>
      <c r="F841" s="116">
        <v>833.2</v>
      </c>
      <c r="G841">
        <v>7125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46164</v>
      </c>
      <c r="B842" s="116">
        <v>838.9</v>
      </c>
      <c r="C842" s="116">
        <v>827.6</v>
      </c>
      <c r="D842" s="116">
        <v>825</v>
      </c>
      <c r="E842" s="116">
        <v>833.2</v>
      </c>
      <c r="F842" s="116">
        <v>827.6</v>
      </c>
      <c r="G842">
        <v>6875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46167</v>
      </c>
      <c r="B843" s="116">
        <v>827.6</v>
      </c>
      <c r="C843" s="116">
        <v>806.15</v>
      </c>
      <c r="D843" s="116">
        <v>803</v>
      </c>
      <c r="E843" s="116">
        <v>827.6</v>
      </c>
      <c r="F843" s="116">
        <v>806.15</v>
      </c>
      <c r="G843">
        <v>6750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46168</v>
      </c>
      <c r="B844" s="116">
        <v>828</v>
      </c>
      <c r="C844" s="116">
        <v>811.2</v>
      </c>
      <c r="D844" s="116">
        <v>804.25</v>
      </c>
      <c r="E844" s="116">
        <v>828</v>
      </c>
      <c r="F844" s="116">
        <v>811.2</v>
      </c>
      <c r="G844">
        <v>8000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46169</v>
      </c>
      <c r="B845" s="116">
        <v>820</v>
      </c>
      <c r="C845" s="116">
        <v>814.95</v>
      </c>
      <c r="D845" s="116">
        <v>800</v>
      </c>
      <c r="E845" s="116">
        <v>818</v>
      </c>
      <c r="F845" s="116">
        <v>814.95</v>
      </c>
      <c r="G845">
        <v>13125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46171</v>
      </c>
      <c r="B846" s="116">
        <v>827.95</v>
      </c>
      <c r="C846" s="116">
        <v>817.15</v>
      </c>
      <c r="D846" s="116">
        <v>792.15</v>
      </c>
      <c r="E846" s="116">
        <v>792.15</v>
      </c>
      <c r="F846" s="116">
        <v>817.15</v>
      </c>
      <c r="G846">
        <v>1625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46174</v>
      </c>
      <c r="B847" s="116">
        <v>840</v>
      </c>
      <c r="C847" s="116">
        <v>837.9</v>
      </c>
      <c r="D847" s="116">
        <v>808</v>
      </c>
      <c r="E847" s="116">
        <v>821.3</v>
      </c>
      <c r="F847" s="116">
        <v>837.9</v>
      </c>
      <c r="G847">
        <v>8000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46175</v>
      </c>
      <c r="B848" s="116">
        <v>844.9</v>
      </c>
      <c r="C848" s="116">
        <v>808.7</v>
      </c>
      <c r="D848" s="116">
        <v>800</v>
      </c>
      <c r="E848" s="116">
        <v>835</v>
      </c>
      <c r="F848" s="116">
        <v>808.7</v>
      </c>
      <c r="G848">
        <v>21375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46176</v>
      </c>
      <c r="B849" s="116">
        <v>825</v>
      </c>
      <c r="C849" s="116">
        <v>811</v>
      </c>
      <c r="D849" s="116">
        <v>806</v>
      </c>
      <c r="E849" s="116">
        <v>808</v>
      </c>
      <c r="F849" s="116">
        <v>811</v>
      </c>
      <c r="G849">
        <v>6500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46177</v>
      </c>
      <c r="B850" s="116">
        <v>830</v>
      </c>
      <c r="C850" s="116">
        <v>820</v>
      </c>
      <c r="D850" s="116">
        <v>808.65</v>
      </c>
      <c r="E850" s="116">
        <v>810</v>
      </c>
      <c r="F850" s="116">
        <v>820</v>
      </c>
      <c r="G850">
        <v>6375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46178</v>
      </c>
      <c r="B851" s="116">
        <v>840</v>
      </c>
      <c r="C851" s="116">
        <v>838.85</v>
      </c>
      <c r="D851" s="116">
        <v>820</v>
      </c>
      <c r="E851" s="116">
        <v>820.5</v>
      </c>
      <c r="F851" s="116">
        <v>838.85</v>
      </c>
      <c r="G851">
        <v>3000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46181</v>
      </c>
      <c r="B852" s="116">
        <v>835.7</v>
      </c>
      <c r="C852" s="116">
        <v>809.05</v>
      </c>
      <c r="D852" s="116">
        <v>808.05</v>
      </c>
      <c r="E852" s="116">
        <v>820</v>
      </c>
      <c r="F852" s="116">
        <v>809.05</v>
      </c>
      <c r="G852">
        <v>2250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46182</v>
      </c>
      <c r="B853" s="116">
        <v>824.5</v>
      </c>
      <c r="C853" s="116">
        <v>803</v>
      </c>
      <c r="D853" s="116">
        <v>802</v>
      </c>
      <c r="E853" s="116">
        <v>810</v>
      </c>
      <c r="F853" s="116">
        <v>803</v>
      </c>
      <c r="G853">
        <v>3625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46183</v>
      </c>
      <c r="B854" s="116">
        <v>822</v>
      </c>
      <c r="C854" s="116">
        <v>794.4</v>
      </c>
      <c r="D854" s="116">
        <v>786</v>
      </c>
      <c r="E854" s="116">
        <v>822</v>
      </c>
      <c r="F854" s="116">
        <v>794.4</v>
      </c>
      <c r="G854">
        <v>7500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46184</v>
      </c>
      <c r="B855" s="116">
        <v>813.95</v>
      </c>
      <c r="C855" s="116">
        <v>805.95</v>
      </c>
      <c r="D855" s="116">
        <v>787</v>
      </c>
      <c r="E855" s="116">
        <v>794.4</v>
      </c>
      <c r="F855" s="116">
        <v>805.95</v>
      </c>
      <c r="G855">
        <v>6625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46185</v>
      </c>
      <c r="B856" s="116">
        <v>868</v>
      </c>
      <c r="C856" s="116">
        <v>859.25</v>
      </c>
      <c r="D856" s="116">
        <v>805.95</v>
      </c>
      <c r="E856" s="116">
        <v>807</v>
      </c>
      <c r="F856" s="116">
        <v>859.25</v>
      </c>
      <c r="G856">
        <v>14375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46188</v>
      </c>
      <c r="B857" s="116">
        <v>864.5</v>
      </c>
      <c r="C857" s="116">
        <v>855.95</v>
      </c>
      <c r="D857" s="116">
        <v>825.05</v>
      </c>
      <c r="E857" s="116">
        <v>825.05</v>
      </c>
      <c r="F857" s="116">
        <v>855.95</v>
      </c>
      <c r="G857">
        <v>5750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46189</v>
      </c>
      <c r="B858" s="116">
        <v>875</v>
      </c>
      <c r="C858" s="116">
        <v>842.05</v>
      </c>
      <c r="D858" s="116">
        <v>842.05</v>
      </c>
      <c r="E858" s="116">
        <v>875</v>
      </c>
      <c r="F858" s="116">
        <v>842.05</v>
      </c>
      <c r="G858">
        <v>4125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46190</v>
      </c>
      <c r="B859" s="116">
        <v>848</v>
      </c>
      <c r="C859" s="116">
        <v>836.4</v>
      </c>
      <c r="D859" s="116">
        <v>832.1</v>
      </c>
      <c r="E859" s="116">
        <v>842.05</v>
      </c>
      <c r="F859" s="116">
        <v>836.4</v>
      </c>
      <c r="G859">
        <v>3000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/>
      <c r="B860" s="116"/>
      <c r="C860" s="116"/>
      <c r="D860" s="116"/>
      <c r="E860" s="116"/>
      <c r="F860" s="116"/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/>
      <c r="B861" s="116"/>
      <c r="C861" s="116"/>
      <c r="D861" s="116"/>
      <c r="E861" s="116"/>
      <c r="F861" s="116"/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/>
      <c r="B862" s="116"/>
      <c r="C862" s="116"/>
      <c r="D862" s="116"/>
      <c r="E862" s="116"/>
      <c r="F862" s="116"/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/>
      <c r="B863" s="116"/>
      <c r="C863" s="116"/>
      <c r="D863" s="116"/>
      <c r="E863" s="116"/>
      <c r="F863" s="116"/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/>
      <c r="B864" s="116"/>
      <c r="C864" s="116"/>
      <c r="D864" s="116"/>
      <c r="E864" s="116"/>
      <c r="F864" s="116"/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/>
      <c r="B865" s="116"/>
      <c r="C865" s="116"/>
      <c r="D865" s="116"/>
      <c r="E865" s="116"/>
      <c r="F865" s="116"/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/>
      <c r="B866" s="116"/>
      <c r="C866" s="116"/>
      <c r="D866" s="116"/>
      <c r="E866" s="116"/>
      <c r="F866" s="116"/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/>
      <c r="B867" s="116"/>
      <c r="C867" s="116"/>
      <c r="D867" s="116"/>
      <c r="E867" s="116"/>
      <c r="F867" s="116"/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/>
      <c r="B868" s="116"/>
      <c r="C868" s="116"/>
      <c r="D868" s="116"/>
      <c r="E868" s="116"/>
      <c r="F868" s="116"/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/>
      <c r="B869" s="116"/>
      <c r="C869" s="116"/>
      <c r="D869" s="116"/>
      <c r="E869" s="116"/>
      <c r="F869" s="116"/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/>
      <c r="B870" s="116"/>
      <c r="C870" s="116"/>
      <c r="D870" s="116"/>
      <c r="E870" s="116"/>
      <c r="F870" s="116"/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/>
      <c r="B871" s="116"/>
      <c r="C871" s="116"/>
      <c r="D871" s="116"/>
      <c r="E871" s="116"/>
      <c r="F871" s="116"/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/>
      <c r="B872" s="116"/>
      <c r="C872" s="116"/>
      <c r="D872" s="116"/>
      <c r="E872" s="116"/>
      <c r="F872" s="116"/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/>
      <c r="B873" s="116"/>
      <c r="C873" s="116"/>
      <c r="D873" s="116"/>
      <c r="E873" s="116"/>
      <c r="F873" s="116"/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/>
      <c r="B874" s="116"/>
      <c r="C874" s="116"/>
      <c r="D874" s="116"/>
      <c r="E874" s="116"/>
      <c r="F874" s="116"/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/>
      <c r="B875" s="116"/>
      <c r="C875" s="116"/>
      <c r="D875" s="116"/>
      <c r="E875" s="116"/>
      <c r="F875" s="116"/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/>
      <c r="B876" s="116"/>
      <c r="C876" s="116"/>
      <c r="D876" s="116"/>
      <c r="E876" s="116"/>
      <c r="F876" s="116"/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/>
      <c r="B877" s="116"/>
      <c r="C877" s="116"/>
      <c r="D877" s="116"/>
      <c r="E877" s="116"/>
      <c r="F877" s="116"/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/>
      <c r="B878" s="116"/>
      <c r="C878" s="116"/>
      <c r="D878" s="116"/>
      <c r="E878" s="116"/>
      <c r="F878" s="116"/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/>
      <c r="B879" s="116"/>
      <c r="C879" s="116"/>
      <c r="D879" s="116"/>
      <c r="E879" s="116"/>
      <c r="F879" s="116"/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/>
      <c r="B880" s="116"/>
      <c r="C880" s="116"/>
      <c r="D880" s="116"/>
      <c r="E880" s="116"/>
      <c r="F880" s="116"/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/>
      <c r="B881" s="116"/>
      <c r="C881" s="116"/>
      <c r="D881" s="116"/>
      <c r="E881" s="116"/>
      <c r="F881" s="116"/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/>
      <c r="B882" s="116"/>
      <c r="C882" s="116"/>
      <c r="D882" s="116"/>
      <c r="E882" s="116"/>
      <c r="F882" s="116"/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/>
      <c r="B883" s="116"/>
      <c r="C883" s="116"/>
      <c r="D883" s="116"/>
      <c r="E883" s="116"/>
      <c r="F883" s="116"/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/>
      <c r="B884" s="116"/>
      <c r="C884" s="116"/>
      <c r="D884" s="116"/>
      <c r="E884" s="116"/>
      <c r="F884" s="116"/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/>
      <c r="B885" s="116"/>
      <c r="C885" s="116"/>
      <c r="D885" s="116"/>
      <c r="E885" s="116"/>
      <c r="F885" s="116"/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/>
      <c r="B886" s="116"/>
      <c r="C886" s="116"/>
      <c r="D886" s="116"/>
      <c r="E886" s="116"/>
      <c r="F886" s="116"/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/>
      <c r="B887" s="116"/>
      <c r="C887" s="116"/>
      <c r="D887" s="116"/>
      <c r="E887" s="116"/>
      <c r="F887" s="116"/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/>
      <c r="B888" s="116"/>
      <c r="C888" s="116"/>
      <c r="D888" s="116"/>
      <c r="E888" s="116"/>
      <c r="F888" s="116"/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/>
      <c r="B889" s="116"/>
      <c r="C889" s="116"/>
      <c r="D889" s="116"/>
      <c r="E889" s="116"/>
      <c r="F889" s="116"/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/>
      <c r="B890" s="116"/>
      <c r="C890" s="116"/>
      <c r="D890" s="116"/>
      <c r="E890" s="116"/>
      <c r="F890" s="116"/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/>
      <c r="B891" s="116"/>
      <c r="C891" s="116"/>
      <c r="D891" s="116"/>
      <c r="E891" s="116"/>
      <c r="F891" s="116"/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/>
      <c r="B892" s="116"/>
      <c r="C892" s="116"/>
      <c r="D892" s="116"/>
      <c r="E892" s="116"/>
      <c r="F892" s="116"/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/>
      <c r="B893" s="116"/>
      <c r="C893" s="116"/>
      <c r="D893" s="116"/>
      <c r="E893" s="116"/>
      <c r="F893" s="116"/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/>
      <c r="B894" s="116"/>
      <c r="C894" s="116"/>
      <c r="D894" s="116"/>
      <c r="E894" s="116"/>
      <c r="F894" s="116"/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/>
      <c r="B895" s="116"/>
      <c r="C895" s="116"/>
      <c r="D895" s="116"/>
      <c r="E895" s="116"/>
      <c r="F895" s="116"/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/>
      <c r="B896" s="116"/>
      <c r="C896" s="116"/>
      <c r="D896" s="116"/>
      <c r="E896" s="116"/>
      <c r="F896" s="116"/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/>
      <c r="B897" s="116"/>
      <c r="C897" s="116"/>
      <c r="D897" s="116"/>
      <c r="E897" s="116"/>
      <c r="F897" s="116"/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/>
      <c r="B898" s="116"/>
      <c r="C898" s="116"/>
      <c r="D898" s="116"/>
      <c r="E898" s="116"/>
      <c r="F898" s="116"/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/>
      <c r="B899" s="116"/>
      <c r="C899" s="116"/>
      <c r="D899" s="116"/>
      <c r="E899" s="116"/>
      <c r="F899" s="116"/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/>
      <c r="B900" s="116"/>
      <c r="C900" s="116"/>
      <c r="D900" s="116"/>
      <c r="E900" s="116"/>
      <c r="F900" s="116"/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/>
      <c r="B901" s="116"/>
      <c r="C901" s="116"/>
      <c r="D901" s="116"/>
      <c r="E901" s="116"/>
      <c r="F901" s="116"/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/>
      <c r="B902" s="116"/>
      <c r="C902" s="116"/>
      <c r="D902" s="116"/>
      <c r="E902" s="116"/>
      <c r="F902" s="116"/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/>
      <c r="B903" s="116"/>
      <c r="C903" s="116"/>
      <c r="D903" s="116"/>
      <c r="E903" s="116"/>
      <c r="F903" s="116"/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/>
      <c r="B904" s="116"/>
      <c r="C904" s="116"/>
      <c r="D904" s="116"/>
      <c r="E904" s="116"/>
      <c r="F904" s="116"/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/>
      <c r="B905" s="116"/>
      <c r="C905" s="116"/>
      <c r="D905" s="116"/>
      <c r="E905" s="116"/>
      <c r="F905" s="116"/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/>
      <c r="B906" s="116"/>
      <c r="C906" s="116"/>
      <c r="D906" s="116"/>
      <c r="E906" s="116"/>
      <c r="F906" s="116"/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/>
      <c r="B907" s="116"/>
      <c r="C907" s="116"/>
      <c r="D907" s="116"/>
      <c r="E907" s="116"/>
      <c r="F907" s="116"/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/>
      <c r="B908" s="116"/>
      <c r="C908" s="116"/>
      <c r="D908" s="116"/>
      <c r="E908" s="116"/>
      <c r="F908" s="116"/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/>
      <c r="B909" s="116"/>
      <c r="C909" s="116"/>
      <c r="D909" s="116"/>
      <c r="E909" s="116"/>
      <c r="F909" s="116"/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/>
      <c r="B910" s="116"/>
      <c r="C910" s="116"/>
      <c r="D910" s="116"/>
      <c r="E910" s="116"/>
      <c r="F910" s="116"/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/>
      <c r="B911" s="116"/>
      <c r="C911" s="116"/>
      <c r="D911" s="116"/>
      <c r="E911" s="116"/>
      <c r="F911" s="116"/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/>
      <c r="B912" s="116"/>
      <c r="C912" s="116"/>
      <c r="D912" s="116"/>
      <c r="E912" s="116"/>
      <c r="F912" s="116"/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/>
      <c r="B913" s="116"/>
      <c r="C913" s="116"/>
      <c r="D913" s="116"/>
      <c r="E913" s="116"/>
      <c r="F913" s="116"/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/>
      <c r="B914" s="116"/>
      <c r="C914" s="116"/>
      <c r="D914" s="116"/>
      <c r="E914" s="116"/>
      <c r="F914" s="116"/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/>
      <c r="B915" s="116"/>
      <c r="C915" s="116"/>
      <c r="D915" s="116"/>
      <c r="E915" s="116"/>
      <c r="F915" s="116"/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/>
      <c r="B916" s="116"/>
      <c r="C916" s="116"/>
      <c r="D916" s="116"/>
      <c r="E916" s="116"/>
      <c r="F916" s="116"/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/>
      <c r="B917" s="116"/>
      <c r="C917" s="116"/>
      <c r="D917" s="116"/>
      <c r="E917" s="116"/>
      <c r="F917" s="116"/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/>
      <c r="B918" s="116"/>
      <c r="C918" s="116"/>
      <c r="D918" s="116"/>
      <c r="E918" s="116"/>
      <c r="F918" s="116"/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/>
      <c r="B919" s="116"/>
      <c r="C919" s="116"/>
      <c r="D919" s="116"/>
      <c r="E919" s="116"/>
      <c r="F919" s="116"/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/>
      <c r="B920" s="116"/>
      <c r="C920" s="116"/>
      <c r="D920" s="116"/>
      <c r="E920" s="116"/>
      <c r="F920" s="116"/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/>
      <c r="B921" s="116"/>
      <c r="C921" s="116"/>
      <c r="D921" s="116"/>
      <c r="E921" s="116"/>
      <c r="F921" s="116"/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/>
      <c r="B922" s="116"/>
      <c r="C922" s="116"/>
      <c r="D922" s="116"/>
      <c r="E922" s="116"/>
      <c r="F922" s="116"/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/>
      <c r="B923" s="116"/>
      <c r="C923" s="116"/>
      <c r="D923" s="116"/>
      <c r="E923" s="116"/>
      <c r="F923" s="116"/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/>
      <c r="B924" s="116"/>
      <c r="C924" s="116"/>
      <c r="D924" s="116"/>
      <c r="E924" s="116"/>
      <c r="F924" s="116"/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/>
      <c r="B925" s="116"/>
      <c r="C925" s="116"/>
      <c r="D925" s="116"/>
      <c r="E925" s="116"/>
      <c r="F925" s="116"/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/>
      <c r="B926" s="116"/>
      <c r="C926" s="116"/>
      <c r="D926" s="116"/>
      <c r="E926" s="116"/>
      <c r="F926" s="116"/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/>
      <c r="B927" s="116"/>
      <c r="C927" s="116"/>
      <c r="D927" s="116"/>
      <c r="E927" s="116"/>
      <c r="F927" s="116"/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/>
      <c r="B928" s="116"/>
      <c r="C928" s="116"/>
      <c r="D928" s="116"/>
      <c r="E928" s="116"/>
      <c r="F928" s="116"/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/>
      <c r="B929" s="116"/>
      <c r="C929" s="116"/>
      <c r="D929" s="116"/>
      <c r="E929" s="116"/>
      <c r="F929" s="116"/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/>
      <c r="B930" s="116"/>
      <c r="C930" s="116"/>
      <c r="D930" s="116"/>
      <c r="E930" s="116"/>
      <c r="F930" s="116"/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/>
      <c r="B931" s="116"/>
      <c r="C931" s="116"/>
      <c r="D931" s="116"/>
      <c r="E931" s="116"/>
      <c r="F931" s="116"/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/>
      <c r="B932" s="116"/>
      <c r="C932" s="116"/>
      <c r="D932" s="116"/>
      <c r="E932" s="116"/>
      <c r="F932" s="116"/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/>
      <c r="B933" s="116"/>
      <c r="C933" s="116"/>
      <c r="D933" s="116"/>
      <c r="E933" s="116"/>
      <c r="F933" s="116"/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/>
      <c r="B934" s="116"/>
      <c r="C934" s="116"/>
      <c r="D934" s="116"/>
      <c r="E934" s="116"/>
      <c r="F934" s="116"/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/>
      <c r="B935" s="116"/>
      <c r="C935" s="116"/>
      <c r="D935" s="116"/>
      <c r="E935" s="116"/>
      <c r="F935" s="116"/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/>
      <c r="B936" s="116"/>
      <c r="C936" s="116"/>
      <c r="D936" s="116"/>
      <c r="E936" s="116"/>
      <c r="F936" s="116"/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/>
      <c r="B937" s="116"/>
      <c r="C937" s="116"/>
      <c r="D937" s="116"/>
      <c r="E937" s="116"/>
      <c r="F937" s="116"/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/>
      <c r="B938" s="116"/>
      <c r="C938" s="116"/>
      <c r="D938" s="116"/>
      <c r="E938" s="116"/>
      <c r="F938" s="116"/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/>
      <c r="B939" s="116"/>
      <c r="C939" s="116"/>
      <c r="D939" s="116"/>
      <c r="E939" s="116"/>
      <c r="F939" s="116"/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/>
      <c r="B940" s="116"/>
      <c r="C940" s="116"/>
      <c r="D940" s="116"/>
      <c r="E940" s="116"/>
      <c r="F940" s="116"/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/>
      <c r="B941" s="116"/>
      <c r="C941" s="116"/>
      <c r="D941" s="116"/>
      <c r="E941" s="116"/>
      <c r="F941" s="116"/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/>
      <c r="B942" s="116"/>
      <c r="C942" s="116"/>
      <c r="D942" s="116"/>
      <c r="E942" s="116"/>
      <c r="F942" s="116"/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/>
      <c r="B943" s="116"/>
      <c r="C943" s="116"/>
      <c r="D943" s="116"/>
      <c r="E943" s="116"/>
      <c r="F943" s="116"/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/>
      <c r="B944" s="116"/>
      <c r="C944" s="116"/>
      <c r="D944" s="116"/>
      <c r="E944" s="116"/>
      <c r="F944" s="116"/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/>
      <c r="B945" s="116"/>
      <c r="C945" s="116"/>
      <c r="D945" s="116"/>
      <c r="E945" s="116"/>
      <c r="F945" s="116"/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/>
      <c r="B946" s="116"/>
      <c r="C946" s="116"/>
      <c r="D946" s="116"/>
      <c r="E946" s="116"/>
      <c r="F946" s="116"/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/>
      <c r="B947" s="116"/>
      <c r="C947" s="116"/>
      <c r="D947" s="116"/>
      <c r="E947" s="116"/>
      <c r="F947" s="116"/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/>
      <c r="B948" s="116"/>
      <c r="C948" s="116"/>
      <c r="D948" s="116"/>
      <c r="E948" s="116"/>
      <c r="F948" s="116"/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/>
      <c r="B949" s="116"/>
      <c r="C949" s="116"/>
      <c r="D949" s="116"/>
      <c r="E949" s="116"/>
      <c r="F949" s="116"/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/>
      <c r="B950" s="116"/>
      <c r="C950" s="116"/>
      <c r="D950" s="116"/>
      <c r="E950" s="116"/>
      <c r="F950" s="116"/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/>
      <c r="B951" s="116"/>
      <c r="C951" s="116"/>
      <c r="D951" s="116"/>
      <c r="E951" s="116"/>
      <c r="F951" s="116"/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/>
      <c r="B952" s="116"/>
      <c r="C952" s="116"/>
      <c r="D952" s="116"/>
      <c r="E952" s="116"/>
      <c r="F952" s="116"/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/>
      <c r="B953" s="116"/>
      <c r="C953" s="116"/>
      <c r="D953" s="116"/>
      <c r="E953" s="116"/>
      <c r="F953" s="116"/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/>
      <c r="B954" s="116"/>
      <c r="C954" s="116"/>
      <c r="D954" s="116"/>
      <c r="E954" s="116"/>
      <c r="F954" s="116"/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/>
      <c r="B955" s="116"/>
      <c r="C955" s="116"/>
      <c r="D955" s="116"/>
      <c r="E955" s="116"/>
      <c r="F955" s="116"/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/>
      <c r="B956" s="116"/>
      <c r="C956" s="116"/>
      <c r="D956" s="116"/>
      <c r="E956" s="116"/>
      <c r="F956" s="116"/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/>
      <c r="B957" s="116"/>
      <c r="C957" s="116"/>
      <c r="D957" s="116"/>
      <c r="E957" s="116"/>
      <c r="F957" s="116"/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/>
      <c r="B958" s="116"/>
      <c r="C958" s="116"/>
      <c r="D958" s="116"/>
      <c r="E958" s="116"/>
      <c r="F958" s="116"/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/>
      <c r="B959" s="116"/>
      <c r="C959" s="116"/>
      <c r="D959" s="116"/>
      <c r="E959" s="116"/>
      <c r="F959" s="116"/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/>
      <c r="B960" s="116"/>
      <c r="C960" s="116"/>
      <c r="D960" s="116"/>
      <c r="E960" s="116"/>
      <c r="F960" s="116"/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/>
      <c r="B961" s="116"/>
      <c r="C961" s="116"/>
      <c r="D961" s="116"/>
      <c r="E961" s="116"/>
      <c r="F961" s="116"/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/>
      <c r="B962" s="116"/>
      <c r="C962" s="116"/>
      <c r="D962" s="116"/>
      <c r="E962" s="116"/>
      <c r="F962" s="116"/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/>
      <c r="B963" s="116"/>
      <c r="C963" s="116"/>
      <c r="D963" s="116"/>
      <c r="E963" s="116"/>
      <c r="F963" s="116"/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/>
      <c r="B964" s="116"/>
      <c r="C964" s="116"/>
      <c r="D964" s="116"/>
      <c r="E964" s="116"/>
      <c r="F964" s="116"/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/>
      <c r="B965" s="116"/>
      <c r="C965" s="116"/>
      <c r="D965" s="116"/>
      <c r="E965" s="116"/>
      <c r="F965" s="116"/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/>
      <c r="B966" s="116"/>
      <c r="C966" s="116"/>
      <c r="D966" s="116"/>
      <c r="E966" s="116"/>
      <c r="F966" s="116"/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/>
      <c r="B967" s="116"/>
      <c r="C967" s="116"/>
      <c r="D967" s="116"/>
      <c r="E967" s="116"/>
      <c r="F967" s="116"/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/>
      <c r="B968" s="116"/>
      <c r="C968" s="116"/>
      <c r="D968" s="116"/>
      <c r="E968" s="116"/>
      <c r="F968" s="116"/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/>
      <c r="B969" s="116"/>
      <c r="C969" s="116"/>
      <c r="D969" s="116"/>
      <c r="E969" s="116"/>
      <c r="F969" s="116"/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/>
      <c r="B970" s="116"/>
      <c r="C970" s="116"/>
      <c r="D970" s="116"/>
      <c r="E970" s="116"/>
      <c r="F970" s="116"/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/>
      <c r="B971" s="116"/>
      <c r="C971" s="116"/>
      <c r="D971" s="116"/>
      <c r="E971" s="116"/>
      <c r="F971" s="116"/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/>
      <c r="B972" s="116"/>
      <c r="C972" s="116"/>
      <c r="D972" s="116"/>
      <c r="E972" s="116"/>
      <c r="F972" s="116"/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/>
      <c r="B973" s="116"/>
      <c r="C973" s="116"/>
      <c r="D973" s="116"/>
      <c r="E973" s="116"/>
      <c r="F973" s="116"/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/>
      <c r="B974" s="116"/>
      <c r="C974" s="116"/>
      <c r="D974" s="116"/>
      <c r="E974" s="116"/>
      <c r="F974" s="116"/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/>
      <c r="B975" s="116"/>
      <c r="C975" s="116"/>
      <c r="D975" s="116"/>
      <c r="E975" s="116"/>
      <c r="F975" s="116"/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/>
      <c r="B976" s="116"/>
      <c r="C976" s="116"/>
      <c r="D976" s="116"/>
      <c r="E976" s="116"/>
      <c r="F976" s="116"/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/>
      <c r="B977" s="116"/>
      <c r="C977" s="116"/>
      <c r="D977" s="116"/>
      <c r="E977" s="116"/>
      <c r="F977" s="116"/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/>
      <c r="B978" s="116"/>
      <c r="C978" s="116"/>
      <c r="D978" s="116"/>
      <c r="E978" s="116"/>
      <c r="F978" s="116"/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/>
      <c r="B979" s="116"/>
      <c r="C979" s="116"/>
      <c r="D979" s="116"/>
      <c r="E979" s="116"/>
      <c r="F979" s="116"/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/>
      <c r="B980" s="116"/>
      <c r="C980" s="116"/>
      <c r="D980" s="116"/>
      <c r="E980" s="116"/>
      <c r="F980" s="116"/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/>
      <c r="B981" s="116"/>
      <c r="C981" s="116"/>
      <c r="D981" s="116"/>
      <c r="E981" s="116"/>
      <c r="F981" s="116"/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/>
      <c r="B982" s="116"/>
      <c r="C982" s="116"/>
      <c r="D982" s="116"/>
      <c r="E982" s="116"/>
      <c r="F982" s="116"/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/>
      <c r="B983" s="116"/>
      <c r="C983" s="116"/>
      <c r="D983" s="116"/>
      <c r="E983" s="116"/>
      <c r="F983" s="116"/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/>
      <c r="B984" s="116"/>
      <c r="C984" s="116"/>
      <c r="D984" s="116"/>
      <c r="E984" s="116"/>
      <c r="F984" s="116"/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/>
      <c r="B985" s="116"/>
      <c r="C985" s="116"/>
      <c r="D985" s="116"/>
      <c r="E985" s="116"/>
      <c r="F985" s="116"/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/>
      <c r="B986" s="116"/>
      <c r="C986" s="116"/>
      <c r="D986" s="116"/>
      <c r="E986" s="116"/>
      <c r="F986" s="116"/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/>
      <c r="B987" s="116"/>
      <c r="C987" s="116"/>
      <c r="D987" s="116"/>
      <c r="E987" s="116"/>
      <c r="F987" s="116"/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/>
      <c r="B988" s="116"/>
      <c r="C988" s="116"/>
      <c r="D988" s="116"/>
      <c r="E988" s="116"/>
      <c r="F988" s="116"/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/>
      <c r="B989" s="116"/>
      <c r="C989" s="116"/>
      <c r="D989" s="116"/>
      <c r="E989" s="116"/>
      <c r="F989" s="116"/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/>
      <c r="B990" s="116"/>
      <c r="C990" s="116"/>
      <c r="D990" s="116"/>
      <c r="E990" s="116"/>
      <c r="F990" s="116"/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/>
      <c r="B991" s="116"/>
      <c r="C991" s="116"/>
      <c r="D991" s="116"/>
      <c r="E991" s="116"/>
      <c r="F991" s="116"/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/>
      <c r="B992" s="116"/>
      <c r="C992" s="116"/>
      <c r="D992" s="116"/>
      <c r="E992" s="116"/>
      <c r="F992" s="116"/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/>
      <c r="B993" s="116"/>
      <c r="C993" s="116"/>
      <c r="D993" s="116"/>
      <c r="E993" s="116"/>
      <c r="F993" s="116"/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/>
      <c r="B994" s="116"/>
      <c r="C994" s="116"/>
      <c r="D994" s="116"/>
      <c r="E994" s="116"/>
      <c r="F994" s="116"/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/>
      <c r="B995" s="116"/>
      <c r="C995" s="116"/>
      <c r="D995" s="116"/>
      <c r="E995" s="116"/>
      <c r="F995" s="116"/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/>
      <c r="B996" s="116"/>
      <c r="C996" s="116"/>
      <c r="D996" s="116"/>
      <c r="E996" s="116"/>
      <c r="F996" s="116"/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/>
      <c r="B997" s="116"/>
      <c r="C997" s="116"/>
      <c r="D997" s="116"/>
      <c r="E997" s="116"/>
      <c r="F997" s="116"/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/>
      <c r="B998" s="116"/>
      <c r="C998" s="116"/>
      <c r="D998" s="116"/>
      <c r="E998" s="116"/>
      <c r="F998" s="116"/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/>
      <c r="B999" s="116"/>
      <c r="C999" s="116"/>
      <c r="D999" s="116"/>
      <c r="E999" s="116"/>
      <c r="F999" s="116"/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/>
      <c r="B1000" s="116"/>
      <c r="C1000" s="116"/>
      <c r="D1000" s="116"/>
      <c r="E1000" s="116"/>
      <c r="F1000" s="116"/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/>
      <c r="B1001" s="116"/>
      <c r="C1001" s="116"/>
      <c r="D1001" s="116"/>
      <c r="E1001" s="116"/>
      <c r="F1001" s="116"/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/>
      <c r="B1002" s="116"/>
      <c r="C1002" s="116"/>
      <c r="D1002" s="116"/>
      <c r="E1002" s="116"/>
      <c r="F1002" s="116"/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/>
      <c r="B1003" s="116"/>
      <c r="C1003" s="116"/>
      <c r="D1003" s="116"/>
      <c r="E1003" s="116"/>
      <c r="F1003" s="116"/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/>
      <c r="B1004" s="116"/>
      <c r="C1004" s="116"/>
      <c r="D1004" s="116"/>
      <c r="E1004" s="116"/>
      <c r="F1004" s="116"/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/>
      <c r="B1005" s="116"/>
      <c r="C1005" s="116"/>
      <c r="D1005" s="116"/>
      <c r="E1005" s="116"/>
      <c r="F1005" s="116"/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/>
      <c r="B1006" s="116"/>
      <c r="C1006" s="116"/>
      <c r="D1006" s="116"/>
      <c r="E1006" s="116"/>
      <c r="F1006" s="116"/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2026-06-17T16:03:21Z</dcterms:modified>
  <cp:category/>
  <cp:contentStatus/>
</cp:coreProperties>
</file>