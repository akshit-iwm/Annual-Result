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E5F033A-A949-41CC-B1A8-039BE1E8594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C62" i="2"/>
  <c r="AC86" i="2"/>
  <c r="AE60" i="2"/>
  <c r="AE72" i="2"/>
  <c r="AE84" i="2"/>
  <c r="AC99" i="2"/>
  <c r="AF30" i="2"/>
  <c r="AB62" i="2"/>
  <c r="AD67" i="2"/>
  <c r="AD83" i="2"/>
  <c r="AD99" i="2"/>
  <c r="AC51" i="2"/>
  <c r="AC84" i="2"/>
  <c r="AF72" i="2"/>
  <c r="AF88" i="2"/>
  <c r="AE89" i="2"/>
  <c r="AE54" i="2"/>
  <c r="AE87" i="2"/>
  <c r="AE23" i="2"/>
  <c r="AD73" i="2"/>
  <c r="AD89" i="2"/>
  <c r="AD109" i="2"/>
  <c r="AC66" i="2"/>
  <c r="AC90" i="2"/>
  <c r="AB5" i="2"/>
  <c r="AB113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D15" i="2"/>
  <c r="AD50" i="2"/>
  <c r="AC10" i="2"/>
  <c r="AC34" i="2"/>
  <c r="AF5" i="2"/>
  <c r="AF112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E44" i="2"/>
  <c r="AC63" i="2"/>
  <c r="AC75" i="2"/>
  <c r="AE110" i="2"/>
  <c r="AF41" i="2"/>
  <c r="AC12" i="2"/>
  <c r="AD87" i="2"/>
  <c r="AD107" i="2"/>
  <c r="AC94" i="2"/>
  <c r="AB109" i="2"/>
  <c r="AE52" i="2"/>
  <c r="AB112" i="2"/>
  <c r="AC10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D23" i="2"/>
  <c r="AD58" i="2"/>
  <c r="AE17" i="2"/>
  <c r="AC87" i="2"/>
  <c r="AD71" i="2"/>
  <c r="AE67" i="2"/>
  <c r="AE91" i="2"/>
  <c r="AE42" i="2"/>
  <c r="AF76" i="2"/>
  <c r="AF92" i="2"/>
  <c r="AC70" i="2"/>
  <c r="AB97" i="2"/>
  <c r="AF34" i="2"/>
  <c r="AC91" i="2"/>
  <c r="AE63" i="2"/>
  <c r="AC7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73" i="2"/>
  <c r="AE97" i="2"/>
  <c r="AD108" i="2"/>
  <c r="AE78" i="2"/>
  <c r="AF14" i="2"/>
  <c r="AE31" i="2"/>
  <c r="AD91" i="2"/>
  <c r="AF33" i="2"/>
  <c r="AC31" i="2"/>
  <c r="AC46" i="2"/>
  <c r="AF55" i="2"/>
  <c r="AB6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B34" i="2"/>
  <c r="AB53" i="2"/>
  <c r="AD64" i="2"/>
  <c r="AD72" i="2"/>
  <c r="AD80" i="2"/>
  <c r="AD88" i="2"/>
  <c r="AD96" i="2"/>
  <c r="AC109" i="2"/>
  <c r="AD31" i="2"/>
  <c r="AF62" i="2"/>
  <c r="AF96" i="2"/>
  <c r="AE11" i="2"/>
  <c r="AE105" i="2"/>
  <c r="AC7" i="2"/>
  <c r="AF20" i="2"/>
  <c r="AF36" i="2"/>
  <c r="AB73" i="2"/>
  <c r="AB81" i="2"/>
  <c r="AD63" i="2"/>
  <c r="AC67" i="2"/>
  <c r="AC79" i="2"/>
  <c r="AB16" i="2"/>
  <c r="AC47" i="2"/>
  <c r="AD8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C22" i="2"/>
  <c r="AC49" i="2"/>
  <c r="AE66" i="2"/>
  <c r="AE90" i="2"/>
  <c r="AF49" i="2"/>
  <c r="AD75" i="2"/>
  <c r="AC72" i="2"/>
  <c r="AC96" i="2"/>
  <c r="AC60" i="2"/>
  <c r="AF80" i="2"/>
  <c r="AE77" i="2"/>
  <c r="AF9" i="2"/>
  <c r="AF17" i="2"/>
  <c r="AF25" i="2"/>
  <c r="AF44" i="2"/>
  <c r="AF52" i="2"/>
  <c r="AC19" i="2"/>
  <c r="AC58" i="2"/>
  <c r="AB89" i="2"/>
  <c r="AE25" i="2"/>
  <c r="AB51" i="2"/>
  <c r="AB92" i="2"/>
  <c r="AE75" i="2"/>
  <c r="AD97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E27" i="2"/>
  <c r="AE81" i="2"/>
  <c r="AE109" i="2"/>
  <c r="AB22" i="2"/>
  <c r="AD82" i="2"/>
  <c r="AD98" i="2"/>
  <c r="AC69" i="2"/>
  <c r="AD79" i="2"/>
  <c r="AE79" i="2"/>
  <c r="AF68" i="2"/>
  <c r="AC43" i="2"/>
  <c r="AC110" i="2"/>
  <c r="AB76" i="2"/>
  <c r="AE99" i="2"/>
  <c r="AC24" i="2"/>
  <c r="AB11" i="2"/>
  <c r="AB19" i="2"/>
  <c r="AB27" i="2"/>
  <c r="AB35" i="2"/>
  <c r="AB46" i="2"/>
  <c r="AB54" i="2"/>
  <c r="AC9" i="2"/>
  <c r="AC21" i="2"/>
  <c r="AC33" i="2"/>
  <c r="AC48" i="2"/>
  <c r="AB6" i="2"/>
  <c r="AB41" i="2"/>
  <c r="AB57" i="2"/>
  <c r="AD66" i="2"/>
  <c r="AD74" i="2"/>
  <c r="AD90" i="2"/>
  <c r="AD110" i="2"/>
  <c r="AD7" i="2"/>
  <c r="AD42" i="2"/>
  <c r="AE5" i="2"/>
  <c r="AE29" i="2"/>
  <c r="AE56" i="2"/>
  <c r="AC81" i="2"/>
  <c r="AE94" i="2"/>
  <c r="AF22" i="2"/>
  <c r="AF57" i="2"/>
  <c r="AE59" i="2"/>
  <c r="AD95" i="2"/>
  <c r="AE19" i="2"/>
  <c r="AE107" i="2"/>
  <c r="AF84" i="2"/>
  <c r="AF104" i="2"/>
  <c r="AC82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C20" i="2"/>
  <c r="AF108" i="2"/>
  <c r="AE65" i="2"/>
  <c r="AC113" i="2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61" i="1"/>
  <c r="AA154" i="1"/>
  <c r="AA156" i="1" s="1"/>
  <c r="AA252" i="1"/>
  <c r="AA194" i="1"/>
  <c r="AA148" i="1"/>
  <c r="AA134" i="1"/>
  <c r="AA138" i="1" s="1"/>
  <c r="AA128" i="1"/>
  <c r="AA120" i="1"/>
  <c r="AA26" i="1"/>
  <c r="AA27" i="1" s="1"/>
  <c r="AA10" i="1"/>
  <c r="AA231" i="1"/>
  <c r="AA180" i="1"/>
  <c r="AA173" i="1"/>
  <c r="AA37" i="1"/>
  <c r="AD113" i="2"/>
  <c r="AD111" i="2"/>
  <c r="AB111" i="2"/>
  <c r="B1" i="9"/>
  <c r="AE111" i="2"/>
  <c r="AE112" i="2"/>
  <c r="AF113" i="2"/>
  <c r="AC111" i="2"/>
  <c r="AD112" i="2"/>
  <c r="AE113" i="2"/>
  <c r="L1" i="9"/>
  <c r="A1" i="9"/>
  <c r="AC112" i="2"/>
  <c r="AF111" i="2"/>
  <c r="AA253" i="1" l="1"/>
  <c r="AA183" i="1"/>
  <c r="AA179" i="1"/>
  <c r="AA185" i="1"/>
  <c r="AA248" i="1"/>
  <c r="AA246" i="1"/>
  <c r="AA157" i="1"/>
  <c r="AA165" i="1" s="1"/>
  <c r="AA182" i="1"/>
  <c r="AA129" i="1"/>
  <c r="AA168" i="1"/>
  <c r="AA109" i="1" s="1"/>
  <c r="AA98" i="1"/>
  <c r="AA244" i="1"/>
  <c r="AA16" i="1"/>
  <c r="AA184" i="1"/>
  <c r="AA33" i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81" i="1"/>
  <c r="AA17" i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32" i="1"/>
  <c r="AA233" i="1" s="1"/>
  <c r="AA112" i="1"/>
  <c r="AA29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56" i="3" s="1"/>
  <c r="BQ11" i="3"/>
  <c r="BQ17" i="3"/>
  <c r="BQ23" i="3"/>
  <c r="BQ29" i="3"/>
  <c r="BQ35" i="3"/>
  <c r="BQ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U5" i="3"/>
  <c r="BU66" i="3" s="1"/>
  <c r="BU11" i="3"/>
  <c r="BU17" i="3"/>
  <c r="BU23" i="3"/>
  <c r="BU29" i="3"/>
  <c r="BU35" i="3"/>
  <c r="BU41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BQ6" i="3"/>
  <c r="BQ12" i="3"/>
  <c r="BQ18" i="3"/>
  <c r="BQ24" i="3"/>
  <c r="BQ30" i="3"/>
  <c r="BQ36" i="3"/>
  <c r="BQ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U6" i="3"/>
  <c r="BU12" i="3"/>
  <c r="BU18" i="3"/>
  <c r="BU24" i="3"/>
  <c r="BU30" i="3"/>
  <c r="BU36" i="3"/>
  <c r="BU42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Q7" i="3"/>
  <c r="BQ13" i="3"/>
  <c r="BQ19" i="3"/>
  <c r="BQ25" i="3"/>
  <c r="BQ31" i="3"/>
  <c r="BQ37" i="3"/>
  <c r="BQ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59" i="3" s="1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A46" i="3"/>
  <c r="Z60" i="2"/>
  <c r="BU7" i="3"/>
  <c r="BU13" i="3"/>
  <c r="BU19" i="3"/>
  <c r="BU25" i="3"/>
  <c r="BU31" i="3"/>
  <c r="BU37" i="3"/>
  <c r="BU45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Q8" i="3"/>
  <c r="BQ14" i="3"/>
  <c r="BQ20" i="3"/>
  <c r="BQ26" i="3"/>
  <c r="BQ32" i="3"/>
  <c r="BQ38" i="3"/>
  <c r="BQ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Z28" i="2"/>
  <c r="AA25" i="2"/>
  <c r="BB36" i="3"/>
  <c r="BA30" i="3"/>
  <c r="Z7" i="2"/>
  <c r="BB29" i="3"/>
  <c r="FF16" i="4" a="1"/>
  <c r="FD15" i="4" a="1"/>
  <c r="FD8" i="4" a="1"/>
  <c r="EZ16" i="4" a="1"/>
  <c r="EX15" i="4" a="1"/>
  <c r="EY9" i="4" a="1"/>
  <c r="FB16" i="4" a="1"/>
  <c r="BQ15" i="3"/>
  <c r="BQ21" i="3"/>
  <c r="BQ27" i="3"/>
  <c r="BQ39" i="3"/>
  <c r="BV10" i="3"/>
  <c r="BU8" i="3"/>
  <c r="BU14" i="3"/>
  <c r="BU20" i="3"/>
  <c r="BU26" i="3"/>
  <c r="BU32" i="3"/>
  <c r="BU38" i="3"/>
  <c r="BU4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FF13" i="4" a="1"/>
  <c r="EZ13" i="4" a="1"/>
  <c r="BQ9" i="3"/>
  <c r="BQ33" i="3"/>
  <c r="BS40" i="3"/>
  <c r="BU9" i="3"/>
  <c r="BU15" i="3"/>
  <c r="BU21" i="3"/>
  <c r="BU27" i="3"/>
  <c r="BU33" i="3"/>
  <c r="BU39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Y27" i="2"/>
  <c r="Y79" i="2"/>
  <c r="BC40" i="3"/>
  <c r="Y105" i="2"/>
  <c r="Y63" i="2"/>
  <c r="Y53" i="2"/>
  <c r="FC14" i="4" a="1"/>
  <c r="FA7" i="4" a="1"/>
  <c r="BQ10" i="3"/>
  <c r="BQ16" i="3"/>
  <c r="BQ22" i="3"/>
  <c r="BQ28" i="3"/>
  <c r="BQ34" i="3"/>
  <c r="BQ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N36" i="3"/>
  <c r="BT13" i="3"/>
  <c r="BP20" i="3"/>
  <c r="BK34" i="3"/>
  <c r="BJ11" i="3"/>
  <c r="BJ27" i="3"/>
  <c r="BK5" i="3"/>
  <c r="BK84" i="3" s="1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EX13" i="4" a="1"/>
  <c r="FC16" i="4" a="1"/>
  <c r="EX9" i="4" a="1"/>
  <c r="EY15" i="4" a="1"/>
  <c r="FC15" i="4" a="1"/>
  <c r="FF5" i="4" a="1"/>
  <c r="BT19" i="3"/>
  <c r="BI38" i="3"/>
  <c r="BU10" i="3"/>
  <c r="BU16" i="3"/>
  <c r="BU22" i="3"/>
  <c r="BU28" i="3"/>
  <c r="BU34" i="3"/>
  <c r="BU40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P26" i="3"/>
  <c r="BM35" i="3"/>
  <c r="BF13" i="3"/>
  <c r="BL28" i="3"/>
  <c r="BI6" i="3"/>
  <c r="BE22" i="3"/>
  <c r="BH7" i="3"/>
  <c r="AA40" i="2"/>
  <c r="BR40" i="3"/>
  <c r="BO37" i="3"/>
  <c r="BG29" i="3"/>
  <c r="BE13" i="3"/>
  <c r="BM14" i="3"/>
  <c r="BL17" i="3"/>
  <c r="BH42" i="3"/>
  <c r="Y73" i="2"/>
  <c r="Z104" i="2"/>
  <c r="BB24" i="3"/>
  <c r="BB41" i="3"/>
  <c r="AA48" i="2"/>
  <c r="Z80" i="2"/>
  <c r="BB5" i="3"/>
  <c r="Z31" i="2"/>
  <c r="Z45" i="2"/>
  <c r="BB27" i="3"/>
  <c r="BB31" i="3"/>
  <c r="Y52" i="2"/>
  <c r="Y18" i="2"/>
  <c r="Y29" i="2"/>
  <c r="FD14" i="4" a="1"/>
  <c r="FC7" i="4" a="1"/>
  <c r="FB13" i="4" a="1"/>
  <c r="FF8" i="4" a="1"/>
  <c r="FC11" i="4" a="1"/>
  <c r="EX6" i="4" a="1"/>
  <c r="FB15" i="4" a="1"/>
  <c r="Z8" i="2"/>
  <c r="BG28" i="3"/>
  <c r="BV45" i="3"/>
  <c r="BS46" i="3"/>
  <c r="BK41" i="3"/>
  <c r="BM15" i="3"/>
  <c r="BM26" i="3"/>
  <c r="BH35" i="3"/>
  <c r="BG11" i="3"/>
  <c r="Y13" i="2"/>
  <c r="Y10" i="2"/>
  <c r="BD33" i="3"/>
  <c r="BD23" i="3"/>
  <c r="AA8" i="2"/>
  <c r="Z19" i="2"/>
  <c r="BA42" i="3"/>
  <c r="AA104" i="2"/>
  <c r="Y84" i="2"/>
  <c r="BC9" i="3"/>
  <c r="BA21" i="3"/>
  <c r="Z52" i="2"/>
  <c r="AA75" i="2"/>
  <c r="Z42" i="2"/>
  <c r="FC12" i="4" a="1"/>
  <c r="EZ14" i="4" a="1"/>
  <c r="FF9" i="4" a="1"/>
  <c r="FB6" i="4" a="1"/>
  <c r="EX12" i="4" a="1"/>
  <c r="AA32" i="2"/>
  <c r="BC36" i="3"/>
  <c r="BA10" i="3"/>
  <c r="Z33" i="2"/>
  <c r="Z78" i="2"/>
  <c r="Z69" i="2"/>
  <c r="FA8" i="4" a="1"/>
  <c r="FB8" i="4" a="1"/>
  <c r="FA16" i="4" a="1"/>
  <c r="BJ7" i="3"/>
  <c r="BO6" i="3"/>
  <c r="BT27" i="3"/>
  <c r="BN30" i="3"/>
  <c r="BM17" i="3"/>
  <c r="BG35" i="3"/>
  <c r="BP6" i="3"/>
  <c r="BE18" i="3"/>
  <c r="Y94" i="2"/>
  <c r="Z108" i="2"/>
  <c r="BC37" i="3"/>
  <c r="BB37" i="3"/>
  <c r="Z5" i="2"/>
  <c r="Y61" i="2"/>
  <c r="BC42" i="3"/>
  <c r="Y47" i="2"/>
  <c r="BL26" i="3"/>
  <c r="BS9" i="3"/>
  <c r="BP16" i="3"/>
  <c r="BH31" i="3"/>
  <c r="BK20" i="3"/>
  <c r="BH21" i="3"/>
  <c r="BT45" i="3"/>
  <c r="BE28" i="3"/>
  <c r="Z76" i="2"/>
  <c r="AA51" i="2"/>
  <c r="BB45" i="3"/>
  <c r="BD29" i="3"/>
  <c r="Y80" i="2"/>
  <c r="Z12" i="2"/>
  <c r="BA28" i="3"/>
  <c r="Z92" i="2"/>
  <c r="AA89" i="2"/>
  <c r="BB7" i="3"/>
  <c r="BC6" i="3"/>
  <c r="Y95" i="2"/>
  <c r="BD40" i="3"/>
  <c r="AA59" i="2"/>
  <c r="EY11" i="4" a="1"/>
  <c r="EX5" i="4" a="1"/>
  <c r="FB9" i="4" a="1"/>
  <c r="FD16" i="4" a="1"/>
  <c r="FF7" i="4" a="1"/>
  <c r="Z93" i="2"/>
  <c r="BD20" i="3"/>
  <c r="AA34" i="2"/>
  <c r="BB40" i="3"/>
  <c r="EY14" i="4" a="1"/>
  <c r="EY13" i="4" a="1"/>
  <c r="BM8" i="3"/>
  <c r="BO12" i="3"/>
  <c r="BT16" i="3"/>
  <c r="BK22" i="3"/>
  <c r="BH15" i="3"/>
  <c r="BP8" i="3"/>
  <c r="BI34" i="3"/>
  <c r="Y76" i="2"/>
  <c r="Z30" i="2"/>
  <c r="BD26" i="3"/>
  <c r="BD13" i="3"/>
  <c r="Z11" i="2"/>
  <c r="Z86" i="2"/>
  <c r="BB21" i="3"/>
  <c r="Y92" i="2"/>
  <c r="Y30" i="2"/>
  <c r="Y48" i="2"/>
  <c r="BA34" i="3"/>
  <c r="Y107" i="2"/>
  <c r="FD7" i="4" a="1"/>
  <c r="FA15" i="4" a="1"/>
  <c r="FE6" i="4" a="1"/>
  <c r="FB11" i="4" a="1"/>
  <c r="FD5" i="4" a="1"/>
  <c r="BD12" i="3"/>
  <c r="FE14" i="4" a="1"/>
  <c r="BK29" i="3"/>
  <c r="BS15" i="3"/>
  <c r="BG36" i="3"/>
  <c r="BT46" i="3"/>
  <c r="BI25" i="3"/>
  <c r="BF6" i="3"/>
  <c r="CL8" i="1" s="1"/>
  <c r="BM25" i="3"/>
  <c r="BJ8" i="3"/>
  <c r="AA19" i="2"/>
  <c r="Y72" i="2"/>
  <c r="BB17" i="3"/>
  <c r="Z25" i="2"/>
  <c r="Z44" i="2"/>
  <c r="Y78" i="2"/>
  <c r="BA35" i="3"/>
  <c r="Z46" i="2"/>
  <c r="Y7" i="2"/>
  <c r="Z43" i="2"/>
  <c r="FD13" i="4" a="1"/>
  <c r="BJ32" i="3"/>
  <c r="BO18" i="3"/>
  <c r="BH6" i="3"/>
  <c r="BP41" i="3"/>
  <c r="BK36" i="3"/>
  <c r="BF14" i="3"/>
  <c r="CL23" i="1" s="1"/>
  <c r="BG32" i="3"/>
  <c r="BL35" i="3"/>
  <c r="Z48" i="2"/>
  <c r="AA78" i="2"/>
  <c r="BB32" i="3"/>
  <c r="Z20" i="2"/>
  <c r="AA50" i="2"/>
  <c r="BC13" i="3"/>
  <c r="AA88" i="2"/>
  <c r="Z94" i="2"/>
  <c r="AA82" i="2"/>
  <c r="Z83" i="2"/>
  <c r="AA43" i="2"/>
  <c r="BA25" i="3"/>
  <c r="Z82" i="2"/>
  <c r="AA15" i="2"/>
  <c r="FC9" i="4" a="1"/>
  <c r="FF14" i="4" a="1"/>
  <c r="FB12" i="4" a="1"/>
  <c r="FE7" i="4" a="1"/>
  <c r="FA14" i="4" a="1"/>
  <c r="BD6" i="3"/>
  <c r="AA96" i="2"/>
  <c r="BA14" i="3"/>
  <c r="Y86" i="2"/>
  <c r="FD6" i="4" a="1"/>
  <c r="BS33" i="3"/>
  <c r="BE6" i="3"/>
  <c r="BN20" i="3"/>
  <c r="Y35" i="2"/>
  <c r="BD8" i="3"/>
  <c r="BC34" i="3"/>
  <c r="Z17" i="2"/>
  <c r="EY16" i="4" a="1"/>
  <c r="BR16" i="3"/>
  <c r="BS21" i="3"/>
  <c r="BJ17" i="3"/>
  <c r="BP11" i="3"/>
  <c r="BL6" i="3"/>
  <c r="BH25" i="3"/>
  <c r="BI41" i="3"/>
  <c r="BL13" i="3"/>
  <c r="Y104" i="2"/>
  <c r="Y99" i="2"/>
  <c r="BD21" i="3"/>
  <c r="Y43" i="2"/>
  <c r="AA81" i="2"/>
  <c r="BB16" i="3"/>
  <c r="Z6" i="2"/>
  <c r="Y5" i="2"/>
  <c r="X6" i="2"/>
  <c r="Y67" i="2"/>
  <c r="BC5" i="3"/>
  <c r="BD15" i="3"/>
  <c r="Y54" i="2"/>
  <c r="Y97" i="2"/>
  <c r="EX11" i="4" a="1"/>
  <c r="FF11" i="4" a="1"/>
  <c r="EY12" i="4" a="1"/>
  <c r="EX14" i="4" a="1"/>
  <c r="FD9" i="4" a="1"/>
  <c r="BC26" i="3"/>
  <c r="AA45" i="2"/>
  <c r="FD12" i="4" a="1"/>
  <c r="Z79" i="2"/>
  <c r="AA107" i="2"/>
  <c r="EZ11" i="4" a="1"/>
  <c r="FB7" i="4" a="1"/>
  <c r="FF6" i="4" a="1"/>
  <c r="FE11" i="4" a="1"/>
  <c r="BC46" i="3"/>
  <c r="EZ15" i="4" a="1"/>
  <c r="BV37" i="3"/>
  <c r="AA26" i="2"/>
  <c r="BR22" i="3"/>
  <c r="BO24" i="3"/>
  <c r="BF29" i="3"/>
  <c r="CL39" i="1" s="1"/>
  <c r="BP13" i="3"/>
  <c r="BF15" i="3"/>
  <c r="CL24" i="1" s="1"/>
  <c r="BH33" i="3"/>
  <c r="BL8" i="3"/>
  <c r="BF28" i="3"/>
  <c r="CL32" i="1" s="1"/>
  <c r="Y75" i="2"/>
  <c r="AA94" i="2"/>
  <c r="BC32" i="3"/>
  <c r="Y9" i="2"/>
  <c r="Y91" i="2"/>
  <c r="BD10" i="3"/>
  <c r="AA56" i="2"/>
  <c r="Y55" i="2"/>
  <c r="BB13" i="3"/>
  <c r="Z16" i="2"/>
  <c r="BD31" i="3"/>
  <c r="Z63" i="2"/>
  <c r="EZ8" i="4" a="1"/>
  <c r="FF12" i="4" a="1"/>
  <c r="FC13" i="4" a="1"/>
  <c r="EY6" i="4" a="1"/>
  <c r="Z57" i="2"/>
  <c r="BD24" i="3"/>
  <c r="BA38" i="3"/>
  <c r="Y87" i="2"/>
  <c r="Z41" i="2"/>
  <c r="FC6" i="4" a="1"/>
  <c r="BI20" i="3"/>
  <c r="AA42" i="2"/>
  <c r="BD9" i="3"/>
  <c r="FE8" i="4" a="1"/>
  <c r="EX7" i="4" a="1"/>
  <c r="FE15" i="4" a="1"/>
  <c r="BR28" i="3"/>
  <c r="BS27" i="3"/>
  <c r="BJ41" i="3"/>
  <c r="BG6" i="3"/>
  <c r="BN25" i="3"/>
  <c r="BL45" i="3"/>
  <c r="BL18" i="3"/>
  <c r="AA77" i="2"/>
  <c r="Y32" i="2"/>
  <c r="BB25" i="3"/>
  <c r="Y44" i="2"/>
  <c r="BE11" i="3"/>
  <c r="Z66" i="2"/>
  <c r="Y64" i="2"/>
  <c r="BA16" i="3"/>
  <c r="W6" i="2"/>
  <c r="AA99" i="2"/>
  <c r="Y69" i="2"/>
  <c r="BB34" i="3"/>
  <c r="BR34" i="3"/>
  <c r="BO30" i="3"/>
  <c r="BI8" i="3"/>
  <c r="BG8" i="3"/>
  <c r="BH34" i="3"/>
  <c r="BH19" i="3"/>
  <c r="BF25" i="3"/>
  <c r="CL36" i="1" s="1"/>
  <c r="AA14" i="2"/>
  <c r="AA47" i="2"/>
  <c r="BD39" i="3"/>
  <c r="Y19" i="2"/>
  <c r="Z70" i="2"/>
  <c r="BA36" i="3"/>
  <c r="AA20" i="2"/>
  <c r="AA13" i="2"/>
  <c r="AV10" i="3"/>
  <c r="BC33" i="3"/>
  <c r="BA18" i="3"/>
  <c r="BD5" i="3"/>
  <c r="FF15" i="4" a="1"/>
  <c r="BF35" i="3"/>
  <c r="CL46" i="1" s="1"/>
  <c r="BB28" i="3"/>
  <c r="EX16" i="4" a="1"/>
  <c r="BH62" i="3" l="1"/>
  <c r="AA52" i="1"/>
  <c r="AA193" i="1"/>
  <c r="AA195" i="1" s="1"/>
  <c r="AA54" i="1"/>
  <c r="BP60" i="3"/>
  <c r="BP57" i="3"/>
  <c r="CL10" i="1"/>
  <c r="CL231" i="1"/>
  <c r="CL194" i="1"/>
  <c r="CL253" i="1"/>
  <c r="CL252" i="1"/>
  <c r="CL26" i="1"/>
  <c r="CL27" i="1" s="1"/>
  <c r="CL65" i="1"/>
  <c r="CK15" i="1"/>
  <c r="CK8" i="1"/>
  <c r="CK32" i="1"/>
  <c r="CK25" i="1"/>
  <c r="CK9" i="1"/>
  <c r="CK23" i="1"/>
  <c r="CK45" i="1"/>
  <c r="CK14" i="1"/>
  <c r="CK35" i="1"/>
  <c r="CK46" i="1"/>
  <c r="CK63" i="1"/>
  <c r="CK21" i="1"/>
  <c r="CK47" i="1"/>
  <c r="CK39" i="1"/>
  <c r="CK13" i="1"/>
  <c r="CK22" i="1"/>
  <c r="CK36" i="1"/>
  <c r="CK24" i="1"/>
  <c r="CK64" i="1"/>
  <c r="CK51" i="1"/>
  <c r="CK20" i="1"/>
  <c r="CK1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E85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Q62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U58" i="3"/>
  <c r="BG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G70" i="3"/>
  <c r="BU47" i="3"/>
  <c r="BE78" i="3"/>
  <c r="BQ83" i="3"/>
  <c r="BT91" i="3"/>
  <c r="BS88" i="3"/>
  <c r="BU91" i="3"/>
  <c r="BR68" i="3"/>
  <c r="BT71" i="3"/>
  <c r="BN82" i="3"/>
  <c r="BN85" i="3"/>
  <c r="Y111" i="2"/>
  <c r="BS81" i="3"/>
  <c r="BL73" i="3"/>
  <c r="BI87" i="3"/>
  <c r="BF56" i="3"/>
  <c r="CL117" i="1" s="1"/>
  <c r="BJ48" i="3"/>
  <c r="BK82" i="3"/>
  <c r="BK91" i="3"/>
  <c r="GB5" i="4" a="1"/>
  <c r="FG6" i="4" a="1"/>
  <c r="GX11" i="4" a="1"/>
  <c r="GH5" i="4" a="1"/>
  <c r="HC5" i="4" a="1"/>
  <c r="GB11" i="4" a="1"/>
  <c r="GX8" i="4" a="1"/>
  <c r="GI6" i="4" a="1"/>
  <c r="FP8" i="4" a="1"/>
  <c r="FS13" i="4" a="1"/>
  <c r="FP6" i="4" a="1"/>
  <c r="FL6" i="4" a="1"/>
  <c r="FX11" i="4" a="1"/>
  <c r="GE5" i="4" a="1"/>
  <c r="FG8" i="4" a="1"/>
  <c r="GR9" i="4" a="1"/>
  <c r="FJ15" i="4" a="1"/>
  <c r="FL8" i="4" a="1"/>
  <c r="FK8" i="4" a="1"/>
  <c r="FN13" i="4" a="1"/>
  <c r="FW11" i="4" a="1"/>
  <c r="FZ12" i="4" a="1"/>
  <c r="GB13" i="4" a="1"/>
  <c r="GI11" i="4" a="1"/>
  <c r="GK12" i="4" a="1"/>
  <c r="GM13" i="4" a="1"/>
  <c r="GO14" i="4" a="1"/>
  <c r="GG11" i="4" a="1"/>
  <c r="GP14" i="4" a="1"/>
  <c r="GR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T78" i="3"/>
  <c r="BK93" i="3"/>
  <c r="FT7" i="4" a="1"/>
  <c r="GI13" i="4" a="1"/>
  <c r="GF8" i="4" a="1"/>
  <c r="GD5" i="4" a="1"/>
  <c r="FG13" i="4" a="1"/>
  <c r="FV8" i="4" a="1"/>
  <c r="GM15" i="4" a="1"/>
  <c r="HE16" i="4" a="1"/>
  <c r="BD63" i="3"/>
  <c r="BE77" i="3"/>
  <c r="FR11" i="4" a="1"/>
  <c r="FV13" i="4" a="1"/>
  <c r="FG11" i="4" a="1"/>
  <c r="GT7" i="4" a="1"/>
  <c r="FY14" i="4" a="1"/>
  <c r="GJ15" i="4" a="1"/>
  <c r="GH16" i="4" a="1"/>
  <c r="FV14" i="4" a="1"/>
  <c r="BG79" i="3"/>
  <c r="BG89" i="3"/>
  <c r="BI49" i="3"/>
  <c r="BE48" i="3"/>
  <c r="BQ95" i="3"/>
  <c r="BN65" i="3"/>
  <c r="BS95" i="3"/>
  <c r="BU65" i="3"/>
  <c r="BV62" i="3"/>
  <c r="BT63" i="3"/>
  <c r="BN79" i="3"/>
  <c r="BN87" i="3"/>
  <c r="BO47" i="3"/>
  <c r="BS87" i="3"/>
  <c r="BL50" i="3"/>
  <c r="BI91" i="3"/>
  <c r="BF50" i="3"/>
  <c r="CL74" i="1" s="1"/>
  <c r="BJ55" i="3"/>
  <c r="BK77" i="3"/>
  <c r="BK54" i="3"/>
  <c r="HG5" i="4" a="1"/>
  <c r="GQ7" i="4" a="1"/>
  <c r="FT12" i="4" a="1"/>
  <c r="GC6" i="4" a="1"/>
  <c r="FY6" i="4" a="1"/>
  <c r="GJ6" i="4" a="1"/>
  <c r="GS9" i="4" a="1"/>
  <c r="FX7" i="4" a="1"/>
  <c r="GN8" i="4" a="1"/>
  <c r="GY13" i="4" a="1"/>
  <c r="GV6" i="4" a="1"/>
  <c r="FR6" i="4" a="1"/>
  <c r="GU6" i="4" a="1"/>
  <c r="FN5" i="4" a="1"/>
  <c r="FW8" i="4" a="1"/>
  <c r="HD9" i="4" a="1"/>
  <c r="GE6" i="4" a="1"/>
  <c r="GA6" i="4" a="1"/>
  <c r="GJ8" i="4" a="1"/>
  <c r="GL13" i="4" a="1"/>
  <c r="GA11" i="4" a="1"/>
  <c r="GE12" i="4" a="1"/>
  <c r="GJ13" i="4" a="1"/>
  <c r="GL11" i="4" a="1"/>
  <c r="GN12" i="4" a="1"/>
  <c r="GP13" i="4" a="1"/>
  <c r="GR14" i="4" a="1"/>
  <c r="GR11" i="4" a="1"/>
  <c r="GU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Y113" i="2"/>
  <c r="BD84" i="3"/>
  <c r="BA65" i="3"/>
  <c r="BR60" i="3"/>
  <c r="BK66" i="3"/>
  <c r="GP8" i="4" a="1"/>
  <c r="GC7" i="4" a="1"/>
  <c r="FU8" i="4" a="1"/>
  <c r="GO6" i="4" a="1"/>
  <c r="BE74" i="3"/>
  <c r="BI86" i="3"/>
  <c r="BE92" i="3"/>
  <c r="BU74" i="3"/>
  <c r="BO49" i="3"/>
  <c r="BS78" i="3"/>
  <c r="BU88" i="3"/>
  <c r="BV54" i="3"/>
  <c r="BT67" i="3"/>
  <c r="BN95" i="3"/>
  <c r="BN97" i="3"/>
  <c r="BO48" i="3"/>
  <c r="BS89" i="3"/>
  <c r="BE49" i="3"/>
  <c r="BI61" i="3"/>
  <c r="BJ49" i="3"/>
  <c r="BJ62" i="3"/>
  <c r="BK55" i="3"/>
  <c r="BK49" i="3"/>
  <c r="FX6" i="4" a="1"/>
  <c r="GE9" i="4" a="1"/>
  <c r="GJ12" i="4" a="1"/>
  <c r="HD6" i="4" a="1"/>
  <c r="GG6" i="4" a="1"/>
  <c r="GD7" i="4" a="1"/>
  <c r="FG5" i="4" a="1"/>
  <c r="FQ8" i="4" a="1"/>
  <c r="FJ9" i="4" a="1"/>
  <c r="FU14" i="4" a="1"/>
  <c r="FO7" i="4" a="1"/>
  <c r="FK7" i="4" a="1"/>
  <c r="GM11" i="4" a="1"/>
  <c r="FZ5" i="4" a="1"/>
  <c r="GI8" i="4" a="1"/>
  <c r="FN11" i="4" a="1"/>
  <c r="FZ8" i="4" a="1"/>
  <c r="GN7" i="4" a="1"/>
  <c r="HG8" i="4" a="1"/>
  <c r="FM14" i="4" a="1"/>
  <c r="GE11" i="4" a="1"/>
  <c r="GH12" i="4" a="1"/>
  <c r="GR13" i="4" a="1"/>
  <c r="GQ11" i="4" a="1"/>
  <c r="GS12" i="4" a="1"/>
  <c r="GU13" i="4" a="1"/>
  <c r="GW14" i="4" a="1"/>
  <c r="FK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D95" i="3"/>
  <c r="BD72" i="3"/>
  <c r="BV76" i="3"/>
  <c r="BM63" i="3"/>
  <c r="BJ69" i="3"/>
  <c r="HD11" i="4" a="1"/>
  <c r="BC87" i="3"/>
  <c r="BG47" i="3"/>
  <c r="BK87" i="3"/>
  <c r="GT14" i="4" a="1"/>
  <c r="GI5" i="4" a="1"/>
  <c r="GG7" i="4" a="1"/>
  <c r="FU6" i="4" a="1"/>
  <c r="FJ12" i="4" a="1"/>
  <c r="BP83" i="3"/>
  <c r="BM49" i="3"/>
  <c r="BB80" i="3"/>
  <c r="BI94" i="3"/>
  <c r="BU87" i="3"/>
  <c r="BO63" i="3"/>
  <c r="BS97" i="3"/>
  <c r="BR81" i="3"/>
  <c r="BV68" i="3"/>
  <c r="BT64" i="3"/>
  <c r="BN75" i="3"/>
  <c r="BP95" i="3"/>
  <c r="BO85" i="3"/>
  <c r="BS94" i="3"/>
  <c r="BE54" i="3"/>
  <c r="BM75" i="3"/>
  <c r="BJ84" i="3"/>
  <c r="BJ94" i="3"/>
  <c r="BK75" i="3"/>
  <c r="BK47" i="3"/>
  <c r="GN6" i="4" a="1"/>
  <c r="FQ7" i="4" a="1"/>
  <c r="GA13" i="4" a="1"/>
  <c r="GE7" i="4" a="1"/>
  <c r="GA7" i="4" a="1"/>
  <c r="FX9" i="4" a="1"/>
  <c r="GG5" i="4" a="1"/>
  <c r="GC8" i="4" a="1"/>
  <c r="GK9" i="4" a="1"/>
  <c r="GS14" i="4" a="1"/>
  <c r="GP7" i="4" a="1"/>
  <c r="FW9" i="4" a="1"/>
  <c r="FI12" i="4" a="1"/>
  <c r="GJ5" i="4" a="1"/>
  <c r="GW8" i="4" a="1"/>
  <c r="GF11" i="4" a="1"/>
  <c r="FK5" i="4" a="1"/>
  <c r="FJ8" i="4" a="1"/>
  <c r="GC9" i="4" a="1"/>
  <c r="GK14" i="4" a="1"/>
  <c r="GK11" i="4" a="1"/>
  <c r="GP12" i="4" a="1"/>
  <c r="GW13" i="4" a="1"/>
  <c r="GT11" i="4" a="1"/>
  <c r="GV12" i="4" a="1"/>
  <c r="GX13" i="4" a="1"/>
  <c r="HE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B93" i="3"/>
  <c r="BC69" i="3"/>
  <c r="BN58" i="3"/>
  <c r="FR8" i="4" a="1"/>
  <c r="GS13" i="4" a="1"/>
  <c r="BC96" i="3"/>
  <c r="BD60" i="3"/>
  <c r="BF77" i="3"/>
  <c r="CL140" i="1" s="1"/>
  <c r="FZ9" i="4" a="1"/>
  <c r="FH16" i="4" a="1"/>
  <c r="HH11" i="4" a="1"/>
  <c r="FM16" i="4" a="1"/>
  <c r="GL8" i="4" a="1"/>
  <c r="BD71" i="3"/>
  <c r="BA81" i="3"/>
  <c r="BM76" i="3"/>
  <c r="BA77" i="3"/>
  <c r="BI54" i="3"/>
  <c r="BR93" i="3"/>
  <c r="BO80" i="3"/>
  <c r="BS82" i="3"/>
  <c r="BR76" i="3"/>
  <c r="BV91" i="3"/>
  <c r="BT70" i="3"/>
  <c r="BN64" i="3"/>
  <c r="BP75" i="3"/>
  <c r="BO73" i="3"/>
  <c r="BP55" i="3"/>
  <c r="BE58" i="3"/>
  <c r="BM54" i="3"/>
  <c r="BJ58" i="3"/>
  <c r="BJ57" i="3"/>
  <c r="BK67" i="3"/>
  <c r="BK63" i="3"/>
  <c r="FJ7" i="4" a="1"/>
  <c r="HH7" i="4" a="1"/>
  <c r="FH14" i="4" a="1"/>
  <c r="GX7" i="4" a="1"/>
  <c r="FL9" i="4" a="1"/>
  <c r="GU11" i="4" a="1"/>
  <c r="GL5" i="4" a="1"/>
  <c r="GM8" i="4" a="1"/>
  <c r="GZ9" i="4" a="1"/>
  <c r="FO15" i="4" a="1"/>
  <c r="FI8" i="4" a="1"/>
  <c r="HC6" i="4" a="1"/>
  <c r="GG12" i="4" a="1"/>
  <c r="FM6" i="4" a="1"/>
  <c r="GU5" i="4" a="1"/>
  <c r="GZ6" i="4" a="1"/>
  <c r="FJ5" i="4" a="1"/>
  <c r="GA8" i="4" a="1"/>
  <c r="GV9" i="4" a="1"/>
  <c r="FG15" i="4" a="1"/>
  <c r="GN11" i="4" a="1"/>
  <c r="GX12" i="4" a="1"/>
  <c r="GZ13" i="4" a="1"/>
  <c r="GY11" i="4" a="1"/>
  <c r="HA12" i="4" a="1"/>
  <c r="HC13" i="4" a="1"/>
  <c r="FO6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A69" i="3"/>
  <c r="BB79" i="3"/>
  <c r="BC85" i="3"/>
  <c r="BF71" i="3"/>
  <c r="BR58" i="3"/>
  <c r="BO88" i="3"/>
  <c r="BS64" i="3"/>
  <c r="BR74" i="3"/>
  <c r="BV88" i="3"/>
  <c r="BT47" i="3"/>
  <c r="BN55" i="3"/>
  <c r="BP85" i="3"/>
  <c r="BO64" i="3"/>
  <c r="BG68" i="3"/>
  <c r="BE67" i="3"/>
  <c r="BM83" i="3"/>
  <c r="BJ70" i="3"/>
  <c r="BJ67" i="3"/>
  <c r="BK80" i="3"/>
  <c r="BK79" i="3"/>
  <c r="GR5" i="4" a="1"/>
  <c r="GB8" i="4" a="1"/>
  <c r="HA14" i="4" a="1"/>
  <c r="GW5" i="4" a="1"/>
  <c r="GJ9" i="4" a="1"/>
  <c r="GO12" i="4" a="1"/>
  <c r="FH6" i="4" a="1"/>
  <c r="GY8" i="4" a="1"/>
  <c r="FJ11" i="4" a="1"/>
  <c r="FI7" i="4" a="1"/>
  <c r="GD6" i="4" a="1"/>
  <c r="GW7" i="4" a="1"/>
  <c r="HH12" i="4" a="1"/>
  <c r="GK6" i="4" a="1"/>
  <c r="FT6" i="4" a="1"/>
  <c r="GN9" i="4" a="1"/>
  <c r="FR5" i="4" a="1"/>
  <c r="GO8" i="4" a="1"/>
  <c r="FH11" i="4" a="1"/>
  <c r="GV5" i="4" a="1"/>
  <c r="GV11" i="4" a="1"/>
  <c r="HC12" i="4" a="1"/>
  <c r="HE6" i="4" a="1"/>
  <c r="HB11" i="4" a="1"/>
  <c r="HD12" i="4" a="1"/>
  <c r="FI14" i="4" a="1"/>
  <c r="FY7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67" i="3"/>
  <c r="BF81" i="3"/>
  <c r="CL144" i="1" s="1"/>
  <c r="CL179" i="1" s="1"/>
  <c r="FS6" i="4" a="1"/>
  <c r="FV11" i="4" a="1"/>
  <c r="GR6" i="4" a="1"/>
  <c r="FT11" i="4" a="1"/>
  <c r="HG11" i="4" a="1"/>
  <c r="FN8" i="4" a="1"/>
  <c r="GG16" i="4" a="1"/>
  <c r="BM55" i="3"/>
  <c r="GC14" i="4" a="1"/>
  <c r="FX14" i="4" a="1"/>
  <c r="FM12" i="4" a="1"/>
  <c r="FJ14" i="4" a="1"/>
  <c r="FV9" i="4" a="1"/>
  <c r="GM14" i="4" a="1"/>
  <c r="BC70" i="3"/>
  <c r="BC91" i="3"/>
  <c r="BA84" i="3"/>
  <c r="BB56" i="3"/>
  <c r="BQ54" i="3"/>
  <c r="BF92" i="3"/>
  <c r="CL155" i="1" s="1"/>
  <c r="BR57" i="3"/>
  <c r="BO50" i="3"/>
  <c r="BS56" i="3"/>
  <c r="GZ8" i="4" a="1"/>
  <c r="GX6" i="4" a="1"/>
  <c r="GX5" i="4" a="1"/>
  <c r="HA8" i="4" a="1"/>
  <c r="FN7" i="4" a="1"/>
  <c r="GF13" i="4" a="1"/>
  <c r="GD16" i="4" a="1"/>
  <c r="FY11" i="4" a="1"/>
  <c r="BJ73" i="3"/>
  <c r="FY9" i="4" a="1"/>
  <c r="BT49" i="3"/>
  <c r="BQ58" i="3"/>
  <c r="BB90" i="3"/>
  <c r="BH79" i="3"/>
  <c r="BF80" i="3"/>
  <c r="CL159" i="1" s="1"/>
  <c r="BV77" i="3"/>
  <c r="BO70" i="3"/>
  <c r="BU56" i="3"/>
  <c r="BR84" i="3"/>
  <c r="BV86" i="3"/>
  <c r="BT85" i="3"/>
  <c r="BN96" i="3"/>
  <c r="BF67" i="3"/>
  <c r="BO78" i="3"/>
  <c r="BG62" i="3"/>
  <c r="BE73" i="3"/>
  <c r="BM89" i="3"/>
  <c r="BJ76" i="3"/>
  <c r="BJ71" i="3"/>
  <c r="BK60" i="3"/>
  <c r="BK61" i="3"/>
  <c r="FU7" i="4" a="1"/>
  <c r="GX9" i="4" a="1"/>
  <c r="GH8" i="4" a="1"/>
  <c r="GQ6" i="4" a="1"/>
  <c r="FT8" i="4" a="1"/>
  <c r="HG13" i="4" a="1"/>
  <c r="HA6" i="4" a="1"/>
  <c r="FQ6" i="4" a="1"/>
  <c r="GS5" i="4" a="1"/>
  <c r="FI5" i="4" a="1"/>
  <c r="HD7" i="4" a="1"/>
  <c r="HD8" i="4" a="1"/>
  <c r="HB13" i="4" a="1"/>
  <c r="FZ7" i="4" a="1"/>
  <c r="FO9" i="4" a="1"/>
  <c r="GZ12" i="4" a="1"/>
  <c r="GY5" i="4" a="1"/>
  <c r="HF5" i="4" a="1"/>
  <c r="GD11" i="4" a="1"/>
  <c r="GW9" i="4" a="1"/>
  <c r="FG12" i="4" a="1"/>
  <c r="FI13" i="4" a="1"/>
  <c r="GI7" i="4" a="1"/>
  <c r="FH12" i="4" a="1"/>
  <c r="FO13" i="4" a="1"/>
  <c r="FT14" i="4" a="1"/>
  <c r="GT8" i="4" a="1"/>
  <c r="HA13" i="4" a="1"/>
  <c r="GH15" i="4" a="1"/>
  <c r="HH15" i="4" a="1"/>
  <c r="GF16" i="4" a="1"/>
  <c r="HF16" i="4" a="1"/>
  <c r="HB8" i="4" a="1"/>
  <c r="HH13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V48" i="3"/>
  <c r="BH72" i="3"/>
  <c r="BG72" i="3"/>
  <c r="BH90" i="3"/>
  <c r="BF85" i="3"/>
  <c r="CL147" i="1" s="1"/>
  <c r="BV65" i="3"/>
  <c r="BO77" i="3"/>
  <c r="BU60" i="3"/>
  <c r="BR82" i="3"/>
  <c r="BV89" i="3"/>
  <c r="BT86" i="3"/>
  <c r="BN47" i="3"/>
  <c r="BK50" i="3"/>
  <c r="BH54" i="3"/>
  <c r="BL71" i="3"/>
  <c r="BQ76" i="3"/>
  <c r="BV83" i="3"/>
  <c r="BO87" i="3"/>
  <c r="BU67" i="3"/>
  <c r="BR77" i="3"/>
  <c r="BV94" i="3"/>
  <c r="BT54" i="3"/>
  <c r="BN66" i="3"/>
  <c r="BF55" i="3"/>
  <c r="BS62" i="3"/>
  <c r="BH97" i="3"/>
  <c r="BI65" i="3"/>
  <c r="BF58" i="3"/>
  <c r="CL119" i="1" s="1"/>
  <c r="BJ95" i="3"/>
  <c r="BJ79" i="3"/>
  <c r="BK86" i="3"/>
  <c r="FK15" i="4" a="1"/>
  <c r="FY8" i="4" a="1"/>
  <c r="FW6" i="4" a="1"/>
  <c r="HA9" i="4" a="1"/>
  <c r="FS8" i="4" a="1"/>
  <c r="GP9" i="4" a="1"/>
  <c r="HD14" i="4" a="1"/>
  <c r="GU7" i="4" a="1"/>
  <c r="FV7" i="4" a="1"/>
  <c r="GH11" i="4" a="1"/>
  <c r="FT5" i="4" a="1"/>
  <c r="GG8" i="4" a="1"/>
  <c r="GT9" i="4" a="1"/>
  <c r="GV14" i="4" a="1"/>
  <c r="FV6" i="4" a="1"/>
  <c r="FX8" i="4" a="1"/>
  <c r="GT13" i="4" a="1"/>
  <c r="GS6" i="4" a="1"/>
  <c r="GW6" i="4" a="1"/>
  <c r="FS9" i="4" a="1"/>
  <c r="FK11" i="4" a="1"/>
  <c r="FO12" i="4" a="1"/>
  <c r="FQ13" i="4" a="1"/>
  <c r="FM8" i="4" a="1"/>
  <c r="FU12" i="4" a="1"/>
  <c r="FZ13" i="4" a="1"/>
  <c r="GB14" i="4" a="1"/>
  <c r="GL9" i="4" a="1"/>
  <c r="FO14" i="4" a="1"/>
  <c r="GL15" i="4" a="1"/>
  <c r="FJ16" i="4" a="1"/>
  <c r="GJ16" i="4" a="1"/>
  <c r="HE7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R71" i="3"/>
  <c r="BM92" i="3"/>
  <c r="BL74" i="3"/>
  <c r="BQ74" i="3"/>
  <c r="BT94" i="3"/>
  <c r="BS80" i="3"/>
  <c r="BU83" i="3"/>
  <c r="BR90" i="3"/>
  <c r="BV55" i="3"/>
  <c r="BT89" i="3"/>
  <c r="BN72" i="3"/>
  <c r="BF75" i="3"/>
  <c r="BS67" i="3"/>
  <c r="BH91" i="3"/>
  <c r="BI56" i="3"/>
  <c r="BF62" i="3"/>
  <c r="CL124" i="1" s="1"/>
  <c r="BJ93" i="3"/>
  <c r="BJ83" i="3"/>
  <c r="BK57" i="3"/>
  <c r="FS5" i="4" a="1"/>
  <c r="GK8" i="4" a="1"/>
  <c r="HE8" i="4" a="1"/>
  <c r="FO5" i="4" a="1"/>
  <c r="GQ8" i="4" a="1"/>
  <c r="HB9" i="4" a="1"/>
  <c r="FW15" i="4" a="1"/>
  <c r="GO5" i="4" a="1"/>
  <c r="HF8" i="4" a="1"/>
  <c r="GB12" i="4" a="1"/>
  <c r="GF5" i="4" a="1"/>
  <c r="GS8" i="4" a="1"/>
  <c r="HF9" i="4" a="1"/>
  <c r="FZ15" i="4" a="1"/>
  <c r="FM7" i="4" a="1"/>
  <c r="GV8" i="4" a="1"/>
  <c r="FP14" i="4" a="1"/>
  <c r="FR7" i="4" a="1"/>
  <c r="HB7" i="4" a="1"/>
  <c r="FL12" i="4" a="1"/>
  <c r="FO11" i="4" a="1"/>
  <c r="FR12" i="4" a="1"/>
  <c r="FT13" i="4" a="1"/>
  <c r="FK9" i="4" a="1"/>
  <c r="GC12" i="4" a="1"/>
  <c r="GE13" i="4" a="1"/>
  <c r="GG14" i="4" a="1"/>
  <c r="HC9" i="4" a="1"/>
  <c r="FZ14" i="4" a="1"/>
  <c r="GN15" i="4" a="1"/>
  <c r="FL16" i="4" a="1"/>
  <c r="GL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D58" i="3"/>
  <c r="BD90" i="3"/>
  <c r="Z112" i="2"/>
  <c r="BG48" i="3"/>
  <c r="BE69" i="3"/>
  <c r="BJ72" i="3"/>
  <c r="GD13" i="4" a="1"/>
  <c r="HF15" i="4" a="1"/>
  <c r="FW14" i="4" a="1"/>
  <c r="BC78" i="3"/>
  <c r="BO91" i="3"/>
  <c r="FO8" i="4" a="1"/>
  <c r="HC7" i="4" a="1"/>
  <c r="GN5" i="4" a="1"/>
  <c r="FL13" i="4" a="1"/>
  <c r="FW13" i="4" a="1"/>
  <c r="HH16" i="4" a="1"/>
  <c r="GD12" i="4" a="1"/>
  <c r="GQ15" i="4" a="1"/>
  <c r="BC81" i="3"/>
  <c r="BM77" i="3"/>
  <c r="BD88" i="3"/>
  <c r="BL56" i="3"/>
  <c r="BQ80" i="3"/>
  <c r="BT75" i="3"/>
  <c r="BS84" i="3"/>
  <c r="BU85" i="3"/>
  <c r="BR87" i="3"/>
  <c r="BV66" i="3"/>
  <c r="BN86" i="3"/>
  <c r="BN69" i="3"/>
  <c r="Y112" i="2"/>
  <c r="BS79" i="3"/>
  <c r="BL85" i="3"/>
  <c r="BI60" i="3"/>
  <c r="BF70" i="3"/>
  <c r="CL133" i="1" s="1"/>
  <c r="BJ54" i="3"/>
  <c r="BK69" i="3"/>
  <c r="BK95" i="3"/>
  <c r="FL5" i="4" a="1"/>
  <c r="GU8" i="4" a="1"/>
  <c r="GI9" i="4" a="1"/>
  <c r="FH5" i="4" a="1"/>
  <c r="HC8" i="4" a="1"/>
  <c r="FL11" i="4" a="1"/>
  <c r="GO7" i="4" a="1"/>
  <c r="FK6" i="4" a="1"/>
  <c r="GM6" i="4" a="1"/>
  <c r="GW12" i="4" a="1"/>
  <c r="GT5" i="4" a="1"/>
  <c r="GP5" i="4" a="1"/>
  <c r="FP11" i="4" a="1"/>
  <c r="FI9" i="4" a="1"/>
  <c r="GF7" i="4" a="1"/>
  <c r="FU9" i="4" a="1"/>
  <c r="GN14" i="4" a="1"/>
  <c r="GM7" i="4" a="1"/>
  <c r="GM9" i="4" a="1"/>
  <c r="GR12" i="4" a="1"/>
  <c r="FS11" i="4" a="1"/>
  <c r="FW12" i="4" a="1"/>
  <c r="FY13" i="4" a="1"/>
  <c r="GA9" i="4" a="1"/>
  <c r="GF12" i="4" a="1"/>
  <c r="GH13" i="4" a="1"/>
  <c r="GJ14" i="4" a="1"/>
  <c r="FQ11" i="4" a="1"/>
  <c r="GE14" i="4" a="1"/>
  <c r="GP15" i="4" a="1"/>
  <c r="FN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O83" i="3"/>
  <c r="GL6" i="4" a="1"/>
  <c r="GF6" i="4" a="1"/>
  <c r="GK7" i="4" a="1"/>
  <c r="FG7" i="4" a="1"/>
  <c r="FY12" i="4" a="1"/>
  <c r="HF12" i="4" a="1"/>
  <c r="FQ14" i="4" a="1"/>
  <c r="GF15" i="4" a="1"/>
  <c r="HD16" i="4" a="1"/>
  <c r="GA15" i="4" a="1"/>
  <c r="FI16" i="4" a="1"/>
  <c r="BJ78" i="3"/>
  <c r="FM9" i="4" a="1"/>
  <c r="FW7" i="4" a="1"/>
  <c r="GB6" i="4" a="1"/>
  <c r="GK5" i="4" a="1"/>
  <c r="FQ9" i="4" a="1"/>
  <c r="GK16" i="4" a="1"/>
  <c r="BD87" i="3"/>
  <c r="CH140" i="1" l="1"/>
  <c r="CI140" i="1" s="1"/>
  <c r="AA202" i="1"/>
  <c r="CL128" i="1"/>
  <c r="CH161" i="1"/>
  <c r="CL98" i="1"/>
  <c r="CL99" i="1" s="1"/>
  <c r="X183" i="1"/>
  <c r="X180" i="1"/>
  <c r="CL16" i="1"/>
  <c r="CK65" i="1"/>
  <c r="CK16" i="1"/>
  <c r="CL19" i="1" s="1"/>
  <c r="CL12" i="1"/>
  <c r="CH126" i="1"/>
  <c r="CI126" i="1" s="1"/>
  <c r="Z154" i="1"/>
  <c r="CH154" i="1" s="1"/>
  <c r="CL161" i="1"/>
  <c r="CL168" i="1"/>
  <c r="CL109" i="1" s="1"/>
  <c r="CL156" i="1"/>
  <c r="CL185" i="1" s="1"/>
  <c r="CL184" i="1" s="1"/>
  <c r="CL148" i="1"/>
  <c r="CL138" i="1"/>
  <c r="CL120" i="1"/>
  <c r="CL129" i="1" s="1"/>
  <c r="X253" i="1"/>
  <c r="X179" i="1"/>
  <c r="CK26" i="1"/>
  <c r="Y148" i="1"/>
  <c r="CO20" i="1"/>
  <c r="CS20" i="1" s="1"/>
  <c r="CJ152" i="1"/>
  <c r="JQ16" i="4" s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B16" i="4" s="1"/>
  <c r="X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H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9" i="1"/>
  <c r="CJ151" i="1"/>
  <c r="KE9" i="4" s="1"/>
  <c r="JR16" i="4" s="1"/>
  <c r="JT14" i="4" s="1"/>
  <c r="KF9" i="4" s="1"/>
  <c r="CJ143" i="1"/>
  <c r="JY9" i="4" s="1"/>
  <c r="KA16" i="4" s="1"/>
  <c r="JS16" i="4" s="1"/>
  <c r="KE14" i="4" s="1"/>
  <c r="JZ16" i="4" s="1"/>
  <c r="KB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S9" i="4" s="1"/>
  <c r="JX16" i="4" s="1"/>
  <c r="JS7" i="4" s="1"/>
  <c r="JY16" i="4" s="1"/>
  <c r="KF16" i="4" s="1"/>
  <c r="JZ9" i="4" s="1"/>
  <c r="KD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S15" i="4" s="1"/>
  <c r="JV15" i="4" s="1"/>
  <c r="JV16" i="4" s="1"/>
  <c r="JV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34" i="1"/>
  <c r="CK33" i="1" s="1"/>
  <c r="CJ154" i="1"/>
  <c r="KD16" i="4" s="1"/>
  <c r="CK73" i="1"/>
  <c r="CJ146" i="1"/>
  <c r="CJ149" i="1"/>
  <c r="JW15" i="4" s="1"/>
  <c r="KB8" i="4" s="1"/>
  <c r="KC9" i="4" s="1"/>
  <c r="CJ125" i="1"/>
  <c r="CK125" i="1" s="1"/>
  <c r="KG16" i="4" s="1"/>
  <c r="CJ159" i="1"/>
  <c r="CJ150" i="1"/>
  <c r="KC16" i="4" s="1"/>
  <c r="CJ155" i="1"/>
  <c r="CJ124" i="1"/>
  <c r="CK124" i="1" s="1"/>
  <c r="CM124" i="1" s="1"/>
  <c r="CG73" i="1"/>
  <c r="CJ73" i="1"/>
  <c r="CG74" i="1"/>
  <c r="JT9" i="4" s="1"/>
  <c r="CJ133" i="1"/>
  <c r="CK133" i="1" s="1"/>
  <c r="CM133" i="1" s="1"/>
  <c r="CN133" i="1" s="1"/>
  <c r="CO133" i="1" s="1"/>
  <c r="CP133" i="1" s="1"/>
  <c r="CI73" i="1"/>
  <c r="CJ145" i="1"/>
  <c r="CJ180" i="1" s="1"/>
  <c r="CK180" i="1" s="1"/>
  <c r="CH74" i="1"/>
  <c r="Z74" i="1"/>
  <c r="CJ153" i="1"/>
  <c r="CJ183" i="1" s="1"/>
  <c r="CK183" i="1" s="1"/>
  <c r="CJ147" i="1"/>
  <c r="Y74" i="1"/>
  <c r="CI74" i="1"/>
  <c r="KG9" i="4" s="1"/>
  <c r="JQ7" i="4" s="1"/>
  <c r="JY14" i="4" s="1"/>
  <c r="Z73" i="1"/>
  <c r="CJ160" i="1"/>
  <c r="CK74" i="1"/>
  <c r="CJ142" i="1"/>
  <c r="CH73" i="1"/>
  <c r="JX9" i="4" s="1"/>
  <c r="KA7" i="4" s="1"/>
  <c r="KH9" i="4" s="1"/>
  <c r="CJ74" i="1"/>
  <c r="Z148" i="1"/>
  <c r="AA196" i="1" s="1"/>
  <c r="Z161" i="1"/>
  <c r="AA209" i="1" s="1"/>
  <c r="X148" i="1"/>
  <c r="CK98" i="1"/>
  <c r="CK17" i="1"/>
  <c r="X252" i="1"/>
  <c r="Y134" i="1"/>
  <c r="X10" i="1"/>
  <c r="Y173" i="1"/>
  <c r="Y161" i="1"/>
  <c r="Y26" i="1"/>
  <c r="Y179" i="1"/>
  <c r="X173" i="1"/>
  <c r="Z182" i="1"/>
  <c r="Y252" i="1"/>
  <c r="Y10" i="1"/>
  <c r="Y11" i="1" s="1"/>
  <c r="Y231" i="1"/>
  <c r="Y253" i="1"/>
  <c r="Y183" i="1"/>
  <c r="CH117" i="1"/>
  <c r="Z120" i="1"/>
  <c r="AA207" i="1" s="1"/>
  <c r="CH144" i="1"/>
  <c r="CH148" i="1" s="1"/>
  <c r="CH182" i="1" s="1"/>
  <c r="Z179" i="1"/>
  <c r="Z231" i="1"/>
  <c r="Z252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28" i="1"/>
  <c r="Z156" i="1"/>
  <c r="AA197" i="1" s="1"/>
  <c r="CI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99" i="1" l="1"/>
  <c r="JV21" i="4"/>
  <c r="Y182" i="1"/>
  <c r="CW20" i="1"/>
  <c r="DA20" i="1" s="1"/>
  <c r="KD21" i="4"/>
  <c r="JR9" i="4" s="1"/>
  <c r="CJ120" i="1"/>
  <c r="KF21" i="4"/>
  <c r="CI128" i="1"/>
  <c r="X182" i="1"/>
  <c r="Y196" i="1"/>
  <c r="AA188" i="1"/>
  <c r="AA11" i="1"/>
  <c r="AA206" i="1"/>
  <c r="AA205" i="1" s="1"/>
  <c r="AA249" i="1"/>
  <c r="AA198" i="1"/>
  <c r="AA199" i="1" s="1"/>
  <c r="KB21" i="4"/>
  <c r="JW9" i="4" s="1"/>
  <c r="KA9" i="4" s="1"/>
  <c r="JU9" i="4" s="1"/>
  <c r="JQ9" i="4" s="1"/>
  <c r="KB7" i="4" s="1"/>
  <c r="KC21" i="4"/>
  <c r="JU16" i="4" s="1"/>
  <c r="KF14" i="4" s="1"/>
  <c r="JT16" i="4" s="1"/>
  <c r="JT21" i="4" s="1"/>
  <c r="X27" i="1"/>
  <c r="Y138" i="1"/>
  <c r="Y33" i="1"/>
  <c r="Z209" i="1"/>
  <c r="X98" i="1"/>
  <c r="X16" i="1"/>
  <c r="KA21" i="4"/>
  <c r="KC15" i="4"/>
  <c r="JR15" i="4"/>
  <c r="KH21" i="4"/>
  <c r="JW8" i="4"/>
  <c r="JR14" i="4"/>
  <c r="KF7" i="4"/>
  <c r="KC7" i="4"/>
  <c r="CL17" i="1"/>
  <c r="CL28" i="1"/>
  <c r="CL248" i="1"/>
  <c r="CL246" i="1"/>
  <c r="CL157" i="1"/>
  <c r="CL165" i="1" s="1"/>
  <c r="CL166" i="1" s="1"/>
  <c r="CL182" i="1"/>
  <c r="CL92" i="1"/>
  <c r="JQ21" i="4"/>
  <c r="CK77" i="1" s="1"/>
  <c r="JR21" i="4"/>
  <c r="CL77" i="1" s="1"/>
  <c r="KC8" i="4"/>
  <c r="KC20" i="4" s="1"/>
  <c r="JU8" i="4"/>
  <c r="KD8" i="4"/>
  <c r="JX21" i="4"/>
  <c r="JY21" i="4"/>
  <c r="KA15" i="4"/>
  <c r="KE7" i="4"/>
  <c r="KE19" i="4" s="1"/>
  <c r="JX8" i="4"/>
  <c r="JY7" i="4"/>
  <c r="JY19" i="4" s="1"/>
  <c r="KD14" i="4"/>
  <c r="JX15" i="4"/>
  <c r="JX20" i="4" s="1"/>
  <c r="KC14" i="4"/>
  <c r="JV14" i="4"/>
  <c r="JV8" i="4"/>
  <c r="JV20" i="4" s="1"/>
  <c r="JY15" i="4"/>
  <c r="KD15" i="4"/>
  <c r="KH14" i="4"/>
  <c r="Z196" i="1"/>
  <c r="Z181" i="1"/>
  <c r="CK28" i="1"/>
  <c r="CK27" i="1"/>
  <c r="CI16" i="1"/>
  <c r="CL244" i="1"/>
  <c r="CL225" i="1"/>
  <c r="CL188" i="1"/>
  <c r="CL11" i="1"/>
  <c r="CJ161" i="1"/>
  <c r="JU15" i="4"/>
  <c r="JT7" i="4"/>
  <c r="JT19" i="4" s="1"/>
  <c r="JT8" i="4"/>
  <c r="JU7" i="4"/>
  <c r="KD7" i="4"/>
  <c r="CJ148" i="1"/>
  <c r="KH8" i="4"/>
  <c r="KE8" i="4"/>
  <c r="JQ8" i="4"/>
  <c r="KG15" i="4"/>
  <c r="KA14" i="4"/>
  <c r="KA19" i="4" s="1"/>
  <c r="JZ8" i="4"/>
  <c r="JS21" i="4"/>
  <c r="JZ21" i="4"/>
  <c r="JS8" i="4"/>
  <c r="JS20" i="4" s="1"/>
  <c r="JZ14" i="4"/>
  <c r="KE15" i="4"/>
  <c r="KE20" i="4" s="1"/>
  <c r="JX7" i="4"/>
  <c r="JZ7" i="4"/>
  <c r="JW14" i="4"/>
  <c r="JX14" i="4"/>
  <c r="JX19" i="4" s="1"/>
  <c r="JS14" i="4"/>
  <c r="JS19" i="4" s="1"/>
  <c r="KF8" i="4"/>
  <c r="JV7" i="4"/>
  <c r="KA8" i="4"/>
  <c r="KG14" i="4"/>
  <c r="KG7" i="4"/>
  <c r="KH7" i="4"/>
  <c r="JY8" i="4"/>
  <c r="JW7" i="4"/>
  <c r="JT15" i="4"/>
  <c r="KE21" i="4"/>
  <c r="JR7" i="4"/>
  <c r="JQ14" i="4"/>
  <c r="JQ19" i="4" s="1"/>
  <c r="CK78" i="1" s="1"/>
  <c r="JZ15" i="4"/>
  <c r="KG8" i="4"/>
  <c r="KG20" i="4" s="1"/>
  <c r="KB14" i="4"/>
  <c r="CK140" i="1"/>
  <c r="KG21" i="4"/>
  <c r="JQ15" i="4"/>
  <c r="JQ20" i="4" s="1"/>
  <c r="CK79" i="1" s="1"/>
  <c r="JR8" i="4"/>
  <c r="KF15" i="4"/>
  <c r="KF20" i="4" s="1"/>
  <c r="JU14" i="4"/>
  <c r="KH15" i="4"/>
  <c r="KH20" i="4" s="1"/>
  <c r="KB15" i="4"/>
  <c r="KB20" i="4" s="1"/>
  <c r="Y16" i="1"/>
  <c r="CJ138" i="1"/>
  <c r="Y27" i="1"/>
  <c r="Y188" i="1"/>
  <c r="Y98" i="1"/>
  <c r="CJ156" i="1"/>
  <c r="CJ185" i="1" s="1"/>
  <c r="CJ184" i="1" s="1"/>
  <c r="CK184" i="1" s="1"/>
  <c r="CJ131" i="1"/>
  <c r="CK131" i="1" s="1"/>
  <c r="CJ128" i="1"/>
  <c r="CJ206" i="1" s="1"/>
  <c r="Z134" i="1"/>
  <c r="CH131" i="1"/>
  <c r="CK29" i="1"/>
  <c r="CK34" i="1"/>
  <c r="CK38" i="1" s="1"/>
  <c r="Z27" i="1"/>
  <c r="CI117" i="1"/>
  <c r="CH120" i="1"/>
  <c r="CH248" i="1" s="1"/>
  <c r="Z175" i="1"/>
  <c r="Z248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J92" i="1"/>
  <c r="CJ94" i="1" s="1"/>
  <c r="CI206" i="1"/>
  <c r="X185" i="1"/>
  <c r="Y197" i="1"/>
  <c r="Y198" i="1" s="1"/>
  <c r="JR19" i="4"/>
  <c r="CL78" i="1" s="1"/>
  <c r="KH19" i="4"/>
  <c r="Y249" i="1"/>
  <c r="Y206" i="1"/>
  <c r="Y168" i="1"/>
  <c r="Y109" i="1" s="1"/>
  <c r="CK128" i="1"/>
  <c r="KF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Z185" i="1"/>
  <c r="Z157" i="1"/>
  <c r="Z197" i="1"/>
  <c r="Z198" i="1" s="1"/>
  <c r="X181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CH181" i="1"/>
  <c r="CI181" i="1" s="1"/>
  <c r="CH186" i="1"/>
  <c r="CJ129" i="1" l="1"/>
  <c r="Y181" i="1"/>
  <c r="Y165" i="1"/>
  <c r="CJ182" i="1"/>
  <c r="Y246" i="1"/>
  <c r="Y244" i="1"/>
  <c r="X28" i="1"/>
  <c r="X17" i="1"/>
  <c r="KA20" i="4"/>
  <c r="KC19" i="4"/>
  <c r="JV19" i="4"/>
  <c r="KD20" i="4"/>
  <c r="CL31" i="1"/>
  <c r="JU20" i="4"/>
  <c r="JZ19" i="4"/>
  <c r="JW21" i="4"/>
  <c r="JU21" i="4"/>
  <c r="KB19" i="4"/>
  <c r="JR20" i="4"/>
  <c r="CL79" i="1" s="1"/>
  <c r="CK102" i="1"/>
  <c r="JW20" i="4"/>
  <c r="KD19" i="4"/>
  <c r="JY20" i="4"/>
  <c r="JU19" i="4"/>
  <c r="KG19" i="4"/>
  <c r="JZ20" i="4"/>
  <c r="CL34" i="1"/>
  <c r="CL38" i="1" s="1"/>
  <c r="CL29" i="1"/>
  <c r="CL250" i="1"/>
  <c r="CL232" i="1"/>
  <c r="CL233" i="1" s="1"/>
  <c r="CL181" i="1"/>
  <c r="CL186" i="1"/>
  <c r="CL189" i="1" s="1"/>
  <c r="CL102" i="1"/>
  <c r="CL94" i="1"/>
  <c r="JW19" i="4"/>
  <c r="JT20" i="4"/>
  <c r="CJ246" i="1"/>
  <c r="CJ244" i="1"/>
  <c r="CJ248" i="1"/>
  <c r="CK209" i="1"/>
  <c r="CK202" i="1"/>
  <c r="CL202" i="1"/>
  <c r="Y18" i="1"/>
  <c r="Y28" i="1"/>
  <c r="Y17" i="1"/>
  <c r="CH134" i="1"/>
  <c r="CI131" i="1"/>
  <c r="CI134" i="1" s="1"/>
  <c r="CJ33" i="1" s="1"/>
  <c r="CL103" i="1"/>
  <c r="CL95" i="1"/>
  <c r="CL107" i="1"/>
  <c r="CL110" i="1" s="1"/>
  <c r="CL206" i="1"/>
  <c r="CL249" i="1"/>
  <c r="CJ249" i="1"/>
  <c r="CJ157" i="1"/>
  <c r="CJ165" i="1" s="1"/>
  <c r="Z138" i="1"/>
  <c r="AA203" i="1" s="1"/>
  <c r="AA201" i="1" s="1"/>
  <c r="Z33" i="1"/>
  <c r="CK40" i="1"/>
  <c r="CK41" i="1"/>
  <c r="CH129" i="1"/>
  <c r="CH92" i="1"/>
  <c r="CK104" i="1"/>
  <c r="CK108" i="1"/>
  <c r="CK103" i="1"/>
  <c r="CK107" i="1"/>
  <c r="CU133" i="1"/>
  <c r="CV133" i="1" s="1"/>
  <c r="CW133" i="1" s="1"/>
  <c r="CX133" i="1" s="1"/>
  <c r="AC133" i="1"/>
  <c r="X246" i="1"/>
  <c r="X165" i="1"/>
  <c r="X166" i="1" s="1"/>
  <c r="X244" i="1"/>
  <c r="Y203" i="1"/>
  <c r="Y201" i="1" s="1"/>
  <c r="Z18" i="1"/>
  <c r="Z17" i="1"/>
  <c r="Z28" i="1"/>
  <c r="CJ96" i="1"/>
  <c r="CJ95" i="1"/>
  <c r="CG28" i="1"/>
  <c r="CK30" i="1" s="1"/>
  <c r="CG17" i="1"/>
  <c r="CK185" i="1"/>
  <c r="Y184" i="1"/>
  <c r="Y186" i="1"/>
  <c r="CI185" i="1"/>
  <c r="CI152" i="1"/>
  <c r="CM140" i="1"/>
  <c r="CJ181" i="1"/>
  <c r="CK181" i="1" s="1"/>
  <c r="Y166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186" i="1"/>
  <c r="AA189" i="1" s="1"/>
  <c r="AA190" i="1" s="1"/>
  <c r="Z184" i="1"/>
  <c r="Y250" i="1"/>
  <c r="Y251" i="1" s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CL108" i="1" l="1"/>
  <c r="CL111" i="1" s="1"/>
  <c r="CL96" i="1"/>
  <c r="CJ166" i="1"/>
  <c r="CL104" i="1"/>
  <c r="CJ186" i="1"/>
  <c r="X232" i="1"/>
  <c r="X233" i="1" s="1"/>
  <c r="X34" i="1"/>
  <c r="AA213" i="1"/>
  <c r="AA210" i="1"/>
  <c r="AA211" i="1" s="1"/>
  <c r="AA30" i="1"/>
  <c r="AA250" i="1"/>
  <c r="AA251" i="1" s="1"/>
  <c r="Y30" i="1"/>
  <c r="CI33" i="1"/>
  <c r="CH138" i="1"/>
  <c r="CK31" i="1"/>
  <c r="CL226" i="1"/>
  <c r="CL112" i="1"/>
  <c r="CL113" i="1" s="1"/>
  <c r="CL40" i="1"/>
  <c r="CL41" i="1"/>
  <c r="CL251" i="1"/>
  <c r="Y112" i="1"/>
  <c r="Y34" i="1"/>
  <c r="Y29" i="1"/>
  <c r="Y232" i="1"/>
  <c r="Y233" i="1" s="1"/>
  <c r="CI38" i="1"/>
  <c r="Z203" i="1"/>
  <c r="Z201" i="1" s="1"/>
  <c r="Z165" i="1"/>
  <c r="Z166" i="1" s="1"/>
  <c r="Z246" i="1"/>
  <c r="Z244" i="1"/>
  <c r="CK48" i="1"/>
  <c r="CK42" i="1"/>
  <c r="CH94" i="1"/>
  <c r="CH96" i="1"/>
  <c r="CH95" i="1"/>
  <c r="CI250" i="1"/>
  <c r="CI251" i="1" s="1"/>
  <c r="CK112" i="1"/>
  <c r="Y189" i="1"/>
  <c r="Y190" i="1" s="1"/>
  <c r="Z189" i="1"/>
  <c r="Z190" i="1" s="1"/>
  <c r="AD133" i="1"/>
  <c r="CY133" i="1"/>
  <c r="CZ133" i="1" s="1"/>
  <c r="DA133" i="1" s="1"/>
  <c r="DB133" i="1" s="1"/>
  <c r="AE133" i="1" s="1"/>
  <c r="Z250" i="1"/>
  <c r="Z251" i="1" s="1"/>
  <c r="Z34" i="1"/>
  <c r="Z112" i="1"/>
  <c r="Z29" i="1"/>
  <c r="Z232" i="1"/>
  <c r="Z233" i="1" s="1"/>
  <c r="Z30" i="1"/>
  <c r="CM17" i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H246" i="1"/>
  <c r="CH165" i="1"/>
  <c r="CH166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4" i="1" l="1"/>
  <c r="CI203" i="1"/>
  <c r="CI201" i="1" s="1"/>
  <c r="X38" i="1"/>
  <c r="X55" i="1"/>
  <c r="Y38" i="1"/>
  <c r="Y55" i="1"/>
  <c r="CI40" i="1"/>
  <c r="CI41" i="1"/>
  <c r="CL44" i="1"/>
  <c r="CL234" i="1"/>
  <c r="CL42" i="1"/>
  <c r="CL245" i="1" s="1"/>
  <c r="CL48" i="1"/>
  <c r="CJ38" i="1"/>
  <c r="CL55" i="1"/>
  <c r="CK134" i="1"/>
  <c r="CL132" i="1"/>
  <c r="CL131" i="1" s="1"/>
  <c r="CK52" i="1"/>
  <c r="CK66" i="1"/>
  <c r="Z38" i="1"/>
  <c r="Z55" i="1"/>
  <c r="CH41" i="1"/>
  <c r="CL43" i="1" s="1"/>
  <c r="CH40" i="1"/>
  <c r="CG41" i="1"/>
  <c r="CK43" i="1" s="1"/>
  <c r="CG40" i="1"/>
  <c r="CN202" i="1"/>
  <c r="CO140" i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AC45" i="1"/>
  <c r="CV45" i="1"/>
  <c r="CW45" i="1" s="1"/>
  <c r="CX45" i="1" s="1"/>
  <c r="CY45" i="1" s="1"/>
  <c r="AB35" i="1"/>
  <c r="CN46" i="1"/>
  <c r="CO46" i="1" s="1"/>
  <c r="CP46" i="1" s="1"/>
  <c r="CQ46" i="1" s="1"/>
  <c r="CI234" i="1" l="1"/>
  <c r="CI48" i="1"/>
  <c r="Y40" i="1"/>
  <c r="Y41" i="1"/>
  <c r="CJ41" i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Z41" i="1"/>
  <c r="AA43" i="1" s="1"/>
  <c r="Z40" i="1"/>
  <c r="CM40" i="1"/>
  <c r="CN40" i="1" s="1"/>
  <c r="CI44" i="1"/>
  <c r="CH48" i="1"/>
  <c r="CH42" i="1"/>
  <c r="CH245" i="1" s="1"/>
  <c r="CH234" i="1"/>
  <c r="CO202" i="1"/>
  <c r="CP140" i="1"/>
  <c r="CO184" i="1"/>
  <c r="CN185" i="1"/>
  <c r="CJ44" i="1"/>
  <c r="CJ42" i="1"/>
  <c r="CJ245" i="1" s="1"/>
  <c r="CJ234" i="1"/>
  <c r="CJ48" i="1"/>
  <c r="CL54" i="1" s="1"/>
  <c r="CJ227" i="1"/>
  <c r="CG42" i="1"/>
  <c r="CG245" i="1" s="1"/>
  <c r="CG234" i="1"/>
  <c r="CG48" i="1"/>
  <c r="CH4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F21" i="3"/>
  <c r="AS32" i="3"/>
  <c r="AX8" i="3"/>
  <c r="AU8" i="3"/>
  <c r="AZ29" i="3"/>
  <c r="AF13" i="3"/>
  <c r="AS27" i="3"/>
  <c r="EM15" i="4" a="1"/>
  <c r="ES14" i="4" a="1"/>
  <c r="EP7" i="4" a="1"/>
  <c r="AT36" i="3"/>
  <c r="EP13" i="4" a="1"/>
  <c r="EQ15" i="4" a="1"/>
  <c r="EM12" i="4" a="1"/>
  <c r="EN11" i="4" a="1"/>
  <c r="ER9" i="4" a="1"/>
  <c r="AZ46" i="3"/>
  <c r="AY37" i="3"/>
  <c r="ER11" i="4" a="1"/>
  <c r="ET15" i="4" a="1"/>
  <c r="EQ8" i="4" a="1"/>
  <c r="EL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T25" i="3"/>
  <c r="AY33" i="3"/>
  <c r="AW35" i="3"/>
  <c r="AZ35" i="3"/>
  <c r="AS36" i="3"/>
  <c r="U6" i="6" a="1"/>
  <c r="AS19" i="3"/>
  <c r="AW7" i="3"/>
  <c r="AV41" i="3"/>
  <c r="AF9" i="3"/>
  <c r="AT45" i="3"/>
  <c r="AW36" i="3"/>
  <c r="AU6" i="3"/>
  <c r="AV16" i="3"/>
  <c r="AW8" i="3"/>
  <c r="AW9" i="3"/>
  <c r="ET16" i="4" a="1"/>
  <c r="EP9" i="4" a="1"/>
  <c r="EL11" i="4" a="1"/>
  <c r="EV6" i="4" a="1"/>
  <c r="ET5" i="4" a="1"/>
  <c r="EM16" i="4" a="1"/>
  <c r="EW15" i="4" a="1"/>
  <c r="ER8" i="4" a="1"/>
  <c r="ER5" i="4" a="1"/>
  <c r="AV21" i="3"/>
  <c r="R5" i="6" a="1"/>
  <c r="AT13" i="3"/>
  <c r="AW6" i="6" a="1"/>
  <c r="AS15" i="3"/>
  <c r="P6" i="6" a="1"/>
  <c r="AT37" i="3"/>
  <c r="AX7" i="3"/>
  <c r="AX17" i="3"/>
  <c r="AV14" i="3"/>
  <c r="AY36" i="3"/>
  <c r="AV36" i="3"/>
  <c r="AT11" i="3"/>
  <c r="AH6" i="6" a="1"/>
  <c r="AW25" i="3"/>
  <c r="EU9" i="4" a="1"/>
  <c r="ES6" i="4" a="1"/>
  <c r="EP14" i="4" a="1"/>
  <c r="EL9" i="4" a="1"/>
  <c r="EV8" i="4" a="1"/>
  <c r="EV12" i="4" a="1"/>
  <c r="ET12" i="4" a="1"/>
  <c r="EM5" i="4" a="1"/>
  <c r="EV1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V17" i="3"/>
  <c r="AY38" i="3"/>
  <c r="AW19" i="3"/>
  <c r="AV31" i="3"/>
  <c r="AW32" i="3"/>
  <c r="AC5" i="6" a="1"/>
  <c r="AV6" i="6" a="1"/>
  <c r="AS1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6" i="3"/>
  <c r="AF7" i="3"/>
  <c r="AF6" i="3"/>
  <c r="AS30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26" i="3"/>
  <c r="AP7" i="3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O8" i="4" a="1"/>
  <c r="ES9" i="4" a="1"/>
  <c r="AU12" i="3"/>
  <c r="AU34" i="3"/>
  <c r="AY30" i="3"/>
  <c r="AT39" i="3"/>
  <c r="AW37" i="3"/>
  <c r="AW39" i="3"/>
  <c r="AF11" i="3"/>
  <c r="AY7" i="3"/>
  <c r="AZ16" i="3"/>
  <c r="AF30" i="3"/>
  <c r="AU40" i="3"/>
  <c r="AD6" i="6" a="1"/>
  <c r="AT6" i="6" a="1"/>
  <c r="AB5" i="6" a="1"/>
  <c r="AV27" i="3"/>
  <c r="AV13" i="3"/>
  <c r="AV12" i="3"/>
  <c r="AZ34" i="3"/>
  <c r="AF5" i="6" a="1"/>
  <c r="EN12" i="4" a="1"/>
  <c r="EQ7" i="4" a="1"/>
  <c r="EO15" i="4" a="1"/>
  <c r="EW6" i="4" a="1"/>
  <c r="J6" i="6" a="1"/>
  <c r="AY42" i="3"/>
  <c r="EN7" i="4" a="1"/>
  <c r="EO6" i="4" a="1"/>
  <c r="ES13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Q6" i="6" a="1"/>
  <c r="AZ11" i="3"/>
  <c r="AZ24" i="3"/>
  <c r="AT35" i="3"/>
  <c r="AX9" i="3"/>
  <c r="AX42" i="3"/>
  <c r="AY15" i="3"/>
  <c r="AX46" i="3"/>
  <c r="AU7" i="3"/>
  <c r="EV13" i="4" a="1"/>
  <c r="EL13" i="4" a="1"/>
  <c r="EW9" i="4" a="1"/>
  <c r="EV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CQ131" i="1" l="1"/>
  <c r="CR131" i="1" s="1"/>
  <c r="CS131" i="1" s="1"/>
  <c r="CT131" i="1" s="1"/>
  <c r="AB131" i="1"/>
  <c r="CP202" i="1"/>
  <c r="CQ140" i="1"/>
  <c r="CO185" i="1"/>
  <c r="CP184" i="1"/>
  <c r="CH193" i="1"/>
  <c r="CH195" i="1" s="1"/>
  <c r="CH66" i="1"/>
  <c r="CH52" i="1"/>
  <c r="CJ66" i="1"/>
  <c r="CL69" i="1" s="1"/>
  <c r="CJ193" i="1"/>
  <c r="CJ195" i="1" s="1"/>
  <c r="CJ52" i="1"/>
  <c r="CJ54" i="1"/>
  <c r="CG193" i="1"/>
  <c r="CG195" i="1" s="1"/>
  <c r="CG52" i="1"/>
  <c r="CG66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87" i="3"/>
  <c r="C93" i="3"/>
  <c r="AX63" i="3"/>
  <c r="AX4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T69" i="3"/>
  <c r="AF93" i="3"/>
  <c r="AU91" i="3"/>
  <c r="C77" i="3"/>
  <c r="AZ93" i="3"/>
  <c r="C67" i="3"/>
  <c r="AY73" i="3"/>
  <c r="AZ89" i="3"/>
  <c r="AW87" i="3"/>
  <c r="AV87" i="3"/>
  <c r="AF80" i="3"/>
  <c r="AW70" i="3"/>
  <c r="AX81" i="3"/>
  <c r="AW58" i="3"/>
  <c r="AY62" i="3"/>
  <c r="AS58" i="3"/>
  <c r="AZ54" i="3"/>
  <c r="AU80" i="3"/>
  <c r="AY68" i="3"/>
  <c r="AS86" i="3"/>
  <c r="AV77" i="3"/>
  <c r="AX84" i="3"/>
  <c r="AS67" i="3"/>
  <c r="AW75" i="3"/>
  <c r="AY76" i="3"/>
  <c r="AW76" i="3"/>
  <c r="AU95" i="3"/>
  <c r="AY94" i="3"/>
  <c r="AT5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W47" i="3"/>
  <c r="AX96" i="3"/>
  <c r="AU88" i="3"/>
  <c r="AZ97" i="3"/>
  <c r="AW62" i="3"/>
  <c r="AF60" i="3"/>
  <c r="AY7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Z76" i="3"/>
  <c r="AT91" i="3"/>
  <c r="C57" i="3"/>
  <c r="AZ50" i="3"/>
  <c r="AS88" i="3"/>
  <c r="AY90" i="3"/>
  <c r="AU74" i="3"/>
  <c r="AW79" i="3"/>
  <c r="AX86" i="3"/>
  <c r="AF70" i="3"/>
  <c r="AY77" i="3"/>
  <c r="AY86" i="3"/>
  <c r="AZ9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U71" i="3"/>
  <c r="AF74" i="3"/>
  <c r="AS56" i="3"/>
  <c r="AT75" i="3"/>
  <c r="C76" i="3"/>
  <c r="AX64" i="3"/>
  <c r="AT81" i="3"/>
  <c r="AU67" i="3"/>
  <c r="AZ56" i="3"/>
  <c r="AS81" i="3"/>
  <c r="AZ48" i="3"/>
  <c r="AT8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S60" i="3"/>
  <c r="AS71" i="3"/>
  <c r="AV56" i="3"/>
  <c r="AY80" i="3"/>
  <c r="AW84" i="3"/>
  <c r="AV62" i="3"/>
  <c r="AS95" i="3"/>
  <c r="AV79" i="3"/>
  <c r="AU64" i="3"/>
  <c r="AX87" i="3"/>
  <c r="C87" i="3"/>
  <c r="AS61" i="3"/>
  <c r="AX78" i="3"/>
  <c r="C63" i="3"/>
  <c r="AY60" i="3"/>
  <c r="AX59" i="3"/>
  <c r="AU49" i="3"/>
  <c r="AY91" i="3"/>
  <c r="AT95" i="3"/>
  <c r="C58" i="3"/>
  <c r="AW80" i="3"/>
  <c r="AU83" i="3"/>
  <c r="C64" i="3"/>
  <c r="AW66" i="3"/>
  <c r="AW71" i="3"/>
  <c r="AU50" i="3"/>
  <c r="AY63" i="3"/>
  <c r="AZ87" i="3"/>
  <c r="C81" i="3"/>
  <c r="AF90" i="3"/>
  <c r="C96" i="3"/>
  <c r="AV76" i="3"/>
  <c r="AV61" i="3"/>
  <c r="AZ59" i="3"/>
  <c r="AU62" i="3"/>
  <c r="AF47" i="3"/>
  <c r="AT56" i="3"/>
  <c r="AX83" i="3"/>
  <c r="AV86" i="3"/>
  <c r="AT88" i="3"/>
  <c r="C92" i="3"/>
  <c r="AX61" i="3"/>
  <c r="AS64" i="3"/>
  <c r="AU65" i="3"/>
  <c r="AT55" i="3"/>
  <c r="C78" i="3"/>
  <c r="AS91" i="3"/>
  <c r="C82" i="3"/>
  <c r="AY83" i="3"/>
  <c r="AZ86" i="3"/>
  <c r="AU97" i="3"/>
  <c r="AT74" i="3"/>
  <c r="AW91" i="3"/>
  <c r="AS72" i="3"/>
  <c r="AV78" i="3"/>
  <c r="AS79" i="3"/>
  <c r="AW85" i="3"/>
  <c r="AY65" i="3"/>
  <c r="AS68" i="3"/>
  <c r="AZ73" i="3"/>
  <c r="AV81" i="3"/>
  <c r="AZ88" i="3"/>
  <c r="AW77" i="3"/>
  <c r="AV97" i="3"/>
  <c r="AU77" i="3"/>
  <c r="AT65" i="3"/>
  <c r="AY85" i="3"/>
  <c r="AX75" i="3"/>
  <c r="C72" i="3"/>
  <c r="AU85" i="3"/>
  <c r="C55" i="3"/>
  <c r="AT86" i="3"/>
  <c r="AT63" i="3"/>
  <c r="AS97" i="3"/>
  <c r="AX47" i="3"/>
  <c r="AS69" i="3"/>
  <c r="AY58" i="3"/>
  <c r="AT60" i="3"/>
  <c r="AU79" i="3"/>
  <c r="AS80" i="3"/>
  <c r="AY57" i="3"/>
  <c r="AS59" i="3"/>
  <c r="AV80" i="3"/>
  <c r="AY67" i="3"/>
  <c r="AV50" i="3"/>
  <c r="AY74" i="3"/>
  <c r="C65" i="3"/>
  <c r="AU87" i="3"/>
  <c r="AX77" i="3"/>
  <c r="AX91" i="3"/>
  <c r="AY79" i="3"/>
  <c r="AV73" i="3"/>
  <c r="AT58" i="3"/>
  <c r="AX80" i="3"/>
  <c r="AW57" i="3"/>
  <c r="AY97" i="3"/>
  <c r="AU59" i="3"/>
  <c r="AT97" i="3"/>
  <c r="AS87" i="3"/>
  <c r="AU96" i="3"/>
  <c r="AU73" i="3"/>
  <c r="AS76" i="3"/>
  <c r="AZ82" i="3"/>
  <c r="AX67" i="3"/>
  <c r="AW74" i="3"/>
  <c r="AZ49" i="3"/>
  <c r="AV84" i="3"/>
  <c r="AX85" i="3"/>
  <c r="AS78" i="3"/>
  <c r="AT68" i="3"/>
  <c r="AV82" i="3"/>
  <c r="AY50" i="3"/>
  <c r="AV71" i="3"/>
  <c r="AS93" i="3"/>
  <c r="AU63" i="3"/>
  <c r="AX62" i="3"/>
  <c r="AT7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C131" i="1" l="1"/>
  <c r="CU131" i="1"/>
  <c r="CV131" i="1" s="1"/>
  <c r="CW131" i="1" s="1"/>
  <c r="CX131" i="1" s="1"/>
  <c r="CL85" i="1"/>
  <c r="CL87" i="1"/>
  <c r="CL86" i="1"/>
  <c r="CJ69" i="1"/>
  <c r="CK69" i="1"/>
  <c r="CK85" i="1" s="1"/>
  <c r="CQ202" i="1"/>
  <c r="CR140" i="1"/>
  <c r="CR202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CK86" i="1"/>
  <c r="CK87" i="1"/>
  <c r="AD131" i="1"/>
  <c r="CY131" i="1"/>
  <c r="CZ131" i="1" s="1"/>
  <c r="DA131" i="1" s="1"/>
  <c r="DB131" i="1" s="1"/>
  <c r="AE131" i="1" s="1"/>
  <c r="CS140" i="1"/>
  <c r="CQ185" i="1"/>
  <c r="CR184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C202" i="1"/>
  <c r="CS202" i="1"/>
  <c r="CT140" i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31" i="1" l="1"/>
  <c r="CI112" i="1"/>
  <c r="CF29" i="1"/>
  <c r="CI226" i="1"/>
  <c r="CG250" i="1"/>
  <c r="CF232" i="1"/>
  <c r="CF233" i="1" s="1"/>
  <c r="CF30" i="1"/>
  <c r="CT202" i="1"/>
  <c r="CU14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AA61" i="1"/>
  <c r="CV202" i="1"/>
  <c r="CW140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W202" i="1" l="1"/>
  <c r="CX140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Y140" i="1" l="1"/>
  <c r="CY202" i="1" s="1"/>
  <c r="CX202" i="1"/>
  <c r="CX184" i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Z140" i="1" l="1"/>
  <c r="CZ202" i="1" s="1"/>
  <c r="CX185" i="1"/>
  <c r="CY184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83" i="1"/>
  <c r="DB124" i="1"/>
  <c r="AE164" i="1"/>
  <c r="AD164" i="1"/>
  <c r="AE154" i="1"/>
  <c r="AD154" i="1"/>
  <c r="AE155" i="1"/>
  <c r="AD155" i="1"/>
  <c r="AE147" i="1"/>
  <c r="AD147" i="1"/>
  <c r="BY231" i="1"/>
  <c r="DA140" i="1" l="1"/>
  <c r="DB140" i="1" s="1"/>
  <c r="DB202" i="1" s="1"/>
  <c r="CZ184" i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B180" i="1"/>
  <c r="DB179" i="1"/>
  <c r="DB183" i="1"/>
  <c r="CE166" i="1"/>
  <c r="AB20" i="1"/>
  <c r="DA202" i="1" l="1"/>
  <c r="DA184" i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T35" i="2"/>
  <c r="F6" i="2"/>
  <c r="N14" i="2"/>
  <c r="H27" i="2"/>
  <c r="R36" i="2"/>
  <c r="AR79" i="3"/>
  <c r="G13" i="2"/>
  <c r="T46" i="3"/>
  <c r="D10" i="3"/>
  <c r="G6" i="3"/>
  <c r="AD9" i="3"/>
  <c r="F21" i="3"/>
  <c r="D28" i="3"/>
  <c r="DA11" i="4" a="1"/>
  <c r="BV14" i="4" a="1"/>
  <c r="DV5" i="4" a="1"/>
  <c r="L9" i="4" a="1"/>
  <c r="DF5" i="4" a="1"/>
  <c r="T7" i="4" a="1"/>
  <c r="BA5" i="4" a="1"/>
  <c r="R14" i="4" a="1"/>
  <c r="BS7" i="4" a="1"/>
  <c r="R11" i="4" a="1"/>
  <c r="DY8" i="4" a="1"/>
  <c r="AY7" i="4" a="1"/>
  <c r="AD5" i="4" a="1"/>
  <c r="BF12" i="4" a="1"/>
  <c r="EK8" i="4" a="1"/>
  <c r="AP16" i="4" a="1"/>
  <c r="U9" i="4" a="1"/>
  <c r="EA15" i="4" a="1"/>
  <c r="F8" i="4" a="1"/>
  <c r="CE6" i="4" a="1"/>
  <c r="BG12" i="4" a="1"/>
  <c r="T12" i="4" a="1"/>
  <c r="BA6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X19" i="2"/>
  <c r="I31" i="2"/>
  <c r="C22" i="2"/>
  <c r="L21" i="2"/>
  <c r="T11" i="2"/>
  <c r="M9" i="2"/>
  <c r="AJ46" i="3"/>
  <c r="AD18" i="3"/>
  <c r="AR27" i="3"/>
  <c r="G15" i="3"/>
  <c r="AJ45" i="3"/>
  <c r="AD16" i="3"/>
  <c r="AR16" i="3"/>
  <c r="BF9" i="4" a="1"/>
  <c r="AO12" i="4" a="1"/>
  <c r="AC11" i="4" a="1"/>
  <c r="BZ8" i="4" a="1"/>
  <c r="BG5" i="4" a="1"/>
  <c r="V15" i="4" a="1"/>
  <c r="EE14" i="4" a="1"/>
  <c r="R6" i="4" a="1"/>
  <c r="DO12" i="4" a="1"/>
  <c r="BP11" i="4" a="1"/>
  <c r="AV16" i="4" a="1"/>
  <c r="X5" i="4" a="1"/>
  <c r="DL13" i="4" a="1"/>
  <c r="EF13" i="4" a="1"/>
  <c r="EA13" i="4" a="1"/>
  <c r="X6" i="4" a="1"/>
  <c r="CS15" i="4" a="1"/>
  <c r="Y6" i="4" a="1"/>
  <c r="EF5" i="4" a="1"/>
  <c r="EG6" i="4" a="1"/>
  <c r="DZ6" i="4" a="1"/>
  <c r="DF16" i="4" a="1"/>
  <c r="AU7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T5" i="2"/>
  <c r="T12" i="2"/>
  <c r="O22" i="2"/>
  <c r="D33" i="2"/>
  <c r="AR55" i="3"/>
  <c r="X35" i="2"/>
  <c r="G17" i="3"/>
  <c r="L46" i="3"/>
  <c r="C46" i="3"/>
  <c r="F11" i="3"/>
  <c r="AR14" i="3"/>
  <c r="G20" i="3"/>
  <c r="F28" i="3"/>
  <c r="DM5" i="4" a="1"/>
  <c r="CF7" i="4" a="1"/>
  <c r="DT12" i="4" a="1"/>
  <c r="AJ14" i="4" a="1"/>
  <c r="BW15" i="4" a="1"/>
  <c r="AK14" i="4" a="1"/>
  <c r="DN9" i="4" a="1"/>
  <c r="X7" i="4" a="1"/>
  <c r="DU8" i="4" a="1"/>
  <c r="AE7" i="4" a="1"/>
  <c r="DE12" i="4" a="1"/>
  <c r="DI16" i="4" a="1"/>
  <c r="AL5" i="4" a="1"/>
  <c r="BL8" i="4" a="1"/>
  <c r="CM6" i="4" a="1"/>
  <c r="EI6" i="4" a="1"/>
  <c r="EE12" i="4" a="1"/>
  <c r="CM7" i="4" a="1"/>
  <c r="DA8" i="4" a="1"/>
  <c r="BK11" i="4" a="1"/>
  <c r="DP15" i="4" a="1"/>
  <c r="BO13" i="4" a="1"/>
  <c r="DU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BK12" i="4" a="1"/>
  <c r="AP11" i="4" a="1"/>
  <c r="D19" i="2"/>
  <c r="U25" i="2"/>
  <c r="J7" i="2"/>
  <c r="F19" i="2"/>
  <c r="M24" i="2"/>
  <c r="X29" i="2"/>
  <c r="H45" i="3"/>
  <c r="AI45" i="3"/>
  <c r="E42" i="3"/>
  <c r="P45" i="3"/>
  <c r="AO46" i="3"/>
  <c r="F7" i="3"/>
  <c r="F35" i="3"/>
  <c r="DZ14" i="4" a="1"/>
  <c r="J9" i="4" a="1"/>
  <c r="DK5" i="4" a="1"/>
  <c r="AI11" i="4" a="1"/>
  <c r="CF9" i="4" a="1"/>
  <c r="BG8" i="4" a="1"/>
  <c r="EG16" i="4" a="1"/>
  <c r="DF7" i="4" a="1"/>
  <c r="AA12" i="4" a="1"/>
  <c r="CV6" i="4" a="1"/>
  <c r="DG11" i="4" a="1"/>
  <c r="X15" i="4" a="1"/>
  <c r="DP16" i="4" a="1"/>
  <c r="BH14" i="4" a="1"/>
  <c r="T8" i="4" a="1"/>
  <c r="Q5" i="4" a="1"/>
  <c r="AR12" i="4" a="1"/>
  <c r="BB16" i="4" a="1"/>
  <c r="CA12" i="4" a="1"/>
  <c r="L5" i="4" a="1"/>
  <c r="CJ11" i="4" a="1"/>
  <c r="DQ15" i="4" a="1"/>
  <c r="DB8" i="4" a="1"/>
  <c r="G17" i="2"/>
  <c r="U11" i="2"/>
  <c r="S15" i="2"/>
  <c r="H11" i="2"/>
  <c r="V20" i="2"/>
  <c r="N32" i="2"/>
  <c r="AR22" i="3"/>
  <c r="AN45" i="3"/>
  <c r="AD8" i="3"/>
  <c r="AR45" i="3"/>
  <c r="E16" i="3"/>
  <c r="Q46" i="3"/>
  <c r="EH5" i="4" a="1"/>
  <c r="BN7" i="4" a="1"/>
  <c r="CT11" i="4" a="1"/>
  <c r="AG12" i="4" a="1"/>
  <c r="BL9" i="4" a="1"/>
  <c r="CQ14" i="4" a="1"/>
  <c r="DI14" i="4" a="1"/>
  <c r="AB11" i="4" a="1"/>
  <c r="CX6" i="4" a="1"/>
  <c r="DZ16" i="4" a="1"/>
  <c r="DA7" i="4" a="1"/>
  <c r="CC8" i="4" a="1"/>
  <c r="BI5" i="4" a="1"/>
  <c r="AD7" i="4" a="1"/>
  <c r="CF14" i="4" a="1"/>
  <c r="DB16" i="4" a="1"/>
  <c r="V5" i="4" a="1"/>
  <c r="AI8" i="4" a="1"/>
  <c r="ED6" i="4" a="1"/>
  <c r="DR12" i="4" a="1"/>
  <c r="CS12" i="4" a="1"/>
  <c r="W8" i="4" a="1"/>
  <c r="BZ11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D32" i="2"/>
  <c r="K17" i="2"/>
  <c r="X63" i="2"/>
  <c r="G11" i="2"/>
  <c r="C65" i="2"/>
  <c r="C30" i="2"/>
  <c r="AR36" i="3"/>
  <c r="AR40" i="3"/>
  <c r="AR38" i="3"/>
  <c r="D22" i="3"/>
  <c r="E29" i="3"/>
  <c r="D35" i="3"/>
  <c r="AZ15" i="4" a="1"/>
  <c r="BF13" i="4" a="1"/>
  <c r="CM16" i="4" a="1"/>
  <c r="BO8" i="4" a="1"/>
  <c r="DY11" i="4" a="1"/>
  <c r="EG14" i="4" a="1"/>
  <c r="AP9" i="4" a="1"/>
  <c r="Q14" i="4" a="1"/>
  <c r="BL12" i="4" a="1"/>
  <c r="AO11" i="4" a="1"/>
  <c r="BT9" i="4" a="1"/>
  <c r="O7" i="4" a="1"/>
  <c r="DX6" i="4" a="1"/>
  <c r="BQ9" i="4" a="1"/>
  <c r="BD5" i="4" a="1"/>
  <c r="BI7" i="4" a="1"/>
  <c r="DG5" i="4" a="1"/>
  <c r="CE5" i="4" a="1"/>
  <c r="AY6" i="4" a="1"/>
  <c r="CN15" i="4" a="1"/>
  <c r="BS15" i="4" a="1"/>
  <c r="AE12" i="4" a="1"/>
  <c r="BQ8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Q16" i="2"/>
  <c r="I19" i="2"/>
  <c r="U13" i="2"/>
  <c r="L6" i="2"/>
  <c r="E20" i="2"/>
  <c r="U32" i="2"/>
  <c r="D36" i="3"/>
  <c r="D15" i="3"/>
  <c r="E33" i="3"/>
  <c r="E36" i="3"/>
  <c r="G12" i="3"/>
  <c r="F40" i="3"/>
  <c r="DT7" i="4" a="1"/>
  <c r="CC11" i="4" a="1"/>
  <c r="BW11" i="4" a="1"/>
  <c r="AN8" i="4" a="1"/>
  <c r="CX14" i="4" a="1"/>
  <c r="CT14" i="4" a="1"/>
  <c r="EG5" i="4" a="1"/>
  <c r="CY16" i="4" a="1"/>
  <c r="BX16" i="4" a="1"/>
  <c r="CO9" i="4" a="1"/>
  <c r="CJ9" i="4" a="1"/>
  <c r="M14" i="4" a="1"/>
  <c r="AK7" i="4" a="1"/>
  <c r="BR13" i="4" a="1"/>
  <c r="EC11" i="4" a="1"/>
  <c r="BO5" i="4" a="1"/>
  <c r="EE11" i="4" a="1"/>
  <c r="AZ8" i="4" a="1"/>
  <c r="DI13" i="4" a="1"/>
  <c r="AY12" i="4" a="1"/>
  <c r="W12" i="4" a="1"/>
  <c r="DO6" i="4" a="1"/>
  <c r="CP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Q56" i="2"/>
  <c r="W12" i="2"/>
  <c r="I24" i="2"/>
  <c r="E23" i="2"/>
  <c r="AR95" i="3"/>
  <c r="AR86" i="3"/>
  <c r="E26" i="3"/>
  <c r="E21" i="3"/>
  <c r="Z45" i="3"/>
  <c r="E31" i="3"/>
  <c r="D20" i="3"/>
  <c r="I45" i="3"/>
  <c r="AF7" i="4" a="1"/>
  <c r="AG7" i="4" a="1"/>
  <c r="BI13" i="4" a="1"/>
  <c r="CG16" i="4" a="1"/>
  <c r="CD5" i="4" a="1"/>
  <c r="BK13" i="4" a="1"/>
  <c r="AH8" i="4" a="1"/>
  <c r="ED14" i="4" a="1"/>
  <c r="AG15" i="4" a="1"/>
  <c r="V14" i="4" a="1"/>
  <c r="CH7" i="4" a="1"/>
  <c r="BI6" i="4" a="1"/>
  <c r="AF9" i="4" a="1"/>
  <c r="DD9" i="4" a="1"/>
  <c r="DZ12" i="4" a="1"/>
  <c r="DQ11" i="4" a="1"/>
  <c r="EJ7" i="4" a="1"/>
  <c r="DU5" i="4" a="1"/>
  <c r="CA9" i="4" a="1"/>
  <c r="BV15" i="4" a="1"/>
  <c r="AD12" i="4" a="1"/>
  <c r="AX16" i="4" a="1"/>
  <c r="EJ12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AN13" i="4" a="1"/>
  <c r="Y12" i="4" a="1"/>
  <c r="AX15" i="4" a="1"/>
  <c r="AO7" i="4" a="1"/>
  <c r="CL6" i="4" a="1"/>
  <c r="BN9" i="4" a="1"/>
  <c r="K33" i="2"/>
  <c r="D28" i="2"/>
  <c r="G24" i="2"/>
  <c r="C14" i="2"/>
  <c r="AR58" i="3"/>
  <c r="AR82" i="3"/>
  <c r="C45" i="3"/>
  <c r="AH46" i="3"/>
  <c r="G18" i="3"/>
  <c r="N46" i="3"/>
  <c r="F15" i="3"/>
  <c r="G22" i="3"/>
  <c r="DO14" i="4" a="1"/>
  <c r="BC9" i="4" a="1"/>
  <c r="EG12" i="4" a="1"/>
  <c r="BQ7" i="4" a="1"/>
  <c r="AF16" i="4" a="1"/>
  <c r="AZ7" i="4" a="1"/>
  <c r="BN16" i="4" a="1"/>
  <c r="AK13" i="4" a="1"/>
  <c r="M5" i="4" a="1"/>
  <c r="DL6" i="4" a="1"/>
  <c r="AQ15" i="4" a="1"/>
  <c r="BY5" i="4" a="1"/>
  <c r="AX6" i="4" a="1"/>
  <c r="CU9" i="4" a="1"/>
  <c r="AF8" i="4" a="1"/>
  <c r="DN12" i="4" a="1"/>
  <c r="AP15" i="4" a="1"/>
  <c r="EA8" i="4" a="1"/>
  <c r="BS16" i="4" a="1"/>
  <c r="CR9" i="4" a="1"/>
  <c r="CT7" i="4" a="1"/>
  <c r="AI5" i="4" a="1"/>
  <c r="CP8" i="4" a="1"/>
  <c r="AY11" i="4" a="1"/>
  <c r="DJ6" i="4" a="1"/>
  <c r="CJ13" i="4" a="1"/>
  <c r="L6" i="4" a="1"/>
  <c r="U12" i="4" a="1"/>
  <c r="BE5" i="4" a="1"/>
  <c r="BY14" i="4" a="1"/>
  <c r="DH6" i="4" a="1"/>
  <c r="AA6" i="4" a="1"/>
  <c r="BW12" i="4" a="1"/>
  <c r="E9" i="4" a="1"/>
  <c r="EB6" i="4" a="1"/>
  <c r="DN15" i="4" a="1"/>
  <c r="D12" i="4" a="1"/>
  <c r="DG7" i="4" a="1"/>
  <c r="N11" i="2"/>
  <c r="R26" i="2"/>
  <c r="O45" i="3"/>
  <c r="CI14" i="4" a="1"/>
  <c r="DP14" i="4" a="1"/>
  <c r="BK6" i="4" a="1"/>
  <c r="C8" i="4" a="1"/>
  <c r="DF11" i="4" a="1"/>
  <c r="AM6" i="4" a="1"/>
  <c r="CK11" i="4" a="1"/>
  <c r="EF15" i="4" a="1"/>
  <c r="AT15" i="4" a="1"/>
  <c r="CK5" i="4" a="1"/>
  <c r="AS15" i="4" a="1"/>
  <c r="CM15" i="4" a="1"/>
  <c r="AR9" i="4" a="1"/>
  <c r="CV14" i="4" a="1"/>
  <c r="L11" i="4" a="1"/>
  <c r="CD16" i="4" a="1"/>
  <c r="BT5" i="4" a="1"/>
  <c r="CF8" i="4" a="1"/>
  <c r="AQ16" i="4" a="1"/>
  <c r="ED11" i="4" a="1"/>
  <c r="AV12" i="4" a="1"/>
  <c r="BZ6" i="4" a="1"/>
  <c r="CN13" i="4" a="1"/>
  <c r="CY9" i="4" a="1"/>
  <c r="AA7" i="4" a="1"/>
  <c r="BT8" i="4" a="1"/>
  <c r="BD14" i="4" a="1"/>
  <c r="EJ6" i="4" a="1"/>
  <c r="CR12" i="4" a="1"/>
  <c r="AW15" i="4" a="1"/>
  <c r="BZ12" i="4" a="1"/>
  <c r="BX14" i="4" a="1"/>
  <c r="CU16" i="4" a="1"/>
  <c r="EK7" i="4" a="1"/>
  <c r="CA7" i="4" a="1"/>
  <c r="ED15" i="4" a="1"/>
  <c r="AL9" i="4" a="1"/>
  <c r="AP6" i="4" a="1"/>
  <c r="BS5" i="4" a="1"/>
  <c r="Q7" i="4" a="1"/>
  <c r="ED13" i="4" a="1"/>
  <c r="BA12" i="4" a="1"/>
  <c r="BD8" i="4" a="1"/>
  <c r="DI12" i="4" a="1"/>
  <c r="T14" i="4" a="1"/>
  <c r="AJ11" i="4" a="1"/>
  <c r="BG9" i="4" a="1"/>
  <c r="EE7" i="4" a="1"/>
  <c r="CJ15" i="4" a="1"/>
  <c r="S13" i="4" a="1"/>
  <c r="EH14" i="4" a="1"/>
  <c r="DD16" i="4" a="1"/>
  <c r="BN14" i="4" a="1"/>
  <c r="BH11" i="4" a="1"/>
  <c r="DT8" i="4" a="1"/>
  <c r="EJ8" i="4" a="1"/>
  <c r="N9" i="2"/>
  <c r="C26" i="2"/>
  <c r="F6" i="3"/>
  <c r="DO5" i="4" a="1"/>
  <c r="DV7" i="4" a="1"/>
  <c r="CN8" i="4" a="1"/>
  <c r="CW7" i="4" a="1"/>
  <c r="DK13" i="4" a="1"/>
  <c r="P8" i="4" a="1"/>
  <c r="DA14" i="4" a="1"/>
  <c r="AT8" i="4" a="1"/>
  <c r="BT16" i="4" a="1"/>
  <c r="AJ5" i="4" a="1"/>
  <c r="CZ9" i="4" a="1"/>
  <c r="DT11" i="4" a="1"/>
  <c r="AP7" i="4" a="1"/>
  <c r="AS8" i="4" a="1"/>
  <c r="G7" i="4" a="1"/>
  <c r="O8" i="4" a="1"/>
  <c r="DX11" i="4" a="1"/>
  <c r="AB16" i="4" a="1"/>
  <c r="AQ7" i="4" a="1"/>
  <c r="EC12" i="4" a="1"/>
  <c r="CI11" i="4" a="1"/>
  <c r="S12" i="4" a="1"/>
  <c r="AS11" i="4" a="1"/>
  <c r="CC6" i="4" a="1"/>
  <c r="DM8" i="4" a="1"/>
  <c r="DR8" i="4" a="1"/>
  <c r="EF11" i="4" a="1"/>
  <c r="AW13" i="4" a="1"/>
  <c r="CC5" i="4" a="1"/>
  <c r="DC5" i="4" a="1"/>
  <c r="AG13" i="4" a="1"/>
  <c r="AQ8" i="4" a="1"/>
  <c r="DM14" i="4" a="1"/>
  <c r="DH9" i="4" a="1"/>
  <c r="AV6" i="4" a="1"/>
  <c r="CW16" i="4" a="1"/>
  <c r="AM12" i="4" a="1"/>
  <c r="CR15" i="4" a="1"/>
  <c r="DM9" i="4" a="1"/>
  <c r="L8" i="4" a="1"/>
  <c r="BA8" i="4" a="1"/>
  <c r="CC15" i="4" a="1"/>
  <c r="EI7" i="4" a="1"/>
  <c r="EE5" i="4" a="1"/>
  <c r="G16" i="4" a="1"/>
  <c r="L12" i="4" a="1"/>
  <c r="DJ12" i="4" a="1"/>
  <c r="H13" i="4" a="1"/>
  <c r="EK11" i="4" a="1"/>
  <c r="DU12" i="4" a="1"/>
  <c r="ED12" i="4" a="1"/>
  <c r="AV13" i="4" a="1"/>
  <c r="C12" i="4" a="1"/>
  <c r="CO11" i="4" a="1"/>
  <c r="AH14" i="4" a="1"/>
  <c r="DJ15" i="4" a="1"/>
  <c r="BI8" i="4" a="1"/>
  <c r="E11" i="4" a="1"/>
  <c r="CG15" i="4" a="1"/>
  <c r="BL6" i="4" a="1"/>
  <c r="CZ6" i="4" a="1"/>
  <c r="AP8" i="4" a="1"/>
  <c r="BW5" i="4" a="1"/>
  <c r="S6" i="4" a="1"/>
  <c r="BU5" i="4" a="1"/>
  <c r="AS12" i="4" a="1"/>
  <c r="DK8" i="4" a="1"/>
  <c r="CT16" i="4" a="1"/>
  <c r="EB7" i="4" a="1"/>
  <c r="DE13" i="4" a="1"/>
  <c r="CW8" i="4" a="1"/>
  <c r="DK12" i="4" a="1"/>
  <c r="K13" i="4" a="1"/>
  <c r="DA16" i="4" a="1"/>
  <c r="AM15" i="4" a="1"/>
  <c r="AI12" i="4" a="1"/>
  <c r="BP13" i="4" a="1"/>
  <c r="DA6" i="4" a="1"/>
  <c r="D5" i="4" a="1"/>
  <c r="CN5" i="4" a="1"/>
  <c r="EF16" i="4" a="1"/>
  <c r="O16" i="4" a="1"/>
  <c r="AU6" i="4" a="1"/>
  <c r="EH11" i="4" a="1"/>
  <c r="BP6" i="4" a="1"/>
  <c r="EB13" i="4" a="1"/>
  <c r="CX11" i="4" a="1"/>
  <c r="AQ11" i="4" a="1"/>
  <c r="BF6" i="4" a="1"/>
  <c r="BK16" i="4" a="1"/>
  <c r="Q9" i="4" a="1"/>
  <c r="W14" i="4" a="1"/>
  <c r="V10" i="2"/>
  <c r="AC15" i="4" a="1"/>
  <c r="DQ5" i="4" a="1"/>
  <c r="Q13" i="4" a="1"/>
  <c r="EA9" i="4" a="1"/>
  <c r="CB15" i="4" a="1"/>
  <c r="AT5" i="4" a="1"/>
  <c r="AQ9" i="4" a="1"/>
  <c r="H15" i="4" a="1"/>
  <c r="CI5" i="4" a="1"/>
  <c r="N6" i="4" a="1"/>
  <c r="BA14" i="4" a="1"/>
  <c r="AI6" i="4" a="1"/>
  <c r="CS11" i="4" a="1"/>
  <c r="CF5" i="4" a="1"/>
  <c r="BQ14" i="4" a="1"/>
  <c r="AT12" i="4" a="1"/>
  <c r="CU11" i="4" a="1"/>
  <c r="CA13" i="4" a="1"/>
  <c r="AX5" i="4" a="1"/>
  <c r="BO11" i="4" a="1"/>
  <c r="DV13" i="4" a="1"/>
  <c r="T15" i="4" a="1"/>
  <c r="H12" i="4" a="1"/>
  <c r="K8" i="4" a="1"/>
  <c r="R33" i="2"/>
  <c r="X26" i="2"/>
  <c r="AD46" i="3"/>
  <c r="AL12" i="4" a="1"/>
  <c r="Q12" i="4" a="1"/>
  <c r="CV9" i="4" a="1"/>
  <c r="CI13" i="4" a="1"/>
  <c r="AH15" i="4" a="1"/>
  <c r="CT12" i="4" a="1"/>
  <c r="V16" i="4" a="1"/>
  <c r="AV15" i="4" a="1"/>
  <c r="AA9" i="4" a="1"/>
  <c r="EA7" i="4" a="1"/>
  <c r="CB12" i="4" a="1"/>
  <c r="AX13" i="4" a="1"/>
  <c r="BZ13" i="4" a="1"/>
  <c r="DV6" i="4" a="1"/>
  <c r="CK13" i="4" a="1"/>
  <c r="CR16" i="4" a="1"/>
  <c r="AI15" i="4" a="1"/>
  <c r="AX14" i="4" a="1"/>
  <c r="BJ14" i="4" a="1"/>
  <c r="BN6" i="4" a="1"/>
  <c r="EE15" i="4" a="1"/>
  <c r="BX6" i="4" a="1"/>
  <c r="H5" i="4" a="1"/>
  <c r="BR15" i="4" a="1"/>
  <c r="EA14" i="4" a="1"/>
  <c r="EF6" i="4" a="1"/>
  <c r="CW5" i="4" a="1"/>
  <c r="M12" i="4" a="1"/>
  <c r="DD11" i="4" a="1"/>
  <c r="EC5" i="4" a="1"/>
  <c r="R7" i="4" a="1"/>
  <c r="BG16" i="4" a="1"/>
  <c r="AD15" i="4" a="1"/>
  <c r="DV12" i="4" a="1"/>
  <c r="CH11" i="4" a="1"/>
  <c r="CR11" i="4" a="1"/>
  <c r="CX9" i="4" a="1"/>
  <c r="AR6" i="4" a="1"/>
  <c r="DY9" i="4" a="1"/>
  <c r="CJ16" i="4" a="1"/>
  <c r="AO8" i="4" a="1"/>
  <c r="CU15" i="4" a="1"/>
  <c r="S16" i="4" a="1"/>
  <c r="DE7" i="4" a="1"/>
  <c r="CI9" i="4" a="1"/>
  <c r="CP11" i="4" a="1"/>
  <c r="AL14" i="4" a="1"/>
  <c r="AG6" i="4" a="1"/>
  <c r="DF8" i="4" a="1"/>
  <c r="DS14" i="4" a="1"/>
  <c r="BC7" i="4" a="1"/>
  <c r="EH15" i="4" a="1"/>
  <c r="AM14" i="4" a="1"/>
  <c r="AH16" i="4" a="1"/>
  <c r="E7" i="4" a="1"/>
  <c r="CK16" i="4" a="1"/>
  <c r="K5" i="4" a="1"/>
  <c r="W16" i="4" a="1"/>
  <c r="AE14" i="4" a="1"/>
  <c r="CY11" i="4" a="1"/>
  <c r="J6" i="4" a="1"/>
  <c r="K11" i="4" a="1"/>
  <c r="BT11" i="4" a="1"/>
  <c r="DL8" i="4" a="1"/>
  <c r="DW16" i="4" a="1"/>
  <c r="DV14" i="4" a="1"/>
  <c r="E25" i="3"/>
  <c r="CB7" i="4" a="1"/>
  <c r="CG12" i="4" a="1"/>
  <c r="CL16" i="4" a="1"/>
  <c r="J12" i="4" a="1"/>
  <c r="CN6" i="4" a="1"/>
  <c r="AM13" i="4" a="1"/>
  <c r="BU11" i="4" a="1"/>
  <c r="DA5" i="4" a="1"/>
  <c r="DK11" i="4" a="1"/>
  <c r="EB9" i="4" a="1"/>
  <c r="Q11" i="4" a="1"/>
  <c r="CN12" i="4" a="1"/>
  <c r="DN8" i="4" a="1"/>
  <c r="U34" i="2"/>
  <c r="I21" i="2"/>
  <c r="P46" i="3"/>
  <c r="Z8" i="4" a="1"/>
  <c r="EI14" i="4" a="1"/>
  <c r="V12" i="4" a="1"/>
  <c r="DX13" i="4" a="1"/>
  <c r="DP12" i="4" a="1"/>
  <c r="BJ9" i="4" a="1"/>
  <c r="BM13" i="4" a="1"/>
  <c r="BG7" i="4" a="1"/>
  <c r="CG7" i="4" a="1"/>
  <c r="DT6" i="4" a="1"/>
  <c r="AK15" i="4" a="1"/>
  <c r="BM9" i="4" a="1"/>
  <c r="BD12" i="4" a="1"/>
  <c r="AV11" i="4" a="1"/>
  <c r="BJ7" i="4" a="1"/>
  <c r="CV5" i="4" a="1"/>
  <c r="AY5" i="4" a="1"/>
  <c r="K12" i="4" a="1"/>
  <c r="DD6" i="4" a="1"/>
  <c r="DB13" i="4" a="1"/>
  <c r="E8" i="4" a="1"/>
  <c r="CM11" i="4" a="1"/>
  <c r="CM9" i="4" a="1"/>
  <c r="BK5" i="4" a="1"/>
  <c r="O9" i="4" a="1"/>
  <c r="EE13" i="4" a="1"/>
  <c r="AY14" i="4" a="1"/>
  <c r="DD5" i="4" a="1"/>
  <c r="BE13" i="4" a="1"/>
  <c r="M13" i="4" a="1"/>
  <c r="BZ16" i="4" a="1"/>
  <c r="CB8" i="4" a="1"/>
  <c r="DO13" i="4" a="1"/>
  <c r="BU9" i="4" a="1"/>
  <c r="DS9" i="4" a="1"/>
  <c r="CL7" i="4" a="1"/>
  <c r="DW11" i="4" a="1"/>
  <c r="BE16" i="4" a="1"/>
  <c r="CL14" i="4" a="1"/>
  <c r="EH12" i="4" a="1"/>
  <c r="S8" i="4" a="1"/>
  <c r="O5" i="4" a="1"/>
  <c r="P15" i="4" a="1"/>
  <c r="BQ6" i="4" a="1"/>
  <c r="CE15" i="4" a="1"/>
  <c r="F5" i="3"/>
  <c r="O6" i="4" a="1"/>
  <c r="DK16" i="4" a="1"/>
  <c r="BF14" i="4" a="1"/>
  <c r="EB5" i="4" a="1"/>
  <c r="BW6" i="4" a="1"/>
  <c r="U8" i="4" a="1"/>
  <c r="W15" i="4" a="1"/>
  <c r="DS8" i="4" a="1"/>
  <c r="BH8" i="4" a="1"/>
  <c r="DM7" i="4" a="1"/>
  <c r="AT7" i="4" a="1"/>
  <c r="H14" i="4" a="1"/>
  <c r="P23" i="2"/>
  <c r="I13" i="2"/>
  <c r="G10" i="3"/>
  <c r="AK11" i="4" a="1"/>
  <c r="CN16" i="4" a="1"/>
  <c r="AQ13" i="4" a="1"/>
  <c r="CP14" i="4" a="1"/>
  <c r="CF12" i="4" a="1"/>
  <c r="BX5" i="4" a="1"/>
  <c r="X9" i="4" a="1"/>
  <c r="DZ11" i="4" a="1"/>
  <c r="BC15" i="4" a="1"/>
  <c r="BX12" i="4" a="1"/>
  <c r="AH12" i="4" a="1"/>
  <c r="BP12" i="4" a="1"/>
  <c r="E6" i="4" a="1"/>
  <c r="AG16" i="4" a="1"/>
  <c r="U6" i="4" a="1"/>
  <c r="I15" i="4" a="1"/>
  <c r="DG9" i="4" a="1"/>
  <c r="CT13" i="4" a="1"/>
  <c r="AC9" i="4" a="1"/>
  <c r="N11" i="4" a="1"/>
  <c r="BY11" i="4" a="1"/>
  <c r="X14" i="4" a="1"/>
  <c r="DU16" i="4" a="1"/>
  <c r="CJ14" i="4" a="1"/>
  <c r="AS14" i="4" a="1"/>
  <c r="P5" i="4" a="1"/>
  <c r="P12" i="4" a="1"/>
  <c r="P11" i="4" a="1"/>
  <c r="BD9" i="4" a="1"/>
  <c r="Y9" i="4" a="1"/>
  <c r="DR9" i="4" a="1"/>
  <c r="AO13" i="4" a="1"/>
  <c r="EG9" i="4" a="1"/>
  <c r="G13" i="4" a="1"/>
  <c r="AU8" i="4" a="1"/>
  <c r="EK14" i="4" a="1"/>
  <c r="N35" i="2"/>
  <c r="I26" i="2"/>
  <c r="D6" i="3"/>
  <c r="AI9" i="4" a="1"/>
  <c r="CB13" i="4" a="1"/>
  <c r="K14" i="4" a="1"/>
  <c r="C7" i="4" a="1"/>
  <c r="CQ8" i="4" a="1"/>
  <c r="D7" i="4" a="1"/>
  <c r="EI9" i="4" a="1"/>
  <c r="EH13" i="4" a="1"/>
  <c r="F15" i="4" a="1"/>
  <c r="BO16" i="4" a="1"/>
  <c r="AO9" i="4" a="1"/>
  <c r="AG11" i="4" a="1"/>
  <c r="EC8" i="4" a="1"/>
  <c r="CE7" i="4" a="1"/>
  <c r="BA15" i="4" a="1"/>
  <c r="AZ5" i="4" a="1"/>
  <c r="BM5" i="4" a="1"/>
  <c r="EK12" i="4" a="1"/>
  <c r="DZ13" i="4" a="1"/>
  <c r="CM14" i="4" a="1"/>
  <c r="BK9" i="4" a="1"/>
  <c r="CT9" i="4" a="1"/>
  <c r="DR7" i="4" a="1"/>
  <c r="DI5" i="4" a="1"/>
  <c r="CY13" i="4" a="1"/>
  <c r="DK9" i="4" a="1"/>
  <c r="X11" i="4" a="1"/>
  <c r="M11" i="4" a="1"/>
  <c r="CA5" i="4" a="1"/>
  <c r="C14" i="4" a="1"/>
  <c r="EF9" i="4" a="1"/>
  <c r="V7" i="4" a="1"/>
  <c r="EK9" i="4" a="1"/>
  <c r="CK9" i="4" a="1"/>
  <c r="BG13" i="4" a="1"/>
  <c r="AC13" i="4" a="1"/>
  <c r="EE9" i="4" a="1"/>
  <c r="AU13" i="4" a="1"/>
  <c r="AW5" i="4" a="1"/>
  <c r="DC13" i="4" a="1"/>
  <c r="DJ7" i="4" a="1"/>
  <c r="CG5" i="4" a="1"/>
  <c r="DD8" i="4" a="1"/>
  <c r="AT16" i="4" a="1"/>
  <c r="DJ11" i="4" a="1"/>
  <c r="P13" i="4" a="1"/>
  <c r="AU14" i="4" a="1"/>
  <c r="AO16" i="4" a="1"/>
  <c r="CX13" i="4" a="1"/>
  <c r="DA15" i="4" a="1"/>
  <c r="I6" i="4" a="1"/>
  <c r="EC6" i="4" a="1"/>
  <c r="DW8" i="4" a="1"/>
  <c r="DN11" i="4" a="1"/>
  <c r="CQ9" i="4" a="1"/>
  <c r="AE13" i="4" a="1"/>
  <c r="EB11" i="4" a="1"/>
  <c r="EA11" i="4" a="1"/>
  <c r="T13" i="4" a="1"/>
  <c r="AS16" i="4" a="1"/>
  <c r="AU9" i="4" a="1"/>
  <c r="AY15" i="4" a="1"/>
  <c r="BI12" i="4" a="1"/>
  <c r="AE8" i="4" a="1"/>
  <c r="U13" i="4" a="1"/>
  <c r="D10" i="2"/>
  <c r="F36" i="3"/>
  <c r="E12" i="3"/>
  <c r="AI14" i="4" a="1"/>
  <c r="EK5" i="4" a="1"/>
  <c r="AO5" i="4" a="1"/>
  <c r="BE7" i="4" a="1"/>
  <c r="DJ14" i="4" a="1"/>
  <c r="CH14" i="4" a="1"/>
  <c r="BL16" i="4" a="1"/>
  <c r="M6" i="4" a="1"/>
  <c r="BV9" i="4" a="1"/>
  <c r="EG7" i="4" a="1"/>
  <c r="BU14" i="4" a="1"/>
  <c r="AQ5" i="4" a="1"/>
  <c r="DX5" i="4" a="1"/>
  <c r="AR16" i="4" a="1"/>
  <c r="CQ15" i="4" a="1"/>
  <c r="CL11" i="4" a="1"/>
  <c r="AX9" i="4" a="1"/>
  <c r="AW12" i="4" a="1"/>
  <c r="I12" i="4" a="1"/>
  <c r="AF13" i="4" a="1"/>
  <c r="DY5" i="4" a="1"/>
  <c r="BZ7" i="4" a="1"/>
  <c r="BB9" i="4" a="1"/>
  <c r="DJ8" i="4" a="1"/>
  <c r="AT13" i="4" a="1"/>
  <c r="CL15" i="4" a="1"/>
  <c r="AP5" i="4" a="1"/>
  <c r="BH9" i="4" a="1"/>
  <c r="AH6" i="4" a="1"/>
  <c r="CY12" i="4" a="1"/>
  <c r="CA16" i="4" a="1"/>
  <c r="CC7" i="4" a="1"/>
  <c r="CJ7" i="4" a="1"/>
  <c r="BJ13" i="4" a="1"/>
  <c r="CS16" i="4" a="1"/>
  <c r="BB7" i="4" a="1"/>
  <c r="AZ11" i="4" a="1"/>
  <c r="DB9" i="4" a="1"/>
  <c r="DV11" i="4" a="1"/>
  <c r="E5" i="4" a="1"/>
  <c r="BA13" i="4" a="1"/>
  <c r="AM16" i="4" a="1"/>
  <c r="AB8" i="4" a="1"/>
  <c r="AF15" i="4" a="1"/>
  <c r="BC6" i="4" a="1"/>
  <c r="EB14" i="4" a="1"/>
  <c r="AF6" i="4" a="1"/>
  <c r="AV7" i="4" a="1"/>
  <c r="CQ16" i="4" a="1"/>
  <c r="AC7" i="4" a="1"/>
  <c r="EG15" i="4" a="1"/>
  <c r="CI6" i="4" a="1"/>
  <c r="CH9" i="4" a="1"/>
  <c r="EI15" i="4" a="1"/>
  <c r="CS9" i="4" a="1"/>
  <c r="DV8" i="4" a="1"/>
  <c r="DU9" i="4" a="1"/>
  <c r="CX8" i="4" a="1"/>
  <c r="DZ8" i="4" a="1"/>
  <c r="AX12" i="4" a="1"/>
  <c r="DR15" i="4" a="1"/>
  <c r="AB7" i="4" a="1"/>
  <c r="AX7" i="4" a="1"/>
  <c r="AF14" i="4" a="1"/>
  <c r="CW12" i="4" a="1"/>
  <c r="DD7" i="4" a="1"/>
  <c r="DZ15" i="4" a="1"/>
  <c r="DS7" i="4" a="1"/>
  <c r="BG14" i="4" a="1"/>
  <c r="G15" i="4" a="1"/>
  <c r="CW15" i="4" a="1"/>
  <c r="BW14" i="4" a="1"/>
  <c r="BX11" i="4" a="1"/>
  <c r="EJ11" i="4" a="1"/>
  <c r="AL16" i="4" a="1"/>
  <c r="DS11" i="4" a="1"/>
  <c r="CY14" i="4" a="1"/>
  <c r="AM8" i="4" a="1"/>
  <c r="AN5" i="4" a="1"/>
  <c r="EG11" i="4" a="1"/>
  <c r="EK6" i="4" a="1"/>
  <c r="Y13" i="4" a="1"/>
  <c r="Z11" i="4" a="1"/>
  <c r="DT15" i="4" a="1"/>
  <c r="G25" i="2"/>
  <c r="E20" i="3"/>
  <c r="AR28" i="3"/>
  <c r="AS6" i="4" a="1"/>
  <c r="BZ5" i="4" a="1"/>
  <c r="CN14" i="4" a="1"/>
  <c r="CM13" i="4" a="1"/>
  <c r="D15" i="4" a="1"/>
  <c r="BA7" i="4" a="1"/>
  <c r="AC6" i="4" a="1"/>
  <c r="BW16" i="4" a="1"/>
  <c r="CG14" i="4" a="1"/>
  <c r="EA16" i="4" a="1"/>
  <c r="J14" i="4" a="1"/>
  <c r="BB15" i="4" a="1"/>
  <c r="CA11" i="4" a="1"/>
  <c r="BR6" i="4" a="1"/>
  <c r="Y11" i="4" a="1"/>
  <c r="AJ7" i="4" a="1"/>
  <c r="CF13" i="4" a="1"/>
  <c r="Y7" i="4" a="1"/>
  <c r="AZ13" i="4" a="1"/>
  <c r="BM6" i="4" a="1"/>
  <c r="BX13" i="4" a="1"/>
  <c r="AY16" i="4" a="1"/>
  <c r="AN12" i="4" a="1"/>
  <c r="DA13" i="4" a="1"/>
  <c r="EH9" i="4" a="1"/>
  <c r="CU14" i="4" a="1"/>
  <c r="C11" i="4" a="1"/>
  <c r="CD7" i="4" a="1"/>
  <c r="P32" i="2"/>
  <c r="W46" i="3"/>
  <c r="U46" i="3"/>
  <c r="AK8" i="4" a="1"/>
  <c r="EA5" i="4" a="1"/>
  <c r="CA8" i="4" a="1"/>
  <c r="BC5" i="4" a="1"/>
  <c r="DP5" i="4" a="1"/>
  <c r="BC8" i="4" a="1"/>
  <c r="Z5" i="4" a="1"/>
  <c r="DX8" i="4" a="1"/>
  <c r="AZ12" i="4" a="1"/>
  <c r="AL13" i="4" a="1"/>
  <c r="BI15" i="4" a="1"/>
  <c r="BC16" i="4" a="1"/>
  <c r="P6" i="4" a="1"/>
  <c r="BC13" i="4" a="1"/>
  <c r="BR11" i="4" a="1"/>
  <c r="CP15" i="4" a="1"/>
  <c r="DS13" i="4" a="1"/>
  <c r="AE11" i="4" a="1"/>
  <c r="AP13" i="4" a="1"/>
  <c r="AP14" i="4" a="1"/>
  <c r="DJ9" i="4" a="1"/>
  <c r="CU5" i="4" a="1"/>
  <c r="D16" i="4" a="1"/>
  <c r="CW13" i="4" a="1"/>
  <c r="E13" i="4" a="1"/>
  <c r="BG6" i="4" a="1"/>
  <c r="BD16" i="4" a="1"/>
  <c r="S7" i="4" a="1"/>
  <c r="CX12" i="4" a="1"/>
  <c r="CD13" i="4" a="1"/>
  <c r="CG9" i="4" a="1"/>
  <c r="N15" i="4" a="1"/>
  <c r="BN13" i="4" a="1"/>
  <c r="AZ16" i="4" a="1"/>
  <c r="DQ12" i="4" a="1"/>
  <c r="Z13" i="4" a="1"/>
  <c r="BH13" i="4" a="1"/>
  <c r="DN5" i="4" a="1"/>
  <c r="CB16" i="4" a="1"/>
  <c r="AG5" i="4" a="1"/>
  <c r="AH11" i="4" a="1"/>
  <c r="AN6" i="4" a="1"/>
  <c r="BY6" i="4" a="1"/>
  <c r="CG13" i="4" a="1"/>
  <c r="Q6" i="4" a="1"/>
  <c r="DZ5" i="4" a="1"/>
  <c r="EK13" i="4" a="1"/>
  <c r="N5" i="4" a="1"/>
  <c r="AJ15" i="4" a="1"/>
  <c r="CK12" i="4" a="1"/>
  <c r="BY12" i="4" a="1"/>
  <c r="DO7" i="4" a="1"/>
  <c r="DW12" i="4" a="1"/>
  <c r="BF8" i="4" a="1"/>
  <c r="AR32" i="3"/>
  <c r="U14" i="4" a="1"/>
  <c r="BQ15" i="4" a="1"/>
  <c r="CJ12" i="4" a="1"/>
  <c r="DC14" i="4" a="1"/>
  <c r="DQ7" i="4" a="1"/>
  <c r="R8" i="4" a="1"/>
  <c r="G6" i="4" a="1"/>
  <c r="DO15" i="4" a="1"/>
  <c r="BY9" i="4" a="1"/>
  <c r="V13" i="4" a="1"/>
  <c r="AG8" i="4" a="1"/>
  <c r="DU15" i="4" a="1"/>
  <c r="CU13" i="4" a="1"/>
  <c r="CY7" i="4" a="1"/>
  <c r="BD7" i="4" a="1"/>
  <c r="Q20" i="2"/>
  <c r="F42" i="3"/>
  <c r="AR23" i="3"/>
  <c r="AD8" i="4" a="1"/>
  <c r="DM15" i="4" a="1"/>
  <c r="DQ8" i="4" a="1"/>
  <c r="AH5" i="4" a="1"/>
  <c r="BK15" i="4" a="1"/>
  <c r="I13" i="4" a="1"/>
  <c r="CB5" i="4" a="1"/>
  <c r="CT5" i="4" a="1"/>
  <c r="EF14" i="4" a="1"/>
  <c r="BS13" i="4" a="1"/>
  <c r="L16" i="4" a="1"/>
  <c r="BJ8" i="4" a="1"/>
  <c r="DM11" i="4" a="1"/>
  <c r="L7" i="4" a="1"/>
  <c r="DX12" i="4" a="1"/>
  <c r="EH8" i="4" a="1"/>
  <c r="DL16" i="4" a="1"/>
  <c r="DP6" i="4" a="1"/>
  <c r="CS6" i="4" a="1"/>
  <c r="BB5" i="4" a="1"/>
  <c r="DN14" i="4" a="1"/>
  <c r="CP7" i="4" a="1"/>
  <c r="DW13" i="4" a="1"/>
  <c r="F6" i="4" a="1"/>
  <c r="DB6" i="4" a="1"/>
  <c r="CW11" i="4" a="1"/>
  <c r="W7" i="4" a="1"/>
  <c r="W9" i="4" a="1"/>
  <c r="J15" i="4" a="1"/>
  <c r="DX16" i="4" a="1"/>
  <c r="T5" i="4" a="1"/>
  <c r="CE14" i="4" a="1"/>
  <c r="DY6" i="4" a="1"/>
  <c r="DH7" i="4" a="1"/>
  <c r="CG11" i="4" a="1"/>
  <c r="O14" i="4" a="1"/>
  <c r="CC12" i="4" a="1"/>
  <c r="CE9" i="4" a="1"/>
  <c r="DU14" i="4" a="1"/>
  <c r="J11" i="4" a="1"/>
  <c r="EF12" i="4" a="1"/>
  <c r="DV9" i="4" a="1"/>
  <c r="R15" i="4" a="1"/>
  <c r="CE16" i="4" a="1"/>
  <c r="AM9" i="4" a="1"/>
  <c r="CE12" i="4" a="1"/>
  <c r="DE5" i="4" a="1"/>
  <c r="BS9" i="4" a="1"/>
  <c r="BO6" i="4" a="1"/>
  <c r="AP12" i="4" a="1"/>
  <c r="BK14" i="4" a="1"/>
  <c r="AJ6" i="4" a="1"/>
  <c r="Q16" i="4" a="1"/>
  <c r="BA16" i="4" a="1"/>
  <c r="P25" i="2"/>
  <c r="F26" i="3"/>
  <c r="C15" i="4" a="1"/>
  <c r="U16" i="4" a="1"/>
  <c r="AM5" i="4" a="1"/>
  <c r="DR11" i="4" a="1"/>
  <c r="BG11" i="4" a="1"/>
  <c r="BM14" i="4" a="1"/>
  <c r="AA11" i="4" a="1"/>
  <c r="AA13" i="4" a="1"/>
  <c r="AG14" i="4" a="1"/>
  <c r="DH5" i="4" a="1"/>
  <c r="BD13" i="4" a="1"/>
  <c r="DH11" i="4" a="1"/>
  <c r="DP13" i="4" a="1"/>
  <c r="AD60" i="3"/>
  <c r="AD67" i="3"/>
  <c r="F83" i="3"/>
  <c r="G71" i="3"/>
  <c r="D84" i="3"/>
  <c r="AD87" i="3"/>
  <c r="D78" i="3"/>
  <c r="G74" i="3"/>
  <c r="D55" i="3"/>
  <c r="AD80" i="3"/>
  <c r="AD71" i="3"/>
  <c r="G88" i="3"/>
  <c r="D62" i="3"/>
  <c r="AD76" i="3"/>
  <c r="AD81" i="3"/>
  <c r="AD66" i="3"/>
  <c r="D58" i="3"/>
  <c r="AD77" i="3"/>
  <c r="AD90" i="3"/>
  <c r="D87" i="3"/>
  <c r="G78" i="3"/>
  <c r="D97" i="3"/>
  <c r="G77" i="3"/>
  <c r="D83" i="3"/>
  <c r="AD54" i="3"/>
  <c r="D75" i="3"/>
  <c r="G72" i="3"/>
  <c r="D77" i="3"/>
  <c r="AD65" i="3"/>
  <c r="F59" i="3"/>
  <c r="G69" i="3"/>
  <c r="G91" i="3"/>
  <c r="D69" i="3"/>
  <c r="AD84" i="3"/>
  <c r="AD69" i="3"/>
  <c r="G75" i="3"/>
  <c r="AD56" i="3"/>
  <c r="AD61" i="3"/>
  <c r="AD85" i="3"/>
  <c r="F92" i="3"/>
  <c r="D63" i="3"/>
  <c r="F70" i="3"/>
  <c r="AD83" i="3"/>
  <c r="D54" i="3"/>
  <c r="AD55" i="3"/>
  <c r="AD91" i="3"/>
  <c r="AD64" i="3"/>
  <c r="G95" i="3"/>
  <c r="AD93" i="3"/>
  <c r="AD92" i="3"/>
  <c r="G96" i="3"/>
  <c r="G55" i="3"/>
  <c r="F66" i="3"/>
  <c r="D90" i="3"/>
  <c r="G60" i="3"/>
  <c r="D80" i="3"/>
  <c r="G84" i="3"/>
  <c r="G80" i="3"/>
  <c r="G86" i="3"/>
  <c r="G92" i="3"/>
  <c r="D96" i="3"/>
  <c r="AD72" i="3"/>
  <c r="G54" i="3"/>
  <c r="D95" i="3"/>
  <c r="D76" i="3"/>
  <c r="G94" i="3"/>
  <c r="G61" i="3"/>
  <c r="G57" i="3"/>
  <c r="G93" i="3"/>
  <c r="AD68" i="3"/>
  <c r="D59" i="3"/>
  <c r="AD78" i="3"/>
  <c r="G90" i="3"/>
  <c r="F68" i="3"/>
  <c r="AD75" i="3"/>
  <c r="G76" i="3"/>
  <c r="F78" i="3"/>
  <c r="AD63" i="3"/>
  <c r="D71" i="3" l="1"/>
  <c r="D94" i="3"/>
  <c r="D61" i="3"/>
  <c r="AD89" i="3"/>
  <c r="AD94" i="3"/>
  <c r="D85" i="3"/>
  <c r="G87" i="3"/>
  <c r="G83" i="3"/>
  <c r="F69" i="3"/>
  <c r="G67" i="3"/>
  <c r="F82" i="3"/>
  <c r="F86" i="3"/>
  <c r="F64" i="3"/>
  <c r="G56" i="3"/>
  <c r="G79" i="3"/>
  <c r="F85" i="3"/>
  <c r="F84" i="3"/>
  <c r="G81" i="3"/>
  <c r="F91" i="3"/>
  <c r="F50" i="3"/>
  <c r="F97" i="3"/>
  <c r="F89" i="3"/>
  <c r="F73" i="3"/>
  <c r="F67" i="3"/>
  <c r="G65" i="3"/>
  <c r="G97" i="3"/>
  <c r="G62" i="3"/>
  <c r="F79" i="3"/>
  <c r="G85" i="3"/>
  <c r="G68" i="3"/>
  <c r="G63" i="3"/>
  <c r="G58" i="3"/>
  <c r="F62" i="3"/>
  <c r="G82" i="3"/>
  <c r="G66" i="3"/>
  <c r="F55" i="3"/>
  <c r="F81" i="3"/>
  <c r="F90" i="3"/>
  <c r="F95" i="3"/>
  <c r="F80" i="3"/>
  <c r="F72" i="3"/>
  <c r="G89" i="3"/>
  <c r="F87" i="3"/>
  <c r="G70" i="3"/>
  <c r="F56" i="3"/>
  <c r="G73" i="3"/>
  <c r="F63" i="3"/>
  <c r="G64" i="3"/>
  <c r="G59" i="3"/>
  <c r="F94" i="3"/>
  <c r="F58" i="3"/>
  <c r="F74" i="3"/>
  <c r="F57" i="3"/>
  <c r="F76" i="3"/>
  <c r="F75" i="3"/>
  <c r="F61" i="3"/>
  <c r="F71" i="3"/>
  <c r="F54" i="3"/>
  <c r="F48" i="3"/>
  <c r="F77" i="3"/>
  <c r="F60" i="3"/>
  <c r="F88" i="3"/>
  <c r="F65" i="3"/>
  <c r="F93" i="3"/>
  <c r="F49" i="3"/>
  <c r="E89" i="3"/>
  <c r="E54" i="3"/>
  <c r="E94" i="3"/>
  <c r="E83" i="3"/>
  <c r="E80" i="3"/>
  <c r="E79" i="3"/>
  <c r="E74" i="3"/>
  <c r="E75" i="3"/>
  <c r="E87" i="3"/>
  <c r="E95" i="3"/>
  <c r="E56" i="3"/>
  <c r="E88" i="3"/>
  <c r="E84" i="3"/>
  <c r="E61" i="3"/>
  <c r="E82" i="3"/>
  <c r="E68" i="3"/>
  <c r="E65" i="3"/>
  <c r="E58" i="3"/>
  <c r="E71" i="3"/>
  <c r="E59" i="3"/>
  <c r="E92" i="3"/>
  <c r="E78" i="3"/>
  <c r="E72" i="3"/>
  <c r="E86" i="3"/>
  <c r="E81" i="3"/>
  <c r="E70" i="3"/>
  <c r="E96" i="3"/>
  <c r="E77" i="3"/>
  <c r="E57" i="3"/>
  <c r="E69" i="3"/>
  <c r="E76" i="3"/>
  <c r="E91" i="3"/>
  <c r="E64" i="3"/>
  <c r="E73" i="3"/>
  <c r="E97" i="3"/>
  <c r="E90" i="3"/>
  <c r="E63" i="3"/>
  <c r="E60" i="3"/>
  <c r="E55" i="3"/>
  <c r="E62" i="3"/>
  <c r="E93" i="3"/>
  <c r="E66" i="3"/>
  <c r="E85" i="3"/>
  <c r="E67" i="3"/>
  <c r="AD86" i="3"/>
  <c r="AD73" i="3"/>
  <c r="AD59" i="3"/>
  <c r="AD74" i="3"/>
  <c r="BJ137" i="1" s="1"/>
  <c r="BK137" i="1" s="1"/>
  <c r="AD88" i="3"/>
  <c r="BJ127" i="1" s="1"/>
  <c r="BK127" i="1" s="1"/>
  <c r="AD79" i="3"/>
  <c r="BJ143" i="1" s="1"/>
  <c r="AD62" i="3"/>
  <c r="BJ124" i="1" s="1"/>
  <c r="BK124" i="1" s="1"/>
  <c r="AD82" i="3"/>
  <c r="BJ145" i="1" s="1"/>
  <c r="AD57" i="3"/>
  <c r="BJ118" i="1" s="1"/>
  <c r="BK118" i="1" s="1"/>
  <c r="AD97" i="3"/>
  <c r="AD58" i="3"/>
  <c r="BJ119" i="1" s="1"/>
  <c r="AD96" i="3"/>
  <c r="BJ163" i="1" s="1"/>
  <c r="BK163" i="1" s="1"/>
  <c r="AD70" i="3"/>
  <c r="BJ133" i="1" s="1"/>
  <c r="AD95" i="3"/>
  <c r="BJ164" i="1" s="1"/>
  <c r="D65" i="3"/>
  <c r="AJ150" i="1" s="1"/>
  <c r="AK150" i="1" s="1"/>
  <c r="D86" i="3"/>
  <c r="D82" i="3"/>
  <c r="AJ145" i="1" s="1"/>
  <c r="D57" i="3"/>
  <c r="AJ118" i="1" s="1"/>
  <c r="AK118" i="1" s="1"/>
  <c r="D73" i="3"/>
  <c r="D66" i="3"/>
  <c r="AJ151" i="1" s="1"/>
  <c r="AK151" i="1" s="1"/>
  <c r="D91" i="3"/>
  <c r="AJ154" i="1" s="1"/>
  <c r="AK154" i="1" s="1"/>
  <c r="D93" i="3"/>
  <c r="D56" i="3"/>
  <c r="AJ117" i="1" s="1"/>
  <c r="AK117" i="1" s="1"/>
  <c r="D79" i="3"/>
  <c r="AJ143" i="1" s="1"/>
  <c r="AK143" i="1" s="1"/>
  <c r="D60" i="3"/>
  <c r="AJ122" i="1" s="1"/>
  <c r="AK122" i="1" s="1"/>
  <c r="D89" i="3"/>
  <c r="AJ153" i="1" s="1"/>
  <c r="D67" i="3"/>
  <c r="D88" i="3"/>
  <c r="AJ127" i="1" s="1"/>
  <c r="AK127" i="1" s="1"/>
  <c r="D81" i="3"/>
  <c r="AJ144" i="1" s="1"/>
  <c r="D92" i="3"/>
  <c r="AJ155" i="1" s="1"/>
  <c r="AK155" i="1" s="1"/>
  <c r="D70" i="3"/>
  <c r="AJ133" i="1" s="1"/>
  <c r="D64" i="3"/>
  <c r="AJ149" i="1" s="1"/>
  <c r="AK149" i="1" s="1"/>
  <c r="D68" i="3"/>
  <c r="AJ131" i="1" s="1"/>
  <c r="D74" i="3"/>
  <c r="AJ137" i="1" s="1"/>
  <c r="AK137" i="1" s="1"/>
  <c r="D72" i="3"/>
  <c r="AJ135" i="1" s="1"/>
  <c r="AK135" i="1" s="1"/>
  <c r="F47" i="3"/>
  <c r="F96" i="3"/>
  <c r="AL163" i="1" s="1"/>
  <c r="AM163" i="1" s="1"/>
  <c r="HU16" i="4" s="1"/>
  <c r="AL47" i="1"/>
  <c r="O36" i="1"/>
  <c r="IA9" i="4" s="1"/>
  <c r="JD9" i="4" s="1"/>
  <c r="HR16" i="4" s="1"/>
  <c r="BX35" i="1"/>
  <c r="AL51" i="1"/>
  <c r="IZ9" i="4" s="1"/>
  <c r="O45" i="1"/>
  <c r="JH9" i="4" s="1"/>
  <c r="IE16" i="4" s="1"/>
  <c r="IM16" i="4" s="1"/>
  <c r="BX32" i="1"/>
  <c r="BX194" i="1" s="1"/>
  <c r="AK9" i="1"/>
  <c r="F36" i="1"/>
  <c r="IA16" i="4" s="1"/>
  <c r="AK14" i="1"/>
  <c r="IC16" i="4" s="1"/>
  <c r="JG9" i="4" s="1"/>
  <c r="JI9" i="4" s="1"/>
  <c r="II9" i="4" s="1"/>
  <c r="AJ8" i="1"/>
  <c r="AJ231" i="1" s="1"/>
  <c r="M51" i="1"/>
  <c r="IY9" i="4" s="1"/>
  <c r="HY16" i="4" s="1"/>
  <c r="HV9" i="4" s="1"/>
  <c r="AM13" i="1"/>
  <c r="H24" i="1"/>
  <c r="O35" i="1"/>
  <c r="IG16" i="4" s="1"/>
  <c r="JC9" i="4" s="1"/>
  <c r="IN16" i="4" s="1"/>
  <c r="HS9" i="4" s="1"/>
  <c r="JF9" i="4" s="1"/>
  <c r="IR16" i="4" s="1"/>
  <c r="AK36" i="1"/>
  <c r="IQ9" i="4" s="1"/>
  <c r="JE9" i="4" s="1"/>
  <c r="IV9" i="4" s="1"/>
  <c r="IT16" i="4" s="1"/>
  <c r="HW9" i="4" s="1"/>
  <c r="Q46" i="1"/>
  <c r="II16" i="4" s="1"/>
  <c r="HS16" i="4" s="1"/>
  <c r="IW16" i="4" s="1"/>
  <c r="JA9" i="4" s="1"/>
  <c r="JC8" i="4" s="1"/>
  <c r="IL16" i="4" s="1"/>
  <c r="IW14" i="4" s="1"/>
  <c r="AL8" i="1"/>
  <c r="IX16" i="4" s="1"/>
  <c r="IU16" i="4" s="1"/>
  <c r="M13" i="1"/>
  <c r="IT9" i="4" s="1"/>
  <c r="HY8" i="4" s="1"/>
  <c r="IU9" i="4" s="1"/>
  <c r="IC15" i="4" s="1"/>
  <c r="IJ16" i="4" s="1"/>
  <c r="AL24" i="1"/>
  <c r="AM25" i="1"/>
  <c r="BX145" i="1"/>
  <c r="BX119" i="1"/>
  <c r="BY119" i="1" s="1"/>
  <c r="B20" i="1"/>
  <c r="J46" i="1"/>
  <c r="IJ9" i="4" s="1"/>
  <c r="HV16" i="4" s="1"/>
  <c r="JF16" i="4" s="1"/>
  <c r="IH16" i="4" s="1"/>
  <c r="IX9" i="4" s="1"/>
  <c r="AJ9" i="1"/>
  <c r="AK22" i="1"/>
  <c r="AK47" i="1"/>
  <c r="BX164" i="1"/>
  <c r="BY164" i="1" s="1"/>
  <c r="D35" i="1"/>
  <c r="V15" i="1"/>
  <c r="P127" i="1"/>
  <c r="IV16" i="4" s="1"/>
  <c r="IS16" i="4" s="1"/>
  <c r="HQ9" i="4" s="1"/>
  <c r="IG9" i="4" s="1"/>
  <c r="HP9" i="4" s="1"/>
  <c r="IQ16" i="4" s="1"/>
  <c r="JG16" i="4" s="1"/>
  <c r="IS9" i="4" s="1"/>
  <c r="AM14" i="1"/>
  <c r="AJ24" i="1"/>
  <c r="T45" i="1"/>
  <c r="K8" i="1"/>
  <c r="K231" i="1" s="1"/>
  <c r="T24" i="1"/>
  <c r="H22" i="1"/>
  <c r="HT9" i="4" s="1"/>
  <c r="HQ8" i="4" s="1"/>
  <c r="IW9" i="4" s="1"/>
  <c r="JH7" i="4" s="1"/>
  <c r="JA16" i="4" s="1"/>
  <c r="HX16" i="4" s="1"/>
  <c r="IK9" i="4" s="1"/>
  <c r="IL9" i="4" s="1"/>
  <c r="IB9" i="4" s="1"/>
  <c r="AJ46" i="1"/>
  <c r="AK39" i="1"/>
  <c r="B39" i="1"/>
  <c r="F13" i="1"/>
  <c r="W132" i="1"/>
  <c r="J21" i="1"/>
  <c r="C45" i="1"/>
  <c r="HW16" i="4" s="1"/>
  <c r="IZ16" i="4" s="1"/>
  <c r="AK20" i="1"/>
  <c r="M45" i="1"/>
  <c r="G13" i="1"/>
  <c r="R23" i="1"/>
  <c r="T13" i="1"/>
  <c r="F21" i="1"/>
  <c r="IF16" i="4" s="1"/>
  <c r="AL46" i="1"/>
  <c r="AK51" i="1"/>
  <c r="W47" i="1"/>
  <c r="E22" i="1"/>
  <c r="I9" i="1"/>
  <c r="T36" i="1"/>
  <c r="C22" i="1"/>
  <c r="IO9" i="4" s="1"/>
  <c r="IR7" i="4" s="1"/>
  <c r="HU14" i="4" s="1"/>
  <c r="IK16" i="4" s="1"/>
  <c r="JI16" i="4" s="1"/>
  <c r="IC9" i="4" s="1"/>
  <c r="HY7" i="4" s="1"/>
  <c r="AL32" i="1"/>
  <c r="AL194" i="1" s="1"/>
  <c r="AM9" i="1"/>
  <c r="BX23" i="1"/>
  <c r="AL15" i="1"/>
  <c r="AM21" i="1"/>
  <c r="W51" i="1"/>
  <c r="C46" i="1"/>
  <c r="S15" i="1"/>
  <c r="IM9" i="4" s="1"/>
  <c r="JD14" i="4" s="1"/>
  <c r="JC16" i="4" s="1"/>
  <c r="HZ16" i="4" s="1"/>
  <c r="BX20" i="1"/>
  <c r="BJ20" i="1"/>
  <c r="AM24" i="1"/>
  <c r="BJ25" i="1"/>
  <c r="S13" i="1"/>
  <c r="W22" i="1"/>
  <c r="IU15" i="4" s="1"/>
  <c r="HU9" i="4" s="1"/>
  <c r="IB16" i="4" s="1"/>
  <c r="HR9" i="4" s="1"/>
  <c r="AJ32" i="1"/>
  <c r="AL22" i="1"/>
  <c r="AM8" i="1"/>
  <c r="AM231" i="1" s="1"/>
  <c r="AJ13" i="1"/>
  <c r="F24" i="1"/>
  <c r="BX143" i="1"/>
  <c r="BY143" i="1" s="1"/>
  <c r="G32" i="1"/>
  <c r="G194" i="1" s="1"/>
  <c r="M20" i="1"/>
  <c r="E8" i="1"/>
  <c r="E231" i="1" s="1"/>
  <c r="S51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P8" i="4" s="1"/>
  <c r="HT14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B7" i="4" s="1"/>
  <c r="IV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BJ24" i="1"/>
  <c r="AL9" i="1"/>
  <c r="AL10" i="1" s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JA7" i="4" s="1"/>
  <c r="JI14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JE16" i="4" s="1"/>
  <c r="JE21" i="4" s="1"/>
  <c r="BY77" i="1" s="1"/>
  <c r="JB9" i="4" s="1"/>
  <c r="ID9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JC14" i="4" s="1"/>
  <c r="HP16" i="4" s="1"/>
  <c r="HP21" i="4" s="1"/>
  <c r="AJ77" i="1" s="1"/>
  <c r="IR14" i="4" s="1"/>
  <c r="IU8" i="4" s="1"/>
  <c r="IO15" i="4" s="1"/>
  <c r="HU15" i="4" s="1"/>
  <c r="HQ14" i="4" s="1"/>
  <c r="IH7" i="4" s="1"/>
  <c r="HP8" i="4" s="1"/>
  <c r="HR8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IO16" i="4" s="1"/>
  <c r="IO21" i="4" s="1"/>
  <c r="BI77" i="1" s="1"/>
  <c r="IQ8" i="4" s="1"/>
  <c r="IG8" i="4" s="1"/>
  <c r="IV14" i="4" s="1"/>
  <c r="IY14" i="4" s="1"/>
  <c r="JH16" i="4" s="1"/>
  <c r="JH21" i="4" s="1"/>
  <c r="CB77" i="1" s="1"/>
  <c r="HR7" i="4" s="1"/>
  <c r="IL7" i="4" s="1"/>
  <c r="IQ15" i="4" s="1"/>
  <c r="IN8" i="4" s="1"/>
  <c r="HX9" i="4" s="1"/>
  <c r="HX21" i="4" s="1"/>
  <c r="AR77" i="1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BJ154" i="1"/>
  <c r="BK154" i="1" s="1"/>
  <c r="BJ144" i="1"/>
  <c r="AJ124" i="1"/>
  <c r="AK124" i="1" s="1"/>
  <c r="AJ163" i="1"/>
  <c r="AK163" i="1" s="1"/>
  <c r="AJ159" i="1"/>
  <c r="AL142" i="1"/>
  <c r="AM142" i="1" s="1"/>
  <c r="AL131" i="1"/>
  <c r="BJ159" i="1"/>
  <c r="BJ160" i="1"/>
  <c r="BJ147" i="1"/>
  <c r="BK147" i="1" s="1"/>
  <c r="BJ149" i="1"/>
  <c r="BJ155" i="1"/>
  <c r="BK155" i="1" s="1"/>
  <c r="AL133" i="1"/>
  <c r="BJ131" i="1"/>
  <c r="AJ152" i="1"/>
  <c r="AK152" i="1" s="1"/>
  <c r="AJ142" i="1"/>
  <c r="AK142" i="1" s="1"/>
  <c r="AL151" i="1"/>
  <c r="AM151" i="1" s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60" i="1"/>
  <c r="AJ119" i="1"/>
  <c r="AJ146" i="1"/>
  <c r="AK146" i="1" s="1"/>
  <c r="AJ125" i="1"/>
  <c r="AK125" i="1" s="1"/>
  <c r="BJ146" i="1"/>
  <c r="BK146" i="1" s="1"/>
  <c r="AL160" i="1"/>
  <c r="BJ150" i="1"/>
  <c r="BK150" i="1" s="1"/>
  <c r="BJ151" i="1"/>
  <c r="BK151" i="1" s="1"/>
  <c r="AJ164" i="1"/>
  <c r="AK164" i="1" s="1"/>
  <c r="AJ126" i="1"/>
  <c r="AK126" i="1" s="1"/>
  <c r="AJ132" i="1"/>
  <c r="AJ140" i="1"/>
  <c r="AK140" i="1" s="1"/>
  <c r="BJ122" i="1"/>
  <c r="BK122" i="1" s="1"/>
  <c r="BJ117" i="1"/>
  <c r="HV7" i="4"/>
  <c r="IG7" i="4"/>
  <c r="IE14" i="4"/>
  <c r="IH15" i="4"/>
  <c r="IW8" i="4"/>
  <c r="IA14" i="4"/>
  <c r="IP15" i="4"/>
  <c r="JG14" i="4"/>
  <c r="IW7" i="4"/>
  <c r="JF7" i="4"/>
  <c r="HX8" i="4"/>
  <c r="IL14" i="4"/>
  <c r="IK15" i="4"/>
  <c r="JE8" i="4"/>
  <c r="HY14" i="4"/>
  <c r="IN14" i="4"/>
  <c r="HZ15" i="4"/>
  <c r="IA15" i="4"/>
  <c r="HW8" i="4"/>
  <c r="IY7" i="4"/>
  <c r="HR15" i="4"/>
  <c r="IV8" i="4"/>
  <c r="IH8" i="4"/>
  <c r="IO8" i="4"/>
  <c r="HU7" i="4"/>
  <c r="IJ15" i="4"/>
  <c r="IC8" i="4"/>
  <c r="II14" i="4"/>
  <c r="JC15" i="4"/>
  <c r="IA7" i="4"/>
  <c r="IB8" i="4"/>
  <c r="JG8" i="4"/>
  <c r="HS15" i="4"/>
  <c r="HP7" i="4"/>
  <c r="ID7" i="4"/>
  <c r="HW7" i="4"/>
  <c r="JH8" i="4"/>
  <c r="IC7" i="4"/>
  <c r="IR15" i="4"/>
  <c r="JA15" i="4"/>
  <c r="HW14" i="4"/>
  <c r="HQ7" i="4"/>
  <c r="JF8" i="4"/>
  <c r="JA8" i="4"/>
  <c r="JB7" i="4"/>
  <c r="IT8" i="4"/>
  <c r="IH14" i="4"/>
  <c r="IM14" i="4"/>
  <c r="JD15" i="4"/>
  <c r="IS8" i="4"/>
  <c r="IP14" i="4"/>
  <c r="HR14" i="4"/>
  <c r="IK14" i="4"/>
  <c r="IF8" i="4"/>
  <c r="HV8" i="4"/>
  <c r="HW15" i="4"/>
  <c r="IM15" i="4"/>
  <c r="HS8" i="4"/>
  <c r="JH14" i="4"/>
  <c r="JB14" i="4"/>
  <c r="CP77" i="1"/>
  <c r="CN63" i="1"/>
  <c r="CM65" i="1"/>
  <c r="V11" i="1" l="1"/>
  <c r="HV21" i="4"/>
  <c r="AP77" i="1" s="1"/>
  <c r="IG21" i="4"/>
  <c r="BA77" i="1" s="1"/>
  <c r="JG21" i="4"/>
  <c r="CA77" i="1" s="1"/>
  <c r="IM21" i="4"/>
  <c r="BG77" i="1" s="1"/>
  <c r="JF21" i="4"/>
  <c r="BZ77" i="1" s="1"/>
  <c r="BZ94" i="1" s="1"/>
  <c r="JA21" i="4"/>
  <c r="BU77" i="1" s="1"/>
  <c r="F252" i="1"/>
  <c r="AL231" i="1"/>
  <c r="HW21" i="4"/>
  <c r="AQ77" i="1" s="1"/>
  <c r="IS21" i="4"/>
  <c r="BM77" i="1" s="1"/>
  <c r="IX21" i="4"/>
  <c r="BR77" i="1" s="1"/>
  <c r="IQ21" i="4"/>
  <c r="BK77" i="1" s="1"/>
  <c r="IV21" i="4"/>
  <c r="BP77" i="1" s="1"/>
  <c r="IT21" i="4"/>
  <c r="BN77" i="1" s="1"/>
  <c r="HS21" i="4"/>
  <c r="AM77" i="1" s="1"/>
  <c r="JI21" i="4"/>
  <c r="CC77" i="1" s="1"/>
  <c r="CC85" i="1" s="1"/>
  <c r="G253" i="1"/>
  <c r="K253" i="1"/>
  <c r="O252" i="1"/>
  <c r="W253" i="1"/>
  <c r="W194" i="1"/>
  <c r="P10" i="1"/>
  <c r="JC21" i="4"/>
  <c r="BW77" i="1" s="1"/>
  <c r="R252" i="1"/>
  <c r="G183" i="1"/>
  <c r="G252" i="1"/>
  <c r="O231" i="1"/>
  <c r="H252" i="1"/>
  <c r="BJ153" i="1"/>
  <c r="AJ147" i="1"/>
  <c r="AK147" i="1" s="1"/>
  <c r="W11" i="1"/>
  <c r="O10" i="1"/>
  <c r="Q10" i="1"/>
  <c r="Q231" i="1"/>
  <c r="K10" i="1"/>
  <c r="I253" i="1"/>
  <c r="AL26" i="1"/>
  <c r="T253" i="1"/>
  <c r="W98" i="1"/>
  <c r="BY140" i="1"/>
  <c r="BZ202" i="1" s="1"/>
  <c r="J253" i="1"/>
  <c r="BX253" i="1"/>
  <c r="BX10" i="1"/>
  <c r="IA21" i="4"/>
  <c r="AU77" i="1" s="1"/>
  <c r="IH9" i="4" s="1"/>
  <c r="IU21" i="4"/>
  <c r="BO77" i="1" s="1"/>
  <c r="IS15" i="4" s="1"/>
  <c r="ID15" i="4" s="1"/>
  <c r="BX180" i="1"/>
  <c r="BY180" i="1" s="1"/>
  <c r="IZ21" i="4"/>
  <c r="BT77" i="1" s="1"/>
  <c r="HZ9" i="4" s="1"/>
  <c r="JD21" i="4"/>
  <c r="BX77" i="1" s="1"/>
  <c r="AL252" i="1"/>
  <c r="C252" i="1"/>
  <c r="H26" i="1"/>
  <c r="IY21" i="4"/>
  <c r="BS77" i="1" s="1"/>
  <c r="IE9" i="4" s="1"/>
  <c r="BX179" i="1"/>
  <c r="BY179" i="1" s="1"/>
  <c r="R10" i="1"/>
  <c r="R98" i="1" s="1"/>
  <c r="P26" i="1"/>
  <c r="S26" i="1"/>
  <c r="AL74" i="1"/>
  <c r="AL145" i="1"/>
  <c r="AL150" i="1"/>
  <c r="AM150" i="1" s="1"/>
  <c r="AL125" i="1"/>
  <c r="AM125" i="1" s="1"/>
  <c r="AL164" i="1"/>
  <c r="AM164" i="1" s="1"/>
  <c r="AL149" i="1"/>
  <c r="AM149" i="1" s="1"/>
  <c r="AL119" i="1"/>
  <c r="AL135" i="1"/>
  <c r="AM135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AJ179" i="1"/>
  <c r="ID8" i="4"/>
  <c r="HQ15" i="4"/>
  <c r="IM8" i="4"/>
  <c r="IW21" i="4"/>
  <c r="BQ77" i="1" s="1"/>
  <c r="IJ14" i="4"/>
  <c r="JE14" i="4"/>
  <c r="HX15" i="4"/>
  <c r="JB15" i="4"/>
  <c r="JD8" i="4"/>
  <c r="IY8" i="4"/>
  <c r="HP14" i="4"/>
  <c r="K252" i="1"/>
  <c r="D253" i="1"/>
  <c r="L253" i="1"/>
  <c r="L252" i="1"/>
  <c r="T26" i="1"/>
  <c r="F10" i="1"/>
  <c r="AL183" i="1"/>
  <c r="AM183" i="1" s="1"/>
  <c r="AL179" i="1"/>
  <c r="AM179" i="1" s="1"/>
  <c r="AJ194" i="1"/>
  <c r="AJ33" i="1"/>
  <c r="M231" i="1"/>
  <c r="M10" i="1"/>
  <c r="M98" i="1" s="1"/>
  <c r="F253" i="1"/>
  <c r="F194" i="1"/>
  <c r="BX231" i="1"/>
  <c r="CA98" i="1"/>
  <c r="CA99" i="1" s="1"/>
  <c r="T231" i="1"/>
  <c r="T252" i="1"/>
  <c r="AK10" i="1"/>
  <c r="AK231" i="1"/>
  <c r="D252" i="1"/>
  <c r="R253" i="1"/>
  <c r="R194" i="1"/>
  <c r="HS14" i="4"/>
  <c r="IZ7" i="4"/>
  <c r="IT7" i="4"/>
  <c r="IA8" i="4"/>
  <c r="IA20" i="4" s="1"/>
  <c r="AU79" i="1" s="1"/>
  <c r="AU108" i="1" s="1"/>
  <c r="IP7" i="4"/>
  <c r="IP19" i="4" s="1"/>
  <c r="BJ78" i="1" s="1"/>
  <c r="BJ107" i="1" s="1"/>
  <c r="HZ7" i="4"/>
  <c r="IF7" i="4"/>
  <c r="HP15" i="4"/>
  <c r="IS14" i="4"/>
  <c r="JF15" i="4"/>
  <c r="IE7" i="4"/>
  <c r="JI15" i="4"/>
  <c r="JH15" i="4"/>
  <c r="HY15" i="4"/>
  <c r="IO7" i="4"/>
  <c r="IT15" i="4"/>
  <c r="IT20" i="4" s="1"/>
  <c r="BN79" i="1" s="1"/>
  <c r="BN108" i="1" s="1"/>
  <c r="IQ14" i="4"/>
  <c r="IZ14" i="4"/>
  <c r="IC21" i="4"/>
  <c r="AW77" i="1" s="1"/>
  <c r="ID14" i="4"/>
  <c r="IF15" i="4"/>
  <c r="IF20" i="4" s="1"/>
  <c r="AZ79" i="1" s="1"/>
  <c r="AZ108" i="1" s="1"/>
  <c r="HY21" i="4"/>
  <c r="AS77" i="1" s="1"/>
  <c r="IL15" i="4"/>
  <c r="JG15" i="4"/>
  <c r="II21" i="4"/>
  <c r="BC77" i="1" s="1"/>
  <c r="HZ14" i="4"/>
  <c r="JI7" i="4"/>
  <c r="IL21" i="4"/>
  <c r="BF77" i="1" s="1"/>
  <c r="HT8" i="4"/>
  <c r="HT7" i="4"/>
  <c r="IE15" i="4"/>
  <c r="IG14" i="4"/>
  <c r="IJ21" i="4"/>
  <c r="BD77" i="1" s="1"/>
  <c r="BX148" i="1"/>
  <c r="BX182" i="1" s="1"/>
  <c r="E26" i="1"/>
  <c r="HV14" i="4"/>
  <c r="HT15" i="4"/>
  <c r="JB8" i="4"/>
  <c r="IU7" i="4"/>
  <c r="IJ8" i="4"/>
  <c r="II7" i="4"/>
  <c r="IK21" i="4"/>
  <c r="BE77" i="1" s="1"/>
  <c r="IX8" i="4"/>
  <c r="JE15" i="4"/>
  <c r="JE20" i="4" s="1"/>
  <c r="BY79" i="1" s="1"/>
  <c r="BY108" i="1" s="1"/>
  <c r="IO14" i="4"/>
  <c r="IO19" i="4" s="1"/>
  <c r="BI78" i="1" s="1"/>
  <c r="BI107" i="1" s="1"/>
  <c r="IL8" i="4"/>
  <c r="JE7" i="4"/>
  <c r="JE19" i="4" s="1"/>
  <c r="BY78" i="1" s="1"/>
  <c r="HV15" i="4"/>
  <c r="W26" i="1"/>
  <c r="W27" i="1" s="1"/>
  <c r="IB21" i="4"/>
  <c r="AV77" i="1" s="1"/>
  <c r="JI8" i="4"/>
  <c r="JI20" i="4" s="1"/>
  <c r="CC79" i="1" s="1"/>
  <c r="JG7" i="4"/>
  <c r="IG15" i="4"/>
  <c r="IG20" i="4" s="1"/>
  <c r="BA79" i="1" s="1"/>
  <c r="BA108" i="1" s="1"/>
  <c r="P183" i="1"/>
  <c r="J10" i="1"/>
  <c r="I26" i="1"/>
  <c r="IV15" i="4"/>
  <c r="IY15" i="4"/>
  <c r="IY20" i="4" s="1"/>
  <c r="BS79" i="1" s="1"/>
  <c r="BS108" i="1" s="1"/>
  <c r="IZ15" i="4"/>
  <c r="AJ37" i="1"/>
  <c r="G26" i="1"/>
  <c r="O26" i="1"/>
  <c r="G10" i="1"/>
  <c r="T10" i="1"/>
  <c r="HS7" i="4"/>
  <c r="Q183" i="1"/>
  <c r="IN15" i="4"/>
  <c r="IW15" i="4"/>
  <c r="IW20" i="4" s="1"/>
  <c r="BQ79" i="1" s="1"/>
  <c r="BQ108" i="1" s="1"/>
  <c r="IZ8" i="4"/>
  <c r="IM7" i="4"/>
  <c r="IM19" i="4" s="1"/>
  <c r="BG78" i="1" s="1"/>
  <c r="BG107" i="1" s="1"/>
  <c r="JA14" i="4"/>
  <c r="JA19" i="4" s="1"/>
  <c r="BU78" i="1" s="1"/>
  <c r="BU107" i="1" s="1"/>
  <c r="AM252" i="1"/>
  <c r="AM26" i="1"/>
  <c r="AK26" i="1"/>
  <c r="R26" i="1"/>
  <c r="M252" i="1"/>
  <c r="BJ179" i="1"/>
  <c r="BK179" i="1" s="1"/>
  <c r="BJ180" i="1"/>
  <c r="BK180" i="1" s="1"/>
  <c r="BJ183" i="1"/>
  <c r="BK183" i="1" s="1"/>
  <c r="J231" i="1"/>
  <c r="J252" i="1"/>
  <c r="H194" i="1"/>
  <c r="H253" i="1"/>
  <c r="V194" i="1"/>
  <c r="V253" i="1"/>
  <c r="IX14" i="4"/>
  <c r="IX19" i="4" s="1"/>
  <c r="BR78" i="1" s="1"/>
  <c r="BR107" i="1" s="1"/>
  <c r="JC7" i="4"/>
  <c r="JC19" i="4" s="1"/>
  <c r="BW78" i="1" s="1"/>
  <c r="BW107" i="1" s="1"/>
  <c r="HU21" i="4"/>
  <c r="AO77" i="1" s="1"/>
  <c r="HR21" i="4"/>
  <c r="AL77" i="1" s="1"/>
  <c r="II15" i="4"/>
  <c r="IU14" i="4"/>
  <c r="BY128" i="1"/>
  <c r="AJ10" i="1"/>
  <c r="AL16" i="1"/>
  <c r="IC14" i="4"/>
  <c r="IC19" i="4" s="1"/>
  <c r="AW78" i="1" s="1"/>
  <c r="AW107" i="1" s="1"/>
  <c r="IT14" i="4"/>
  <c r="IT19" i="4" s="1"/>
  <c r="BN78" i="1" s="1"/>
  <c r="BN107" i="1" s="1"/>
  <c r="IR8" i="4"/>
  <c r="IR20" i="4" s="1"/>
  <c r="BL79" i="1" s="1"/>
  <c r="BL96" i="1" s="1"/>
  <c r="IB14" i="4"/>
  <c r="IB19" i="4" s="1"/>
  <c r="AV78" i="1" s="1"/>
  <c r="AV107" i="1" s="1"/>
  <c r="IB15" i="4"/>
  <c r="IB20" i="4" s="1"/>
  <c r="AV79" i="1" s="1"/>
  <c r="AV108" i="1" s="1"/>
  <c r="BX26" i="1"/>
  <c r="BX27" i="1" s="1"/>
  <c r="IN7" i="4"/>
  <c r="IN19" i="4" s="1"/>
  <c r="BH78" i="1" s="1"/>
  <c r="BH107" i="1" s="1"/>
  <c r="IJ7" i="4"/>
  <c r="F26" i="1"/>
  <c r="M253" i="1"/>
  <c r="U26" i="1"/>
  <c r="AM253" i="1"/>
  <c r="K26" i="1"/>
  <c r="D26" i="1"/>
  <c r="J26" i="1"/>
  <c r="H10" i="1"/>
  <c r="V26" i="1"/>
  <c r="L10" i="1"/>
  <c r="W16" i="1"/>
  <c r="AM10" i="1"/>
  <c r="AM16" i="1" s="1"/>
  <c r="IK7" i="4"/>
  <c r="IK19" i="4" s="1"/>
  <c r="BE78" i="1" s="1"/>
  <c r="BE107" i="1" s="1"/>
  <c r="IK8" i="4"/>
  <c r="JD7" i="4"/>
  <c r="JD19" i="4" s="1"/>
  <c r="BX78" i="1" s="1"/>
  <c r="IX7" i="4"/>
  <c r="HX14" i="4"/>
  <c r="BY120" i="1"/>
  <c r="BZ207" i="1" s="1"/>
  <c r="II8" i="4"/>
  <c r="AJ26" i="1"/>
  <c r="IR21" i="4"/>
  <c r="BL77" i="1" s="1"/>
  <c r="BL94" i="1" s="1"/>
  <c r="B10" i="1"/>
  <c r="B16" i="1" s="1"/>
  <c r="P253" i="1"/>
  <c r="BX134" i="1"/>
  <c r="Q252" i="1"/>
  <c r="C26" i="1"/>
  <c r="BX252" i="1"/>
  <c r="BX161" i="1"/>
  <c r="W188" i="1"/>
  <c r="L26" i="1"/>
  <c r="P252" i="1"/>
  <c r="Q26" i="1"/>
  <c r="N26" i="1"/>
  <c r="I252" i="1"/>
  <c r="M26" i="1"/>
  <c r="IE8" i="4"/>
  <c r="IQ7" i="4"/>
  <c r="IS7" i="4"/>
  <c r="B26" i="1"/>
  <c r="U194" i="1"/>
  <c r="C10" i="1"/>
  <c r="N252" i="1"/>
  <c r="I10" i="1"/>
  <c r="B252" i="1"/>
  <c r="V188" i="1"/>
  <c r="B253" i="1"/>
  <c r="D10" i="1"/>
  <c r="Q253" i="1"/>
  <c r="D231" i="1"/>
  <c r="U98" i="1"/>
  <c r="O253" i="1"/>
  <c r="C253" i="1"/>
  <c r="V16" i="1"/>
  <c r="V17" i="1" s="1"/>
  <c r="U16" i="1"/>
  <c r="AM98" i="1"/>
  <c r="AM99" i="1" s="1"/>
  <c r="P231" i="1"/>
  <c r="S252" i="1"/>
  <c r="S253" i="1"/>
  <c r="X11" i="1"/>
  <c r="BX156" i="1"/>
  <c r="BX185" i="1" s="1"/>
  <c r="BX184" i="1" s="1"/>
  <c r="N10" i="1"/>
  <c r="S10" i="1"/>
  <c r="E10" i="1"/>
  <c r="X188" i="1"/>
  <c r="AL253" i="1"/>
  <c r="AJ183" i="1"/>
  <c r="BX128" i="1"/>
  <c r="L194" i="1"/>
  <c r="N253" i="1"/>
  <c r="BX120" i="1"/>
  <c r="BX92" i="1" s="1"/>
  <c r="BJ161" i="1"/>
  <c r="BK209" i="1" s="1"/>
  <c r="BJ134" i="1"/>
  <c r="BK128" i="1"/>
  <c r="BK117" i="1"/>
  <c r="BJ120" i="1"/>
  <c r="AJ161" i="1"/>
  <c r="AK209" i="1" s="1"/>
  <c r="BJ156" i="1"/>
  <c r="BJ185" i="1" s="1"/>
  <c r="BK149" i="1"/>
  <c r="BJ128" i="1"/>
  <c r="AJ128" i="1"/>
  <c r="AJ202" i="1"/>
  <c r="AI196" i="1"/>
  <c r="AI198" i="1" s="1"/>
  <c r="AJ134" i="1"/>
  <c r="AK33" i="1" s="1"/>
  <c r="AJ180" i="1"/>
  <c r="AK180" i="1" s="1"/>
  <c r="AK128" i="1"/>
  <c r="AJ120" i="1"/>
  <c r="AJ156" i="1"/>
  <c r="BK143" i="1"/>
  <c r="BJ148" i="1"/>
  <c r="CB94" i="1"/>
  <c r="CB102" i="1"/>
  <c r="CB85" i="1"/>
  <c r="IU20" i="4"/>
  <c r="BO79" i="1" s="1"/>
  <c r="BO108" i="1" s="1"/>
  <c r="IL19" i="4"/>
  <c r="BF78" i="1" s="1"/>
  <c r="BF107" i="1" s="1"/>
  <c r="HR20" i="4"/>
  <c r="AL79" i="1" s="1"/>
  <c r="JC20" i="4"/>
  <c r="BW79" i="1" s="1"/>
  <c r="BW108" i="1" s="1"/>
  <c r="IA19" i="4"/>
  <c r="AU78" i="1" s="1"/>
  <c r="AU107" i="1" s="1"/>
  <c r="IR19" i="4"/>
  <c r="BL78" i="1" s="1"/>
  <c r="IH20" i="4"/>
  <c r="BB79" i="1" s="1"/>
  <c r="BB108" i="1" s="1"/>
  <c r="JH19" i="4"/>
  <c r="CB78" i="1" s="1"/>
  <c r="IO20" i="4"/>
  <c r="BI79" i="1" s="1"/>
  <c r="BI108" i="1" s="1"/>
  <c r="IV19" i="4"/>
  <c r="BP78" i="1" s="1"/>
  <c r="BP107" i="1" s="1"/>
  <c r="IC20" i="4"/>
  <c r="AW79" i="1" s="1"/>
  <c r="AW108" i="1" s="1"/>
  <c r="HR19" i="4"/>
  <c r="AL78" i="1" s="1"/>
  <c r="JA20" i="4"/>
  <c r="BU79" i="1" s="1"/>
  <c r="BU108" i="1" s="1"/>
  <c r="IP20" i="4"/>
  <c r="BJ79" i="1" s="1"/>
  <c r="BJ108" i="1" s="1"/>
  <c r="IQ20" i="4"/>
  <c r="BK79" i="1" s="1"/>
  <c r="BK108" i="1" s="1"/>
  <c r="IY19" i="4"/>
  <c r="BS78" i="1" s="1"/>
  <c r="BS107" i="1" s="1"/>
  <c r="IW19" i="4"/>
  <c r="BQ78" i="1" s="1"/>
  <c r="BQ107" i="1" s="1"/>
  <c r="HY19" i="4"/>
  <c r="AS78" i="1" s="1"/>
  <c r="AS107" i="1" s="1"/>
  <c r="HW19" i="4"/>
  <c r="AQ78" i="1" s="1"/>
  <c r="AQ107" i="1" s="1"/>
  <c r="HS20" i="4"/>
  <c r="AM79" i="1" s="1"/>
  <c r="JB19" i="4"/>
  <c r="BV78" i="1" s="1"/>
  <c r="BV107" i="1" s="1"/>
  <c r="HW20" i="4"/>
  <c r="AQ79" i="1" s="1"/>
  <c r="AQ108" i="1" s="1"/>
  <c r="HU19" i="4"/>
  <c r="AO78" i="1" s="1"/>
  <c r="AO107" i="1" s="1"/>
  <c r="HQ19" i="4"/>
  <c r="AK78" i="1" s="1"/>
  <c r="IH19" i="4"/>
  <c r="BB78" i="1" s="1"/>
  <c r="BB107" i="1" s="1"/>
  <c r="AK202" i="1"/>
  <c r="BK202" i="1"/>
  <c r="CM32" i="1"/>
  <c r="AB77" i="1"/>
  <c r="CQ77" i="1"/>
  <c r="AC140" i="1"/>
  <c r="CN65" i="1"/>
  <c r="CO63" i="1"/>
  <c r="HT20" i="4" l="1"/>
  <c r="AN79" i="1" s="1"/>
  <c r="AN108" i="1" s="1"/>
  <c r="BX181" i="1"/>
  <c r="AL180" i="1"/>
  <c r="AM180" i="1" s="1"/>
  <c r="AJ148" i="1"/>
  <c r="B27" i="1"/>
  <c r="AM102" i="1"/>
  <c r="N11" i="1"/>
  <c r="BX94" i="1"/>
  <c r="AM128" i="1"/>
  <c r="AL161" i="1"/>
  <c r="AM209" i="1" s="1"/>
  <c r="AL134" i="1"/>
  <c r="AM134" i="1" s="1"/>
  <c r="AM138" i="1" s="1"/>
  <c r="AL156" i="1"/>
  <c r="AL185" i="1" s="1"/>
  <c r="AL184" i="1" s="1"/>
  <c r="AL120" i="1"/>
  <c r="AL128" i="1"/>
  <c r="ID20" i="4"/>
  <c r="AX79" i="1" s="1"/>
  <c r="AX108" i="1" s="1"/>
  <c r="R11" i="1"/>
  <c r="IS20" i="4"/>
  <c r="BM79" i="1" s="1"/>
  <c r="BM108" i="1" s="1"/>
  <c r="HQ20" i="4"/>
  <c r="AK79" i="1" s="1"/>
  <c r="CA94" i="1"/>
  <c r="IM20" i="4"/>
  <c r="BG79" i="1" s="1"/>
  <c r="BG108" i="1" s="1"/>
  <c r="HP19" i="4"/>
  <c r="AJ78" i="1" s="1"/>
  <c r="JF20" i="4"/>
  <c r="BZ79" i="1" s="1"/>
  <c r="CC102" i="1"/>
  <c r="CC94" i="1"/>
  <c r="P98" i="1"/>
  <c r="P16" i="1"/>
  <c r="P188" i="1"/>
  <c r="O16" i="1"/>
  <c r="O17" i="1" s="1"/>
  <c r="O98" i="1"/>
  <c r="R188" i="1"/>
  <c r="AL27" i="1"/>
  <c r="BY12" i="1"/>
  <c r="CB11" i="1"/>
  <c r="CC188" i="1"/>
  <c r="BX16" i="1"/>
  <c r="AL202" i="1"/>
  <c r="K98" i="1"/>
  <c r="K16" i="1"/>
  <c r="Q188" i="1"/>
  <c r="Q16" i="1"/>
  <c r="Q17" i="1" s="1"/>
  <c r="Q98" i="1"/>
  <c r="Q11" i="1"/>
  <c r="P11" i="1"/>
  <c r="BY202" i="1"/>
  <c r="IH21" i="4"/>
  <c r="BB77" i="1" s="1"/>
  <c r="IF9" i="4"/>
  <c r="IF21" i="4" s="1"/>
  <c r="AZ77" i="1" s="1"/>
  <c r="HU8" i="4" s="1"/>
  <c r="HZ21" i="4"/>
  <c r="AT77" i="1" s="1"/>
  <c r="HQ16" i="4" s="1"/>
  <c r="HQ21" i="4" s="1"/>
  <c r="AK77" i="1" s="1"/>
  <c r="ID16" i="4" s="1"/>
  <c r="ID21" i="4" s="1"/>
  <c r="AX77" i="1" s="1"/>
  <c r="HT16" i="4" s="1"/>
  <c r="HT21" i="4" s="1"/>
  <c r="AN77" i="1" s="1"/>
  <c r="IX15" i="4"/>
  <c r="IE21" i="4"/>
  <c r="AY77" i="1" s="1"/>
  <c r="IN9" i="4"/>
  <c r="IJ19" i="4"/>
  <c r="BD78" i="1" s="1"/>
  <c r="BD107" i="1" s="1"/>
  <c r="HS19" i="4"/>
  <c r="AM78" i="1" s="1"/>
  <c r="IZ20" i="4"/>
  <c r="BT79" i="1" s="1"/>
  <c r="BT108" i="1" s="1"/>
  <c r="AK27" i="1"/>
  <c r="IU19" i="4"/>
  <c r="BO78" i="1" s="1"/>
  <c r="BO107" i="1" s="1"/>
  <c r="IE20" i="4"/>
  <c r="AY79" i="1" s="1"/>
  <c r="AY108" i="1" s="1"/>
  <c r="IQ19" i="4"/>
  <c r="BK78" i="1" s="1"/>
  <c r="BK107" i="1" s="1"/>
  <c r="IS19" i="4"/>
  <c r="BM78" i="1" s="1"/>
  <c r="BM107" i="1" s="1"/>
  <c r="AM143" i="1"/>
  <c r="AL148" i="1"/>
  <c r="HX20" i="4"/>
  <c r="AR79" i="1" s="1"/>
  <c r="AR108" i="1" s="1"/>
  <c r="HP20" i="4"/>
  <c r="AJ79" i="1" s="1"/>
  <c r="IF19" i="4"/>
  <c r="AZ78" i="1" s="1"/>
  <c r="AZ107" i="1" s="1"/>
  <c r="IL20" i="4"/>
  <c r="BF79" i="1" s="1"/>
  <c r="BF108" i="1" s="1"/>
  <c r="M16" i="1"/>
  <c r="M17" i="1" s="1"/>
  <c r="II19" i="4"/>
  <c r="BC78" i="1" s="1"/>
  <c r="BC107" i="1" s="1"/>
  <c r="JG20" i="4"/>
  <c r="CA79" i="1" s="1"/>
  <c r="HV20" i="4"/>
  <c r="AP79" i="1" s="1"/>
  <c r="AP108" i="1" s="1"/>
  <c r="CA102" i="1"/>
  <c r="HY20" i="4"/>
  <c r="AS79" i="1" s="1"/>
  <c r="AS108" i="1" s="1"/>
  <c r="JI19" i="4"/>
  <c r="CC78" i="1" s="1"/>
  <c r="JB20" i="4"/>
  <c r="BV79" i="1" s="1"/>
  <c r="BV108" i="1" s="1"/>
  <c r="HT19" i="4"/>
  <c r="AN78" i="1" s="1"/>
  <c r="AN107" i="1" s="1"/>
  <c r="HZ19" i="4"/>
  <c r="AT78" i="1" s="1"/>
  <c r="AT107" i="1" s="1"/>
  <c r="IJ20" i="4"/>
  <c r="BD79" i="1" s="1"/>
  <c r="BD108" i="1" s="1"/>
  <c r="HV19" i="4"/>
  <c r="AP78" i="1" s="1"/>
  <c r="AP107" i="1" s="1"/>
  <c r="JH20" i="4"/>
  <c r="CB79" i="1" s="1"/>
  <c r="ID19" i="4"/>
  <c r="AX78" i="1" s="1"/>
  <c r="AX107" i="1" s="1"/>
  <c r="IV20" i="4"/>
  <c r="BP79" i="1" s="1"/>
  <c r="BP108" i="1" s="1"/>
  <c r="IZ19" i="4"/>
  <c r="BT78" i="1" s="1"/>
  <c r="BT107" i="1" s="1"/>
  <c r="IE19" i="4"/>
  <c r="AY78" i="1" s="1"/>
  <c r="AY107" i="1" s="1"/>
  <c r="IG19" i="4"/>
  <c r="BA78" i="1" s="1"/>
  <c r="BA107" i="1" s="1"/>
  <c r="IN20" i="4"/>
  <c r="BH79" i="1" s="1"/>
  <c r="BH108" i="1" s="1"/>
  <c r="IK20" i="4"/>
  <c r="BE79" i="1" s="1"/>
  <c r="BE108" i="1" s="1"/>
  <c r="AM27" i="1"/>
  <c r="JG19" i="4"/>
  <c r="CA78" i="1" s="1"/>
  <c r="R16" i="1"/>
  <c r="JD20" i="4"/>
  <c r="BX79" i="1" s="1"/>
  <c r="BX108" i="1" s="1"/>
  <c r="AL12" i="1"/>
  <c r="AK16" i="1"/>
  <c r="AJ27" i="1"/>
  <c r="F98" i="1"/>
  <c r="F16" i="1"/>
  <c r="F17" i="1" s="1"/>
  <c r="U11" i="1"/>
  <c r="T188" i="1"/>
  <c r="T16" i="1"/>
  <c r="U188" i="1"/>
  <c r="T11" i="1"/>
  <c r="T98" i="1"/>
  <c r="S98" i="1"/>
  <c r="S16" i="1"/>
  <c r="S17" i="1" s="1"/>
  <c r="S11" i="1"/>
  <c r="S188" i="1"/>
  <c r="E11" i="1"/>
  <c r="AL17" i="1"/>
  <c r="AL28" i="1"/>
  <c r="E16" i="1"/>
  <c r="E98" i="1"/>
  <c r="F188" i="1"/>
  <c r="F11" i="1"/>
  <c r="BX95" i="1"/>
  <c r="BY134" i="1"/>
  <c r="BY33" i="1"/>
  <c r="U17" i="1"/>
  <c r="V18" i="1"/>
  <c r="BJ184" i="1"/>
  <c r="K11" i="1"/>
  <c r="K188" i="1"/>
  <c r="J16" i="1"/>
  <c r="J98" i="1"/>
  <c r="G98" i="1"/>
  <c r="G16" i="1"/>
  <c r="G188" i="1"/>
  <c r="G11" i="1"/>
  <c r="BZ249" i="1"/>
  <c r="BZ251" i="1" s="1"/>
  <c r="BZ206" i="1"/>
  <c r="BZ205" i="1" s="1"/>
  <c r="AJ16" i="1"/>
  <c r="AK12" i="1"/>
  <c r="H16" i="1"/>
  <c r="H188" i="1"/>
  <c r="V27" i="1"/>
  <c r="V28" i="1"/>
  <c r="L16" i="1"/>
  <c r="L11" i="1"/>
  <c r="L188" i="1"/>
  <c r="W18" i="1"/>
  <c r="W17" i="1"/>
  <c r="W28" i="1"/>
  <c r="X18" i="1"/>
  <c r="AM19" i="1"/>
  <c r="AM17" i="1"/>
  <c r="AM28" i="1"/>
  <c r="B17" i="1"/>
  <c r="B28" i="1"/>
  <c r="BY209" i="1"/>
  <c r="BX248" i="1"/>
  <c r="C16" i="1"/>
  <c r="C188" i="1"/>
  <c r="C11" i="1"/>
  <c r="I16" i="1"/>
  <c r="I188" i="1"/>
  <c r="J11" i="1"/>
  <c r="I11" i="1"/>
  <c r="BY129" i="1"/>
  <c r="BY207" i="1"/>
  <c r="BY92" i="1"/>
  <c r="BY249" i="1"/>
  <c r="II20" i="4"/>
  <c r="BC79" i="1" s="1"/>
  <c r="BC108" i="1" s="1"/>
  <c r="E188" i="1"/>
  <c r="D27" i="1"/>
  <c r="J188" i="1"/>
  <c r="AM225" i="1"/>
  <c r="I98" i="1"/>
  <c r="M188" i="1"/>
  <c r="C27" i="1"/>
  <c r="L98" i="1"/>
  <c r="M11" i="1"/>
  <c r="AM12" i="1"/>
  <c r="H11" i="1"/>
  <c r="H98" i="1"/>
  <c r="O188" i="1"/>
  <c r="BX138" i="1"/>
  <c r="N16" i="1"/>
  <c r="N18" i="1" s="1"/>
  <c r="BX186" i="1"/>
  <c r="CB189" i="1" s="1"/>
  <c r="O11" i="1"/>
  <c r="N98" i="1"/>
  <c r="BX157" i="1"/>
  <c r="D16" i="1"/>
  <c r="D28" i="1" s="1"/>
  <c r="BX129" i="1"/>
  <c r="D11" i="1"/>
  <c r="D188" i="1"/>
  <c r="N188" i="1"/>
  <c r="BX168" i="1"/>
  <c r="BK249" i="1"/>
  <c r="AJ12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E27" i="1"/>
  <c r="BY206" i="1"/>
  <c r="AK206" i="1"/>
  <c r="BK134" i="1"/>
  <c r="BJ138" i="1"/>
  <c r="BJ246" i="1" s="1"/>
  <c r="BL206" i="1"/>
  <c r="BL249" i="1"/>
  <c r="BJ92" i="1"/>
  <c r="BJ248" i="1"/>
  <c r="AJ168" i="1"/>
  <c r="AK37" i="1" s="1"/>
  <c r="AJ206" i="1"/>
  <c r="AJ197" i="1"/>
  <c r="AJ185" i="1"/>
  <c r="AK134" i="1"/>
  <c r="BJ129" i="1"/>
  <c r="BJ168" i="1"/>
  <c r="BJ109" i="1" s="1"/>
  <c r="AJ138" i="1"/>
  <c r="BK206" i="1"/>
  <c r="BJ182" i="1"/>
  <c r="BJ157" i="1"/>
  <c r="AL108" i="1"/>
  <c r="AM103" i="1"/>
  <c r="AM107" i="1"/>
  <c r="L17" i="1"/>
  <c r="M18" i="1"/>
  <c r="AM108" i="1"/>
  <c r="AM104" i="1"/>
  <c r="BX89" i="1"/>
  <c r="BX107" i="1"/>
  <c r="BL107" i="1"/>
  <c r="BL110" i="1" s="1"/>
  <c r="BL95" i="1"/>
  <c r="CB86" i="1"/>
  <c r="CB103" i="1"/>
  <c r="CB95" i="1"/>
  <c r="CB107" i="1"/>
  <c r="CB110" i="1" s="1"/>
  <c r="CB113" i="1" s="1"/>
  <c r="CC96" i="1"/>
  <c r="CC104" i="1"/>
  <c r="CC108" i="1"/>
  <c r="AL107" i="1"/>
  <c r="CB96" i="1"/>
  <c r="CB108" i="1"/>
  <c r="CB111" i="1" s="1"/>
  <c r="CB114" i="1" s="1"/>
  <c r="CC87" i="1"/>
  <c r="R17" i="1"/>
  <c r="BX96" i="1"/>
  <c r="CB104" i="1"/>
  <c r="BL108" i="1"/>
  <c r="BL111" i="1" s="1"/>
  <c r="CB87" i="1"/>
  <c r="CA103" i="1"/>
  <c r="CA107" i="1"/>
  <c r="CA95" i="1"/>
  <c r="BY107" i="1"/>
  <c r="BY89" i="1"/>
  <c r="BX109" i="1"/>
  <c r="BY37" i="1"/>
  <c r="AL19" i="1"/>
  <c r="AK28" i="1"/>
  <c r="AK17" i="1"/>
  <c r="E28" i="1"/>
  <c r="E29" i="1" s="1"/>
  <c r="F18" i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J157" i="1" l="1"/>
  <c r="AJ165" i="1" s="1"/>
  <c r="AJ166" i="1" s="1"/>
  <c r="AJ196" i="1"/>
  <c r="AJ182" i="1"/>
  <c r="AK19" i="1"/>
  <c r="I17" i="1"/>
  <c r="CA96" i="1"/>
  <c r="CA108" i="1"/>
  <c r="CA104" i="1"/>
  <c r="N17" i="1"/>
  <c r="CC95" i="1"/>
  <c r="CC107" i="1"/>
  <c r="CC103" i="1"/>
  <c r="CC86" i="1"/>
  <c r="CF90" i="1" s="1"/>
  <c r="C18" i="1"/>
  <c r="C28" i="1"/>
  <c r="C17" i="1"/>
  <c r="BY94" i="1"/>
  <c r="BY95" i="1"/>
  <c r="BY96" i="1"/>
  <c r="BZ108" i="1"/>
  <c r="BZ111" i="1" s="1"/>
  <c r="BZ96" i="1"/>
  <c r="P17" i="1"/>
  <c r="AM249" i="1"/>
  <c r="AM33" i="1"/>
  <c r="AL138" i="1"/>
  <c r="AL92" i="1"/>
  <c r="AL96" i="1" s="1"/>
  <c r="AL248" i="1"/>
  <c r="AL206" i="1"/>
  <c r="AM206" i="1"/>
  <c r="AL168" i="1"/>
  <c r="AL249" i="1"/>
  <c r="AL129" i="1"/>
  <c r="S18" i="1"/>
  <c r="T18" i="1"/>
  <c r="U18" i="1"/>
  <c r="T17" i="1"/>
  <c r="O18" i="1"/>
  <c r="P18" i="1"/>
  <c r="CB18" i="1"/>
  <c r="R18" i="1"/>
  <c r="K17" i="1"/>
  <c r="AL182" i="1"/>
  <c r="AL157" i="1"/>
  <c r="BX17" i="1"/>
  <c r="BY19" i="1"/>
  <c r="Q18" i="1"/>
  <c r="L18" i="1"/>
  <c r="BX28" i="1"/>
  <c r="HU20" i="4"/>
  <c r="AO79" i="1" s="1"/>
  <c r="AO108" i="1" s="1"/>
  <c r="JB16" i="4"/>
  <c r="IX20" i="4"/>
  <c r="BR79" i="1" s="1"/>
  <c r="BR108" i="1" s="1"/>
  <c r="HZ8" i="4"/>
  <c r="IN21" i="4"/>
  <c r="BH77" i="1" s="1"/>
  <c r="IP16" i="4"/>
  <c r="AL232" i="1"/>
  <c r="AL233" i="1" s="1"/>
  <c r="AL34" i="1"/>
  <c r="AL38" i="1" s="1"/>
  <c r="AM31" i="1"/>
  <c r="AL29" i="1"/>
  <c r="BY138" i="1"/>
  <c r="BZ33" i="1"/>
  <c r="J17" i="1"/>
  <c r="K18" i="1"/>
  <c r="J18" i="1"/>
  <c r="G17" i="1"/>
  <c r="H18" i="1"/>
  <c r="G18" i="1"/>
  <c r="H17" i="1"/>
  <c r="I18" i="1"/>
  <c r="AM34" i="1"/>
  <c r="AM38" i="1" s="1"/>
  <c r="AM29" i="1"/>
  <c r="AM232" i="1"/>
  <c r="AM233" i="1" s="1"/>
  <c r="AM250" i="1"/>
  <c r="V34" i="1"/>
  <c r="V38" i="1" s="1"/>
  <c r="W30" i="1"/>
  <c r="X250" i="1"/>
  <c r="W29" i="1"/>
  <c r="X30" i="1"/>
  <c r="W34" i="1"/>
  <c r="W38" i="1" s="1"/>
  <c r="W112" i="1"/>
  <c r="W232" i="1"/>
  <c r="W233" i="1" s="1"/>
  <c r="W250" i="1"/>
  <c r="AJ28" i="1"/>
  <c r="AJ17" i="1"/>
  <c r="BY205" i="1"/>
  <c r="V112" i="1"/>
  <c r="V232" i="1"/>
  <c r="V233" i="1" s="1"/>
  <c r="V29" i="1"/>
  <c r="B29" i="1"/>
  <c r="B112" i="1"/>
  <c r="BX246" i="1"/>
  <c r="BX165" i="1"/>
  <c r="BX166" i="1" s="1"/>
  <c r="D17" i="1"/>
  <c r="D18" i="1"/>
  <c r="E18" i="1"/>
  <c r="BL33" i="1"/>
  <c r="BK138" i="1"/>
  <c r="BL203" i="1" s="1"/>
  <c r="BL201" i="1" s="1"/>
  <c r="BJ95" i="1"/>
  <c r="BJ96" i="1"/>
  <c r="AK138" i="1"/>
  <c r="AL33" i="1"/>
  <c r="BJ110" i="1"/>
  <c r="BJ111" i="1"/>
  <c r="AJ203" i="1"/>
  <c r="AJ201" i="1" s="1"/>
  <c r="BJ186" i="1"/>
  <c r="BJ181" i="1"/>
  <c r="AL250" i="1"/>
  <c r="BX110" i="1"/>
  <c r="BX111" i="1"/>
  <c r="D29" i="1"/>
  <c r="D34" i="1"/>
  <c r="D38" i="1" s="1"/>
  <c r="D232" i="1"/>
  <c r="D233" i="1" s="1"/>
  <c r="E30" i="1"/>
  <c r="D112" i="1"/>
  <c r="AK232" i="1"/>
  <c r="AK233" i="1" s="1"/>
  <c r="AL31" i="1"/>
  <c r="AK29" i="1"/>
  <c r="AK34" i="1"/>
  <c r="AK3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198" i="1" l="1"/>
  <c r="AM251" i="1"/>
  <c r="AM203" i="1"/>
  <c r="AM201" i="1" s="1"/>
  <c r="AL246" i="1"/>
  <c r="CE90" i="1"/>
  <c r="D250" i="1"/>
  <c r="C250" i="1"/>
  <c r="C29" i="1"/>
  <c r="D30" i="1"/>
  <c r="C30" i="1"/>
  <c r="AL94" i="1"/>
  <c r="AL95" i="1"/>
  <c r="AL109" i="1"/>
  <c r="AM37" i="1"/>
  <c r="AL181" i="1"/>
  <c r="AL186" i="1"/>
  <c r="AL251" i="1"/>
  <c r="BX29" i="1"/>
  <c r="BX34" i="1"/>
  <c r="CB30" i="1"/>
  <c r="CA112" i="1"/>
  <c r="BX232" i="1"/>
  <c r="BX233" i="1" s="1"/>
  <c r="BY31" i="1"/>
  <c r="BY250" i="1"/>
  <c r="BY251" i="1" s="1"/>
  <c r="AL165" i="1"/>
  <c r="AL166" i="1" s="1"/>
  <c r="JB21" i="4"/>
  <c r="BV77" i="1" s="1"/>
  <c r="IP9" i="4"/>
  <c r="HZ20" i="4"/>
  <c r="AT79" i="1" s="1"/>
  <c r="AT108" i="1" s="1"/>
  <c r="HX7" i="4"/>
  <c r="HX19" i="4" s="1"/>
  <c r="AR78" i="1" s="1"/>
  <c r="AR107" i="1" s="1"/>
  <c r="BY203" i="1"/>
  <c r="BY201" i="1" s="1"/>
  <c r="BZ203" i="1"/>
  <c r="BZ201" i="1" s="1"/>
  <c r="AL41" i="1"/>
  <c r="AL40" i="1"/>
  <c r="AM41" i="1"/>
  <c r="AM42" i="1" s="1"/>
  <c r="AM245" i="1" s="1"/>
  <c r="AM40" i="1"/>
  <c r="V41" i="1"/>
  <c r="V40" i="1"/>
  <c r="W41" i="1"/>
  <c r="W40" i="1"/>
  <c r="AM226" i="1"/>
  <c r="AM112" i="1"/>
  <c r="AK31" i="1"/>
  <c r="AJ232" i="1"/>
  <c r="AJ233" i="1" s="1"/>
  <c r="AJ34" i="1"/>
  <c r="AJ38" i="1" s="1"/>
  <c r="AJ29" i="1"/>
  <c r="AK203" i="1"/>
  <c r="AK201" i="1" s="1"/>
  <c r="AL203" i="1"/>
  <c r="AL201" i="1" s="1"/>
  <c r="AK41" i="1"/>
  <c r="AK40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X38" i="1" l="1"/>
  <c r="CA55" i="1"/>
  <c r="AL110" i="1"/>
  <c r="AL111" i="1"/>
  <c r="IP21" i="4"/>
  <c r="BJ77" i="1" s="1"/>
  <c r="BJ94" i="1" s="1"/>
  <c r="JF14" i="4"/>
  <c r="JF19" i="4" s="1"/>
  <c r="BZ78" i="1" s="1"/>
  <c r="V42" i="1"/>
  <c r="V245" i="1" s="1"/>
  <c r="V48" i="1"/>
  <c r="AL234" i="1"/>
  <c r="AM44" i="1"/>
  <c r="AL48" i="1"/>
  <c r="AL42" i="1"/>
  <c r="AL245" i="1" s="1"/>
  <c r="W48" i="1"/>
  <c r="W52" i="1" s="1"/>
  <c r="W234" i="1"/>
  <c r="W42" i="1"/>
  <c r="W245" i="1" s="1"/>
  <c r="W43" i="1"/>
  <c r="X43" i="1"/>
  <c r="AJ40" i="1"/>
  <c r="AJ41" i="1"/>
  <c r="AK234" i="1"/>
  <c r="AK48" i="1"/>
  <c r="AK119" i="1" s="1"/>
  <c r="AK120" i="1" s="1"/>
  <c r="AK129" i="1" s="1"/>
  <c r="AK42" i="1"/>
  <c r="AL44" i="1"/>
  <c r="AL193" i="1"/>
  <c r="AL195" i="1" s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Z95" i="1" l="1"/>
  <c r="BZ107" i="1"/>
  <c r="BZ110" i="1" s="1"/>
  <c r="BZ89" i="1"/>
  <c r="AL66" i="1"/>
  <c r="AL52" i="1"/>
  <c r="AK44" i="1"/>
  <c r="AM227" i="1"/>
  <c r="AJ234" i="1"/>
  <c r="AJ48" i="1"/>
  <c r="AJ42" i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66" i="1" l="1"/>
  <c r="AJ52" i="1"/>
  <c r="AJ207" i="1"/>
  <c r="AJ205" i="1" s="1"/>
  <c r="AJ193" i="1"/>
  <c r="AJ195" i="1" s="1"/>
  <c r="AJ199" i="1" s="1"/>
  <c r="AJ213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210" i="1" l="1"/>
  <c r="AJ211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97" i="2"/>
  <c r="W47" i="2"/>
  <c r="R58" i="2"/>
  <c r="K60" i="2"/>
  <c r="X82" i="2"/>
  <c r="T107" i="2"/>
  <c r="O72" i="2"/>
  <c r="R82" i="2"/>
  <c r="F51" i="2"/>
  <c r="E111" i="2"/>
  <c r="P108" i="2"/>
  <c r="W67" i="2"/>
  <c r="N53" i="2"/>
  <c r="L98" i="2"/>
  <c r="V41" i="2"/>
  <c r="J44" i="2"/>
  <c r="O55" i="2"/>
  <c r="M79" i="2"/>
  <c r="M70" i="2"/>
  <c r="M109" i="2"/>
  <c r="J48" i="2"/>
  <c r="C83" i="2"/>
  <c r="X111" i="2"/>
  <c r="K78" i="2"/>
  <c r="E113" i="2"/>
  <c r="J96" i="2"/>
  <c r="U43" i="2"/>
  <c r="X97" i="2"/>
  <c r="N54" i="2"/>
  <c r="T74" i="2"/>
  <c r="P48" i="2"/>
  <c r="N46" i="2"/>
  <c r="T70" i="2"/>
  <c r="P77" i="2"/>
  <c r="V45" i="2"/>
  <c r="X109" i="2"/>
  <c r="E78" i="2"/>
  <c r="M111" i="2"/>
  <c r="X68" i="2"/>
  <c r="L109" i="2"/>
  <c r="S98" i="2"/>
  <c r="F88" i="2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H105" i="2"/>
  <c r="H70" i="2"/>
  <c r="O105" i="2"/>
  <c r="F72" i="2"/>
  <c r="X113" i="2"/>
  <c r="S84" i="2"/>
  <c r="K70" i="2"/>
  <c r="F48" i="2"/>
  <c r="V94" i="2"/>
  <c r="I99" i="2"/>
  <c r="W80" i="2"/>
  <c r="W51" i="2"/>
  <c r="E98" i="2"/>
  <c r="J70" i="2"/>
  <c r="K81" i="2"/>
  <c r="R72" i="2"/>
  <c r="N99" i="2"/>
  <c r="C52" i="2"/>
  <c r="C77" i="2"/>
  <c r="D104" i="2"/>
  <c r="S113" i="2"/>
  <c r="F58" i="2"/>
  <c r="H108" i="2"/>
  <c r="W45" i="2"/>
  <c r="V59" i="2"/>
  <c r="T109" i="2"/>
  <c r="T52" i="2"/>
  <c r="N71" i="2"/>
  <c r="D68" i="2"/>
  <c r="S111" i="2"/>
  <c r="J45" i="2"/>
  <c r="R59" i="2"/>
  <c r="G76" i="2"/>
  <c r="I40" i="2"/>
  <c r="W52" i="2"/>
  <c r="P92" i="2"/>
  <c r="R50" i="2"/>
  <c r="C108" i="2"/>
  <c r="V83" i="2"/>
  <c r="M42" i="2"/>
  <c r="R60" i="2"/>
  <c r="AB65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O71" i="2"/>
  <c r="U58" i="2"/>
  <c r="R88" i="2"/>
  <c r="X44" i="2"/>
  <c r="C64" i="2"/>
  <c r="W94" i="2"/>
  <c r="V89" i="2"/>
  <c r="S49" i="2"/>
  <c r="O46" i="2"/>
  <c r="J76" i="2"/>
  <c r="X89" i="2"/>
  <c r="M112" i="2"/>
  <c r="J40" i="2"/>
  <c r="X55" i="2"/>
  <c r="E50" i="2"/>
  <c r="O65" i="2"/>
  <c r="X107" i="2"/>
  <c r="Q107" i="2"/>
  <c r="I45" i="2"/>
  <c r="E74" i="2"/>
  <c r="H42" i="2"/>
  <c r="C104" i="2"/>
  <c r="W110" i="2"/>
  <c r="H106" i="2"/>
  <c r="H58" i="2"/>
  <c r="I110" i="2"/>
  <c r="O91" i="2"/>
  <c r="P57" i="2"/>
  <c r="G94" i="2"/>
  <c r="I88" i="2"/>
  <c r="S58" i="2"/>
  <c r="Q44" i="2"/>
  <c r="E48" i="2"/>
  <c r="H77" i="2"/>
  <c r="N55" i="2"/>
  <c r="H76" i="2"/>
  <c r="C95" i="2"/>
  <c r="N57" i="2"/>
  <c r="F82" i="2"/>
  <c r="E96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L72" i="2"/>
  <c r="C98" i="2"/>
  <c r="W99" i="2"/>
  <c r="V113" i="2"/>
  <c r="R77" i="2"/>
  <c r="W109" i="2"/>
  <c r="I47" i="2"/>
  <c r="M94" i="2"/>
  <c r="V76" i="2"/>
  <c r="C60" i="2"/>
  <c r="C107" i="2"/>
  <c r="V99" i="2"/>
  <c r="T41" i="2"/>
  <c r="Q75" i="2"/>
  <c r="X76" i="2"/>
  <c r="E72" i="2"/>
  <c r="O112" i="2"/>
  <c r="W53" i="2"/>
  <c r="L64" i="2"/>
  <c r="D59" i="2"/>
  <c r="N79" i="2"/>
  <c r="R43" i="2"/>
  <c r="P58" i="2"/>
  <c r="Q72" i="2"/>
  <c r="T112" i="2"/>
  <c r="H63" i="2"/>
  <c r="E97" i="2"/>
  <c r="P52" i="2"/>
  <c r="E65" i="2"/>
  <c r="Q68" i="2"/>
  <c r="I107" i="2"/>
  <c r="E67" i="2"/>
  <c r="D76" i="2"/>
  <c r="L62" i="2"/>
  <c r="J99" i="2"/>
  <c r="R49" i="2"/>
  <c r="O96" i="2"/>
  <c r="X51" i="2"/>
  <c r="N62" i="2"/>
  <c r="J73" i="2"/>
  <c r="U95" i="2"/>
  <c r="J105" i="2"/>
  <c r="L96" i="2"/>
  <c r="M58" i="2"/>
  <c r="K92" i="2"/>
  <c r="E56" i="2"/>
  <c r="K71" i="2"/>
  <c r="R71" i="2"/>
  <c r="E40" i="2"/>
  <c r="R73" i="2"/>
  <c r="M51" i="2"/>
  <c r="M68" i="2"/>
  <c r="V77" i="2"/>
  <c r="R45" i="2"/>
  <c r="L106" i="2"/>
  <c r="S90" i="2"/>
  <c r="J90" i="2"/>
  <c r="L42" i="2"/>
  <c r="U70" i="2"/>
  <c r="G64" i="2"/>
  <c r="J95" i="2"/>
  <c r="N70" i="2"/>
  <c r="K106" i="2"/>
  <c r="I79" i="2"/>
  <c r="W96" i="2"/>
  <c r="D107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H53" i="2"/>
  <c r="L43" i="2"/>
  <c r="F92" i="2"/>
  <c r="I96" i="2"/>
  <c r="I72" i="2"/>
  <c r="H50" i="2"/>
  <c r="K98" i="2"/>
  <c r="W55" i="2"/>
  <c r="W61" i="2"/>
  <c r="I97" i="2"/>
  <c r="D87" i="2"/>
  <c r="K84" i="2"/>
  <c r="E68" i="2"/>
  <c r="G88" i="2"/>
  <c r="V112" i="2"/>
  <c r="E91" i="2"/>
  <c r="N69" i="2"/>
  <c r="U46" i="2"/>
  <c r="V81" i="2"/>
  <c r="Q42" i="2"/>
  <c r="N49" i="2"/>
  <c r="X87" i="2"/>
  <c r="I81" i="2"/>
  <c r="C44" i="2"/>
  <c r="K46" i="2"/>
  <c r="V68" i="2"/>
  <c r="D56" i="2"/>
  <c r="X104" i="2"/>
  <c r="H90" i="2"/>
  <c r="J60" i="2"/>
  <c r="T105" i="2"/>
  <c r="N67" i="2"/>
  <c r="U85" i="2"/>
  <c r="I44" i="2"/>
  <c r="G69" i="2"/>
  <c r="F81" i="2"/>
  <c r="H59" i="2"/>
  <c r="I73" i="2"/>
  <c r="K111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O92" i="3" s="1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X90" i="3" s="1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L91" i="2"/>
  <c r="X46" i="2"/>
  <c r="N104" i="2"/>
  <c r="N76" i="2"/>
  <c r="Q106" i="2"/>
  <c r="K109" i="2"/>
  <c r="U67" i="2"/>
  <c r="H111" i="2"/>
  <c r="H79" i="2"/>
  <c r="M41" i="2"/>
  <c r="R113" i="2"/>
  <c r="F44" i="2"/>
  <c r="T82" i="2"/>
  <c r="F43" i="2"/>
  <c r="F107" i="2"/>
  <c r="H69" i="2"/>
  <c r="M72" i="2"/>
  <c r="U69" i="2"/>
  <c r="U59" i="2"/>
  <c r="I55" i="2"/>
  <c r="H67" i="2"/>
  <c r="T91" i="2"/>
  <c r="T96" i="2"/>
  <c r="O52" i="2"/>
  <c r="C78" i="2"/>
  <c r="R107" i="2"/>
  <c r="U110" i="2"/>
  <c r="G67" i="2"/>
  <c r="I75" i="2"/>
  <c r="P74" i="2"/>
  <c r="T58" i="2"/>
  <c r="C51" i="2"/>
  <c r="N63" i="2"/>
  <c r="K58" i="2"/>
  <c r="H109" i="2"/>
  <c r="K64" i="2"/>
  <c r="U65" i="2"/>
  <c r="S64" i="2"/>
  <c r="O47" i="2"/>
  <c r="F69" i="2"/>
  <c r="U113" i="2"/>
  <c r="AB68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AH84" i="3" s="1"/>
  <c r="K7" i="3"/>
  <c r="D47" i="3"/>
  <c r="AO42" i="3"/>
  <c r="AB32" i="3"/>
  <c r="V14" i="3"/>
  <c r="I32" i="3"/>
  <c r="AN26" i="3"/>
  <c r="V36" i="3"/>
  <c r="AK25" i="3"/>
  <c r="P14" i="3"/>
  <c r="K22" i="3"/>
  <c r="L113" i="2"/>
  <c r="H95" i="2"/>
  <c r="S108" i="2"/>
  <c r="F109" i="2"/>
  <c r="U55" i="2"/>
  <c r="F68" i="2"/>
  <c r="W66" i="2"/>
  <c r="E71" i="2"/>
  <c r="K66" i="2"/>
  <c r="W69" i="2"/>
  <c r="Q79" i="2"/>
  <c r="C82" i="2"/>
  <c r="H71" i="2"/>
  <c r="O92" i="2"/>
  <c r="R76" i="2"/>
  <c r="K40" i="2"/>
  <c r="V93" i="2"/>
  <c r="N113" i="2"/>
  <c r="E59" i="2"/>
  <c r="G56" i="2"/>
  <c r="P93" i="2"/>
  <c r="X91" i="2"/>
  <c r="J49" i="2"/>
  <c r="M63" i="2"/>
  <c r="D40" i="2"/>
  <c r="U86" i="2"/>
  <c r="S65" i="2"/>
  <c r="V97" i="2"/>
  <c r="O70" i="2"/>
  <c r="E112" i="2"/>
  <c r="D41" i="2"/>
  <c r="K77" i="2"/>
  <c r="U107" i="2"/>
  <c r="Q51" i="2"/>
  <c r="H93" i="2"/>
  <c r="J67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N64" i="3" s="1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Q52" i="2"/>
  <c r="O42" i="2"/>
  <c r="P78" i="2"/>
  <c r="V86" i="2"/>
  <c r="J108" i="2"/>
  <c r="N80" i="2"/>
  <c r="G95" i="2"/>
  <c r="U83" i="2"/>
  <c r="D74" i="2"/>
  <c r="R111" i="2"/>
  <c r="X67" i="2"/>
  <c r="C106" i="2"/>
  <c r="U77" i="2"/>
  <c r="O99" i="2"/>
  <c r="U89" i="2"/>
  <c r="X56" i="2"/>
  <c r="E88" i="2"/>
  <c r="D60" i="2"/>
  <c r="M75" i="2"/>
  <c r="C90" i="2"/>
  <c r="S47" i="2"/>
  <c r="H68" i="2"/>
  <c r="X53" i="2"/>
  <c r="Q98" i="2"/>
  <c r="I51" i="2"/>
  <c r="Q50" i="2"/>
  <c r="I69" i="2"/>
  <c r="D75" i="2"/>
  <c r="F59" i="2"/>
  <c r="G86" i="2"/>
  <c r="C66" i="2"/>
  <c r="G70" i="2"/>
  <c r="D113" i="2"/>
  <c r="F62" i="2"/>
  <c r="O50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L84" i="3" s="1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AA81" i="3" s="1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S78" i="2"/>
  <c r="G61" i="2"/>
  <c r="O58" i="2"/>
  <c r="D52" i="2"/>
  <c r="L111" i="2"/>
  <c r="V111" i="2"/>
  <c r="E69" i="2"/>
  <c r="G91" i="2"/>
  <c r="S107" i="2"/>
  <c r="J89" i="2"/>
  <c r="D46" i="2"/>
  <c r="S72" i="2"/>
  <c r="P44" i="2"/>
  <c r="T83" i="2"/>
  <c r="G105" i="2"/>
  <c r="O93" i="2"/>
  <c r="J69" i="2"/>
  <c r="K89" i="2"/>
  <c r="X48" i="2"/>
  <c r="U93" i="2"/>
  <c r="O79" i="2"/>
  <c r="K112" i="2"/>
  <c r="F98" i="2"/>
  <c r="D67" i="2"/>
  <c r="S56" i="2"/>
  <c r="I105" i="2"/>
  <c r="F77" i="2"/>
  <c r="F45" i="2"/>
  <c r="F66" i="2"/>
  <c r="X78" i="2"/>
  <c r="T57" i="2"/>
  <c r="G79" i="2"/>
  <c r="Q73" i="2"/>
  <c r="G62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P87" i="2"/>
  <c r="M99" i="2"/>
  <c r="H41" i="2"/>
  <c r="U78" i="2"/>
  <c r="E99" i="2"/>
  <c r="X110" i="2"/>
  <c r="C55" i="2"/>
  <c r="H72" i="2"/>
  <c r="O86" i="2"/>
  <c r="V69" i="2"/>
  <c r="S71" i="2"/>
  <c r="U90" i="2"/>
  <c r="V63" i="2"/>
  <c r="O60" i="2"/>
  <c r="C54" i="2"/>
  <c r="G63" i="2"/>
  <c r="N42" i="2"/>
  <c r="C93" i="2"/>
  <c r="U106" i="2"/>
  <c r="P86" i="2"/>
  <c r="S83" i="2"/>
  <c r="S59" i="2"/>
  <c r="C40" i="2"/>
  <c r="Q60" i="2"/>
  <c r="F85" i="2"/>
  <c r="J51" i="2"/>
  <c r="N110" i="2"/>
  <c r="P110" i="2"/>
  <c r="R104" i="2"/>
  <c r="K83" i="2"/>
  <c r="E87" i="2"/>
  <c r="N44" i="2"/>
  <c r="J98" i="2"/>
  <c r="X112" i="2"/>
  <c r="S66" i="2"/>
  <c r="G60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V52" i="2"/>
  <c r="D112" i="2"/>
  <c r="W86" i="2"/>
  <c r="G55" i="2"/>
  <c r="L105" i="2"/>
  <c r="AP71" i="3"/>
  <c r="K13" i="3"/>
  <c r="R24" i="3"/>
  <c r="O28" i="3"/>
  <c r="L11" i="3"/>
  <c r="AE14" i="3"/>
  <c r="AE39" i="3"/>
  <c r="AC42" i="3"/>
  <c r="AA42" i="3"/>
  <c r="N20" i="3"/>
  <c r="T22" i="3"/>
  <c r="C42" i="3"/>
  <c r="O11" i="3"/>
  <c r="AC17" i="3"/>
  <c r="AM20" i="3"/>
  <c r="AG18" i="3"/>
  <c r="W35" i="3"/>
  <c r="AP18" i="3"/>
  <c r="AQ42" i="3"/>
  <c r="P40" i="3"/>
  <c r="AC31" i="3"/>
  <c r="V32" i="3"/>
  <c r="Z40" i="3"/>
  <c r="AP39" i="3"/>
  <c r="V30" i="3"/>
  <c r="AB36" i="3"/>
  <c r="AO18" i="3"/>
  <c r="I20" i="3"/>
  <c r="C20" i="3"/>
  <c r="T20" i="3"/>
  <c r="X17" i="3"/>
  <c r="U18" i="3"/>
  <c r="T9" i="3"/>
  <c r="L12" i="3"/>
  <c r="AG33" i="3"/>
  <c r="AH38" i="3"/>
  <c r="K31" i="3"/>
  <c r="J28" i="3"/>
  <c r="AQ35" i="3"/>
  <c r="Z39" i="3"/>
  <c r="AI40" i="3"/>
  <c r="AI29" i="3"/>
  <c r="M19" i="3"/>
  <c r="R11" i="3"/>
  <c r="Z14" i="3"/>
  <c r="AQ34" i="3"/>
  <c r="T15" i="3"/>
  <c r="AA28" i="3"/>
  <c r="S20" i="3"/>
  <c r="P12" i="3"/>
  <c r="J22" i="3"/>
  <c r="L21" i="3"/>
  <c r="AK15" i="3"/>
  <c r="K16" i="3"/>
  <c r="V23" i="3"/>
  <c r="C76" i="2"/>
  <c r="I43" i="2"/>
  <c r="O67" i="2"/>
  <c r="O66" i="2"/>
  <c r="D42" i="2"/>
  <c r="AP57" i="3"/>
  <c r="AL33" i="3"/>
  <c r="Z6" i="3"/>
  <c r="W33" i="3"/>
  <c r="U19" i="3"/>
  <c r="AJ41" i="3"/>
  <c r="AM21" i="3"/>
  <c r="AC36" i="3"/>
  <c r="M13" i="3"/>
  <c r="Y19" i="3"/>
  <c r="R20" i="3"/>
  <c r="O24" i="3"/>
  <c r="L26" i="3"/>
  <c r="I7" i="3"/>
  <c r="M6" i="3"/>
  <c r="AQ22" i="3"/>
  <c r="AO29" i="3"/>
  <c r="O27" i="3"/>
  <c r="AK10" i="3"/>
  <c r="V13" i="3"/>
  <c r="T21" i="3"/>
  <c r="P11" i="3"/>
  <c r="M8" i="3"/>
  <c r="S39" i="3"/>
  <c r="U14" i="3"/>
  <c r="X40" i="3"/>
  <c r="Q30" i="3"/>
  <c r="Q6" i="3"/>
  <c r="Z32" i="3"/>
  <c r="P37" i="3"/>
  <c r="AL18" i="3"/>
  <c r="S29" i="3"/>
  <c r="R34" i="3"/>
  <c r="K30" i="3"/>
  <c r="M42" i="3"/>
  <c r="AK32" i="3"/>
  <c r="Z5" i="3"/>
  <c r="AC30" i="3"/>
  <c r="R22" i="3"/>
  <c r="W25" i="3"/>
  <c r="H31" i="3"/>
  <c r="AQ10" i="3"/>
  <c r="AG14" i="3"/>
  <c r="R5" i="3"/>
  <c r="I31" i="3"/>
  <c r="AM6" i="3"/>
  <c r="R19" i="3"/>
  <c r="AM27" i="3"/>
  <c r="AE40" i="3"/>
  <c r="M14" i="3"/>
  <c r="AN15" i="3"/>
  <c r="S28" i="3"/>
  <c r="AA38" i="3"/>
  <c r="AE12" i="3"/>
  <c r="I5" i="3"/>
  <c r="AI14" i="3"/>
  <c r="K26" i="3"/>
  <c r="U16" i="3"/>
  <c r="AJ7" i="3"/>
  <c r="C26" i="3"/>
  <c r="AP21" i="3"/>
  <c r="AA27" i="3"/>
  <c r="AA35" i="3"/>
  <c r="AQ20" i="3"/>
  <c r="AG11" i="3"/>
  <c r="S13" i="3"/>
  <c r="Z33" i="3"/>
  <c r="C11" i="3"/>
  <c r="U38" i="3"/>
  <c r="N37" i="3"/>
  <c r="K39" i="3"/>
  <c r="AG22" i="3"/>
  <c r="AB15" i="3"/>
  <c r="AQ38" i="3"/>
  <c r="AQ24" i="3"/>
  <c r="Y8" i="3"/>
  <c r="AI37" i="3"/>
  <c r="X37" i="3"/>
  <c r="AE16" i="3"/>
  <c r="O13" i="3"/>
  <c r="Y41" i="3"/>
  <c r="M40" i="3"/>
  <c r="AD49" i="3"/>
  <c r="H81" i="2"/>
  <c r="M83" i="2"/>
  <c r="M56" i="2"/>
  <c r="R40" i="2"/>
  <c r="L40" i="2"/>
  <c r="AB71" i="3"/>
  <c r="N24" i="3"/>
  <c r="N15" i="3"/>
  <c r="H38" i="3"/>
  <c r="Q16" i="3"/>
  <c r="AJ33" i="3"/>
  <c r="AB34" i="3"/>
  <c r="AN32" i="3"/>
  <c r="V18" i="3"/>
  <c r="J34" i="3"/>
  <c r="P18" i="3"/>
  <c r="L28" i="3"/>
  <c r="V38" i="3"/>
  <c r="AB6" i="3"/>
  <c r="E48" i="3"/>
  <c r="AQ41" i="3"/>
  <c r="AK7" i="3"/>
  <c r="AN29" i="3"/>
  <c r="X22" i="3"/>
  <c r="AG34" i="3"/>
  <c r="AO30" i="3"/>
  <c r="AI20" i="3"/>
  <c r="N9" i="3"/>
  <c r="H23" i="3"/>
  <c r="AQ15" i="3"/>
  <c r="L42" i="3"/>
  <c r="Q15" i="3"/>
  <c r="C14" i="3"/>
  <c r="AH19" i="3"/>
  <c r="Q12" i="3"/>
  <c r="N6" i="3"/>
  <c r="V22" i="3"/>
  <c r="AO35" i="3"/>
  <c r="AH27" i="3"/>
  <c r="AA22" i="3"/>
  <c r="O14" i="3"/>
  <c r="AA18" i="3"/>
  <c r="AG41" i="3"/>
  <c r="J24" i="3"/>
  <c r="T18" i="3"/>
  <c r="N12" i="3"/>
  <c r="K34" i="3"/>
  <c r="AI13" i="3"/>
  <c r="Z16" i="3"/>
  <c r="H8" i="3"/>
  <c r="AN36" i="3"/>
  <c r="K28" i="3"/>
  <c r="G34" i="3"/>
  <c r="W39" i="3"/>
  <c r="AG40" i="3"/>
  <c r="AB31" i="3"/>
  <c r="M21" i="3"/>
  <c r="X19" i="3"/>
  <c r="AG29" i="3"/>
  <c r="AA39" i="3"/>
  <c r="AO37" i="3"/>
  <c r="C35" i="3"/>
  <c r="AQ17" i="3"/>
  <c r="AM28" i="3"/>
  <c r="Y42" i="3"/>
  <c r="AL5" i="3"/>
  <c r="AL73" i="3" s="1"/>
  <c r="AE26" i="3"/>
  <c r="C36" i="3"/>
  <c r="AK23" i="3"/>
  <c r="AI17" i="3"/>
  <c r="X41" i="3"/>
  <c r="I17" i="3"/>
  <c r="X18" i="3"/>
  <c r="AN13" i="3"/>
  <c r="P9" i="3"/>
  <c r="AH12" i="3"/>
  <c r="Q11" i="3"/>
  <c r="AD39" i="3"/>
  <c r="AD31" i="3"/>
  <c r="AI27" i="3"/>
  <c r="Q28" i="3"/>
  <c r="AO9" i="3"/>
  <c r="M27" i="3"/>
  <c r="T19" i="3"/>
  <c r="AK33" i="3"/>
  <c r="I12" i="3"/>
  <c r="M28" i="3"/>
  <c r="U20" i="3"/>
  <c r="H33" i="3"/>
  <c r="U13" i="3"/>
  <c r="L8" i="3"/>
  <c r="G48" i="3"/>
  <c r="U23" i="3"/>
  <c r="L15" i="3"/>
  <c r="AA20" i="3"/>
  <c r="Q21" i="3"/>
  <c r="W20" i="3"/>
  <c r="AC11" i="3"/>
  <c r="AC40" i="3"/>
  <c r="W30" i="3"/>
  <c r="AO5" i="3"/>
  <c r="L35" i="3"/>
  <c r="AC24" i="3"/>
  <c r="I84" i="2"/>
  <c r="N106" i="2"/>
  <c r="G42" i="2"/>
  <c r="H97" i="2"/>
  <c r="U51" i="2"/>
  <c r="AP62" i="3"/>
  <c r="O39" i="3"/>
  <c r="O21" i="3"/>
  <c r="AI41" i="3"/>
  <c r="S32" i="3"/>
  <c r="I8" i="3"/>
  <c r="R32" i="3"/>
  <c r="AM39" i="3"/>
  <c r="AB18" i="3"/>
  <c r="AI38" i="3"/>
  <c r="U12" i="3"/>
  <c r="Y31" i="3"/>
  <c r="C8" i="3"/>
  <c r="AG6" i="3"/>
  <c r="I40" i="3"/>
  <c r="J21" i="3"/>
  <c r="G39" i="3"/>
  <c r="AC5" i="3"/>
  <c r="AC79" i="3" s="1"/>
  <c r="Z29" i="3"/>
  <c r="R33" i="3"/>
  <c r="AD40" i="3"/>
  <c r="J32" i="3"/>
  <c r="O10" i="3"/>
  <c r="X32" i="3"/>
  <c r="U39" i="3"/>
  <c r="AE36" i="3"/>
  <c r="AB7" i="3"/>
  <c r="AL26" i="3"/>
  <c r="AE37" i="3"/>
  <c r="X33" i="3"/>
  <c r="C31" i="3"/>
  <c r="AC12" i="3"/>
  <c r="AG5" i="3"/>
  <c r="AK40" i="3"/>
  <c r="K17" i="3"/>
  <c r="X8" i="3"/>
  <c r="Y9" i="3"/>
  <c r="AJ10" i="3"/>
  <c r="J35" i="3"/>
  <c r="P38" i="3"/>
  <c r="AK19" i="3"/>
  <c r="S18" i="3"/>
  <c r="M41" i="3"/>
  <c r="AG35" i="3"/>
  <c r="N25" i="3"/>
  <c r="AH39" i="3"/>
  <c r="AC15" i="3"/>
  <c r="AK39" i="3"/>
  <c r="U9" i="3"/>
  <c r="AM17" i="3"/>
  <c r="N7" i="3"/>
  <c r="AC38" i="3"/>
  <c r="V42" i="3"/>
  <c r="AP35" i="3"/>
  <c r="T40" i="3"/>
  <c r="V10" i="3"/>
  <c r="H29" i="3"/>
  <c r="AB9" i="3"/>
  <c r="AK18" i="3"/>
  <c r="AA24" i="3"/>
  <c r="V5" i="3"/>
  <c r="V70" i="3" s="1"/>
  <c r="AQ7" i="3"/>
  <c r="L41" i="3"/>
  <c r="AL11" i="3"/>
  <c r="AO26" i="3"/>
  <c r="U88" i="2"/>
  <c r="X52" i="2"/>
  <c r="H88" i="2"/>
  <c r="R97" i="2"/>
  <c r="F93" i="2"/>
  <c r="AP94" i="3"/>
  <c r="Y22" i="3"/>
  <c r="AJ22" i="3"/>
  <c r="AA25" i="3"/>
  <c r="AA8" i="3"/>
  <c r="X35" i="3"/>
  <c r="Y11" i="3"/>
  <c r="J42" i="3"/>
  <c r="AN25" i="3"/>
  <c r="AN7" i="3"/>
  <c r="AA21" i="3"/>
  <c r="U37" i="3"/>
  <c r="Y30" i="3"/>
  <c r="O19" i="3"/>
  <c r="Z37" i="3"/>
  <c r="I14" i="3"/>
  <c r="I18" i="3"/>
  <c r="S23" i="3"/>
  <c r="M5" i="3"/>
  <c r="M64" i="3" s="1"/>
  <c r="AH34" i="3"/>
  <c r="AO16" i="3"/>
  <c r="AL12" i="3"/>
  <c r="AC26" i="3"/>
  <c r="S26" i="3"/>
  <c r="J9" i="3"/>
  <c r="AN28" i="3"/>
  <c r="V6" i="3"/>
  <c r="AM34" i="3"/>
  <c r="AQ26" i="3"/>
  <c r="AK42" i="3"/>
  <c r="AN21" i="3"/>
  <c r="AJ35" i="3"/>
  <c r="AM35" i="3"/>
  <c r="AN11" i="3"/>
  <c r="Q13" i="3"/>
  <c r="L40" i="3"/>
  <c r="C13" i="3"/>
  <c r="I11" i="3"/>
  <c r="AC32" i="3"/>
  <c r="P26" i="3"/>
  <c r="AK26" i="3"/>
  <c r="T38" i="3"/>
  <c r="O12" i="3"/>
  <c r="AJ37" i="3"/>
  <c r="AM18" i="3"/>
  <c r="AA15" i="3"/>
  <c r="C18" i="3"/>
  <c r="AJ27" i="3"/>
  <c r="AN41" i="3"/>
  <c r="U8" i="3"/>
  <c r="L24" i="3"/>
  <c r="S14" i="3"/>
  <c r="Z27" i="3"/>
  <c r="V40" i="3"/>
  <c r="K25" i="3"/>
  <c r="Q25" i="3"/>
  <c r="AM42" i="3"/>
  <c r="W32" i="3"/>
  <c r="P33" i="3"/>
  <c r="J14" i="3"/>
  <c r="AA19" i="3"/>
  <c r="AO12" i="3"/>
  <c r="Y5" i="3"/>
  <c r="J30" i="3"/>
  <c r="AB8" i="3"/>
  <c r="AD29" i="3"/>
  <c r="AE15" i="3"/>
  <c r="L33" i="3"/>
  <c r="AD25" i="3"/>
  <c r="AA7" i="3"/>
  <c r="E89" i="2"/>
  <c r="Q61" i="2"/>
  <c r="W104" i="2"/>
  <c r="S54" i="2"/>
  <c r="C87" i="2"/>
  <c r="AP80" i="3"/>
  <c r="N26" i="3"/>
  <c r="P34" i="3"/>
  <c r="Z15" i="3"/>
  <c r="AM22" i="3"/>
  <c r="V12" i="3"/>
  <c r="W12" i="3"/>
  <c r="AH14" i="3"/>
  <c r="AP16" i="3"/>
  <c r="W24" i="3"/>
  <c r="I41" i="3"/>
  <c r="AQ23" i="3"/>
  <c r="H35" i="3"/>
  <c r="AM24" i="3"/>
  <c r="I35" i="3"/>
  <c r="Q9" i="3"/>
  <c r="L39" i="3"/>
  <c r="M38" i="3"/>
  <c r="Y26" i="3"/>
  <c r="G33" i="3"/>
  <c r="AN42" i="3"/>
  <c r="H26" i="3"/>
  <c r="T39" i="3"/>
  <c r="O31" i="3"/>
  <c r="G47" i="3"/>
  <c r="T36" i="3"/>
  <c r="AG25" i="3"/>
  <c r="W8" i="3"/>
  <c r="X42" i="3"/>
  <c r="AN30" i="3"/>
  <c r="AB90" i="3"/>
  <c r="AK30" i="3"/>
  <c r="Y27" i="3"/>
  <c r="K8" i="3"/>
  <c r="T31" i="3"/>
  <c r="X20" i="3"/>
  <c r="K67" i="2"/>
  <c r="N91" i="2"/>
  <c r="K73" i="2"/>
  <c r="X54" i="2"/>
  <c r="AP68" i="3"/>
  <c r="AB97" i="3"/>
  <c r="AK31" i="3"/>
  <c r="AO15" i="3"/>
  <c r="O37" i="3"/>
  <c r="W18" i="3"/>
  <c r="AL37" i="3"/>
  <c r="AM14" i="3"/>
  <c r="Z28" i="3"/>
  <c r="AC13" i="3"/>
  <c r="AJ14" i="3"/>
  <c r="I25" i="3"/>
  <c r="AN17" i="3"/>
  <c r="I29" i="3"/>
  <c r="H32" i="3"/>
  <c r="W11" i="3"/>
  <c r="T11" i="3"/>
  <c r="AC14" i="3"/>
  <c r="V11" i="3"/>
  <c r="AL38" i="3"/>
  <c r="P17" i="3"/>
  <c r="AN5" i="3"/>
  <c r="Z7" i="3"/>
  <c r="J20" i="3"/>
  <c r="AH25" i="3"/>
  <c r="AL29" i="3"/>
  <c r="P31" i="3"/>
  <c r="J5" i="3"/>
  <c r="AA16" i="3"/>
  <c r="U27" i="3"/>
  <c r="T37" i="3"/>
  <c r="AP42" i="3"/>
  <c r="AN16" i="3"/>
  <c r="AM31" i="3"/>
  <c r="AQ25" i="3"/>
  <c r="AQ5" i="3"/>
  <c r="P28" i="3"/>
  <c r="H30" i="3"/>
  <c r="K27" i="3"/>
  <c r="AC35" i="3"/>
  <c r="AJ19" i="3"/>
  <c r="V28" i="3"/>
  <c r="AG24" i="3"/>
  <c r="AB40" i="3"/>
  <c r="L34" i="3"/>
  <c r="AM36" i="3"/>
  <c r="AJ40" i="3"/>
  <c r="AB17" i="3"/>
  <c r="K33" i="3"/>
  <c r="R16" i="3"/>
  <c r="AJ21" i="3"/>
  <c r="Q32" i="3"/>
  <c r="AE22" i="3"/>
  <c r="W14" i="3"/>
  <c r="Q17" i="3"/>
  <c r="AH20" i="3"/>
  <c r="T5" i="3"/>
  <c r="AO22" i="3"/>
  <c r="AP32" i="3"/>
  <c r="AI33" i="3"/>
  <c r="AH8" i="3"/>
  <c r="V15" i="3"/>
  <c r="K20" i="3"/>
  <c r="J7" i="3"/>
  <c r="AP17" i="3"/>
  <c r="AI36" i="3"/>
  <c r="AN40" i="3"/>
  <c r="N38" i="3"/>
  <c r="Q24" i="3"/>
  <c r="X39" i="3"/>
  <c r="AG9" i="3"/>
  <c r="S10" i="3"/>
  <c r="AJ9" i="3"/>
  <c r="J19" i="3"/>
  <c r="U94" i="2"/>
  <c r="F56" i="2"/>
  <c r="T62" i="2"/>
  <c r="Q47" i="2"/>
  <c r="AB88" i="3"/>
  <c r="AP89" i="3"/>
  <c r="J16" i="3"/>
  <c r="P5" i="3"/>
  <c r="P56" i="3" s="1"/>
  <c r="U15" i="3"/>
  <c r="X24" i="3"/>
  <c r="AE34" i="3"/>
  <c r="U31" i="3"/>
  <c r="AN37" i="3"/>
  <c r="O16" i="3"/>
  <c r="H9" i="3"/>
  <c r="J38" i="3"/>
  <c r="N32" i="3"/>
  <c r="C24" i="3"/>
  <c r="W36" i="3"/>
  <c r="Q22" i="3"/>
  <c r="AE5" i="3"/>
  <c r="S41" i="3"/>
  <c r="AE38" i="3"/>
  <c r="AE29" i="3"/>
  <c r="Q41" i="3"/>
  <c r="AA33" i="3"/>
  <c r="AA14" i="3"/>
  <c r="J23" i="3"/>
  <c r="G38" i="3"/>
  <c r="Z20" i="3"/>
  <c r="U35" i="3"/>
  <c r="AG31" i="3"/>
  <c r="Z21" i="3"/>
  <c r="T7" i="3"/>
  <c r="W23" i="3"/>
  <c r="U10" i="3"/>
  <c r="Z18" i="3"/>
  <c r="AK6" i="3"/>
  <c r="U5" i="3"/>
  <c r="U95" i="3" s="1"/>
  <c r="AA29" i="3"/>
  <c r="Q42" i="3"/>
  <c r="AL32" i="3"/>
  <c r="AK38" i="3"/>
  <c r="AN39" i="3"/>
  <c r="AG16" i="3"/>
  <c r="R8" i="3"/>
  <c r="AC10" i="3"/>
  <c r="U32" i="3"/>
  <c r="AH9" i="3"/>
  <c r="AO19" i="3"/>
  <c r="U42" i="3"/>
  <c r="AQ16" i="3"/>
  <c r="C16" i="3"/>
  <c r="Z17" i="3"/>
  <c r="R12" i="3"/>
  <c r="O33" i="3"/>
  <c r="AL19" i="3"/>
  <c r="AO36" i="3"/>
  <c r="Q18" i="3"/>
  <c r="J10" i="3"/>
  <c r="N18" i="3"/>
  <c r="L10" i="3"/>
  <c r="J31" i="3"/>
  <c r="M18" i="3"/>
  <c r="U40" i="3"/>
  <c r="V39" i="3"/>
  <c r="Q7" i="3"/>
  <c r="AE13" i="3"/>
  <c r="O34" i="3"/>
  <c r="AB16" i="3"/>
  <c r="AQ11" i="3"/>
  <c r="Q10" i="3"/>
  <c r="P36" i="3"/>
  <c r="AK28" i="3"/>
  <c r="P56" i="2"/>
  <c r="AK12" i="3"/>
  <c r="S30" i="3"/>
  <c r="AA23" i="3"/>
  <c r="W38" i="3"/>
  <c r="R7" i="3"/>
  <c r="V20" i="3"/>
  <c r="S37" i="3"/>
  <c r="Q94" i="2"/>
  <c r="S52" i="2"/>
  <c r="C61" i="2"/>
  <c r="S95" i="2"/>
  <c r="AP75" i="3"/>
  <c r="AB91" i="3"/>
  <c r="AH31" i="3"/>
  <c r="AD37" i="3"/>
  <c r="O38" i="3"/>
  <c r="T32" i="3"/>
  <c r="H6" i="3"/>
  <c r="Y18" i="3"/>
  <c r="C41" i="3"/>
  <c r="AB11" i="3"/>
  <c r="AB21" i="3"/>
  <c r="AQ9" i="3"/>
  <c r="C27" i="3"/>
  <c r="AI28" i="3"/>
  <c r="O7" i="3"/>
  <c r="AN19" i="3"/>
  <c r="W31" i="3"/>
  <c r="K18" i="3"/>
  <c r="K6" i="3"/>
  <c r="AL7" i="3"/>
  <c r="AD21" i="3"/>
  <c r="M37" i="3"/>
  <c r="R39" i="3"/>
  <c r="AL13" i="3"/>
  <c r="AB35" i="3"/>
  <c r="AL40" i="3"/>
  <c r="Z13" i="3"/>
  <c r="AK14" i="3"/>
  <c r="R13" i="3"/>
  <c r="AJ26" i="3"/>
  <c r="Y14" i="3"/>
  <c r="AC21" i="3"/>
  <c r="Y29" i="3"/>
  <c r="C29" i="3"/>
  <c r="AE35" i="3"/>
  <c r="R31" i="3"/>
  <c r="J39" i="3"/>
  <c r="V21" i="3"/>
  <c r="AD42" i="3"/>
  <c r="AM19" i="3"/>
  <c r="V35" i="3"/>
  <c r="N11" i="3"/>
  <c r="N17" i="3"/>
  <c r="V17" i="3"/>
  <c r="S15" i="3"/>
  <c r="S25" i="3"/>
  <c r="K32" i="3"/>
  <c r="AD23" i="3"/>
  <c r="AC41" i="3"/>
  <c r="K41" i="3"/>
  <c r="AP38" i="3"/>
  <c r="AA26" i="3"/>
  <c r="AQ28" i="3"/>
  <c r="T13" i="3"/>
  <c r="AA37" i="3"/>
  <c r="K5" i="3"/>
  <c r="K96" i="3" s="1"/>
  <c r="AJ29" i="3"/>
  <c r="J11" i="3"/>
  <c r="X6" i="3"/>
  <c r="N41" i="3"/>
  <c r="AO27" i="3"/>
  <c r="T86" i="2"/>
  <c r="O62" i="2"/>
  <c r="Z30" i="3"/>
  <c r="G40" i="3"/>
  <c r="AJ36" i="3"/>
  <c r="M12" i="3"/>
  <c r="I33" i="3"/>
  <c r="J33" i="3"/>
  <c r="AM38" i="3"/>
  <c r="G68" i="2"/>
  <c r="G49" i="2"/>
  <c r="H45" i="2"/>
  <c r="J81" i="2"/>
  <c r="AP86" i="3"/>
  <c r="AB85" i="3"/>
  <c r="T25" i="3"/>
  <c r="Z8" i="3"/>
  <c r="P41" i="3"/>
  <c r="AP13" i="3"/>
  <c r="AM8" i="3"/>
  <c r="K35" i="3"/>
  <c r="N10" i="3"/>
  <c r="G32" i="3"/>
  <c r="AN34" i="3"/>
  <c r="M31" i="3"/>
  <c r="AJ5" i="3"/>
  <c r="AI19" i="3"/>
  <c r="AO10" i="3"/>
  <c r="AC23" i="3"/>
  <c r="AL34" i="3"/>
  <c r="N30" i="3"/>
  <c r="AJ13" i="3"/>
  <c r="H10" i="3"/>
  <c r="I6" i="3"/>
  <c r="P24" i="3"/>
  <c r="AD33" i="3"/>
  <c r="U25" i="3"/>
  <c r="AL36" i="3"/>
  <c r="P15" i="3"/>
  <c r="AI22" i="3"/>
  <c r="AI35" i="3"/>
  <c r="AN10" i="3"/>
  <c r="O32" i="3"/>
  <c r="S6" i="3"/>
  <c r="AG20" i="3"/>
  <c r="U29" i="3"/>
  <c r="W17" i="3"/>
  <c r="V26" i="3"/>
  <c r="K14" i="3"/>
  <c r="N31" i="3"/>
  <c r="AI7" i="3"/>
  <c r="T29" i="3"/>
  <c r="Y15" i="3"/>
  <c r="AK8" i="3"/>
  <c r="D48" i="3"/>
  <c r="AD34" i="3"/>
  <c r="O40" i="3"/>
  <c r="N33" i="3"/>
  <c r="AH30" i="3"/>
  <c r="X11" i="3"/>
  <c r="T27" i="3"/>
  <c r="M16" i="3"/>
  <c r="AE27" i="3"/>
  <c r="K37" i="3"/>
  <c r="K9" i="3"/>
  <c r="H39" i="3"/>
  <c r="J26" i="3"/>
  <c r="T6" i="3"/>
  <c r="Q39" i="3"/>
  <c r="Y21" i="3"/>
  <c r="N22" i="3"/>
  <c r="AH6" i="3"/>
  <c r="AD41" i="3"/>
  <c r="AO40" i="3"/>
  <c r="H22" i="3"/>
  <c r="C86" i="2"/>
  <c r="S31" i="3"/>
  <c r="T35" i="3"/>
  <c r="AH10" i="3"/>
  <c r="AH29" i="3"/>
  <c r="AG36" i="3"/>
  <c r="AJ42" i="3"/>
  <c r="N27" i="3"/>
  <c r="AO8" i="3"/>
  <c r="AO13" i="3"/>
  <c r="R83" i="2"/>
  <c r="G80" i="2"/>
  <c r="M67" i="2"/>
  <c r="W112" i="2"/>
  <c r="AP97" i="3"/>
  <c r="H20" i="3"/>
  <c r="R25" i="3"/>
  <c r="V24" i="3"/>
  <c r="N19" i="3"/>
  <c r="W40" i="3"/>
  <c r="V41" i="3"/>
  <c r="AC27" i="3"/>
  <c r="AD32" i="3"/>
  <c r="H36" i="3"/>
  <c r="AG10" i="3"/>
  <c r="M33" i="3"/>
  <c r="P21" i="3"/>
  <c r="AO25" i="3"/>
  <c r="AA32" i="3"/>
  <c r="AQ33" i="3"/>
  <c r="I34" i="3"/>
  <c r="T12" i="3"/>
  <c r="P19" i="3"/>
  <c r="J29" i="3"/>
  <c r="S19" i="3"/>
  <c r="K10" i="3"/>
  <c r="AD30" i="3"/>
  <c r="AH28" i="3"/>
  <c r="AN38" i="3"/>
  <c r="Z38" i="3"/>
  <c r="AD36" i="3"/>
  <c r="L17" i="3"/>
  <c r="L13" i="3"/>
  <c r="J40" i="3"/>
  <c r="N13" i="3"/>
  <c r="AL28" i="3"/>
  <c r="AD27" i="3"/>
  <c r="Y35" i="3"/>
  <c r="AQ31" i="3"/>
  <c r="P7" i="3"/>
  <c r="K12" i="3"/>
  <c r="U7" i="3"/>
  <c r="N16" i="3"/>
  <c r="S22" i="3"/>
  <c r="T42" i="3"/>
  <c r="AP27" i="3"/>
  <c r="N23" i="3"/>
  <c r="M24" i="3"/>
  <c r="AD22" i="3"/>
  <c r="Q8" i="3"/>
  <c r="AM15" i="3"/>
  <c r="AL35" i="3"/>
  <c r="AH18" i="3"/>
  <c r="AC34" i="3"/>
  <c r="H12" i="3"/>
  <c r="AG13" i="3"/>
  <c r="V37" i="3"/>
  <c r="AK16" i="3"/>
  <c r="U17" i="3"/>
  <c r="X23" i="3"/>
  <c r="AI26" i="3"/>
  <c r="V19" i="3"/>
  <c r="AJ6" i="3"/>
  <c r="AM80" i="3"/>
  <c r="L66" i="3"/>
  <c r="L59" i="3"/>
  <c r="O66" i="3"/>
  <c r="W59" i="3"/>
  <c r="M48" i="3"/>
  <c r="S87" i="3"/>
  <c r="Z70" i="3"/>
  <c r="S73" i="3"/>
  <c r="W75" i="3"/>
  <c r="I80" i="3"/>
  <c r="K89" i="3"/>
  <c r="Q86" i="3"/>
  <c r="N50" i="3"/>
  <c r="AG56" i="3"/>
  <c r="S69" i="3"/>
  <c r="AK93" i="3"/>
  <c r="H69" i="3"/>
  <c r="R74" i="3"/>
  <c r="AI97" i="3"/>
  <c r="AM81" i="3"/>
  <c r="L94" i="3"/>
  <c r="H85" i="3"/>
  <c r="J81" i="3"/>
  <c r="AK96" i="3"/>
  <c r="H92" i="3"/>
  <c r="H76" i="3"/>
  <c r="L82" i="3"/>
  <c r="O47" i="3"/>
  <c r="J56" i="3"/>
  <c r="Q75" i="3"/>
  <c r="X54" i="3"/>
  <c r="AA95" i="3"/>
  <c r="W56" i="3"/>
  <c r="AK89" i="3"/>
  <c r="AH56" i="3"/>
  <c r="H47" i="3"/>
  <c r="P69" i="3"/>
  <c r="AC86" i="3"/>
  <c r="S85" i="3"/>
  <c r="Q71" i="3"/>
  <c r="S71" i="3"/>
  <c r="K54" i="3"/>
  <c r="AI87" i="3"/>
  <c r="S58" i="3"/>
  <c r="AI69" i="3"/>
  <c r="P88" i="3"/>
  <c r="O86" i="3"/>
  <c r="J60" i="3"/>
  <c r="N91" i="3"/>
  <c r="AI75" i="3"/>
  <c r="AK68" i="3"/>
  <c r="M94" i="3"/>
  <c r="L69" i="3"/>
  <c r="AJ72" i="3"/>
  <c r="AA59" i="3"/>
  <c r="AA76" i="3"/>
  <c r="AH66" i="3"/>
  <c r="S79" i="3"/>
  <c r="K72" i="3"/>
  <c r="R47" i="3"/>
  <c r="T58" i="3"/>
  <c r="V97" i="3"/>
  <c r="I57" i="3"/>
  <c r="AJ65" i="3"/>
  <c r="W65" i="3"/>
  <c r="Y63" i="3"/>
  <c r="AC69" i="3"/>
  <c r="AI56" i="3"/>
  <c r="AI95" i="3"/>
  <c r="AI57" i="3"/>
  <c r="P87" i="3"/>
  <c r="H91" i="3"/>
  <c r="O57" i="3"/>
  <c r="O48" i="3"/>
  <c r="T75" i="3"/>
  <c r="AA91" i="3"/>
  <c r="O62" i="3"/>
  <c r="S95" i="3"/>
  <c r="W81" i="3"/>
  <c r="N97" i="3"/>
  <c r="AM96" i="3"/>
  <c r="AG90" i="3"/>
  <c r="AJ76" i="3"/>
  <c r="AI64" i="3"/>
  <c r="AK56" i="3"/>
  <c r="AI58" i="3"/>
  <c r="Q58" i="3"/>
  <c r="M91" i="3"/>
  <c r="Z49" i="3"/>
  <c r="W48" i="3"/>
  <c r="AK48" i="3"/>
  <c r="J66" i="3"/>
  <c r="Q76" i="3"/>
  <c r="Y80" i="3"/>
  <c r="R84" i="3"/>
  <c r="AG58" i="3"/>
  <c r="J69" i="3"/>
  <c r="U66" i="3"/>
  <c r="V96" i="3"/>
  <c r="H77" i="3"/>
  <c r="W50" i="3"/>
  <c r="AH48" i="3"/>
  <c r="T84" i="3"/>
  <c r="AI63" i="3"/>
  <c r="L88" i="3"/>
  <c r="L56" i="3"/>
  <c r="Q55" i="3"/>
  <c r="H80" i="3"/>
  <c r="Q60" i="3"/>
  <c r="AE49" i="3"/>
  <c r="U85" i="3"/>
  <c r="W74" i="3"/>
  <c r="AM75" i="3"/>
  <c r="R55" i="3"/>
  <c r="V64" i="3"/>
  <c r="S59" i="3"/>
  <c r="I66" i="3"/>
  <c r="Y88" i="3"/>
  <c r="AL50" i="3"/>
  <c r="AJ79" i="3"/>
  <c r="W80" i="3"/>
  <c r="V71" i="3"/>
  <c r="AO89" i="3"/>
  <c r="AA74" i="3"/>
  <c r="AK60" i="3"/>
  <c r="AI90" i="3"/>
  <c r="AC83" i="3"/>
  <c r="AA58" i="3"/>
  <c r="AA97" i="3"/>
  <c r="AA55" i="3"/>
  <c r="N96" i="3"/>
  <c r="W82" i="3"/>
  <c r="AE93" i="3"/>
  <c r="K86" i="3"/>
  <c r="Q81" i="3"/>
  <c r="AH74" i="3"/>
  <c r="R86" i="3"/>
  <c r="AO63" i="3"/>
  <c r="I68" i="3"/>
  <c r="P76" i="3"/>
  <c r="W85" i="3"/>
  <c r="AL77" i="3"/>
  <c r="N93" i="3"/>
  <c r="AM74" i="3"/>
  <c r="H72" i="3"/>
  <c r="AI77" i="3"/>
  <c r="J79" i="3"/>
  <c r="W67" i="3"/>
  <c r="AG84" i="3"/>
  <c r="S82" i="3"/>
  <c r="AQ73" i="3"/>
  <c r="I62" i="3"/>
  <c r="X62" i="3"/>
  <c r="R82" i="3"/>
  <c r="W97" i="3"/>
  <c r="H49" i="3"/>
  <c r="N49" i="3"/>
  <c r="AM47" i="3"/>
  <c r="L92" i="3"/>
  <c r="J86" i="3"/>
  <c r="Q85" i="3"/>
  <c r="AI70" i="3"/>
  <c r="AC97" i="3"/>
  <c r="AC78" i="3"/>
  <c r="V57" i="3"/>
  <c r="X47" i="3"/>
  <c r="AH72" i="3"/>
  <c r="W57" i="3"/>
  <c r="AM76" i="3"/>
  <c r="AO83" i="3"/>
  <c r="AH57" i="3"/>
  <c r="AE92" i="3"/>
  <c r="X70" i="3"/>
  <c r="X88" i="3"/>
  <c r="H86" i="3"/>
  <c r="W64" i="3"/>
  <c r="AE50" i="3"/>
  <c r="L47" i="3"/>
  <c r="AM69" i="3"/>
  <c r="AK81" i="3"/>
  <c r="L97" i="3"/>
  <c r="L65" i="3"/>
  <c r="AI80" i="3"/>
  <c r="O59" i="3"/>
  <c r="AE81" i="3"/>
  <c r="AE66" i="3"/>
  <c r="AA79" i="3"/>
  <c r="Z60" i="3"/>
  <c r="N82" i="3"/>
  <c r="U77" i="3"/>
  <c r="T57" i="3"/>
  <c r="S49" i="3"/>
  <c r="AQ64" i="3"/>
  <c r="T92" i="3"/>
  <c r="N94" i="3"/>
  <c r="AM59" i="3"/>
  <c r="L61" i="3"/>
  <c r="AE80" i="3"/>
  <c r="J68" i="3"/>
  <c r="M67" i="3"/>
  <c r="V56" i="3"/>
  <c r="AG62" i="3"/>
  <c r="AA93" i="3"/>
  <c r="N78" i="3"/>
  <c r="AG93" i="3"/>
  <c r="S55" i="3"/>
  <c r="AH83" i="3"/>
  <c r="Y62" i="3"/>
  <c r="AJ83" i="3"/>
  <c r="AI65" i="3"/>
  <c r="L67" i="3"/>
  <c r="H62" i="3"/>
  <c r="H48" i="3"/>
  <c r="U56" i="3"/>
  <c r="N47" i="3"/>
  <c r="X92" i="3"/>
  <c r="U63" i="3"/>
  <c r="AJ96" i="3"/>
  <c r="AO96" i="3"/>
  <c r="S54" i="3"/>
  <c r="AH68" i="3"/>
  <c r="P68" i="3"/>
  <c r="M80" i="3"/>
  <c r="N95" i="3"/>
  <c r="AG92" i="3"/>
  <c r="AO77" i="3"/>
  <c r="AM93" i="3"/>
  <c r="M50" i="3"/>
  <c r="P57" i="3"/>
  <c r="M71" i="3"/>
  <c r="W66" i="3"/>
  <c r="AL65" i="3"/>
  <c r="S78" i="3"/>
  <c r="S57" i="3"/>
  <c r="AQ76" i="3"/>
  <c r="AI85" i="3"/>
  <c r="O54" i="3"/>
  <c r="X69" i="3"/>
  <c r="P92" i="3"/>
  <c r="L72" i="3"/>
  <c r="X91" i="3"/>
  <c r="H63" i="3"/>
  <c r="O60" i="3"/>
  <c r="H89" i="3"/>
  <c r="AC82" i="3"/>
  <c r="M87" i="3"/>
  <c r="P86" i="3"/>
  <c r="W87" i="3"/>
  <c r="N83" i="3"/>
  <c r="T80" i="3"/>
  <c r="R88" i="3"/>
  <c r="V55" i="3"/>
  <c r="S97" i="3"/>
  <c r="AQ62" i="3"/>
  <c r="I59" i="3"/>
  <c r="AQ59" i="3"/>
  <c r="X57" i="3"/>
  <c r="AL58" i="3"/>
  <c r="T59" i="3"/>
  <c r="R95" i="3"/>
  <c r="T48" i="3"/>
  <c r="Z87" i="3"/>
  <c r="AL71" i="3"/>
  <c r="R56" i="3"/>
  <c r="Q62" i="3"/>
  <c r="O77" i="3"/>
  <c r="O97" i="3"/>
  <c r="AK67" i="3"/>
  <c r="AK62" i="3"/>
  <c r="Q54" i="3"/>
  <c r="AI66" i="3"/>
  <c r="Q59" i="3"/>
  <c r="AC90" i="3"/>
  <c r="V78" i="3"/>
  <c r="N76" i="3"/>
  <c r="Z67" i="3"/>
  <c r="K73" i="3"/>
  <c r="W93" i="3"/>
  <c r="AL70" i="3"/>
  <c r="AH85" i="3"/>
  <c r="Q84" i="3"/>
  <c r="AH91" i="3"/>
  <c r="Y65" i="3"/>
  <c r="AH65" i="3"/>
  <c r="X96" i="3"/>
  <c r="AK77" i="3"/>
  <c r="H75" i="3"/>
  <c r="P59" i="3"/>
  <c r="H97" i="3"/>
  <c r="AE72" i="3"/>
  <c r="O50" i="3"/>
  <c r="AJ94" i="3"/>
  <c r="W86" i="3"/>
  <c r="N77" i="3"/>
  <c r="V92" i="3"/>
  <c r="AG61" i="3"/>
  <c r="X59" i="3"/>
  <c r="S96" i="3"/>
  <c r="U86" i="3"/>
  <c r="AQ87" i="3"/>
  <c r="W78" i="3"/>
  <c r="R93" i="3"/>
  <c r="R80" i="3"/>
  <c r="Q72" i="3"/>
  <c r="R62" i="3"/>
  <c r="O96" i="3"/>
  <c r="U68" i="3"/>
  <c r="N67" i="3"/>
  <c r="H87" i="3"/>
  <c r="T64" i="3"/>
  <c r="W68" i="3"/>
  <c r="U58" i="3"/>
  <c r="V66" i="3"/>
  <c r="R64" i="3"/>
  <c r="T61" i="3"/>
  <c r="N72" i="3"/>
  <c r="AL72" i="3"/>
  <c r="L93" i="3"/>
  <c r="N89" i="3"/>
  <c r="AM56" i="3"/>
  <c r="L58" i="3"/>
  <c r="AA63" i="3"/>
  <c r="Q89" i="3"/>
  <c r="N70" i="3"/>
  <c r="J75" i="3"/>
  <c r="O70" i="3"/>
  <c r="AL79" i="3"/>
  <c r="AG94" i="3"/>
  <c r="AO92" i="3"/>
  <c r="Q90" i="3"/>
  <c r="L95" i="3"/>
  <c r="P72" i="3"/>
  <c r="S60" i="3"/>
  <c r="AA65" i="3"/>
  <c r="I56" i="3"/>
  <c r="N87" i="3"/>
  <c r="P78" i="3"/>
  <c r="L73" i="3"/>
  <c r="W60" i="3"/>
  <c r="AH70" i="3"/>
  <c r="I95" i="3"/>
  <c r="W83" i="3"/>
  <c r="AI96" i="3"/>
  <c r="H67" i="3"/>
  <c r="Q93" i="3"/>
  <c r="AJ81" i="3"/>
  <c r="AQ95" i="3"/>
  <c r="R50" i="3"/>
  <c r="Q66" i="3"/>
  <c r="W94" i="3"/>
  <c r="S84" i="3"/>
  <c r="Q64" i="3"/>
  <c r="I86" i="3"/>
  <c r="Y90" i="3"/>
  <c r="Z63" i="3"/>
  <c r="AA92" i="3"/>
  <c r="AE58" i="3"/>
  <c r="U84" i="3"/>
  <c r="I49" i="3"/>
  <c r="I88" i="3"/>
  <c r="AO84" i="3"/>
  <c r="T97" i="3"/>
  <c r="AC57" i="3"/>
  <c r="AC70" i="3"/>
  <c r="AK50" i="3"/>
  <c r="U75" i="3"/>
  <c r="AH54" i="3"/>
  <c r="M75" i="3"/>
  <c r="AH55" i="3"/>
  <c r="AI49" i="3"/>
  <c r="P66" i="3"/>
  <c r="AI83" i="3"/>
  <c r="AM62" i="3"/>
  <c r="L60" i="3"/>
  <c r="AJ55" i="3"/>
  <c r="H74" i="3"/>
  <c r="P80" i="3"/>
  <c r="AA56" i="3"/>
  <c r="AA48" i="3"/>
  <c r="AC87" i="3"/>
  <c r="AO95" i="3"/>
  <c r="M66" i="3"/>
  <c r="Y92" i="3"/>
  <c r="L68" i="3"/>
  <c r="T63" i="3"/>
  <c r="AC77" i="3"/>
  <c r="I97" i="3"/>
  <c r="R63" i="3"/>
  <c r="AK58" i="3"/>
  <c r="AC93" i="3"/>
  <c r="AL62" i="3"/>
  <c r="AI73" i="3"/>
  <c r="O67" i="3"/>
  <c r="Z90" i="3"/>
  <c r="AH89" i="3"/>
  <c r="M83" i="3"/>
  <c r="W71" i="3"/>
  <c r="AJ47" i="3"/>
  <c r="S61" i="3"/>
  <c r="K74" i="3"/>
  <c r="H65" i="3"/>
  <c r="U83" i="3"/>
  <c r="P67" i="3"/>
  <c r="I84" i="3"/>
  <c r="AL69" i="3"/>
  <c r="AG55" i="3"/>
  <c r="K78" i="3"/>
  <c r="O78" i="3"/>
  <c r="W77" i="3"/>
  <c r="Y78" i="3"/>
  <c r="R61" i="3"/>
  <c r="AM68" i="3"/>
  <c r="AL91" i="3"/>
  <c r="J49" i="3"/>
  <c r="AM66" i="3"/>
  <c r="J88" i="3"/>
  <c r="M62" i="3"/>
  <c r="Y47" i="3"/>
  <c r="J50" i="3"/>
  <c r="W92" i="3"/>
  <c r="V60" i="3"/>
  <c r="Q79" i="3"/>
  <c r="K68" i="3"/>
  <c r="U87" i="3"/>
  <c r="I54" i="3"/>
  <c r="P91" i="3"/>
  <c r="V61" i="3"/>
  <c r="AO70" i="3"/>
  <c r="AE90" i="3"/>
  <c r="AO47" i="3"/>
  <c r="AM57" i="3"/>
  <c r="R68" i="3"/>
  <c r="AH80" i="3"/>
  <c r="S48" i="3"/>
  <c r="X56" i="3"/>
  <c r="AI5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R77" i="3"/>
  <c r="S64" i="3"/>
  <c r="T56" i="3"/>
  <c r="S50" i="3"/>
  <c r="AK88" i="3"/>
  <c r="AE76" i="3"/>
  <c r="P82" i="3"/>
  <c r="K70" i="3"/>
  <c r="AH62" i="3"/>
  <c r="I94" i="3"/>
  <c r="AM65" i="3"/>
  <c r="AK97" i="3"/>
  <c r="L62" i="3"/>
  <c r="M57" i="3"/>
  <c r="AH69" i="3"/>
  <c r="AM89" i="3"/>
  <c r="X83" i="3"/>
  <c r="N86" i="3"/>
  <c r="AQ48" i="3"/>
  <c r="W61" i="3"/>
  <c r="AL47" i="3"/>
  <c r="O87" i="3"/>
  <c r="W55" i="3"/>
  <c r="X67" i="3"/>
  <c r="AQ88" i="3"/>
  <c r="AA80" i="3"/>
  <c r="AG75" i="3"/>
  <c r="K60" i="3"/>
  <c r="T74" i="3"/>
  <c r="AM87" i="3"/>
  <c r="AC74" i="3"/>
  <c r="AE89" i="3"/>
  <c r="Q63" i="3"/>
  <c r="X77" i="3"/>
  <c r="N56" i="3"/>
  <c r="AL92" i="3"/>
  <c r="J57" i="3"/>
  <c r="K83" i="3"/>
  <c r="Y95" i="3"/>
  <c r="I93" i="3"/>
  <c r="J55" i="3"/>
  <c r="AL94" i="3"/>
  <c r="V74" i="3"/>
  <c r="Z68" i="3"/>
  <c r="AA71" i="3"/>
  <c r="AM49" i="3"/>
  <c r="T90" i="3"/>
  <c r="U57" i="3"/>
  <c r="Y91" i="3"/>
  <c r="T47" i="3"/>
  <c r="AK94" i="3"/>
  <c r="P97" i="3"/>
  <c r="L49" i="3"/>
  <c r="AI79" i="3"/>
  <c r="P89" i="3"/>
  <c r="O79" i="3"/>
  <c r="AA94" i="3"/>
  <c r="P70" i="3"/>
  <c r="J78" i="3"/>
  <c r="O56" i="3"/>
  <c r="AJ56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T89" i="3"/>
  <c r="AA66" i="3"/>
  <c r="Y57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O94" i="3"/>
  <c r="X71" i="3"/>
  <c r="AC92" i="3"/>
  <c r="AK76" i="3"/>
  <c r="Y71" i="3"/>
  <c r="M79" i="3"/>
  <c r="AO91" i="3"/>
  <c r="T91" i="3"/>
  <c r="J67" i="3"/>
  <c r="W72" i="3"/>
  <c r="AE77" i="3"/>
  <c r="AM70" i="3"/>
  <c r="X74" i="3"/>
  <c r="AO87" i="3"/>
  <c r="P65" i="3"/>
  <c r="X75" i="3"/>
  <c r="W95" i="3"/>
  <c r="V75" i="3"/>
  <c r="AH97" i="3"/>
  <c r="Z91" i="3"/>
  <c r="AC49" i="3"/>
  <c r="Y85" i="3"/>
  <c r="K64" i="3"/>
  <c r="X94" i="3"/>
  <c r="AG54" i="3"/>
  <c r="L55" i="3"/>
  <c r="AK78" i="3"/>
  <c r="M56" i="3"/>
  <c r="P64" i="3"/>
  <c r="AM79" i="3"/>
  <c r="V90" i="3"/>
  <c r="S91" i="3"/>
  <c r="T85" i="3"/>
  <c r="AA75" i="3"/>
  <c r="X72" i="3"/>
  <c r="R97" i="3"/>
  <c r="N73" i="3"/>
  <c r="AC96" i="3"/>
  <c r="N48" i="3"/>
  <c r="K67" i="3"/>
  <c r="AH49" i="3"/>
  <c r="AI94" i="3"/>
  <c r="L78" i="3"/>
  <c r="Q94" i="3"/>
  <c r="H60" i="3"/>
  <c r="AK65" i="3"/>
  <c r="O64" i="3"/>
  <c r="V72" i="3"/>
  <c r="K58" i="3"/>
  <c r="T73" i="3"/>
  <c r="S83" i="3"/>
  <c r="J84" i="3"/>
  <c r="X68" i="3"/>
  <c r="H50" i="3"/>
  <c r="AC67" i="3"/>
  <c r="X61" i="3"/>
  <c r="AH90" i="3"/>
  <c r="AE75" i="3"/>
  <c r="N62" i="3"/>
  <c r="V80" i="3"/>
  <c r="J82" i="3"/>
  <c r="S88" i="3"/>
  <c r="AQ96" i="3"/>
  <c r="AM50" i="3"/>
  <c r="H61" i="3"/>
  <c r="AJ87" i="3"/>
  <c r="X89" i="3"/>
  <c r="N58" i="3"/>
  <c r="X58" i="3"/>
  <c r="N88" i="3"/>
  <c r="K84" i="3"/>
  <c r="AJ59" i="3"/>
  <c r="K55" i="3"/>
  <c r="Y81" i="3"/>
  <c r="W70" i="3"/>
  <c r="AE57" i="3"/>
  <c r="K56" i="3"/>
  <c r="S67" i="3"/>
  <c r="AA64" i="3"/>
  <c r="J61" i="3"/>
  <c r="AA69" i="3"/>
  <c r="S76" i="3"/>
  <c r="U94" i="3"/>
  <c r="I87" i="3"/>
  <c r="V77" i="3"/>
  <c r="N57" i="3"/>
  <c r="L81" i="3"/>
  <c r="AM82" i="3"/>
  <c r="AK72" i="3"/>
  <c r="L83" i="3"/>
  <c r="AJ80" i="3"/>
  <c r="L91" i="3"/>
  <c r="J96" i="3"/>
  <c r="J93" i="3"/>
  <c r="AQ83" i="3"/>
  <c r="AC60" i="3"/>
  <c r="W49" i="3"/>
  <c r="AG69" i="3"/>
  <c r="V83" i="3"/>
  <c r="J58" i="3"/>
  <c r="AQ74" i="3"/>
  <c r="AA49" i="3"/>
  <c r="AE63" i="3"/>
  <c r="Q77" i="3"/>
  <c r="V73" i="3"/>
  <c r="I73" i="3"/>
  <c r="X87" i="3"/>
  <c r="V59" i="3"/>
  <c r="AQ50" i="3"/>
  <c r="AL80" i="3"/>
  <c r="AJ92" i="3"/>
  <c r="V58" i="3"/>
  <c r="K65" i="3"/>
  <c r="AE55" i="3"/>
  <c r="AK83" i="3"/>
  <c r="M86" i="3"/>
  <c r="AC59" i="3"/>
  <c r="AL59" i="3"/>
  <c r="AI59" i="3"/>
  <c r="AI81" i="3"/>
  <c r="S92" i="3"/>
  <c r="O85" i="3"/>
  <c r="M90" i="3"/>
  <c r="U49" i="3"/>
  <c r="AE87" i="3"/>
  <c r="W79" i="3"/>
  <c r="AC66" i="3"/>
  <c r="AQ93" i="3"/>
  <c r="J89" i="3"/>
  <c r="AG97" i="3"/>
  <c r="AJ69" i="3"/>
  <c r="O76" i="3"/>
  <c r="Y83" i="3"/>
  <c r="K93" i="3"/>
  <c r="K85" i="3"/>
  <c r="P55" i="3"/>
  <c r="I78" i="3"/>
  <c r="AH58" i="3"/>
  <c r="AM63" i="3"/>
  <c r="AC48" i="3"/>
  <c r="X50" i="3"/>
  <c r="Z56" i="3"/>
  <c r="U92" i="3"/>
  <c r="H82" i="3"/>
  <c r="N59" i="3"/>
  <c r="AL60" i="3"/>
  <c r="X93" i="3"/>
  <c r="AE88" i="3"/>
  <c r="U54" i="3"/>
  <c r="I96" i="3"/>
  <c r="AK74" i="3"/>
  <c r="Q56" i="3"/>
  <c r="T86" i="3"/>
  <c r="O91" i="3"/>
  <c r="AA47" i="3"/>
  <c r="Z58" i="3"/>
  <c r="AK82" i="3"/>
  <c r="AG96" i="3"/>
  <c r="X55" i="3"/>
  <c r="S65" i="3"/>
  <c r="Y76" i="3"/>
  <c r="N65" i="3"/>
  <c r="AJ75" i="3"/>
  <c r="K50" i="3"/>
  <c r="AQ78" i="3"/>
  <c r="Q78" i="3"/>
  <c r="Z94" i="3"/>
  <c r="AA85" i="3"/>
  <c r="AJ48" i="3"/>
  <c r="Y69" i="3"/>
  <c r="AJ89" i="3"/>
  <c r="AQ55" i="3"/>
  <c r="M8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R60" i="3"/>
  <c r="AK90" i="3"/>
  <c r="AK64" i="3"/>
  <c r="AJ77" i="3"/>
  <c r="M55" i="3"/>
  <c r="W90" i="3"/>
  <c r="AG78" i="3"/>
  <c r="S90" i="3"/>
  <c r="AQ49" i="3"/>
  <c r="R87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I91" i="3"/>
  <c r="AJ78" i="3"/>
  <c r="AC89" i="3"/>
  <c r="AO57" i="3"/>
  <c r="M81" i="3"/>
  <c r="AI60" i="3"/>
  <c r="Z88" i="3"/>
  <c r="U81" i="3"/>
  <c r="AO62" i="3"/>
  <c r="AQ79" i="3"/>
  <c r="O61" i="3"/>
  <c r="R92" i="3"/>
  <c r="AO75" i="3"/>
  <c r="AK91" i="3"/>
  <c r="AC88" i="3"/>
  <c r="AI67" i="3"/>
  <c r="V76" i="3"/>
  <c r="AQ94" i="3"/>
  <c r="Q88" i="3"/>
  <c r="AM58" i="3"/>
  <c r="V47" i="3"/>
  <c r="Q82" i="3"/>
  <c r="AM92" i="3"/>
  <c r="S94" i="3"/>
  <c r="V95" i="3"/>
  <c r="Q48" i="3"/>
  <c r="AC94" i="3"/>
  <c r="L90" i="3"/>
  <c r="N79" i="3"/>
  <c r="L75" i="3"/>
  <c r="L50" i="3"/>
  <c r="AA90" i="3"/>
  <c r="Q47" i="3"/>
  <c r="AO74" i="3"/>
  <c r="AM90" i="3"/>
  <c r="AG85" i="3"/>
  <c r="Z79" i="3"/>
  <c r="S75" i="3"/>
  <c r="Y87" i="3"/>
  <c r="H95" i="3"/>
  <c r="AJ50" i="3"/>
  <c r="S89" i="3"/>
  <c r="AQ82" i="3"/>
  <c r="M58" i="3"/>
  <c r="T60" i="3"/>
  <c r="AE56" i="3"/>
  <c r="X86" i="3"/>
  <c r="Y82" i="3"/>
  <c r="R96" i="3"/>
  <c r="O65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Z95" i="3"/>
  <c r="AA68" i="3"/>
  <c r="AG89" i="3"/>
  <c r="S62" i="3"/>
  <c r="R65" i="3"/>
  <c r="K57" i="3"/>
  <c r="V94" i="3"/>
  <c r="AO85" i="3"/>
  <c r="Q95" i="3"/>
  <c r="U61" i="3"/>
  <c r="H84" i="3"/>
  <c r="M49" i="3"/>
  <c r="W76" i="3"/>
  <c r="L74" i="3"/>
  <c r="K66" i="3"/>
  <c r="O68" i="3"/>
  <c r="AL55" i="3"/>
  <c r="AO78" i="3"/>
  <c r="S70" i="3"/>
  <c r="O58" i="3"/>
  <c r="AJ58" i="3"/>
  <c r="AQ91" i="3"/>
  <c r="S63" i="3"/>
  <c r="AJ88" i="3"/>
  <c r="I55" i="3"/>
  <c r="K92" i="3"/>
  <c r="J74" i="3"/>
  <c r="Y48" i="3"/>
  <c r="J77" i="3"/>
  <c r="L76" i="3"/>
  <c r="Y93" i="3"/>
  <c r="N66" i="3"/>
  <c r="AC85" i="3"/>
  <c r="O81" i="3"/>
  <c r="AM78" i="3"/>
  <c r="S66" i="3"/>
  <c r="AL63" i="3"/>
  <c r="V81" i="3"/>
  <c r="V63" i="3"/>
  <c r="AM48" i="3"/>
  <c r="AI82" i="3"/>
  <c r="L54" i="3"/>
  <c r="L48" i="3"/>
  <c r="AQ54" i="3"/>
  <c r="Q68" i="3"/>
  <c r="K48" i="3"/>
  <c r="AM72" i="3"/>
  <c r="AG64" i="3"/>
  <c r="AC54" i="3"/>
  <c r="S56" i="3"/>
  <c r="Y64" i="3"/>
  <c r="AL76" i="3"/>
  <c r="U71" i="3"/>
  <c r="AQ92" i="3"/>
  <c r="AE62" i="3"/>
  <c r="K91" i="3"/>
  <c r="Z82" i="3"/>
  <c r="T94" i="3"/>
  <c r="AQ77" i="3"/>
  <c r="Z83" i="3"/>
  <c r="R73" i="3"/>
  <c r="V82" i="3"/>
  <c r="AA77" i="3"/>
  <c r="AI62" i="3"/>
  <c r="AK84" i="3"/>
  <c r="H59" i="3"/>
  <c r="H83" i="3"/>
  <c r="L87" i="3"/>
  <c r="L71" i="3"/>
  <c r="O89" i="3"/>
  <c r="T81" i="3"/>
  <c r="AA62" i="3"/>
  <c r="AK47" i="3"/>
  <c r="AH75" i="3"/>
  <c r="K71" i="3"/>
  <c r="AQ89" i="3"/>
  <c r="T82" i="3"/>
  <c r="I61" i="3"/>
  <c r="H57" i="3"/>
  <c r="AE71" i="3"/>
  <c r="Q83" i="3"/>
  <c r="N63" i="3"/>
  <c r="U55" i="3"/>
  <c r="AH47" i="3"/>
  <c r="AJ68" i="3"/>
  <c r="R85" i="3"/>
  <c r="AJ62" i="3"/>
  <c r="K76" i="3"/>
  <c r="X64" i="3"/>
  <c r="AJ90" i="3"/>
  <c r="N55" i="3"/>
  <c r="K95" i="3"/>
  <c r="Z71" i="3"/>
  <c r="H56" i="3"/>
  <c r="AA67" i="3"/>
  <c r="J63" i="3"/>
  <c r="AC62" i="3"/>
  <c r="R57" i="3"/>
  <c r="AQ68" i="3"/>
  <c r="U70" i="3"/>
  <c r="R81" i="3"/>
  <c r="AH93" i="3"/>
  <c r="Y50" i="3"/>
  <c r="AE60" i="3"/>
  <c r="U89" i="3"/>
  <c r="AA84" i="3"/>
  <c r="Q49" i="3"/>
  <c r="AC64" i="3"/>
  <c r="AO86" i="3"/>
  <c r="AA96" i="3"/>
  <c r="Z77" i="3"/>
  <c r="Y59" i="3"/>
  <c r="R58" i="3"/>
  <c r="M77" i="3"/>
  <c r="AE78" i="3"/>
  <c r="AG57" i="3"/>
  <c r="I70" i="3"/>
  <c r="Z69" i="3"/>
  <c r="AL97" i="3"/>
  <c r="T83" i="3"/>
  <c r="AQ71" i="3"/>
  <c r="T68" i="3"/>
  <c r="AC72" i="3"/>
  <c r="R75" i="3"/>
  <c r="X65" i="3"/>
  <c r="H54" i="3"/>
  <c r="I58" i="3"/>
  <c r="AO88" i="3"/>
  <c r="AI78" i="3"/>
  <c r="Q70" i="3"/>
  <c r="AC55" i="3"/>
  <c r="U96" i="3"/>
  <c r="AL87" i="3"/>
  <c r="O75" i="3"/>
  <c r="K97" i="3"/>
  <c r="H78" i="3"/>
  <c r="AK61" i="3"/>
  <c r="L86" i="3"/>
  <c r="AJ63" i="3"/>
  <c r="Q67" i="3"/>
  <c r="X78" i="3"/>
  <c r="AG65" i="3"/>
  <c r="AM88" i="3"/>
  <c r="AH67" i="3"/>
  <c r="T66" i="3"/>
  <c r="AH86" i="3"/>
  <c r="Y61" i="3"/>
  <c r="AL95" i="3"/>
  <c r="Z61" i="3"/>
  <c r="I60" i="3"/>
  <c r="R72" i="3"/>
  <c r="V91" i="3"/>
  <c r="AG95" i="3"/>
  <c r="AL57" i="3"/>
  <c r="V48" i="3"/>
  <c r="AQ65" i="3"/>
  <c r="AC61" i="3"/>
  <c r="I85" i="3"/>
  <c r="L8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P77" i="3"/>
  <c r="AK73" i="3"/>
  <c r="I83" i="3"/>
  <c r="Y77" i="3"/>
  <c r="U64" i="3"/>
  <c r="AH82" i="3"/>
  <c r="M70" i="3"/>
  <c r="AM55" i="3"/>
  <c r="Y68" i="3"/>
  <c r="AC80" i="3"/>
  <c r="N80" i="3"/>
  <c r="AL48" i="3"/>
  <c r="W63" i="3"/>
  <c r="AJ84" i="3"/>
  <c r="I71" i="3"/>
  <c r="V89" i="3"/>
  <c r="AK54" i="3"/>
  <c r="M72" i="3"/>
  <c r="Y67" i="3"/>
  <c r="AG82" i="3"/>
  <c r="W62" i="3"/>
  <c r="AH61" i="3"/>
  <c r="O55" i="3"/>
  <c r="I74" i="3"/>
  <c r="W47" i="3"/>
  <c r="H68" i="3"/>
  <c r="AG68" i="3"/>
  <c r="Y73" i="3"/>
  <c r="J54" i="3"/>
  <c r="AA60" i="3"/>
  <c r="AO64" i="3"/>
  <c r="AA61" i="3"/>
  <c r="U73" i="3"/>
  <c r="S93" i="3"/>
  <c r="N90" i="3"/>
  <c r="Q73" i="3"/>
  <c r="J85" i="3" l="1"/>
  <c r="N71" i="3"/>
  <c r="Z64" i="3"/>
  <c r="AO71" i="3"/>
  <c r="AA88" i="3"/>
  <c r="S47" i="3"/>
  <c r="P50" i="3"/>
  <c r="AM67" i="3"/>
  <c r="AE85" i="3"/>
  <c r="P61" i="3"/>
  <c r="V87" i="3"/>
  <c r="AA87" i="3"/>
  <c r="AG49" i="3"/>
  <c r="AL61" i="3"/>
  <c r="AH64" i="3"/>
  <c r="I77" i="3"/>
  <c r="H70" i="3"/>
  <c r="J92" i="3"/>
  <c r="M60" i="3"/>
  <c r="O83" i="3"/>
  <c r="X49" i="3"/>
  <c r="H96" i="3"/>
  <c r="W89" i="3"/>
  <c r="AM91" i="3"/>
  <c r="AJ61" i="3"/>
  <c r="P58" i="3"/>
  <c r="AE67" i="3"/>
  <c r="AJ95" i="3"/>
  <c r="O90" i="3"/>
  <c r="K80" i="3"/>
  <c r="W96" i="3"/>
  <c r="AL96" i="3"/>
  <c r="AC65" i="3"/>
  <c r="AH71" i="3"/>
  <c r="AJ74" i="3"/>
  <c r="P62" i="3"/>
  <c r="AE69" i="3"/>
  <c r="AC71" i="3"/>
  <c r="R78" i="3"/>
  <c r="T49" i="3"/>
  <c r="K79" i="3"/>
  <c r="U60" i="3"/>
  <c r="AC76" i="3"/>
  <c r="AO81" i="3"/>
  <c r="AK80" i="3"/>
  <c r="AI47" i="3"/>
  <c r="AJ70" i="3"/>
  <c r="AE47" i="3"/>
  <c r="N84" i="3"/>
  <c r="AC58" i="3"/>
  <c r="AG47" i="3"/>
  <c r="U67" i="3"/>
  <c r="Z89" i="3"/>
  <c r="Y79" i="3"/>
  <c r="AK95" i="3"/>
  <c r="Z93" i="3"/>
  <c r="AO73" i="3"/>
  <c r="AJ57" i="3"/>
  <c r="AM71" i="3"/>
  <c r="K75" i="3"/>
  <c r="AL85" i="3"/>
  <c r="AQ57" i="3"/>
  <c r="Z55" i="3"/>
  <c r="U79" i="3"/>
  <c r="P94" i="3"/>
  <c r="AK49" i="3"/>
  <c r="J83" i="3"/>
  <c r="H73" i="3"/>
  <c r="AJ60" i="3"/>
  <c r="AC63" i="3"/>
  <c r="Q57" i="3"/>
  <c r="AE70" i="3"/>
  <c r="K77" i="3"/>
  <c r="AQ80" i="3"/>
  <c r="H71" i="3"/>
  <c r="AE95" i="3"/>
  <c r="W69" i="3"/>
  <c r="X82" i="3"/>
  <c r="AQ61" i="3"/>
  <c r="I69" i="3"/>
  <c r="R71" i="3"/>
  <c r="Z92" i="3"/>
  <c r="AM60" i="3"/>
  <c r="U47" i="3"/>
  <c r="AO48" i="3"/>
  <c r="N69" i="3"/>
  <c r="H64" i="3"/>
  <c r="AE64" i="3"/>
  <c r="AE82" i="3"/>
  <c r="Q96" i="3"/>
  <c r="AO54" i="3"/>
  <c r="Z74" i="3"/>
  <c r="AM61" i="3"/>
  <c r="U97" i="3"/>
  <c r="AQ67" i="3"/>
  <c r="X79" i="3"/>
  <c r="AA57" i="3"/>
  <c r="AI93" i="3"/>
  <c r="AK57" i="3"/>
  <c r="M65" i="3"/>
  <c r="X73" i="3"/>
  <c r="V65" i="3"/>
  <c r="Z78" i="3"/>
  <c r="AE61" i="3"/>
  <c r="AM84" i="3"/>
  <c r="O69" i="3"/>
  <c r="O88" i="3"/>
  <c r="H88" i="3"/>
  <c r="L80" i="3"/>
  <c r="S72" i="3"/>
  <c r="AM86" i="3"/>
  <c r="AG88" i="3"/>
  <c r="U88" i="3"/>
  <c r="AI92" i="3"/>
  <c r="Q69" i="3"/>
  <c r="AC91" i="3"/>
  <c r="Q50" i="3"/>
  <c r="K87" i="3"/>
  <c r="O82" i="3"/>
  <c r="T88" i="3"/>
  <c r="AO55" i="3"/>
  <c r="AM83" i="3"/>
  <c r="J91" i="3"/>
  <c r="Q87" i="3"/>
  <c r="J95" i="3"/>
  <c r="K90" i="3"/>
  <c r="AO69" i="3"/>
  <c r="S80" i="3"/>
  <c r="AG76" i="3"/>
  <c r="T50" i="3"/>
  <c r="L96" i="3"/>
  <c r="AH96" i="3"/>
  <c r="K81" i="3"/>
  <c r="L79" i="3"/>
  <c r="AH94" i="3"/>
  <c r="H93" i="3"/>
  <c r="AA86" i="3"/>
  <c r="AQ66" i="3"/>
  <c r="U93" i="3"/>
  <c r="AQ60" i="3"/>
  <c r="AQ86" i="3"/>
  <c r="AJ93" i="3"/>
  <c r="AH79" i="3"/>
  <c r="H58" i="3"/>
  <c r="M59" i="3"/>
  <c r="AG73" i="3"/>
  <c r="AL93" i="3"/>
  <c r="M92" i="3"/>
  <c r="L63" i="3"/>
  <c r="Y84" i="3"/>
  <c r="R54" i="3"/>
  <c r="AO49" i="3"/>
  <c r="Q74" i="3"/>
  <c r="X80" i="3"/>
  <c r="O63" i="3"/>
  <c r="AC75" i="3"/>
  <c r="AI88" i="3"/>
  <c r="Z48" i="3"/>
  <c r="X63" i="3"/>
  <c r="AK85" i="3"/>
  <c r="Y94" i="3"/>
  <c r="M69" i="3"/>
  <c r="O71" i="3"/>
  <c r="AH77" i="3"/>
  <c r="AH73" i="3"/>
  <c r="L64" i="3"/>
  <c r="AA83" i="3"/>
  <c r="M76" i="3"/>
  <c r="Z97" i="3"/>
  <c r="H81" i="3"/>
  <c r="O95" i="3"/>
  <c r="N85" i="3"/>
  <c r="AL68" i="3"/>
  <c r="AH76" i="3"/>
  <c r="T54" i="3"/>
  <c r="I81" i="3"/>
  <c r="X81" i="3"/>
  <c r="AQ97" i="3"/>
  <c r="H79" i="3"/>
  <c r="O74" i="3"/>
  <c r="P79" i="3"/>
  <c r="O84" i="3"/>
  <c r="T65" i="3"/>
  <c r="AQ81" i="3"/>
  <c r="Q61" i="3"/>
  <c r="AK59" i="3"/>
  <c r="AA89" i="3"/>
  <c r="Z73" i="3"/>
  <c r="Z47" i="3"/>
  <c r="U74" i="3"/>
  <c r="AC73" i="3"/>
  <c r="Y56" i="3"/>
  <c r="AE65" i="3"/>
  <c r="V85" i="3"/>
  <c r="AE74" i="3"/>
  <c r="P96" i="3"/>
  <c r="AE96" i="3"/>
  <c r="M93" i="3"/>
  <c r="AA72" i="3"/>
  <c r="N92" i="3"/>
  <c r="T69" i="3"/>
  <c r="V86" i="3"/>
  <c r="U91" i="3"/>
  <c r="P54" i="3"/>
  <c r="X60" i="3"/>
  <c r="AG67" i="3"/>
  <c r="Y70" i="3"/>
  <c r="K61" i="3"/>
  <c r="AO79" i="3"/>
  <c r="Z81" i="3"/>
  <c r="Y58" i="3"/>
  <c r="AG60" i="3"/>
  <c r="U76" i="3"/>
  <c r="X84" i="3"/>
  <c r="AI89" i="3"/>
  <c r="L70" i="3"/>
  <c r="AO66" i="3"/>
  <c r="I64" i="3"/>
  <c r="S81" i="3"/>
  <c r="I50" i="3"/>
  <c r="L77" i="3"/>
  <c r="I79" i="3"/>
  <c r="AG81" i="3"/>
  <c r="I47" i="3"/>
  <c r="AQ47" i="3"/>
  <c r="R89" i="3"/>
  <c r="AJ91" i="3"/>
  <c r="AA50" i="3"/>
  <c r="AK71" i="3"/>
  <c r="AA54" i="3"/>
  <c r="AL67" i="3"/>
  <c r="Y49" i="3"/>
  <c r="P71" i="3"/>
  <c r="AI74" i="3"/>
  <c r="AI76" i="3"/>
  <c r="M97" i="3"/>
  <c r="J72" i="3"/>
  <c r="Y86" i="3"/>
  <c r="AM97" i="3"/>
  <c r="T79" i="3"/>
  <c r="AC50" i="3"/>
  <c r="AK87" i="3"/>
  <c r="AC47" i="3"/>
  <c r="M63" i="3"/>
  <c r="I90" i="3"/>
  <c r="M96" i="3"/>
  <c r="Z80" i="3"/>
  <c r="AO97" i="3"/>
  <c r="U48" i="3"/>
  <c r="AL83" i="3"/>
  <c r="Z75" i="3"/>
  <c r="T67" i="3"/>
  <c r="I92" i="3"/>
  <c r="AQ56" i="3"/>
  <c r="T95" i="3"/>
  <c r="AH50" i="3"/>
  <c r="Q97" i="3"/>
  <c r="AI55" i="3"/>
  <c r="N54" i="3"/>
  <c r="AE83" i="3"/>
  <c r="J97" i="3"/>
  <c r="K94" i="3"/>
  <c r="AM64" i="3"/>
  <c r="X76" i="3"/>
  <c r="AH87" i="3"/>
  <c r="AG91" i="3"/>
  <c r="AH81" i="3"/>
  <c r="AJ82" i="3"/>
  <c r="V69" i="3"/>
  <c r="AE84" i="3"/>
  <c r="M95" i="3"/>
  <c r="V79" i="3"/>
  <c r="Y96" i="3"/>
  <c r="AQ72" i="3"/>
  <c r="I48" i="3"/>
  <c r="K62" i="3"/>
  <c r="AE68" i="3"/>
  <c r="J80" i="3"/>
  <c r="AJ67" i="3"/>
  <c r="AL89" i="3"/>
  <c r="Z76" i="3"/>
  <c r="AQ58" i="3"/>
  <c r="P84" i="3"/>
  <c r="J90" i="3"/>
  <c r="AO58" i="3"/>
  <c r="AG70" i="3"/>
  <c r="U69" i="3"/>
  <c r="AJ66" i="3"/>
  <c r="AJ54" i="3"/>
  <c r="M61" i="3"/>
  <c r="J48" i="3"/>
  <c r="K63" i="3"/>
  <c r="Y89" i="3"/>
  <c r="Z86" i="3"/>
  <c r="AG86" i="3"/>
  <c r="V49" i="3"/>
  <c r="J94" i="3"/>
  <c r="T96" i="3"/>
  <c r="AG59" i="3"/>
  <c r="R90" i="3"/>
  <c r="AQ70" i="3"/>
  <c r="AL86" i="3"/>
  <c r="M47" i="3"/>
  <c r="AC56" i="3"/>
  <c r="AJ97" i="3"/>
  <c r="U65" i="3"/>
  <c r="R70" i="3"/>
  <c r="AO67" i="3"/>
  <c r="K59" i="3"/>
  <c r="AQ84" i="3"/>
  <c r="J47" i="3"/>
  <c r="P93" i="3"/>
  <c r="AO72" i="3"/>
  <c r="AO93" i="3"/>
  <c r="AL78" i="3"/>
  <c r="K82" i="3"/>
  <c r="T55" i="3"/>
  <c r="Y54" i="3"/>
  <c r="AJ85" i="3"/>
  <c r="AL54" i="3"/>
  <c r="Y75" i="3"/>
  <c r="AL56" i="3"/>
  <c r="Z84" i="3"/>
  <c r="P75" i="3"/>
  <c r="AO65" i="3"/>
  <c r="AG87" i="3"/>
  <c r="P60" i="3"/>
  <c r="J87" i="3"/>
  <c r="AC84" i="3"/>
  <c r="U62" i="3"/>
  <c r="J71" i="3"/>
  <c r="R69" i="3"/>
  <c r="V54" i="3"/>
  <c r="AG74" i="3"/>
  <c r="T62" i="3"/>
  <c r="I76" i="3"/>
  <c r="AE59" i="3"/>
  <c r="J64" i="3"/>
  <c r="Z72" i="3"/>
  <c r="I67" i="3"/>
  <c r="AG63" i="3"/>
  <c r="I63" i="3"/>
  <c r="Z65" i="3"/>
  <c r="V67" i="3"/>
  <c r="J59" i="3"/>
  <c r="R83" i="3"/>
  <c r="M88" i="3"/>
  <c r="R49" i="3"/>
  <c r="AO80" i="3"/>
  <c r="Y60" i="3"/>
  <c r="AC68" i="3"/>
  <c r="R48" i="3"/>
  <c r="AN89" i="3"/>
  <c r="X97" i="3"/>
  <c r="AC95" i="3"/>
  <c r="AO82" i="3"/>
  <c r="T70" i="3"/>
  <c r="S74" i="3"/>
  <c r="P47" i="3"/>
  <c r="Y74" i="3"/>
  <c r="AI68" i="3"/>
  <c r="AO59" i="3"/>
  <c r="R91" i="3"/>
  <c r="AO68" i="3"/>
  <c r="AG66" i="3"/>
  <c r="J73" i="3"/>
  <c r="J70" i="3"/>
  <c r="AO76" i="3"/>
  <c r="AL66" i="3"/>
  <c r="H55" i="3"/>
  <c r="H66" i="3"/>
  <c r="AN151" i="1" s="1"/>
  <c r="AO151" i="1" s="1"/>
  <c r="AI71" i="3"/>
  <c r="AI84" i="3"/>
  <c r="AK66" i="3"/>
  <c r="AK69" i="3"/>
  <c r="Z54" i="3"/>
  <c r="Z57" i="3"/>
  <c r="BF118" i="1" s="1"/>
  <c r="BG118" i="1" s="1"/>
  <c r="Z96" i="3"/>
  <c r="BF163" i="1" s="1"/>
  <c r="BG163" i="1" s="1"/>
  <c r="R76" i="3"/>
  <c r="R79" i="3"/>
  <c r="AX143" i="1" s="1"/>
  <c r="R59" i="3"/>
  <c r="AO50" i="3"/>
  <c r="BU74" i="1" s="1"/>
  <c r="AO60" i="3"/>
  <c r="AG71" i="3"/>
  <c r="AG83" i="3"/>
  <c r="AN66" i="3"/>
  <c r="BT151" i="1" s="1"/>
  <c r="BU151" i="1" s="1"/>
  <c r="AN48" i="3"/>
  <c r="AN93" i="3"/>
  <c r="AN60" i="3"/>
  <c r="BT122" i="1" s="1"/>
  <c r="BU122" i="1" s="1"/>
  <c r="AN55" i="3"/>
  <c r="AN56" i="3"/>
  <c r="BT117" i="1" s="1"/>
  <c r="BU117" i="1" s="1"/>
  <c r="AN71" i="3"/>
  <c r="AN88" i="3"/>
  <c r="BT127" i="1" s="1"/>
  <c r="BU127" i="1" s="1"/>
  <c r="AN67" i="3"/>
  <c r="AN94" i="3"/>
  <c r="AN78" i="3"/>
  <c r="BT142" i="1" s="1"/>
  <c r="BU142" i="1" s="1"/>
  <c r="AN90" i="3"/>
  <c r="BT126" i="1" s="1"/>
  <c r="BU126" i="1" s="1"/>
  <c r="AN62" i="3"/>
  <c r="BT124" i="1" s="1"/>
  <c r="AN75" i="3"/>
  <c r="AN96" i="3"/>
  <c r="BT163" i="1" s="1"/>
  <c r="BU163" i="1" s="1"/>
  <c r="AN76" i="3"/>
  <c r="AN83" i="3"/>
  <c r="BT160" i="1" s="1"/>
  <c r="AN72" i="3"/>
  <c r="BT135" i="1" s="1"/>
  <c r="BU135" i="1" s="1"/>
  <c r="AN58" i="3"/>
  <c r="BT119" i="1" s="1"/>
  <c r="AN63" i="3"/>
  <c r="BT125" i="1" s="1"/>
  <c r="BU125" i="1" s="1"/>
  <c r="AN82" i="3"/>
  <c r="BT145" i="1" s="1"/>
  <c r="AN91" i="3"/>
  <c r="BT154" i="1" s="1"/>
  <c r="BU154" i="1" s="1"/>
  <c r="AN54" i="3"/>
  <c r="AN70" i="3"/>
  <c r="BT133" i="1" s="1"/>
  <c r="AN74" i="3"/>
  <c r="BT137" i="1" s="1"/>
  <c r="BU137" i="1" s="1"/>
  <c r="AN92" i="3"/>
  <c r="BT155" i="1" s="1"/>
  <c r="BU155" i="1" s="1"/>
  <c r="AN85" i="3"/>
  <c r="BT147" i="1" s="1"/>
  <c r="BU147" i="1" s="1"/>
  <c r="AN65" i="3"/>
  <c r="BT150" i="1" s="1"/>
  <c r="BU150" i="1" s="1"/>
  <c r="AN79" i="3"/>
  <c r="BT143" i="1" s="1"/>
  <c r="AN86" i="3"/>
  <c r="AN61" i="3"/>
  <c r="AN64" i="3"/>
  <c r="BT149" i="1" s="1"/>
  <c r="BU149" i="1" s="1"/>
  <c r="AN49" i="3"/>
  <c r="BT73" i="1" s="1"/>
  <c r="AN69" i="3"/>
  <c r="BT132" i="1" s="1"/>
  <c r="AN77" i="3"/>
  <c r="BT140" i="1" s="1"/>
  <c r="AN57" i="3"/>
  <c r="BT118" i="1" s="1"/>
  <c r="BU118" i="1" s="1"/>
  <c r="AN47" i="3"/>
  <c r="AN87" i="3"/>
  <c r="BT152" i="1" s="1"/>
  <c r="BU152" i="1" s="1"/>
  <c r="AN80" i="3"/>
  <c r="BT159" i="1" s="1"/>
  <c r="AN68" i="3"/>
  <c r="BT131" i="1" s="1"/>
  <c r="AN84" i="3"/>
  <c r="BT146" i="1" s="1"/>
  <c r="BU146" i="1" s="1"/>
  <c r="AN95" i="3"/>
  <c r="BT164" i="1" s="1"/>
  <c r="BU164" i="1" s="1"/>
  <c r="AN81" i="3"/>
  <c r="BT144" i="1" s="1"/>
  <c r="AN50" i="3"/>
  <c r="BT74" i="1" s="1"/>
  <c r="AN73" i="3"/>
  <c r="AN97" i="3"/>
  <c r="AN59" i="3"/>
  <c r="AE79" i="3"/>
  <c r="AE91" i="3"/>
  <c r="BP8" i="1"/>
  <c r="BP231" i="1" s="1"/>
  <c r="BO47" i="1"/>
  <c r="BD35" i="1"/>
  <c r="BA21" i="1"/>
  <c r="BQ20" i="1"/>
  <c r="AN14" i="1"/>
  <c r="BI45" i="1"/>
  <c r="BN25" i="1"/>
  <c r="BR46" i="1"/>
  <c r="BS24" i="1"/>
  <c r="AT35" i="1"/>
  <c r="AZ51" i="1"/>
  <c r="AT20" i="1"/>
  <c r="AQ14" i="1"/>
  <c r="BE46" i="1"/>
  <c r="BR32" i="1"/>
  <c r="AR21" i="1"/>
  <c r="BN32" i="1"/>
  <c r="AQ13" i="1"/>
  <c r="AP39" i="1"/>
  <c r="AZ14" i="1"/>
  <c r="AO45" i="1"/>
  <c r="BU36" i="1"/>
  <c r="AV22" i="1"/>
  <c r="BM13" i="1"/>
  <c r="AX36" i="1"/>
  <c r="AN9" i="1"/>
  <c r="V73" i="1"/>
  <c r="L137" i="1"/>
  <c r="F147" i="1"/>
  <c r="Q164" i="1"/>
  <c r="BU8" i="1"/>
  <c r="BU231" i="1" s="1"/>
  <c r="BP51" i="1"/>
  <c r="BN39" i="1"/>
  <c r="BN13" i="1"/>
  <c r="AZ46" i="1"/>
  <c r="B135" i="1"/>
  <c r="BN8" i="1"/>
  <c r="BE22" i="1"/>
  <c r="AZ8" i="1"/>
  <c r="AP47" i="1"/>
  <c r="AS20" i="1"/>
  <c r="BD15" i="1"/>
  <c r="BJ45" i="1"/>
  <c r="BE24" i="1"/>
  <c r="AZ39" i="1"/>
  <c r="AQ23" i="1"/>
  <c r="BB47" i="1"/>
  <c r="BC21" i="1"/>
  <c r="BA39" i="1"/>
  <c r="BM9" i="1"/>
  <c r="AY8" i="1"/>
  <c r="BT13" i="1"/>
  <c r="BO46" i="1"/>
  <c r="AV24" i="1"/>
  <c r="BA36" i="1"/>
  <c r="AO8" i="1"/>
  <c r="AN13" i="1"/>
  <c r="BR45" i="1"/>
  <c r="BI35" i="1"/>
  <c r="BU13" i="1"/>
  <c r="BT45" i="1"/>
  <c r="AM47" i="1"/>
  <c r="AT13" i="1"/>
  <c r="AQ46" i="1"/>
  <c r="AZ36" i="1"/>
  <c r="BH147" i="1"/>
  <c r="BI147" i="1" s="1"/>
  <c r="G122" i="1"/>
  <c r="F163" i="1"/>
  <c r="F136" i="1"/>
  <c r="AS14" i="1"/>
  <c r="S135" i="1"/>
  <c r="S131" i="1" s="1"/>
  <c r="BD8" i="1"/>
  <c r="AP15" i="1"/>
  <c r="BP39" i="1"/>
  <c r="BW32" i="1"/>
  <c r="BW194" i="1" s="1"/>
  <c r="BG47" i="1"/>
  <c r="BJ35" i="1"/>
  <c r="AY36" i="1"/>
  <c r="AY24" i="1"/>
  <c r="BB21" i="1"/>
  <c r="AT21" i="1"/>
  <c r="AT15" i="1"/>
  <c r="BB46" i="1"/>
  <c r="BJ51" i="1"/>
  <c r="BB22" i="1"/>
  <c r="BK46" i="1"/>
  <c r="AI39" i="1"/>
  <c r="BE39" i="1"/>
  <c r="BI22" i="1"/>
  <c r="BE23" i="1"/>
  <c r="BP47" i="1"/>
  <c r="BQ23" i="1"/>
  <c r="BH46" i="1"/>
  <c r="BJ22" i="1"/>
  <c r="BJ26" i="1" s="1"/>
  <c r="AQ8" i="1"/>
  <c r="AQ231" i="1" s="1"/>
  <c r="AQ25" i="1"/>
  <c r="BO32" i="1"/>
  <c r="BO194" i="1" s="1"/>
  <c r="BH22" i="1"/>
  <c r="BH15" i="1"/>
  <c r="BE25" i="1"/>
  <c r="AN8" i="1"/>
  <c r="BH154" i="1"/>
  <c r="BI154" i="1" s="1"/>
  <c r="R171" i="1"/>
  <c r="R151" i="1"/>
  <c r="BB9" i="1"/>
  <c r="BG35" i="1"/>
  <c r="BQ14" i="1"/>
  <c r="O127" i="1"/>
  <c r="BQ32" i="1"/>
  <c r="BQ194" i="1" s="1"/>
  <c r="AW13" i="1"/>
  <c r="BW15" i="1"/>
  <c r="BH20" i="1"/>
  <c r="AU45" i="1"/>
  <c r="AS25" i="1"/>
  <c r="AR13" i="1"/>
  <c r="AT25" i="1"/>
  <c r="AP13" i="1"/>
  <c r="AW25" i="1"/>
  <c r="AX14" i="1"/>
  <c r="BF21" i="1"/>
  <c r="AI20" i="1"/>
  <c r="BW20" i="1"/>
  <c r="BA51" i="1"/>
  <c r="BI13" i="1"/>
  <c r="BM20" i="1"/>
  <c r="AW51" i="1"/>
  <c r="BG39" i="1"/>
  <c r="BQ8" i="1"/>
  <c r="BQ253" i="1" s="1"/>
  <c r="BF25" i="1"/>
  <c r="BA13" i="1"/>
  <c r="BC35" i="1"/>
  <c r="BF22" i="1"/>
  <c r="BA46" i="1"/>
  <c r="BF9" i="1"/>
  <c r="AP35" i="1"/>
  <c r="BG23" i="1"/>
  <c r="BK39" i="1"/>
  <c r="AU20" i="1"/>
  <c r="BK45" i="1"/>
  <c r="BA24" i="1"/>
  <c r="AP20" i="1"/>
  <c r="BV153" i="1"/>
  <c r="BH127" i="1"/>
  <c r="BI127" i="1" s="1"/>
  <c r="P124" i="1"/>
  <c r="E127" i="1"/>
  <c r="AY13" i="1"/>
  <c r="BV21" i="1"/>
  <c r="AQ9" i="1"/>
  <c r="BB24" i="1"/>
  <c r="BN9" i="1"/>
  <c r="AW21" i="1"/>
  <c r="BC23" i="1"/>
  <c r="BP22" i="1"/>
  <c r="AX20" i="1"/>
  <c r="BH21" i="1"/>
  <c r="AR45" i="1"/>
  <c r="BB32" i="1"/>
  <c r="BI46" i="1"/>
  <c r="AV32" i="1"/>
  <c r="AV194" i="1" s="1"/>
  <c r="BW36" i="1"/>
  <c r="BT20" i="1"/>
  <c r="BV51" i="1"/>
  <c r="BG20" i="1"/>
  <c r="BR39" i="1"/>
  <c r="BN36" i="1"/>
  <c r="AP9" i="1"/>
  <c r="AV21" i="1"/>
  <c r="BB15" i="1"/>
  <c r="BI23" i="1"/>
  <c r="AZ15" i="1"/>
  <c r="BC15" i="1"/>
  <c r="AO39" i="1"/>
  <c r="BT21" i="1"/>
  <c r="AO36" i="1"/>
  <c r="BP23" i="1"/>
  <c r="BF32" i="1"/>
  <c r="BF194" i="1" s="1"/>
  <c r="BS23" i="1"/>
  <c r="BC25" i="1"/>
  <c r="BU24" i="1"/>
  <c r="BV131" i="1"/>
  <c r="W153" i="1"/>
  <c r="J143" i="1"/>
  <c r="J137" i="1"/>
  <c r="BD9" i="1"/>
  <c r="BH126" i="1"/>
  <c r="BI126" i="1" s="1"/>
  <c r="BD51" i="1"/>
  <c r="BM36" i="1"/>
  <c r="AN47" i="1"/>
  <c r="BT51" i="1"/>
  <c r="BE47" i="1"/>
  <c r="AO46" i="1"/>
  <c r="AN46" i="1"/>
  <c r="BW35" i="1"/>
  <c r="BV20" i="1"/>
  <c r="BN23" i="1"/>
  <c r="BC14" i="1"/>
  <c r="BB14" i="1"/>
  <c r="BF24" i="1"/>
  <c r="AV45" i="1"/>
  <c r="AT47" i="1"/>
  <c r="BV159" i="1"/>
  <c r="B126" i="1"/>
  <c r="B154" i="1" s="1"/>
  <c r="R153" i="1"/>
  <c r="R183" i="1" s="1"/>
  <c r="BJ36" i="1"/>
  <c r="BJ252" i="1" s="1"/>
  <c r="BK24" i="1"/>
  <c r="BJ39" i="1"/>
  <c r="BU14" i="1"/>
  <c r="AP23" i="1"/>
  <c r="BS51" i="1"/>
  <c r="AW36" i="1"/>
  <c r="AQ36" i="1"/>
  <c r="AY23" i="1"/>
  <c r="AI25" i="1"/>
  <c r="BG24" i="1"/>
  <c r="BS25" i="1"/>
  <c r="AU14" i="1"/>
  <c r="BQ47" i="1"/>
  <c r="AV47" i="1"/>
  <c r="AO15" i="1"/>
  <c r="BT15" i="1"/>
  <c r="BS46" i="1"/>
  <c r="BP46" i="1"/>
  <c r="BT22" i="1"/>
  <c r="BQ51" i="1"/>
  <c r="BW47" i="1"/>
  <c r="BS45" i="1"/>
  <c r="BB8" i="1"/>
  <c r="BT32" i="1"/>
  <c r="BT194" i="1" s="1"/>
  <c r="AY47" i="1"/>
  <c r="BI47" i="1"/>
  <c r="BR14" i="1"/>
  <c r="BU20" i="1"/>
  <c r="BN45" i="1"/>
  <c r="AY35" i="1"/>
  <c r="AO25" i="1"/>
  <c r="AO23" i="1"/>
  <c r="BG22" i="1"/>
  <c r="BT36" i="1"/>
  <c r="AP51" i="1"/>
  <c r="BE15" i="1"/>
  <c r="BD46" i="1"/>
  <c r="BG36" i="1"/>
  <c r="E172" i="1"/>
  <c r="W151" i="1"/>
  <c r="BU47" i="1"/>
  <c r="BR15" i="1"/>
  <c r="BQ25" i="1"/>
  <c r="AN39" i="1"/>
  <c r="BB13" i="1"/>
  <c r="BV46" i="1"/>
  <c r="BB51" i="1"/>
  <c r="BS21" i="1"/>
  <c r="BI24" i="1"/>
  <c r="AT36" i="1"/>
  <c r="BM46" i="1"/>
  <c r="AY25" i="1"/>
  <c r="AP46" i="1"/>
  <c r="BP13" i="1"/>
  <c r="AQ21" i="1"/>
  <c r="BI14" i="1"/>
  <c r="BR47" i="1"/>
  <c r="AU13" i="1"/>
  <c r="BF39" i="1"/>
  <c r="AP22" i="1"/>
  <c r="BM8" i="1"/>
  <c r="BM252" i="1" s="1"/>
  <c r="BA14" i="1"/>
  <c r="BH25" i="1"/>
  <c r="AU22" i="1"/>
  <c r="BV124" i="1"/>
  <c r="BW124" i="1" s="1"/>
  <c r="T150" i="1"/>
  <c r="F118" i="1"/>
  <c r="M77" i="1"/>
  <c r="AR46" i="1"/>
  <c r="BI15" i="1"/>
  <c r="BC9" i="1"/>
  <c r="BC10" i="1" s="1"/>
  <c r="AW22" i="1"/>
  <c r="BG9" i="1"/>
  <c r="AR24" i="1"/>
  <c r="BA35" i="1"/>
  <c r="BA9" i="1"/>
  <c r="AS32" i="1"/>
  <c r="AS194" i="1" s="1"/>
  <c r="AO14" i="1"/>
  <c r="AW32" i="1"/>
  <c r="AW15" i="1"/>
  <c r="BN14" i="1"/>
  <c r="BD25" i="1"/>
  <c r="AO21" i="1"/>
  <c r="BO21" i="1"/>
  <c r="BQ35" i="1"/>
  <c r="BK47" i="1"/>
  <c r="BE51" i="1"/>
  <c r="BS32" i="1"/>
  <c r="BS194" i="1" s="1"/>
  <c r="BW21" i="1"/>
  <c r="AI46" i="1"/>
  <c r="BM39" i="1"/>
  <c r="AS22" i="1"/>
  <c r="AM45" i="1"/>
  <c r="AQ32" i="1"/>
  <c r="BF20" i="1"/>
  <c r="AQ45" i="1"/>
  <c r="AT14" i="1"/>
  <c r="AZ25" i="1"/>
  <c r="BG25" i="1"/>
  <c r="AU23" i="1"/>
  <c r="BU46" i="1"/>
  <c r="AT8" i="1"/>
  <c r="AW14" i="1"/>
  <c r="AI23" i="1"/>
  <c r="AW24" i="1"/>
  <c r="AR51" i="1"/>
  <c r="BW24" i="1"/>
  <c r="AN35" i="1"/>
  <c r="BO9" i="1"/>
  <c r="BM45" i="1"/>
  <c r="BT39" i="1"/>
  <c r="BH8" i="1"/>
  <c r="BH231" i="1" s="1"/>
  <c r="AR32" i="1"/>
  <c r="AR194" i="1" s="1"/>
  <c r="AV25" i="1"/>
  <c r="AP45" i="1"/>
  <c r="BB25" i="1"/>
  <c r="BH45" i="1"/>
  <c r="AW20" i="1"/>
  <c r="AT24" i="1"/>
  <c r="L127" i="1"/>
  <c r="L164" i="1"/>
  <c r="BJ73" i="1"/>
  <c r="BK20" i="1"/>
  <c r="BH24" i="1"/>
  <c r="AI15" i="1"/>
  <c r="BM15" i="1"/>
  <c r="BW9" i="1"/>
  <c r="BG46" i="1"/>
  <c r="BV22" i="1"/>
  <c r="AI47" i="1"/>
  <c r="BA20" i="1"/>
  <c r="AQ47" i="1"/>
  <c r="BO23" i="1"/>
  <c r="BK14" i="1"/>
  <c r="AY32" i="1"/>
  <c r="BT24" i="1"/>
  <c r="AS23" i="1"/>
  <c r="BS8" i="1"/>
  <c r="BM23" i="1"/>
  <c r="BW13" i="1"/>
  <c r="BC36" i="1"/>
  <c r="AS51" i="1"/>
  <c r="AX45" i="1"/>
  <c r="AY39" i="1"/>
  <c r="BR25" i="1"/>
  <c r="AW8" i="1"/>
  <c r="BA23" i="1"/>
  <c r="AV15" i="1"/>
  <c r="AZ22" i="1"/>
  <c r="BQ13" i="1"/>
  <c r="BU39" i="1"/>
  <c r="AS8" i="1"/>
  <c r="AR47" i="1"/>
  <c r="AX9" i="1"/>
  <c r="BS22" i="1"/>
  <c r="BF8" i="1"/>
  <c r="BV118" i="1"/>
  <c r="C118" i="1"/>
  <c r="N137" i="1"/>
  <c r="H119" i="1"/>
  <c r="B144" i="1"/>
  <c r="B179" i="1" s="1"/>
  <c r="BB35" i="1"/>
  <c r="AQ20" i="1"/>
  <c r="BQ24" i="1"/>
  <c r="AR22" i="1"/>
  <c r="AV14" i="1"/>
  <c r="AY9" i="1"/>
  <c r="BG32" i="1"/>
  <c r="BG194" i="1" s="1"/>
  <c r="AZ24" i="1"/>
  <c r="BW45" i="1"/>
  <c r="BF23" i="1"/>
  <c r="AX15" i="1"/>
  <c r="BO39" i="1"/>
  <c r="BW46" i="1"/>
  <c r="AP32" i="1"/>
  <c r="AR14" i="1"/>
  <c r="BA25" i="1"/>
  <c r="BD21" i="1"/>
  <c r="AZ9" i="1"/>
  <c r="AI9" i="1"/>
  <c r="AO9" i="1"/>
  <c r="BU25" i="1"/>
  <c r="BW51" i="1"/>
  <c r="BV25" i="1"/>
  <c r="BC46" i="1"/>
  <c r="BM25" i="1"/>
  <c r="BS9" i="1"/>
  <c r="BI21" i="1"/>
  <c r="AU15" i="1"/>
  <c r="AI51" i="1"/>
  <c r="AT9" i="1"/>
  <c r="BG51" i="1"/>
  <c r="BI51" i="1"/>
  <c r="BK23" i="1"/>
  <c r="AR15" i="1"/>
  <c r="AU32" i="1"/>
  <c r="AU194" i="1" s="1"/>
  <c r="V135" i="1"/>
  <c r="V131" i="1" s="1"/>
  <c r="C73" i="1"/>
  <c r="U151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31" i="1" s="1"/>
  <c r="AU46" i="1"/>
  <c r="BD2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W140" i="1" s="1"/>
  <c r="BX202" i="1" s="1"/>
  <c r="BV147" i="1"/>
  <c r="BW147" i="1" s="1"/>
  <c r="BV144" i="1"/>
  <c r="BV150" i="1"/>
  <c r="BW150" i="1" s="1"/>
  <c r="BH159" i="1"/>
  <c r="BV133" i="1"/>
  <c r="U171" i="1"/>
  <c r="E137" i="1"/>
  <c r="T133" i="1"/>
  <c r="W73" i="1"/>
  <c r="D126" i="1"/>
  <c r="D154" i="1" s="1"/>
  <c r="J164" i="1"/>
  <c r="O67" i="1"/>
  <c r="M67" i="1"/>
  <c r="I150" i="1"/>
  <c r="E170" i="1"/>
  <c r="R164" i="1"/>
  <c r="O135" i="1"/>
  <c r="O131" i="1" s="1"/>
  <c r="T77" i="1"/>
  <c r="B172" i="1"/>
  <c r="M118" i="1"/>
  <c r="F132" i="1"/>
  <c r="B153" i="1"/>
  <c r="B183" i="1" s="1"/>
  <c r="U132" i="1"/>
  <c r="R140" i="1"/>
  <c r="N135" i="1"/>
  <c r="N131" i="1" s="1"/>
  <c r="G142" i="1"/>
  <c r="W67" i="1"/>
  <c r="T160" i="1"/>
  <c r="G117" i="1"/>
  <c r="O126" i="1"/>
  <c r="O154" i="1" s="1"/>
  <c r="BD39" i="1"/>
  <c r="BU35" i="1"/>
  <c r="AZ23" i="1"/>
  <c r="BR24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J17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V146" i="1"/>
  <c r="BW146" i="1" s="1"/>
  <c r="D118" i="1"/>
  <c r="S67" i="1"/>
  <c r="B127" i="1"/>
  <c r="J132" i="1"/>
  <c r="K137" i="1"/>
  <c r="P143" i="1"/>
  <c r="F146" i="1"/>
  <c r="S155" i="1"/>
  <c r="W160" i="1"/>
  <c r="E122" i="1"/>
  <c r="E145" i="1"/>
  <c r="E180" i="1" s="1"/>
  <c r="R127" i="1"/>
  <c r="C137" i="1"/>
  <c r="J73" i="1"/>
  <c r="N146" i="1"/>
  <c r="T172" i="1"/>
  <c r="W125" i="1"/>
  <c r="N172" i="1"/>
  <c r="S164" i="1"/>
  <c r="R142" i="1"/>
  <c r="R78" i="1"/>
  <c r="C151" i="1"/>
  <c r="R160" i="1"/>
  <c r="AP8" i="1"/>
  <c r="AP231" i="1" s="1"/>
  <c r="BN47" i="1"/>
  <c r="BC51" i="1"/>
  <c r="BQ46" i="1"/>
  <c r="BP25" i="1"/>
  <c r="BU32" i="1"/>
  <c r="BS35" i="1"/>
  <c r="AM73" i="1"/>
  <c r="AN24" i="1"/>
  <c r="AI8" i="1"/>
  <c r="BP14" i="1"/>
  <c r="BK32" i="1"/>
  <c r="AT32" i="1"/>
  <c r="AT194" i="1" s="1"/>
  <c r="AT39" i="1"/>
  <c r="BA8" i="1"/>
  <c r="AJ74" i="1"/>
  <c r="AX51" i="1"/>
  <c r="AQ22" i="1"/>
  <c r="BO35" i="1"/>
  <c r="BN46" i="1"/>
  <c r="BV24" i="1"/>
  <c r="BP9" i="1"/>
  <c r="BP10" i="1" s="1"/>
  <c r="AR20" i="1"/>
  <c r="BR13" i="1"/>
  <c r="AT22" i="1"/>
  <c r="AT46" i="1"/>
  <c r="BB39" i="1"/>
  <c r="AV9" i="1"/>
  <c r="BK15" i="1"/>
  <c r="AP36" i="1"/>
  <c r="AP252" i="1" s="1"/>
  <c r="BG21" i="1"/>
  <c r="BQ21" i="1"/>
  <c r="BE45" i="1"/>
  <c r="AZ45" i="1"/>
  <c r="BN24" i="1"/>
  <c r="BS15" i="1"/>
  <c r="BK36" i="1"/>
  <c r="AO20" i="1"/>
  <c r="BS36" i="1"/>
  <c r="BP36" i="1"/>
  <c r="BP252" i="1" s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D145" i="1"/>
  <c r="D180" i="1" s="1"/>
  <c r="N149" i="1"/>
  <c r="C74" i="1"/>
  <c r="F135" i="1"/>
  <c r="F131" i="1" s="1"/>
  <c r="C159" i="1"/>
  <c r="P149" i="1"/>
  <c r="H150" i="1"/>
  <c r="G136" i="1"/>
  <c r="R124" i="1"/>
  <c r="L159" i="1"/>
  <c r="W127" i="1"/>
  <c r="T145" i="1"/>
  <c r="T180" i="1" s="1"/>
  <c r="B77" i="1"/>
  <c r="W137" i="1"/>
  <c r="T164" i="1"/>
  <c r="F171" i="1"/>
  <c r="M147" i="1"/>
  <c r="I79" i="1"/>
  <c r="U135" i="1"/>
  <c r="U131" i="1" s="1"/>
  <c r="O160" i="1"/>
  <c r="N118" i="1"/>
  <c r="P151" i="1"/>
  <c r="BF35" i="1"/>
  <c r="AU47" i="1"/>
  <c r="BI20" i="1"/>
  <c r="BH39" i="1"/>
  <c r="AQ24" i="1"/>
  <c r="AZ13" i="1"/>
  <c r="AN36" i="1"/>
  <c r="AN252" i="1" s="1"/>
  <c r="BM35" i="1"/>
  <c r="BM37" i="1" s="1"/>
  <c r="AM74" i="1"/>
  <c r="AX47" i="1"/>
  <c r="BU45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79" i="1"/>
  <c r="O122" i="1"/>
  <c r="I137" i="1"/>
  <c r="G172" i="1"/>
  <c r="P150" i="1"/>
  <c r="T78" i="1"/>
  <c r="J145" i="1"/>
  <c r="J180" i="1" s="1"/>
  <c r="C117" i="1"/>
  <c r="D73" i="1"/>
  <c r="T135" i="1"/>
  <c r="T131" i="1" s="1"/>
  <c r="L132" i="1"/>
  <c r="I163" i="1"/>
  <c r="O172" i="1"/>
  <c r="F127" i="1"/>
  <c r="M74" i="1"/>
  <c r="U172" i="1"/>
  <c r="Q144" i="1"/>
  <c r="Q179" i="1" s="1"/>
  <c r="G140" i="1"/>
  <c r="P146" i="1"/>
  <c r="D140" i="1"/>
  <c r="E136" i="1"/>
  <c r="R79" i="1"/>
  <c r="G171" i="1"/>
  <c r="K74" i="1"/>
  <c r="AV23" i="1"/>
  <c r="BQ36" i="1"/>
  <c r="BQ252" i="1" s="1"/>
  <c r="BT47" i="1"/>
  <c r="BB23" i="1"/>
  <c r="BU51" i="1"/>
  <c r="BR35" i="1"/>
  <c r="AJ73" i="1"/>
  <c r="BM14" i="1"/>
  <c r="BT25" i="1"/>
  <c r="AQ15" i="1"/>
  <c r="BH32" i="1"/>
  <c r="BA45" i="1"/>
  <c r="BO36" i="1"/>
  <c r="BI32" i="1"/>
  <c r="BI194" i="1" s="1"/>
  <c r="AV51" i="1"/>
  <c r="AU36" i="1"/>
  <c r="BO25" i="1"/>
  <c r="BH36" i="1"/>
  <c r="BH252" i="1" s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AU39" i="1"/>
  <c r="BC32" i="1"/>
  <c r="AU35" i="1"/>
  <c r="BA22" i="1"/>
  <c r="BO14" i="1"/>
  <c r="AN45" i="1"/>
  <c r="BV149" i="1"/>
  <c r="BW149" i="1" s="1"/>
  <c r="BV74" i="1"/>
  <c r="BH145" i="1"/>
  <c r="BH180" i="1" s="1"/>
  <c r="BI180" i="1" s="1"/>
  <c r="BH143" i="1"/>
  <c r="BI143" i="1" s="1"/>
  <c r="BH131" i="1"/>
  <c r="T74" i="1"/>
  <c r="N124" i="1"/>
  <c r="R133" i="1"/>
  <c r="J133" i="1"/>
  <c r="M132" i="1"/>
  <c r="B150" i="1"/>
  <c r="H159" i="1"/>
  <c r="F137" i="1"/>
  <c r="T67" i="1"/>
  <c r="Q78" i="1"/>
  <c r="B160" i="1"/>
  <c r="N151" i="1"/>
  <c r="G137" i="1"/>
  <c r="L142" i="1"/>
  <c r="E78" i="1"/>
  <c r="E119" i="1"/>
  <c r="Q74" i="1"/>
  <c r="L117" i="1"/>
  <c r="G146" i="1"/>
  <c r="T137" i="1"/>
  <c r="P77" i="1"/>
  <c r="M144" i="1"/>
  <c r="M179" i="1" s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BV73" i="1"/>
  <c r="BV119" i="1"/>
  <c r="BH144" i="1"/>
  <c r="M145" i="1"/>
  <c r="M180" i="1" s="1"/>
  <c r="F164" i="1"/>
  <c r="H143" i="1"/>
  <c r="T170" i="1"/>
  <c r="M137" i="1"/>
  <c r="C127" i="1"/>
  <c r="U136" i="1"/>
  <c r="W126" i="1"/>
  <c r="W154" i="1" s="1"/>
  <c r="M163" i="1"/>
  <c r="P118" i="1"/>
  <c r="U73" i="1"/>
  <c r="D136" i="1"/>
  <c r="C126" i="1"/>
  <c r="C154" i="1" s="1"/>
  <c r="G149" i="1"/>
  <c r="H142" i="1"/>
  <c r="K119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S132" i="1"/>
  <c r="C78" i="1"/>
  <c r="H146" i="1"/>
  <c r="J77" i="1"/>
  <c r="I171" i="1"/>
  <c r="F133" i="1"/>
  <c r="K118" i="1"/>
  <c r="K77" i="1"/>
  <c r="Q122" i="1"/>
  <c r="U145" i="1"/>
  <c r="U180" i="1" s="1"/>
  <c r="L136" i="1"/>
  <c r="L150" i="1"/>
  <c r="Q143" i="1"/>
  <c r="Q140" i="1"/>
  <c r="J140" i="1"/>
  <c r="D127" i="1"/>
  <c r="T171" i="1"/>
  <c r="I143" i="1"/>
  <c r="W150" i="1"/>
  <c r="Q163" i="1"/>
  <c r="C144" i="1"/>
  <c r="C179" i="1" s="1"/>
  <c r="D137" i="1"/>
  <c r="H78" i="1"/>
  <c r="P136" i="1"/>
  <c r="O151" i="1"/>
  <c r="G132" i="1"/>
  <c r="S73" i="1"/>
  <c r="P142" i="1"/>
  <c r="Q119" i="1"/>
  <c r="M146" i="1"/>
  <c r="K133" i="1"/>
  <c r="N73" i="1"/>
  <c r="D142" i="1"/>
  <c r="W144" i="1"/>
  <c r="P159" i="1"/>
  <c r="P161" i="1" s="1"/>
  <c r="Q209" i="1" s="1"/>
  <c r="S117" i="1"/>
  <c r="B78" i="1"/>
  <c r="U144" i="1"/>
  <c r="U179" i="1" s="1"/>
  <c r="H124" i="1"/>
  <c r="Q145" i="1"/>
  <c r="Q180" i="1" s="1"/>
  <c r="U74" i="1"/>
  <c r="K142" i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H160" i="1"/>
  <c r="W122" i="1"/>
  <c r="M155" i="1"/>
  <c r="B171" i="1"/>
  <c r="G144" i="1"/>
  <c r="G179" i="1" s="1"/>
  <c r="G145" i="1"/>
  <c r="G180" i="1" s="1"/>
  <c r="D125" i="1"/>
  <c r="O155" i="1"/>
  <c r="H67" i="1"/>
  <c r="G77" i="1"/>
  <c r="V67" i="1"/>
  <c r="B63" i="1"/>
  <c r="G118" i="1"/>
  <c r="H122" i="1"/>
  <c r="P78" i="1"/>
  <c r="W78" i="1"/>
  <c r="D149" i="1"/>
  <c r="L73" i="1"/>
  <c r="I144" i="1"/>
  <c r="I179" i="1" s="1"/>
  <c r="R163" i="1"/>
  <c r="B133" i="1"/>
  <c r="N140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BD252" i="1" s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N35" i="1"/>
  <c r="BH164" i="1"/>
  <c r="BI164" i="1" s="1"/>
  <c r="BH149" i="1"/>
  <c r="BI149" i="1" s="1"/>
  <c r="BV145" i="1"/>
  <c r="BV125" i="1"/>
  <c r="BW125" i="1" s="1"/>
  <c r="BH150" i="1"/>
  <c r="BI150" i="1" s="1"/>
  <c r="L118" i="1"/>
  <c r="U164" i="1"/>
  <c r="B79" i="1"/>
  <c r="Q149" i="1"/>
  <c r="V151" i="1"/>
  <c r="F144" i="1"/>
  <c r="F179" i="1" s="1"/>
  <c r="I122" i="1"/>
  <c r="C136" i="1"/>
  <c r="M140" i="1"/>
  <c r="S151" i="1"/>
  <c r="V122" i="1"/>
  <c r="G79" i="1"/>
  <c r="R74" i="1"/>
  <c r="C63" i="1"/>
  <c r="B145" i="1"/>
  <c r="B180" i="1" s="1"/>
  <c r="B151" i="1"/>
  <c r="Q142" i="1"/>
  <c r="V150" i="1"/>
  <c r="V147" i="1"/>
  <c r="E125" i="1"/>
  <c r="W74" i="1"/>
  <c r="E142" i="1"/>
  <c r="AN51" i="1"/>
  <c r="BO45" i="1"/>
  <c r="BR20" i="1"/>
  <c r="AX8" i="1"/>
  <c r="BG8" i="1"/>
  <c r="BN15" i="1"/>
  <c r="AI36" i="1"/>
  <c r="BV8" i="1"/>
  <c r="AS9" i="1"/>
  <c r="AY45" i="1"/>
  <c r="BN51" i="1"/>
  <c r="BW25" i="1"/>
  <c r="AT45" i="1"/>
  <c r="AQ39" i="1"/>
  <c r="BJ32" i="1"/>
  <c r="BJ194" i="1" s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I124" i="1" s="1"/>
  <c r="BV143" i="1"/>
  <c r="BW143" i="1" s="1"/>
  <c r="BH155" i="1"/>
  <c r="BI155" i="1" s="1"/>
  <c r="BH119" i="1"/>
  <c r="W136" i="1"/>
  <c r="D160" i="1"/>
  <c r="U122" i="1"/>
  <c r="O145" i="1"/>
  <c r="O180" i="1" s="1"/>
  <c r="O125" i="1"/>
  <c r="M153" i="1"/>
  <c r="M183" i="1" s="1"/>
  <c r="T119" i="1"/>
  <c r="D74" i="1"/>
  <c r="J160" i="1"/>
  <c r="B164" i="1"/>
  <c r="I125" i="1"/>
  <c r="L146" i="1"/>
  <c r="U117" i="1"/>
  <c r="V137" i="1"/>
  <c r="O79" i="1"/>
  <c r="E150" i="1"/>
  <c r="N142" i="1"/>
  <c r="S78" i="1"/>
  <c r="V124" i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L202" i="1" s="1"/>
  <c r="U137" i="1"/>
  <c r="O149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17" i="1"/>
  <c r="BW117" i="1" s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B173" i="1" s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AZ160" i="1"/>
  <c r="AW73" i="1"/>
  <c r="BP126" i="1"/>
  <c r="BQ126" i="1" s="1"/>
  <c r="BD152" i="1"/>
  <c r="BE152" i="1" s="1"/>
  <c r="BG73" i="1"/>
  <c r="AZ142" i="1"/>
  <c r="BA142" i="1" s="1"/>
  <c r="BD160" i="1"/>
  <c r="BD149" i="1"/>
  <c r="BE149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P124" i="1"/>
  <c r="BQ124" i="1" s="1"/>
  <c r="BP142" i="1"/>
  <c r="BQ142" i="1" s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BB119" i="1"/>
  <c r="AZ145" i="1"/>
  <c r="AP119" i="1"/>
  <c r="AT133" i="1"/>
  <c r="AX150" i="1"/>
  <c r="AY150" i="1" s="1"/>
  <c r="BN146" i="1"/>
  <c r="BO146" i="1" s="1"/>
  <c r="BN132" i="1"/>
  <c r="AY74" i="1"/>
  <c r="BR144" i="1"/>
  <c r="BB160" i="1"/>
  <c r="BD131" i="1"/>
  <c r="BA74" i="1"/>
  <c r="BR146" i="1"/>
  <c r="BS146" i="1" s="1"/>
  <c r="BB127" i="1"/>
  <c r="BC127" i="1" s="1"/>
  <c r="AT144" i="1"/>
  <c r="BC73" i="1"/>
  <c r="BD151" i="1"/>
  <c r="BE151" i="1" s="1"/>
  <c r="BR145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N73" i="1"/>
  <c r="AV160" i="1"/>
  <c r="AR144" i="1"/>
  <c r="BP149" i="1"/>
  <c r="BQ149" i="1" s="1"/>
  <c r="AV151" i="1"/>
  <c r="AW151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B154" i="1"/>
  <c r="BC154" i="1" s="1"/>
  <c r="BF131" i="1"/>
  <c r="AX119" i="1"/>
  <c r="AX135" i="1"/>
  <c r="AY135" i="1" s="1"/>
  <c r="AX145" i="1"/>
  <c r="AZ155" i="1"/>
  <c r="BA155" i="1" s="1"/>
  <c r="BD150" i="1"/>
  <c r="BE150" i="1" s="1"/>
  <c r="BN150" i="1"/>
  <c r="BO150" i="1" s="1"/>
  <c r="AQ74" i="1"/>
  <c r="BR74" i="1"/>
  <c r="BD124" i="1"/>
  <c r="BE124" i="1" s="1"/>
  <c r="BP74" i="1"/>
  <c r="AV154" i="1"/>
  <c r="AW154" i="1" s="1"/>
  <c r="BR164" i="1"/>
  <c r="BS164" i="1" s="1"/>
  <c r="AN164" i="1"/>
  <c r="AO164" i="1" s="1"/>
  <c r="AT150" i="1"/>
  <c r="AO73" i="1"/>
  <c r="AX149" i="1"/>
  <c r="AX137" i="1"/>
  <c r="AY137" i="1" s="1"/>
  <c r="BN133" i="1"/>
  <c r="BN124" i="1"/>
  <c r="BN145" i="1"/>
  <c r="BN154" i="1"/>
  <c r="BO154" i="1" s="1"/>
  <c r="AY73" i="1"/>
  <c r="BB149" i="1"/>
  <c r="BC149" i="1" s="1"/>
  <c r="BB151" i="1"/>
  <c r="BC151" i="1" s="1"/>
  <c r="AZ151" i="1"/>
  <c r="BA151" i="1" s="1"/>
  <c r="BP143" i="1"/>
  <c r="BQ143" i="1" s="1"/>
  <c r="AP118" i="1"/>
  <c r="AQ118" i="1" s="1"/>
  <c r="AZ118" i="1"/>
  <c r="BA118" i="1" s="1"/>
  <c r="BN147" i="1"/>
  <c r="BO147" i="1" s="1"/>
  <c r="BR133" i="1"/>
  <c r="BR155" i="1"/>
  <c r="BS155" i="1" s="1"/>
  <c r="BR150" i="1"/>
  <c r="BS150" i="1" s="1"/>
  <c r="BB122" i="1"/>
  <c r="BC122" i="1" s="1"/>
  <c r="AS73" i="1"/>
  <c r="AT127" i="1"/>
  <c r="AU127" i="1" s="1"/>
  <c r="AT145" i="1"/>
  <c r="AT154" i="1"/>
  <c r="AU154" i="1" s="1"/>
  <c r="AT117" i="1"/>
  <c r="BF119" i="1"/>
  <c r="BD119" i="1"/>
  <c r="BD140" i="1"/>
  <c r="BE140" i="1" s="1"/>
  <c r="AP74" i="1"/>
  <c r="BF122" i="1"/>
  <c r="BG122" i="1" s="1"/>
  <c r="BF140" i="1"/>
  <c r="BG140" i="1" s="1"/>
  <c r="BD142" i="1"/>
  <c r="BE14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D153" i="1"/>
  <c r="BF126" i="1"/>
  <c r="BG126" i="1" s="1"/>
  <c r="AN159" i="1"/>
  <c r="AZ137" i="1"/>
  <c r="BA137" i="1" s="1"/>
  <c r="AP144" i="1"/>
  <c r="AN152" i="1"/>
  <c r="AO152" i="1" s="1"/>
  <c r="BP125" i="1"/>
  <c r="BQ125" i="1" s="1"/>
  <c r="AR74" i="1"/>
  <c r="BP152" i="1"/>
  <c r="BQ152" i="1" s="1"/>
  <c r="AP127" i="1"/>
  <c r="AQ127" i="1" s="1"/>
  <c r="AV118" i="1"/>
  <c r="AW118" i="1" s="1"/>
  <c r="AR117" i="1"/>
  <c r="AP153" i="1"/>
  <c r="AN147" i="1"/>
  <c r="AO147" i="1" s="1"/>
  <c r="AR137" i="1"/>
  <c r="AS137" i="1" s="1"/>
  <c r="AS74" i="1"/>
  <c r="AR150" i="1"/>
  <c r="AS150" i="1" s="1"/>
  <c r="AN154" i="1"/>
  <c r="AO154" i="1" s="1"/>
  <c r="AV127" i="1"/>
  <c r="AW127" i="1" s="1"/>
  <c r="AN135" i="1"/>
  <c r="AO135" i="1" s="1"/>
  <c r="AR127" i="1"/>
  <c r="AS127" i="1" s="1"/>
  <c r="AV152" i="1"/>
  <c r="AW152" i="1" s="1"/>
  <c r="BS74" i="1"/>
  <c r="AP73" i="1"/>
  <c r="BR124" i="1"/>
  <c r="BS124" i="1" s="1"/>
  <c r="AV142" i="1"/>
  <c r="AW142" i="1" s="1"/>
  <c r="AN132" i="1"/>
  <c r="AV145" i="1"/>
  <c r="AN142" i="1"/>
  <c r="AR126" i="1"/>
  <c r="AS126" i="1" s="1"/>
  <c r="AZ146" i="1"/>
  <c r="BA146" i="1" s="1"/>
  <c r="BR154" i="1"/>
  <c r="BS154" i="1" s="1"/>
  <c r="BK74" i="1"/>
  <c r="AX117" i="1"/>
  <c r="BB125" i="1"/>
  <c r="BC125" i="1" s="1"/>
  <c r="AX124" i="1"/>
  <c r="BR140" i="1"/>
  <c r="AT164" i="1"/>
  <c r="AU164" i="1" s="1"/>
  <c r="AT152" i="1"/>
  <c r="AU152" i="1" s="1"/>
  <c r="BC74" i="1"/>
  <c r="BF152" i="1"/>
  <c r="BG152" i="1" s="1"/>
  <c r="AT74" i="1"/>
  <c r="BB144" i="1"/>
  <c r="AN140" i="1"/>
  <c r="BP150" i="1"/>
  <c r="BQ150" i="1" s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F127" i="1"/>
  <c r="BG127" i="1" s="1"/>
  <c r="BD133" i="1"/>
  <c r="BR152" i="1"/>
  <c r="BS152" i="1" s="1"/>
  <c r="BR119" i="1"/>
  <c r="BR125" i="1"/>
  <c r="BS125" i="1" s="1"/>
  <c r="BB164" i="1"/>
  <c r="BC164" i="1" s="1"/>
  <c r="AZ119" i="1"/>
  <c r="BD118" i="1"/>
  <c r="BE118" i="1" s="1"/>
  <c r="BP160" i="1"/>
  <c r="AP132" i="1"/>
  <c r="AV132" i="1"/>
  <c r="BN131" i="1"/>
  <c r="AX146" i="1"/>
  <c r="AY146" i="1" s="1"/>
  <c r="BN160" i="1"/>
  <c r="BN118" i="1"/>
  <c r="BO118" i="1" s="1"/>
  <c r="BR122" i="1"/>
  <c r="BS122" i="1" s="1"/>
  <c r="BB159" i="1"/>
  <c r="BF133" i="1"/>
  <c r="BP163" i="1"/>
  <c r="BQ163" i="1" s="1"/>
  <c r="AX127" i="1"/>
  <c r="AY127" i="1" s="1"/>
  <c r="BN151" i="1"/>
  <c r="BO151" i="1" s="1"/>
  <c r="BN117" i="1"/>
  <c r="BO117" i="1" s="1"/>
  <c r="BB155" i="1"/>
  <c r="BC155" i="1" s="1"/>
  <c r="AZ159" i="1"/>
  <c r="BD155" i="1"/>
  <c r="BE155" i="1" s="1"/>
  <c r="AP151" i="1"/>
  <c r="AQ151" i="1" s="1"/>
  <c r="AT140" i="1"/>
  <c r="AU140" i="1" s="1"/>
  <c r="AT160" i="1"/>
  <c r="AT124" i="1"/>
  <c r="AU124" i="1" s="1"/>
  <c r="AT142" i="1"/>
  <c r="BN135" i="1"/>
  <c r="BO135" i="1" s="1"/>
  <c r="AZ125" i="1"/>
  <c r="BA125" i="1" s="1"/>
  <c r="BF73" i="1"/>
  <c r="AT163" i="1"/>
  <c r="AU163" i="1" s="1"/>
  <c r="AU74" i="1"/>
  <c r="BB118" i="1"/>
  <c r="BC118" i="1" s="1"/>
  <c r="BB117" i="1"/>
  <c r="AN145" i="1"/>
  <c r="BD154" i="1"/>
  <c r="BE154" i="1" s="1"/>
  <c r="BP135" i="1"/>
  <c r="BQ135" i="1" s="1"/>
  <c r="AN124" i="1"/>
  <c r="AP117" i="1"/>
  <c r="AQ117" i="1" s="1"/>
  <c r="AR135" i="1"/>
  <c r="AS135" i="1" s="1"/>
  <c r="AN153" i="1"/>
  <c r="AV155" i="1"/>
  <c r="AW155" i="1" s="1"/>
  <c r="AP131" i="1"/>
  <c r="AR132" i="1"/>
  <c r="AR131" i="1"/>
  <c r="BD132" i="1"/>
  <c r="AR145" i="1"/>
  <c r="AR155" i="1"/>
  <c r="AS155" i="1" s="1"/>
  <c r="AN155" i="1"/>
  <c r="AO155" i="1" s="1"/>
  <c r="AR151" i="1"/>
  <c r="AS151" i="1" s="1"/>
  <c r="AN131" i="1"/>
  <c r="AT73" i="1"/>
  <c r="AN73" i="1"/>
  <c r="AN125" i="1"/>
  <c r="AO125" i="1" s="1"/>
  <c r="AV147" i="1"/>
  <c r="AW147" i="1" s="1"/>
  <c r="AP137" i="1"/>
  <c r="AQ137" i="1" s="1"/>
  <c r="AT137" i="1"/>
  <c r="AU137" i="1" s="1"/>
  <c r="BD137" i="1"/>
  <c r="BE137" i="1" s="1"/>
  <c r="BN137" i="1"/>
  <c r="BO137" i="1" s="1"/>
  <c r="BR137" i="1"/>
  <c r="BS137" i="1" s="1"/>
  <c r="BB137" i="1"/>
  <c r="BC137" i="1" s="1"/>
  <c r="BR143" i="1"/>
  <c r="AZ231" i="1"/>
  <c r="AY252" i="1"/>
  <c r="BN253" i="1"/>
  <c r="BN231" i="1"/>
  <c r="BD231" i="1"/>
  <c r="AZ252" i="1"/>
  <c r="AY231" i="1"/>
  <c r="BR194" i="1"/>
  <c r="AN10" i="1"/>
  <c r="AN231" i="1"/>
  <c r="AN98" i="1"/>
  <c r="AN99" i="1" s="1"/>
  <c r="AO98" i="1"/>
  <c r="AO99" i="1" s="1"/>
  <c r="BN33" i="1"/>
  <c r="BN194" i="1"/>
  <c r="BN10" i="1"/>
  <c r="AO231" i="1"/>
  <c r="CQ134" i="1"/>
  <c r="DB77" i="1"/>
  <c r="CY65" i="1"/>
  <c r="CZ63" i="1"/>
  <c r="AV179" i="1" l="1"/>
  <c r="AW179" i="1" s="1"/>
  <c r="AZ180" i="1"/>
  <c r="BA180" i="1" s="1"/>
  <c r="AZ179" i="1"/>
  <c r="BA179" i="1" s="1"/>
  <c r="AV183" i="1"/>
  <c r="BT180" i="1"/>
  <c r="BU180" i="1" s="1"/>
  <c r="BT179" i="1"/>
  <c r="BU179" i="1" s="1"/>
  <c r="K202" i="1"/>
  <c r="S120" i="1"/>
  <c r="BA98" i="1"/>
  <c r="BA99" i="1" s="1"/>
  <c r="W134" i="1"/>
  <c r="AV10" i="1"/>
  <c r="BK37" i="1"/>
  <c r="BP26" i="1"/>
  <c r="AI26" i="1"/>
  <c r="P156" i="1"/>
  <c r="P185" i="1" s="1"/>
  <c r="P184" i="1" s="1"/>
  <c r="BO252" i="1"/>
  <c r="AR10" i="1"/>
  <c r="N202" i="1"/>
  <c r="C65" i="1"/>
  <c r="AI37" i="1"/>
  <c r="C148" i="1"/>
  <c r="D65" i="1"/>
  <c r="V161" i="1"/>
  <c r="W209" i="1" s="1"/>
  <c r="D134" i="1"/>
  <c r="K161" i="1"/>
  <c r="P128" i="1"/>
  <c r="Q161" i="1"/>
  <c r="BN152" i="1"/>
  <c r="BO152" i="1" s="1"/>
  <c r="AR143" i="1"/>
  <c r="AS143" i="1" s="1"/>
  <c r="AX73" i="1"/>
  <c r="BB132" i="1"/>
  <c r="AX160" i="1"/>
  <c r="BT153" i="1"/>
  <c r="BP145" i="1"/>
  <c r="BP180" i="1" s="1"/>
  <c r="BQ180" i="1" s="1"/>
  <c r="BF150" i="1"/>
  <c r="BG150" i="1" s="1"/>
  <c r="AR179" i="1"/>
  <c r="AS179" i="1" s="1"/>
  <c r="BP183" i="1"/>
  <c r="BQ183" i="1" s="1"/>
  <c r="BN144" i="1"/>
  <c r="BN179" i="1" s="1"/>
  <c r="BO179" i="1" s="1"/>
  <c r="BD122" i="1"/>
  <c r="BE122" i="1" s="1"/>
  <c r="BF153" i="1"/>
  <c r="BF135" i="1"/>
  <c r="BG135" i="1" s="1"/>
  <c r="AZ127" i="1"/>
  <c r="BA127" i="1" s="1"/>
  <c r="BD146" i="1"/>
  <c r="BE146" i="1" s="1"/>
  <c r="BN74" i="1"/>
  <c r="AX132" i="1"/>
  <c r="BE73" i="1"/>
  <c r="BN163" i="1"/>
  <c r="BO163" i="1" s="1"/>
  <c r="BR142" i="1"/>
  <c r="BS142" i="1" s="1"/>
  <c r="BF142" i="1"/>
  <c r="BG142" i="1" s="1"/>
  <c r="BD145" i="1"/>
  <c r="BP151" i="1"/>
  <c r="BQ151" i="1" s="1"/>
  <c r="AX126" i="1"/>
  <c r="AY126" i="1" s="1"/>
  <c r="AX142" i="1"/>
  <c r="AY142" i="1" s="1"/>
  <c r="AZ132" i="1"/>
  <c r="AP149" i="1"/>
  <c r="AQ149" i="1" s="1"/>
  <c r="AW74" i="1"/>
  <c r="AT155" i="1"/>
  <c r="AU155" i="1" s="1"/>
  <c r="AT146" i="1"/>
  <c r="AU146" i="1" s="1"/>
  <c r="BB150" i="1"/>
  <c r="BC150" i="1" s="1"/>
  <c r="AZ163" i="1"/>
  <c r="BA163" i="1" s="1"/>
  <c r="AZ150" i="1"/>
  <c r="BA150" i="1" s="1"/>
  <c r="BG74" i="1"/>
  <c r="AZ164" i="1"/>
  <c r="BA164" i="1" s="1"/>
  <c r="BP122" i="1"/>
  <c r="BQ122" i="1" s="1"/>
  <c r="AP126" i="1"/>
  <c r="AQ126" i="1" s="1"/>
  <c r="AV146" i="1"/>
  <c r="AW146" i="1" s="1"/>
  <c r="AR125" i="1"/>
  <c r="AS125" i="1" s="1"/>
  <c r="AN163" i="1"/>
  <c r="AO163" i="1" s="1"/>
  <c r="AV74" i="1"/>
  <c r="AV163" i="1"/>
  <c r="AW163" i="1" s="1"/>
  <c r="AV124" i="1"/>
  <c r="BD73" i="1"/>
  <c r="BP133" i="1"/>
  <c r="BI74" i="1"/>
  <c r="AP160" i="1"/>
  <c r="BP154" i="1"/>
  <c r="BQ154" i="1" s="1"/>
  <c r="BQ73" i="1"/>
  <c r="AR149" i="1"/>
  <c r="AS149" i="1" s="1"/>
  <c r="AN143" i="1"/>
  <c r="AO143" i="1" s="1"/>
  <c r="AR163" i="1"/>
  <c r="AS163" i="1" s="1"/>
  <c r="AX153" i="1"/>
  <c r="BB73" i="1"/>
  <c r="BD159" i="1"/>
  <c r="BF144" i="1"/>
  <c r="AP155" i="1"/>
  <c r="AQ155" i="1" s="1"/>
  <c r="AZ124" i="1"/>
  <c r="BA124" i="1" s="1"/>
  <c r="BD144" i="1"/>
  <c r="BB147" i="1"/>
  <c r="BC147" i="1" s="1"/>
  <c r="AN133" i="1"/>
  <c r="BU73" i="1"/>
  <c r="AZ74" i="1"/>
  <c r="BF146" i="1"/>
  <c r="BG146" i="1" s="1"/>
  <c r="BN140" i="1"/>
  <c r="BR117" i="1"/>
  <c r="BF149" i="1"/>
  <c r="BG149" i="1" s="1"/>
  <c r="BR147" i="1"/>
  <c r="BS147" i="1" s="1"/>
  <c r="AX133" i="1"/>
  <c r="BN149" i="1"/>
  <c r="BO149" i="1" s="1"/>
  <c r="BR160" i="1"/>
  <c r="BP147" i="1"/>
  <c r="BQ147" i="1" s="1"/>
  <c r="BM73" i="1"/>
  <c r="BR131" i="1"/>
  <c r="BR163" i="1"/>
  <c r="BS163" i="1" s="1"/>
  <c r="BR153" i="1"/>
  <c r="BB152" i="1"/>
  <c r="BC152" i="1" s="1"/>
  <c r="BF155" i="1"/>
  <c r="BG155" i="1" s="1"/>
  <c r="BP118" i="1"/>
  <c r="BQ118" i="1" s="1"/>
  <c r="BF159" i="1"/>
  <c r="BD125" i="1"/>
  <c r="BE125" i="1" s="1"/>
  <c r="AP152" i="1"/>
  <c r="AQ152" i="1" s="1"/>
  <c r="AT147" i="1"/>
  <c r="AU147" i="1" s="1"/>
  <c r="AZ73" i="1"/>
  <c r="AP164" i="1"/>
  <c r="AQ164" i="1" s="1"/>
  <c r="AP135" i="1"/>
  <c r="AQ135" i="1" s="1"/>
  <c r="BP164" i="1"/>
  <c r="BQ164" i="1" s="1"/>
  <c r="AN119" i="1"/>
  <c r="AV122" i="1"/>
  <c r="AW122" i="1" s="1"/>
  <c r="AR140" i="1"/>
  <c r="AS140" i="1" s="1"/>
  <c r="AR133" i="1"/>
  <c r="AP159" i="1"/>
  <c r="AP147" i="1"/>
  <c r="AQ147" i="1" s="1"/>
  <c r="AR159" i="1"/>
  <c r="AN144" i="1"/>
  <c r="AV119" i="1"/>
  <c r="AN149" i="1"/>
  <c r="AO149" i="1" s="1"/>
  <c r="AP154" i="1"/>
  <c r="AQ154" i="1" s="1"/>
  <c r="AN127" i="1"/>
  <c r="AO127" i="1" s="1"/>
  <c r="AT132" i="1"/>
  <c r="AO74" i="1"/>
  <c r="AV137" i="1"/>
  <c r="AW137" i="1" s="1"/>
  <c r="AV143" i="1"/>
  <c r="BF137" i="1"/>
  <c r="BG137" i="1" s="1"/>
  <c r="BP137" i="1"/>
  <c r="BQ137" i="1" s="1"/>
  <c r="BB143" i="1"/>
  <c r="BF143" i="1"/>
  <c r="BD143" i="1"/>
  <c r="AZ143" i="1"/>
  <c r="BN143" i="1"/>
  <c r="BU10" i="1"/>
  <c r="AV253" i="1"/>
  <c r="AZ253" i="1"/>
  <c r="AZ194" i="1"/>
  <c r="AW26" i="1"/>
  <c r="AT26" i="1"/>
  <c r="BK26" i="1"/>
  <c r="AY10" i="1"/>
  <c r="AZ10" i="1"/>
  <c r="E173" i="1"/>
  <c r="R128" i="1"/>
  <c r="R37" i="1" s="1"/>
  <c r="BT10" i="1"/>
  <c r="BF252" i="1"/>
  <c r="J134" i="1"/>
  <c r="J33" i="1" s="1"/>
  <c r="H161" i="1"/>
  <c r="I209" i="1" s="1"/>
  <c r="R202" i="1"/>
  <c r="T173" i="1"/>
  <c r="O202" i="1"/>
  <c r="T161" i="1"/>
  <c r="U209" i="1" s="1"/>
  <c r="G173" i="1"/>
  <c r="O128" i="1"/>
  <c r="J161" i="1"/>
  <c r="K209" i="1" s="1"/>
  <c r="R161" i="1"/>
  <c r="BR151" i="1"/>
  <c r="BS151" i="1" s="1"/>
  <c r="AP133" i="1"/>
  <c r="AZ133" i="1"/>
  <c r="BN180" i="1"/>
  <c r="BO180" i="1" s="1"/>
  <c r="AX154" i="1"/>
  <c r="AY154" i="1" s="1"/>
  <c r="AN180" i="1"/>
  <c r="AO180" i="1" s="1"/>
  <c r="AN183" i="1"/>
  <c r="AO183" i="1" s="1"/>
  <c r="AN179" i="1"/>
  <c r="AO179" i="1" s="1"/>
  <c r="BB194" i="1"/>
  <c r="BN252" i="1"/>
  <c r="BD10" i="1"/>
  <c r="BV134" i="1"/>
  <c r="BB98" i="1"/>
  <c r="BB99" i="1" s="1"/>
  <c r="AT252" i="1"/>
  <c r="BA10" i="1"/>
  <c r="N128" i="1"/>
  <c r="BC252" i="1"/>
  <c r="BS26" i="1"/>
  <c r="AR26" i="1"/>
  <c r="AZ16" i="1"/>
  <c r="AI10" i="1"/>
  <c r="AT10" i="1"/>
  <c r="BV179" i="1"/>
  <c r="BW179" i="1" s="1"/>
  <c r="BH161" i="1"/>
  <c r="BK252" i="1"/>
  <c r="BW26" i="1"/>
  <c r="BM26" i="1"/>
  <c r="AV252" i="1"/>
  <c r="BH179" i="1"/>
  <c r="BI179" i="1" s="1"/>
  <c r="BT26" i="1"/>
  <c r="AS26" i="1"/>
  <c r="BV180" i="1"/>
  <c r="BW180" i="1" s="1"/>
  <c r="U161" i="1"/>
  <c r="V209" i="1" s="1"/>
  <c r="C161" i="1"/>
  <c r="S173" i="1"/>
  <c r="O134" i="1"/>
  <c r="S161" i="1"/>
  <c r="T209" i="1" s="1"/>
  <c r="S128" i="1"/>
  <c r="S249" i="1" s="1"/>
  <c r="S251" i="1" s="1"/>
  <c r="L173" i="1"/>
  <c r="U128" i="1"/>
  <c r="H134" i="1"/>
  <c r="K120" i="1"/>
  <c r="I173" i="1"/>
  <c r="P134" i="1"/>
  <c r="H173" i="1"/>
  <c r="J202" i="1"/>
  <c r="N173" i="1"/>
  <c r="M120" i="1"/>
  <c r="O161" i="1"/>
  <c r="Q120" i="1"/>
  <c r="F161" i="1"/>
  <c r="G161" i="1"/>
  <c r="M173" i="1"/>
  <c r="O173" i="1"/>
  <c r="F120" i="1"/>
  <c r="AT180" i="1"/>
  <c r="AU180" i="1" s="1"/>
  <c r="BN183" i="1"/>
  <c r="BO183" i="1" s="1"/>
  <c r="BD183" i="1"/>
  <c r="BE183" i="1" s="1"/>
  <c r="AP179" i="1"/>
  <c r="AQ179" i="1" s="1"/>
  <c r="BM194" i="1"/>
  <c r="BM203" i="1"/>
  <c r="BM201" i="1" s="1"/>
  <c r="BM33" i="1"/>
  <c r="BU253" i="1"/>
  <c r="BU194" i="1"/>
  <c r="AL98" i="1"/>
  <c r="AL99" i="1" s="1"/>
  <c r="AL104" i="1" s="1"/>
  <c r="AI231" i="1"/>
  <c r="AI182" i="1"/>
  <c r="AI185" i="1"/>
  <c r="AI183" i="1"/>
  <c r="AI180" i="1"/>
  <c r="AI179" i="1"/>
  <c r="BK194" i="1"/>
  <c r="BK203" i="1"/>
  <c r="BK201" i="1" s="1"/>
  <c r="BK33" i="1"/>
  <c r="BA231" i="1"/>
  <c r="BA252" i="1"/>
  <c r="BT253" i="1"/>
  <c r="BT231" i="1"/>
  <c r="AO194" i="1"/>
  <c r="AO253" i="1"/>
  <c r="BW10" i="1"/>
  <c r="BW253" i="1"/>
  <c r="BW231" i="1"/>
  <c r="BZ98" i="1"/>
  <c r="BZ99" i="1" s="1"/>
  <c r="BW252" i="1"/>
  <c r="BI140" i="1"/>
  <c r="BJ202" i="1" s="1"/>
  <c r="BI202" i="1"/>
  <c r="BV231" i="1"/>
  <c r="BV253" i="1"/>
  <c r="BV10" i="1"/>
  <c r="BV252" i="1"/>
  <c r="BY98" i="1"/>
  <c r="BY99" i="1" s="1"/>
  <c r="BV161" i="1"/>
  <c r="BH202" i="1"/>
  <c r="BU252" i="1"/>
  <c r="BE26" i="1"/>
  <c r="AO252" i="1"/>
  <c r="BV183" i="1"/>
  <c r="BW183" i="1" s="1"/>
  <c r="AX26" i="1"/>
  <c r="AP10" i="1"/>
  <c r="BC26" i="1"/>
  <c r="BC27" i="1" s="1"/>
  <c r="BU26" i="1"/>
  <c r="BU27" i="1" s="1"/>
  <c r="BG26" i="1"/>
  <c r="BT252" i="1"/>
  <c r="AO26" i="1"/>
  <c r="AM48" i="1"/>
  <c r="BF26" i="1"/>
  <c r="BV26" i="1"/>
  <c r="BA26" i="1"/>
  <c r="AZ26" i="1"/>
  <c r="BR26" i="1"/>
  <c r="AV26" i="1"/>
  <c r="T134" i="1"/>
  <c r="U134" i="1"/>
  <c r="U138" i="1" s="1"/>
  <c r="S202" i="1"/>
  <c r="AU252" i="1"/>
  <c r="BO26" i="1"/>
  <c r="BH134" i="1"/>
  <c r="BH138" i="1" s="1"/>
  <c r="W128" i="1"/>
  <c r="BQ26" i="1"/>
  <c r="BB26" i="1"/>
  <c r="BH183" i="1"/>
  <c r="BI183" i="1" s="1"/>
  <c r="N156" i="1"/>
  <c r="L161" i="1"/>
  <c r="BI26" i="1"/>
  <c r="AY26" i="1"/>
  <c r="AY27" i="1" s="1"/>
  <c r="BE252" i="1"/>
  <c r="D148" i="1"/>
  <c r="AU26" i="1"/>
  <c r="BN26" i="1"/>
  <c r="BN27" i="1" s="1"/>
  <c r="BW128" i="1"/>
  <c r="E148" i="1"/>
  <c r="BG98" i="1"/>
  <c r="BG99" i="1" s="1"/>
  <c r="BH10" i="1"/>
  <c r="BH11" i="1" s="1"/>
  <c r="BH120" i="1"/>
  <c r="C202" i="1"/>
  <c r="B148" i="1"/>
  <c r="E202" i="1"/>
  <c r="K148" i="1"/>
  <c r="D202" i="1"/>
  <c r="L134" i="1"/>
  <c r="J156" i="1"/>
  <c r="H148" i="1"/>
  <c r="K134" i="1"/>
  <c r="I120" i="1"/>
  <c r="O120" i="1"/>
  <c r="J120" i="1"/>
  <c r="E156" i="1"/>
  <c r="F148" i="1"/>
  <c r="F156" i="1"/>
  <c r="V148" i="1"/>
  <c r="K156" i="1"/>
  <c r="W173" i="1"/>
  <c r="M161" i="1"/>
  <c r="R173" i="1"/>
  <c r="D161" i="1"/>
  <c r="O156" i="1"/>
  <c r="V202" i="1"/>
  <c r="M134" i="1"/>
  <c r="F173" i="1"/>
  <c r="T148" i="1"/>
  <c r="E134" i="1"/>
  <c r="B120" i="1"/>
  <c r="U202" i="1"/>
  <c r="I156" i="1"/>
  <c r="U173" i="1"/>
  <c r="V134" i="1"/>
  <c r="C120" i="1"/>
  <c r="C175" i="1" s="1"/>
  <c r="L156" i="1"/>
  <c r="B161" i="1"/>
  <c r="C209" i="1" s="1"/>
  <c r="I134" i="1"/>
  <c r="P120" i="1"/>
  <c r="R156" i="1"/>
  <c r="M148" i="1"/>
  <c r="M182" i="1" s="1"/>
  <c r="M181" i="1" s="1"/>
  <c r="K128" i="1"/>
  <c r="V120" i="1"/>
  <c r="I202" i="1"/>
  <c r="N161" i="1"/>
  <c r="O209" i="1" s="1"/>
  <c r="M128" i="1"/>
  <c r="N249" i="1" s="1"/>
  <c r="N251" i="1" s="1"/>
  <c r="B128" i="1"/>
  <c r="G128" i="1"/>
  <c r="J128" i="1"/>
  <c r="AZ183" i="1"/>
  <c r="BA183" i="1" s="1"/>
  <c r="BR179" i="1"/>
  <c r="BS179" i="1" s="1"/>
  <c r="AT179" i="1"/>
  <c r="AU179" i="1" s="1"/>
  <c r="BR180" i="1"/>
  <c r="BS180" i="1" s="1"/>
  <c r="AT183" i="1"/>
  <c r="AU183" i="1" s="1"/>
  <c r="BF180" i="1"/>
  <c r="BG180" i="1" s="1"/>
  <c r="AP183" i="1"/>
  <c r="AQ183" i="1" s="1"/>
  <c r="AV180" i="1"/>
  <c r="AW180" i="1" s="1"/>
  <c r="AP180" i="1"/>
  <c r="AQ180" i="1" s="1"/>
  <c r="BV16" i="1"/>
  <c r="BM231" i="1"/>
  <c r="BO98" i="1"/>
  <c r="BO99" i="1" s="1"/>
  <c r="BM10" i="1"/>
  <c r="BP98" i="1"/>
  <c r="BP99" i="1" s="1"/>
  <c r="BM253" i="1"/>
  <c r="AW194" i="1"/>
  <c r="AW253" i="1"/>
  <c r="AT231" i="1"/>
  <c r="AT253" i="1"/>
  <c r="AY194" i="1"/>
  <c r="AY253" i="1"/>
  <c r="BS231" i="1"/>
  <c r="BS10" i="1"/>
  <c r="BS253" i="1"/>
  <c r="BS252" i="1"/>
  <c r="AW252" i="1"/>
  <c r="AW10" i="1"/>
  <c r="AW231" i="1"/>
  <c r="AS231" i="1"/>
  <c r="AS10" i="1"/>
  <c r="BF231" i="1"/>
  <c r="BF10" i="1"/>
  <c r="BW118" i="1"/>
  <c r="BV120" i="1"/>
  <c r="BV92" i="1" s="1"/>
  <c r="AP194" i="1"/>
  <c r="AP253" i="1"/>
  <c r="BR231" i="1"/>
  <c r="BT98" i="1"/>
  <c r="BT99" i="1" s="1"/>
  <c r="BR252" i="1"/>
  <c r="BI142" i="1"/>
  <c r="BH148" i="1"/>
  <c r="BD194" i="1"/>
  <c r="BD253" i="1"/>
  <c r="BH194" i="1"/>
  <c r="BH253" i="1"/>
  <c r="BP194" i="1"/>
  <c r="BP253" i="1"/>
  <c r="BM98" i="1"/>
  <c r="BM99" i="1" s="1"/>
  <c r="BK231" i="1"/>
  <c r="BK253" i="1"/>
  <c r="BK10" i="1"/>
  <c r="BN98" i="1"/>
  <c r="BN99" i="1" s="1"/>
  <c r="AN194" i="1"/>
  <c r="AN33" i="1"/>
  <c r="AN253" i="1"/>
  <c r="BC194" i="1"/>
  <c r="BC253" i="1"/>
  <c r="BA194" i="1"/>
  <c r="BA253" i="1"/>
  <c r="AI194" i="1"/>
  <c r="AI203" i="1"/>
  <c r="AI201" i="1" s="1"/>
  <c r="AI33" i="1"/>
  <c r="BO10" i="1"/>
  <c r="BO231" i="1"/>
  <c r="BO253" i="1"/>
  <c r="U33" i="1"/>
  <c r="P209" i="1"/>
  <c r="AN26" i="1"/>
  <c r="AN27" i="1" s="1"/>
  <c r="AQ253" i="1"/>
  <c r="D156" i="1"/>
  <c r="BG231" i="1"/>
  <c r="AP26" i="1"/>
  <c r="U148" i="1"/>
  <c r="U182" i="1" s="1"/>
  <c r="U181" i="1" s="1"/>
  <c r="AO10" i="1"/>
  <c r="BJ253" i="1"/>
  <c r="AR252" i="1"/>
  <c r="BF253" i="1"/>
  <c r="AU10" i="1"/>
  <c r="BC98" i="1"/>
  <c r="BC99" i="1" s="1"/>
  <c r="J173" i="1"/>
  <c r="V173" i="1"/>
  <c r="U120" i="1"/>
  <c r="Q173" i="1"/>
  <c r="S134" i="1"/>
  <c r="P173" i="1"/>
  <c r="N134" i="1"/>
  <c r="N138" i="1" s="1"/>
  <c r="I128" i="1"/>
  <c r="BI128" i="1"/>
  <c r="H202" i="1"/>
  <c r="S148" i="1"/>
  <c r="S182" i="1" s="1"/>
  <c r="S181" i="1" s="1"/>
  <c r="D107" i="1"/>
  <c r="AT98" i="1"/>
  <c r="AT99" i="1" s="1"/>
  <c r="BB10" i="1"/>
  <c r="BB252" i="1"/>
  <c r="BB231" i="1"/>
  <c r="AP98" i="1"/>
  <c r="AP99" i="1" s="1"/>
  <c r="BL98" i="1"/>
  <c r="BL99" i="1" s="1"/>
  <c r="BG253" i="1"/>
  <c r="AR253" i="1"/>
  <c r="BQ231" i="1"/>
  <c r="BB179" i="1"/>
  <c r="BC179" i="1" s="1"/>
  <c r="BD26" i="1"/>
  <c r="F128" i="1"/>
  <c r="F37" i="1" s="1"/>
  <c r="AQ10" i="1"/>
  <c r="AU253" i="1"/>
  <c r="BR10" i="1"/>
  <c r="BQ10" i="1"/>
  <c r="Q148" i="1"/>
  <c r="C128" i="1"/>
  <c r="C37" i="1" s="1"/>
  <c r="T128" i="1"/>
  <c r="U206" i="1" s="1"/>
  <c r="C134" i="1"/>
  <c r="C33" i="1" s="1"/>
  <c r="D173" i="1"/>
  <c r="G120" i="1"/>
  <c r="G134" i="1"/>
  <c r="G33" i="1" s="1"/>
  <c r="C156" i="1"/>
  <c r="C185" i="1" s="1"/>
  <c r="B156" i="1"/>
  <c r="AQ26" i="1"/>
  <c r="BE98" i="1"/>
  <c r="BE99" i="1" s="1"/>
  <c r="BB253" i="1"/>
  <c r="BB183" i="1"/>
  <c r="BC183" i="1" s="1"/>
  <c r="BH98" i="1"/>
  <c r="BH99" i="1" s="1"/>
  <c r="BG10" i="1"/>
  <c r="AQ98" i="1"/>
  <c r="AQ99" i="1" s="1"/>
  <c r="AS98" i="1"/>
  <c r="AS99" i="1" s="1"/>
  <c r="AS102" i="1" s="1"/>
  <c r="R168" i="1"/>
  <c r="R109" i="1" s="1"/>
  <c r="T120" i="1"/>
  <c r="G156" i="1"/>
  <c r="G148" i="1"/>
  <c r="N148" i="1"/>
  <c r="R120" i="1"/>
  <c r="Q134" i="1"/>
  <c r="Q33" i="1" s="1"/>
  <c r="B134" i="1"/>
  <c r="E120" i="1"/>
  <c r="K173" i="1"/>
  <c r="B65" i="1"/>
  <c r="BG252" i="1"/>
  <c r="BD98" i="1"/>
  <c r="BD99" i="1" s="1"/>
  <c r="AS253" i="1"/>
  <c r="BE253" i="1"/>
  <c r="AQ252" i="1"/>
  <c r="BE10" i="1"/>
  <c r="BR98" i="1"/>
  <c r="BR99" i="1" s="1"/>
  <c r="AR183" i="1"/>
  <c r="AS183" i="1" s="1"/>
  <c r="V156" i="1"/>
  <c r="V185" i="1" s="1"/>
  <c r="G202" i="1"/>
  <c r="BF98" i="1"/>
  <c r="BF99" i="1" s="1"/>
  <c r="AR98" i="1"/>
  <c r="AR99" i="1" s="1"/>
  <c r="BR253" i="1"/>
  <c r="BQ98" i="1"/>
  <c r="BQ99" i="1" s="1"/>
  <c r="BB180" i="1"/>
  <c r="BC180" i="1" s="1"/>
  <c r="F202" i="1"/>
  <c r="T156" i="1"/>
  <c r="T185" i="1" s="1"/>
  <c r="T184" i="1" s="1"/>
  <c r="J138" i="1"/>
  <c r="BH26" i="1"/>
  <c r="BS98" i="1"/>
  <c r="BS99" i="1" s="1"/>
  <c r="AS252" i="1"/>
  <c r="BA16" i="1"/>
  <c r="BA19" i="1" s="1"/>
  <c r="BJ28" i="1"/>
  <c r="BV156" i="1"/>
  <c r="BV185" i="1" s="1"/>
  <c r="BV98" i="1"/>
  <c r="BV99" i="1" s="1"/>
  <c r="E128" i="1"/>
  <c r="H156" i="1"/>
  <c r="U156" i="1"/>
  <c r="U185" i="1" s="1"/>
  <c r="Q156" i="1"/>
  <c r="Q185" i="1" s="1"/>
  <c r="BX98" i="1"/>
  <c r="BX99" i="1" s="1"/>
  <c r="BH128" i="1"/>
  <c r="S156" i="1"/>
  <c r="BW98" i="1"/>
  <c r="BW99" i="1" s="1"/>
  <c r="BW104" i="1" s="1"/>
  <c r="BV148" i="1"/>
  <c r="BV182" i="1" s="1"/>
  <c r="BH156" i="1"/>
  <c r="BH185" i="1" s="1"/>
  <c r="BV128" i="1"/>
  <c r="BU98" i="1"/>
  <c r="BU99" i="1" s="1"/>
  <c r="BU104" i="1" s="1"/>
  <c r="P138" i="1"/>
  <c r="P33" i="1"/>
  <c r="C107" i="1"/>
  <c r="C66" i="1"/>
  <c r="C68" i="1" s="1"/>
  <c r="C108" i="1"/>
  <c r="F248" i="1"/>
  <c r="M175" i="1"/>
  <c r="M54" i="1"/>
  <c r="BW202" i="1"/>
  <c r="BI252" i="1"/>
  <c r="R148" i="1"/>
  <c r="L148" i="1"/>
  <c r="M202" i="1"/>
  <c r="C173" i="1"/>
  <c r="I148" i="1"/>
  <c r="N120" i="1"/>
  <c r="N129" i="1" s="1"/>
  <c r="N55" i="1" s="1"/>
  <c r="AU231" i="1"/>
  <c r="AX253" i="1"/>
  <c r="AX252" i="1"/>
  <c r="BJ27" i="1"/>
  <c r="BJ98" i="1"/>
  <c r="BJ99" i="1" s="1"/>
  <c r="AU98" i="1"/>
  <c r="AU99" i="1" s="1"/>
  <c r="AU103" i="1" s="1"/>
  <c r="L128" i="1"/>
  <c r="P202" i="1"/>
  <c r="L120" i="1"/>
  <c r="BK98" i="1"/>
  <c r="BK99" i="1" s="1"/>
  <c r="BK104" i="1" s="1"/>
  <c r="D128" i="1"/>
  <c r="AX10" i="1"/>
  <c r="BA225" i="1" s="1"/>
  <c r="BI253" i="1"/>
  <c r="V128" i="1"/>
  <c r="V206" i="1" s="1"/>
  <c r="D120" i="1"/>
  <c r="AX231" i="1"/>
  <c r="AV98" i="1"/>
  <c r="AV99" i="1" s="1"/>
  <c r="AV102" i="1" s="1"/>
  <c r="AX98" i="1"/>
  <c r="AX99" i="1" s="1"/>
  <c r="H128" i="1"/>
  <c r="P148" i="1"/>
  <c r="Q202" i="1"/>
  <c r="BI10" i="1"/>
  <c r="AR134" i="1"/>
  <c r="AR138" i="1" s="1"/>
  <c r="Q128" i="1"/>
  <c r="Q37" i="1" s="1"/>
  <c r="T202" i="1"/>
  <c r="AQ194" i="1"/>
  <c r="O148" i="1"/>
  <c r="O182" i="1" s="1"/>
  <c r="O181" i="1" s="1"/>
  <c r="AW98" i="1"/>
  <c r="AW99" i="1" s="1"/>
  <c r="J148" i="1"/>
  <c r="AY98" i="1"/>
  <c r="AY99" i="1" s="1"/>
  <c r="AY102" i="1" s="1"/>
  <c r="W202" i="1"/>
  <c r="AZ98" i="1"/>
  <c r="AZ99" i="1" s="1"/>
  <c r="AZ102" i="1" s="1"/>
  <c r="AX183" i="1"/>
  <c r="AY183" i="1" s="1"/>
  <c r="AX180" i="1"/>
  <c r="AY180" i="1" s="1"/>
  <c r="M156" i="1"/>
  <c r="R134" i="1"/>
  <c r="BI98" i="1"/>
  <c r="BI99" i="1" s="1"/>
  <c r="BI103" i="1" s="1"/>
  <c r="AX179" i="1"/>
  <c r="AY179" i="1" s="1"/>
  <c r="H120" i="1"/>
  <c r="F134" i="1"/>
  <c r="F185" i="1"/>
  <c r="F157" i="1"/>
  <c r="K196" i="1"/>
  <c r="S206" i="1"/>
  <c r="S168" i="1"/>
  <c r="S109" i="1" s="1"/>
  <c r="S37" i="1"/>
  <c r="E209" i="1"/>
  <c r="G209" i="1"/>
  <c r="F168" i="1"/>
  <c r="F109" i="1" s="1"/>
  <c r="R209" i="1"/>
  <c r="Q248" i="1"/>
  <c r="H138" i="1"/>
  <c r="H33" i="1"/>
  <c r="I33" i="1"/>
  <c r="I138" i="1"/>
  <c r="V182" i="1"/>
  <c r="V181" i="1" s="1"/>
  <c r="BD161" i="1"/>
  <c r="BE209" i="1" s="1"/>
  <c r="D33" i="1"/>
  <c r="D138" i="1"/>
  <c r="AN161" i="1"/>
  <c r="AO209" i="1" s="1"/>
  <c r="AV161" i="1"/>
  <c r="AW209" i="1" s="1"/>
  <c r="BN161" i="1"/>
  <c r="BO209" i="1" s="1"/>
  <c r="BS128" i="1"/>
  <c r="BT161" i="1"/>
  <c r="BU209" i="1" s="1"/>
  <c r="BP161" i="1"/>
  <c r="BQ209" i="1" s="1"/>
  <c r="BB161" i="1"/>
  <c r="AZ161" i="1"/>
  <c r="BA209" i="1" s="1"/>
  <c r="AQ140" i="1"/>
  <c r="AW140" i="1"/>
  <c r="AX202" i="1" s="1"/>
  <c r="AQ142" i="1"/>
  <c r="AS124" i="1"/>
  <c r="AU117" i="1"/>
  <c r="AT120" i="1"/>
  <c r="AT92" i="1" s="1"/>
  <c r="AS117" i="1"/>
  <c r="AR120" i="1"/>
  <c r="AX120" i="1"/>
  <c r="AY117" i="1"/>
  <c r="AY124" i="1"/>
  <c r="BT134" i="1"/>
  <c r="BF134" i="1"/>
  <c r="AV134" i="1"/>
  <c r="BD134" i="1"/>
  <c r="AU142" i="1"/>
  <c r="BC117" i="1"/>
  <c r="BB120" i="1"/>
  <c r="BB92" i="1" s="1"/>
  <c r="AO124" i="1"/>
  <c r="AR180" i="1"/>
  <c r="AS180" i="1" s="1"/>
  <c r="AO117" i="1"/>
  <c r="BC124" i="1"/>
  <c r="BC128" i="1" s="1"/>
  <c r="BB128" i="1"/>
  <c r="BU140" i="1"/>
  <c r="BV202" i="1" s="1"/>
  <c r="BU202" i="1"/>
  <c r="BE117" i="1"/>
  <c r="BD120" i="1"/>
  <c r="AU150" i="1"/>
  <c r="AY149" i="1"/>
  <c r="BO124" i="1"/>
  <c r="BO128" i="1" s="1"/>
  <c r="BN128" i="1"/>
  <c r="AO142" i="1"/>
  <c r="BS140" i="1"/>
  <c r="BR202" i="1"/>
  <c r="BU124" i="1"/>
  <c r="BU128" i="1" s="1"/>
  <c r="BT128" i="1"/>
  <c r="AO140" i="1"/>
  <c r="AN202" i="1"/>
  <c r="BF202" i="1"/>
  <c r="BN134" i="1"/>
  <c r="AT161" i="1"/>
  <c r="AU209" i="1" s="1"/>
  <c r="AZ120" i="1"/>
  <c r="BN120" i="1"/>
  <c r="BT120" i="1"/>
  <c r="BF128" i="1"/>
  <c r="BE202" i="1"/>
  <c r="BQ202" i="1"/>
  <c r="AP120" i="1"/>
  <c r="AP92" i="1" s="1"/>
  <c r="BD156" i="1"/>
  <c r="BD185" i="1" s="1"/>
  <c r="BP128" i="1"/>
  <c r="BG128" i="1"/>
  <c r="AT128" i="1"/>
  <c r="AV156" i="1"/>
  <c r="AV185" i="1" s="1"/>
  <c r="AV184" i="1" s="1"/>
  <c r="BF120" i="1"/>
  <c r="BQ128" i="1"/>
  <c r="BR128" i="1"/>
  <c r="AU128" i="1"/>
  <c r="BU143" i="1"/>
  <c r="BT148" i="1"/>
  <c r="AY143" i="1"/>
  <c r="BS143" i="1"/>
  <c r="AU202" i="1"/>
  <c r="AV202" i="1"/>
  <c r="BB202" i="1"/>
  <c r="BA202" i="1"/>
  <c r="AY202" i="1"/>
  <c r="AZ202" i="1"/>
  <c r="BC202" i="1"/>
  <c r="BD202" i="1"/>
  <c r="BP16" i="1"/>
  <c r="BC16" i="1"/>
  <c r="AW183" i="1"/>
  <c r="BG202" i="1"/>
  <c r="BP11" i="1"/>
  <c r="BN11" i="1"/>
  <c r="BN16" i="1"/>
  <c r="AN102" i="1"/>
  <c r="AN103" i="1"/>
  <c r="AN104" i="1"/>
  <c r="AN11" i="1"/>
  <c r="AN16" i="1"/>
  <c r="AN12" i="1"/>
  <c r="AN225" i="1"/>
  <c r="AO102" i="1"/>
  <c r="AO104" i="1"/>
  <c r="AO103" i="1"/>
  <c r="CQ138" i="1"/>
  <c r="CR32" i="1"/>
  <c r="AE77" i="1"/>
  <c r="AB125" i="1"/>
  <c r="AB128" i="1" s="1"/>
  <c r="AB249" i="1" s="1"/>
  <c r="AD142" i="1"/>
  <c r="CZ65" i="1"/>
  <c r="DA63" i="1"/>
  <c r="R175" i="1" l="1"/>
  <c r="O175" i="1"/>
  <c r="BH27" i="1"/>
  <c r="C182" i="1"/>
  <c r="C181" i="1" s="1"/>
  <c r="L209" i="1"/>
  <c r="O37" i="1"/>
  <c r="K54" i="1"/>
  <c r="K175" i="1"/>
  <c r="D209" i="1"/>
  <c r="S129" i="1"/>
  <c r="S55" i="1" s="1"/>
  <c r="S54" i="1"/>
  <c r="D66" i="1"/>
  <c r="D108" i="1"/>
  <c r="Q54" i="1"/>
  <c r="Q175" i="1"/>
  <c r="W138" i="1"/>
  <c r="X203" i="1" s="1"/>
  <c r="X201" i="1" s="1"/>
  <c r="W33" i="1"/>
  <c r="S209" i="1"/>
  <c r="U168" i="1"/>
  <c r="U109" i="1" s="1"/>
  <c r="U37" i="1"/>
  <c r="S248" i="1"/>
  <c r="S175" i="1"/>
  <c r="BR134" i="1"/>
  <c r="AX161" i="1"/>
  <c r="AY209" i="1" s="1"/>
  <c r="P206" i="1"/>
  <c r="P168" i="1"/>
  <c r="P109" i="1" s="1"/>
  <c r="AR161" i="1"/>
  <c r="AS209" i="1" s="1"/>
  <c r="AP148" i="1"/>
  <c r="AP182" i="1" s="1"/>
  <c r="AT134" i="1"/>
  <c r="AP134" i="1"/>
  <c r="AO128" i="1"/>
  <c r="AN128" i="1"/>
  <c r="AN120" i="1"/>
  <c r="BT11" i="1"/>
  <c r="BD180" i="1"/>
  <c r="BE180" i="1" s="1"/>
  <c r="BA27" i="1"/>
  <c r="AV27" i="1"/>
  <c r="O248" i="1"/>
  <c r="P197" i="1"/>
  <c r="BT183" i="1"/>
  <c r="BU183" i="1" s="1"/>
  <c r="BF183" i="1"/>
  <c r="BG183" i="1" s="1"/>
  <c r="BF179" i="1"/>
  <c r="BG179" i="1" s="1"/>
  <c r="BD179" i="1"/>
  <c r="BE179" i="1" s="1"/>
  <c r="BR183" i="1"/>
  <c r="BS183" i="1" s="1"/>
  <c r="P249" i="1"/>
  <c r="P251" i="1" s="1"/>
  <c r="P37" i="1"/>
  <c r="H209" i="1"/>
  <c r="T182" i="1"/>
  <c r="O249" i="1"/>
  <c r="O251" i="1" s="1"/>
  <c r="N37" i="1"/>
  <c r="B182" i="1"/>
  <c r="C196" i="1"/>
  <c r="O138" i="1"/>
  <c r="O33" i="1"/>
  <c r="K185" i="1"/>
  <c r="L197" i="1"/>
  <c r="E185" i="1"/>
  <c r="F197" i="1"/>
  <c r="O185" i="1"/>
  <c r="M37" i="1"/>
  <c r="M129" i="1"/>
  <c r="M55" i="1" s="1"/>
  <c r="M168" i="1"/>
  <c r="M109" i="1" s="1"/>
  <c r="V138" i="1"/>
  <c r="V33" i="1"/>
  <c r="AZ134" i="1"/>
  <c r="BE128" i="1"/>
  <c r="AS128" i="1"/>
  <c r="AR128" i="1"/>
  <c r="AY128" i="1"/>
  <c r="AX128" i="1"/>
  <c r="BF161" i="1"/>
  <c r="BG209" i="1" s="1"/>
  <c r="R185" i="1"/>
  <c r="AT148" i="1"/>
  <c r="AR148" i="1"/>
  <c r="AR182" i="1" s="1"/>
  <c r="AX148" i="1"/>
  <c r="AR16" i="1"/>
  <c r="BP27" i="1"/>
  <c r="AV16" i="1"/>
  <c r="AR11" i="1"/>
  <c r="BA104" i="1"/>
  <c r="BA102" i="1"/>
  <c r="BA103" i="1"/>
  <c r="AV11" i="1"/>
  <c r="BP134" i="1"/>
  <c r="BO140" i="1"/>
  <c r="BN202" i="1"/>
  <c r="BO27" i="1"/>
  <c r="O206" i="1"/>
  <c r="L196" i="1"/>
  <c r="AT16" i="1"/>
  <c r="C54" i="1"/>
  <c r="V249" i="1"/>
  <c r="V251" i="1" s="1"/>
  <c r="J157" i="1"/>
  <c r="C157" i="1"/>
  <c r="R207" i="1"/>
  <c r="D168" i="1"/>
  <c r="D109" i="1" s="1"/>
  <c r="D185" i="1"/>
  <c r="AT156" i="1"/>
  <c r="AT185" i="1" s="1"/>
  <c r="AW124" i="1"/>
  <c r="AW128" i="1" s="1"/>
  <c r="AV128" i="1"/>
  <c r="AN148" i="1"/>
  <c r="BS117" i="1"/>
  <c r="BR120" i="1"/>
  <c r="BR92" i="1" s="1"/>
  <c r="AQ128" i="1"/>
  <c r="AT202" i="1"/>
  <c r="AN134" i="1"/>
  <c r="AP161" i="1"/>
  <c r="BT156" i="1"/>
  <c r="BT185" i="1" s="1"/>
  <c r="AX134" i="1"/>
  <c r="BB134" i="1"/>
  <c r="BR161" i="1"/>
  <c r="AR156" i="1"/>
  <c r="AS202" i="1"/>
  <c r="BP156" i="1"/>
  <c r="BP185" i="1" s="1"/>
  <c r="BP184" i="1" s="1"/>
  <c r="BP148" i="1"/>
  <c r="BP182" i="1" s="1"/>
  <c r="BP181" i="1" s="1"/>
  <c r="AZ128" i="1"/>
  <c r="BB156" i="1"/>
  <c r="BB185" i="1" s="1"/>
  <c r="AP128" i="1"/>
  <c r="BP120" i="1"/>
  <c r="BP92" i="1" s="1"/>
  <c r="BP94" i="1" s="1"/>
  <c r="BN156" i="1"/>
  <c r="BN185" i="1" s="1"/>
  <c r="AN156" i="1"/>
  <c r="AN185" i="1" s="1"/>
  <c r="BA128" i="1"/>
  <c r="AP156" i="1"/>
  <c r="BF156" i="1"/>
  <c r="BF185" i="1" s="1"/>
  <c r="BD128" i="1"/>
  <c r="AZ156" i="1"/>
  <c r="AZ185" i="1" s="1"/>
  <c r="AV120" i="1"/>
  <c r="AW143" i="1"/>
  <c r="AV148" i="1"/>
  <c r="BC143" i="1"/>
  <c r="BB148" i="1"/>
  <c r="BG143" i="1"/>
  <c r="BF148" i="1"/>
  <c r="BE143" i="1"/>
  <c r="BD148" i="1"/>
  <c r="BO143" i="1"/>
  <c r="BN148" i="1"/>
  <c r="BR148" i="1"/>
  <c r="BA143" i="1"/>
  <c r="AZ148" i="1"/>
  <c r="AT27" i="1"/>
  <c r="AZ12" i="1"/>
  <c r="AY16" i="1"/>
  <c r="BU16" i="1"/>
  <c r="BA12" i="1"/>
  <c r="AI27" i="1"/>
  <c r="BY11" i="1"/>
  <c r="BD11" i="1"/>
  <c r="BD16" i="1"/>
  <c r="BD188" i="1"/>
  <c r="AR28" i="1"/>
  <c r="AR29" i="1" s="1"/>
  <c r="N58" i="1"/>
  <c r="AL244" i="1"/>
  <c r="AJ12" i="1"/>
  <c r="AM11" i="1"/>
  <c r="AL225" i="1"/>
  <c r="AI16" i="1"/>
  <c r="BC11" i="1"/>
  <c r="AZ17" i="1"/>
  <c r="AR27" i="1"/>
  <c r="AI181" i="1"/>
  <c r="BT27" i="1"/>
  <c r="AL102" i="1"/>
  <c r="AL103" i="1"/>
  <c r="BX11" i="1"/>
  <c r="BU12" i="1"/>
  <c r="BT16" i="1"/>
  <c r="BY188" i="1"/>
  <c r="BB104" i="1"/>
  <c r="BB103" i="1"/>
  <c r="BB102" i="1"/>
  <c r="BI209" i="1"/>
  <c r="AZ11" i="1"/>
  <c r="BV138" i="1"/>
  <c r="BW33" i="1"/>
  <c r="BW134" i="1"/>
  <c r="BD12" i="1"/>
  <c r="AN188" i="1"/>
  <c r="BR156" i="1"/>
  <c r="BR185" i="1" s="1"/>
  <c r="Q207" i="1"/>
  <c r="AI184" i="1"/>
  <c r="BE27" i="1"/>
  <c r="BG27" i="1"/>
  <c r="BR27" i="1"/>
  <c r="BQ27" i="1"/>
  <c r="BB27" i="1"/>
  <c r="E196" i="1"/>
  <c r="J37" i="1"/>
  <c r="J168" i="1"/>
  <c r="J109" i="1" s="1"/>
  <c r="D197" i="1"/>
  <c r="BK11" i="1"/>
  <c r="C249" i="1"/>
  <c r="C251" i="1" s="1"/>
  <c r="F249" i="1"/>
  <c r="F251" i="1" s="1"/>
  <c r="F54" i="1"/>
  <c r="F175" i="1"/>
  <c r="F182" i="1"/>
  <c r="F181" i="1" s="1"/>
  <c r="G196" i="1"/>
  <c r="F196" i="1"/>
  <c r="N209" i="1"/>
  <c r="M248" i="1"/>
  <c r="T206" i="1"/>
  <c r="T168" i="1"/>
  <c r="T109" i="1" s="1"/>
  <c r="G175" i="1"/>
  <c r="T207" i="1"/>
  <c r="T248" i="1"/>
  <c r="T175" i="1"/>
  <c r="T54" i="1"/>
  <c r="R129" i="1"/>
  <c r="R55" i="1" s="1"/>
  <c r="R54" i="1"/>
  <c r="B138" i="1"/>
  <c r="B33" i="1"/>
  <c r="R196" i="1"/>
  <c r="M249" i="1"/>
  <c r="M251" i="1" s="1"/>
  <c r="BM11" i="1"/>
  <c r="E33" i="1"/>
  <c r="E138" i="1"/>
  <c r="L185" i="1"/>
  <c r="L184" i="1" s="1"/>
  <c r="D196" i="1"/>
  <c r="K248" i="1"/>
  <c r="B175" i="1"/>
  <c r="B54" i="1"/>
  <c r="B248" i="1"/>
  <c r="T37" i="1"/>
  <c r="O168" i="1"/>
  <c r="O109" i="1" s="1"/>
  <c r="B37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L207" i="1"/>
  <c r="C248" i="1"/>
  <c r="W249" i="1"/>
  <c r="W251" i="1" s="1"/>
  <c r="W206" i="1"/>
  <c r="W37" i="1"/>
  <c r="X249" i="1"/>
  <c r="X251" i="1" s="1"/>
  <c r="X206" i="1"/>
  <c r="M138" i="1"/>
  <c r="M33" i="1"/>
  <c r="S207" i="1"/>
  <c r="Q182" i="1"/>
  <c r="Q181" i="1" s="1"/>
  <c r="H182" i="1"/>
  <c r="K182" i="1"/>
  <c r="K181" i="1" s="1"/>
  <c r="K157" i="1"/>
  <c r="D182" i="1"/>
  <c r="D181" i="1" s="1"/>
  <c r="D157" i="1"/>
  <c r="I37" i="1"/>
  <c r="I206" i="1"/>
  <c r="K33" i="1"/>
  <c r="K138" i="1"/>
  <c r="E197" i="1"/>
  <c r="R248" i="1"/>
  <c r="V207" i="1"/>
  <c r="V248" i="1"/>
  <c r="N196" i="1"/>
  <c r="K197" i="1"/>
  <c r="J185" i="1"/>
  <c r="N206" i="1"/>
  <c r="N168" i="1"/>
  <c r="N109" i="1" s="1"/>
  <c r="P207" i="1"/>
  <c r="P54" i="1"/>
  <c r="P248" i="1"/>
  <c r="B157" i="1"/>
  <c r="V54" i="1"/>
  <c r="V129" i="1"/>
  <c r="V55" i="1" s="1"/>
  <c r="V175" i="1"/>
  <c r="G185" i="1"/>
  <c r="G157" i="1"/>
  <c r="G197" i="1"/>
  <c r="AP181" i="1"/>
  <c r="AX156" i="1"/>
  <c r="AX185" i="1" s="1"/>
  <c r="AI186" i="1"/>
  <c r="BU188" i="1"/>
  <c r="BD27" i="1"/>
  <c r="BF27" i="1"/>
  <c r="AU27" i="1"/>
  <c r="U196" i="1"/>
  <c r="C207" i="1"/>
  <c r="M207" i="1"/>
  <c r="D248" i="1"/>
  <c r="H249" i="1"/>
  <c r="H251" i="1" s="1"/>
  <c r="BJ225" i="1"/>
  <c r="O196" i="1"/>
  <c r="N197" i="1"/>
  <c r="N198" i="1" s="1"/>
  <c r="N199" i="1" s="1"/>
  <c r="BD184" i="1"/>
  <c r="AP11" i="1"/>
  <c r="AP16" i="1"/>
  <c r="AT11" i="1"/>
  <c r="AZ28" i="1"/>
  <c r="AZ27" i="1"/>
  <c r="T33" i="1"/>
  <c r="T138" i="1"/>
  <c r="N185" i="1"/>
  <c r="N184" i="1" s="1"/>
  <c r="O197" i="1"/>
  <c r="L248" i="1"/>
  <c r="M209" i="1"/>
  <c r="E182" i="1"/>
  <c r="E181" i="1" s="1"/>
  <c r="E157" i="1"/>
  <c r="E165" i="1" s="1"/>
  <c r="I185" i="1"/>
  <c r="I184" i="1" s="1"/>
  <c r="J197" i="1"/>
  <c r="P129" i="1"/>
  <c r="P55" i="1" s="1"/>
  <c r="P175" i="1"/>
  <c r="G129" i="1"/>
  <c r="G55" i="1" s="1"/>
  <c r="G37" i="1"/>
  <c r="G168" i="1"/>
  <c r="G109" i="1" s="1"/>
  <c r="BM16" i="1"/>
  <c r="BQ11" i="1"/>
  <c r="BM27" i="1"/>
  <c r="BM12" i="1"/>
  <c r="BT225" i="1"/>
  <c r="BU225" i="1"/>
  <c r="BS12" i="1"/>
  <c r="BA11" i="1"/>
  <c r="AW27" i="1"/>
  <c r="AS12" i="1"/>
  <c r="AW11" i="1"/>
  <c r="AU225" i="1"/>
  <c r="AS16" i="1"/>
  <c r="AT12" i="1"/>
  <c r="AT188" i="1"/>
  <c r="BJ11" i="1"/>
  <c r="BF16" i="1"/>
  <c r="BF28" i="1" s="1"/>
  <c r="BJ30" i="1" s="1"/>
  <c r="BM225" i="1"/>
  <c r="BL12" i="1"/>
  <c r="BK12" i="1"/>
  <c r="BK16" i="1"/>
  <c r="BO11" i="1"/>
  <c r="BK27" i="1"/>
  <c r="BO16" i="1"/>
  <c r="BR225" i="1"/>
  <c r="V58" i="1"/>
  <c r="BP12" i="1"/>
  <c r="AU12" i="1"/>
  <c r="AW225" i="1"/>
  <c r="BC102" i="1"/>
  <c r="BC104" i="1"/>
  <c r="BC103" i="1"/>
  <c r="U54" i="1"/>
  <c r="S138" i="1"/>
  <c r="S33" i="1"/>
  <c r="BU11" i="1"/>
  <c r="BQ16" i="1"/>
  <c r="BQ12" i="1"/>
  <c r="G207" i="1"/>
  <c r="G248" i="1"/>
  <c r="B185" i="1"/>
  <c r="B184" i="1" s="1"/>
  <c r="C197" i="1"/>
  <c r="C198" i="1" s="1"/>
  <c r="C199" i="1" s="1"/>
  <c r="G182" i="1"/>
  <c r="G181" i="1" s="1"/>
  <c r="H196" i="1"/>
  <c r="N157" i="1"/>
  <c r="N165" i="1" s="1"/>
  <c r="N166" i="1" s="1"/>
  <c r="N182" i="1"/>
  <c r="BE12" i="1"/>
  <c r="BG225" i="1"/>
  <c r="BF102" i="1"/>
  <c r="BF104" i="1"/>
  <c r="BF103" i="1"/>
  <c r="H185" i="1"/>
  <c r="H184" i="1" s="1"/>
  <c r="I197" i="1"/>
  <c r="H157" i="1"/>
  <c r="H165" i="1" s="1"/>
  <c r="L157" i="1"/>
  <c r="L182" i="1"/>
  <c r="M196" i="1"/>
  <c r="I196" i="1"/>
  <c r="I198" i="1" s="1"/>
  <c r="I199" i="1" s="1"/>
  <c r="I157" i="1"/>
  <c r="I165" i="1" s="1"/>
  <c r="P182" i="1"/>
  <c r="P157" i="1"/>
  <c r="P165" i="1" s="1"/>
  <c r="BV184" i="1"/>
  <c r="BH184" i="1"/>
  <c r="BW206" i="1"/>
  <c r="BH206" i="1"/>
  <c r="BW27" i="1"/>
  <c r="CA188" i="1"/>
  <c r="BX12" i="1"/>
  <c r="BZ225" i="1"/>
  <c r="CA11" i="1"/>
  <c r="BZ244" i="1"/>
  <c r="BW16" i="1"/>
  <c r="X58" i="1"/>
  <c r="CB188" i="1"/>
  <c r="BZ104" i="1"/>
  <c r="BZ102" i="1"/>
  <c r="BZ103" i="1"/>
  <c r="BX244" i="1"/>
  <c r="BW12" i="1"/>
  <c r="BY225" i="1"/>
  <c r="BX225" i="1"/>
  <c r="BV27" i="1"/>
  <c r="BV12" i="1"/>
  <c r="BV188" i="1"/>
  <c r="BV11" i="1"/>
  <c r="BZ11" i="1"/>
  <c r="BZ188" i="1"/>
  <c r="BW225" i="1"/>
  <c r="BY102" i="1"/>
  <c r="BY104" i="1"/>
  <c r="BY103" i="1"/>
  <c r="AM193" i="1"/>
  <c r="AM195" i="1" s="1"/>
  <c r="AM119" i="1"/>
  <c r="AM120" i="1" s="1"/>
  <c r="AM52" i="1"/>
  <c r="AM66" i="1"/>
  <c r="AM69" i="1" s="1"/>
  <c r="J129" i="1"/>
  <c r="J55" i="1" s="1"/>
  <c r="J248" i="1"/>
  <c r="K207" i="1"/>
  <c r="K205" i="1" s="1"/>
  <c r="J175" i="1"/>
  <c r="J207" i="1"/>
  <c r="J54" i="1"/>
  <c r="BH182" i="1"/>
  <c r="BH157" i="1"/>
  <c r="BH165" i="1" s="1"/>
  <c r="BH168" i="1"/>
  <c r="BH129" i="1"/>
  <c r="BW249" i="1"/>
  <c r="BW209" i="1"/>
  <c r="BV248" i="1"/>
  <c r="BX206" i="1"/>
  <c r="BX249" i="1"/>
  <c r="BG102" i="1"/>
  <c r="BG104" i="1"/>
  <c r="BG103" i="1"/>
  <c r="BO102" i="1"/>
  <c r="BO103" i="1"/>
  <c r="BO104" i="1"/>
  <c r="BP103" i="1"/>
  <c r="BP104" i="1"/>
  <c r="BP102" i="1"/>
  <c r="BN103" i="1"/>
  <c r="BN104" i="1"/>
  <c r="BN102" i="1"/>
  <c r="BR102" i="1"/>
  <c r="BR104" i="1"/>
  <c r="BR103" i="1"/>
  <c r="BS102" i="1"/>
  <c r="BS103" i="1"/>
  <c r="BS104" i="1"/>
  <c r="BJ102" i="1"/>
  <c r="BJ103" i="1"/>
  <c r="BJ104" i="1"/>
  <c r="O129" i="1"/>
  <c r="O55" i="1" s="1"/>
  <c r="O54" i="1"/>
  <c r="AP27" i="1"/>
  <c r="O58" i="1"/>
  <c r="U207" i="1"/>
  <c r="U205" i="1" s="1"/>
  <c r="I249" i="1"/>
  <c r="I251" i="1" s="1"/>
  <c r="BI206" i="1"/>
  <c r="AQ27" i="1"/>
  <c r="T129" i="1"/>
  <c r="T55" i="1" s="1"/>
  <c r="U197" i="1"/>
  <c r="U198" i="1" s="1"/>
  <c r="U199" i="1" s="1"/>
  <c r="K203" i="1"/>
  <c r="K201" i="1" s="1"/>
  <c r="BI33" i="1"/>
  <c r="BI134" i="1"/>
  <c r="BH16" i="1"/>
  <c r="BL11" i="1"/>
  <c r="BH188" i="1"/>
  <c r="BH92" i="1"/>
  <c r="BH248" i="1"/>
  <c r="L33" i="1"/>
  <c r="L138" i="1"/>
  <c r="M203" i="1" s="1"/>
  <c r="M201" i="1" s="1"/>
  <c r="I54" i="1"/>
  <c r="I175" i="1"/>
  <c r="I248" i="1"/>
  <c r="BZ18" i="1"/>
  <c r="BV28" i="1"/>
  <c r="BV17" i="1"/>
  <c r="BO225" i="1"/>
  <c r="BN12" i="1"/>
  <c r="BP225" i="1"/>
  <c r="BN188" i="1"/>
  <c r="BS16" i="1"/>
  <c r="BT12" i="1"/>
  <c r="BS188" i="1"/>
  <c r="BX188" i="1"/>
  <c r="BV225" i="1"/>
  <c r="W58" i="1"/>
  <c r="BS27" i="1"/>
  <c r="BW188" i="1"/>
  <c r="BT188" i="1"/>
  <c r="BW11" i="1"/>
  <c r="AW16" i="1"/>
  <c r="BA188" i="1"/>
  <c r="AW12" i="1"/>
  <c r="AW188" i="1"/>
  <c r="AV225" i="1"/>
  <c r="AS27" i="1"/>
  <c r="BG12" i="1"/>
  <c r="BI225" i="1"/>
  <c r="BF188" i="1"/>
  <c r="BT104" i="1"/>
  <c r="BT102" i="1"/>
  <c r="BT103" i="1"/>
  <c r="BM104" i="1"/>
  <c r="BM103" i="1"/>
  <c r="BM102" i="1"/>
  <c r="U58" i="1"/>
  <c r="BL188" i="1"/>
  <c r="BK188" i="1"/>
  <c r="BN225" i="1"/>
  <c r="BP188" i="1"/>
  <c r="BO188" i="1"/>
  <c r="BS11" i="1"/>
  <c r="BQ225" i="1"/>
  <c r="BO12" i="1"/>
  <c r="AS11" i="1"/>
  <c r="AO11" i="1"/>
  <c r="AP12" i="1"/>
  <c r="AZ188" i="1"/>
  <c r="AU16" i="1"/>
  <c r="AV12" i="1"/>
  <c r="AY11" i="1"/>
  <c r="AU188" i="1"/>
  <c r="AT104" i="1"/>
  <c r="AT103" i="1"/>
  <c r="AT102" i="1"/>
  <c r="BB225" i="1"/>
  <c r="BB12" i="1"/>
  <c r="BE225" i="1"/>
  <c r="BC225" i="1"/>
  <c r="BC12" i="1"/>
  <c r="BF11" i="1"/>
  <c r="R58" i="1"/>
  <c r="BD225" i="1"/>
  <c r="BB16" i="1"/>
  <c r="BC19" i="1" s="1"/>
  <c r="AP103" i="1"/>
  <c r="AP102" i="1"/>
  <c r="AP104" i="1"/>
  <c r="BL104" i="1"/>
  <c r="BL102" i="1"/>
  <c r="BL103" i="1"/>
  <c r="BR11" i="1"/>
  <c r="BR188" i="1"/>
  <c r="BR16" i="1"/>
  <c r="BR18" i="1" s="1"/>
  <c r="BS225" i="1"/>
  <c r="BQ188" i="1"/>
  <c r="BR12" i="1"/>
  <c r="BE104" i="1"/>
  <c r="BE102" i="1"/>
  <c r="BE103" i="1"/>
  <c r="BH103" i="1"/>
  <c r="BH104" i="1"/>
  <c r="BG188" i="1"/>
  <c r="BH12" i="1"/>
  <c r="BG16" i="1"/>
  <c r="BG11" i="1"/>
  <c r="AQ104" i="1"/>
  <c r="AQ103" i="1"/>
  <c r="BD102" i="1"/>
  <c r="BD104" i="1"/>
  <c r="BD103" i="1"/>
  <c r="BH225" i="1"/>
  <c r="BE188" i="1"/>
  <c r="BE16" i="1"/>
  <c r="BF12" i="1"/>
  <c r="BF225" i="1"/>
  <c r="S58" i="1"/>
  <c r="BE11" i="1"/>
  <c r="AR104" i="1"/>
  <c r="AR103" i="1"/>
  <c r="AR102" i="1"/>
  <c r="BQ102" i="1"/>
  <c r="BQ103" i="1"/>
  <c r="BQ104" i="1"/>
  <c r="BA28" i="1"/>
  <c r="BA17" i="1"/>
  <c r="BJ232" i="1"/>
  <c r="BJ233" i="1" s="1"/>
  <c r="BJ29" i="1"/>
  <c r="BJ34" i="1"/>
  <c r="BJ38" i="1" s="1"/>
  <c r="BV102" i="1"/>
  <c r="BV104" i="1"/>
  <c r="BV103" i="1"/>
  <c r="BX104" i="1"/>
  <c r="BX103" i="1"/>
  <c r="BX102" i="1"/>
  <c r="BV186" i="1"/>
  <c r="BZ189" i="1" s="1"/>
  <c r="BV181" i="1"/>
  <c r="AX104" i="1"/>
  <c r="AX102" i="1"/>
  <c r="AT28" i="1"/>
  <c r="AT17" i="1"/>
  <c r="AW102" i="1"/>
  <c r="AW104" i="1"/>
  <c r="AW103" i="1"/>
  <c r="N246" i="1"/>
  <c r="N244" i="1"/>
  <c r="B107" i="1"/>
  <c r="B110" i="1" s="1"/>
  <c r="B113" i="1" s="1"/>
  <c r="B66" i="1"/>
  <c r="AS103" i="1"/>
  <c r="AR12" i="1"/>
  <c r="AQ225" i="1"/>
  <c r="J246" i="1"/>
  <c r="V157" i="1"/>
  <c r="V165" i="1" s="1"/>
  <c r="J206" i="1"/>
  <c r="V196" i="1"/>
  <c r="U249" i="1"/>
  <c r="U251" i="1" s="1"/>
  <c r="E54" i="1"/>
  <c r="E175" i="1"/>
  <c r="AS104" i="1"/>
  <c r="BV129" i="1"/>
  <c r="D110" i="1"/>
  <c r="D113" i="1" s="1"/>
  <c r="I168" i="1"/>
  <c r="I109" i="1" s="1"/>
  <c r="AP188" i="1"/>
  <c r="T58" i="1"/>
  <c r="BI11" i="1"/>
  <c r="BU103" i="1"/>
  <c r="BB184" i="1"/>
  <c r="M197" i="1"/>
  <c r="C168" i="1"/>
  <c r="C109" i="1" s="1"/>
  <c r="C206" i="1"/>
  <c r="G138" i="1"/>
  <c r="C138" i="1"/>
  <c r="C203" i="1" s="1"/>
  <c r="C201" i="1" s="1"/>
  <c r="J249" i="1"/>
  <c r="J251" i="1" s="1"/>
  <c r="T197" i="1"/>
  <c r="AU11" i="1"/>
  <c r="AQ11" i="1"/>
  <c r="AR225" i="1"/>
  <c r="BI27" i="1"/>
  <c r="BV168" i="1"/>
  <c r="BK225" i="1"/>
  <c r="BL244" i="1"/>
  <c r="BJ206" i="1"/>
  <c r="U246" i="1"/>
  <c r="AQ12" i="1"/>
  <c r="Q138" i="1"/>
  <c r="G249" i="1"/>
  <c r="G251" i="1" s="1"/>
  <c r="S246" i="1"/>
  <c r="S185" i="1"/>
  <c r="N33" i="1"/>
  <c r="F207" i="1"/>
  <c r="P58" i="1"/>
  <c r="BI249" i="1"/>
  <c r="AZ225" i="1"/>
  <c r="BU102" i="1"/>
  <c r="AS225" i="1"/>
  <c r="BJ249" i="1"/>
  <c r="U244" i="1"/>
  <c r="AP225" i="1"/>
  <c r="E37" i="1"/>
  <c r="G206" i="1"/>
  <c r="AQ102" i="1"/>
  <c r="AY12" i="1"/>
  <c r="AO27" i="1"/>
  <c r="AR188" i="1"/>
  <c r="AX12" i="1"/>
  <c r="AQ188" i="1"/>
  <c r="U157" i="1"/>
  <c r="U165" i="1" s="1"/>
  <c r="E168" i="1"/>
  <c r="E109" i="1" s="1"/>
  <c r="I129" i="1"/>
  <c r="I55" i="1" s="1"/>
  <c r="U175" i="1"/>
  <c r="F129" i="1"/>
  <c r="F55" i="1" s="1"/>
  <c r="B108" i="1"/>
  <c r="AQ16" i="1"/>
  <c r="AO12" i="1"/>
  <c r="AT225" i="1"/>
  <c r="BL225" i="1"/>
  <c r="BJ244" i="1"/>
  <c r="AO225" i="1"/>
  <c r="AO16" i="1"/>
  <c r="BV157" i="1"/>
  <c r="AX188" i="1"/>
  <c r="AS188" i="1"/>
  <c r="AV188" i="1"/>
  <c r="F206" i="1"/>
  <c r="F205" i="1" s="1"/>
  <c r="U129" i="1"/>
  <c r="U55" i="1" s="1"/>
  <c r="U248" i="1"/>
  <c r="T249" i="1"/>
  <c r="T251" i="1" s="1"/>
  <c r="E129" i="1"/>
  <c r="E55" i="1" s="1"/>
  <c r="J244" i="1"/>
  <c r="G54" i="1"/>
  <c r="V197" i="1"/>
  <c r="BI12" i="1"/>
  <c r="AO188" i="1"/>
  <c r="BH102" i="1"/>
  <c r="Q129" i="1"/>
  <c r="Q55" i="1" s="1"/>
  <c r="T157" i="1"/>
  <c r="O157" i="1"/>
  <c r="T196" i="1"/>
  <c r="C129" i="1"/>
  <c r="C55" i="1" s="1"/>
  <c r="C69" i="1"/>
  <c r="C87" i="1" s="1"/>
  <c r="BI104" i="1"/>
  <c r="AZ103" i="1"/>
  <c r="AY104" i="1"/>
  <c r="BK102" i="1"/>
  <c r="R197" i="1"/>
  <c r="AY103" i="1"/>
  <c r="BK103" i="1"/>
  <c r="BW102" i="1"/>
  <c r="S197" i="1"/>
  <c r="BW103" i="1"/>
  <c r="AV103" i="1"/>
  <c r="Q197" i="1"/>
  <c r="AX103" i="1"/>
  <c r="AV104" i="1"/>
  <c r="Q157" i="1"/>
  <c r="S157" i="1"/>
  <c r="AW202" i="1"/>
  <c r="H197" i="1"/>
  <c r="BR249" i="1"/>
  <c r="R206" i="1"/>
  <c r="BJ188" i="1"/>
  <c r="AU102" i="1"/>
  <c r="H168" i="1"/>
  <c r="H109" i="1" s="1"/>
  <c r="H129" i="1"/>
  <c r="H55" i="1" s="1"/>
  <c r="H37" i="1"/>
  <c r="H206" i="1"/>
  <c r="AX11" i="1"/>
  <c r="BM188" i="1"/>
  <c r="BJ12" i="1"/>
  <c r="BI188" i="1"/>
  <c r="AS33" i="1"/>
  <c r="AU104" i="1"/>
  <c r="R157" i="1"/>
  <c r="L206" i="1"/>
  <c r="L129" i="1"/>
  <c r="L55" i="1" s="1"/>
  <c r="Q196" i="1"/>
  <c r="R138" i="1"/>
  <c r="R33" i="1"/>
  <c r="N175" i="1"/>
  <c r="N54" i="1"/>
  <c r="N248" i="1"/>
  <c r="N207" i="1"/>
  <c r="O207" i="1"/>
  <c r="Q58" i="1"/>
  <c r="AZ104" i="1"/>
  <c r="BI16" i="1"/>
  <c r="AY188" i="1"/>
  <c r="AS134" i="1"/>
  <c r="AS138" i="1" s="1"/>
  <c r="L249" i="1"/>
  <c r="L251" i="1" s="1"/>
  <c r="M206" i="1"/>
  <c r="J182" i="1"/>
  <c r="J181" i="1" s="1"/>
  <c r="D206" i="1"/>
  <c r="D37" i="1"/>
  <c r="D249" i="1"/>
  <c r="D251" i="1" s="1"/>
  <c r="D129" i="1"/>
  <c r="D55" i="1" s="1"/>
  <c r="E206" i="1"/>
  <c r="BI102" i="1"/>
  <c r="AX225" i="1"/>
  <c r="M185" i="1"/>
  <c r="M186" i="1" s="1"/>
  <c r="L37" i="1"/>
  <c r="Q206" i="1"/>
  <c r="M157" i="1"/>
  <c r="L168" i="1"/>
  <c r="L109" i="1" s="1"/>
  <c r="R249" i="1"/>
  <c r="R251" i="1" s="1"/>
  <c r="P246" i="1"/>
  <c r="S196" i="1"/>
  <c r="L54" i="1"/>
  <c r="L175" i="1"/>
  <c r="I182" i="1"/>
  <c r="I181" i="1" s="1"/>
  <c r="J196" i="1"/>
  <c r="AY225" i="1"/>
  <c r="Q249" i="1"/>
  <c r="Q251" i="1" s="1"/>
  <c r="P244" i="1"/>
  <c r="R182" i="1"/>
  <c r="R181" i="1" s="1"/>
  <c r="F138" i="1"/>
  <c r="F33" i="1"/>
  <c r="H207" i="1"/>
  <c r="I207" i="1"/>
  <c r="H248" i="1"/>
  <c r="H175" i="1"/>
  <c r="H54" i="1"/>
  <c r="BC188" i="1"/>
  <c r="BB11" i="1"/>
  <c r="Q168" i="1"/>
  <c r="Q109" i="1" s="1"/>
  <c r="E207" i="1"/>
  <c r="D54" i="1"/>
  <c r="D175" i="1"/>
  <c r="D207" i="1"/>
  <c r="AX16" i="1"/>
  <c r="BB188" i="1"/>
  <c r="AX27" i="1"/>
  <c r="P196" i="1"/>
  <c r="V37" i="1"/>
  <c r="V168" i="1"/>
  <c r="V109" i="1" s="1"/>
  <c r="F184" i="1"/>
  <c r="H244" i="1"/>
  <c r="H246" i="1"/>
  <c r="I203" i="1"/>
  <c r="I201" i="1" s="1"/>
  <c r="I244" i="1"/>
  <c r="I246" i="1"/>
  <c r="J203" i="1"/>
  <c r="J201" i="1" s="1"/>
  <c r="D69" i="1"/>
  <c r="D68" i="1"/>
  <c r="AR202" i="1"/>
  <c r="AQ202" i="1"/>
  <c r="BB168" i="1"/>
  <c r="C184" i="1"/>
  <c r="C186" i="1"/>
  <c r="BS33" i="1"/>
  <c r="BS134" i="1"/>
  <c r="BR138" i="1"/>
  <c r="AN92" i="1"/>
  <c r="AN95" i="1" s="1"/>
  <c r="AN248" i="1"/>
  <c r="Q184" i="1"/>
  <c r="BT129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BN248" i="1"/>
  <c r="BN92" i="1"/>
  <c r="BP249" i="1"/>
  <c r="BP206" i="1"/>
  <c r="BP168" i="1"/>
  <c r="BS249" i="1"/>
  <c r="BS206" i="1"/>
  <c r="BC209" i="1"/>
  <c r="BB248" i="1"/>
  <c r="AR248" i="1"/>
  <c r="AT138" i="1"/>
  <c r="AU33" i="1"/>
  <c r="AU134" i="1"/>
  <c r="BD92" i="1"/>
  <c r="BD248" i="1"/>
  <c r="BO206" i="1"/>
  <c r="BO249" i="1"/>
  <c r="BN249" i="1"/>
  <c r="BN206" i="1"/>
  <c r="BT202" i="1"/>
  <c r="BS202" i="1"/>
  <c r="BV249" i="1"/>
  <c r="BU249" i="1"/>
  <c r="BU206" i="1"/>
  <c r="BV206" i="1"/>
  <c r="BT168" i="1"/>
  <c r="BT249" i="1"/>
  <c r="BT206" i="1"/>
  <c r="AP202" i="1"/>
  <c r="AO202" i="1"/>
  <c r="AT129" i="1"/>
  <c r="AT168" i="1"/>
  <c r="BG249" i="1"/>
  <c r="BH249" i="1"/>
  <c r="AU206" i="1"/>
  <c r="AU249" i="1"/>
  <c r="BR206" i="1"/>
  <c r="AZ92" i="1"/>
  <c r="AZ248" i="1"/>
  <c r="BT92" i="1"/>
  <c r="BT248" i="1"/>
  <c r="BF129" i="1"/>
  <c r="AP95" i="1"/>
  <c r="AP94" i="1"/>
  <c r="AP96" i="1"/>
  <c r="BF92" i="1"/>
  <c r="BQ249" i="1"/>
  <c r="BG206" i="1"/>
  <c r="BQ206" i="1"/>
  <c r="BT182" i="1"/>
  <c r="BV96" i="1"/>
  <c r="BV95" i="1"/>
  <c r="BV94" i="1"/>
  <c r="BP28" i="1"/>
  <c r="BP18" i="1"/>
  <c r="BP17" i="1"/>
  <c r="BC28" i="1"/>
  <c r="BC17" i="1"/>
  <c r="AT95" i="1"/>
  <c r="AT96" i="1"/>
  <c r="AT94" i="1"/>
  <c r="BN18" i="1"/>
  <c r="BN28" i="1"/>
  <c r="BN17" i="1"/>
  <c r="AN28" i="1"/>
  <c r="AN18" i="1"/>
  <c r="AN19" i="1"/>
  <c r="AN17" i="1"/>
  <c r="BH246" i="1"/>
  <c r="BH244" i="1"/>
  <c r="CR194" i="1"/>
  <c r="CR132" i="1"/>
  <c r="CQ203" i="1"/>
  <c r="CQ201" i="1" s="1"/>
  <c r="AB206" i="1"/>
  <c r="DB63" i="1"/>
  <c r="DB65" i="1" s="1"/>
  <c r="DA65" i="1"/>
  <c r="B111" i="1" l="1"/>
  <c r="B114" i="1" s="1"/>
  <c r="AP19" i="1"/>
  <c r="BV165" i="1"/>
  <c r="B165" i="1"/>
  <c r="O165" i="1"/>
  <c r="J165" i="1"/>
  <c r="R205" i="1"/>
  <c r="AR181" i="1"/>
  <c r="P198" i="1"/>
  <c r="P199" i="1" s="1"/>
  <c r="W203" i="1"/>
  <c r="W201" i="1" s="1"/>
  <c r="D111" i="1"/>
  <c r="D114" i="1" s="1"/>
  <c r="D184" i="1"/>
  <c r="B181" i="1"/>
  <c r="L198" i="1"/>
  <c r="L199" i="1" s="1"/>
  <c r="AV168" i="1"/>
  <c r="V203" i="1"/>
  <c r="V201" i="1" s="1"/>
  <c r="V244" i="1"/>
  <c r="V246" i="1"/>
  <c r="AQ249" i="1"/>
  <c r="AV249" i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AV206" i="1"/>
  <c r="K184" i="1"/>
  <c r="E184" i="1"/>
  <c r="AT157" i="1"/>
  <c r="AY134" i="1"/>
  <c r="AT184" i="1"/>
  <c r="BT184" i="1"/>
  <c r="BR184" i="1"/>
  <c r="E198" i="1"/>
  <c r="E199" i="1" s="1"/>
  <c r="G198" i="1"/>
  <c r="G199" i="1" s="1"/>
  <c r="BF184" i="1"/>
  <c r="AZ184" i="1"/>
  <c r="O205" i="1"/>
  <c r="AX138" i="1"/>
  <c r="AY33" i="1"/>
  <c r="AR185" i="1"/>
  <c r="AR157" i="1"/>
  <c r="AR165" i="1" s="1"/>
  <c r="BF206" i="1"/>
  <c r="BF168" i="1"/>
  <c r="BR129" i="1"/>
  <c r="BR168" i="1"/>
  <c r="BA134" i="1"/>
  <c r="BA33" i="1"/>
  <c r="AZ138" i="1"/>
  <c r="BQ33" i="1"/>
  <c r="BP138" i="1"/>
  <c r="BQ134" i="1"/>
  <c r="AR244" i="1"/>
  <c r="AX206" i="1"/>
  <c r="AX168" i="1"/>
  <c r="AX129" i="1"/>
  <c r="AX249" i="1"/>
  <c r="BO202" i="1"/>
  <c r="BP202" i="1"/>
  <c r="AW249" i="1"/>
  <c r="AW206" i="1"/>
  <c r="AN182" i="1"/>
  <c r="AZ168" i="1"/>
  <c r="AZ249" i="1"/>
  <c r="AZ129" i="1"/>
  <c r="AZ206" i="1"/>
  <c r="AN184" i="1"/>
  <c r="AT249" i="1"/>
  <c r="AT206" i="1"/>
  <c r="BD206" i="1"/>
  <c r="BD129" i="1"/>
  <c r="BE249" i="1"/>
  <c r="BE206" i="1"/>
  <c r="BD168" i="1"/>
  <c r="BD249" i="1"/>
  <c r="AV92" i="1"/>
  <c r="AV248" i="1"/>
  <c r="AQ206" i="1"/>
  <c r="AP206" i="1"/>
  <c r="AP249" i="1"/>
  <c r="BB206" i="1"/>
  <c r="BA249" i="1"/>
  <c r="BB249" i="1"/>
  <c r="BA206" i="1"/>
  <c r="BP186" i="1"/>
  <c r="BP189" i="1" s="1"/>
  <c r="AY206" i="1"/>
  <c r="AY249" i="1"/>
  <c r="AQ209" i="1"/>
  <c r="AP248" i="1"/>
  <c r="BS209" i="1"/>
  <c r="BR248" i="1"/>
  <c r="BF249" i="1"/>
  <c r="AP168" i="1"/>
  <c r="AP129" i="1"/>
  <c r="AP185" i="1"/>
  <c r="AP157" i="1"/>
  <c r="BF248" i="1"/>
  <c r="BP96" i="1"/>
  <c r="AV129" i="1"/>
  <c r="BP248" i="1"/>
  <c r="BP129" i="1"/>
  <c r="BP157" i="1"/>
  <c r="BP95" i="1"/>
  <c r="AV182" i="1"/>
  <c r="AV186" i="1" s="1"/>
  <c r="AV157" i="1"/>
  <c r="BB182" i="1"/>
  <c r="BB157" i="1"/>
  <c r="BD182" i="1"/>
  <c r="BD157" i="1"/>
  <c r="AX182" i="1"/>
  <c r="BF182" i="1"/>
  <c r="BF157" i="1"/>
  <c r="BT157" i="1"/>
  <c r="BR182" i="1"/>
  <c r="BN182" i="1"/>
  <c r="BN157" i="1"/>
  <c r="AZ182" i="1"/>
  <c r="AZ157" i="1"/>
  <c r="AY28" i="1"/>
  <c r="AY17" i="1"/>
  <c r="AZ19" i="1"/>
  <c r="BU28" i="1"/>
  <c r="BV19" i="1"/>
  <c r="BY18" i="1"/>
  <c r="BU17" i="1"/>
  <c r="AR17" i="1"/>
  <c r="BN184" i="1"/>
  <c r="BD17" i="1"/>
  <c r="BD28" i="1"/>
  <c r="BD18" i="1"/>
  <c r="AJ19" i="1"/>
  <c r="AI17" i="1"/>
  <c r="AM18" i="1"/>
  <c r="AI28" i="1"/>
  <c r="N59" i="1"/>
  <c r="BD19" i="1"/>
  <c r="BC18" i="1"/>
  <c r="AR232" i="1"/>
  <c r="AR233" i="1" s="1"/>
  <c r="AR18" i="1"/>
  <c r="AV28" i="1"/>
  <c r="AV17" i="1"/>
  <c r="AV18" i="1"/>
  <c r="AZ18" i="1"/>
  <c r="BU19" i="1"/>
  <c r="BT28" i="1"/>
  <c r="BX18" i="1"/>
  <c r="BT17" i="1"/>
  <c r="BT18" i="1"/>
  <c r="BW138" i="1"/>
  <c r="BX33" i="1"/>
  <c r="AR34" i="1"/>
  <c r="AR38" i="1" s="1"/>
  <c r="BV244" i="1"/>
  <c r="BV246" i="1"/>
  <c r="BR96" i="1"/>
  <c r="BR94" i="1"/>
  <c r="BR95" i="1"/>
  <c r="T203" i="1"/>
  <c r="T201" i="1" s="1"/>
  <c r="E166" i="1"/>
  <c r="AN157" i="1"/>
  <c r="BF17" i="1"/>
  <c r="BJ18" i="1"/>
  <c r="BF29" i="1"/>
  <c r="BF34" i="1"/>
  <c r="BF38" i="1" s="1"/>
  <c r="BF232" i="1"/>
  <c r="BF233" i="1" s="1"/>
  <c r="BO28" i="1"/>
  <c r="BP19" i="1"/>
  <c r="BO18" i="1"/>
  <c r="BO17" i="1"/>
  <c r="BO19" i="1"/>
  <c r="BB17" i="1"/>
  <c r="R59" i="1"/>
  <c r="BB28" i="1"/>
  <c r="BF18" i="1"/>
  <c r="BB19" i="1"/>
  <c r="BJ41" i="1"/>
  <c r="BJ40" i="1"/>
  <c r="G205" i="1"/>
  <c r="T205" i="1"/>
  <c r="BR157" i="1"/>
  <c r="O198" i="1"/>
  <c r="O199" i="1" s="1"/>
  <c r="M198" i="1"/>
  <c r="M199" i="1" s="1"/>
  <c r="P166" i="1"/>
  <c r="BH166" i="1"/>
  <c r="V166" i="1"/>
  <c r="C205" i="1"/>
  <c r="L203" i="1"/>
  <c r="L201" i="1" s="1"/>
  <c r="D203" i="1"/>
  <c r="D201" i="1" s="1"/>
  <c r="T165" i="1"/>
  <c r="T166" i="1" s="1"/>
  <c r="T198" i="1"/>
  <c r="T199" i="1" s="1"/>
  <c r="R198" i="1"/>
  <c r="R199" i="1" s="1"/>
  <c r="S165" i="1"/>
  <c r="S166" i="1" s="1"/>
  <c r="H198" i="1"/>
  <c r="H199" i="1" s="1"/>
  <c r="L205" i="1"/>
  <c r="N205" i="1"/>
  <c r="F198" i="1"/>
  <c r="F199" i="1" s="1"/>
  <c r="M205" i="1"/>
  <c r="Q205" i="1"/>
  <c r="AX184" i="1"/>
  <c r="M165" i="1"/>
  <c r="M166" i="1" s="1"/>
  <c r="I205" i="1"/>
  <c r="D198" i="1"/>
  <c r="D199" i="1" s="1"/>
  <c r="F186" i="1"/>
  <c r="V205" i="1"/>
  <c r="K198" i="1"/>
  <c r="K199" i="1" s="1"/>
  <c r="S244" i="1"/>
  <c r="S205" i="1"/>
  <c r="D165" i="1"/>
  <c r="E244" i="1"/>
  <c r="E246" i="1"/>
  <c r="AP28" i="1"/>
  <c r="AP17" i="1"/>
  <c r="AS28" i="1"/>
  <c r="AS31" i="1" s="1"/>
  <c r="AW18" i="1"/>
  <c r="AS19" i="1"/>
  <c r="AZ29" i="1"/>
  <c r="AQ19" i="1"/>
  <c r="U59" i="1"/>
  <c r="AO19" i="1"/>
  <c r="P59" i="1"/>
  <c r="AR19" i="1"/>
  <c r="N203" i="1"/>
  <c r="N201" i="1" s="1"/>
  <c r="M244" i="1"/>
  <c r="M246" i="1"/>
  <c r="K165" i="1"/>
  <c r="K166" i="1" s="1"/>
  <c r="E203" i="1"/>
  <c r="E201" i="1" s="1"/>
  <c r="H181" i="1"/>
  <c r="H186" i="1"/>
  <c r="D186" i="1"/>
  <c r="B186" i="1"/>
  <c r="J184" i="1"/>
  <c r="P205" i="1"/>
  <c r="K244" i="1"/>
  <c r="K246" i="1"/>
  <c r="P186" i="1"/>
  <c r="P181" i="1"/>
  <c r="Q186" i="1"/>
  <c r="K186" i="1"/>
  <c r="E186" i="1"/>
  <c r="G186" i="1"/>
  <c r="G184" i="1"/>
  <c r="AX157" i="1"/>
  <c r="AT18" i="1"/>
  <c r="AP18" i="1"/>
  <c r="AT19" i="1"/>
  <c r="BM19" i="1"/>
  <c r="BS17" i="1"/>
  <c r="AZ232" i="1"/>
  <c r="AZ233" i="1" s="1"/>
  <c r="AZ34" i="1"/>
  <c r="AZ38" i="1" s="1"/>
  <c r="BH17" i="1"/>
  <c r="BH18" i="1"/>
  <c r="AW19" i="1"/>
  <c r="AO28" i="1"/>
  <c r="AO17" i="1"/>
  <c r="AS18" i="1"/>
  <c r="AQ17" i="1"/>
  <c r="AS17" i="1"/>
  <c r="BM17" i="1"/>
  <c r="BM28" i="1"/>
  <c r="BS18" i="1"/>
  <c r="BS28" i="1"/>
  <c r="BH28" i="1"/>
  <c r="BL18" i="1"/>
  <c r="BN19" i="1"/>
  <c r="AQ28" i="1"/>
  <c r="AQ18" i="1"/>
  <c r="U203" i="1"/>
  <c r="U201" i="1" s="1"/>
  <c r="U213" i="1" s="1"/>
  <c r="T244" i="1"/>
  <c r="T246" i="1"/>
  <c r="U166" i="1"/>
  <c r="AU18" i="1"/>
  <c r="J198" i="1"/>
  <c r="J199" i="1" s="1"/>
  <c r="J213" i="1" s="1"/>
  <c r="Q59" i="1"/>
  <c r="BK17" i="1"/>
  <c r="BL19" i="1"/>
  <c r="BK28" i="1"/>
  <c r="BK19" i="1"/>
  <c r="BQ28" i="1"/>
  <c r="BQ18" i="1"/>
  <c r="BQ19" i="1"/>
  <c r="BQ17" i="1"/>
  <c r="BU18" i="1"/>
  <c r="N186" i="1"/>
  <c r="N181" i="1"/>
  <c r="L181" i="1"/>
  <c r="L186" i="1"/>
  <c r="BH181" i="1"/>
  <c r="BH186" i="1"/>
  <c r="BL189" i="1" s="1"/>
  <c r="BI37" i="1"/>
  <c r="BH109" i="1"/>
  <c r="BG19" i="1"/>
  <c r="BG17" i="1"/>
  <c r="BH19" i="1"/>
  <c r="BK18" i="1"/>
  <c r="BG28" i="1"/>
  <c r="BG18" i="1"/>
  <c r="T59" i="1"/>
  <c r="C111" i="1"/>
  <c r="C114" i="1" s="1"/>
  <c r="C110" i="1"/>
  <c r="C113" i="1" s="1"/>
  <c r="G244" i="1"/>
  <c r="G165" i="1"/>
  <c r="G166" i="1" s="1"/>
  <c r="H203" i="1"/>
  <c r="H201" i="1" s="1"/>
  <c r="G246" i="1"/>
  <c r="Q246" i="1"/>
  <c r="Q244" i="1"/>
  <c r="Q203" i="1"/>
  <c r="Q201" i="1" s="1"/>
  <c r="S186" i="1"/>
  <c r="S184" i="1"/>
  <c r="J205" i="1"/>
  <c r="J210" i="1" s="1"/>
  <c r="J211" i="1" s="1"/>
  <c r="BW19" i="1"/>
  <c r="BW17" i="1"/>
  <c r="X59" i="1"/>
  <c r="CA18" i="1"/>
  <c r="BX19" i="1"/>
  <c r="BW28" i="1"/>
  <c r="AM129" i="1"/>
  <c r="AM55" i="1" s="1"/>
  <c r="AM54" i="1"/>
  <c r="AM207" i="1"/>
  <c r="AM205" i="1" s="1"/>
  <c r="AM92" i="1"/>
  <c r="AM86" i="1"/>
  <c r="AM85" i="1"/>
  <c r="AM87" i="1"/>
  <c r="BV34" i="1"/>
  <c r="BV38" i="1" s="1"/>
  <c r="BZ30" i="1"/>
  <c r="BV29" i="1"/>
  <c r="BV232" i="1"/>
  <c r="BV233" i="1" s="1"/>
  <c r="BV109" i="1"/>
  <c r="BW37" i="1"/>
  <c r="BJ33" i="1"/>
  <c r="BI138" i="1"/>
  <c r="BJ203" i="1" s="1"/>
  <c r="BJ201" i="1" s="1"/>
  <c r="BH96" i="1"/>
  <c r="BH94" i="1"/>
  <c r="BH95" i="1"/>
  <c r="L244" i="1"/>
  <c r="L165" i="1"/>
  <c r="L166" i="1" s="1"/>
  <c r="L246" i="1"/>
  <c r="AW17" i="1"/>
  <c r="BA18" i="1"/>
  <c r="AW28" i="1"/>
  <c r="V198" i="1"/>
  <c r="V199" i="1" s="1"/>
  <c r="Q165" i="1"/>
  <c r="Q166" i="1" s="1"/>
  <c r="BI19" i="1"/>
  <c r="BW18" i="1"/>
  <c r="BT19" i="1"/>
  <c r="AU17" i="1"/>
  <c r="AU19" i="1"/>
  <c r="AY18" i="1"/>
  <c r="AU28" i="1"/>
  <c r="AV19" i="1"/>
  <c r="BV18" i="1"/>
  <c r="BR17" i="1"/>
  <c r="V59" i="1"/>
  <c r="BR28" i="1"/>
  <c r="BR19" i="1"/>
  <c r="BS19" i="1"/>
  <c r="BE18" i="1"/>
  <c r="BF19" i="1"/>
  <c r="BE17" i="1"/>
  <c r="BE28" i="1"/>
  <c r="BE19" i="1"/>
  <c r="S59" i="1"/>
  <c r="BA250" i="1"/>
  <c r="BA29" i="1"/>
  <c r="BA232" i="1"/>
  <c r="BA233" i="1" s="1"/>
  <c r="BA34" i="1"/>
  <c r="BA38" i="1" s="1"/>
  <c r="BA31" i="1"/>
  <c r="AT29" i="1"/>
  <c r="AT232" i="1"/>
  <c r="AT233" i="1" s="1"/>
  <c r="AT34" i="1"/>
  <c r="AT38" i="1" s="1"/>
  <c r="BI28" i="1"/>
  <c r="BJ19" i="1"/>
  <c r="C86" i="1"/>
  <c r="C85" i="1"/>
  <c r="B68" i="1"/>
  <c r="B69" i="1"/>
  <c r="C165" i="1"/>
  <c r="B89" i="1"/>
  <c r="I166" i="1"/>
  <c r="O59" i="1"/>
  <c r="AX28" i="1"/>
  <c r="AO18" i="1"/>
  <c r="AY19" i="1"/>
  <c r="AX18" i="1"/>
  <c r="D70" i="1"/>
  <c r="AX17" i="1"/>
  <c r="H166" i="1"/>
  <c r="V189" i="1"/>
  <c r="V190" i="1" s="1"/>
  <c r="Q198" i="1"/>
  <c r="Q199" i="1" s="1"/>
  <c r="H205" i="1"/>
  <c r="AT33" i="1"/>
  <c r="E205" i="1"/>
  <c r="S198" i="1"/>
  <c r="S199" i="1" s="1"/>
  <c r="M184" i="1"/>
  <c r="J186" i="1"/>
  <c r="K189" i="1" s="1"/>
  <c r="K190" i="1" s="1"/>
  <c r="D205" i="1"/>
  <c r="F246" i="1"/>
  <c r="F244" i="1"/>
  <c r="R244" i="1"/>
  <c r="R246" i="1"/>
  <c r="R203" i="1"/>
  <c r="R201" i="1" s="1"/>
  <c r="F165" i="1"/>
  <c r="F166" i="1" s="1"/>
  <c r="AX19" i="1"/>
  <c r="BM18" i="1"/>
  <c r="BB18" i="1"/>
  <c r="BI17" i="1"/>
  <c r="BI18" i="1"/>
  <c r="R186" i="1"/>
  <c r="S189" i="1" s="1"/>
  <c r="S190" i="1" s="1"/>
  <c r="R165" i="1"/>
  <c r="R166" i="1" s="1"/>
  <c r="G203" i="1"/>
  <c r="G201" i="1" s="1"/>
  <c r="S203" i="1"/>
  <c r="S201" i="1" s="1"/>
  <c r="F203" i="1"/>
  <c r="F201" i="1" s="1"/>
  <c r="I186" i="1"/>
  <c r="I213" i="1"/>
  <c r="C213" i="1"/>
  <c r="BS138" i="1"/>
  <c r="BT33" i="1"/>
  <c r="BR246" i="1"/>
  <c r="BR244" i="1"/>
  <c r="AN94" i="1"/>
  <c r="AN96" i="1"/>
  <c r="BB109" i="1"/>
  <c r="BC37" i="1"/>
  <c r="D85" i="1"/>
  <c r="D86" i="1"/>
  <c r="D87" i="1"/>
  <c r="C89" i="1"/>
  <c r="BN109" i="1"/>
  <c r="BO37" i="1"/>
  <c r="BN203" i="1"/>
  <c r="BN201" i="1" s="1"/>
  <c r="BN246" i="1"/>
  <c r="BN244" i="1"/>
  <c r="BN96" i="1"/>
  <c r="BN95" i="1"/>
  <c r="BN94" i="1"/>
  <c r="BP109" i="1"/>
  <c r="BQ37" i="1"/>
  <c r="BF246" i="1"/>
  <c r="BF244" i="1"/>
  <c r="AP246" i="1"/>
  <c r="AP244" i="1"/>
  <c r="BT246" i="1"/>
  <c r="BT244" i="1"/>
  <c r="AW138" i="1"/>
  <c r="AX33" i="1"/>
  <c r="BG138" i="1"/>
  <c r="BH33" i="1"/>
  <c r="AV244" i="1"/>
  <c r="AV246" i="1"/>
  <c r="BE138" i="1"/>
  <c r="BF33" i="1"/>
  <c r="BD244" i="1"/>
  <c r="BD246" i="1"/>
  <c r="AU37" i="1"/>
  <c r="AT109" i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V33" i="1"/>
  <c r="AU138" i="1"/>
  <c r="BD95" i="1"/>
  <c r="BD94" i="1"/>
  <c r="BD96" i="1"/>
  <c r="BU37" i="1"/>
  <c r="BT109" i="1"/>
  <c r="U189" i="1"/>
  <c r="U190" i="1" s="1"/>
  <c r="P189" i="1"/>
  <c r="P190" i="1" s="1"/>
  <c r="BP33" i="1"/>
  <c r="BO138" i="1"/>
  <c r="AT246" i="1"/>
  <c r="AT244" i="1"/>
  <c r="AZ95" i="1"/>
  <c r="AZ96" i="1"/>
  <c r="AZ94" i="1"/>
  <c r="BT96" i="1"/>
  <c r="BT95" i="1"/>
  <c r="BT94" i="1"/>
  <c r="BF95" i="1"/>
  <c r="BF96" i="1"/>
  <c r="BF94" i="1"/>
  <c r="BT186" i="1"/>
  <c r="BT181" i="1"/>
  <c r="AZ186" i="1"/>
  <c r="AZ181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31" i="1"/>
  <c r="BV250" i="1"/>
  <c r="BV251" i="1" s="1"/>
  <c r="BV31" i="1"/>
  <c r="BM112" i="1"/>
  <c r="BM226" i="1"/>
  <c r="BU30" i="1"/>
  <c r="BU29" i="1"/>
  <c r="BU232" i="1"/>
  <c r="BU233" i="1" s="1"/>
  <c r="BY30" i="1"/>
  <c r="AS203" i="1"/>
  <c r="AS201" i="1" s="1"/>
  <c r="AT203" i="1"/>
  <c r="AT201" i="1" s="1"/>
  <c r="BP29" i="1"/>
  <c r="BP30" i="1"/>
  <c r="BP232" i="1"/>
  <c r="BP233" i="1" s="1"/>
  <c r="BP34" i="1"/>
  <c r="BP38" i="1" s="1"/>
  <c r="BC34" i="1"/>
  <c r="BC29" i="1"/>
  <c r="BC232" i="1"/>
  <c r="BC233" i="1" s="1"/>
  <c r="AN250" i="1"/>
  <c r="AN251" i="1" s="1"/>
  <c r="AN34" i="1"/>
  <c r="AN31" i="1"/>
  <c r="AN29" i="1"/>
  <c r="AN232" i="1"/>
  <c r="AN233" i="1" s="1"/>
  <c r="AN226" i="1"/>
  <c r="AR30" i="1"/>
  <c r="AN112" i="1"/>
  <c r="AN30" i="1"/>
  <c r="BN34" i="1"/>
  <c r="BN29" i="1"/>
  <c r="BN232" i="1"/>
  <c r="BN233" i="1" s="1"/>
  <c r="BN30" i="1"/>
  <c r="CR134" i="1"/>
  <c r="AE142" i="1"/>
  <c r="AC124" i="1"/>
  <c r="BV166" i="1" l="1"/>
  <c r="O166" i="1"/>
  <c r="J166" i="1"/>
  <c r="H213" i="1"/>
  <c r="BA251" i="1"/>
  <c r="B244" i="1"/>
  <c r="B166" i="1"/>
  <c r="E210" i="1"/>
  <c r="E211" i="1" s="1"/>
  <c r="K210" i="1"/>
  <c r="K211" i="1" s="1"/>
  <c r="D210" i="1"/>
  <c r="D211" i="1" s="1"/>
  <c r="P213" i="1"/>
  <c r="F213" i="1"/>
  <c r="M213" i="1"/>
  <c r="N213" i="1"/>
  <c r="T213" i="1"/>
  <c r="T210" i="1"/>
  <c r="T211" i="1" s="1"/>
  <c r="D244" i="1"/>
  <c r="D166" i="1"/>
  <c r="P210" i="1"/>
  <c r="P211" i="1" s="1"/>
  <c r="I210" i="1"/>
  <c r="I211" i="1" s="1"/>
  <c r="N210" i="1"/>
  <c r="N211" i="1" s="1"/>
  <c r="M210" i="1"/>
  <c r="M211" i="1" s="1"/>
  <c r="G210" i="1"/>
  <c r="G211" i="1" s="1"/>
  <c r="G213" i="1"/>
  <c r="E213" i="1"/>
  <c r="C210" i="1"/>
  <c r="C211" i="1" s="1"/>
  <c r="AW37" i="1"/>
  <c r="AV109" i="1"/>
  <c r="AP33" i="1"/>
  <c r="AO138" i="1"/>
  <c r="AR166" i="1"/>
  <c r="AN165" i="1"/>
  <c r="AN166" i="1" s="1"/>
  <c r="BP165" i="1"/>
  <c r="BP166" i="1" s="1"/>
  <c r="AZ33" i="1"/>
  <c r="AY138" i="1"/>
  <c r="BB165" i="1"/>
  <c r="BB166" i="1" s="1"/>
  <c r="BF165" i="1"/>
  <c r="BF166" i="1" s="1"/>
  <c r="BD33" i="1"/>
  <c r="BN165" i="1"/>
  <c r="BN166" i="1" s="1"/>
  <c r="AN244" i="1"/>
  <c r="BR109" i="1"/>
  <c r="BA138" i="1"/>
  <c r="AZ246" i="1"/>
  <c r="BQ138" i="1"/>
  <c r="AN186" i="1"/>
  <c r="BB246" i="1"/>
  <c r="AX246" i="1"/>
  <c r="AX244" i="1"/>
  <c r="AR186" i="1"/>
  <c r="BE37" i="1"/>
  <c r="AV96" i="1"/>
  <c r="AV95" i="1"/>
  <c r="AV165" i="1"/>
  <c r="AV166" i="1" s="1"/>
  <c r="BP246" i="1"/>
  <c r="AY37" i="1"/>
  <c r="AT165" i="1"/>
  <c r="AT166" i="1" s="1"/>
  <c r="AZ109" i="1"/>
  <c r="BA37" i="1"/>
  <c r="AP30" i="1"/>
  <c r="BF41" i="1"/>
  <c r="BC31" i="1"/>
  <c r="BC112" i="1"/>
  <c r="BO31" i="1"/>
  <c r="BB250" i="1"/>
  <c r="BJ234" i="1"/>
  <c r="BT165" i="1"/>
  <c r="BT166" i="1" s="1"/>
  <c r="BF109" i="1"/>
  <c r="BC138" i="1"/>
  <c r="AZ165" i="1"/>
  <c r="AZ166" i="1" s="1"/>
  <c r="AN203" i="1"/>
  <c r="AN201" i="1" s="1"/>
  <c r="BB33" i="1"/>
  <c r="BR33" i="1"/>
  <c r="AN181" i="1"/>
  <c r="BB244" i="1"/>
  <c r="AP165" i="1"/>
  <c r="AP166" i="1" s="1"/>
  <c r="AR184" i="1"/>
  <c r="BD109" i="1"/>
  <c r="BP244" i="1"/>
  <c r="AP109" i="1"/>
  <c r="AQ37" i="1"/>
  <c r="BO34" i="1"/>
  <c r="BO38" i="1" s="1"/>
  <c r="BP250" i="1"/>
  <c r="BP251" i="1" s="1"/>
  <c r="BC226" i="1"/>
  <c r="BJ42" i="1"/>
  <c r="BJ245" i="1" s="1"/>
  <c r="BG37" i="1"/>
  <c r="BS37" i="1"/>
  <c r="AZ244" i="1"/>
  <c r="BD165" i="1"/>
  <c r="BD166" i="1" s="1"/>
  <c r="AV94" i="1"/>
  <c r="AX109" i="1"/>
  <c r="AP34" i="1"/>
  <c r="AP38" i="1" s="1"/>
  <c r="BF40" i="1"/>
  <c r="BO250" i="1"/>
  <c r="BO251" i="1" s="1"/>
  <c r="BB34" i="1"/>
  <c r="BB232" i="1"/>
  <c r="BB233" i="1" s="1"/>
  <c r="BB29" i="1"/>
  <c r="BB31" i="1"/>
  <c r="BJ48" i="1"/>
  <c r="AP186" i="1"/>
  <c r="AP189" i="1" s="1"/>
  <c r="AP184" i="1"/>
  <c r="AX181" i="1"/>
  <c r="AX186" i="1"/>
  <c r="BF181" i="1"/>
  <c r="BF186" i="1"/>
  <c r="BJ189" i="1" s="1"/>
  <c r="AV181" i="1"/>
  <c r="BR181" i="1"/>
  <c r="BN181" i="1"/>
  <c r="BN186" i="1"/>
  <c r="BB186" i="1"/>
  <c r="BB181" i="1"/>
  <c r="BD181" i="1"/>
  <c r="BD186" i="1"/>
  <c r="BX203" i="1"/>
  <c r="BX201" i="1" s="1"/>
  <c r="BW203" i="1"/>
  <c r="BW201" i="1" s="1"/>
  <c r="AZ189" i="1"/>
  <c r="AQ250" i="1"/>
  <c r="AQ251" i="1" s="1"/>
  <c r="AT30" i="1"/>
  <c r="AQ31" i="1"/>
  <c r="BO30" i="1"/>
  <c r="AZ251" i="1"/>
  <c r="AP29" i="1"/>
  <c r="AP232" i="1"/>
  <c r="AP233" i="1" s="1"/>
  <c r="BO29" i="1"/>
  <c r="BO232" i="1"/>
  <c r="BO233" i="1" s="1"/>
  <c r="BP31" i="1"/>
  <c r="BF30" i="1"/>
  <c r="BC250" i="1"/>
  <c r="BC251" i="1" s="1"/>
  <c r="BR186" i="1"/>
  <c r="BV189" i="1" s="1"/>
  <c r="BD30" i="1"/>
  <c r="BU34" i="1"/>
  <c r="BU38" i="1" s="1"/>
  <c r="U60" i="1"/>
  <c r="AS232" i="1"/>
  <c r="AS233" i="1" s="1"/>
  <c r="AS34" i="1"/>
  <c r="AS38" i="1" s="1"/>
  <c r="AT31" i="1"/>
  <c r="AS250" i="1"/>
  <c r="AS251" i="1" s="1"/>
  <c r="AS29" i="1"/>
  <c r="AT250" i="1"/>
  <c r="AT251" i="1" s="1"/>
  <c r="AS226" i="1"/>
  <c r="AS112" i="1"/>
  <c r="BQ31" i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BD250" i="1"/>
  <c r="BD251" i="1" s="1"/>
  <c r="O60" i="1"/>
  <c r="AP31" i="1"/>
  <c r="BD34" i="1"/>
  <c r="BD38" i="1" s="1"/>
  <c r="BD29" i="1"/>
  <c r="BD232" i="1"/>
  <c r="BD233" i="1" s="1"/>
  <c r="BT250" i="1"/>
  <c r="BT251" i="1" s="1"/>
  <c r="AJ31" i="1"/>
  <c r="AL112" i="1"/>
  <c r="AI29" i="1"/>
  <c r="AM30" i="1"/>
  <c r="AI34" i="1"/>
  <c r="N60" i="1"/>
  <c r="AL226" i="1"/>
  <c r="AI232" i="1"/>
  <c r="AI233" i="1" s="1"/>
  <c r="BS30" i="1"/>
  <c r="BS34" i="1"/>
  <c r="BS38" i="1" s="1"/>
  <c r="BS29" i="1"/>
  <c r="BS232" i="1"/>
  <c r="BS233" i="1" s="1"/>
  <c r="BD31" i="1"/>
  <c r="BC30" i="1"/>
  <c r="BD226" i="1"/>
  <c r="BB226" i="1"/>
  <c r="R60" i="1"/>
  <c r="AV34" i="1"/>
  <c r="AZ30" i="1"/>
  <c r="AV29" i="1"/>
  <c r="AV232" i="1"/>
  <c r="AV233" i="1" s="1"/>
  <c r="BB112" i="1"/>
  <c r="BD112" i="1"/>
  <c r="AR41" i="1"/>
  <c r="AR40" i="1"/>
  <c r="BT34" i="1"/>
  <c r="BU250" i="1"/>
  <c r="BU251" i="1" s="1"/>
  <c r="BT29" i="1"/>
  <c r="BX30" i="1"/>
  <c r="BU31" i="1"/>
  <c r="BT232" i="1"/>
  <c r="BT233" i="1" s="1"/>
  <c r="BT30" i="1"/>
  <c r="AV30" i="1"/>
  <c r="O213" i="1"/>
  <c r="Q189" i="1"/>
  <c r="Q190" i="1" s="1"/>
  <c r="O210" i="1"/>
  <c r="O211" i="1" s="1"/>
  <c r="BR165" i="1"/>
  <c r="BR166" i="1" s="1"/>
  <c r="L213" i="1"/>
  <c r="L210" i="1"/>
  <c r="L211" i="1" s="1"/>
  <c r="F189" i="1"/>
  <c r="F190" i="1" s="1"/>
  <c r="G189" i="1"/>
  <c r="G190" i="1" s="1"/>
  <c r="C189" i="1"/>
  <c r="C190" i="1" s="1"/>
  <c r="T189" i="1"/>
  <c r="T190" i="1" s="1"/>
  <c r="BI232" i="1"/>
  <c r="BI233" i="1" s="1"/>
  <c r="BI34" i="1"/>
  <c r="BI29" i="1"/>
  <c r="BJ31" i="1"/>
  <c r="BJ250" i="1"/>
  <c r="BJ251" i="1" s="1"/>
  <c r="BL226" i="1"/>
  <c r="BM30" i="1"/>
  <c r="D213" i="1"/>
  <c r="K213" i="1"/>
  <c r="U210" i="1"/>
  <c r="U211" i="1" s="1"/>
  <c r="E189" i="1"/>
  <c r="E190" i="1" s="1"/>
  <c r="H189" i="1"/>
  <c r="H190" i="1" s="1"/>
  <c r="D189" i="1"/>
  <c r="D190" i="1" s="1"/>
  <c r="AX165" i="1"/>
  <c r="AX166" i="1" s="1"/>
  <c r="BL112" i="1"/>
  <c r="BK112" i="1"/>
  <c r="BG30" i="1"/>
  <c r="AQ226" i="1"/>
  <c r="AZ41" i="1"/>
  <c r="AZ40" i="1"/>
  <c r="BV226" i="1"/>
  <c r="BN112" i="1"/>
  <c r="BN226" i="1"/>
  <c r="BA112" i="1"/>
  <c r="AY31" i="1"/>
  <c r="AY250" i="1"/>
  <c r="AY251" i="1" s="1"/>
  <c r="AZ112" i="1"/>
  <c r="BV112" i="1"/>
  <c r="AQ112" i="1"/>
  <c r="BT31" i="1"/>
  <c r="AR226" i="1"/>
  <c r="AP226" i="1"/>
  <c r="AP250" i="1"/>
  <c r="AP251" i="1" s="1"/>
  <c r="AP112" i="1"/>
  <c r="BK226" i="1"/>
  <c r="BX112" i="1"/>
  <c r="BI203" i="1"/>
  <c r="BI201" i="1" s="1"/>
  <c r="BV40" i="1"/>
  <c r="BV41" i="1"/>
  <c r="BL30" i="1"/>
  <c r="BH29" i="1"/>
  <c r="BH34" i="1"/>
  <c r="BH38" i="1" s="1"/>
  <c r="BH232" i="1"/>
  <c r="BH233" i="1" s="1"/>
  <c r="BH30" i="1"/>
  <c r="BI250" i="1"/>
  <c r="BI251" i="1" s="1"/>
  <c r="BI31" i="1"/>
  <c r="AO226" i="1"/>
  <c r="AO112" i="1"/>
  <c r="AO31" i="1"/>
  <c r="BP226" i="1"/>
  <c r="BO226" i="1"/>
  <c r="BQ112" i="1"/>
  <c r="BN31" i="1"/>
  <c r="BN250" i="1"/>
  <c r="BN251" i="1" s="1"/>
  <c r="BP112" i="1"/>
  <c r="BQ226" i="1"/>
  <c r="BO112" i="1"/>
  <c r="AX232" i="1"/>
  <c r="AX233" i="1" s="1"/>
  <c r="AX30" i="1"/>
  <c r="BB30" i="1"/>
  <c r="AX34" i="1"/>
  <c r="AX29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A41" i="1"/>
  <c r="BA40" i="1"/>
  <c r="AT41" i="1"/>
  <c r="AT40" i="1"/>
  <c r="BQ232" i="1"/>
  <c r="BQ233" i="1" s="1"/>
  <c r="BQ29" i="1"/>
  <c r="BQ34" i="1"/>
  <c r="BQ38" i="1" s="1"/>
  <c r="H210" i="1"/>
  <c r="H211" i="1" s="1"/>
  <c r="O189" i="1"/>
  <c r="O190" i="1" s="1"/>
  <c r="N189" i="1"/>
  <c r="N190" i="1" s="1"/>
  <c r="M189" i="1"/>
  <c r="M190" i="1" s="1"/>
  <c r="L189" i="1"/>
  <c r="L190" i="1" s="1"/>
  <c r="BH110" i="1"/>
  <c r="BH111" i="1"/>
  <c r="T60" i="1"/>
  <c r="BJ112" i="1"/>
  <c r="BG250" i="1"/>
  <c r="BG251" i="1" s="1"/>
  <c r="BI226" i="1"/>
  <c r="BG34" i="1"/>
  <c r="BI112" i="1"/>
  <c r="BG232" i="1"/>
  <c r="BG233" i="1" s="1"/>
  <c r="BJ226" i="1"/>
  <c r="BK30" i="1"/>
  <c r="BG31" i="1"/>
  <c r="BH250" i="1"/>
  <c r="BH251" i="1" s="1"/>
  <c r="BH31" i="1"/>
  <c r="BG29" i="1"/>
  <c r="BV111" i="1"/>
  <c r="BV110" i="1"/>
  <c r="AY112" i="1"/>
  <c r="AW30" i="1"/>
  <c r="AY226" i="1"/>
  <c r="AW250" i="1"/>
  <c r="AW251" i="1" s="1"/>
  <c r="AW31" i="1"/>
  <c r="AX250" i="1"/>
  <c r="AX251" i="1" s="1"/>
  <c r="AZ226" i="1"/>
  <c r="AX31" i="1"/>
  <c r="AU232" i="1"/>
  <c r="AU233" i="1" s="1"/>
  <c r="AW226" i="1"/>
  <c r="AU226" i="1"/>
  <c r="AW112" i="1"/>
  <c r="AV226" i="1"/>
  <c r="Q60" i="1"/>
  <c r="AU30" i="1"/>
  <c r="AU31" i="1"/>
  <c r="AX112" i="1"/>
  <c r="AV112" i="1"/>
  <c r="AU250" i="1"/>
  <c r="AU251" i="1" s="1"/>
  <c r="AU112" i="1"/>
  <c r="AV250" i="1"/>
  <c r="AV251" i="1" s="1"/>
  <c r="AV31" i="1"/>
  <c r="AY30" i="1"/>
  <c r="AU34" i="1"/>
  <c r="AU38" i="1" s="1"/>
  <c r="AU29" i="1"/>
  <c r="BR232" i="1"/>
  <c r="BR233" i="1" s="1"/>
  <c r="BR31" i="1"/>
  <c r="BR226" i="1"/>
  <c r="BT112" i="1"/>
  <c r="BS112" i="1"/>
  <c r="BT226" i="1"/>
  <c r="BR29" i="1"/>
  <c r="V60" i="1"/>
  <c r="BR34" i="1"/>
  <c r="BS250" i="1"/>
  <c r="BS251" i="1" s="1"/>
  <c r="BS226" i="1"/>
  <c r="BU112" i="1"/>
  <c r="BV30" i="1"/>
  <c r="BR30" i="1"/>
  <c r="BR250" i="1"/>
  <c r="BR251" i="1" s="1"/>
  <c r="BS31" i="1"/>
  <c r="BR112" i="1"/>
  <c r="BE31" i="1"/>
  <c r="BE30" i="1"/>
  <c r="BF250" i="1"/>
  <c r="BF251" i="1" s="1"/>
  <c r="S60" i="1"/>
  <c r="BF31" i="1"/>
  <c r="BH112" i="1"/>
  <c r="BF112" i="1"/>
  <c r="BE29" i="1"/>
  <c r="BG226" i="1"/>
  <c r="BE34" i="1"/>
  <c r="BE38" i="1" s="1"/>
  <c r="BE232" i="1"/>
  <c r="BE233" i="1" s="1"/>
  <c r="BH226" i="1"/>
  <c r="BI30" i="1"/>
  <c r="BG112" i="1"/>
  <c r="BE250" i="1"/>
  <c r="BE251" i="1" s="1"/>
  <c r="BE226" i="1"/>
  <c r="BE112" i="1"/>
  <c r="BF226" i="1"/>
  <c r="BX226" i="1"/>
  <c r="BW30" i="1"/>
  <c r="BW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W112" i="1"/>
  <c r="AM94" i="1"/>
  <c r="AM95" i="1"/>
  <c r="AM96" i="1"/>
  <c r="AW34" i="1"/>
  <c r="AW38" i="1" s="1"/>
  <c r="AW29" i="1"/>
  <c r="AW232" i="1"/>
  <c r="AW233" i="1" s="1"/>
  <c r="BA30" i="1"/>
  <c r="S210" i="1"/>
  <c r="S211" i="1" s="1"/>
  <c r="V210" i="1"/>
  <c r="V211" i="1" s="1"/>
  <c r="V213" i="1"/>
  <c r="BA226" i="1"/>
  <c r="AX226" i="1"/>
  <c r="Q213" i="1"/>
  <c r="Q210" i="1"/>
  <c r="Q211" i="1" s="1"/>
  <c r="R213" i="1"/>
  <c r="R210" i="1"/>
  <c r="R211" i="1" s="1"/>
  <c r="B87" i="1"/>
  <c r="B86" i="1"/>
  <c r="B85" i="1"/>
  <c r="C244" i="1"/>
  <c r="C166" i="1"/>
  <c r="R189" i="1"/>
  <c r="R190" i="1" s="1"/>
  <c r="C70" i="1"/>
  <c r="J189" i="1"/>
  <c r="J190" i="1" s="1"/>
  <c r="I189" i="1"/>
  <c r="I190" i="1" s="1"/>
  <c r="S213" i="1"/>
  <c r="F210" i="1"/>
  <c r="F211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B189" i="1"/>
  <c r="BF189" i="1"/>
  <c r="BT189" i="1"/>
  <c r="BX189" i="1"/>
  <c r="BK41" i="1"/>
  <c r="BK40" i="1"/>
  <c r="AY40" i="1"/>
  <c r="AY41" i="1"/>
  <c r="AP40" i="1"/>
  <c r="AP41" i="1"/>
  <c r="AP43" i="1" s="1"/>
  <c r="BP40" i="1"/>
  <c r="BP41" i="1"/>
  <c r="BF234" i="1"/>
  <c r="BF42" i="1"/>
  <c r="BF245" i="1" s="1"/>
  <c r="BF48" i="1"/>
  <c r="BJ43" i="1"/>
  <c r="BO41" i="1"/>
  <c r="BO40" i="1"/>
  <c r="BC38" i="1"/>
  <c r="BN38" i="1"/>
  <c r="BB38" i="1"/>
  <c r="BB55" i="1"/>
  <c r="AN55" i="1"/>
  <c r="AN38" i="1"/>
  <c r="BJ52" i="1"/>
  <c r="BJ193" i="1"/>
  <c r="BJ195" i="1" s="1"/>
  <c r="BJ66" i="1"/>
  <c r="CR138" i="1"/>
  <c r="CS32" i="1"/>
  <c r="BB251" i="1" l="1"/>
  <c r="AV113" i="1"/>
  <c r="AV114" i="1"/>
  <c r="BB114" i="1"/>
  <c r="BB113" i="1"/>
  <c r="BD114" i="1"/>
  <c r="BD113" i="1"/>
  <c r="AX113" i="1"/>
  <c r="AX114" i="1"/>
  <c r="BR189" i="1"/>
  <c r="BL113" i="1"/>
  <c r="BL114" i="1"/>
  <c r="BU41" i="1"/>
  <c r="BY43" i="1" s="1"/>
  <c r="BU40" i="1"/>
  <c r="AS40" i="1"/>
  <c r="AS41" i="1"/>
  <c r="AS44" i="1" s="1"/>
  <c r="BM40" i="1"/>
  <c r="BM41" i="1"/>
  <c r="BD55" i="1"/>
  <c r="BV55" i="1"/>
  <c r="BD40" i="1"/>
  <c r="BD41" i="1"/>
  <c r="AL114" i="1"/>
  <c r="AL113" i="1"/>
  <c r="AI38" i="1"/>
  <c r="AL55" i="1"/>
  <c r="AR42" i="1"/>
  <c r="AR245" i="1" s="1"/>
  <c r="AR48" i="1"/>
  <c r="AR234" i="1"/>
  <c r="BP55" i="1"/>
  <c r="AV38" i="1"/>
  <c r="BT38" i="1"/>
  <c r="BN55" i="1"/>
  <c r="BG38" i="1"/>
  <c r="BS40" i="1"/>
  <c r="BS41" i="1"/>
  <c r="AT48" i="1"/>
  <c r="AT234" i="1"/>
  <c r="AT42" i="1"/>
  <c r="AT245" i="1" s="1"/>
  <c r="BA234" i="1"/>
  <c r="BA42" i="1"/>
  <c r="BA245" i="1" s="1"/>
  <c r="BA44" i="1"/>
  <c r="BA48" i="1"/>
  <c r="BI38" i="1"/>
  <c r="BL55" i="1"/>
  <c r="BE40" i="1"/>
  <c r="BE41" i="1"/>
  <c r="AU41" i="1"/>
  <c r="AU40" i="1"/>
  <c r="BF55" i="1"/>
  <c r="AZ234" i="1"/>
  <c r="AZ48" i="1"/>
  <c r="AZ42" i="1"/>
  <c r="AZ245" i="1" s="1"/>
  <c r="BR38" i="1"/>
  <c r="BR55" i="1"/>
  <c r="AV55" i="1"/>
  <c r="BT55" i="1"/>
  <c r="BJ55" i="1"/>
  <c r="BH55" i="1"/>
  <c r="BV114" i="1"/>
  <c r="BZ43" i="1"/>
  <c r="BH113" i="1"/>
  <c r="BH114" i="1"/>
  <c r="BJ113" i="1"/>
  <c r="BJ114" i="1"/>
  <c r="BN114" i="1"/>
  <c r="BP113" i="1"/>
  <c r="BP114" i="1"/>
  <c r="AP113" i="1"/>
  <c r="AP55" i="1"/>
  <c r="AZ55" i="1"/>
  <c r="BV42" i="1"/>
  <c r="BV245" i="1" s="1"/>
  <c r="BH41" i="1"/>
  <c r="BN113" i="1"/>
  <c r="AP114" i="1"/>
  <c r="AR55" i="1"/>
  <c r="BV48" i="1"/>
  <c r="AQ38" i="1"/>
  <c r="AZ113" i="1"/>
  <c r="BH40" i="1"/>
  <c r="AX55" i="1"/>
  <c r="AT114" i="1"/>
  <c r="AT113" i="1"/>
  <c r="AZ114" i="1"/>
  <c r="BV113" i="1"/>
  <c r="BX113" i="1"/>
  <c r="BX114" i="1"/>
  <c r="AO41" i="1"/>
  <c r="AX38" i="1"/>
  <c r="BV234" i="1"/>
  <c r="AT55" i="1"/>
  <c r="BQ41" i="1"/>
  <c r="BQ40" i="1"/>
  <c r="BZ113" i="1"/>
  <c r="BZ114" i="1"/>
  <c r="BX55" i="1"/>
  <c r="BZ55" i="1"/>
  <c r="BW38" i="1"/>
  <c r="BY55" i="1"/>
  <c r="AW40" i="1"/>
  <c r="AW41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BP48" i="1"/>
  <c r="BP43" i="1"/>
  <c r="BP234" i="1"/>
  <c r="BP42" i="1"/>
  <c r="BP245" i="1" s="1"/>
  <c r="BF52" i="1"/>
  <c r="BF193" i="1"/>
  <c r="BF195" i="1" s="1"/>
  <c r="BF66" i="1"/>
  <c r="BC41" i="1"/>
  <c r="BC40" i="1"/>
  <c r="BS43" i="1"/>
  <c r="BE43" i="1"/>
  <c r="BO234" i="1"/>
  <c r="BO42" i="1"/>
  <c r="BO245" i="1" s="1"/>
  <c r="BO48" i="1"/>
  <c r="BP44" i="1"/>
  <c r="BO43" i="1"/>
  <c r="AU42" i="1"/>
  <c r="AU245" i="1" s="1"/>
  <c r="AU234" i="1"/>
  <c r="AY43" i="1"/>
  <c r="AU48" i="1"/>
  <c r="AU44" i="1"/>
  <c r="AZ66" i="1"/>
  <c r="AZ52" i="1"/>
  <c r="AZ193" i="1"/>
  <c r="AZ195" i="1" s="1"/>
  <c r="BN41" i="1"/>
  <c r="BN40" i="1"/>
  <c r="AN41" i="1"/>
  <c r="AN40" i="1"/>
  <c r="BB41" i="1"/>
  <c r="BB40" i="1"/>
  <c r="CS194" i="1"/>
  <c r="CS132" i="1"/>
  <c r="CR203" i="1"/>
  <c r="CR201" i="1" s="1"/>
  <c r="AC125" i="1"/>
  <c r="AC128" i="1" s="1"/>
  <c r="AC249" i="1" s="1"/>
  <c r="BR41" i="1" l="1"/>
  <c r="BR40" i="1"/>
  <c r="AQ41" i="1"/>
  <c r="AQ40" i="1"/>
  <c r="BS234" i="1"/>
  <c r="BS42" i="1"/>
  <c r="BS245" i="1" s="1"/>
  <c r="BS48" i="1"/>
  <c r="AT66" i="1"/>
  <c r="AT193" i="1"/>
  <c r="AT195" i="1" s="1"/>
  <c r="AT52" i="1"/>
  <c r="BA52" i="1"/>
  <c r="BA193" i="1"/>
  <c r="BA195" i="1" s="1"/>
  <c r="BA66" i="1"/>
  <c r="BA119" i="1"/>
  <c r="BA120" i="1" s="1"/>
  <c r="BU42" i="1"/>
  <c r="BU245" i="1" s="1"/>
  <c r="BU234" i="1"/>
  <c r="BU48" i="1"/>
  <c r="AS48" i="1"/>
  <c r="AS42" i="1"/>
  <c r="AS245" i="1" s="1"/>
  <c r="BV44" i="1"/>
  <c r="AS234" i="1"/>
  <c r="AT44" i="1"/>
  <c r="BM48" i="1"/>
  <c r="BM44" i="1"/>
  <c r="BM234" i="1"/>
  <c r="BM227" i="1"/>
  <c r="BM42" i="1"/>
  <c r="BM245" i="1" s="1"/>
  <c r="BD48" i="1"/>
  <c r="BD234" i="1"/>
  <c r="BD42" i="1"/>
  <c r="BD245" i="1" s="1"/>
  <c r="BD43" i="1"/>
  <c r="BE44" i="1"/>
  <c r="AI41" i="1"/>
  <c r="AI40" i="1"/>
  <c r="AU227" i="1"/>
  <c r="BH43" i="1"/>
  <c r="AR52" i="1"/>
  <c r="AR193" i="1"/>
  <c r="AR195" i="1" s="1"/>
  <c r="AR66" i="1"/>
  <c r="BT41" i="1"/>
  <c r="BT40" i="1"/>
  <c r="AV40" i="1"/>
  <c r="AV41" i="1"/>
  <c r="BG40" i="1"/>
  <c r="BG41" i="1"/>
  <c r="BU43" i="1"/>
  <c r="AW43" i="1"/>
  <c r="BI41" i="1"/>
  <c r="BI44" i="1" s="1"/>
  <c r="BI40" i="1"/>
  <c r="BQ43" i="1"/>
  <c r="BE42" i="1"/>
  <c r="BE245" i="1" s="1"/>
  <c r="BE48" i="1"/>
  <c r="BE234" i="1"/>
  <c r="BF44" i="1"/>
  <c r="AP44" i="1"/>
  <c r="AO48" i="1"/>
  <c r="AO43" i="1"/>
  <c r="AO234" i="1"/>
  <c r="AS43" i="1"/>
  <c r="AO42" i="1"/>
  <c r="AO245" i="1" s="1"/>
  <c r="BH48" i="1"/>
  <c r="BL43" i="1"/>
  <c r="BH234" i="1"/>
  <c r="BH42" i="1"/>
  <c r="BH245" i="1" s="1"/>
  <c r="AX41" i="1"/>
  <c r="AX40" i="1"/>
  <c r="BV193" i="1"/>
  <c r="BV195" i="1" s="1"/>
  <c r="BV66" i="1"/>
  <c r="BV52" i="1"/>
  <c r="BQ234" i="1"/>
  <c r="BQ48" i="1"/>
  <c r="BQ42" i="1"/>
  <c r="BQ245" i="1" s="1"/>
  <c r="BQ44" i="1"/>
  <c r="BW41" i="1"/>
  <c r="BW43" i="1" s="1"/>
  <c r="BW40" i="1"/>
  <c r="BA43" i="1"/>
  <c r="AW48" i="1"/>
  <c r="AW42" i="1"/>
  <c r="AW245" i="1" s="1"/>
  <c r="AW234" i="1"/>
  <c r="BK52" i="1"/>
  <c r="BK193" i="1"/>
  <c r="BK195" i="1" s="1"/>
  <c r="BK119" i="1"/>
  <c r="BK120" i="1" s="1"/>
  <c r="BK66" i="1"/>
  <c r="AP193" i="1"/>
  <c r="AP195" i="1" s="1"/>
  <c r="AP66" i="1"/>
  <c r="AP52" i="1"/>
  <c r="BS44" i="1"/>
  <c r="BS227" i="1"/>
  <c r="AY193" i="1"/>
  <c r="AY195" i="1" s="1"/>
  <c r="AY66" i="1"/>
  <c r="AY119" i="1"/>
  <c r="AY120" i="1" s="1"/>
  <c r="AY52" i="1"/>
  <c r="BP52" i="1"/>
  <c r="BP193" i="1"/>
  <c r="BP195" i="1" s="1"/>
  <c r="BP66" i="1"/>
  <c r="BF227" i="1"/>
  <c r="BD44" i="1"/>
  <c r="BC43" i="1"/>
  <c r="BC48" i="1"/>
  <c r="BC234" i="1"/>
  <c r="BC42" i="1"/>
  <c r="BC245" i="1" s="1"/>
  <c r="BO52" i="1"/>
  <c r="BO66" i="1"/>
  <c r="BO193" i="1"/>
  <c r="BO195" i="1" s="1"/>
  <c r="BO119" i="1"/>
  <c r="BO120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CS134" i="1"/>
  <c r="AC206" i="1"/>
  <c r="CA226" i="1"/>
  <c r="CB226" i="1"/>
  <c r="BU226" i="1"/>
  <c r="BB43" i="1" l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S193" i="1"/>
  <c r="BS195" i="1" s="1"/>
  <c r="BS52" i="1"/>
  <c r="BS119" i="1"/>
  <c r="BS120" i="1" s="1"/>
  <c r="BS66" i="1"/>
  <c r="BA207" i="1"/>
  <c r="BA205" i="1" s="1"/>
  <c r="BA92" i="1"/>
  <c r="BA129" i="1"/>
  <c r="BA55" i="1" s="1"/>
  <c r="BU119" i="1"/>
  <c r="BU120" i="1" s="1"/>
  <c r="BU52" i="1"/>
  <c r="BU193" i="1"/>
  <c r="BU195" i="1" s="1"/>
  <c r="BU66" i="1"/>
  <c r="AS52" i="1"/>
  <c r="AS119" i="1"/>
  <c r="AS120" i="1" s="1"/>
  <c r="AS193" i="1"/>
  <c r="AS195" i="1" s="1"/>
  <c r="AS66" i="1"/>
  <c r="BI43" i="1"/>
  <c r="BK227" i="1"/>
  <c r="BM66" i="1"/>
  <c r="BM52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D52" i="1"/>
  <c r="BD193" i="1"/>
  <c r="BD195" i="1" s="1"/>
  <c r="BT227" i="1"/>
  <c r="BK43" i="1"/>
  <c r="BG43" i="1"/>
  <c r="BG227" i="1"/>
  <c r="BG44" i="1"/>
  <c r="BD66" i="1"/>
  <c r="AI42" i="1"/>
  <c r="AI234" i="1"/>
  <c r="AJ44" i="1"/>
  <c r="AM43" i="1"/>
  <c r="AI48" i="1"/>
  <c r="AL227" i="1"/>
  <c r="BX43" i="1"/>
  <c r="BT42" i="1"/>
  <c r="BT245" i="1" s="1"/>
  <c r="BT234" i="1"/>
  <c r="BT48" i="1"/>
  <c r="BU44" i="1"/>
  <c r="BT43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T44" i="1"/>
  <c r="BG48" i="1"/>
  <c r="BH227" i="1"/>
  <c r="BG42" i="1"/>
  <c r="BG245" i="1" s="1"/>
  <c r="BH44" i="1"/>
  <c r="BG234" i="1"/>
  <c r="BJ227" i="1"/>
  <c r="BI227" i="1"/>
  <c r="BW234" i="1"/>
  <c r="BW48" i="1"/>
  <c r="CA43" i="1"/>
  <c r="BW227" i="1"/>
  <c r="BW44" i="1"/>
  <c r="BX44" i="1"/>
  <c r="BW42" i="1"/>
  <c r="BW245" i="1" s="1"/>
  <c r="BZ227" i="1"/>
  <c r="BX227" i="1"/>
  <c r="BY227" i="1"/>
  <c r="X61" i="1"/>
  <c r="BQ119" i="1"/>
  <c r="BQ120" i="1" s="1"/>
  <c r="BQ52" i="1"/>
  <c r="BQ66" i="1"/>
  <c r="BQ193" i="1"/>
  <c r="BQ195" i="1" s="1"/>
  <c r="AW52" i="1"/>
  <c r="AW119" i="1"/>
  <c r="AW120" i="1" s="1"/>
  <c r="AW54" i="1" s="1"/>
  <c r="AW66" i="1"/>
  <c r="AW193" i="1"/>
  <c r="AW195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O54" i="1"/>
  <c r="BA54" i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BR52" i="1"/>
  <c r="BR193" i="1"/>
  <c r="BR195" i="1" s="1"/>
  <c r="BR66" i="1"/>
  <c r="BR54" i="1"/>
  <c r="V61" i="1"/>
  <c r="BO54" i="1"/>
  <c r="BN52" i="1"/>
  <c r="BN66" i="1"/>
  <c r="BN193" i="1"/>
  <c r="BN195" i="1" s="1"/>
  <c r="BN54" i="1"/>
  <c r="U61" i="1"/>
  <c r="BP54" i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S92" i="1"/>
  <c r="BS129" i="1"/>
  <c r="BS55" i="1" s="1"/>
  <c r="BS207" i="1"/>
  <c r="BS205" i="1" s="1"/>
  <c r="BS54" i="1"/>
  <c r="BA95" i="1"/>
  <c r="BA94" i="1"/>
  <c r="BA96" i="1"/>
  <c r="CS138" i="1"/>
  <c r="CT32" i="1"/>
  <c r="AD124" i="1"/>
  <c r="W59" i="1"/>
  <c r="AS207" i="1" l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BF69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BT54" i="1"/>
  <c r="BV54" i="1"/>
  <c r="AV193" i="1"/>
  <c r="AV195" i="1" s="1"/>
  <c r="AV52" i="1"/>
  <c r="AV66" i="1"/>
  <c r="AV54" i="1"/>
  <c r="Q61" i="1"/>
  <c r="AX54" i="1"/>
  <c r="BT193" i="1"/>
  <c r="BT195" i="1" s="1"/>
  <c r="BT52" i="1"/>
  <c r="BT66" i="1"/>
  <c r="BT207" i="1"/>
  <c r="BT205" i="1" s="1"/>
  <c r="BK54" i="1"/>
  <c r="BM69" i="1"/>
  <c r="BI89" i="1" s="1"/>
  <c r="AV207" i="1"/>
  <c r="AV205" i="1" s="1"/>
  <c r="AY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V69" i="1"/>
  <c r="BR89" i="1" s="1"/>
  <c r="BE54" i="1"/>
  <c r="AS54" i="1"/>
  <c r="BG52" i="1"/>
  <c r="BG66" i="1"/>
  <c r="BG119" i="1"/>
  <c r="BG120" i="1" s="1"/>
  <c r="BJ54" i="1"/>
  <c r="BH54" i="1"/>
  <c r="BG193" i="1"/>
  <c r="BG195" i="1" s="1"/>
  <c r="T61" i="1"/>
  <c r="BQ92" i="1"/>
  <c r="BQ129" i="1"/>
  <c r="BQ55" i="1" s="1"/>
  <c r="BQ207" i="1"/>
  <c r="BQ205" i="1" s="1"/>
  <c r="BQ54" i="1"/>
  <c r="BR207" i="1"/>
  <c r="BR205" i="1" s="1"/>
  <c r="AW92" i="1"/>
  <c r="AW207" i="1"/>
  <c r="AW205" i="1" s="1"/>
  <c r="AW129" i="1"/>
  <c r="AW55" i="1" s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E69" i="1"/>
  <c r="BE86" i="1" s="1"/>
  <c r="BD69" i="1"/>
  <c r="BB69" i="1"/>
  <c r="BC69" i="1"/>
  <c r="AQ129" i="1"/>
  <c r="AQ55" i="1" s="1"/>
  <c r="AQ207" i="1"/>
  <c r="AQ205" i="1" s="1"/>
  <c r="AQ92" i="1"/>
  <c r="AR207" i="1"/>
  <c r="AR205" i="1" s="1"/>
  <c r="AQ54" i="1"/>
  <c r="BS94" i="1"/>
  <c r="BS95" i="1"/>
  <c r="BS96" i="1"/>
  <c r="AC32" i="1"/>
  <c r="CT194" i="1"/>
  <c r="CT132" i="1"/>
  <c r="CS203" i="1"/>
  <c r="CS201" i="1" s="1"/>
  <c r="W60" i="1"/>
  <c r="BM85" i="1" l="1"/>
  <c r="BM87" i="1"/>
  <c r="BM86" i="1"/>
  <c r="BX69" i="1"/>
  <c r="BG207" i="1"/>
  <c r="BG205" i="1" s="1"/>
  <c r="BG92" i="1"/>
  <c r="BH207" i="1"/>
  <c r="BH205" i="1" s="1"/>
  <c r="BW207" i="1"/>
  <c r="BW205" i="1" s="1"/>
  <c r="BX207" i="1"/>
  <c r="BX205" i="1" s="1"/>
  <c r="BW129" i="1"/>
  <c r="BW55" i="1" s="1"/>
  <c r="BW92" i="1"/>
  <c r="BV86" i="1"/>
  <c r="BZ69" i="1"/>
  <c r="BG54" i="1"/>
  <c r="BV87" i="1"/>
  <c r="BV85" i="1"/>
  <c r="BJ69" i="1"/>
  <c r="BF89" i="1" s="1"/>
  <c r="BG69" i="1"/>
  <c r="BH69" i="1"/>
  <c r="BI69" i="1"/>
  <c r="BY69" i="1"/>
  <c r="BW69" i="1"/>
  <c r="BG129" i="1"/>
  <c r="BG55" i="1" s="1"/>
  <c r="BW54" i="1"/>
  <c r="BQ94" i="1"/>
  <c r="BQ96" i="1"/>
  <c r="BQ95" i="1"/>
  <c r="AW95" i="1"/>
  <c r="AW96" i="1"/>
  <c r="AW94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I95" i="1"/>
  <c r="BI96" i="1"/>
  <c r="BI94" i="1"/>
  <c r="BQ89" i="1"/>
  <c r="BU87" i="1"/>
  <c r="BU86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AN87" i="1"/>
  <c r="AR70" i="1"/>
  <c r="AN86" i="1"/>
  <c r="AN85" i="1"/>
  <c r="BO85" i="1"/>
  <c r="BK89" i="1"/>
  <c r="BO86" i="1"/>
  <c r="BO70" i="1"/>
  <c r="BO87" i="1"/>
  <c r="AP89" i="1"/>
  <c r="BE87" i="1"/>
  <c r="BE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D87" i="1"/>
  <c r="BD86" i="1"/>
  <c r="AY87" i="1"/>
  <c r="AU89" i="1"/>
  <c r="BC70" i="1"/>
  <c r="AY70" i="1"/>
  <c r="AT86" i="1"/>
  <c r="AM89" i="1"/>
  <c r="BS70" i="1"/>
  <c r="BC87" i="1"/>
  <c r="AY89" i="1"/>
  <c r="BC86" i="1"/>
  <c r="BC85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AT87" i="1"/>
  <c r="AT85" i="1"/>
  <c r="AY85" i="1"/>
  <c r="BA89" i="1"/>
  <c r="AX89" i="1"/>
  <c r="BF70" i="1"/>
  <c r="BB87" i="1"/>
  <c r="BB86" i="1"/>
  <c r="BB85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V89" i="1" l="1"/>
  <c r="BZ70" i="1"/>
  <c r="BY70" i="1"/>
  <c r="BW85" i="1"/>
  <c r="BW70" i="1"/>
  <c r="CD70" i="1"/>
  <c r="BZ87" i="1"/>
  <c r="BX86" i="1"/>
  <c r="BT89" i="1"/>
  <c r="BX87" i="1"/>
  <c r="CB70" i="1"/>
  <c r="BX85" i="1"/>
  <c r="CA70" i="1"/>
  <c r="BS89" i="1"/>
  <c r="BW87" i="1"/>
  <c r="BJ86" i="1"/>
  <c r="BJ70" i="1"/>
  <c r="BJ85" i="1"/>
  <c r="BW86" i="1"/>
  <c r="BG70" i="1"/>
  <c r="BI87" i="1"/>
  <c r="BE89" i="1"/>
  <c r="BI70" i="1"/>
  <c r="BI85" i="1"/>
  <c r="BH70" i="1"/>
  <c r="BJ87" i="1"/>
  <c r="BM70" i="1"/>
  <c r="BI86" i="1"/>
  <c r="BC89" i="1"/>
  <c r="BG85" i="1"/>
  <c r="BG86" i="1"/>
  <c r="BG87" i="1"/>
  <c r="BK70" i="1"/>
  <c r="BZ86" i="1"/>
  <c r="CC90" i="1" s="1"/>
  <c r="BN70" i="1"/>
  <c r="BZ85" i="1"/>
  <c r="CC70" i="1"/>
  <c r="BY87" i="1"/>
  <c r="BU89" i="1"/>
  <c r="BY86" i="1"/>
  <c r="BY85" i="1"/>
  <c r="BH87" i="1"/>
  <c r="BH85" i="1"/>
  <c r="BD89" i="1"/>
  <c r="BL70" i="1"/>
  <c r="BH86" i="1"/>
  <c r="BX70" i="1"/>
  <c r="BW94" i="1"/>
  <c r="BW96" i="1"/>
  <c r="BW95" i="1"/>
  <c r="BG94" i="1"/>
  <c r="BG96" i="1"/>
  <c r="BG95" i="1"/>
  <c r="CB90" i="1"/>
  <c r="BT90" i="1"/>
  <c r="BH90" i="1"/>
  <c r="BG90" i="1"/>
  <c r="BN90" i="1"/>
  <c r="BB90" i="1"/>
  <c r="BI90" i="1"/>
  <c r="AW90" i="1"/>
  <c r="AZ90" i="1"/>
  <c r="AR90" i="1"/>
  <c r="AV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BR90" i="1"/>
  <c r="BC90" i="1"/>
  <c r="BF90" i="1"/>
  <c r="BS90" i="1"/>
  <c r="BD90" i="1"/>
  <c r="BQ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M90" i="1" l="1"/>
  <c r="BL90" i="1"/>
  <c r="BY90" i="1"/>
  <c r="BJ90" i="1"/>
  <c r="CA90" i="1"/>
  <c r="BZ90" i="1"/>
  <c r="BK90" i="1"/>
  <c r="BX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16" i="1" s="1"/>
  <c r="CU15" i="1" s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U148" i="1"/>
  <c r="CU156" i="1"/>
  <c r="CU157" i="1" s="1"/>
  <c r="CY253" i="1"/>
  <c r="CY10" i="1"/>
  <c r="CY152" i="1" s="1"/>
  <c r="CY231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6" i="1"/>
  <c r="CY15" i="1" s="1"/>
  <c r="CY153" i="1"/>
  <c r="CU19" i="1"/>
  <c r="AD8" i="1"/>
  <c r="AD253" i="1" s="1"/>
  <c r="CY145" i="1" l="1"/>
  <c r="CY144" i="1"/>
  <c r="CY146" i="1"/>
  <c r="CY26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23" i="1" l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87" i="1"/>
  <c r="AA107" i="1"/>
  <c r="AA110" i="1"/>
  <c r="AA113" i="1"/>
  <c r="AA86" i="1"/>
  <c r="AA85" i="1"/>
  <c r="AA99" i="1"/>
  <c r="AA92" i="1"/>
  <c r="AA96" i="1"/>
  <c r="AA94" i="1"/>
  <c r="AA95" i="1"/>
  <c r="AA103" i="1"/>
  <c r="AA104" i="1"/>
  <c r="AA102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Y92" i="1"/>
  <c r="Z104" i="1"/>
  <c r="X65" i="1"/>
  <c r="Z68" i="1"/>
  <c r="Z69" i="1"/>
  <c r="Z96" i="1"/>
  <c r="Z95" i="1"/>
  <c r="Z102" i="1"/>
  <c r="AD65" i="1"/>
  <c r="AE63" i="1"/>
  <c r="AE65" i="1"/>
  <c r="Y108" i="1"/>
  <c r="Y111" i="1"/>
  <c r="Y114" i="1"/>
  <c r="Y107" i="1"/>
  <c r="Y110" i="1"/>
  <c r="Y113" i="1"/>
  <c r="W63" i="1"/>
  <c r="V63" i="1"/>
  <c r="U63" i="1"/>
  <c r="U65" i="1"/>
  <c r="U66" i="1"/>
  <c r="U69" i="1"/>
  <c r="T63" i="1"/>
  <c r="S63" i="1"/>
  <c r="R63" i="1"/>
  <c r="Q63" i="1"/>
  <c r="P63" i="1"/>
  <c r="O63" i="1"/>
  <c r="N63" i="1"/>
  <c r="M63" i="1"/>
  <c r="U70" i="1"/>
  <c r="L63" i="1"/>
  <c r="K63" i="1"/>
  <c r="J63" i="1"/>
  <c r="I63" i="1"/>
  <c r="H63" i="1"/>
  <c r="G63" i="1"/>
  <c r="G65" i="1"/>
  <c r="G99" i="1"/>
  <c r="G102" i="1"/>
  <c r="AD108" i="1"/>
  <c r="K65" i="1"/>
  <c r="U92" i="1"/>
  <c r="J65" i="1"/>
  <c r="J99" i="1"/>
  <c r="J104" i="1"/>
  <c r="K107" i="1"/>
  <c r="P65" i="1"/>
  <c r="P66" i="1"/>
  <c r="S65" i="1"/>
  <c r="S66" i="1"/>
  <c r="S69" i="1"/>
  <c r="K108" i="1"/>
  <c r="U99" i="1"/>
  <c r="R65" i="1"/>
  <c r="R92" i="1"/>
  <c r="R96" i="1"/>
  <c r="AB92" i="1"/>
  <c r="R95" i="1"/>
  <c r="T65" i="1"/>
  <c r="T66" i="1"/>
  <c r="T69" i="1"/>
  <c r="F63" i="1"/>
  <c r="E63" i="1"/>
  <c r="E65" i="1"/>
  <c r="E66" i="1"/>
  <c r="E69" i="1"/>
  <c r="AC99" i="1"/>
  <c r="AB66" i="1"/>
  <c r="AB108" i="1"/>
  <c r="AB107" i="1"/>
  <c r="AC66" i="1"/>
  <c r="AC69" i="1"/>
  <c r="AC87" i="1"/>
  <c r="AC107" i="1"/>
  <c r="AD66" i="1"/>
  <c r="AD69" i="1"/>
  <c r="AC89" i="1"/>
  <c r="AD86" i="1"/>
  <c r="AE92" i="1"/>
  <c r="AE96" i="1"/>
  <c r="Z94" i="1"/>
  <c r="Z103" i="1"/>
  <c r="Z87" i="1"/>
  <c r="X99" i="1"/>
  <c r="X107" i="1"/>
  <c r="X110" i="1"/>
  <c r="X113" i="1"/>
  <c r="X92" i="1"/>
  <c r="X108" i="1"/>
  <c r="X111" i="1"/>
  <c r="X114" i="1"/>
  <c r="X66" i="1"/>
  <c r="Y95" i="1"/>
  <c r="Y94" i="1"/>
  <c r="Y96" i="1"/>
  <c r="Z86" i="1"/>
  <c r="Z85" i="1"/>
  <c r="Y66" i="1"/>
  <c r="Y69" i="1"/>
  <c r="Y87" i="1"/>
  <c r="X103" i="1"/>
  <c r="X102" i="1"/>
  <c r="X68" i="1"/>
  <c r="X96" i="1"/>
  <c r="X104" i="1"/>
  <c r="Y86" i="1"/>
  <c r="X94" i="1"/>
  <c r="Y85" i="1"/>
  <c r="X69" i="1"/>
  <c r="Y70" i="1"/>
  <c r="X95" i="1"/>
  <c r="Z70" i="1"/>
  <c r="X87" i="1"/>
  <c r="X86" i="1"/>
  <c r="X85" i="1"/>
  <c r="Q65" i="1"/>
  <c r="Q99" i="1"/>
  <c r="R99" i="1"/>
  <c r="N65" i="1"/>
  <c r="N66" i="1"/>
  <c r="N69" i="1"/>
  <c r="E99" i="1"/>
  <c r="V65" i="1"/>
  <c r="V99" i="1"/>
  <c r="G66" i="1"/>
  <c r="G69" i="1"/>
  <c r="F65" i="1"/>
  <c r="F99" i="1"/>
  <c r="I65" i="1"/>
  <c r="I99" i="1"/>
  <c r="H65" i="1"/>
  <c r="H99" i="1"/>
  <c r="K66" i="1"/>
  <c r="P69" i="1"/>
  <c r="J66" i="1"/>
  <c r="F66" i="1"/>
  <c r="F69" i="1"/>
  <c r="R66" i="1"/>
  <c r="V66" i="1"/>
  <c r="S70" i="1"/>
  <c r="AC70" i="1"/>
  <c r="N86" i="1"/>
  <c r="J108" i="1"/>
  <c r="H66" i="1"/>
  <c r="F108" i="1"/>
  <c r="E85" i="1"/>
  <c r="K92" i="1"/>
  <c r="J107" i="1"/>
  <c r="V107" i="1"/>
  <c r="V110" i="1"/>
  <c r="V113" i="1"/>
  <c r="R94" i="1"/>
  <c r="F85" i="1"/>
  <c r="N92" i="1"/>
  <c r="N68" i="1"/>
  <c r="G68" i="1"/>
  <c r="Q102" i="1"/>
  <c r="T87" i="1"/>
  <c r="R68" i="1"/>
  <c r="N85" i="1"/>
  <c r="G104" i="1"/>
  <c r="G108" i="1"/>
  <c r="P92" i="1"/>
  <c r="F89" i="1"/>
  <c r="F107" i="1"/>
  <c r="F110" i="1"/>
  <c r="F113" i="1"/>
  <c r="P94" i="1"/>
  <c r="O65" i="1"/>
  <c r="O99" i="1"/>
  <c r="O102" i="1"/>
  <c r="U95" i="1"/>
  <c r="J111" i="1"/>
  <c r="Z89" i="1"/>
  <c r="H107" i="1"/>
  <c r="V103" i="1"/>
  <c r="U108" i="1"/>
  <c r="I108" i="1"/>
  <c r="R69" i="1"/>
  <c r="N87" i="1"/>
  <c r="J102" i="1"/>
  <c r="M89" i="1"/>
  <c r="R87" i="1"/>
  <c r="R108" i="1"/>
  <c r="R111" i="1"/>
  <c r="R114" i="1"/>
  <c r="J103" i="1"/>
  <c r="R70" i="1"/>
  <c r="AB99" i="1"/>
  <c r="AB110" i="1"/>
  <c r="J92" i="1"/>
  <c r="AE94" i="1"/>
  <c r="P108" i="1"/>
  <c r="P111" i="1"/>
  <c r="P114" i="1"/>
  <c r="N70" i="1"/>
  <c r="O92" i="1"/>
  <c r="O96" i="1"/>
  <c r="S89" i="1"/>
  <c r="M65" i="1"/>
  <c r="M99" i="1"/>
  <c r="M102" i="1"/>
  <c r="M103" i="1"/>
  <c r="I92" i="1"/>
  <c r="T92" i="1"/>
  <c r="AD85" i="1"/>
  <c r="Y68" i="1"/>
  <c r="R89" i="1"/>
  <c r="U102" i="1"/>
  <c r="L65" i="1"/>
  <c r="L66" i="1"/>
  <c r="L69" i="1"/>
  <c r="K89" i="1"/>
  <c r="L86" i="1"/>
  <c r="Q92" i="1"/>
  <c r="Q96" i="1"/>
  <c r="AC110" i="1"/>
  <c r="Q104" i="1"/>
  <c r="T86" i="1"/>
  <c r="N99" i="1"/>
  <c r="W89" i="1"/>
  <c r="AB68" i="1"/>
  <c r="K110" i="1"/>
  <c r="K113" i="1"/>
  <c r="W65" i="1"/>
  <c r="W66" i="1"/>
  <c r="W69" i="1"/>
  <c r="AB69" i="1"/>
  <c r="AC86" i="1"/>
  <c r="AD111" i="1"/>
  <c r="AE95" i="1"/>
  <c r="L68" i="1"/>
  <c r="V69" i="1"/>
  <c r="U89" i="1"/>
  <c r="H69" i="1"/>
  <c r="H87" i="1"/>
  <c r="E68" i="1"/>
  <c r="Q103" i="1"/>
  <c r="E103" i="1"/>
  <c r="E107" i="1"/>
  <c r="Q66" i="1"/>
  <c r="Q69" i="1"/>
  <c r="P89" i="1"/>
  <c r="Q85" i="1"/>
  <c r="H70" i="1"/>
  <c r="V70" i="1"/>
  <c r="T70" i="1"/>
  <c r="O66" i="1"/>
  <c r="O68" i="1"/>
  <c r="M66" i="1"/>
  <c r="M68" i="1"/>
  <c r="S68" i="1"/>
  <c r="T107" i="1"/>
  <c r="T68" i="1"/>
  <c r="E86" i="1"/>
  <c r="K99" i="1"/>
  <c r="K102" i="1"/>
  <c r="V68" i="1"/>
  <c r="F68" i="1"/>
  <c r="P85" i="1"/>
  <c r="Q86" i="1"/>
  <c r="K69" i="1"/>
  <c r="K70" i="1"/>
  <c r="Q70" i="1"/>
  <c r="H86" i="1"/>
  <c r="O69" i="1"/>
  <c r="I66" i="1"/>
  <c r="I69" i="1"/>
  <c r="H89" i="1"/>
  <c r="D89" i="1"/>
  <c r="V86" i="1"/>
  <c r="E102" i="1"/>
  <c r="Q68" i="1"/>
  <c r="G89" i="1"/>
  <c r="U87" i="1"/>
  <c r="S99" i="1"/>
  <c r="N108" i="1"/>
  <c r="W92" i="1"/>
  <c r="N102" i="1"/>
  <c r="X89" i="1"/>
  <c r="Y99" i="1"/>
  <c r="L92" i="1"/>
  <c r="Y89" i="1"/>
  <c r="O85" i="1"/>
  <c r="J68" i="1"/>
  <c r="L95" i="1"/>
  <c r="U68" i="1"/>
  <c r="J89" i="1"/>
  <c r="W99" i="1"/>
  <c r="W102" i="1"/>
  <c r="H103" i="1"/>
  <c r="S86" i="1"/>
  <c r="G92" i="1"/>
  <c r="W108" i="1"/>
  <c r="W111" i="1"/>
  <c r="H92" i="1"/>
  <c r="H110" i="1"/>
  <c r="AB95" i="1"/>
  <c r="P70" i="1"/>
  <c r="U85" i="1"/>
  <c r="J110" i="1"/>
  <c r="K96" i="1"/>
  <c r="M108" i="1"/>
  <c r="F111" i="1"/>
  <c r="L108" i="1"/>
  <c r="L111" i="1"/>
  <c r="F92" i="1"/>
  <c r="M69" i="1"/>
  <c r="M104" i="1"/>
  <c r="Q107" i="1"/>
  <c r="AB104" i="1"/>
  <c r="Q110" i="1"/>
  <c r="K94" i="1"/>
  <c r="AE108" i="1"/>
  <c r="AE111" i="1"/>
  <c r="AE114" i="1"/>
  <c r="S92" i="1"/>
  <c r="K87" i="1"/>
  <c r="R107" i="1"/>
  <c r="R110" i="1"/>
  <c r="R113" i="1"/>
  <c r="E89" i="1"/>
  <c r="N94" i="1"/>
  <c r="Q108" i="1"/>
  <c r="Q111" i="1"/>
  <c r="Q114" i="1"/>
  <c r="AB113" i="1"/>
  <c r="AC102" i="1"/>
  <c r="O95" i="1"/>
  <c r="AB111" i="1"/>
  <c r="AB86" i="1"/>
  <c r="T94" i="1"/>
  <c r="V92" i="1"/>
  <c r="V95" i="1"/>
  <c r="W68" i="1"/>
  <c r="H96" i="1"/>
  <c r="AD87" i="1"/>
  <c r="F86" i="1"/>
  <c r="AC68" i="1"/>
  <c r="F102" i="1"/>
  <c r="N107" i="1"/>
  <c r="N103" i="1"/>
  <c r="X70" i="1"/>
  <c r="W107" i="1"/>
  <c r="W110" i="1"/>
  <c r="AE99" i="1"/>
  <c r="AC92" i="1"/>
  <c r="AC85" i="1"/>
  <c r="AC104" i="1"/>
  <c r="L107" i="1"/>
  <c r="L110" i="1"/>
  <c r="L113" i="1"/>
  <c r="P99" i="1"/>
  <c r="T95" i="1"/>
  <c r="N104" i="1"/>
  <c r="V89" i="1"/>
  <c r="AB87" i="1"/>
  <c r="F70" i="1"/>
  <c r="U104" i="1"/>
  <c r="Q94" i="1"/>
  <c r="L85" i="1"/>
  <c r="AC113" i="1"/>
  <c r="S108" i="1"/>
  <c r="F103" i="1"/>
  <c r="AC108" i="1"/>
  <c r="AC111" i="1"/>
  <c r="AC114" i="1"/>
  <c r="AD70" i="1"/>
  <c r="AD92" i="1"/>
  <c r="AD96" i="1"/>
  <c r="AD107" i="1"/>
  <c r="AE66" i="1"/>
  <c r="AE69" i="1"/>
  <c r="AE85" i="1"/>
  <c r="AE103" i="1"/>
  <c r="AE86" i="1"/>
  <c r="L99" i="1"/>
  <c r="L103" i="1"/>
  <c r="I102" i="1"/>
  <c r="I85" i="1"/>
  <c r="U86" i="1"/>
  <c r="U107" i="1"/>
  <c r="U103" i="1"/>
  <c r="I87" i="1"/>
  <c r="H104" i="1"/>
  <c r="H108" i="1"/>
  <c r="V102" i="1"/>
  <c r="V85" i="1"/>
  <c r="H102" i="1"/>
  <c r="H85" i="1"/>
  <c r="V104" i="1"/>
  <c r="V108" i="1"/>
  <c r="V87" i="1"/>
  <c r="S104" i="1"/>
  <c r="S87" i="1"/>
  <c r="E108" i="1"/>
  <c r="E87" i="1"/>
  <c r="G86" i="1"/>
  <c r="AC94" i="1"/>
  <c r="AB85" i="1"/>
  <c r="P104" i="1"/>
  <c r="N89" i="1"/>
  <c r="G103" i="1"/>
  <c r="G107" i="1"/>
  <c r="I107" i="1"/>
  <c r="I103" i="1"/>
  <c r="P87" i="1"/>
  <c r="K103" i="1"/>
  <c r="K86" i="1"/>
  <c r="F104" i="1"/>
  <c r="P86" i="1"/>
  <c r="F87" i="1"/>
  <c r="I86" i="1"/>
  <c r="R102" i="1"/>
  <c r="O89" i="1"/>
  <c r="O107" i="1"/>
  <c r="T99" i="1"/>
  <c r="T104" i="1"/>
  <c r="T108" i="1"/>
  <c r="M92" i="1"/>
  <c r="V94" i="1"/>
  <c r="G87" i="1"/>
  <c r="AE107" i="1"/>
  <c r="G85" i="1"/>
  <c r="I68" i="1"/>
  <c r="U111" i="1"/>
  <c r="U110" i="1"/>
  <c r="S107" i="1"/>
  <c r="H68" i="1"/>
  <c r="P95" i="1"/>
  <c r="W94" i="1"/>
  <c r="P107" i="1"/>
  <c r="P110" i="1"/>
  <c r="P113" i="1"/>
  <c r="L87" i="1"/>
  <c r="M94" i="1"/>
  <c r="N96" i="1"/>
  <c r="O104" i="1"/>
  <c r="I110" i="1"/>
  <c r="I113" i="1"/>
  <c r="H111" i="1"/>
  <c r="H114" i="1"/>
  <c r="E110" i="1"/>
  <c r="E113" i="1"/>
  <c r="U94" i="1"/>
  <c r="O103" i="1"/>
  <c r="AE87" i="1"/>
  <c r="F94" i="1"/>
  <c r="N111" i="1"/>
  <c r="N114" i="1"/>
  <c r="AB102" i="1"/>
  <c r="J95" i="1"/>
  <c r="E111" i="1"/>
  <c r="E114" i="1"/>
  <c r="W85" i="1"/>
  <c r="I70" i="1"/>
  <c r="M107" i="1"/>
  <c r="W104" i="1"/>
  <c r="S110" i="1"/>
  <c r="J114" i="1"/>
  <c r="M86" i="1"/>
  <c r="V111" i="1"/>
  <c r="V114" i="1"/>
  <c r="K111" i="1"/>
  <c r="AD89" i="1"/>
  <c r="O86" i="1"/>
  <c r="AE110" i="1"/>
  <c r="AE113" i="1"/>
  <c r="E70" i="1"/>
  <c r="H95" i="1"/>
  <c r="AB103" i="1"/>
  <c r="G70" i="1"/>
  <c r="G110" i="1"/>
  <c r="G113" i="1"/>
  <c r="J94" i="1"/>
  <c r="O70" i="1"/>
  <c r="U96" i="1"/>
  <c r="M110" i="1"/>
  <c r="M113" i="1"/>
  <c r="L89" i="1"/>
  <c r="N95" i="1"/>
  <c r="O108" i="1"/>
  <c r="O111" i="1"/>
  <c r="O114" i="1"/>
  <c r="J96" i="1"/>
  <c r="AE104" i="1"/>
  <c r="AE68" i="1"/>
  <c r="P103" i="1"/>
  <c r="F96" i="1"/>
  <c r="N110" i="1"/>
  <c r="N113" i="1"/>
  <c r="S111" i="1"/>
  <c r="S114" i="1"/>
  <c r="O87" i="1"/>
  <c r="M87" i="1"/>
  <c r="M85" i="1"/>
  <c r="W70" i="1"/>
  <c r="AD94" i="1"/>
  <c r="T103" i="1"/>
  <c r="S113" i="1"/>
  <c r="L96" i="1"/>
  <c r="K114" i="1"/>
  <c r="AB89" i="1"/>
  <c r="R85" i="1"/>
  <c r="R86" i="1"/>
  <c r="I104" i="1"/>
  <c r="E92" i="1"/>
  <c r="M96" i="1"/>
  <c r="U113" i="1"/>
  <c r="K95" i="1"/>
  <c r="AA89" i="1"/>
  <c r="AB94" i="1"/>
  <c r="R103" i="1"/>
  <c r="S103" i="1"/>
  <c r="G111" i="1"/>
  <c r="G114" i="1"/>
  <c r="AE70" i="1"/>
  <c r="M70" i="1"/>
  <c r="T85" i="1"/>
  <c r="AB96" i="1"/>
  <c r="R104" i="1"/>
  <c r="AD68" i="1"/>
  <c r="E95" i="1"/>
  <c r="G94" i="1"/>
  <c r="L114" i="1"/>
  <c r="T111" i="1"/>
  <c r="T114" i="1"/>
  <c r="Y103" i="1"/>
  <c r="I95" i="1"/>
  <c r="I94" i="1"/>
  <c r="J113" i="1"/>
  <c r="U114" i="1"/>
  <c r="S96" i="1"/>
  <c r="K104" i="1"/>
  <c r="G96" i="1"/>
  <c r="AD95" i="1"/>
  <c r="AB70" i="1"/>
  <c r="T96" i="1"/>
  <c r="H94" i="1"/>
  <c r="Y104" i="1"/>
  <c r="AE102" i="1"/>
  <c r="I96" i="1"/>
  <c r="S95" i="1"/>
  <c r="W95" i="1"/>
  <c r="E96" i="1"/>
  <c r="Y102" i="1"/>
  <c r="E94" i="1"/>
  <c r="AD99" i="1"/>
  <c r="M111" i="1"/>
  <c r="T110" i="1"/>
  <c r="I111" i="1"/>
  <c r="J69" i="1"/>
  <c r="Q89" i="1"/>
  <c r="T89" i="1"/>
  <c r="P96" i="1"/>
  <c r="S85" i="1"/>
  <c r="E104" i="1"/>
  <c r="O110" i="1"/>
  <c r="O113" i="1"/>
  <c r="G95" i="1"/>
  <c r="AD103" i="1"/>
  <c r="K68" i="1"/>
  <c r="M95" i="1"/>
  <c r="AC103" i="1"/>
  <c r="W86" i="1"/>
  <c r="V96" i="1"/>
  <c r="AB114" i="1"/>
  <c r="P68" i="1"/>
  <c r="W96" i="1"/>
  <c r="AD114" i="1"/>
  <c r="Q87" i="1"/>
  <c r="M114" i="1"/>
  <c r="S102" i="1"/>
  <c r="K85" i="1"/>
  <c r="AC96" i="1"/>
  <c r="AD110" i="1"/>
  <c r="AD113" i="1"/>
  <c r="W87" i="1"/>
  <c r="W114" i="1"/>
  <c r="O94" i="1"/>
  <c r="L94" i="1"/>
  <c r="S94" i="1"/>
  <c r="J70" i="1"/>
  <c r="W113" i="1"/>
  <c r="AC95" i="1"/>
  <c r="Q95" i="1"/>
  <c r="H113" i="1"/>
  <c r="L70" i="1"/>
  <c r="P102" i="1"/>
  <c r="W103" i="1"/>
  <c r="Q113" i="1"/>
  <c r="I89" i="1"/>
  <c r="J87" i="1"/>
  <c r="L102" i="1"/>
  <c r="T102" i="1"/>
  <c r="F114" i="1"/>
  <c r="L104" i="1"/>
  <c r="F95" i="1"/>
  <c r="I114" i="1"/>
  <c r="AD104" i="1"/>
  <c r="T113" i="1"/>
  <c r="J86" i="1"/>
  <c r="AD102" i="1"/>
  <c r="J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<sst xmlns="http://schemas.openxmlformats.org/spreadsheetml/2006/main" count="662" uniqueCount="523">
  <si>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</si>
  <si>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</si>
  <si>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</si>
  <si>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</si>
  <si>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</si>
  <si>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</si>
  <si>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</si>
  <si>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</si>
  <si>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</si>
  <si>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</si>
  <si>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</si>
  <si>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</si>
  <si>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</si>
  <si>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</si>
  <si>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</si>
  <si>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</si>
  <si>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</si>
  <si>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</si>
  <si>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</si>
  <si>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</si>
  <si>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</si>
  <si>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</si>
  <si>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</si>
  <si>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</si>
  <si>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</si>
  <si>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</si>
  <si>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</si>
  <si>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</si>
  <si>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</si>
  <si>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</si>
  <si>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</si>
  <si>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</si>
  <si>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</si>
  <si>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</si>
  <si>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</si>
  <si>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</si>
  <si>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</si>
  <si>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</si>
  <si>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</si>
  <si>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</si>
  <si>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</si>
  <si>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</si>
  <si>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</si>
  <si>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</si>
  <si>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</si>
  <si>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</si>
  <si>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</si>
  <si>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</si>
  <si>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</si>
  <si>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</si>
  <si>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</si>
  <si>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</si>
  <si>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</si>
  <si>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</si>
  <si>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</si>
  <si>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</si>
  <si>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</si>
  <si>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</si>
  <si>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</si>
  <si>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</si>
  <si>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</si>
  <si>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</si>
  <si>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</si>
  <si>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</si>
  <si>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</si>
  <si>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</si>
  <si>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</si>
  <si>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</si>
  <si>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</si>
  <si>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</si>
  <si>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</si>
  <si>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</si>
  <si>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</si>
  <si>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</si>
  <si>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</si>
  <si>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</si>
  <si>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</si>
  <si>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</si>
  <si>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</si>
  <si>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</si>
  <si>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</si>
  <si>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</si>
  <si>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</si>
  <si>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</si>
  <si>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</si>
  <si>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</si>
  <si>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</si>
  <si>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</si>
  <si>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</si>
  <si>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</si>
  <si>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</si>
  <si>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</si>
  <si>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</si>
  <si>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</si>
  <si>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</si>
  <si>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</si>
  <si>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</si>
  <si>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</si>
  <si>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</si>
  <si>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</si>
  <si>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</si>
  <si>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</si>
  <si>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</si>
  <si>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</si>
  <si>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</si>
  <si>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</si>
  <si>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</si>
  <si>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</si>
  <si>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</si>
  <si>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</si>
  <si>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</si>
  <si>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</si>
  <si>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</si>
  <si>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</si>
  <si>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</si>
  <si>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</si>
  <si>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</si>
  <si>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</si>
  <si>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</si>
  <si>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</si>
  <si>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</si>
  <si>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</si>
  <si>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</si>
  <si>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</si>
  <si>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</si>
  <si>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</si>
  <si>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</si>
  <si>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</si>
  <si>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</si>
  <si>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</si>
  <si>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</si>
  <si>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</si>
  <si>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</si>
  <si>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</si>
  <si>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</si>
  <si>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</si>
  <si>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</si>
  <si>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</si>
  <si>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</si>
  <si>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</si>
  <si>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</si>
  <si>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</si>
  <si>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</si>
  <si>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</si>
  <si>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</si>
  <si>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</si>
  <si>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</si>
  <si>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</si>
  <si>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</si>
  <si>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</si>
  <si>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</si>
  <si>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</si>
  <si>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</si>
  <si>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</si>
  <si>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</si>
  <si>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</si>
  <si>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</si>
  <si>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</si>
  <si>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</si>
  <si>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</si>
  <si>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</si>
  <si>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</si>
  <si>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</si>
  <si>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</si>
  <si>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</si>
  <si>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</si>
  <si>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</si>
  <si>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</si>
  <si>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</si>
  <si>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</si>
  <si>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</si>
  <si>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</si>
  <si>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</si>
  <si>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</si>
  <si>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</si>
  <si>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</si>
  <si>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</si>
  <si>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</si>
  <si>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</si>
  <si>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</si>
  <si>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</si>
  <si>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</si>
  <si>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</si>
  <si>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</si>
  <si>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</si>
  <si>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</si>
  <si>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</si>
  <si>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</si>
  <si>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</si>
  <si>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</si>
  <si>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</si>
  <si>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</si>
  <si>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</si>
  <si>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</si>
  <si>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</si>
  <si>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</si>
  <si>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</si>
  <si>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</si>
  <si>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</si>
  <si>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</si>
  <si>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</si>
  <si>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</si>
  <si>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</si>
  <si>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</si>
  <si>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</si>
  <si>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</si>
  <si>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</si>
  <si>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</si>
  <si>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</si>
  <si>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</si>
  <si>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</si>
  <si>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</si>
  <si>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</si>
  <si>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</si>
  <si>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</si>
  <si>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</si>
  <si>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</si>
  <si>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</si>
  <si>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</si>
  <si>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</si>
  <si>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</si>
  <si>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</si>
  <si>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</si>
  <si>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</si>
  <si>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</si>
  <si>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</si>
  <si>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</si>
  <si>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</si>
  <si>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</si>
  <si>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</si>
  <si>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</si>
  <si>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</si>
  <si>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</si>
  <si>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</si>
  <si>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</si>
  <si>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</si>
  <si>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</si>
  <si>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</si>
  <si>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</si>
  <si>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</si>
  <si>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</si>
  <si>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</si>
  <si>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</si>
  <si>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</si>
  <si>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</si>
  <si>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</si>
  <si>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</si>
  <si>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</si>
  <si>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</si>
  <si>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</si>
  <si>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</si>
  <si>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</si>
  <si>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</si>
  <si>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</si>
  <si>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</si>
  <si>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</si>
  <si>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</si>
  <si>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</si>
  <si>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</si>
  <si>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</si>
  <si>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</si>
  <si>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</si>
  <si>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</si>
  <si>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</si>
  <si>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</si>
  <si>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</si>
  <si>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</si>
  <si>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</si>
  <si>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</si>
  <si>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</si>
  <si>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</si>
  <si>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</si>
  <si>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</si>
  <si>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</si>
  <si>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</si>
  <si>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</si>
  <si>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</si>
  <si>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</si>
  <si>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</si>
  <si>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</si>
  <si>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</si>
  <si>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</si>
  <si>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</si>
  <si>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</si>
  <si>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</si>
  <si>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</si>
  <si>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</si>
  <si>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</si>
  <si>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</si>
  <si>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</si>
  <si>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</si>
  <si>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</si>
  <si>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</si>
  <si>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</si>
  <si>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</si>
  <si>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</si>
  <si>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</si>
  <si>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</si>
  <si>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</si>
  <si>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</si>
  <si>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</si>
  <si>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</si>
  <si>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</si>
  <si>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</si>
  <si>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</si>
  <si>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</si>
  <si>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</si>
  <si>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</si>
  <si>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</si>
  <si>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</si>
  <si>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</si>
  <si>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</si>
  <si>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</si>
  <si>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</si>
  <si>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</si>
  <si>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</si>
  <si>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</si>
  <si>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</si>
  <si>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</si>
  <si>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</si>
  <si>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</si>
  <si>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</si>
  <si>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</si>
  <si>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</si>
  <si>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</si>
  <si>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</si>
  <si>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</si>
  <si>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</si>
  <si>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</si>
  <si>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</si>
  <si>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</si>
  <si>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</si>
  <si>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</si>
  <si>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</si>
  <si>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</si>
  <si>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</si>
  <si>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</si>
  <si>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</si>
  <si>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</si>
  <si>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</si>
  <si>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</si>
  <si>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</si>
  <si>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</si>
  <si>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</si>
  <si>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</si>
  <si>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</si>
  <si>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</si>
  <si>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</si>
  <si>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</si>
  <si>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</si>
  <si>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</si>
  <si>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</si>
  <si>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</si>
  <si>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</si>
  <si>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</si>
  <si>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</si>
  <si>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</si>
  <si>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</si>
  <si>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</si>
  <si>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</si>
  <si>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</si>
  <si>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</si>
  <si>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</si>
  <si>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</si>
  <si>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</si>
  <si>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</si>
  <si>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</si>
  <si>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</si>
  <si>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</si>
  <si>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</si>
  <si>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</si>
  <si>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</si>
  <si>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</si>
  <si>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</si>
  <si>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</si>
  <si>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</si>
  <si>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</si>
  <si>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</si>
  <si>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</si>
  <si>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</si>
  <si>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</si>
  <si>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</si>
  <si>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</si>
  <si>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</si>
  <si>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</si>
  <si>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</si>
  <si>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</si>
  <si>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</si>
  <si>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</si>
  <si>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</si>
  <si>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</si>
  <si>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</si>
  <si>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</si>
  <si>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</si>
  <si>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</si>
  <si>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</si>
  <si>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</si>
  <si>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</si>
  <si>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</si>
  <si>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</si>
  <si>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</si>
  <si>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</si>
  <si>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</si>
  <si>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</si>
  <si>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</si>
  <si>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</si>
  <si>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</si>
  <si>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</si>
  <si>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</si>
  <si>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</si>
  <si>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</si>
  <si>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</si>
  <si>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</si>
  <si>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</si>
  <si>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</si>
  <si>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</si>
  <si>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</si>
  <si>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</si>
  <si>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</si>
  <si>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</si>
  <si>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</si>
  <si>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</si>
  <si>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</si>
  <si>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</si>
  <si>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</si>
  <si>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</si>
  <si>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</si>
  <si>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</si>
  <si>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</si>
  <si>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</si>
  <si>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</si>
  <si>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</si>
  <si>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</si>
  <si>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</si>
  <si>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</si>
  <si>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</si>
  <si>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</si>
  <si>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</si>
  <si>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</si>
  <si>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</si>
  <si>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</si>
  <si>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</si>
  <si>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</si>
  <si>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</si>
  <si>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</si>
  <si>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</si>
  <si>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</si>
  <si>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</si>
  <si>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</si>
  <si>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</si>
  <si>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</si>
  <si>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</si>
  <si>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</si>
  <si>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</si>
  <si>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</si>
  <si>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</si>
  <si>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</si>
  <si>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</si>
  <si>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</si>
  <si>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</si>
  <si>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</si>
  <si>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</si>
  <si>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</si>
  <si>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</si>
  <si>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</si>
  <si>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</si>
  <si>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</si>
  <si>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</si>
  <si>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</si>
  <si>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</si>
  <si>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</si>
  <si>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</si>
  <si>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</si>
  <si>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</si>
  <si>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</si>
  <si>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</si>
  <si>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</si>
  <si>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</si>
  <si>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</si>
  <si>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</si>
  <si>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</si>
  <si>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</si>
  <si>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</si>
  <si>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</si>
  <si>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</si>
  <si>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</si>
  <si>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</si>
  <si>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</si>
  <si>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</si>
  <si>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</si>
  <si>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</si>
  <si>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</si>
  <si>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</si>
  <si>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</si>
  <si>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</si>
  <si>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</si>
  <si>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</si>
  <si>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</si>
  <si>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</si>
  <si>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</si>
  <si>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</si>
  <si>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</si>
  <si>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</si>
  <si>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</si>
  <si>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</si>
  <si>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</si>
  <si>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</si>
  <si>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</si>
  <si>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</si>
  <si>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</si>
  <si>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</si>
  <si>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</si>
  <si>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</si>
  <si>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</si>
  <si>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</si>
  <si>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Indiamart Intermesh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</si>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</sst>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Indiamart Intermesh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135.74700000000001</v>
      </c>
      <c r="P8" s="25">
        <f>'Annual Raw'!Q6</f>
        <v>176.072</v>
      </c>
      <c r="Q8" s="25">
        <f>'Annual Raw'!R6</f>
        <v>245.75299999999999</v>
      </c>
      <c r="R8" s="25">
        <f>'Annual Raw'!S6</f>
        <v>317.76299999999998</v>
      </c>
      <c r="S8" s="25">
        <f>'Annual Raw'!T6</f>
        <v>410.50799999999998</v>
      </c>
      <c r="T8" s="25">
        <f>'Annual Raw'!U6</f>
        <v>507.41699999999997</v>
      </c>
      <c r="U8" s="25">
        <f>'Annual Raw'!V6</f>
        <v>638.85400000000004</v>
      </c>
      <c r="V8" s="25">
        <f>'Annual Raw'!W6</f>
        <v>669.56200000000001</v>
      </c>
      <c r="W8" s="25">
        <f>'Annual Raw'!X6</f>
        <v>753.48500000000001</v>
      </c>
      <c r="X8" s="25">
        <f>'Annual Raw'!Y6</f>
        <v>985.399</v>
      </c>
      <c r="Y8" s="25">
        <f>'Annual Raw'!Z6</f>
        <v>1196.7750000000001</v>
      </c>
      <c r="Z8" s="25">
        <f>'Annual Raw'!AA6</f>
        <v>1388.3440000000001</v>
      </c>
      <c r="AA8" s="25">
        <f>'Annual Raw'!AB6</f>
        <v>1569.0419999999999</v>
      </c>
      <c r="AB8" s="17">
        <f>+SUM(CM8:CP8)</f>
        <v>1776.3176693062264</v>
      </c>
      <c r="AC8" s="17">
        <f>+SUM(CQ8:CT8)</f>
        <v>2011.8440242249442</v>
      </c>
      <c r="AD8" s="17">
        <f>+SUM(CU8:CX8)</f>
        <v>2278.7716427160835</v>
      </c>
      <c r="AE8" s="17">
        <f>+SUM(CY8:DB8)</f>
        <v>2581.1454842903777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113.3</v>
      </c>
      <c r="BH8" s="25">
        <f>'QTR Raw'!AB6+'QTR Raw'!AB8</f>
        <v>122.5</v>
      </c>
      <c r="BI8" s="25">
        <f>'QTR Raw'!AC6+'QTR Raw'!AC8</f>
        <v>133.6</v>
      </c>
      <c r="BJ8" s="25">
        <f>'QTR Raw'!AD6+'QTR Raw'!AD8</f>
        <v>138</v>
      </c>
      <c r="BK8" s="25">
        <f>'QTR Raw'!AE6+'QTR Raw'!AE8</f>
        <v>147.30000000000001</v>
      </c>
      <c r="BL8" s="25">
        <f>'QTR Raw'!AF6+'QTR Raw'!AF8</f>
        <v>156.6</v>
      </c>
      <c r="BM8" s="25">
        <f>'QTR Raw'!AG6+'QTR Raw'!AG8</f>
        <v>164.9</v>
      </c>
      <c r="BN8" s="25">
        <f>'QTR Raw'!AH6+'QTR Raw'!AH8</f>
        <v>170.1</v>
      </c>
      <c r="BO8" s="25">
        <f>'QTR Raw'!AI6+'QTR Raw'!AI8</f>
        <v>153.1</v>
      </c>
      <c r="BP8" s="25">
        <f>'QTR Raw'!AJ6+'QTR Raw'!AJ8</f>
        <v>163.19999999999999</v>
      </c>
      <c r="BQ8" s="25">
        <f>'QTR Raw'!AK6+'QTR Raw'!AK8</f>
        <v>173.6</v>
      </c>
      <c r="BR8" s="25">
        <f>'QTR Raw'!AL6+'QTR Raw'!AL8</f>
        <v>179.7</v>
      </c>
      <c r="BS8" s="25">
        <f>'QTR Raw'!AM6+'QTR Raw'!AM8</f>
        <v>181.6</v>
      </c>
      <c r="BT8" s="25">
        <f>'QTR Raw'!AN6+'QTR Raw'!AN8</f>
        <v>182.4</v>
      </c>
      <c r="BU8" s="25">
        <f>'QTR Raw'!AO6+'QTR Raw'!AO8</f>
        <v>188.1</v>
      </c>
      <c r="BV8" s="25">
        <f>'QTR Raw'!AP6+'QTR Raw'!AP8</f>
        <v>201.4</v>
      </c>
      <c r="BW8" s="25">
        <f>'QTR Raw'!AQ6+'QTR Raw'!AQ8</f>
        <v>224.6</v>
      </c>
      <c r="BX8" s="25">
        <f>'QTR Raw'!AR6+'QTR Raw'!AR8</f>
        <v>240.6</v>
      </c>
      <c r="BY8" s="25">
        <f>'QTR Raw'!AS6+'QTR Raw'!AS8</f>
        <v>251.4</v>
      </c>
      <c r="BZ8" s="25">
        <f>'QTR Raw'!AT6+'QTR Raw'!AT8</f>
        <v>268.8</v>
      </c>
      <c r="CA8" s="25">
        <f>'QTR Raw'!AU6+'QTR Raw'!AU8</f>
        <v>282.10000000000002</v>
      </c>
      <c r="CB8" s="25">
        <f>'QTR Raw'!AV6+'QTR Raw'!AV8</f>
        <v>294.7</v>
      </c>
      <c r="CC8" s="25">
        <f>'QTR Raw'!AW6+'QTR Raw'!AW8</f>
        <v>305.3</v>
      </c>
      <c r="CD8" s="25">
        <f>'QTR Raw'!AX6+'QTR Raw'!AX8</f>
        <v>314.7</v>
      </c>
      <c r="CE8" s="25">
        <f>'QTR Raw'!AY6+'QTR Raw'!AY8</f>
        <v>331.3</v>
      </c>
      <c r="CF8" s="25">
        <f>'QTR Raw'!AZ6+'QTR Raw'!AZ8</f>
        <v>347.7</v>
      </c>
      <c r="CG8" s="25">
        <f>'QTR Raw'!BA6+'QTR Raw'!BA8</f>
        <v>354.3</v>
      </c>
      <c r="CH8" s="25">
        <f>'QTR Raw'!BB6+'QTR Raw'!BB8</f>
        <v>355.1</v>
      </c>
      <c r="CI8" s="25">
        <f>'QTR Raw'!BC6+'QTR Raw'!BC8</f>
        <v>372.1</v>
      </c>
      <c r="CJ8" s="25">
        <f>'QTR Raw'!BD6+'QTR Raw'!BD8</f>
        <v>391</v>
      </c>
      <c r="CK8" s="25">
        <f>'QTR Raw'!BE6+'QTR Raw'!BE8</f>
        <v>401.6</v>
      </c>
      <c r="CL8" s="25">
        <f>'QTR Raw'!BF6+'QTR Raw'!BF8</f>
        <v>404.3</v>
      </c>
      <c r="CM8" s="17">
        <f t="shared" ref="CM8:DB8" si="33">+CI10+(CM11*CI10)</f>
        <v>420.44872673561821</v>
      </c>
      <c r="CN8" s="17">
        <f t="shared" si="33"/>
        <v>442.46758529059508</v>
      </c>
      <c r="CO8" s="17">
        <f t="shared" si="33"/>
        <v>455.17551039885075</v>
      </c>
      <c r="CP8" s="17">
        <f t="shared" si="33"/>
        <v>458.22584688116245</v>
      </c>
      <c r="CQ8" s="17">
        <f t="shared" si="33"/>
        <v>475.98488972479993</v>
      </c>
      <c r="CR8" s="17">
        <f t="shared" si="33"/>
        <v>501.15033765303406</v>
      </c>
      <c r="CS8" s="17">
        <f t="shared" si="33"/>
        <v>515.65694170537631</v>
      </c>
      <c r="CT8" s="17">
        <f t="shared" si="33"/>
        <v>519.05185514173377</v>
      </c>
      <c r="CU8" s="17">
        <f t="shared" si="33"/>
        <v>539.09231473961222</v>
      </c>
      <c r="CV8" s="17">
        <f t="shared" si="33"/>
        <v>567.65628582852969</v>
      </c>
      <c r="CW8" s="17">
        <f t="shared" si="33"/>
        <v>584.09838631250796</v>
      </c>
      <c r="CX8" s="17">
        <f t="shared" si="33"/>
        <v>587.92465583543367</v>
      </c>
      <c r="CY8" s="17">
        <f t="shared" si="33"/>
        <v>610.61716242405464</v>
      </c>
      <c r="CZ8" s="17">
        <f t="shared" si="33"/>
        <v>642.98418323481144</v>
      </c>
      <c r="DA8" s="17">
        <f t="shared" si="33"/>
        <v>661.60716312641784</v>
      </c>
      <c r="DB8" s="17">
        <f t="shared" si="33"/>
        <v>665.93697550509364</v>
      </c>
      <c r="DE8" s="119"/>
      <c r="DF8" s="25">
        <v>400.33643563603903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135.74700000000001</v>
      </c>
      <c r="P10" s="26">
        <f t="shared" si="34"/>
        <v>176.072</v>
      </c>
      <c r="Q10" s="26">
        <f t="shared" si="34"/>
        <v>245.75299999999999</v>
      </c>
      <c r="R10" s="26">
        <f t="shared" si="34"/>
        <v>317.76299999999998</v>
      </c>
      <c r="S10" s="26">
        <f t="shared" si="34"/>
        <v>410.50799999999998</v>
      </c>
      <c r="T10" s="26">
        <f t="shared" si="34"/>
        <v>507.41699999999997</v>
      </c>
      <c r="U10" s="26">
        <f t="shared" si="34"/>
        <v>638.85400000000004</v>
      </c>
      <c r="V10" s="26">
        <f>+V8-V9</f>
        <v>669.56200000000001</v>
      </c>
      <c r="W10" s="26">
        <f>+W8-W9</f>
        <v>753.48500000000001</v>
      </c>
      <c r="X10" s="26">
        <f>+X8-X9</f>
        <v>985.399</v>
      </c>
      <c r="Y10" s="26">
        <f>+Y8-Y9</f>
        <v>1196.7750000000001</v>
      </c>
      <c r="Z10" s="26">
        <f>+Z8-Z9</f>
        <v>1388.3440000000001</v>
      </c>
      <c r="AA10" s="26">
        <f>+AA8-AA9</f>
        <v>1569.0419999999999</v>
      </c>
      <c r="AB10" s="27">
        <f t="shared" ref="AB10:AD10" si="35">+AB8-AB9</f>
        <v>1776.3176693062264</v>
      </c>
      <c r="AC10" s="27">
        <f t="shared" si="35"/>
        <v>2011.8440242249442</v>
      </c>
      <c r="AD10" s="27">
        <f t="shared" si="35"/>
        <v>2278.7716427160835</v>
      </c>
      <c r="AE10" s="27">
        <f t="shared" ref="AE10" si="36">+AE8-AE9</f>
        <v>2581.1454842903777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113.3</v>
      </c>
      <c r="BH10" s="26">
        <f t="shared" si="42"/>
        <v>122.5</v>
      </c>
      <c r="BI10" s="26">
        <f t="shared" si="42"/>
        <v>133.6</v>
      </c>
      <c r="BJ10" s="26">
        <f t="shared" si="42"/>
        <v>138</v>
      </c>
      <c r="BK10" s="26">
        <f t="shared" si="42"/>
        <v>147.30000000000001</v>
      </c>
      <c r="BL10" s="26">
        <f t="shared" si="42"/>
        <v>156.6</v>
      </c>
      <c r="BM10" s="26">
        <f t="shared" si="42"/>
        <v>164.9</v>
      </c>
      <c r="BN10" s="26">
        <f t="shared" si="42"/>
        <v>170.1</v>
      </c>
      <c r="BO10" s="26">
        <f t="shared" si="42"/>
        <v>153.1</v>
      </c>
      <c r="BP10" s="26">
        <f t="shared" si="42"/>
        <v>163.19999999999999</v>
      </c>
      <c r="BQ10" s="26">
        <f t="shared" si="42"/>
        <v>173.6</v>
      </c>
      <c r="BR10" s="26">
        <f t="shared" si="42"/>
        <v>179.7</v>
      </c>
      <c r="BS10" s="26">
        <f t="shared" si="42"/>
        <v>181.6</v>
      </c>
      <c r="BT10" s="26">
        <f t="shared" si="42"/>
        <v>182.4</v>
      </c>
      <c r="BU10" s="26">
        <f t="shared" si="42"/>
        <v>188.1</v>
      </c>
      <c r="BV10" s="26">
        <f t="shared" si="42"/>
        <v>201.4</v>
      </c>
      <c r="BW10" s="26">
        <f t="shared" si="42"/>
        <v>224.6</v>
      </c>
      <c r="BX10" s="26">
        <f t="shared" si="42"/>
        <v>240.6</v>
      </c>
      <c r="BY10" s="26">
        <f t="shared" si="42"/>
        <v>251.4</v>
      </c>
      <c r="BZ10" s="26">
        <f t="shared" si="42"/>
        <v>268.8</v>
      </c>
      <c r="CA10" s="26">
        <f t="shared" si="42"/>
        <v>282.10000000000002</v>
      </c>
      <c r="CB10" s="26">
        <f t="shared" si="42"/>
        <v>294.7</v>
      </c>
      <c r="CC10" s="26">
        <f t="shared" si="42"/>
        <v>305.3</v>
      </c>
      <c r="CD10" s="26">
        <f t="shared" si="42"/>
        <v>314.7</v>
      </c>
      <c r="CE10" s="26">
        <f t="shared" si="42"/>
        <v>331.3</v>
      </c>
      <c r="CF10" s="26">
        <f t="shared" si="42"/>
        <v>347.7</v>
      </c>
      <c r="CG10" s="26">
        <f t="shared" ref="CG10:CH10" si="43">+CG8-CG9</f>
        <v>354.3</v>
      </c>
      <c r="CH10" s="26">
        <f t="shared" si="43"/>
        <v>355.1</v>
      </c>
      <c r="CI10" s="26">
        <f t="shared" ref="CI10:CJ10" si="44">+CI8-CI9</f>
        <v>372.1</v>
      </c>
      <c r="CJ10" s="26">
        <f t="shared" si="44"/>
        <v>391</v>
      </c>
      <c r="CK10" s="26">
        <f t="shared" ref="CK10:CL10" si="45">+CK8-CK9</f>
        <v>401.6</v>
      </c>
      <c r="CL10" s="26">
        <f t="shared" si="45"/>
        <v>404.3</v>
      </c>
      <c r="CM10" s="27">
        <f t="shared" ref="CM10:DB10" si="46">+CM8-CM9</f>
        <v>420.44872673561821</v>
      </c>
      <c r="CN10" s="27">
        <f t="shared" si="46"/>
        <v>442.46758529059508</v>
      </c>
      <c r="CO10" s="27">
        <f t="shared" si="46"/>
        <v>455.17551039885075</v>
      </c>
      <c r="CP10" s="27">
        <f t="shared" si="46"/>
        <v>458.22584688116245</v>
      </c>
      <c r="CQ10" s="27">
        <f t="shared" si="46"/>
        <v>475.98488972479993</v>
      </c>
      <c r="CR10" s="27">
        <f t="shared" si="46"/>
        <v>501.15033765303406</v>
      </c>
      <c r="CS10" s="27">
        <f t="shared" si="46"/>
        <v>515.65694170537631</v>
      </c>
      <c r="CT10" s="27">
        <f t="shared" si="46"/>
        <v>519.05185514173377</v>
      </c>
      <c r="CU10" s="27">
        <f t="shared" si="46"/>
        <v>539.09231473961222</v>
      </c>
      <c r="CV10" s="27">
        <f t="shared" si="46"/>
        <v>567.65628582852969</v>
      </c>
      <c r="CW10" s="27">
        <f t="shared" si="46"/>
        <v>584.09838631250796</v>
      </c>
      <c r="CX10" s="27">
        <f t="shared" si="46"/>
        <v>587.92465583543367</v>
      </c>
      <c r="CY10" s="27">
        <f t="shared" si="46"/>
        <v>610.61716242405464</v>
      </c>
      <c r="CZ10" s="27">
        <f t="shared" si="46"/>
        <v>642.98418323481144</v>
      </c>
      <c r="DA10" s="27">
        <f t="shared" si="46"/>
        <v>661.60716312641784</v>
      </c>
      <c r="DB10" s="27">
        <f t="shared" si="46"/>
        <v>665.93697550509364</v>
      </c>
      <c r="DE10" s="121"/>
      <c r="DF10" s="26">
        <v>400.33643563603903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 t="e">
        <f t="shared" si="50"/>
        <v>#DIV/0!</v>
      </c>
      <c r="O11" s="39" t="e">
        <f t="shared" si="50"/>
        <v>#DIV/0!</v>
      </c>
      <c r="P11" s="39">
        <f t="shared" si="50"/>
        <v>0.29705997185941491</v>
      </c>
      <c r="Q11" s="39">
        <f t="shared" si="50"/>
        <v>0.39575287382434454</v>
      </c>
      <c r="R11" s="39">
        <f t="shared" si="50"/>
        <v>0.29301778615113538</v>
      </c>
      <c r="S11" s="39">
        <f t="shared" ref="S11:AA11" si="51">S10/R10-1</f>
        <v>0.29186846800917676</v>
      </c>
      <c r="T11" s="39">
        <f t="shared" si="51"/>
        <v>0.2360709170101436</v>
      </c>
      <c r="U11" s="39">
        <f t="shared" si="51"/>
        <v>0.25903152633829785</v>
      </c>
      <c r="V11" s="39">
        <f t="shared" si="51"/>
        <v>4.8067320545852388E-2</v>
      </c>
      <c r="W11" s="39">
        <f t="shared" si="51"/>
        <v>0.12534014773837221</v>
      </c>
      <c r="X11" s="39">
        <f t="shared" si="51"/>
        <v>0.30778847621385963</v>
      </c>
      <c r="Y11" s="39">
        <f t="shared" si="51"/>
        <v>0.2145080317719017</v>
      </c>
      <c r="Z11" s="39">
        <f t="shared" si="51"/>
        <v>0.16007102421090003</v>
      </c>
      <c r="AA11" s="39">
        <f t="shared" si="51"/>
        <v>0.13015362186893142</v>
      </c>
      <c r="AB11" s="40">
        <f t="shared" ref="AB11" si="52">AB10/AA10-1</f>
        <v>0.13210332757582433</v>
      </c>
      <c r="AC11" s="40">
        <f t="shared" ref="AC11" si="53">AC10/AB10-1</f>
        <v>0.13259247430146148</v>
      </c>
      <c r="AD11" s="40">
        <f t="shared" ref="AD11" si="54">AD10/AC10-1</f>
        <v>0.13267808800136605</v>
      </c>
      <c r="AE11" s="40">
        <f t="shared" ref="AE11" si="55">AE10/AD10-1</f>
        <v>0.13269159397380093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>
        <f t="shared" si="56"/>
        <v>0.30008826125331001</v>
      </c>
      <c r="BL11" s="39">
        <f t="shared" si="56"/>
        <v>0.27836734693877552</v>
      </c>
      <c r="BM11" s="39">
        <f t="shared" si="56"/>
        <v>0.23428143712574867</v>
      </c>
      <c r="BN11" s="39">
        <f t="shared" si="56"/>
        <v>0.23260869565217379</v>
      </c>
      <c r="BO11" s="39">
        <f t="shared" si="56"/>
        <v>3.9375424304141093E-2</v>
      </c>
      <c r="BP11" s="39">
        <f t="shared" si="56"/>
        <v>4.2145593869731712E-2</v>
      </c>
      <c r="BQ11" s="39">
        <f t="shared" si="56"/>
        <v>5.2759248029108585E-2</v>
      </c>
      <c r="BR11" s="39">
        <f t="shared" si="56"/>
        <v>5.6437389770723101E-2</v>
      </c>
      <c r="BS11" s="39">
        <f t="shared" si="56"/>
        <v>0.18615284128020892</v>
      </c>
      <c r="BT11" s="39">
        <f t="shared" si="56"/>
        <v>0.11764705882352944</v>
      </c>
      <c r="BU11" s="39">
        <f t="shared" si="56"/>
        <v>8.3525345622119884E-2</v>
      </c>
      <c r="BV11" s="39">
        <f t="shared" si="56"/>
        <v>0.12075681691708406</v>
      </c>
      <c r="BW11" s="39">
        <f t="shared" si="56"/>
        <v>0.23678414096916289</v>
      </c>
      <c r="BX11" s="39">
        <f t="shared" si="56"/>
        <v>0.31907894736842102</v>
      </c>
      <c r="BY11" s="39">
        <f t="shared" si="56"/>
        <v>0.33652312599681022</v>
      </c>
      <c r="BZ11" s="39">
        <f t="shared" si="56"/>
        <v>0.3346573982125125</v>
      </c>
      <c r="CA11" s="39">
        <f t="shared" si="56"/>
        <v>0.25601068566340168</v>
      </c>
      <c r="CB11" s="39">
        <f t="shared" si="56"/>
        <v>0.22485453034081471</v>
      </c>
      <c r="CC11" s="39">
        <f t="shared" si="56"/>
        <v>0.21439936356404132</v>
      </c>
      <c r="CD11" s="39">
        <f t="shared" si="56"/>
        <v>0.17075892857142838</v>
      </c>
      <c r="CE11" s="39">
        <f t="shared" si="56"/>
        <v>0.17440623892236795</v>
      </c>
      <c r="CF11" s="39">
        <f t="shared" si="56"/>
        <v>0.17984390906006098</v>
      </c>
      <c r="CG11" s="39">
        <f t="shared" si="56"/>
        <v>0.16049787094660983</v>
      </c>
      <c r="CH11" s="39">
        <f t="shared" si="56"/>
        <v>0.12837623133142695</v>
      </c>
      <c r="CI11" s="39">
        <f t="shared" si="56"/>
        <v>0.12315122245698773</v>
      </c>
      <c r="CJ11" s="39">
        <f>+IF(CF10&lt;0,1-CJ10/CF10,CJ10/CF10-1)</f>
        <v>0.12453264308311773</v>
      </c>
      <c r="CK11" s="39">
        <f>+IF(CG10&lt;0,1-CK10/CG10,CK10/CG10-1)</f>
        <v>0.1335026813434943</v>
      </c>
      <c r="CL11" s="39">
        <f>+IF(CH10&lt;0,1-CL10/CH10,CL10/CH10-1)</f>
        <v>0.1385525204167839</v>
      </c>
      <c r="CM11" s="40">
        <f t="shared" ref="CM11" si="57">+AVERAGE(CI11:CL11)</f>
        <v>0.12993476682509592</v>
      </c>
      <c r="CN11" s="40">
        <f t="shared" ref="CN11" si="58">+AVERAGE(CJ11:CM11)</f>
        <v>0.13163065291712295</v>
      </c>
      <c r="CO11" s="40">
        <f t="shared" ref="CO11" si="59">+AVERAGE(CK11:CN11)</f>
        <v>0.13340515537562425</v>
      </c>
      <c r="CP11" s="40">
        <f t="shared" ref="CP11" si="60">+AVERAGE(CL11:CO11)</f>
        <v>0.13338077388365677</v>
      </c>
      <c r="CQ11" s="40">
        <f t="shared" ref="CQ11" si="61">+AVERAGE(CM11:CP11)</f>
        <v>0.13208783725037498</v>
      </c>
      <c r="CR11" s="40">
        <f t="shared" ref="CR11" si="62">+AVERAGE(CN11:CQ11)</f>
        <v>0.13262610485669474</v>
      </c>
      <c r="CS11" s="40">
        <f t="shared" ref="CS11" si="63">+AVERAGE(CO11:CR11)</f>
        <v>0.1328749678415877</v>
      </c>
      <c r="CT11" s="40">
        <f t="shared" ref="CT11" si="64">+AVERAGE(CP11:CS11)</f>
        <v>0.13274242095807853</v>
      </c>
      <c r="CU11" s="40">
        <f t="shared" ref="CU11" si="65">+AVERAGE(CQ11:CT11)</f>
        <v>0.13258283272668397</v>
      </c>
      <c r="CV11" s="40">
        <f t="shared" ref="CV11" si="66">+AVERAGE(CR11:CU11)</f>
        <v>0.13270658159576124</v>
      </c>
      <c r="CW11" s="40">
        <f t="shared" ref="CW11" si="67">+AVERAGE(CS11:CV11)</f>
        <v>0.13272670078052787</v>
      </c>
      <c r="CX11" s="40">
        <f t="shared" ref="CX11" si="68">+AVERAGE(CT11:CW11)</f>
        <v>0.1326896340152629</v>
      </c>
      <c r="CY11" s="40">
        <f t="shared" ref="CY11" si="69">+AVERAGE(CU11:CX11)</f>
        <v>0.132676437279559</v>
      </c>
      <c r="CZ11" s="40">
        <f t="shared" ref="CZ11" si="70">+AVERAGE(CV11:CY11)</f>
        <v>0.13269983841777774</v>
      </c>
      <c r="DA11" s="40">
        <f t="shared" ref="DA11" si="71">+AVERAGE(CW11:CZ11)</f>
        <v>0.13269815262328188</v>
      </c>
      <c r="DB11" s="40">
        <f t="shared" ref="DB11" si="72">+AVERAGE(CX11:DA11)</f>
        <v>0.1326910155839704</v>
      </c>
      <c r="DE11" s="122"/>
      <c r="DF11" s="39">
        <v>0.12739069455375668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>
        <f t="shared" si="74"/>
        <v>8.1200353045013163E-2</v>
      </c>
      <c r="BI12" s="39">
        <f t="shared" si="74"/>
        <v>9.061224489795916E-2</v>
      </c>
      <c r="BJ12" s="39">
        <f t="shared" si="74"/>
        <v>3.2934131736527039E-2</v>
      </c>
      <c r="BK12" s="39">
        <f t="shared" si="74"/>
        <v>6.7391304347826253E-2</v>
      </c>
      <c r="BL12" s="39">
        <f t="shared" si="74"/>
        <v>6.3136456211812408E-2</v>
      </c>
      <c r="BM12" s="39">
        <f t="shared" si="74"/>
        <v>5.3001277139208325E-2</v>
      </c>
      <c r="BN12" s="39">
        <f t="shared" si="74"/>
        <v>3.1534263189811895E-2</v>
      </c>
      <c r="BO12" s="39">
        <f t="shared" si="74"/>
        <v>-9.9941211052322121E-2</v>
      </c>
      <c r="BP12" s="39">
        <f t="shared" si="74"/>
        <v>6.5969954278249476E-2</v>
      </c>
      <c r="BQ12" s="39">
        <f t="shared" si="74"/>
        <v>6.3725490196078427E-2</v>
      </c>
      <c r="BR12" s="39">
        <f t="shared" si="74"/>
        <v>3.5138248847926157E-2</v>
      </c>
      <c r="BS12" s="39">
        <f t="shared" si="74"/>
        <v>1.057317751808573E-2</v>
      </c>
      <c r="BT12" s="39">
        <f t="shared" si="74"/>
        <v>4.405286343612369E-3</v>
      </c>
      <c r="BU12" s="39">
        <f t="shared" si="74"/>
        <v>3.125E-2</v>
      </c>
      <c r="BV12" s="39">
        <f t="shared" si="74"/>
        <v>7.0707070707070718E-2</v>
      </c>
      <c r="BW12" s="39">
        <f t="shared" si="74"/>
        <v>0.11519364448857994</v>
      </c>
      <c r="BX12" s="39">
        <f t="shared" si="74"/>
        <v>7.1237756010685604E-2</v>
      </c>
      <c r="BY12" s="39">
        <f t="shared" si="74"/>
        <v>4.488778054862852E-2</v>
      </c>
      <c r="BZ12" s="39">
        <f t="shared" si="74"/>
        <v>6.9212410501193311E-2</v>
      </c>
      <c r="CA12" s="39">
        <f t="shared" si="74"/>
        <v>4.9479166666666741E-2</v>
      </c>
      <c r="CB12" s="39">
        <f t="shared" si="74"/>
        <v>4.4665012406947868E-2</v>
      </c>
      <c r="CC12" s="39">
        <f t="shared" si="74"/>
        <v>3.596878181201224E-2</v>
      </c>
      <c r="CD12" s="39">
        <f t="shared" si="74"/>
        <v>3.0789387487716979E-2</v>
      </c>
      <c r="CE12" s="39">
        <f t="shared" si="74"/>
        <v>5.2748649507467604E-2</v>
      </c>
      <c r="CF12" s="39">
        <f t="shared" si="74"/>
        <v>4.9501961968004826E-2</v>
      </c>
      <c r="CG12" s="39">
        <f t="shared" si="74"/>
        <v>1.8981880931837836E-2</v>
      </c>
      <c r="CH12" s="39">
        <f t="shared" si="74"/>
        <v>2.2579734688117359E-3</v>
      </c>
      <c r="CI12" s="39">
        <f t="shared" si="74"/>
        <v>4.7873838355392939E-2</v>
      </c>
      <c r="CJ12" s="39">
        <f>+IF(CI10&lt;0,1-CJ10/CI10,CJ10/CI10-1)</f>
        <v>5.0792797635044185E-2</v>
      </c>
      <c r="CK12" s="39">
        <f>+IF(CJ10&lt;0,1-CK10/CJ10,CK10/CJ10-1)</f>
        <v>2.710997442455243E-2</v>
      </c>
      <c r="CL12" s="39">
        <f>+IF(CK10&lt;0,1-CL10/CK10,CL10/CK10-1)</f>
        <v>6.7231075697211651E-3</v>
      </c>
      <c r="CM12" s="40">
        <f t="shared" ref="CM12" si="75">+CM10/CL10-1</f>
        <v>3.9942435655746289E-2</v>
      </c>
      <c r="CN12" s="40">
        <f t="shared" ref="CN12" si="76">+CN10/CM10-1</f>
        <v>5.2369901856838208E-2</v>
      </c>
      <c r="CO12" s="40">
        <f t="shared" ref="CO12" si="77">+CO10/CN10-1</f>
        <v>2.8720578706143307E-2</v>
      </c>
      <c r="CP12" s="40">
        <f t="shared" ref="CP12" si="78">+CP10/CO10-1</f>
        <v>6.7014512262288939E-3</v>
      </c>
      <c r="CQ12" s="40">
        <f t="shared" ref="CQ12" si="79">+CQ10/CP10-1</f>
        <v>3.8756091487443189E-2</v>
      </c>
      <c r="CR12" s="40">
        <f t="shared" ref="CR12" si="80">+CR10/CQ10-1</f>
        <v>5.2870266412835099E-2</v>
      </c>
      <c r="CS12" s="40">
        <f t="shared" ref="CS12" si="81">+CS10/CR10-1</f>
        <v>2.8946611350755491E-2</v>
      </c>
      <c r="CT12" s="40">
        <f t="shared" ref="CT12" si="82">+CT10/CS10-1</f>
        <v>6.5836667012177941E-3</v>
      </c>
      <c r="CU12" s="40">
        <f t="shared" ref="CU12" si="83">+CU10/CT10-1</f>
        <v>3.8609744670705659E-2</v>
      </c>
      <c r="CV12" s="40">
        <f t="shared" ref="CV12" si="84">+CV10/CU10-1</f>
        <v>5.2985305685009143E-2</v>
      </c>
      <c r="CW12" s="40">
        <f t="shared" ref="CW12" si="85">+CW10/CV10-1</f>
        <v>2.8964887546307994E-2</v>
      </c>
      <c r="CX12" s="40">
        <f t="shared" ref="CX12" si="86">+CX10/CW10-1</f>
        <v>6.5507277756431392E-3</v>
      </c>
      <c r="CY12" s="40">
        <f t="shared" ref="CY12" si="87">+CY10/CX10-1</f>
        <v>3.859764404058752E-2</v>
      </c>
      <c r="CZ12" s="40">
        <f t="shared" ref="CZ12" si="88">+CZ10/CY10-1</f>
        <v>5.3007060401422113E-2</v>
      </c>
      <c r="DA12" s="40">
        <f t="shared" ref="DA12" si="89">+DA10/CZ10-1</f>
        <v>2.8963356140294882E-2</v>
      </c>
      <c r="DB12" s="40">
        <f t="shared" ref="DB12" si="90">+DB10/DA10-1</f>
        <v>6.5443855810376483E-3</v>
      </c>
      <c r="DE12" s="122"/>
      <c r="DF12" s="39">
        <v>-3.1463256074726331E-3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0.1</v>
      </c>
      <c r="BZ13" s="23">
        <f>'QTR Raw'!AT10</f>
        <v>-0.1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0.1</v>
      </c>
      <c r="BX14" s="23">
        <f>'QTR Raw'!AR12</f>
        <v>0.1</v>
      </c>
      <c r="BY14" s="23">
        <f>'QTR Raw'!AS12</f>
        <v>0</v>
      </c>
      <c r="BZ14" s="23">
        <f>'QTR Raw'!AT12</f>
        <v>-0.2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0</v>
      </c>
      <c r="N16" s="31">
        <f t="shared" si="92"/>
        <v>0</v>
      </c>
      <c r="O16" s="31">
        <f t="shared" si="92"/>
        <v>135.74700000000001</v>
      </c>
      <c r="P16" s="31">
        <f t="shared" si="92"/>
        <v>176.072</v>
      </c>
      <c r="Q16" s="31">
        <f t="shared" si="92"/>
        <v>245.75299999999999</v>
      </c>
      <c r="R16" s="31">
        <f t="shared" si="92"/>
        <v>317.76299999999998</v>
      </c>
      <c r="S16" s="31">
        <f t="shared" si="92"/>
        <v>410.50799999999998</v>
      </c>
      <c r="T16" s="31">
        <f t="shared" si="92"/>
        <v>507.41699999999997</v>
      </c>
      <c r="U16" s="31">
        <f t="shared" ref="U16:Z16" si="93">U10-U13-U15-U14</f>
        <v>638.85400000000004</v>
      </c>
      <c r="V16" s="31">
        <f t="shared" si="93"/>
        <v>669.56200000000001</v>
      </c>
      <c r="W16" s="31">
        <f t="shared" si="93"/>
        <v>753.48500000000001</v>
      </c>
      <c r="X16" s="31">
        <f t="shared" si="93"/>
        <v>985.399</v>
      </c>
      <c r="Y16" s="31">
        <f t="shared" si="93"/>
        <v>1196.7750000000001</v>
      </c>
      <c r="Z16" s="31">
        <f t="shared" si="93"/>
        <v>1388.3440000000001</v>
      </c>
      <c r="AA16" s="31">
        <f t="shared" ref="AA16" si="94">AA10-AA13-AA15-AA14</f>
        <v>1569.0419999999999</v>
      </c>
      <c r="AB16" s="32">
        <f t="shared" ref="AA16:AD16" si="95">AB10-AB13-AB15-AB14</f>
        <v>1776.3176693062264</v>
      </c>
      <c r="AC16" s="32">
        <f t="shared" si="95"/>
        <v>2011.8440242249442</v>
      </c>
      <c r="AD16" s="32">
        <f t="shared" si="95"/>
        <v>2278.7716427160835</v>
      </c>
      <c r="AE16" s="32">
        <f t="shared" ref="AE16" si="96">AE10-AE13-AE15-AE14</f>
        <v>2581.1454842903777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113.3</v>
      </c>
      <c r="BH16" s="31">
        <f t="shared" si="101"/>
        <v>122.5</v>
      </c>
      <c r="BI16" s="31">
        <f t="shared" si="101"/>
        <v>133.6</v>
      </c>
      <c r="BJ16" s="31">
        <f t="shared" si="101"/>
        <v>138</v>
      </c>
      <c r="BK16" s="31">
        <f t="shared" si="101"/>
        <v>147.30000000000001</v>
      </c>
      <c r="BL16" s="31">
        <f t="shared" si="101"/>
        <v>156.6</v>
      </c>
      <c r="BM16" s="31">
        <f t="shared" si="101"/>
        <v>164.9</v>
      </c>
      <c r="BN16" s="31">
        <f t="shared" si="101"/>
        <v>170.1</v>
      </c>
      <c r="BO16" s="31">
        <f t="shared" si="101"/>
        <v>153.1</v>
      </c>
      <c r="BP16" s="31">
        <f t="shared" si="101"/>
        <v>163.19999999999999</v>
      </c>
      <c r="BQ16" s="31">
        <f t="shared" si="101"/>
        <v>173.6</v>
      </c>
      <c r="BR16" s="31">
        <f t="shared" si="101"/>
        <v>179.7</v>
      </c>
      <c r="BS16" s="31">
        <f t="shared" si="101"/>
        <v>181.6</v>
      </c>
      <c r="BT16" s="31">
        <f t="shared" si="101"/>
        <v>182.4</v>
      </c>
      <c r="BU16" s="31">
        <f t="shared" si="101"/>
        <v>188.1</v>
      </c>
      <c r="BV16" s="31">
        <f t="shared" si="101"/>
        <v>201.4</v>
      </c>
      <c r="BW16" s="31">
        <f t="shared" si="101"/>
        <v>224.5</v>
      </c>
      <c r="BX16" s="31">
        <f t="shared" si="101"/>
        <v>240.5</v>
      </c>
      <c r="BY16" s="31">
        <f t="shared" si="101"/>
        <v>251.3</v>
      </c>
      <c r="BZ16" s="31">
        <f t="shared" si="101"/>
        <v>269.10000000000002</v>
      </c>
      <c r="CA16" s="31">
        <f t="shared" si="101"/>
        <v>282.10000000000002</v>
      </c>
      <c r="CB16" s="31">
        <f t="shared" si="101"/>
        <v>294.7</v>
      </c>
      <c r="CC16" s="31">
        <f t="shared" si="101"/>
        <v>305.3</v>
      </c>
      <c r="CD16" s="31">
        <f t="shared" si="101"/>
        <v>314.7</v>
      </c>
      <c r="CE16" s="31">
        <f t="shared" ref="CE16:CF16" si="102">CE10-CE13-CE15-CE14</f>
        <v>331.3</v>
      </c>
      <c r="CF16" s="31">
        <f t="shared" si="102"/>
        <v>347.7</v>
      </c>
      <c r="CG16" s="31">
        <f t="shared" ref="CG16:CH16" si="103">CG10-CG13-CG15-CG14</f>
        <v>354.3</v>
      </c>
      <c r="CH16" s="31">
        <f t="shared" si="103"/>
        <v>355.1</v>
      </c>
      <c r="CI16" s="31">
        <f t="shared" ref="CI16:CJ16" si="104">CI10-CI13-CI15-CI14</f>
        <v>372.1</v>
      </c>
      <c r="CJ16" s="31">
        <f t="shared" si="104"/>
        <v>391</v>
      </c>
      <c r="CK16" s="31">
        <f t="shared" ref="CK16:CL16" si="105">CK10-CK13-CK15-CK14</f>
        <v>401.6</v>
      </c>
      <c r="CL16" s="31">
        <f t="shared" si="105"/>
        <v>404.3</v>
      </c>
      <c r="CM16" s="32">
        <f t="shared" ref="CM16:DB16" si="106">+CM17*CM10</f>
        <v>420.44872673561821</v>
      </c>
      <c r="CN16" s="32">
        <f t="shared" si="106"/>
        <v>442.46758529059508</v>
      </c>
      <c r="CO16" s="32">
        <f t="shared" si="106"/>
        <v>455.17551039885075</v>
      </c>
      <c r="CP16" s="32">
        <f t="shared" si="106"/>
        <v>458.22584688116245</v>
      </c>
      <c r="CQ16" s="32">
        <f t="shared" si="106"/>
        <v>475.98488972479993</v>
      </c>
      <c r="CR16" s="32">
        <f t="shared" si="106"/>
        <v>501.15033765303406</v>
      </c>
      <c r="CS16" s="32">
        <f t="shared" si="106"/>
        <v>515.65694170537631</v>
      </c>
      <c r="CT16" s="32">
        <f t="shared" si="106"/>
        <v>519.05185514173377</v>
      </c>
      <c r="CU16" s="32">
        <f t="shared" si="106"/>
        <v>539.09231473961222</v>
      </c>
      <c r="CV16" s="32">
        <f t="shared" si="106"/>
        <v>567.65628582852969</v>
      </c>
      <c r="CW16" s="32">
        <f t="shared" si="106"/>
        <v>584.09838631250796</v>
      </c>
      <c r="CX16" s="32">
        <f t="shared" si="106"/>
        <v>587.92465583543367</v>
      </c>
      <c r="CY16" s="32">
        <f t="shared" si="106"/>
        <v>610.61716242405464</v>
      </c>
      <c r="CZ16" s="32">
        <f t="shared" si="106"/>
        <v>642.98418323481144</v>
      </c>
      <c r="DA16" s="32">
        <f t="shared" si="106"/>
        <v>661.60716312641784</v>
      </c>
      <c r="DB16" s="32">
        <f t="shared" si="106"/>
        <v>665.93697550509364</v>
      </c>
      <c r="DE16" s="124"/>
      <c r="DF16" s="31">
        <v>400.33643563603903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>
        <f t="shared" si="107"/>
        <v>1</v>
      </c>
      <c r="P17" s="41">
        <f t="shared" si="107"/>
        <v>1</v>
      </c>
      <c r="Q17" s="41">
        <f t="shared" si="107"/>
        <v>1</v>
      </c>
      <c r="R17" s="41">
        <f t="shared" si="107"/>
        <v>1</v>
      </c>
      <c r="S17" s="41">
        <f t="shared" si="107"/>
        <v>1</v>
      </c>
      <c r="T17" s="41">
        <f t="shared" si="107"/>
        <v>1</v>
      </c>
      <c r="U17" s="41">
        <f t="shared" si="107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1</v>
      </c>
      <c r="Z17" s="41">
        <f>Z16/Z10</f>
        <v>1</v>
      </c>
      <c r="AA17" s="41">
        <f>AA16/AA10</f>
        <v>1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>
        <f t="shared" si="114"/>
        <v>1</v>
      </c>
      <c r="BH17" s="41">
        <f t="shared" si="114"/>
        <v>1</v>
      </c>
      <c r="BI17" s="41">
        <f t="shared" si="114"/>
        <v>1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0.99955476402493326</v>
      </c>
      <c r="BX17" s="41">
        <f t="shared" si="114"/>
        <v>0.99958437240232756</v>
      </c>
      <c r="BY17" s="41">
        <f t="shared" si="114"/>
        <v>0.99960222752585526</v>
      </c>
      <c r="BZ17" s="41">
        <f t="shared" si="114"/>
        <v>1.0011160714285714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>
        <f t="shared" si="120"/>
        <v>0.29705997185941491</v>
      </c>
      <c r="Q18" s="39">
        <f t="shared" si="120"/>
        <v>0.39575287382434454</v>
      </c>
      <c r="R18" s="39">
        <f t="shared" si="120"/>
        <v>0.29301778615113538</v>
      </c>
      <c r="S18" s="39">
        <f t="shared" si="120"/>
        <v>0.29186846800917676</v>
      </c>
      <c r="T18" s="39">
        <f t="shared" si="120"/>
        <v>0.2360709170101436</v>
      </c>
      <c r="U18" s="39">
        <f t="shared" si="120"/>
        <v>0.25903152633829785</v>
      </c>
      <c r="V18" s="39">
        <f t="shared" si="120"/>
        <v>4.8067320545852388E-2</v>
      </c>
      <c r="W18" s="39">
        <f t="shared" si="120"/>
        <v>0.12534014773837221</v>
      </c>
      <c r="X18" s="39">
        <f t="shared" si="120"/>
        <v>0.30778847621385963</v>
      </c>
      <c r="Y18" s="39">
        <f t="shared" si="120"/>
        <v>0.2145080317719017</v>
      </c>
      <c r="Z18" s="39">
        <f t="shared" si="120"/>
        <v>0.16007102421090003</v>
      </c>
      <c r="AA18" s="39">
        <f t="shared" si="120"/>
        <v>0.13015362186893142</v>
      </c>
      <c r="AB18" s="40">
        <f t="shared" si="120"/>
        <v>0.13210332757582433</v>
      </c>
      <c r="AC18" s="40">
        <f t="shared" si="120"/>
        <v>0.13259247430146148</v>
      </c>
      <c r="AD18" s="40">
        <f t="shared" si="120"/>
        <v>0.13267808800136605</v>
      </c>
      <c r="AE18" s="40">
        <f t="shared" si="120"/>
        <v>0.13269159397380093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>
        <f t="shared" ref="BK18" si="144">+IF(BG16&lt;0,1-BK16/BG16,BK16/BG16-1)</f>
        <v>0.30008826125331001</v>
      </c>
      <c r="BL18" s="39">
        <f t="shared" ref="BL18" si="145">+IF(BH16&lt;0,1-BL16/BH16,BL16/BH16-1)</f>
        <v>0.27836734693877552</v>
      </c>
      <c r="BM18" s="39">
        <f t="shared" ref="BM18" si="146">+IF(BI16&lt;0,1-BM16/BI16,BM16/BI16-1)</f>
        <v>0.23428143712574867</v>
      </c>
      <c r="BN18" s="39">
        <f t="shared" ref="BN18" si="147">+IF(BJ16&lt;0,1-BN16/BJ16,BN16/BJ16-1)</f>
        <v>0.23260869565217379</v>
      </c>
      <c r="BO18" s="39">
        <f t="shared" ref="BO18" si="148">+IF(BK16&lt;0,1-BO16/BK16,BO16/BK16-1)</f>
        <v>3.9375424304141093E-2</v>
      </c>
      <c r="BP18" s="39">
        <f t="shared" ref="BP18" si="149">+IF(BL16&lt;0,1-BP16/BL16,BP16/BL16-1)</f>
        <v>4.2145593869731712E-2</v>
      </c>
      <c r="BQ18" s="39">
        <f t="shared" ref="BQ18" si="150">+IF(BM16&lt;0,1-BQ16/BM16,BQ16/BM16-1)</f>
        <v>5.2759248029108585E-2</v>
      </c>
      <c r="BR18" s="39">
        <f t="shared" ref="BR18" si="151">+IF(BN16&lt;0,1-BR16/BN16,BR16/BN16-1)</f>
        <v>5.6437389770723101E-2</v>
      </c>
      <c r="BS18" s="39">
        <f t="shared" ref="BS18" si="152">+IF(BO16&lt;0,1-BS16/BO16,BS16/BO16-1)</f>
        <v>0.18615284128020892</v>
      </c>
      <c r="BT18" s="39">
        <f t="shared" ref="BT18" si="153">+IF(BP16&lt;0,1-BT16/BP16,BT16/BP16-1)</f>
        <v>0.11764705882352944</v>
      </c>
      <c r="BU18" s="39">
        <f t="shared" ref="BU18" si="154">+IF(BQ16&lt;0,1-BU16/BQ16,BU16/BQ16-1)</f>
        <v>8.3525345622119884E-2</v>
      </c>
      <c r="BV18" s="39">
        <f t="shared" ref="BV18" si="155">+IF(BR16&lt;0,1-BV16/BR16,BV16/BR16-1)</f>
        <v>0.12075681691708406</v>
      </c>
      <c r="BW18" s="39">
        <f t="shared" ref="BW18" si="156">+IF(BS16&lt;0,1-BW16/BS16,BW16/BS16-1)</f>
        <v>0.2362334801762116</v>
      </c>
      <c r="BX18" s="39">
        <f t="shared" ref="BX18" si="157">+IF(BT16&lt;0,1-BX16/BT16,BX16/BT16-1)</f>
        <v>0.31853070175438591</v>
      </c>
      <c r="BY18" s="39">
        <f t="shared" ref="BY18" si="158">+IF(BU16&lt;0,1-BY16/BU16,BY16/BU16-1)</f>
        <v>0.33599149388623073</v>
      </c>
      <c r="BZ18" s="39">
        <f t="shared" ref="BZ18" si="159">+IF(BV16&lt;0,1-BZ16/BV16,BZ16/BV16-1)</f>
        <v>0.33614697120158898</v>
      </c>
      <c r="CA18" s="39">
        <f t="shared" ref="CA18" si="160">+IF(BW16&lt;0,1-CA16/BW16,CA16/BW16-1)</f>
        <v>0.2565701559020046</v>
      </c>
      <c r="CB18" s="39">
        <f t="shared" ref="CB18" si="161">+IF(BX16&lt;0,1-CB16/BX16,CB16/BX16-1)</f>
        <v>0.22536382536382527</v>
      </c>
      <c r="CC18" s="39">
        <f t="shared" ref="CC18" si="162">+IF(BY16&lt;0,1-CC16/BY16,CC16/BY16-1)</f>
        <v>0.21488261042578594</v>
      </c>
      <c r="CD18" s="39">
        <f t="shared" ref="CD18" si="163">+IF(BZ16&lt;0,1-CD16/BZ16,CD16/BZ16-1)</f>
        <v>0.16945373467112579</v>
      </c>
      <c r="CE18" s="39">
        <f t="shared" ref="CE18" si="164">+IF(CA16&lt;0,1-CE16/CA16,CE16/CA16-1)</f>
        <v>0.17440623892236795</v>
      </c>
      <c r="CF18" s="39">
        <f t="shared" ref="CF18" si="165">+IF(CB16&lt;0,1-CF16/CB16,CF16/CB16-1)</f>
        <v>0.17984390906006098</v>
      </c>
      <c r="CG18" s="39">
        <f t="shared" ref="CG18" si="166">+IF(CC16&lt;0,1-CG16/CC16,CG16/CC16-1)</f>
        <v>0.16049787094660983</v>
      </c>
      <c r="CH18" s="39">
        <f t="shared" ref="CH18:CL18" si="167">+IF(CD16&lt;0,1-CH16/CD16,CH16/CD16-1)</f>
        <v>0.12837623133142695</v>
      </c>
      <c r="CI18" s="39">
        <f t="shared" si="167"/>
        <v>0.12315122245698773</v>
      </c>
      <c r="CJ18" s="39">
        <f t="shared" si="167"/>
        <v>0.12453264308311773</v>
      </c>
      <c r="CK18" s="39">
        <f t="shared" si="167"/>
        <v>0.1335026813434943</v>
      </c>
      <c r="CL18" s="39">
        <f t="shared" si="167"/>
        <v>0.1385525204167839</v>
      </c>
      <c r="CM18" s="40">
        <f t="shared" ref="CM18" si="168">+CM16/CI16-1</f>
        <v>0.12993476682509586</v>
      </c>
      <c r="CN18" s="40">
        <f t="shared" ref="CN18" si="169">+CN16/CJ16-1</f>
        <v>0.13163065291712295</v>
      </c>
      <c r="CO18" s="40">
        <f t="shared" ref="CO18" si="170">+CO16/CK16-1</f>
        <v>0.13340515537562436</v>
      </c>
      <c r="CP18" s="40">
        <f t="shared" ref="CP18" si="171">+CP16/CL16-1</f>
        <v>0.13338077388365677</v>
      </c>
      <c r="CQ18" s="40">
        <f t="shared" ref="CQ18" si="172">+CQ16/CM16-1</f>
        <v>0.13208783725037487</v>
      </c>
      <c r="CR18" s="40">
        <f t="shared" ref="CR18" si="173">+CR16/CN16-1</f>
        <v>0.13262610485669479</v>
      </c>
      <c r="CS18" s="40">
        <f t="shared" ref="CS18" si="174">+CS16/CO16-1</f>
        <v>0.1328749678415877</v>
      </c>
      <c r="CT18" s="40">
        <f t="shared" ref="CT18" si="175">+CT16/CP16-1</f>
        <v>0.13274242095807853</v>
      </c>
      <c r="CU18" s="40">
        <f t="shared" ref="CU18" si="176">+CU16/CQ16-1</f>
        <v>0.13258283272668403</v>
      </c>
      <c r="CV18" s="40">
        <f t="shared" ref="CV18" si="177">+CV16/CR16-1</f>
        <v>0.1327065815957611</v>
      </c>
      <c r="CW18" s="40">
        <f t="shared" ref="CW18" si="178">+CW16/CS16-1</f>
        <v>0.13272670078052795</v>
      </c>
      <c r="CX18" s="40">
        <f t="shared" ref="CX18" si="179">+CX16/CT16-1</f>
        <v>0.13268963401526279</v>
      </c>
      <c r="CY18" s="40">
        <f t="shared" ref="CY18" si="180">+CY16/CU16-1</f>
        <v>0.13267643727955902</v>
      </c>
      <c r="CZ18" s="40">
        <f t="shared" ref="CZ18" si="181">+CZ16/CV16-1</f>
        <v>0.13269983841777777</v>
      </c>
      <c r="DA18" s="40">
        <f t="shared" ref="DA18" si="182">+DA16/CW16-1</f>
        <v>0.132698152623282</v>
      </c>
      <c r="DB18" s="40">
        <f t="shared" ref="DB18" si="183">+DB16/CX16-1</f>
        <v>0.13269101558397045</v>
      </c>
      <c r="DE18" s="122"/>
      <c r="DF18" s="39">
        <v>0.12739069455375662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>
        <f t="shared" ref="BH19" si="207">+IF(BG16&lt;0,1-BH16/BG16,BH16/BG16-1)</f>
        <v>8.1200353045013163E-2</v>
      </c>
      <c r="BI19" s="39">
        <f t="shared" ref="BI19" si="208">+IF(BH16&lt;0,1-BI16/BH16,BI16/BH16-1)</f>
        <v>9.061224489795916E-2</v>
      </c>
      <c r="BJ19" s="39">
        <f t="shared" ref="BJ19" si="209">+IF(BI16&lt;0,1-BJ16/BI16,BJ16/BI16-1)</f>
        <v>3.2934131736527039E-2</v>
      </c>
      <c r="BK19" s="39">
        <f t="shared" ref="BK19" si="210">+IF(BJ16&lt;0,1-BK16/BJ16,BK16/BJ16-1)</f>
        <v>6.7391304347826253E-2</v>
      </c>
      <c r="BL19" s="39">
        <f t="shared" ref="BL19" si="211">+IF(BK16&lt;0,1-BL16/BK16,BL16/BK16-1)</f>
        <v>6.3136456211812408E-2</v>
      </c>
      <c r="BM19" s="39">
        <f t="shared" ref="BM19" si="212">+IF(BL16&lt;0,1-BM16/BL16,BM16/BL16-1)</f>
        <v>5.3001277139208325E-2</v>
      </c>
      <c r="BN19" s="39">
        <f t="shared" ref="BN19" si="213">+IF(BM16&lt;0,1-BN16/BM16,BN16/BM16-1)</f>
        <v>3.1534263189811895E-2</v>
      </c>
      <c r="BO19" s="39">
        <f t="shared" ref="BO19" si="214">+IF(BN16&lt;0,1-BO16/BN16,BO16/BN16-1)</f>
        <v>-9.9941211052322121E-2</v>
      </c>
      <c r="BP19" s="39">
        <f t="shared" ref="BP19" si="215">+IF(BO16&lt;0,1-BP16/BO16,BP16/BO16-1)</f>
        <v>6.5969954278249476E-2</v>
      </c>
      <c r="BQ19" s="39">
        <f t="shared" ref="BQ19" si="216">+IF(BP16&lt;0,1-BQ16/BP16,BQ16/BP16-1)</f>
        <v>6.3725490196078427E-2</v>
      </c>
      <c r="BR19" s="39">
        <f t="shared" ref="BR19" si="217">+IF(BQ16&lt;0,1-BR16/BQ16,BR16/BQ16-1)</f>
        <v>3.5138248847926157E-2</v>
      </c>
      <c r="BS19" s="39">
        <f t="shared" ref="BS19" si="218">+IF(BR16&lt;0,1-BS16/BR16,BS16/BR16-1)</f>
        <v>1.057317751808573E-2</v>
      </c>
      <c r="BT19" s="39">
        <f t="shared" ref="BT19" si="219">+IF(BS16&lt;0,1-BT16/BS16,BT16/BS16-1)</f>
        <v>4.405286343612369E-3</v>
      </c>
      <c r="BU19" s="39">
        <f t="shared" ref="BU19" si="220">+IF(BT16&lt;0,1-BU16/BT16,BU16/BT16-1)</f>
        <v>3.125E-2</v>
      </c>
      <c r="BV19" s="39">
        <f t="shared" ref="BV19" si="221">+IF(BU16&lt;0,1-BV16/BU16,BV16/BU16-1)</f>
        <v>7.0707070707070718E-2</v>
      </c>
      <c r="BW19" s="39">
        <f t="shared" ref="BW19" si="222">+IF(BV16&lt;0,1-BW16/BV16,BW16/BV16-1)</f>
        <v>0.11469712015888778</v>
      </c>
      <c r="BX19" s="39">
        <f t="shared" ref="BX19" si="223">+IF(BW16&lt;0,1-BX16/BW16,BX16/BW16-1)</f>
        <v>7.1269487750556859E-2</v>
      </c>
      <c r="BY19" s="39">
        <f t="shared" ref="BY19" si="224">+IF(BX16&lt;0,1-BY16/BX16,BY16/BX16-1)</f>
        <v>4.4906444906444909E-2</v>
      </c>
      <c r="BZ19" s="39">
        <f t="shared" ref="BZ19" si="225">+IF(BY16&lt;0,1-BZ16/BY16,BZ16/BY16-1)</f>
        <v>7.0831675288499873E-2</v>
      </c>
      <c r="CA19" s="39">
        <f t="shared" ref="CA19" si="226">+IF(BZ16&lt;0,1-CA16/BZ16,CA16/BZ16-1)</f>
        <v>4.8309178743961345E-2</v>
      </c>
      <c r="CB19" s="39">
        <f t="shared" ref="CB19" si="227">+IF(CA16&lt;0,1-CB16/CA16,CB16/CA16-1)</f>
        <v>4.4665012406947868E-2</v>
      </c>
      <c r="CC19" s="39">
        <f t="shared" ref="CC19" si="228">+IF(CB16&lt;0,1-CC16/CB16,CC16/CB16-1)</f>
        <v>3.596878181201224E-2</v>
      </c>
      <c r="CD19" s="39">
        <f t="shared" ref="CD19" si="229">+IF(CC16&lt;0,1-CD16/CC16,CD16/CC16-1)</f>
        <v>3.0789387487716979E-2</v>
      </c>
      <c r="CE19" s="39">
        <f t="shared" ref="CE19" si="230">+IF(CD16&lt;0,1-CE16/CD16,CE16/CD16-1)</f>
        <v>5.2748649507467604E-2</v>
      </c>
      <c r="CF19" s="39">
        <f t="shared" ref="CF19" si="231">+IF(CE16&lt;0,1-CF16/CE16,CF16/CE16-1)</f>
        <v>4.9501961968004826E-2</v>
      </c>
      <c r="CG19" s="39">
        <f t="shared" ref="CG19" si="232">+IF(CF16&lt;0,1-CG16/CF16,CG16/CF16-1)</f>
        <v>1.8981880931837836E-2</v>
      </c>
      <c r="CH19" s="39">
        <f t="shared" ref="CH19:CL19" si="233">+IF(CG16&lt;0,1-CH16/CG16,CH16/CG16-1)</f>
        <v>2.2579734688117359E-3</v>
      </c>
      <c r="CI19" s="39">
        <f t="shared" si="233"/>
        <v>4.7873838355392939E-2</v>
      </c>
      <c r="CJ19" s="39">
        <f t="shared" si="233"/>
        <v>5.0792797635044185E-2</v>
      </c>
      <c r="CK19" s="39">
        <f t="shared" si="233"/>
        <v>2.710997442455243E-2</v>
      </c>
      <c r="CL19" s="39">
        <f t="shared" si="233"/>
        <v>6.7231075697211651E-3</v>
      </c>
      <c r="CM19" s="40">
        <f t="shared" ref="CM19" si="234">+CM16/CL16-1</f>
        <v>3.9942435655746289E-2</v>
      </c>
      <c r="CN19" s="40">
        <f t="shared" ref="CN19" si="235">+CN16/CM16-1</f>
        <v>5.2369901856838208E-2</v>
      </c>
      <c r="CO19" s="40">
        <f t="shared" ref="CO19" si="236">+CO16/CN16-1</f>
        <v>2.8720578706143307E-2</v>
      </c>
      <c r="CP19" s="40">
        <f t="shared" ref="CP19" si="237">+CP16/CO16-1</f>
        <v>6.7014512262288939E-3</v>
      </c>
      <c r="CQ19" s="40">
        <f t="shared" ref="CQ19" si="238">+CQ16/CP16-1</f>
        <v>3.8756091487443189E-2</v>
      </c>
      <c r="CR19" s="40">
        <f t="shared" ref="CR19" si="239">+CR16/CQ16-1</f>
        <v>5.2870266412835099E-2</v>
      </c>
      <c r="CS19" s="40">
        <f t="shared" ref="CS19" si="240">+CS16/CR16-1</f>
        <v>2.8946611350755491E-2</v>
      </c>
      <c r="CT19" s="40">
        <f t="shared" ref="CT19" si="241">+CT16/CS16-1</f>
        <v>6.5836667012177941E-3</v>
      </c>
      <c r="CU19" s="40">
        <f t="shared" ref="CU19" si="242">+CU16/CT16-1</f>
        <v>3.8609744670705659E-2</v>
      </c>
      <c r="CV19" s="40">
        <f t="shared" ref="CV19" si="243">+CV16/CU16-1</f>
        <v>5.2985305685009143E-2</v>
      </c>
      <c r="CW19" s="40">
        <f t="shared" ref="CW19" si="244">+CW16/CV16-1</f>
        <v>2.8964887546307994E-2</v>
      </c>
      <c r="CX19" s="40">
        <f t="shared" ref="CX19" si="245">+CX16/CW16-1</f>
        <v>6.5507277756431392E-3</v>
      </c>
      <c r="CY19" s="40">
        <f t="shared" ref="CY19" si="246">+CY16/CX16-1</f>
        <v>3.859764404058752E-2</v>
      </c>
      <c r="CZ19" s="40">
        <f t="shared" ref="CZ19" si="247">+CZ16/CY16-1</f>
        <v>5.3007060401422113E-2</v>
      </c>
      <c r="DA19" s="40">
        <f t="shared" ref="DA19" si="248">+DA16/CZ16-1</f>
        <v>2.8963356140294882E-2</v>
      </c>
      <c r="DB19" s="40">
        <f t="shared" ref="DB19" si="249">+DB16/DA16-1</f>
        <v>6.5443855810376483E-3</v>
      </c>
      <c r="DE19" s="122"/>
      <c r="DF19" s="39">
        <v>-3.1463256074726331E-3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93.896000000000001</v>
      </c>
      <c r="P20" s="23">
        <f>'Annual Raw'!Q14</f>
        <v>119.009</v>
      </c>
      <c r="Q20" s="23">
        <f>'Annual Raw'!R14</f>
        <v>181.922</v>
      </c>
      <c r="R20" s="23">
        <f>'Annual Raw'!S14</f>
        <v>209.67400000000001</v>
      </c>
      <c r="S20" s="23">
        <f>'Annual Raw'!T14</f>
        <v>194.857</v>
      </c>
      <c r="T20" s="23">
        <f>'Annual Raw'!U14</f>
        <v>229.983</v>
      </c>
      <c r="U20" s="23">
        <f>'Annual Raw'!V14</f>
        <v>266.66899999999998</v>
      </c>
      <c r="V20" s="23">
        <f>'Annual Raw'!W14</f>
        <v>205.21299999999999</v>
      </c>
      <c r="W20" s="23">
        <f>'Annual Raw'!X14</f>
        <v>267.55200000000002</v>
      </c>
      <c r="X20" s="23">
        <f>'Annual Raw'!Y14</f>
        <v>424.73500000000001</v>
      </c>
      <c r="Y20" s="23">
        <f>'Annual Raw'!Z14</f>
        <v>544.072</v>
      </c>
      <c r="Z20" s="23">
        <f>'Annual Raw'!AA14</f>
        <v>600.98599999999999</v>
      </c>
      <c r="AA20" s="23">
        <f>'Annual Raw'!AB14</f>
        <v>692.82500000000005</v>
      </c>
      <c r="AB20" s="76">
        <f t="shared" ref="AB20:AB25" si="250">+SUM(CM20:CP20)</f>
        <v>741.29600000000005</v>
      </c>
      <c r="AC20" s="76">
        <f t="shared" ref="AC20:AC25" si="251">+SUM(CQ20:CT20)</f>
        <v>793.18672000000015</v>
      </c>
      <c r="AD20" s="76">
        <f t="shared" ref="AD20:AD25" si="252">+SUM(CU20:CX20)</f>
        <v>848.7097904000002</v>
      </c>
      <c r="AE20" s="76">
        <f t="shared" ref="AE20:AE25" si="253">+SUM(CY20:DB20)</f>
        <v>908.11947572800022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53.2</v>
      </c>
      <c r="BH20" s="23">
        <f>'QTR Raw'!AB16</f>
        <v>51.2</v>
      </c>
      <c r="BI20" s="23">
        <f>'QTR Raw'!AC16</f>
        <v>57.5</v>
      </c>
      <c r="BJ20" s="23">
        <f>'QTR Raw'!AD16</f>
        <v>68.099999999999994</v>
      </c>
      <c r="BK20" s="23">
        <f>'QTR Raw'!AE16</f>
        <v>60.7</v>
      </c>
      <c r="BL20" s="23">
        <f>'QTR Raw'!AF16</f>
        <v>68.8</v>
      </c>
      <c r="BM20" s="23">
        <f>'QTR Raw'!AG16</f>
        <v>70.8</v>
      </c>
      <c r="BN20" s="23">
        <f>'QTR Raw'!AH16</f>
        <v>66.400000000000006</v>
      </c>
      <c r="BO20" s="23">
        <f>'QTR Raw'!AI16</f>
        <v>47.5</v>
      </c>
      <c r="BP20" s="23">
        <f>'QTR Raw'!AJ16</f>
        <v>48.9</v>
      </c>
      <c r="BQ20" s="23">
        <f>'QTR Raw'!AK16</f>
        <v>51.7</v>
      </c>
      <c r="BR20" s="23">
        <f>'QTR Raw'!AL16</f>
        <v>57.1</v>
      </c>
      <c r="BS20" s="23">
        <f>'QTR Raw'!AM16</f>
        <v>55.1</v>
      </c>
      <c r="BT20" s="23">
        <f>'QTR Raw'!AN16</f>
        <v>60.3</v>
      </c>
      <c r="BU20" s="23">
        <f>'QTR Raw'!AO16</f>
        <v>64.8</v>
      </c>
      <c r="BV20" s="23">
        <f>'QTR Raw'!AP16</f>
        <v>87.4</v>
      </c>
      <c r="BW20" s="23">
        <f>'QTR Raw'!AQ16</f>
        <v>92.5</v>
      </c>
      <c r="BX20" s="23">
        <f>'QTR Raw'!AR16</f>
        <v>100.5</v>
      </c>
      <c r="BY20" s="23">
        <f>'QTR Raw'!AS16</f>
        <v>108.3</v>
      </c>
      <c r="BZ20" s="23">
        <f>'QTR Raw'!AT16</f>
        <v>123.5</v>
      </c>
      <c r="CA20" s="23">
        <f>'QTR Raw'!AU16</f>
        <v>124.3</v>
      </c>
      <c r="CB20" s="23">
        <f>'QTR Raw'!AV16</f>
        <v>132.4</v>
      </c>
      <c r="CC20" s="23">
        <f>'QTR Raw'!AW16</f>
        <v>138.5</v>
      </c>
      <c r="CD20" s="23">
        <f>'QTR Raw'!AX16</f>
        <v>148.9</v>
      </c>
      <c r="CE20" s="23">
        <f>'QTR Raw'!AY16</f>
        <v>143.19999999999999</v>
      </c>
      <c r="CF20" s="23">
        <f>'QTR Raw'!AZ16</f>
        <v>147.4</v>
      </c>
      <c r="CG20" s="23">
        <f>'QTR Raw'!BA16</f>
        <v>153</v>
      </c>
      <c r="CH20" s="23">
        <f>'QTR Raw'!BB16</f>
        <v>157.4</v>
      </c>
      <c r="CI20" s="23">
        <f>'QTR Raw'!BC16</f>
        <v>161</v>
      </c>
      <c r="CJ20" s="23">
        <f>'QTR Raw'!BD16</f>
        <v>171.5</v>
      </c>
      <c r="CK20" s="23">
        <f>'QTR Raw'!BE16</f>
        <v>182.3</v>
      </c>
      <c r="CL20" s="23">
        <f>'QTR Raw'!BF16</f>
        <v>178</v>
      </c>
      <c r="CM20" s="24">
        <f t="shared" ref="CM20:DB20" si="254">CI20*107%</f>
        <v>172.27</v>
      </c>
      <c r="CN20" s="24">
        <f t="shared" si="254"/>
        <v>183.50500000000002</v>
      </c>
      <c r="CO20" s="24">
        <f t="shared" si="254"/>
        <v>195.06100000000004</v>
      </c>
      <c r="CP20" s="24">
        <f t="shared" si="254"/>
        <v>190.46</v>
      </c>
      <c r="CQ20" s="24">
        <f t="shared" si="254"/>
        <v>184.32890000000003</v>
      </c>
      <c r="CR20" s="24">
        <f t="shared" si="254"/>
        <v>196.35035000000005</v>
      </c>
      <c r="CS20" s="24">
        <f t="shared" si="254"/>
        <v>208.71527000000006</v>
      </c>
      <c r="CT20" s="24">
        <f t="shared" si="254"/>
        <v>203.79220000000001</v>
      </c>
      <c r="CU20" s="24">
        <f t="shared" si="254"/>
        <v>197.23192300000005</v>
      </c>
      <c r="CV20" s="24">
        <f t="shared" si="254"/>
        <v>210.09487450000006</v>
      </c>
      <c r="CW20" s="24">
        <f t="shared" si="254"/>
        <v>223.32533890000008</v>
      </c>
      <c r="CX20" s="24">
        <f t="shared" si="254"/>
        <v>218.05765400000001</v>
      </c>
      <c r="CY20" s="24">
        <f t="shared" si="254"/>
        <v>211.03815761000007</v>
      </c>
      <c r="CZ20" s="24">
        <f t="shared" si="254"/>
        <v>224.80151571500008</v>
      </c>
      <c r="DA20" s="24">
        <f t="shared" si="254"/>
        <v>238.95811262300009</v>
      </c>
      <c r="DB20" s="24">
        <f t="shared" si="254"/>
        <v>233.32168978000001</v>
      </c>
      <c r="DE20" s="123"/>
      <c r="DF20" s="23">
        <v>168.41800000000001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26.695</v>
      </c>
      <c r="P21" s="23">
        <f>'Annual Raw'!Q17</f>
        <v>40.276000000000003</v>
      </c>
      <c r="Q21" s="23">
        <f>'Annual Raw'!R17</f>
        <v>73.391999999999996</v>
      </c>
      <c r="R21" s="23">
        <f>'Annual Raw'!S17</f>
        <v>76.546999999999997</v>
      </c>
      <c r="S21" s="23">
        <f>'Annual Raw'!T17</f>
        <v>85.043000000000006</v>
      </c>
      <c r="T21" s="23">
        <f>'Annual Raw'!U17</f>
        <v>98.126999999999995</v>
      </c>
      <c r="U21" s="23">
        <f>'Annual Raw'!V17</f>
        <v>90.707999999999998</v>
      </c>
      <c r="V21" s="23">
        <f>'Annual Raw'!W17</f>
        <v>66.753</v>
      </c>
      <c r="W21" s="23">
        <f>'Annual Raw'!X17</f>
        <v>77.882999999999996</v>
      </c>
      <c r="X21" s="23">
        <f>'Annual Raw'!Y17</f>
        <v>114.386</v>
      </c>
      <c r="Y21" s="23">
        <f>'Annual Raw'!Z17</f>
        <v>130.76400000000001</v>
      </c>
      <c r="Z21" s="23">
        <f>'Annual Raw'!AA17</f>
        <v>129.952</v>
      </c>
      <c r="AA21" s="23">
        <f>'Annual Raw'!AB17</f>
        <v>184.73400000000001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0.45200000000000001</v>
      </c>
      <c r="P22" s="23">
        <f>'Annual Raw'!Q19-'Annual Raw'!Q20</f>
        <v>5.8999999999999997E-2</v>
      </c>
      <c r="Q22" s="23">
        <f>'Annual Raw'!R19-'Annual Raw'!R20</f>
        <v>7.1539999999999999</v>
      </c>
      <c r="R22" s="23">
        <f>'Annual Raw'!S19-'Annual Raw'!S20</f>
        <v>19.995000000000001</v>
      </c>
      <c r="S22" s="23">
        <f>'Annual Raw'!T19-'Annual Raw'!T20</f>
        <v>122.94199999999999</v>
      </c>
      <c r="T22" s="23">
        <f>'Annual Raw'!U19-'Annual Raw'!U20</f>
        <v>65.659000000000006</v>
      </c>
      <c r="U22" s="23">
        <f>'Annual Raw'!V19-'Annual Raw'!V20</f>
        <v>0.45</v>
      </c>
      <c r="V22" s="23">
        <f>'Annual Raw'!W19-'Annual Raw'!W20</f>
        <v>1.532</v>
      </c>
      <c r="W22" s="23">
        <f>'Annual Raw'!X19-'Annual Raw'!X20</f>
        <v>3.9569999999999999</v>
      </c>
      <c r="X22" s="23">
        <f>'Annual Raw'!Y19-'Annual Raw'!Y20</f>
        <v>6.4429999999999996</v>
      </c>
      <c r="Y22" s="23">
        <f>'Annual Raw'!Z19-'Annual Raw'!Z20</f>
        <v>6.9630000000000001</v>
      </c>
      <c r="Z22" s="23">
        <f>'Annual Raw'!AA19-'Annual Raw'!AA20</f>
        <v>8.9169999999999998</v>
      </c>
      <c r="AA22" s="23">
        <f>'Annual Raw'!AB19-'Annual Raw'!AB20</f>
        <v>9.2080000000000002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65.3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17.704000000000001</v>
      </c>
      <c r="P23" s="23">
        <f>'Annual Raw'!Q15+'Annual Raw'!Q16</f>
        <v>28.13</v>
      </c>
      <c r="Q23" s="23">
        <f>'Annual Raw'!R15+'Annual Raw'!R16</f>
        <v>52.106999999999999</v>
      </c>
      <c r="R23" s="23">
        <f>'Annual Raw'!S15+'Annual Raw'!S16</f>
        <v>57.94</v>
      </c>
      <c r="S23" s="23">
        <f>'Annual Raw'!T15+'Annual Raw'!T16</f>
        <v>77.887</v>
      </c>
      <c r="T23" s="23">
        <f>'Annual Raw'!U15+'Annual Raw'!U16</f>
        <v>91.548000000000002</v>
      </c>
      <c r="U23" s="23">
        <f>'Annual Raw'!V15+'Annual Raw'!V16</f>
        <v>107.08799999999999</v>
      </c>
      <c r="V23" s="23">
        <f>'Annual Raw'!W15+'Annual Raw'!W16</f>
        <v>66.423000000000002</v>
      </c>
      <c r="W23" s="23">
        <f>'Annual Raw'!X15+'Annual Raw'!X16</f>
        <v>94.536000000000001</v>
      </c>
      <c r="X23" s="23">
        <f>'Annual Raw'!Y15+'Annual Raw'!Y16</f>
        <v>166.505</v>
      </c>
      <c r="Y23" s="23">
        <f>'Annual Raw'!Z15+'Annual Raw'!Z16</f>
        <v>177.41399999999999</v>
      </c>
      <c r="Z23" s="23">
        <f>'Annual Raw'!AA15+'Annual Raw'!AA16</f>
        <v>116.024</v>
      </c>
      <c r="AA23" s="23">
        <f>'Annual Raw'!AB15+'Annual Raw'!AB16</f>
        <v>114.142</v>
      </c>
      <c r="AB23" s="76">
        <f t="shared" si="250"/>
        <v>441.13925549617034</v>
      </c>
      <c r="AC23" s="76">
        <f t="shared" si="251"/>
        <v>547.19019632525271</v>
      </c>
      <c r="AD23" s="76">
        <f t="shared" si="252"/>
        <v>669.70205508967922</v>
      </c>
      <c r="AE23" s="76">
        <f t="shared" si="253"/>
        <v>811.80121638679088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48</v>
      </c>
      <c r="BH23" s="23">
        <f>'QTR Raw'!AB14</f>
        <v>48.8</v>
      </c>
      <c r="BI23" s="23">
        <f>'QTR Raw'!AC14</f>
        <v>48.6</v>
      </c>
      <c r="BJ23" s="23">
        <f>'QTR Raw'!AD14</f>
        <v>49.8</v>
      </c>
      <c r="BK23" s="23">
        <f>'QTR Raw'!AE14</f>
        <v>49.9</v>
      </c>
      <c r="BL23" s="23">
        <f>'QTR Raw'!AF14</f>
        <v>51.5</v>
      </c>
      <c r="BM23" s="23">
        <f>'QTR Raw'!AG14</f>
        <v>50.5</v>
      </c>
      <c r="BN23" s="23">
        <f>'QTR Raw'!AH14</f>
        <v>51.4</v>
      </c>
      <c r="BO23" s="23">
        <f>'QTR Raw'!AI14</f>
        <v>32.299999999999997</v>
      </c>
      <c r="BP23" s="23">
        <f>'QTR Raw'!AJ14</f>
        <v>32.6</v>
      </c>
      <c r="BQ23" s="23">
        <f>'QTR Raw'!AK14</f>
        <v>34.1</v>
      </c>
      <c r="BR23" s="23">
        <f>'QTR Raw'!AL14</f>
        <v>37.200000000000003</v>
      </c>
      <c r="BS23" s="23">
        <f>'QTR Raw'!AM14</f>
        <v>37.9</v>
      </c>
      <c r="BT23" s="23">
        <f>'QTR Raw'!AN14</f>
        <v>38.9</v>
      </c>
      <c r="BU23" s="23">
        <f>'QTR Raw'!AO14</f>
        <v>44.5</v>
      </c>
      <c r="BV23" s="23">
        <f>'QTR Raw'!AP14</f>
        <v>56.8</v>
      </c>
      <c r="BW23" s="23">
        <f>'QTR Raw'!AQ14</f>
        <v>67.8</v>
      </c>
      <c r="BX23" s="23">
        <f>'QTR Raw'!AR14</f>
        <v>72.8</v>
      </c>
      <c r="BY23" s="23">
        <f>'QTR Raw'!AS14</f>
        <v>72.8</v>
      </c>
      <c r="BZ23" s="23">
        <f>'QTR Raw'!AT14</f>
        <v>79.5</v>
      </c>
      <c r="CA23" s="23">
        <f>'QTR Raw'!AU14</f>
        <v>80.5</v>
      </c>
      <c r="CB23" s="23">
        <f>'QTR Raw'!AV14</f>
        <v>82.3</v>
      </c>
      <c r="CC23" s="23">
        <f>'QTR Raw'!AW14</f>
        <v>81.099999999999994</v>
      </c>
      <c r="CD23" s="23">
        <f>'QTR Raw'!AX14</f>
        <v>77.400000000000006</v>
      </c>
      <c r="CE23" s="23">
        <f>'QTR Raw'!AY14</f>
        <v>68.599999999999994</v>
      </c>
      <c r="CF23" s="23">
        <f>'QTR Raw'!AZ14</f>
        <v>65.7</v>
      </c>
      <c r="CG23" s="23">
        <f>'QTR Raw'!BA14</f>
        <v>63</v>
      </c>
      <c r="CH23" s="23">
        <f>'QTR Raw'!BB14</f>
        <v>67.3</v>
      </c>
      <c r="CI23" s="23">
        <f>'QTR Raw'!BC14</f>
        <v>77.599999999999994</v>
      </c>
      <c r="CJ23" s="23">
        <f>'QTR Raw'!BD14</f>
        <v>89.8</v>
      </c>
      <c r="CK23" s="23">
        <f>'QTR Raw'!BE14</f>
        <v>85.1</v>
      </c>
      <c r="CL23" s="23">
        <f>'QTR Raw'!BF14</f>
        <v>93.7</v>
      </c>
      <c r="CM23" s="24">
        <f t="shared" ref="CM23:DB23" si="255">CM26-CM20-CM21-CM22-CM24-CM25</f>
        <v>106.00128829066827</v>
      </c>
      <c r="CN23" s="24">
        <f t="shared" si="255"/>
        <v>111.62003832381575</v>
      </c>
      <c r="CO23" s="24">
        <f t="shared" si="255"/>
        <v>108.39359434360318</v>
      </c>
      <c r="CP23" s="24">
        <f t="shared" si="255"/>
        <v>115.12433453808316</v>
      </c>
      <c r="CQ23" s="24">
        <f t="shared" si="255"/>
        <v>132.4870637358714</v>
      </c>
      <c r="CR23" s="24">
        <f t="shared" si="255"/>
        <v>137.6865024414825</v>
      </c>
      <c r="CS23" s="24">
        <f t="shared" si="255"/>
        <v>134.93178924981876</v>
      </c>
      <c r="CT23" s="24">
        <f t="shared" si="255"/>
        <v>142.0848408980801</v>
      </c>
      <c r="CU23" s="24">
        <f t="shared" si="255"/>
        <v>161.92889894449399</v>
      </c>
      <c r="CV23" s="24">
        <f t="shared" si="255"/>
        <v>168.18582883407532</v>
      </c>
      <c r="CW23" s="24">
        <f t="shared" si="255"/>
        <v>165.89034720814266</v>
      </c>
      <c r="CX23" s="24">
        <f t="shared" si="255"/>
        <v>173.69698010296725</v>
      </c>
      <c r="CY23" s="24">
        <f t="shared" si="255"/>
        <v>195.83294502862927</v>
      </c>
      <c r="CZ23" s="24">
        <f t="shared" si="255"/>
        <v>203.65192360355329</v>
      </c>
      <c r="DA23" s="24">
        <f t="shared" si="255"/>
        <v>201.89833179281624</v>
      </c>
      <c r="DB23" s="24">
        <f t="shared" si="255"/>
        <v>210.41801596179207</v>
      </c>
      <c r="DE23" s="123"/>
      <c r="DF23" s="23">
        <v>92.614174222304712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2.1549999999999998</v>
      </c>
      <c r="P24" s="23">
        <f>'Annual Raw'!Q13</f>
        <v>1.92</v>
      </c>
      <c r="Q24" s="23">
        <f>'Annual Raw'!R13</f>
        <v>2.8940000000000001</v>
      </c>
      <c r="R24" s="23">
        <f>'Annual Raw'!S13</f>
        <v>2.9009999999999998</v>
      </c>
      <c r="S24" s="23">
        <f>'Annual Raw'!T13</f>
        <v>2.863</v>
      </c>
      <c r="T24" s="23">
        <f>'Annual Raw'!U13</f>
        <v>2.923</v>
      </c>
      <c r="U24" s="23">
        <f>'Annual Raw'!V13</f>
        <v>2.8780000000000001</v>
      </c>
      <c r="V24" s="23">
        <f>'Annual Raw'!W13</f>
        <v>0.68600000000000005</v>
      </c>
      <c r="W24" s="23">
        <f>'Annual Raw'!X13</f>
        <v>0.77200000000000002</v>
      </c>
      <c r="X24" s="23">
        <f>'Annual Raw'!Y13</f>
        <v>1.581</v>
      </c>
      <c r="Y24" s="23">
        <f>'Annual Raw'!Z13</f>
        <v>1.774</v>
      </c>
      <c r="Z24" s="23">
        <f>'Annual Raw'!AA13</f>
        <v>2.1440000000000001</v>
      </c>
      <c r="AA24" s="23">
        <f>'Annual Raw'!AB13</f>
        <v>2.383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7.4420000000000002</v>
      </c>
      <c r="P25" s="23">
        <f>'Annual Raw'!Q18</f>
        <v>27.006</v>
      </c>
      <c r="Q25" s="23">
        <f>'Annual Raw'!R18</f>
        <v>60.970999999999997</v>
      </c>
      <c r="R25" s="23">
        <f>'Annual Raw'!S18</f>
        <v>24.390999999999998</v>
      </c>
      <c r="S25" s="23">
        <f>'Annual Raw'!T18</f>
        <v>3.1459999999999999</v>
      </c>
      <c r="T25" s="23">
        <f>'Annual Raw'!U18</f>
        <v>2.0990000000000002</v>
      </c>
      <c r="U25" s="23">
        <f>'Annual Raw'!V18</f>
        <v>2.1640000000000001</v>
      </c>
      <c r="V25" s="23">
        <f>'Annual Raw'!W18</f>
        <v>0.79800000000000004</v>
      </c>
      <c r="W25" s="23">
        <f>'Annual Raw'!X18</f>
        <v>0.93899999999999995</v>
      </c>
      <c r="X25" s="23">
        <f>'Annual Raw'!Y18</f>
        <v>3.8660000000000001</v>
      </c>
      <c r="Y25" s="23">
        <f>'Annual Raw'!Z18</f>
        <v>4.43</v>
      </c>
      <c r="Z25" s="23">
        <f>'Annual Raw'!AA18</f>
        <v>7.5289999999999999</v>
      </c>
      <c r="AA25" s="23">
        <f>'Annual Raw'!AB18</f>
        <v>35.709000000000003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</v>
      </c>
      <c r="K26" s="22">
        <f t="shared" si="257"/>
        <v>0</v>
      </c>
      <c r="L26" s="22">
        <f t="shared" si="257"/>
        <v>0</v>
      </c>
      <c r="M26" s="22">
        <f t="shared" si="257"/>
        <v>0</v>
      </c>
      <c r="N26" s="22">
        <f t="shared" si="257"/>
        <v>0</v>
      </c>
      <c r="O26" s="22">
        <f t="shared" si="257"/>
        <v>148.34400000000002</v>
      </c>
      <c r="P26" s="22">
        <f t="shared" si="257"/>
        <v>216.39999999999998</v>
      </c>
      <c r="Q26" s="22">
        <f t="shared" si="257"/>
        <v>378.44000000000005</v>
      </c>
      <c r="R26" s="22">
        <f t="shared" si="257"/>
        <v>391.44800000000004</v>
      </c>
      <c r="S26" s="22">
        <f t="shared" si="257"/>
        <v>486.738</v>
      </c>
      <c r="T26" s="22">
        <f t="shared" si="257"/>
        <v>490.339</v>
      </c>
      <c r="U26" s="22">
        <f t="shared" si="257"/>
        <v>469.95699999999994</v>
      </c>
      <c r="V26" s="22">
        <f t="shared" si="257"/>
        <v>341.40499999999997</v>
      </c>
      <c r="W26" s="22">
        <f t="shared" si="257"/>
        <v>445.63900000000001</v>
      </c>
      <c r="X26" s="22">
        <f t="shared" si="257"/>
        <v>717.51599999999996</v>
      </c>
      <c r="Y26" s="22">
        <f t="shared" si="257"/>
        <v>865.41699999999992</v>
      </c>
      <c r="Z26" s="22">
        <f t="shared" ref="Z26:AA26" si="258">+SUM(Z20:Z25)</f>
        <v>865.55200000000002</v>
      </c>
      <c r="AA26" s="22">
        <f t="shared" si="258"/>
        <v>1039.0010000000002</v>
      </c>
      <c r="AB26" s="21">
        <f t="shared" si="257"/>
        <v>1182.4352554961704</v>
      </c>
      <c r="AC26" s="21">
        <f t="shared" si="257"/>
        <v>1340.3769163252528</v>
      </c>
      <c r="AD26" s="21">
        <f t="shared" si="257"/>
        <v>1518.4118454896793</v>
      </c>
      <c r="AE26" s="21">
        <f t="shared" si="257"/>
        <v>1719.9206921147911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166.5</v>
      </c>
      <c r="BH26" s="22">
        <f t="shared" si="259"/>
        <v>100</v>
      </c>
      <c r="BI26" s="22">
        <f t="shared" si="259"/>
        <v>106.1</v>
      </c>
      <c r="BJ26" s="22">
        <f t="shared" si="259"/>
        <v>117.89999999999999</v>
      </c>
      <c r="BK26" s="22">
        <f t="shared" si="259"/>
        <v>110.6</v>
      </c>
      <c r="BL26" s="22">
        <f t="shared" si="259"/>
        <v>120.3</v>
      </c>
      <c r="BM26" s="22">
        <f t="shared" si="259"/>
        <v>121.3</v>
      </c>
      <c r="BN26" s="22">
        <f t="shared" si="259"/>
        <v>117.80000000000001</v>
      </c>
      <c r="BO26" s="22">
        <f t="shared" ref="BO26:CH26" si="260">+SUM(BO20:BO25)</f>
        <v>79.8</v>
      </c>
      <c r="BP26" s="22">
        <f t="shared" si="260"/>
        <v>81.5</v>
      </c>
      <c r="BQ26" s="22">
        <f t="shared" si="260"/>
        <v>85.800000000000011</v>
      </c>
      <c r="BR26" s="22">
        <f t="shared" si="260"/>
        <v>94.300000000000011</v>
      </c>
      <c r="BS26" s="22">
        <f t="shared" si="260"/>
        <v>93</v>
      </c>
      <c r="BT26" s="22">
        <f t="shared" si="260"/>
        <v>99.199999999999989</v>
      </c>
      <c r="BU26" s="22">
        <f t="shared" si="260"/>
        <v>109.3</v>
      </c>
      <c r="BV26" s="22">
        <f t="shared" si="260"/>
        <v>144.19999999999999</v>
      </c>
      <c r="BW26" s="22">
        <f t="shared" si="260"/>
        <v>160.30000000000001</v>
      </c>
      <c r="BX26" s="22">
        <f t="shared" si="260"/>
        <v>173.3</v>
      </c>
      <c r="BY26" s="22">
        <f t="shared" si="260"/>
        <v>181.1</v>
      </c>
      <c r="BZ26" s="22">
        <f t="shared" si="260"/>
        <v>203</v>
      </c>
      <c r="CA26" s="22">
        <f t="shared" si="260"/>
        <v>204.8</v>
      </c>
      <c r="CB26" s="22">
        <f t="shared" si="260"/>
        <v>214.7</v>
      </c>
      <c r="CC26" s="22">
        <f t="shared" si="260"/>
        <v>219.6</v>
      </c>
      <c r="CD26" s="22">
        <f t="shared" si="260"/>
        <v>226.3</v>
      </c>
      <c r="CE26" s="22">
        <f t="shared" si="260"/>
        <v>211.79999999999998</v>
      </c>
      <c r="CF26" s="22">
        <f t="shared" si="260"/>
        <v>213.10000000000002</v>
      </c>
      <c r="CG26" s="22">
        <f t="shared" si="260"/>
        <v>216</v>
      </c>
      <c r="CH26" s="22">
        <f t="shared" si="260"/>
        <v>224.7</v>
      </c>
      <c r="CI26" s="22">
        <f t="shared" ref="CI26:CJ26" si="261">+SUM(CI20:CI25)</f>
        <v>238.6</v>
      </c>
      <c r="CJ26" s="22">
        <f t="shared" si="261"/>
        <v>261.3</v>
      </c>
      <c r="CK26" s="22">
        <f t="shared" ref="CK26:CL26" si="262">+SUM(CK20:CK25)</f>
        <v>267.39999999999998</v>
      </c>
      <c r="CL26" s="22">
        <f t="shared" si="262"/>
        <v>271.7</v>
      </c>
      <c r="CM26" s="21">
        <f t="shared" ref="CM26:DB26" si="263">CM27*CM10</f>
        <v>278.27128829066828</v>
      </c>
      <c r="CN26" s="21">
        <f t="shared" si="263"/>
        <v>295.12503832381577</v>
      </c>
      <c r="CO26" s="21">
        <f t="shared" si="263"/>
        <v>303.45459434360322</v>
      </c>
      <c r="CP26" s="21">
        <f t="shared" si="263"/>
        <v>305.58433453808317</v>
      </c>
      <c r="CQ26" s="21">
        <f t="shared" si="263"/>
        <v>316.81596373587143</v>
      </c>
      <c r="CR26" s="21">
        <f t="shared" si="263"/>
        <v>334.03685244148255</v>
      </c>
      <c r="CS26" s="21">
        <f t="shared" si="263"/>
        <v>343.64705924981882</v>
      </c>
      <c r="CT26" s="21">
        <f t="shared" si="263"/>
        <v>345.87704089808011</v>
      </c>
      <c r="CU26" s="21">
        <f t="shared" si="263"/>
        <v>359.16082194449405</v>
      </c>
      <c r="CV26" s="21">
        <f t="shared" si="263"/>
        <v>378.28070333407538</v>
      </c>
      <c r="CW26" s="21">
        <f t="shared" si="263"/>
        <v>389.21568610814273</v>
      </c>
      <c r="CX26" s="21">
        <f t="shared" si="263"/>
        <v>391.75463410296726</v>
      </c>
      <c r="CY26" s="21">
        <f t="shared" si="263"/>
        <v>406.87110263862934</v>
      </c>
      <c r="CZ26" s="21">
        <f t="shared" si="263"/>
        <v>428.45343931855336</v>
      </c>
      <c r="DA26" s="21">
        <f t="shared" si="263"/>
        <v>440.85644441581633</v>
      </c>
      <c r="DB26" s="21">
        <f t="shared" si="263"/>
        <v>443.73970574179208</v>
      </c>
      <c r="DE26" s="126"/>
      <c r="DF26" s="22">
        <v>261.03217422230472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 t="e">
        <f t="shared" si="265"/>
        <v>#DIV/0!</v>
      </c>
      <c r="O27" s="44">
        <f t="shared" si="265"/>
        <v>1.0927976308868705</v>
      </c>
      <c r="P27" s="44">
        <f t="shared" si="265"/>
        <v>1.229042664364578</v>
      </c>
      <c r="Q27" s="44">
        <f t="shared" si="265"/>
        <v>1.5399201637416433</v>
      </c>
      <c r="R27" s="44">
        <f t="shared" si="265"/>
        <v>1.2318866576662484</v>
      </c>
      <c r="S27" s="44">
        <f t="shared" si="265"/>
        <v>1.1856967464702273</v>
      </c>
      <c r="T27" s="44">
        <f t="shared" si="265"/>
        <v>0.96634326402150506</v>
      </c>
      <c r="U27" s="44">
        <f t="shared" si="265"/>
        <v>0.73562504108920024</v>
      </c>
      <c r="V27" s="44">
        <f t="shared" si="265"/>
        <v>0.50989303455094515</v>
      </c>
      <c r="W27" s="44">
        <f t="shared" si="265"/>
        <v>0.59143712217230604</v>
      </c>
      <c r="X27" s="44">
        <f t="shared" si="265"/>
        <v>0.72814768433903421</v>
      </c>
      <c r="Y27" s="44">
        <f t="shared" si="265"/>
        <v>0.72312422970065371</v>
      </c>
      <c r="Z27" s="44">
        <f t="shared" ref="Z27:AA27" si="266">Z26/Z10</f>
        <v>0.62344202877672972</v>
      </c>
      <c r="AA27" s="44">
        <f t="shared" si="266"/>
        <v>0.66218813772990159</v>
      </c>
      <c r="AB27" s="52">
        <f t="shared" si="265"/>
        <v>0.66566655048699275</v>
      </c>
      <c r="AC27" s="52">
        <f t="shared" si="265"/>
        <v>0.66624295928787436</v>
      </c>
      <c r="AD27" s="52">
        <f t="shared" si="265"/>
        <v>0.66632909459934908</v>
      </c>
      <c r="AE27" s="52">
        <f t="shared" si="265"/>
        <v>0.66634008140290513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>
        <f t="shared" si="267"/>
        <v>1.46954986760812</v>
      </c>
      <c r="BH27" s="44">
        <f t="shared" si="267"/>
        <v>0.81632653061224492</v>
      </c>
      <c r="BI27" s="44">
        <f t="shared" si="267"/>
        <v>0.79416167664670656</v>
      </c>
      <c r="BJ27" s="44">
        <f t="shared" si="267"/>
        <v>0.85434782608695647</v>
      </c>
      <c r="BK27" s="44">
        <f t="shared" si="267"/>
        <v>0.75084860828241673</v>
      </c>
      <c r="BL27" s="44">
        <f t="shared" si="267"/>
        <v>0.76819923371647514</v>
      </c>
      <c r="BM27" s="44">
        <f t="shared" si="267"/>
        <v>0.73559733171619157</v>
      </c>
      <c r="BN27" s="44">
        <f t="shared" si="267"/>
        <v>0.69253380364491479</v>
      </c>
      <c r="BO27" s="44">
        <f t="shared" ref="BO27:CH27" si="268">BO26/BO10</f>
        <v>0.52122795558458523</v>
      </c>
      <c r="BP27" s="44">
        <f t="shared" si="268"/>
        <v>0.49938725490196084</v>
      </c>
      <c r="BQ27" s="44">
        <f t="shared" si="268"/>
        <v>0.49423963133640564</v>
      </c>
      <c r="BR27" s="44">
        <f t="shared" si="268"/>
        <v>0.52476349471341133</v>
      </c>
      <c r="BS27" s="44">
        <f t="shared" si="268"/>
        <v>0.51211453744493396</v>
      </c>
      <c r="BT27" s="44">
        <f t="shared" si="268"/>
        <v>0.54385964912280693</v>
      </c>
      <c r="BU27" s="44">
        <f t="shared" si="268"/>
        <v>0.58107389686337052</v>
      </c>
      <c r="BV27" s="44">
        <f t="shared" si="268"/>
        <v>0.71598808341608733</v>
      </c>
      <c r="BW27" s="44">
        <f t="shared" si="268"/>
        <v>0.71371326803205704</v>
      </c>
      <c r="BX27" s="44">
        <f t="shared" si="268"/>
        <v>0.7202826267664173</v>
      </c>
      <c r="BY27" s="44">
        <f t="shared" si="268"/>
        <v>0.72036595067621312</v>
      </c>
      <c r="BZ27" s="44">
        <f t="shared" si="268"/>
        <v>0.75520833333333326</v>
      </c>
      <c r="CA27" s="44">
        <f t="shared" si="268"/>
        <v>0.72598369372562921</v>
      </c>
      <c r="CB27" s="44">
        <f t="shared" si="268"/>
        <v>0.72853749575839832</v>
      </c>
      <c r="CC27" s="44">
        <f t="shared" si="268"/>
        <v>0.71929249918113325</v>
      </c>
      <c r="CD27" s="44">
        <f t="shared" si="268"/>
        <v>0.71909755322529401</v>
      </c>
      <c r="CE27" s="44">
        <f t="shared" si="268"/>
        <v>0.63929972834289162</v>
      </c>
      <c r="CF27" s="44">
        <f t="shared" si="268"/>
        <v>0.61288467069312635</v>
      </c>
      <c r="CG27" s="44">
        <f t="shared" si="268"/>
        <v>0.60965283657917013</v>
      </c>
      <c r="CH27" s="44">
        <f t="shared" si="268"/>
        <v>0.6327794987327513</v>
      </c>
      <c r="CI27" s="44">
        <f t="shared" ref="CI27:CJ27" si="269">CI26/CI10</f>
        <v>0.64122547702230581</v>
      </c>
      <c r="CJ27" s="44">
        <f t="shared" si="269"/>
        <v>0.66828644501278778</v>
      </c>
      <c r="CK27" s="44">
        <f t="shared" ref="CK27:CL27" si="270">CK26/CK10</f>
        <v>0.66583665338645404</v>
      </c>
      <c r="CL27" s="44">
        <f t="shared" si="270"/>
        <v>0.67202572347266876</v>
      </c>
      <c r="CM27" s="52">
        <f t="shared" ref="CM27:DB27" si="271">AVERAGE(CI27:CL27)</f>
        <v>0.66184357472355404</v>
      </c>
      <c r="CN27" s="52">
        <f t="shared" si="271"/>
        <v>0.66699809914886621</v>
      </c>
      <c r="CO27" s="52">
        <f t="shared" si="271"/>
        <v>0.66667601268288579</v>
      </c>
      <c r="CP27" s="52">
        <f t="shared" si="271"/>
        <v>0.66688585250699361</v>
      </c>
      <c r="CQ27" s="52">
        <f t="shared" si="271"/>
        <v>0.66560088476557489</v>
      </c>
      <c r="CR27" s="52">
        <f t="shared" si="271"/>
        <v>0.66654021227608018</v>
      </c>
      <c r="CS27" s="52">
        <f t="shared" si="271"/>
        <v>0.66642574055788362</v>
      </c>
      <c r="CT27" s="52">
        <f t="shared" si="271"/>
        <v>0.66636317252663313</v>
      </c>
      <c r="CU27" s="52">
        <f t="shared" si="271"/>
        <v>0.66623250253154298</v>
      </c>
      <c r="CV27" s="52">
        <f t="shared" si="271"/>
        <v>0.66639040697303498</v>
      </c>
      <c r="CW27" s="52">
        <f t="shared" si="271"/>
        <v>0.6663529556472737</v>
      </c>
      <c r="CX27" s="52">
        <f t="shared" si="271"/>
        <v>0.66633475941962117</v>
      </c>
      <c r="CY27" s="52">
        <f t="shared" si="271"/>
        <v>0.66632765614286815</v>
      </c>
      <c r="CZ27" s="52">
        <f t="shared" si="271"/>
        <v>0.6663514445456995</v>
      </c>
      <c r="DA27" s="52">
        <f t="shared" si="271"/>
        <v>0.66634170393886571</v>
      </c>
      <c r="DB27" s="52">
        <f t="shared" si="271"/>
        <v>0.66633889101176358</v>
      </c>
      <c r="DE27" s="128"/>
      <c r="DF27" s="44">
        <v>0.65203201853857473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0</v>
      </c>
      <c r="K28" s="26">
        <f t="shared" si="273"/>
        <v>0</v>
      </c>
      <c r="L28" s="26">
        <f t="shared" si="273"/>
        <v>0</v>
      </c>
      <c r="M28" s="26">
        <f t="shared" si="273"/>
        <v>0</v>
      </c>
      <c r="N28" s="26">
        <f t="shared" si="273"/>
        <v>0</v>
      </c>
      <c r="O28" s="26">
        <f t="shared" si="273"/>
        <v>-12.597000000000008</v>
      </c>
      <c r="P28" s="26">
        <f t="shared" si="273"/>
        <v>-40.327999999999975</v>
      </c>
      <c r="Q28" s="26">
        <f t="shared" si="273"/>
        <v>-132.68700000000007</v>
      </c>
      <c r="R28" s="26">
        <f t="shared" si="273"/>
        <v>-73.685000000000059</v>
      </c>
      <c r="S28" s="26">
        <f t="shared" si="273"/>
        <v>-76.230000000000018</v>
      </c>
      <c r="T28" s="26">
        <f t="shared" si="273"/>
        <v>17.077999999999975</v>
      </c>
      <c r="U28" s="26">
        <f t="shared" si="273"/>
        <v>168.89700000000011</v>
      </c>
      <c r="V28" s="26">
        <f t="shared" si="273"/>
        <v>328.15700000000004</v>
      </c>
      <c r="W28" s="26">
        <f t="shared" si="273"/>
        <v>307.846</v>
      </c>
      <c r="X28" s="26">
        <f t="shared" si="273"/>
        <v>267.88300000000004</v>
      </c>
      <c r="Y28" s="26">
        <f t="shared" si="273"/>
        <v>331.35800000000017</v>
      </c>
      <c r="Z28" s="26">
        <f t="shared" ref="Z28:AA28" si="274">Z16-Z26</f>
        <v>522.79200000000003</v>
      </c>
      <c r="AA28" s="26">
        <f t="shared" si="274"/>
        <v>530.04099999999971</v>
      </c>
      <c r="AB28" s="27">
        <f t="shared" si="273"/>
        <v>593.88241381005605</v>
      </c>
      <c r="AC28" s="27">
        <f t="shared" si="273"/>
        <v>671.46710789969143</v>
      </c>
      <c r="AD28" s="27">
        <f t="shared" si="273"/>
        <v>760.35979722640423</v>
      </c>
      <c r="AE28" s="27">
        <f t="shared" si="273"/>
        <v>861.22479217558657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-53.2</v>
      </c>
      <c r="BH28" s="26">
        <f t="shared" si="275"/>
        <v>22.5</v>
      </c>
      <c r="BI28" s="26">
        <f t="shared" si="275"/>
        <v>27.5</v>
      </c>
      <c r="BJ28" s="26">
        <f t="shared" si="275"/>
        <v>20.100000000000009</v>
      </c>
      <c r="BK28" s="26">
        <f t="shared" si="275"/>
        <v>36.700000000000017</v>
      </c>
      <c r="BL28" s="26">
        <f t="shared" si="275"/>
        <v>36.299999999999997</v>
      </c>
      <c r="BM28" s="26">
        <f t="shared" si="275"/>
        <v>43.600000000000009</v>
      </c>
      <c r="BN28" s="26">
        <f t="shared" si="275"/>
        <v>52.299999999999983</v>
      </c>
      <c r="BO28" s="26">
        <f t="shared" ref="BO28:CT28" si="276">BO16-BO26</f>
        <v>73.3</v>
      </c>
      <c r="BP28" s="26">
        <f t="shared" si="276"/>
        <v>81.699999999999989</v>
      </c>
      <c r="BQ28" s="26">
        <f t="shared" si="276"/>
        <v>87.799999999999983</v>
      </c>
      <c r="BR28" s="26">
        <f t="shared" si="276"/>
        <v>85.399999999999977</v>
      </c>
      <c r="BS28" s="26">
        <f t="shared" si="276"/>
        <v>88.6</v>
      </c>
      <c r="BT28" s="26">
        <f t="shared" si="276"/>
        <v>83.200000000000017</v>
      </c>
      <c r="BU28" s="26">
        <f t="shared" si="276"/>
        <v>78.8</v>
      </c>
      <c r="BV28" s="26">
        <f t="shared" si="276"/>
        <v>57.200000000000017</v>
      </c>
      <c r="BW28" s="26">
        <f t="shared" si="276"/>
        <v>64.199999999999989</v>
      </c>
      <c r="BX28" s="26">
        <f t="shared" si="276"/>
        <v>67.199999999999989</v>
      </c>
      <c r="BY28" s="26">
        <f t="shared" si="276"/>
        <v>70.200000000000017</v>
      </c>
      <c r="BZ28" s="26">
        <f t="shared" si="276"/>
        <v>66.100000000000023</v>
      </c>
      <c r="CA28" s="26">
        <f t="shared" si="276"/>
        <v>77.300000000000011</v>
      </c>
      <c r="CB28" s="26">
        <f t="shared" si="276"/>
        <v>80</v>
      </c>
      <c r="CC28" s="26">
        <f t="shared" si="276"/>
        <v>85.700000000000017</v>
      </c>
      <c r="CD28" s="26">
        <f t="shared" si="276"/>
        <v>88.399999999999977</v>
      </c>
      <c r="CE28" s="26">
        <f t="shared" si="276"/>
        <v>119.50000000000003</v>
      </c>
      <c r="CF28" s="26">
        <f t="shared" si="276"/>
        <v>134.59999999999997</v>
      </c>
      <c r="CG28" s="26">
        <f t="shared" si="276"/>
        <v>138.30000000000001</v>
      </c>
      <c r="CH28" s="26">
        <f t="shared" si="276"/>
        <v>130.40000000000003</v>
      </c>
      <c r="CI28" s="26">
        <f t="shared" ref="CI28:CJ28" si="277">CI16-CI26</f>
        <v>133.50000000000003</v>
      </c>
      <c r="CJ28" s="26">
        <f t="shared" si="277"/>
        <v>129.69999999999999</v>
      </c>
      <c r="CK28" s="26">
        <f t="shared" ref="CK28:CL28" si="278">CK16-CK26</f>
        <v>134.20000000000005</v>
      </c>
      <c r="CL28" s="26">
        <f t="shared" si="278"/>
        <v>132.60000000000002</v>
      </c>
      <c r="CM28" s="27">
        <f t="shared" si="276"/>
        <v>142.17743844494993</v>
      </c>
      <c r="CN28" s="27">
        <f t="shared" si="276"/>
        <v>147.34254696677931</v>
      </c>
      <c r="CO28" s="27">
        <f t="shared" si="276"/>
        <v>151.72091605524753</v>
      </c>
      <c r="CP28" s="27">
        <f t="shared" si="276"/>
        <v>152.64151234307928</v>
      </c>
      <c r="CQ28" s="27">
        <f t="shared" si="276"/>
        <v>159.16892598892849</v>
      </c>
      <c r="CR28" s="27">
        <f t="shared" si="276"/>
        <v>167.11348521155151</v>
      </c>
      <c r="CS28" s="27">
        <f t="shared" si="276"/>
        <v>172.00988245555749</v>
      </c>
      <c r="CT28" s="27">
        <f t="shared" si="276"/>
        <v>173.17481424365366</v>
      </c>
      <c r="CU28" s="27">
        <f t="shared" ref="CU28:DB28" si="279">CU16-CU26</f>
        <v>179.93149279511817</v>
      </c>
      <c r="CV28" s="27">
        <f t="shared" si="279"/>
        <v>189.37558249445431</v>
      </c>
      <c r="CW28" s="27">
        <f t="shared" si="279"/>
        <v>194.88270020436522</v>
      </c>
      <c r="CX28" s="27">
        <f t="shared" si="279"/>
        <v>196.17002173246641</v>
      </c>
      <c r="CY28" s="27">
        <f t="shared" si="279"/>
        <v>203.7460597854253</v>
      </c>
      <c r="CZ28" s="27">
        <f t="shared" si="279"/>
        <v>214.53074391625807</v>
      </c>
      <c r="DA28" s="27">
        <f t="shared" si="279"/>
        <v>220.75071871060152</v>
      </c>
      <c r="DB28" s="27">
        <f t="shared" si="279"/>
        <v>222.19726976330156</v>
      </c>
      <c r="DE28" s="121"/>
      <c r="DF28" s="26">
        <v>139.30426141373431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 t="e">
        <f t="shared" si="281"/>
        <v>#DIV/0!</v>
      </c>
      <c r="N29" s="166" t="e">
        <f t="shared" si="281"/>
        <v>#DIV/0!</v>
      </c>
      <c r="O29" s="166">
        <f t="shared" si="281"/>
        <v>-9.2797630886870486E-2</v>
      </c>
      <c r="P29" s="166">
        <f t="shared" si="281"/>
        <v>-0.22904266436457799</v>
      </c>
      <c r="Q29" s="166">
        <f t="shared" si="281"/>
        <v>-0.53992016374164331</v>
      </c>
      <c r="R29" s="166">
        <f t="shared" si="281"/>
        <v>-0.23188665766624833</v>
      </c>
      <c r="S29" s="166">
        <f t="shared" si="281"/>
        <v>-0.18569674647022719</v>
      </c>
      <c r="T29" s="166">
        <f t="shared" si="281"/>
        <v>3.3656735978494959E-2</v>
      </c>
      <c r="U29" s="166">
        <f t="shared" si="281"/>
        <v>0.26437495891079982</v>
      </c>
      <c r="V29" s="166">
        <f t="shared" si="281"/>
        <v>0.4901069654490548</v>
      </c>
      <c r="W29" s="166">
        <f t="shared" si="281"/>
        <v>0.40856287782769396</v>
      </c>
      <c r="X29" s="166">
        <f t="shared" si="281"/>
        <v>0.27185231566096579</v>
      </c>
      <c r="Y29" s="166">
        <f t="shared" si="281"/>
        <v>0.27687577029934629</v>
      </c>
      <c r="Z29" s="166">
        <f t="shared" ref="Z29:AA29" si="282">Z28/Z10</f>
        <v>0.37655797122327034</v>
      </c>
      <c r="AA29" s="166">
        <f t="shared" si="282"/>
        <v>0.33781186227009841</v>
      </c>
      <c r="AB29" s="167">
        <f t="shared" si="281"/>
        <v>0.33433344951300731</v>
      </c>
      <c r="AC29" s="167">
        <f t="shared" si="281"/>
        <v>0.33375704071212564</v>
      </c>
      <c r="AD29" s="167">
        <f t="shared" si="281"/>
        <v>0.33367090540065092</v>
      </c>
      <c r="AE29" s="167">
        <f t="shared" si="281"/>
        <v>0.33365991859709493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>
        <f t="shared" si="283"/>
        <v>-0.46954986760812006</v>
      </c>
      <c r="BH29" s="166">
        <f t="shared" si="283"/>
        <v>0.18367346938775511</v>
      </c>
      <c r="BI29" s="166">
        <f t="shared" si="283"/>
        <v>0.20583832335329341</v>
      </c>
      <c r="BJ29" s="166">
        <f t="shared" si="283"/>
        <v>0.14565217391304355</v>
      </c>
      <c r="BK29" s="166">
        <f t="shared" si="283"/>
        <v>0.24915139171758327</v>
      </c>
      <c r="BL29" s="166">
        <f t="shared" si="283"/>
        <v>0.23180076628352489</v>
      </c>
      <c r="BM29" s="166">
        <f t="shared" si="283"/>
        <v>0.26440266828380843</v>
      </c>
      <c r="BN29" s="166">
        <f t="shared" si="283"/>
        <v>0.30746619635508515</v>
      </c>
      <c r="BO29" s="166">
        <f t="shared" ref="BO29:CT29" si="284">BO28/BO10</f>
        <v>0.47877204441541477</v>
      </c>
      <c r="BP29" s="166">
        <f t="shared" si="284"/>
        <v>0.50061274509803921</v>
      </c>
      <c r="BQ29" s="166">
        <f t="shared" si="284"/>
        <v>0.50576036866359442</v>
      </c>
      <c r="BR29" s="166">
        <f t="shared" si="284"/>
        <v>0.47523650528658867</v>
      </c>
      <c r="BS29" s="166">
        <f t="shared" si="284"/>
        <v>0.48788546255506604</v>
      </c>
      <c r="BT29" s="166">
        <f t="shared" si="284"/>
        <v>0.45614035087719307</v>
      </c>
      <c r="BU29" s="166">
        <f t="shared" si="284"/>
        <v>0.41892610313662942</v>
      </c>
      <c r="BV29" s="166">
        <f t="shared" si="284"/>
        <v>0.28401191658391267</v>
      </c>
      <c r="BW29" s="166">
        <f t="shared" si="284"/>
        <v>0.28584149599287617</v>
      </c>
      <c r="BX29" s="166">
        <f t="shared" si="284"/>
        <v>0.2793017456359102</v>
      </c>
      <c r="BY29" s="166">
        <f t="shared" si="284"/>
        <v>0.27923627684964208</v>
      </c>
      <c r="BZ29" s="166">
        <f t="shared" si="284"/>
        <v>0.24590773809523817</v>
      </c>
      <c r="CA29" s="166">
        <f t="shared" si="284"/>
        <v>0.27401630627437079</v>
      </c>
      <c r="CB29" s="166">
        <f t="shared" si="284"/>
        <v>0.27146250424160162</v>
      </c>
      <c r="CC29" s="166">
        <f t="shared" si="284"/>
        <v>0.28070750081886675</v>
      </c>
      <c r="CD29" s="166">
        <f t="shared" si="284"/>
        <v>0.28090244677470599</v>
      </c>
      <c r="CE29" s="166">
        <f t="shared" si="284"/>
        <v>0.36070027165710844</v>
      </c>
      <c r="CF29" s="166">
        <f t="shared" si="284"/>
        <v>0.38711532930687365</v>
      </c>
      <c r="CG29" s="166">
        <f t="shared" si="284"/>
        <v>0.39034716342082981</v>
      </c>
      <c r="CH29" s="166">
        <f t="shared" si="284"/>
        <v>0.36722050126724876</v>
      </c>
      <c r="CI29" s="166">
        <f t="shared" ref="CI29:CJ29" si="285">CI28/CI10</f>
        <v>0.35877452297769424</v>
      </c>
      <c r="CJ29" s="166">
        <f t="shared" si="285"/>
        <v>0.33171355498721222</v>
      </c>
      <c r="CK29" s="166">
        <f t="shared" ref="CK29:CL29" si="286">CK28/CK10</f>
        <v>0.33416334661354591</v>
      </c>
      <c r="CL29" s="166">
        <f t="shared" si="286"/>
        <v>0.32797427652733124</v>
      </c>
      <c r="CM29" s="167">
        <f t="shared" si="284"/>
        <v>0.33815642527644596</v>
      </c>
      <c r="CN29" s="167">
        <f t="shared" si="284"/>
        <v>0.33300190085113374</v>
      </c>
      <c r="CO29" s="167">
        <f t="shared" si="284"/>
        <v>0.33332398731711427</v>
      </c>
      <c r="CP29" s="167">
        <f t="shared" si="284"/>
        <v>0.33311414749300633</v>
      </c>
      <c r="CQ29" s="167">
        <f t="shared" si="284"/>
        <v>0.33439911523442511</v>
      </c>
      <c r="CR29" s="167">
        <f t="shared" si="284"/>
        <v>0.33345978772391988</v>
      </c>
      <c r="CS29" s="167">
        <f t="shared" si="284"/>
        <v>0.33357425944211638</v>
      </c>
      <c r="CT29" s="167">
        <f t="shared" si="284"/>
        <v>0.33363682747336693</v>
      </c>
      <c r="CU29" s="167">
        <f t="shared" ref="CU29:DB29" si="287">CU28/CU10</f>
        <v>0.33376749746845708</v>
      </c>
      <c r="CV29" s="167">
        <f t="shared" si="287"/>
        <v>0.33360959302696497</v>
      </c>
      <c r="CW29" s="167">
        <f t="shared" si="287"/>
        <v>0.33364704435272635</v>
      </c>
      <c r="CX29" s="167">
        <f t="shared" si="287"/>
        <v>0.33366524058037883</v>
      </c>
      <c r="CY29" s="167">
        <f t="shared" si="287"/>
        <v>0.33367234385713185</v>
      </c>
      <c r="CZ29" s="167">
        <f t="shared" si="287"/>
        <v>0.33364855545430044</v>
      </c>
      <c r="DA29" s="167">
        <f t="shared" si="287"/>
        <v>0.33365829606113434</v>
      </c>
      <c r="DB29" s="167">
        <f t="shared" si="287"/>
        <v>0.33366110898823642</v>
      </c>
      <c r="DE29" s="169"/>
      <c r="DF29" s="168">
        <v>0.34796798146142527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 t="e">
        <f t="shared" si="289"/>
        <v>#DIV/0!</v>
      </c>
      <c r="L30" s="39" t="e">
        <f t="shared" si="289"/>
        <v>#DIV/0!</v>
      </c>
      <c r="M30" s="39" t="e">
        <f t="shared" si="289"/>
        <v>#DIV/0!</v>
      </c>
      <c r="N30" s="39" t="e">
        <f t="shared" si="289"/>
        <v>#DIV/0!</v>
      </c>
      <c r="O30" s="39" t="e">
        <f t="shared" si="289"/>
        <v>#DIV/0!</v>
      </c>
      <c r="P30" s="39">
        <f t="shared" si="289"/>
        <v>-2.2013971580535006</v>
      </c>
      <c r="Q30" s="39">
        <f t="shared" si="289"/>
        <v>-2.2901953977385476</v>
      </c>
      <c r="R30" s="39">
        <f t="shared" si="289"/>
        <v>0.44467054044480603</v>
      </c>
      <c r="S30" s="39">
        <f t="shared" si="289"/>
        <v>-3.4538915654474645E-2</v>
      </c>
      <c r="T30" s="39">
        <f t="shared" si="289"/>
        <v>1.2240325331234418</v>
      </c>
      <c r="U30" s="39">
        <f t="shared" si="289"/>
        <v>8.8897411874927013</v>
      </c>
      <c r="V30" s="39">
        <f t="shared" si="289"/>
        <v>0.94294155609631813</v>
      </c>
      <c r="W30" s="39">
        <f t="shared" si="289"/>
        <v>-6.1894154322473804E-2</v>
      </c>
      <c r="X30" s="39">
        <f t="shared" si="289"/>
        <v>-0.1298149074537267</v>
      </c>
      <c r="Y30" s="39">
        <f t="shared" si="289"/>
        <v>0.23695045971562267</v>
      </c>
      <c r="Z30" s="39">
        <f t="shared" ref="Z30:AE30" si="290">+IF(Y28&lt;0,1-Z28/Y28,Z28/Y28-1)</f>
        <v>0.57772560191695921</v>
      </c>
      <c r="AA30" s="39">
        <f t="shared" si="290"/>
        <v>1.3865935209413482E-2</v>
      </c>
      <c r="AB30" s="40">
        <f t="shared" si="290"/>
        <v>0.1204461802201271</v>
      </c>
      <c r="AC30" s="40">
        <f t="shared" si="290"/>
        <v>0.13063982412257391</v>
      </c>
      <c r="AD30" s="40">
        <f t="shared" si="290"/>
        <v>0.13238576883499742</v>
      </c>
      <c r="AE30" s="40">
        <f t="shared" si="290"/>
        <v>0.13265429776417914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>
        <f t="shared" ref="BK30" si="314">+IF(BG28&lt;0,1-BK28/BG28,BK28/BG28-1)</f>
        <v>1.6898496240601508</v>
      </c>
      <c r="BL30" s="39">
        <f t="shared" ref="BL30" si="315">+IF(BH28&lt;0,1-BL28/BH28,BL28/BH28-1)</f>
        <v>0.61333333333333329</v>
      </c>
      <c r="BM30" s="39">
        <f t="shared" ref="BM30" si="316">+IF(BI28&lt;0,1-BM28/BI28,BM28/BI28-1)</f>
        <v>0.58545454545454567</v>
      </c>
      <c r="BN30" s="39">
        <f t="shared" ref="BN30" si="317">+IF(BJ28&lt;0,1-BN28/BJ28,BN28/BJ28-1)</f>
        <v>1.601990049751242</v>
      </c>
      <c r="BO30" s="39">
        <f t="shared" ref="BO30" si="318">+IF(BK28&lt;0,1-BO28/BK28,BO28/BK28-1)</f>
        <v>0.99727520435967199</v>
      </c>
      <c r="BP30" s="39">
        <f t="shared" ref="BP30" si="319">+IF(BL28&lt;0,1-BP28/BL28,BP28/BL28-1)</f>
        <v>1.2506887052341598</v>
      </c>
      <c r="BQ30" s="39">
        <f t="shared" ref="BQ30" si="320">+IF(BM28&lt;0,1-BQ28/BM28,BQ28/BM28-1)</f>
        <v>1.0137614678899074</v>
      </c>
      <c r="BR30" s="39">
        <f t="shared" ref="BR30" si="321">+IF(BN28&lt;0,1-BR28/BN28,BR28/BN28-1)</f>
        <v>0.63288718929254317</v>
      </c>
      <c r="BS30" s="39">
        <f t="shared" ref="BS30" si="322">+IF(BO28&lt;0,1-BS28/BO28,BS28/BO28-1)</f>
        <v>0.20873124147339706</v>
      </c>
      <c r="BT30" s="39">
        <f t="shared" ref="BT30" si="323">+IF(BP28&lt;0,1-BT28/BP28,BT28/BP28-1)</f>
        <v>1.8359853121175274E-2</v>
      </c>
      <c r="BU30" s="39">
        <f t="shared" ref="BU30" si="324">+IF(BQ28&lt;0,1-BU28/BQ28,BU28/BQ28-1)</f>
        <v>-0.10250569476081994</v>
      </c>
      <c r="BV30" s="39">
        <f t="shared" ref="BV30" si="325">+IF(BR28&lt;0,1-BV28/BR28,BV28/BR28-1)</f>
        <v>-0.33021077283372324</v>
      </c>
      <c r="BW30" s="39">
        <f t="shared" ref="BW30" si="326">+IF(BS28&lt;0,1-BW28/BS28,BW28/BS28-1)</f>
        <v>-0.27539503386004527</v>
      </c>
      <c r="BX30" s="39">
        <f t="shared" ref="BX30" si="327">+IF(BT28&lt;0,1-BX28/BT28,BX28/BT28-1)</f>
        <v>-0.19230769230769262</v>
      </c>
      <c r="BY30" s="39">
        <f t="shared" ref="BY30" si="328">+IF(BU28&lt;0,1-BY28/BU28,BY28/BU28-1)</f>
        <v>-0.10913705583756317</v>
      </c>
      <c r="BZ30" s="39">
        <f t="shared" ref="BZ30" si="329">+IF(BV28&lt;0,1-BZ28/BV28,BZ28/BV28-1)</f>
        <v>0.15559440559440563</v>
      </c>
      <c r="CA30" s="39">
        <f t="shared" ref="CA30" si="330">+IF(BW28&lt;0,1-CA28/BW28,CA28/BW28-1)</f>
        <v>0.20404984423676042</v>
      </c>
      <c r="CB30" s="39">
        <f t="shared" ref="CB30" si="331">+IF(BX28&lt;0,1-CB28/BX28,CB28/BX28-1)</f>
        <v>0.19047619047619069</v>
      </c>
      <c r="CC30" s="39">
        <f t="shared" ref="CC30" si="332">+IF(BY28&lt;0,1-CC28/BY28,CC28/BY28-1)</f>
        <v>0.22079772079772075</v>
      </c>
      <c r="CD30" s="39">
        <f t="shared" ref="CD30" si="333">+IF(BZ28&lt;0,1-CD28/BZ28,CD28/BZ28-1)</f>
        <v>0.33736762481089189</v>
      </c>
      <c r="CE30" s="39">
        <f t="shared" ref="CE30" si="334">+IF(CA28&lt;0,1-CE28/CA28,CE28/CA28-1)</f>
        <v>0.54592496765847365</v>
      </c>
      <c r="CF30" s="39">
        <f t="shared" ref="CF30" si="335">+IF(CB28&lt;0,1-CF28/CB28,CF28/CB28-1)</f>
        <v>0.68249999999999966</v>
      </c>
      <c r="CG30" s="39">
        <f t="shared" ref="CG30" si="336">+IF(CC28&lt;0,1-CG28/CC28,CG28/CC28-1)</f>
        <v>0.61376896149358218</v>
      </c>
      <c r="CH30" s="39">
        <f t="shared" ref="CH30:CL30" si="337">+IF(CD28&lt;0,1-CH28/CD28,CH28/CD28-1)</f>
        <v>0.47511312217194646</v>
      </c>
      <c r="CI30" s="39">
        <f t="shared" si="337"/>
        <v>0.11715481171548103</v>
      </c>
      <c r="CJ30" s="39">
        <f t="shared" si="337"/>
        <v>-3.6404160475482783E-2</v>
      </c>
      <c r="CK30" s="39">
        <f t="shared" si="337"/>
        <v>-2.9645697758495793E-2</v>
      </c>
      <c r="CL30" s="39">
        <f t="shared" si="337"/>
        <v>1.6871165644171793E-2</v>
      </c>
      <c r="CM30" s="40">
        <f t="shared" ref="CM30" si="338">+CM28/CI28-1</f>
        <v>6.4999538913482313E-2</v>
      </c>
      <c r="CN30" s="40">
        <f t="shared" ref="CN30" si="339">+CN28/CJ28-1</f>
        <v>0.13602580544933951</v>
      </c>
      <c r="CO30" s="40">
        <f t="shared" ref="CO30" si="340">+CO28/CK28-1</f>
        <v>0.13055824184238052</v>
      </c>
      <c r="CP30" s="40">
        <f t="shared" ref="CP30" si="341">+CP28/CL28-1</f>
        <v>0.15114262702171377</v>
      </c>
      <c r="CQ30" s="40">
        <f t="shared" ref="CQ30" si="342">+CQ28/CM28-1</f>
        <v>0.11950902850565526</v>
      </c>
      <c r="CR30" s="40">
        <f t="shared" ref="CR30" si="343">+CR28/CN28-1</f>
        <v>0.13418349724353451</v>
      </c>
      <c r="CS30" s="40">
        <f t="shared" ref="CS30" si="344">+CS28/CO28-1</f>
        <v>0.13372557276758035</v>
      </c>
      <c r="CT30" s="40">
        <f t="shared" ref="CT30" si="345">+CT28/CP28-1</f>
        <v>0.13451977502963564</v>
      </c>
      <c r="CU30" s="40">
        <f t="shared" ref="CU30" si="346">+CU28/CQ28-1</f>
        <v>0.13044359429574781</v>
      </c>
      <c r="CV30" s="40">
        <f t="shared" ref="CV30" si="347">+CV28/CR28-1</f>
        <v>0.13321544490991188</v>
      </c>
      <c r="CW30" s="40">
        <f t="shared" ref="CW30" si="348">+CW28/CS28-1</f>
        <v>0.13297385837536058</v>
      </c>
      <c r="CX30" s="40">
        <f t="shared" ref="CX30" si="349">+CX28/CT28-1</f>
        <v>0.13278609588377521</v>
      </c>
      <c r="CY30" s="40">
        <f t="shared" ref="CY30" si="350">+CY28/CU28-1</f>
        <v>0.1323535231123989</v>
      </c>
      <c r="CZ30" s="40">
        <f t="shared" ref="CZ30" si="351">+CZ28/CV28-1</f>
        <v>0.13283212698522218</v>
      </c>
      <c r="DA30" s="40">
        <f t="shared" ref="DA30" si="352">+DA28/CW28-1</f>
        <v>0.13273635104147052</v>
      </c>
      <c r="DB30" s="40">
        <f t="shared" ref="DB30" si="353">+DB28/CX28-1</f>
        <v>0.13267699009755285</v>
      </c>
      <c r="DE30" s="122"/>
      <c r="DF30" s="38">
        <v>6.8284213295508156E-2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>
        <f t="shared" ref="BH31" si="375">+IF(BG28&lt;0,1-BH28/BG28,BH28/BG28-1)</f>
        <v>1.4229323308270676</v>
      </c>
      <c r="BI31" s="39">
        <f t="shared" ref="BI31" si="376">+IF(BH28&lt;0,1-BI28/BH28,BI28/BH28-1)</f>
        <v>0.22222222222222232</v>
      </c>
      <c r="BJ31" s="39">
        <f t="shared" ref="BJ31" si="377">+IF(BI28&lt;0,1-BJ28/BI28,BJ28/BI28-1)</f>
        <v>-0.26909090909090883</v>
      </c>
      <c r="BK31" s="39">
        <f t="shared" ref="BK31" si="378">+IF(BJ28&lt;0,1-BK28/BJ28,BK28/BJ28-1)</f>
        <v>0.82587064676616917</v>
      </c>
      <c r="BL31" s="39">
        <f t="shared" ref="BL31" si="379">+IF(BK28&lt;0,1-BL28/BK28,BL28/BK28-1)</f>
        <v>-1.0899182561308396E-2</v>
      </c>
      <c r="BM31" s="39">
        <f t="shared" ref="BM31" si="380">+IF(BL28&lt;0,1-BM28/BL28,BM28/BL28-1)</f>
        <v>0.20110192837465601</v>
      </c>
      <c r="BN31" s="39">
        <f t="shared" ref="BN31" si="381">+IF(BM28&lt;0,1-BN28/BM28,BN28/BM28-1)</f>
        <v>0.19954128440366903</v>
      </c>
      <c r="BO31" s="39">
        <f t="shared" ref="BO31" si="382">+IF(BN28&lt;0,1-BO28/BN28,BO28/BN28-1)</f>
        <v>0.4015296367112815</v>
      </c>
      <c r="BP31" s="39">
        <f t="shared" ref="BP31" si="383">+IF(BO28&lt;0,1-BP28/BO28,BP28/BO28-1)</f>
        <v>0.11459754433833558</v>
      </c>
      <c r="BQ31" s="39">
        <f t="shared" ref="BQ31" si="384">+IF(BP28&lt;0,1-BQ28/BP28,BQ28/BP28-1)</f>
        <v>7.466340269277838E-2</v>
      </c>
      <c r="BR31" s="39">
        <f t="shared" ref="BR31" si="385">+IF(BQ28&lt;0,1-BR28/BQ28,BR28/BQ28-1)</f>
        <v>-2.7334851936218763E-2</v>
      </c>
      <c r="BS31" s="39">
        <f t="shared" ref="BS31" si="386">+IF(BR28&lt;0,1-BS28/BR28,BS28/BR28-1)</f>
        <v>3.7470725995316423E-2</v>
      </c>
      <c r="BT31" s="39">
        <f t="shared" ref="BT31" si="387">+IF(BS28&lt;0,1-BT28/BS28,BT28/BS28-1)</f>
        <v>-6.0948081264108112E-2</v>
      </c>
      <c r="BU31" s="39">
        <f t="shared" ref="BU31" si="388">+IF(BT28&lt;0,1-BU28/BT28,BU28/BT28-1)</f>
        <v>-5.2884615384615641E-2</v>
      </c>
      <c r="BV31" s="39">
        <f t="shared" ref="BV31" si="389">+IF(BU28&lt;0,1-BV28/BU28,BV28/BU28-1)</f>
        <v>-0.27411167512690326</v>
      </c>
      <c r="BW31" s="39">
        <f t="shared" ref="BW31" si="390">+IF(BV28&lt;0,1-BW28/BV28,BW28/BV28-1)</f>
        <v>0.12237762237762184</v>
      </c>
      <c r="BX31" s="39">
        <f t="shared" ref="BX31" si="391">+IF(BW28&lt;0,1-BX28/BW28,BX28/BW28-1)</f>
        <v>4.6728971962616939E-2</v>
      </c>
      <c r="BY31" s="39">
        <f t="shared" ref="BY31" si="392">+IF(BX28&lt;0,1-BY28/BX28,BY28/BX28-1)</f>
        <v>4.464285714285765E-2</v>
      </c>
      <c r="BZ31" s="39">
        <f t="shared" ref="BZ31" si="393">+IF(BY28&lt;0,1-BZ28/BY28,BZ28/BY28-1)</f>
        <v>-5.8404558404558271E-2</v>
      </c>
      <c r="CA31" s="39">
        <f t="shared" ref="CA31" si="394">+IF(BZ28&lt;0,1-CA28/BZ28,CA28/BZ28-1)</f>
        <v>0.16944024205748853</v>
      </c>
      <c r="CB31" s="39">
        <f t="shared" ref="CB31" si="395">+IF(CA28&lt;0,1-CB28/CA28,CB28/CA28-1)</f>
        <v>3.4928848641655685E-2</v>
      </c>
      <c r="CC31" s="39">
        <f t="shared" ref="CC31" si="396">+IF(CB28&lt;0,1-CC28/CB28,CC28/CB28-1)</f>
        <v>7.1250000000000258E-2</v>
      </c>
      <c r="CD31" s="39">
        <f t="shared" ref="CD31" si="397">+IF(CC28&lt;0,1-CD28/CC28,CD28/CC28-1)</f>
        <v>3.1505250875145441E-2</v>
      </c>
      <c r="CE31" s="39">
        <f t="shared" ref="CE31" si="398">+IF(CD28&lt;0,1-CE28/CD28,CE28/CD28-1)</f>
        <v>0.35180995475113197</v>
      </c>
      <c r="CF31" s="39">
        <f t="shared" ref="CF31" si="399">+IF(CE28&lt;0,1-CF28/CE28,CF28/CE28-1)</f>
        <v>0.12635983263598272</v>
      </c>
      <c r="CG31" s="39">
        <f t="shared" ref="CG31" si="400">+IF(CF28&lt;0,1-CG28/CF28,CG28/CF28-1)</f>
        <v>2.7488855869242546E-2</v>
      </c>
      <c r="CH31" s="39">
        <f t="shared" ref="CH31:CI31" si="401">+IF(CG28&lt;0,1-CH28/CG28,CH28/CG28-1)</f>
        <v>-5.7122198120028722E-2</v>
      </c>
      <c r="CI31" s="39">
        <f t="shared" si="401"/>
        <v>2.3773006134969243E-2</v>
      </c>
      <c r="CJ31" s="39">
        <f>+IF(CI28&gt;1,CJ28/CI28-1,1-CJ28/CI28)</f>
        <v>-2.84644194756557E-2</v>
      </c>
      <c r="CK31" s="39">
        <f>+IF(CJ28&gt;1,CK28/CJ28-1,1-CK28/CJ28)</f>
        <v>3.4695451040863912E-2</v>
      </c>
      <c r="CL31" s="39">
        <f>+IF(CK28&gt;1,CL28/CK28-1,1-CL28/CK28)</f>
        <v>-1.1922503725782629E-2</v>
      </c>
      <c r="CM31" s="40">
        <f t="shared" ref="CM31" si="402">+CM28/CL28-1</f>
        <v>7.2228042571266249E-2</v>
      </c>
      <c r="CN31" s="40">
        <f t="shared" ref="CN31" si="403">+CN28/CM28-1</f>
        <v>3.6328608661980288E-2</v>
      </c>
      <c r="CO31" s="40">
        <f t="shared" ref="CO31" si="404">+CO28/CN28-1</f>
        <v>2.9715578959385036E-2</v>
      </c>
      <c r="CP31" s="40">
        <f t="shared" ref="CP31" si="405">+CP28/CO28-1</f>
        <v>6.0676952905855952E-3</v>
      </c>
      <c r="CQ31" s="40">
        <f t="shared" ref="CQ31" si="406">+CQ28/CP28-1</f>
        <v>4.2763030486609122E-2</v>
      </c>
      <c r="CR31" s="40">
        <f t="shared" ref="CR31" si="407">+CR28/CQ28-1</f>
        <v>4.9912752588251008E-2</v>
      </c>
      <c r="CS31" s="40">
        <f t="shared" ref="CS31" si="408">+CS28/CR28-1</f>
        <v>2.9299833210991721E-2</v>
      </c>
      <c r="CT31" s="40">
        <f t="shared" ref="CT31" si="409">+CT28/CS28-1</f>
        <v>6.7724701131468557E-3</v>
      </c>
      <c r="CU31" s="40">
        <f t="shared" ref="CU31" si="410">+CU28/CT28-1</f>
        <v>3.901651969990283E-2</v>
      </c>
      <c r="CV31" s="40">
        <f t="shared" ref="CV31" si="411">+CV28/CU28-1</f>
        <v>5.248714137046484E-2</v>
      </c>
      <c r="CW31" s="40">
        <f t="shared" ref="CW31" si="412">+CW28/CV28-1</f>
        <v>2.9080400109513516E-2</v>
      </c>
      <c r="CX31" s="40">
        <f t="shared" ref="CX31" si="413">+CX28/CW28-1</f>
        <v>6.6056223910651024E-3</v>
      </c>
      <c r="CY31" s="40">
        <f t="shared" ref="CY31" si="414">+CY28/CX28-1</f>
        <v>3.8619754364359382E-2</v>
      </c>
      <c r="CZ31" s="40">
        <f t="shared" ref="CZ31" si="415">+CZ28/CY28-1</f>
        <v>5.2931988683317943E-2</v>
      </c>
      <c r="DA31" s="40">
        <f t="shared" ref="DA31" si="416">+DA28/CZ28-1</f>
        <v>2.8993395915186015E-2</v>
      </c>
      <c r="DB31" s="40">
        <f t="shared" ref="DB31" si="417">+DB28/DA28-1</f>
        <v>6.5528713163396368E-3</v>
      </c>
      <c r="DE31" s="122"/>
      <c r="DF31" s="38">
        <v>3.8034734826633887E-2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2.2320000000000002</v>
      </c>
      <c r="P32" s="23">
        <f>'Annual Raw'!Q27</f>
        <v>3.0209999999999999</v>
      </c>
      <c r="Q32" s="23">
        <f>'Annual Raw'!R27</f>
        <v>3.6819999999999999</v>
      </c>
      <c r="R32" s="23">
        <f>'Annual Raw'!S27</f>
        <v>4.6319999999999997</v>
      </c>
      <c r="S32" s="23">
        <f>'Annual Raw'!T27</f>
        <v>2.8849999999999998</v>
      </c>
      <c r="T32" s="23">
        <f>'Annual Raw'!U27</f>
        <v>4.1269999999999998</v>
      </c>
      <c r="U32" s="23">
        <f>'Annual Raw'!V27</f>
        <v>21.145</v>
      </c>
      <c r="V32" s="23">
        <f>'Annual Raw'!W27</f>
        <v>16.065000000000001</v>
      </c>
      <c r="W32" s="23">
        <f>'Annual Raw'!X27</f>
        <v>11.946</v>
      </c>
      <c r="X32" s="23">
        <f>'Annual Raw'!Y27</f>
        <v>31.074999999999999</v>
      </c>
      <c r="Y32" s="23">
        <f>'Annual Raw'!Z27</f>
        <v>36.460999999999999</v>
      </c>
      <c r="Z32" s="23">
        <f>'Annual Raw'!AA27</f>
        <v>32.944000000000003</v>
      </c>
      <c r="AA32" s="23">
        <f>'Annual Raw'!AB27</f>
        <v>28.448</v>
      </c>
      <c r="AB32" s="76">
        <f>+SUM(CM32:CP32)</f>
        <v>17.394288977656359</v>
      </c>
      <c r="AC32" s="76">
        <f>+SUM(CQ32:CT32)</f>
        <v>4.4088259288058289</v>
      </c>
      <c r="AD32" s="76">
        <f>+SUM(CU32:CX32)</f>
        <v>1.1174786216027082</v>
      </c>
      <c r="AE32" s="76">
        <f>+SUM(CY32:DB32)</f>
        <v>0.28324059282542768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0.7</v>
      </c>
      <c r="BH32" s="23">
        <f>'QTR Raw'!AB28</f>
        <v>1</v>
      </c>
      <c r="BI32" s="23">
        <f>'QTR Raw'!AC28</f>
        <v>1.2</v>
      </c>
      <c r="BJ32" s="23">
        <f>'QTR Raw'!AD28</f>
        <v>1.2</v>
      </c>
      <c r="BK32" s="23">
        <f>'QTR Raw'!AE28</f>
        <v>4.4000000000000004</v>
      </c>
      <c r="BL32" s="23">
        <f>'QTR Raw'!AF28</f>
        <v>5</v>
      </c>
      <c r="BM32" s="23">
        <f>'QTR Raw'!AG28</f>
        <v>5.8</v>
      </c>
      <c r="BN32" s="23">
        <f>'QTR Raw'!AH28</f>
        <v>5.9</v>
      </c>
      <c r="BO32" s="23">
        <f>'QTR Raw'!AI28</f>
        <v>4.4000000000000004</v>
      </c>
      <c r="BP32" s="23">
        <f>'QTR Raw'!AJ28</f>
        <v>4.4000000000000004</v>
      </c>
      <c r="BQ32" s="23">
        <f>'QTR Raw'!AK28</f>
        <v>3.8</v>
      </c>
      <c r="BR32" s="23">
        <f>'QTR Raw'!AL28</f>
        <v>3.5</v>
      </c>
      <c r="BS32" s="23">
        <f>'QTR Raw'!AM28</f>
        <v>3.2</v>
      </c>
      <c r="BT32" s="23">
        <f>'QTR Raw'!AN28</f>
        <v>2.8</v>
      </c>
      <c r="BU32" s="23">
        <f>'QTR Raw'!AO28</f>
        <v>3</v>
      </c>
      <c r="BV32" s="23">
        <f>'QTR Raw'!AP28</f>
        <v>2.9</v>
      </c>
      <c r="BW32" s="23">
        <f>'QTR Raw'!AQ28</f>
        <v>6.3</v>
      </c>
      <c r="BX32" s="23">
        <f>'QTR Raw'!AR28</f>
        <v>7.6</v>
      </c>
      <c r="BY32" s="23">
        <f>'QTR Raw'!AS28</f>
        <v>8.6</v>
      </c>
      <c r="BZ32" s="23">
        <f>'QTR Raw'!AT28</f>
        <v>8.6</v>
      </c>
      <c r="CA32" s="23">
        <f>'QTR Raw'!AU28</f>
        <v>7.4</v>
      </c>
      <c r="CB32" s="23">
        <f>'QTR Raw'!AV28</f>
        <v>8</v>
      </c>
      <c r="CC32" s="23">
        <f>'QTR Raw'!AW28</f>
        <v>8.4</v>
      </c>
      <c r="CD32" s="23">
        <f>'QTR Raw'!AX28</f>
        <v>12.7</v>
      </c>
      <c r="CE32" s="23">
        <f>'QTR Raw'!AY28</f>
        <v>8.1</v>
      </c>
      <c r="CF32" s="23">
        <f>'QTR Raw'!AZ28</f>
        <v>8.1999999999999993</v>
      </c>
      <c r="CG32" s="23">
        <f>'QTR Raw'!BA28</f>
        <v>8.3000000000000007</v>
      </c>
      <c r="CH32" s="23">
        <f>'QTR Raw'!BB28</f>
        <v>8.3000000000000007</v>
      </c>
      <c r="CI32" s="23">
        <f>'QTR Raw'!BC28</f>
        <v>6.9</v>
      </c>
      <c r="CJ32" s="23">
        <f>'QTR Raw'!BD28</f>
        <v>7.2</v>
      </c>
      <c r="CK32" s="23">
        <f>'QTR Raw'!BE28</f>
        <v>7.3</v>
      </c>
      <c r="CL32" s="23">
        <f>'QTR Raw'!BF28</f>
        <v>7</v>
      </c>
      <c r="CM32" s="24">
        <f t="shared" ref="CM32:DB32" si="418">CM33*CL134</f>
        <v>6.7676348547717859</v>
      </c>
      <c r="CN32" s="24">
        <f t="shared" si="418"/>
        <v>4.801931784921063</v>
      </c>
      <c r="CO32" s="24">
        <f t="shared" si="418"/>
        <v>3.4071798141971015</v>
      </c>
      <c r="CP32" s="24">
        <f t="shared" si="418"/>
        <v>2.4175425237664099</v>
      </c>
      <c r="CQ32" s="24">
        <f t="shared" si="418"/>
        <v>1.7153517492284514</v>
      </c>
      <c r="CR32" s="24">
        <f t="shared" si="418"/>
        <v>1.2171168013197697</v>
      </c>
      <c r="CS32" s="24">
        <f t="shared" si="418"/>
        <v>0.86359739844680572</v>
      </c>
      <c r="CT32" s="24">
        <f t="shared" si="418"/>
        <v>0.61275997981080166</v>
      </c>
      <c r="CU32" s="24">
        <f t="shared" si="418"/>
        <v>0.4347799026873358</v>
      </c>
      <c r="CV32" s="24">
        <f t="shared" si="418"/>
        <v>0.30849528364952361</v>
      </c>
      <c r="CW32" s="24">
        <f t="shared" si="418"/>
        <v>0.21889084441521889</v>
      </c>
      <c r="CX32" s="24">
        <f t="shared" si="418"/>
        <v>0.15531259085062996</v>
      </c>
      <c r="CY32" s="24">
        <f t="shared" si="418"/>
        <v>0.11020104993965932</v>
      </c>
      <c r="CZ32" s="24">
        <f t="shared" si="418"/>
        <v>7.8192446222745238E-2</v>
      </c>
      <c r="DA32" s="24">
        <f t="shared" si="418"/>
        <v>5.5480947319873623E-2</v>
      </c>
      <c r="DB32" s="24">
        <f t="shared" si="418"/>
        <v>3.9366149343149484E-2</v>
      </c>
      <c r="DE32" s="123"/>
      <c r="DF32" s="23">
        <v>5.6028662420382149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 t="e">
        <f t="shared" si="420"/>
        <v>#DIV/0!</v>
      </c>
      <c r="K33" s="46" t="e">
        <f t="shared" si="420"/>
        <v>#DIV/0!</v>
      </c>
      <c r="L33" s="46" t="e">
        <f t="shared" si="420"/>
        <v>#DIV/0!</v>
      </c>
      <c r="M33" s="46" t="e">
        <f t="shared" si="420"/>
        <v>#DIV/0!</v>
      </c>
      <c r="N33" s="46" t="e">
        <f t="shared" si="420"/>
        <v>#DIV/0!</v>
      </c>
      <c r="O33" s="46">
        <f t="shared" si="420"/>
        <v>0.34951456310679618</v>
      </c>
      <c r="P33" s="46">
        <f t="shared" si="420"/>
        <v>0.4904220779220782</v>
      </c>
      <c r="Q33" s="46">
        <f t="shared" si="420"/>
        <v>0.34576016527373465</v>
      </c>
      <c r="R33" s="46">
        <f t="shared" si="420"/>
        <v>0.53161941925857914</v>
      </c>
      <c r="S33" s="46">
        <f t="shared" si="420"/>
        <v>0.35767418794941735</v>
      </c>
      <c r="T33" s="46">
        <f t="shared" si="420"/>
        <v>0.45546849133649703</v>
      </c>
      <c r="U33" s="46">
        <f t="shared" si="420"/>
        <v>0.24693448557748454</v>
      </c>
      <c r="V33" s="46">
        <f t="shared" si="420"/>
        <v>0.24689934990087145</v>
      </c>
      <c r="W33" s="46">
        <f t="shared" si="420"/>
        <v>0.21307791095890413</v>
      </c>
      <c r="X33" s="46">
        <f t="shared" si="420"/>
        <v>0.31440972924845195</v>
      </c>
      <c r="Y33" s="46">
        <f t="shared" si="420"/>
        <v>0.446229913473424</v>
      </c>
      <c r="Z33" s="46">
        <f t="shared" si="420"/>
        <v>0.54250238777459359</v>
      </c>
      <c r="AA33" s="46">
        <f t="shared" ref="AA33" si="421">+AA32/AA134</f>
        <v>0.71545696896534383</v>
      </c>
      <c r="AB33" s="110">
        <f t="shared" si="420"/>
        <v>2.9453335782680203</v>
      </c>
      <c r="AC33" s="110">
        <f t="shared" si="420"/>
        <v>2.9453335782680208</v>
      </c>
      <c r="AD33" s="110">
        <f t="shared" si="420"/>
        <v>2.9453335782680665</v>
      </c>
      <c r="AE33" s="110">
        <f t="shared" si="420"/>
        <v>2.9453335782679368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>
        <f t="shared" si="422"/>
        <v>0.48351648351648358</v>
      </c>
      <c r="BL33" s="46">
        <f t="shared" si="422"/>
        <v>0.5494505494505495</v>
      </c>
      <c r="BM33" s="46">
        <f t="shared" si="422"/>
        <v>0.93548387096774188</v>
      </c>
      <c r="BN33" s="46">
        <f t="shared" si="422"/>
        <v>0.95161290322580649</v>
      </c>
      <c r="BO33" s="46">
        <f t="shared" ref="BO33:CL33" si="423">+BO32/BN134</f>
        <v>0.77192982456140358</v>
      </c>
      <c r="BP33" s="46">
        <f t="shared" si="423"/>
        <v>0.77192982456140358</v>
      </c>
      <c r="BQ33" s="46">
        <f t="shared" si="423"/>
        <v>0.97435897435897434</v>
      </c>
      <c r="BR33" s="46">
        <f t="shared" si="423"/>
        <v>0.89743589743589747</v>
      </c>
      <c r="BS33" s="46">
        <f t="shared" si="423"/>
        <v>1.28</v>
      </c>
      <c r="BT33" s="46">
        <f t="shared" si="423"/>
        <v>1.1199999999999999</v>
      </c>
      <c r="BU33" s="46">
        <f t="shared" si="423"/>
        <v>1.5789473684210527</v>
      </c>
      <c r="BV33" s="46">
        <f t="shared" si="423"/>
        <v>1.5263157894736843</v>
      </c>
      <c r="BW33" s="46">
        <f t="shared" si="423"/>
        <v>1.9090909090909092</v>
      </c>
      <c r="BX33" s="46">
        <f t="shared" si="423"/>
        <v>2.3030303030303032</v>
      </c>
      <c r="BY33" s="46">
        <f t="shared" si="423"/>
        <v>0.13629160063391441</v>
      </c>
      <c r="BZ33" s="46">
        <f t="shared" si="423"/>
        <v>0.13629160063391441</v>
      </c>
      <c r="CA33" s="46">
        <f t="shared" si="423"/>
        <v>0.12869565217391304</v>
      </c>
      <c r="CB33" s="46">
        <f t="shared" si="423"/>
        <v>0.1391304347826087</v>
      </c>
      <c r="CC33" s="46">
        <f t="shared" si="423"/>
        <v>0.16438356164383561</v>
      </c>
      <c r="CD33" s="46">
        <f t="shared" si="423"/>
        <v>0.24853228962818003</v>
      </c>
      <c r="CE33" s="46">
        <f t="shared" si="423"/>
        <v>0.16530612244897958</v>
      </c>
      <c r="CF33" s="46">
        <f t="shared" si="423"/>
        <v>0.16734693877551018</v>
      </c>
      <c r="CG33" s="46">
        <f t="shared" si="423"/>
        <v>0.19668246445497631</v>
      </c>
      <c r="CH33" s="46">
        <f t="shared" si="423"/>
        <v>0.19668246445497631</v>
      </c>
      <c r="CI33" s="46">
        <f t="shared" si="423"/>
        <v>0.1136251358561406</v>
      </c>
      <c r="CJ33" s="46">
        <f t="shared" si="423"/>
        <v>0.13376435180024512</v>
      </c>
      <c r="CK33" s="46">
        <f t="shared" si="423"/>
        <v>0.23248407643312102</v>
      </c>
      <c r="CL33" s="46">
        <f t="shared" si="423"/>
        <v>0.29045643153526979</v>
      </c>
      <c r="CM33" s="47">
        <f t="shared" ref="CM33" si="424">CL33</f>
        <v>0.29045643153526979</v>
      </c>
      <c r="CN33" s="47">
        <f t="shared" ref="CN33" si="425">CM33</f>
        <v>0.29045643153526979</v>
      </c>
      <c r="CO33" s="47">
        <f t="shared" ref="CO33" si="426">CN33</f>
        <v>0.29045643153526979</v>
      </c>
      <c r="CP33" s="47">
        <f t="shared" ref="CP33" si="427">CO33</f>
        <v>0.29045643153526979</v>
      </c>
      <c r="CQ33" s="47">
        <f t="shared" ref="CQ33" si="428">CP33</f>
        <v>0.29045643153526979</v>
      </c>
      <c r="CR33" s="47">
        <f t="shared" ref="CR33" si="429">CQ33</f>
        <v>0.29045643153526979</v>
      </c>
      <c r="CS33" s="47">
        <f t="shared" ref="CS33" si="430">CR33</f>
        <v>0.29045643153526979</v>
      </c>
      <c r="CT33" s="47">
        <f t="shared" ref="CT33" si="431">CS33</f>
        <v>0.29045643153526979</v>
      </c>
      <c r="CU33" s="47">
        <f t="shared" ref="CU33" si="432">CT33</f>
        <v>0.29045643153526979</v>
      </c>
      <c r="CV33" s="47">
        <f t="shared" ref="CV33" si="433">CU33</f>
        <v>0.29045643153526979</v>
      </c>
      <c r="CW33" s="47">
        <f t="shared" ref="CW33" si="434">CV33</f>
        <v>0.29045643153526979</v>
      </c>
      <c r="CX33" s="47">
        <f t="shared" ref="CX33" si="435">CW33</f>
        <v>0.29045643153526979</v>
      </c>
      <c r="CY33" s="47">
        <f t="shared" ref="CY33" si="436">CX33</f>
        <v>0.29045643153526979</v>
      </c>
      <c r="CZ33" s="47">
        <f t="shared" ref="CZ33" si="437">CY33</f>
        <v>0.29045643153526979</v>
      </c>
      <c r="DA33" s="47">
        <f t="shared" ref="DA33" si="438">CZ33</f>
        <v>0.29045643153526979</v>
      </c>
      <c r="DB33" s="47">
        <f t="shared" ref="DB33" si="439">DA33</f>
        <v>0.29045643153526979</v>
      </c>
      <c r="DE33" s="130"/>
      <c r="DF33" s="46">
        <v>0.23248407643312102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0</v>
      </c>
      <c r="K34" s="26">
        <f t="shared" si="440"/>
        <v>0</v>
      </c>
      <c r="L34" s="26">
        <f t="shared" si="440"/>
        <v>0</v>
      </c>
      <c r="M34" s="26">
        <f t="shared" si="440"/>
        <v>0</v>
      </c>
      <c r="N34" s="26">
        <f t="shared" si="440"/>
        <v>0</v>
      </c>
      <c r="O34" s="26">
        <f t="shared" si="440"/>
        <v>-14.829000000000008</v>
      </c>
      <c r="P34" s="26">
        <f t="shared" si="440"/>
        <v>-43.348999999999975</v>
      </c>
      <c r="Q34" s="26">
        <f t="shared" si="440"/>
        <v>-136.36900000000006</v>
      </c>
      <c r="R34" s="26">
        <f t="shared" si="440"/>
        <v>-78.317000000000064</v>
      </c>
      <c r="S34" s="26">
        <f t="shared" si="440"/>
        <v>-79.115000000000023</v>
      </c>
      <c r="T34" s="26">
        <f t="shared" si="440"/>
        <v>12.950999999999976</v>
      </c>
      <c r="U34" s="26">
        <f t="shared" ref="U34:Z34" si="441">U28-U32</f>
        <v>147.75200000000009</v>
      </c>
      <c r="V34" s="26">
        <f t="shared" si="441"/>
        <v>312.09200000000004</v>
      </c>
      <c r="W34" s="26">
        <f t="shared" si="441"/>
        <v>295.89999999999998</v>
      </c>
      <c r="X34" s="26">
        <f t="shared" si="441"/>
        <v>236.80800000000005</v>
      </c>
      <c r="Y34" s="26">
        <f t="shared" si="441"/>
        <v>294.89700000000016</v>
      </c>
      <c r="Z34" s="26">
        <f t="shared" si="441"/>
        <v>489.84800000000001</v>
      </c>
      <c r="AA34" s="26">
        <f t="shared" ref="AA34" si="442">AA28-AA32</f>
        <v>501.59299999999973</v>
      </c>
      <c r="AB34" s="27">
        <f t="shared" ref="AA34:AD34" si="443">AB28-AB32</f>
        <v>576.48812483239965</v>
      </c>
      <c r="AC34" s="27">
        <f t="shared" si="443"/>
        <v>667.05828197088556</v>
      </c>
      <c r="AD34" s="27">
        <f t="shared" si="443"/>
        <v>759.24231860480154</v>
      </c>
      <c r="AE34" s="27">
        <f t="shared" ref="AE34" si="444">AE28-AE32</f>
        <v>860.94155158276112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-53.900000000000006</v>
      </c>
      <c r="BH34" s="26">
        <f t="shared" si="449"/>
        <v>21.5</v>
      </c>
      <c r="BI34" s="26">
        <f t="shared" si="449"/>
        <v>26.3</v>
      </c>
      <c r="BJ34" s="26">
        <f t="shared" si="449"/>
        <v>18.900000000000009</v>
      </c>
      <c r="BK34" s="26">
        <f t="shared" si="449"/>
        <v>32.300000000000018</v>
      </c>
      <c r="BL34" s="26">
        <f t="shared" si="449"/>
        <v>31.299999999999997</v>
      </c>
      <c r="BM34" s="26">
        <f t="shared" si="449"/>
        <v>37.800000000000011</v>
      </c>
      <c r="BN34" s="26">
        <f t="shared" si="449"/>
        <v>46.399999999999984</v>
      </c>
      <c r="BO34" s="26">
        <f t="shared" si="449"/>
        <v>68.899999999999991</v>
      </c>
      <c r="BP34" s="26">
        <f t="shared" si="449"/>
        <v>77.299999999999983</v>
      </c>
      <c r="BQ34" s="26">
        <f t="shared" si="449"/>
        <v>83.999999999999986</v>
      </c>
      <c r="BR34" s="26">
        <f t="shared" si="449"/>
        <v>81.899999999999977</v>
      </c>
      <c r="BS34" s="26">
        <f t="shared" si="449"/>
        <v>85.399999999999991</v>
      </c>
      <c r="BT34" s="26">
        <f t="shared" si="449"/>
        <v>80.40000000000002</v>
      </c>
      <c r="BU34" s="26">
        <f t="shared" si="449"/>
        <v>75.8</v>
      </c>
      <c r="BV34" s="26">
        <f t="shared" si="449"/>
        <v>54.300000000000018</v>
      </c>
      <c r="BW34" s="26">
        <f t="shared" si="449"/>
        <v>57.899999999999991</v>
      </c>
      <c r="BX34" s="26">
        <f t="shared" si="449"/>
        <v>59.599999999999987</v>
      </c>
      <c r="BY34" s="26">
        <f t="shared" si="449"/>
        <v>61.600000000000016</v>
      </c>
      <c r="BZ34" s="26">
        <f t="shared" si="449"/>
        <v>57.500000000000021</v>
      </c>
      <c r="CA34" s="26">
        <f t="shared" si="449"/>
        <v>69.900000000000006</v>
      </c>
      <c r="CB34" s="26">
        <f t="shared" si="449"/>
        <v>72</v>
      </c>
      <c r="CC34" s="26">
        <f t="shared" si="449"/>
        <v>77.300000000000011</v>
      </c>
      <c r="CD34" s="26">
        <f t="shared" si="449"/>
        <v>75.699999999999974</v>
      </c>
      <c r="CE34" s="26">
        <f t="shared" ref="CE34:CF34" si="450">CE28-CE32</f>
        <v>111.40000000000003</v>
      </c>
      <c r="CF34" s="26">
        <f t="shared" si="450"/>
        <v>126.39999999999996</v>
      </c>
      <c r="CG34" s="26">
        <f t="shared" ref="CG34:CH34" si="451">CG28-CG32</f>
        <v>130</v>
      </c>
      <c r="CH34" s="26">
        <f t="shared" si="451"/>
        <v>122.10000000000004</v>
      </c>
      <c r="CI34" s="26">
        <f t="shared" ref="CI34:CJ34" si="452">CI28-CI32</f>
        <v>126.60000000000002</v>
      </c>
      <c r="CJ34" s="26">
        <f t="shared" si="452"/>
        <v>122.49999999999999</v>
      </c>
      <c r="CK34" s="26">
        <f t="shared" ref="CK34:CL34" si="453">CK28-CK32</f>
        <v>126.90000000000005</v>
      </c>
      <c r="CL34" s="26">
        <f t="shared" si="453"/>
        <v>125.60000000000002</v>
      </c>
      <c r="CM34" s="27">
        <f t="shared" ref="CM34:DB34" si="454">CM28-CM32</f>
        <v>135.40980359017814</v>
      </c>
      <c r="CN34" s="27">
        <f t="shared" si="454"/>
        <v>142.54061518185824</v>
      </c>
      <c r="CO34" s="27">
        <f t="shared" si="454"/>
        <v>148.31373624105044</v>
      </c>
      <c r="CP34" s="27">
        <f t="shared" si="454"/>
        <v>150.22396981931288</v>
      </c>
      <c r="CQ34" s="27">
        <f t="shared" si="454"/>
        <v>157.45357423970003</v>
      </c>
      <c r="CR34" s="27">
        <f t="shared" si="454"/>
        <v>165.89636841023173</v>
      </c>
      <c r="CS34" s="27">
        <f t="shared" si="454"/>
        <v>171.14628505711067</v>
      </c>
      <c r="CT34" s="27">
        <f t="shared" si="454"/>
        <v>172.56205426384287</v>
      </c>
      <c r="CU34" s="27">
        <f t="shared" si="454"/>
        <v>179.49671289243085</v>
      </c>
      <c r="CV34" s="27">
        <f t="shared" si="454"/>
        <v>189.06708721080477</v>
      </c>
      <c r="CW34" s="27">
        <f t="shared" si="454"/>
        <v>194.66380935994999</v>
      </c>
      <c r="CX34" s="27">
        <f t="shared" si="454"/>
        <v>196.01470914161578</v>
      </c>
      <c r="CY34" s="27">
        <f t="shared" si="454"/>
        <v>203.63585873548564</v>
      </c>
      <c r="CZ34" s="27">
        <f t="shared" si="454"/>
        <v>214.45255147003533</v>
      </c>
      <c r="DA34" s="27">
        <f t="shared" si="454"/>
        <v>220.69523776328165</v>
      </c>
      <c r="DB34" s="27">
        <f t="shared" si="454"/>
        <v>222.15790361395841</v>
      </c>
      <c r="DE34" s="121"/>
      <c r="DF34" s="26">
        <v>133.70139517169611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7.5570000000000004</v>
      </c>
      <c r="P35" s="23">
        <f>'Annual Raw'!Q23</f>
        <v>11.955</v>
      </c>
      <c r="Q35" s="23">
        <f>'Annual Raw'!R23</f>
        <v>5.2560000000000002</v>
      </c>
      <c r="R35" s="23">
        <f>'Annual Raw'!S23</f>
        <v>14.173</v>
      </c>
      <c r="S35" s="23">
        <f>'Annual Raw'!T23</f>
        <v>19.018000000000001</v>
      </c>
      <c r="T35" s="23">
        <f>'Annual Raw'!U23</f>
        <v>40.972000000000001</v>
      </c>
      <c r="U35" s="23">
        <f>'Annual Raw'!V23</f>
        <v>68.590999999999994</v>
      </c>
      <c r="V35" s="23">
        <f>'Annual Raw'!W23</f>
        <v>86.584000000000003</v>
      </c>
      <c r="W35" s="23">
        <f>'Annual Raw'!X23</f>
        <v>112.194</v>
      </c>
      <c r="X35" s="23">
        <f>'Annual Raw'!Y23</f>
        <v>180.52600000000001</v>
      </c>
      <c r="Y35" s="23">
        <f>'Annual Raw'!Z23</f>
        <v>210.61</v>
      </c>
      <c r="Z35" s="23">
        <f>'Annual Raw'!AA23</f>
        <v>272.41800000000001</v>
      </c>
      <c r="AA35" s="23">
        <f>'Annual Raw'!AB23</f>
        <v>204.10300000000001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4.2</v>
      </c>
      <c r="BH35" s="23">
        <f>'QTR Raw'!AB23</f>
        <v>8.6</v>
      </c>
      <c r="BI35" s="23">
        <f>'QTR Raw'!AC23</f>
        <v>13.4</v>
      </c>
      <c r="BJ35" s="23">
        <f>'QTR Raw'!AD23</f>
        <v>14.8</v>
      </c>
      <c r="BK35" s="23">
        <f>'QTR Raw'!AE23</f>
        <v>14.3</v>
      </c>
      <c r="BL35" s="23">
        <f>'QTR Raw'!AF23</f>
        <v>20.5</v>
      </c>
      <c r="BM35" s="23">
        <f>'QTR Raw'!AG23</f>
        <v>16.600000000000001</v>
      </c>
      <c r="BN35" s="23">
        <f>'QTR Raw'!AH23</f>
        <v>17.2</v>
      </c>
      <c r="BO35" s="23">
        <f>'QTR Raw'!AI23</f>
        <v>33.700000000000003</v>
      </c>
      <c r="BP35" s="23">
        <f>'QTR Raw'!AJ23</f>
        <v>17.899999999999999</v>
      </c>
      <c r="BQ35" s="23">
        <f>'QTR Raw'!AK23</f>
        <v>24.6</v>
      </c>
      <c r="BR35" s="23">
        <f>'QTR Raw'!AL23</f>
        <v>10.4</v>
      </c>
      <c r="BS35" s="23">
        <f>'QTR Raw'!AM23</f>
        <v>29.4</v>
      </c>
      <c r="BT35" s="23">
        <f>'QTR Raw'!AN23</f>
        <v>31.4</v>
      </c>
      <c r="BU35" s="23">
        <f>'QTR Raw'!AO23</f>
        <v>21.9</v>
      </c>
      <c r="BV35" s="23">
        <f>'QTR Raw'!AP23</f>
        <v>29.5</v>
      </c>
      <c r="BW35" s="23">
        <f>'QTR Raw'!AQ23</f>
        <v>1</v>
      </c>
      <c r="BX35" s="23">
        <f>'QTR Raw'!AR23</f>
        <v>46.6</v>
      </c>
      <c r="BY35" s="23">
        <f>'QTR Raw'!AS23</f>
        <v>102.2</v>
      </c>
      <c r="BZ35" s="23">
        <f>'QTR Raw'!AT23</f>
        <v>30.7</v>
      </c>
      <c r="CA35" s="23">
        <f>'QTR Raw'!AU23</f>
        <v>57.1</v>
      </c>
      <c r="CB35" s="23">
        <f>'QTR Raw'!AV23</f>
        <v>34.6</v>
      </c>
      <c r="CC35" s="23">
        <f>'QTR Raw'!AW23</f>
        <v>41.7</v>
      </c>
      <c r="CD35" s="23">
        <f>'QTR Raw'!AX23</f>
        <v>77.2</v>
      </c>
      <c r="CE35" s="23">
        <f>'QTR Raw'!AY23</f>
        <v>53.2</v>
      </c>
      <c r="CF35" s="23">
        <f>'QTR Raw'!AZ23</f>
        <v>65.5</v>
      </c>
      <c r="CG35" s="23">
        <f>'QTR Raw'!BA23</f>
        <v>44.9</v>
      </c>
      <c r="CH35" s="23">
        <f>'QTR Raw'!BB23</f>
        <v>108.8</v>
      </c>
      <c r="CI35" s="23">
        <f>'QTR Raw'!BC23</f>
        <v>92.4</v>
      </c>
      <c r="CJ35" s="23">
        <f>'QTR Raw'!BD23</f>
        <v>10.199999999999999</v>
      </c>
      <c r="CK35" s="23">
        <f>'QTR Raw'!BE23</f>
        <v>135.4</v>
      </c>
      <c r="CL35" s="23">
        <f>'QTR Raw'!BF23</f>
        <v>-33.9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204.1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0.311</v>
      </c>
      <c r="P36" s="23">
        <f>'Annual Raw'!Q25</f>
        <v>0.47199999999999998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3.2829999999999999</v>
      </c>
      <c r="V36" s="23">
        <f>'Annual Raw'!W25</f>
        <v>6.6630000000000003</v>
      </c>
      <c r="W36" s="23">
        <f>'Annual Raw'!X25</f>
        <v>5.4020000000000001</v>
      </c>
      <c r="X36" s="23">
        <f>'Annual Raw'!Y25</f>
        <v>8.1509999999999998</v>
      </c>
      <c r="Y36" s="23">
        <f>'Annual Raw'!Z25</f>
        <v>8.9130000000000003</v>
      </c>
      <c r="Z36" s="23">
        <f>'Annual Raw'!AA25</f>
        <v>7.4059999999999997</v>
      </c>
      <c r="AA36" s="23">
        <f>'Annual Raw'!AB25</f>
        <v>2.9809999999999999</v>
      </c>
      <c r="AB36" s="76">
        <f t="shared" si="455"/>
        <v>154.07142490949289</v>
      </c>
      <c r="AC36" s="76">
        <f t="shared" si="456"/>
        <v>179.70172302846476</v>
      </c>
      <c r="AD36" s="76">
        <f t="shared" si="457"/>
        <v>208.72910574793454</v>
      </c>
      <c r="AE36" s="76">
        <f t="shared" si="458"/>
        <v>241.70948555536364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0.4</v>
      </c>
      <c r="BL36" s="23">
        <f>'QTR Raw'!AF25</f>
        <v>0.7</v>
      </c>
      <c r="BM36" s="23">
        <f>'QTR Raw'!AG25</f>
        <v>0.5</v>
      </c>
      <c r="BN36" s="23">
        <f>'QTR Raw'!AH25</f>
        <v>1.7</v>
      </c>
      <c r="BO36" s="23">
        <f>'QTR Raw'!AI25</f>
        <v>1.8</v>
      </c>
      <c r="BP36" s="23">
        <f>'QTR Raw'!AJ25</f>
        <v>1.8</v>
      </c>
      <c r="BQ36" s="23">
        <f>'QTR Raw'!AK25</f>
        <v>1.6</v>
      </c>
      <c r="BR36" s="23">
        <f>'QTR Raw'!AL25</f>
        <v>1.5</v>
      </c>
      <c r="BS36" s="23">
        <f>'QTR Raw'!AM25</f>
        <v>1.4</v>
      </c>
      <c r="BT36" s="23">
        <f>'QTR Raw'!AN25</f>
        <v>1.4</v>
      </c>
      <c r="BU36" s="23">
        <f>'QTR Raw'!AO25</f>
        <v>1.3</v>
      </c>
      <c r="BV36" s="23">
        <f>'QTR Raw'!AP25</f>
        <v>1.3</v>
      </c>
      <c r="BW36" s="23">
        <f>'QTR Raw'!AQ25</f>
        <v>1.2</v>
      </c>
      <c r="BX36" s="23">
        <f>'QTR Raw'!AR25</f>
        <v>2.6</v>
      </c>
      <c r="BY36" s="23">
        <f>'QTR Raw'!AS25</f>
        <v>2.2000000000000002</v>
      </c>
      <c r="BZ36" s="23">
        <f>'QTR Raw'!AT25</f>
        <v>2.1</v>
      </c>
      <c r="CA36" s="23">
        <f>'QTR Raw'!AU25</f>
        <v>2.2000000000000002</v>
      </c>
      <c r="CB36" s="23">
        <f>'QTR Raw'!AV25</f>
        <v>2.2999999999999998</v>
      </c>
      <c r="CC36" s="23">
        <f>'QTR Raw'!AW25</f>
        <v>2.2000000000000002</v>
      </c>
      <c r="CD36" s="23">
        <f>'QTR Raw'!AX25</f>
        <v>2.2000000000000002</v>
      </c>
      <c r="CE36" s="23">
        <f>'QTR Raw'!AY25</f>
        <v>2</v>
      </c>
      <c r="CF36" s="23">
        <f>'QTR Raw'!AZ25</f>
        <v>1.9</v>
      </c>
      <c r="CG36" s="23">
        <f>'QTR Raw'!BA25</f>
        <v>1.8</v>
      </c>
      <c r="CH36" s="23">
        <f>'QTR Raw'!BB25</f>
        <v>1.7</v>
      </c>
      <c r="CI36" s="23">
        <f>'QTR Raw'!BC25</f>
        <v>1</v>
      </c>
      <c r="CJ36" s="23">
        <f>'QTR Raw'!BD25</f>
        <v>0.7</v>
      </c>
      <c r="CK36" s="23">
        <f>'QTR Raw'!BE25</f>
        <v>0.7</v>
      </c>
      <c r="CL36" s="23">
        <f>'QTR Raw'!BF25</f>
        <v>0.6</v>
      </c>
      <c r="CM36" s="24">
        <f t="shared" ref="CM36:DB36" si="459">CM37*CL168</f>
        <v>35.905877159082301</v>
      </c>
      <c r="CN36" s="24">
        <f t="shared" si="459"/>
        <v>37.561452317812837</v>
      </c>
      <c r="CO36" s="24">
        <f t="shared" si="459"/>
        <v>39.550943150220888</v>
      </c>
      <c r="CP36" s="24">
        <f t="shared" si="459"/>
        <v>41.05315228237685</v>
      </c>
      <c r="CQ36" s="24">
        <f t="shared" si="459"/>
        <v>42.010960839253926</v>
      </c>
      <c r="CR36" s="24">
        <f t="shared" si="459"/>
        <v>43.822164194716137</v>
      </c>
      <c r="CS36" s="24">
        <f t="shared" si="459"/>
        <v>46.082789531606373</v>
      </c>
      <c r="CT36" s="24">
        <f t="shared" si="459"/>
        <v>47.785808462888333</v>
      </c>
      <c r="CU36" s="24">
        <f t="shared" si="459"/>
        <v>48.879581216971538</v>
      </c>
      <c r="CV36" s="24">
        <f t="shared" si="459"/>
        <v>50.925177300579108</v>
      </c>
      <c r="CW36" s="24">
        <f t="shared" si="459"/>
        <v>53.494219498771102</v>
      </c>
      <c r="CX36" s="24">
        <f t="shared" si="459"/>
        <v>55.430127731612778</v>
      </c>
      <c r="CY36" s="24">
        <f t="shared" si="459"/>
        <v>56.67615046618706</v>
      </c>
      <c r="CZ36" s="24">
        <f t="shared" si="459"/>
        <v>58.998774009778444</v>
      </c>
      <c r="DA36" s="24">
        <f t="shared" si="459"/>
        <v>61.917004287453501</v>
      </c>
      <c r="DB36" s="24">
        <f t="shared" si="459"/>
        <v>64.117556791944665</v>
      </c>
      <c r="DE36" s="123"/>
      <c r="DF36" s="23">
        <v>-146.56400297101004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>
        <f t="shared" si="461"/>
        <v>2.752212389380531</v>
      </c>
      <c r="P37" s="46">
        <f t="shared" si="461"/>
        <v>8.280701754385964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 t="e">
        <f t="shared" si="461"/>
        <v>#DIV/0!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>
        <f t="shared" si="463"/>
        <v>0.53429602888086636</v>
      </c>
      <c r="BK37" s="46">
        <f t="shared" si="463"/>
        <v>2.0289008903809663E-2</v>
      </c>
      <c r="BL37" s="46">
        <f t="shared" si="463"/>
        <v>2.7563974720312513E-2</v>
      </c>
      <c r="BM37" s="46">
        <f t="shared" si="463"/>
        <v>2.1715673050984628E-2</v>
      </c>
      <c r="BN37" s="46">
        <f t="shared" si="463"/>
        <v>1.9274185915178016E-2</v>
      </c>
      <c r="BO37" s="46">
        <f t="shared" ref="BO37:CL37" si="464">(BO36-BO35)/BN168</f>
        <v>3.5614603103717765E-2</v>
      </c>
      <c r="BP37" s="46">
        <f t="shared" si="464"/>
        <v>1.6629122851887192E-2</v>
      </c>
      <c r="BQ37" s="46">
        <f t="shared" si="464"/>
        <v>2.2001147885976662E-2</v>
      </c>
      <c r="BR37" s="46">
        <f t="shared" si="464"/>
        <v>7.900051039655593E-3</v>
      </c>
      <c r="BS37" s="46">
        <f t="shared" si="464"/>
        <v>1.21999041436103E-2</v>
      </c>
      <c r="BT37" s="46">
        <f t="shared" si="464"/>
        <v>1.2588385774549644E-2</v>
      </c>
      <c r="BU37" s="46">
        <f t="shared" si="464"/>
        <v>8.5662009314703934E-3</v>
      </c>
      <c r="BV37" s="46">
        <f t="shared" si="464"/>
        <v>1.1391796240353773E-2</v>
      </c>
      <c r="BW37" s="46">
        <f t="shared" si="464"/>
        <v>-8.4118438761776555E-5</v>
      </c>
      <c r="BX37" s="46">
        <f t="shared" si="464"/>
        <v>1.8134833889743004E-2</v>
      </c>
      <c r="BY37" s="46">
        <f t="shared" si="464"/>
        <v>5.1198033995494573E-2</v>
      </c>
      <c r="BZ37" s="46">
        <f t="shared" si="464"/>
        <v>1.3837072292386605E-2</v>
      </c>
      <c r="CA37" s="46">
        <f t="shared" si="464"/>
        <v>2.3561220548474308E-2</v>
      </c>
      <c r="CB37" s="46">
        <f t="shared" si="464"/>
        <v>1.3379203532233999E-2</v>
      </c>
      <c r="CC37" s="46">
        <f t="shared" si="464"/>
        <v>2.0983850403739908E-2</v>
      </c>
      <c r="CD37" s="46">
        <f t="shared" si="464"/>
        <v>3.816686395782462E-2</v>
      </c>
      <c r="CE37" s="46">
        <f t="shared" si="464"/>
        <v>2.2036670396832235E-2</v>
      </c>
      <c r="CF37" s="46">
        <f t="shared" si="464"/>
        <v>2.6076673883565386E-2</v>
      </c>
      <c r="CG37" s="46">
        <f t="shared" si="464"/>
        <v>1.7724954762296428E-2</v>
      </c>
      <c r="CH37" s="46">
        <f t="shared" si="464"/>
        <v>4.1947861991831759E-2</v>
      </c>
      <c r="CI37" s="46">
        <f t="shared" si="464"/>
        <v>3.1817942882963239E-2</v>
      </c>
      <c r="CJ37" s="46">
        <f t="shared" si="464"/>
        <v>3.0445515411422837E-3</v>
      </c>
      <c r="CK37" s="46">
        <f t="shared" si="464"/>
        <v>4.8880502231737864E-2</v>
      </c>
      <c r="CL37" s="46">
        <f t="shared" si="464"/>
        <v>-1.1506081253310999E-2</v>
      </c>
      <c r="CM37" s="47">
        <f t="shared" ref="CM37" si="465">+CL37</f>
        <v>-1.1506081253310999E-2</v>
      </c>
      <c r="CN37" s="47">
        <f t="shared" ref="CN37" si="466">+CM37</f>
        <v>-1.1506081253310999E-2</v>
      </c>
      <c r="CO37" s="47">
        <f t="shared" ref="CO37" si="467">+CN37</f>
        <v>-1.1506081253310999E-2</v>
      </c>
      <c r="CP37" s="47">
        <f t="shared" ref="CP37" si="468">+CO37</f>
        <v>-1.1506081253310999E-2</v>
      </c>
      <c r="CQ37" s="47">
        <f t="shared" ref="CQ37" si="469">+CP37</f>
        <v>-1.1506081253310999E-2</v>
      </c>
      <c r="CR37" s="47">
        <f t="shared" ref="CR37" si="470">+CQ37</f>
        <v>-1.1506081253310999E-2</v>
      </c>
      <c r="CS37" s="47">
        <f t="shared" ref="CS37" si="471">+CR37</f>
        <v>-1.1506081253310999E-2</v>
      </c>
      <c r="CT37" s="47">
        <f t="shared" ref="CT37" si="472">+CS37</f>
        <v>-1.1506081253310999E-2</v>
      </c>
      <c r="CU37" s="47">
        <f t="shared" ref="CU37" si="473">+CT37</f>
        <v>-1.1506081253310999E-2</v>
      </c>
      <c r="CV37" s="47">
        <f t="shared" ref="CV37" si="474">+CU37</f>
        <v>-1.1506081253310999E-2</v>
      </c>
      <c r="CW37" s="47">
        <f t="shared" ref="CW37" si="475">+CV37</f>
        <v>-1.1506081253310999E-2</v>
      </c>
      <c r="CX37" s="47">
        <f t="shared" ref="CX37" si="476">+CW37</f>
        <v>-1.1506081253310999E-2</v>
      </c>
      <c r="CY37" s="47">
        <f t="shared" ref="CY37" si="477">+CX37</f>
        <v>-1.1506081253310999E-2</v>
      </c>
      <c r="CZ37" s="47">
        <f t="shared" ref="CZ37" si="478">+CY37</f>
        <v>-1.1506081253310999E-2</v>
      </c>
      <c r="DA37" s="47">
        <f t="shared" ref="DA37" si="479">+CZ37</f>
        <v>-1.1506081253310999E-2</v>
      </c>
      <c r="DB37" s="47">
        <f t="shared" ref="DB37" si="480">+DA37</f>
        <v>-1.1506081253310999E-2</v>
      </c>
      <c r="DE37" s="130"/>
      <c r="DF37" s="46">
        <v>4.8880502231737864E-2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0</v>
      </c>
      <c r="K38" s="26">
        <f t="shared" si="481"/>
        <v>0</v>
      </c>
      <c r="L38" s="26">
        <f t="shared" si="481"/>
        <v>0</v>
      </c>
      <c r="M38" s="26">
        <f t="shared" si="481"/>
        <v>0</v>
      </c>
      <c r="N38" s="26">
        <f t="shared" si="481"/>
        <v>0</v>
      </c>
      <c r="O38" s="26">
        <f t="shared" si="481"/>
        <v>-7.5830000000000073</v>
      </c>
      <c r="P38" s="26">
        <f t="shared" si="481"/>
        <v>-31.865999999999978</v>
      </c>
      <c r="Q38" s="26">
        <f t="shared" si="481"/>
        <v>-131.11300000000006</v>
      </c>
      <c r="R38" s="26">
        <f t="shared" si="481"/>
        <v>-64.144000000000062</v>
      </c>
      <c r="S38" s="26">
        <f t="shared" si="481"/>
        <v>-60.097000000000023</v>
      </c>
      <c r="T38" s="26">
        <f t="shared" si="481"/>
        <v>53.922999999999973</v>
      </c>
      <c r="U38" s="26">
        <f t="shared" ref="U38:Z38" si="482">U34+U35-U36</f>
        <v>213.06000000000009</v>
      </c>
      <c r="V38" s="26">
        <f t="shared" si="482"/>
        <v>392.01300000000003</v>
      </c>
      <c r="W38" s="26">
        <f t="shared" si="482"/>
        <v>402.69200000000001</v>
      </c>
      <c r="X38" s="26">
        <f t="shared" si="482"/>
        <v>409.18300000000005</v>
      </c>
      <c r="Y38" s="26">
        <f t="shared" si="482"/>
        <v>496.59400000000016</v>
      </c>
      <c r="Z38" s="26">
        <f t="shared" si="482"/>
        <v>754.86000000000013</v>
      </c>
      <c r="AA38" s="26">
        <f t="shared" ref="AA38" si="483">AA34+AA35-AA36</f>
        <v>702.71499999999969</v>
      </c>
      <c r="AB38" s="27">
        <f t="shared" ref="AB38:AD38" si="484">AB34+AB35-AB36</f>
        <v>422.41669992290679</v>
      </c>
      <c r="AC38" s="27">
        <f t="shared" si="484"/>
        <v>487.3565589424208</v>
      </c>
      <c r="AD38" s="27">
        <f t="shared" si="484"/>
        <v>550.51321285686697</v>
      </c>
      <c r="AE38" s="27">
        <f t="shared" ref="AE38" si="485">AE34+AE35-AE36</f>
        <v>619.23206602739742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-49.7</v>
      </c>
      <c r="BH38" s="26">
        <f t="shared" si="489"/>
        <v>30.1</v>
      </c>
      <c r="BI38" s="26">
        <f t="shared" si="489"/>
        <v>39.700000000000003</v>
      </c>
      <c r="BJ38" s="26">
        <f t="shared" si="489"/>
        <v>33.70000000000001</v>
      </c>
      <c r="BK38" s="26">
        <f t="shared" si="489"/>
        <v>46.200000000000024</v>
      </c>
      <c r="BL38" s="26">
        <f t="shared" si="489"/>
        <v>51.099999999999994</v>
      </c>
      <c r="BM38" s="26">
        <f t="shared" si="489"/>
        <v>53.900000000000013</v>
      </c>
      <c r="BN38" s="26">
        <f t="shared" si="489"/>
        <v>61.899999999999977</v>
      </c>
      <c r="BO38" s="26">
        <f t="shared" si="489"/>
        <v>100.8</v>
      </c>
      <c r="BP38" s="26">
        <f t="shared" si="489"/>
        <v>93.399999999999991</v>
      </c>
      <c r="BQ38" s="26">
        <f t="shared" si="489"/>
        <v>107</v>
      </c>
      <c r="BR38" s="26">
        <f t="shared" si="489"/>
        <v>90.799999999999983</v>
      </c>
      <c r="BS38" s="26">
        <f t="shared" si="489"/>
        <v>113.39999999999998</v>
      </c>
      <c r="BT38" s="26">
        <f t="shared" si="489"/>
        <v>110.4</v>
      </c>
      <c r="BU38" s="26">
        <f t="shared" si="489"/>
        <v>96.399999999999991</v>
      </c>
      <c r="BV38" s="26">
        <f t="shared" si="489"/>
        <v>82.500000000000014</v>
      </c>
      <c r="BW38" s="26">
        <f t="shared" si="489"/>
        <v>57.699999999999989</v>
      </c>
      <c r="BX38" s="26">
        <f t="shared" si="489"/>
        <v>103.6</v>
      </c>
      <c r="BY38" s="26">
        <f t="shared" si="489"/>
        <v>161.60000000000002</v>
      </c>
      <c r="BZ38" s="26">
        <f t="shared" si="489"/>
        <v>86.100000000000023</v>
      </c>
      <c r="CA38" s="26">
        <f t="shared" si="489"/>
        <v>124.8</v>
      </c>
      <c r="CB38" s="26">
        <f t="shared" si="489"/>
        <v>104.3</v>
      </c>
      <c r="CC38" s="26">
        <f t="shared" si="489"/>
        <v>116.80000000000001</v>
      </c>
      <c r="CD38" s="26">
        <f t="shared" si="489"/>
        <v>150.69999999999999</v>
      </c>
      <c r="CE38" s="26">
        <f t="shared" ref="CE38:CF38" si="490">CE34+CE35-CE36</f>
        <v>162.60000000000002</v>
      </c>
      <c r="CF38" s="26">
        <f t="shared" si="490"/>
        <v>189.99999999999997</v>
      </c>
      <c r="CG38" s="26">
        <f t="shared" ref="CG38:CH38" si="491">CG34+CG35-CG36</f>
        <v>173.1</v>
      </c>
      <c r="CH38" s="26">
        <f t="shared" si="491"/>
        <v>229.20000000000005</v>
      </c>
      <c r="CI38" s="26">
        <f t="shared" ref="CI38:CJ38" si="492">CI34+CI35-CI36</f>
        <v>218.00000000000003</v>
      </c>
      <c r="CJ38" s="26">
        <f t="shared" si="492"/>
        <v>132</v>
      </c>
      <c r="CK38" s="26">
        <f t="shared" ref="CK38:CL38" si="493">CK34+CK35-CK36</f>
        <v>261.60000000000008</v>
      </c>
      <c r="CL38" s="26">
        <f t="shared" si="493"/>
        <v>91.100000000000023</v>
      </c>
      <c r="CM38" s="27">
        <f t="shared" ref="CM38:DB38" si="494">CM34+CM35-CM36</f>
        <v>99.503926431095834</v>
      </c>
      <c r="CN38" s="27">
        <f t="shared" si="494"/>
        <v>104.97916286404541</v>
      </c>
      <c r="CO38" s="27">
        <f t="shared" si="494"/>
        <v>108.76279309082955</v>
      </c>
      <c r="CP38" s="27">
        <f t="shared" si="494"/>
        <v>109.17081753693603</v>
      </c>
      <c r="CQ38" s="27">
        <f t="shared" si="494"/>
        <v>115.44261340044611</v>
      </c>
      <c r="CR38" s="27">
        <f t="shared" si="494"/>
        <v>122.07420421551559</v>
      </c>
      <c r="CS38" s="27">
        <f t="shared" si="494"/>
        <v>125.06349552550429</v>
      </c>
      <c r="CT38" s="27">
        <f t="shared" si="494"/>
        <v>124.77624580095454</v>
      </c>
      <c r="CU38" s="27">
        <f t="shared" si="494"/>
        <v>130.61713167545932</v>
      </c>
      <c r="CV38" s="27">
        <f t="shared" si="494"/>
        <v>138.14190991022565</v>
      </c>
      <c r="CW38" s="27">
        <f t="shared" si="494"/>
        <v>141.16958986117891</v>
      </c>
      <c r="CX38" s="27">
        <f t="shared" si="494"/>
        <v>140.58458141000301</v>
      </c>
      <c r="CY38" s="27">
        <f t="shared" si="494"/>
        <v>146.95970826929857</v>
      </c>
      <c r="CZ38" s="27">
        <f t="shared" si="494"/>
        <v>155.4537774602569</v>
      </c>
      <c r="DA38" s="27">
        <f t="shared" si="494"/>
        <v>158.77823347582816</v>
      </c>
      <c r="DB38" s="27">
        <f t="shared" si="494"/>
        <v>158.04034682201376</v>
      </c>
      <c r="DE38" s="121"/>
      <c r="DF38" s="26">
        <v>280.26539814270615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1.7999999999999999E-2</v>
      </c>
      <c r="Q39" s="23">
        <f>'Annual Raw'!R30</f>
        <v>0.45500000000000002</v>
      </c>
      <c r="R39" s="23">
        <f>'Annual Raw'!S30</f>
        <v>0.20200000000000001</v>
      </c>
      <c r="S39" s="23">
        <f>'Annual Raw'!T30</f>
        <v>-114.85599999999999</v>
      </c>
      <c r="T39" s="23">
        <f>'Annual Raw'!U30</f>
        <v>33.878999999999998</v>
      </c>
      <c r="U39" s="23">
        <f>'Annual Raw'!V30</f>
        <v>64.037000000000006</v>
      </c>
      <c r="V39" s="23">
        <f>'Annual Raw'!W30</f>
        <v>109.57899999999999</v>
      </c>
      <c r="W39" s="23">
        <f>'Annual Raw'!X30</f>
        <v>92.825000000000003</v>
      </c>
      <c r="X39" s="23">
        <f>'Annual Raw'!Y30</f>
        <v>87.450999999999993</v>
      </c>
      <c r="Y39" s="23">
        <f>'Annual Raw'!Z30</f>
        <v>120.42400000000001</v>
      </c>
      <c r="Z39" s="23">
        <f>'Annual Raw'!AA30</f>
        <v>155.11099999999999</v>
      </c>
      <c r="AA39" s="23">
        <f>'Annual Raw'!AB30</f>
        <v>173.261</v>
      </c>
      <c r="AB39" s="24">
        <f>+SUM(CM39:CP39)</f>
        <v>112.58513162119591</v>
      </c>
      <c r="AC39" s="24">
        <f>+SUM(CQ39:CT39)</f>
        <v>130.70287257067432</v>
      </c>
      <c r="AD39" s="24">
        <f>+SUM(CU39:CX39)</f>
        <v>147.84682202530988</v>
      </c>
      <c r="AE39" s="24">
        <f>+SUM(CY39:DB39)</f>
        <v>166.34745565723003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6.7</v>
      </c>
      <c r="BH39" s="23">
        <f>'QTR Raw'!AB29</f>
        <v>9.6999999999999993</v>
      </c>
      <c r="BI39" s="23">
        <f>'QTR Raw'!AC29</f>
        <v>12</v>
      </c>
      <c r="BJ39" s="23">
        <f>'QTR Raw'!AD29</f>
        <v>5.5</v>
      </c>
      <c r="BK39" s="23">
        <f>'QTR Raw'!AE29</f>
        <v>13.8</v>
      </c>
      <c r="BL39" s="23">
        <f>'QTR Raw'!AF29</f>
        <v>42.2</v>
      </c>
      <c r="BM39" s="23">
        <f>'QTR Raw'!AG29</f>
        <v>-8.8000000000000007</v>
      </c>
      <c r="BN39" s="23">
        <f>'QTR Raw'!AH29</f>
        <v>16.899999999999999</v>
      </c>
      <c r="BO39" s="23">
        <f>'QTR Raw'!AI29</f>
        <v>26.3</v>
      </c>
      <c r="BP39" s="23">
        <f>'QTR Raw'!AJ29</f>
        <v>23.4</v>
      </c>
      <c r="BQ39" s="23">
        <f>'QTR Raw'!AK29</f>
        <v>26.3</v>
      </c>
      <c r="BR39" s="23">
        <f>'QTR Raw'!AL29</f>
        <v>33.5</v>
      </c>
      <c r="BS39" s="23">
        <f>'QTR Raw'!AM29</f>
        <v>24</v>
      </c>
      <c r="BT39" s="23">
        <f>'QTR Raw'!AN29</f>
        <v>26.4</v>
      </c>
      <c r="BU39" s="23">
        <f>'QTR Raw'!AO29</f>
        <v>23.1</v>
      </c>
      <c r="BV39" s="23">
        <f>'QTR Raw'!AP29</f>
        <v>19.3</v>
      </c>
      <c r="BW39" s="23">
        <f>'QTR Raw'!AQ29</f>
        <v>4</v>
      </c>
      <c r="BX39" s="23">
        <f>'QTR Raw'!AR29</f>
        <v>24.3</v>
      </c>
      <c r="BY39" s="23">
        <f>'QTR Raw'!AS29</f>
        <v>39.4</v>
      </c>
      <c r="BZ39" s="23">
        <f>'QTR Raw'!AT29</f>
        <v>19.8</v>
      </c>
      <c r="CA39" s="23">
        <f>'QTR Raw'!AU29</f>
        <v>29.3</v>
      </c>
      <c r="CB39" s="23">
        <f>'QTR Raw'!AV29</f>
        <v>23.9</v>
      </c>
      <c r="CC39" s="23">
        <f>'QTR Raw'!AW29</f>
        <v>27.7</v>
      </c>
      <c r="CD39" s="23">
        <f>'QTR Raw'!AX29</f>
        <v>39.5</v>
      </c>
      <c r="CE39" s="23">
        <f>'QTR Raw'!AY29</f>
        <v>37.4</v>
      </c>
      <c r="CF39" s="23">
        <f>'QTR Raw'!AZ29</f>
        <v>42.2</v>
      </c>
      <c r="CG39" s="23">
        <f>'QTR Raw'!BA29</f>
        <v>38</v>
      </c>
      <c r="CH39" s="23">
        <f>'QTR Raw'!BB29</f>
        <v>37.5</v>
      </c>
      <c r="CI39" s="23">
        <f>'QTR Raw'!BC29</f>
        <v>50.4</v>
      </c>
      <c r="CJ39" s="23">
        <f>'QTR Raw'!BD29</f>
        <v>35.9</v>
      </c>
      <c r="CK39" s="23">
        <f>'QTR Raw'!BE29</f>
        <v>58.7</v>
      </c>
      <c r="CL39" s="23">
        <f>'QTR Raw'!BF29</f>
        <v>28.2</v>
      </c>
      <c r="CM39" s="24">
        <f t="shared" ref="CM39:DB39" si="495">+CM38*CM40</f>
        <v>25.798897486869294</v>
      </c>
      <c r="CN39" s="24">
        <f t="shared" si="495"/>
        <v>27.955509941689755</v>
      </c>
      <c r="CO39" s="24">
        <f t="shared" si="495"/>
        <v>28.808797495416822</v>
      </c>
      <c r="CP39" s="24">
        <f t="shared" si="495"/>
        <v>30.021926697220042</v>
      </c>
      <c r="CQ39" s="24">
        <f t="shared" si="495"/>
        <v>30.74952108311842</v>
      </c>
      <c r="CR39" s="24">
        <f t="shared" si="495"/>
        <v>32.732203258762006</v>
      </c>
      <c r="CS39" s="24">
        <f t="shared" si="495"/>
        <v>33.591195267472074</v>
      </c>
      <c r="CT39" s="24">
        <f t="shared" si="495"/>
        <v>33.629952961321827</v>
      </c>
      <c r="CU39" s="24">
        <f t="shared" si="495"/>
        <v>35.025337411291098</v>
      </c>
      <c r="CV39" s="24">
        <f t="shared" si="495"/>
        <v>37.104971265355125</v>
      </c>
      <c r="CW39" s="24">
        <f t="shared" si="495"/>
        <v>37.934679383038855</v>
      </c>
      <c r="CX39" s="24">
        <f t="shared" si="495"/>
        <v>37.781833965624799</v>
      </c>
      <c r="CY39" s="24">
        <f t="shared" si="495"/>
        <v>39.466699740243698</v>
      </c>
      <c r="CZ39" s="24">
        <f t="shared" si="495"/>
        <v>41.763438137812926</v>
      </c>
      <c r="DA39" s="24">
        <f t="shared" si="495"/>
        <v>42.658738460550929</v>
      </c>
      <c r="DB39" s="24">
        <f t="shared" si="495"/>
        <v>42.458579318622462</v>
      </c>
      <c r="DE39" s="123"/>
      <c r="DF39" s="23">
        <v>62.440559423216179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 t="e">
        <f t="shared" si="497"/>
        <v>#DIV/0!</v>
      </c>
      <c r="K40" s="90" t="e">
        <f t="shared" si="497"/>
        <v>#DIV/0!</v>
      </c>
      <c r="L40" s="90" t="e">
        <f t="shared" si="497"/>
        <v>#DIV/0!</v>
      </c>
      <c r="M40" s="90" t="e">
        <f t="shared" si="497"/>
        <v>#DIV/0!</v>
      </c>
      <c r="N40" s="90" t="e">
        <f t="shared" si="497"/>
        <v>#DIV/0!</v>
      </c>
      <c r="O40" s="90">
        <f t="shared" si="497"/>
        <v>0</v>
      </c>
      <c r="P40" s="90">
        <f t="shared" si="497"/>
        <v>-5.6486537375258932E-4</v>
      </c>
      <c r="Q40" s="90">
        <f t="shared" si="497"/>
        <v>-3.4702889873620452E-3</v>
      </c>
      <c r="R40" s="90">
        <f t="shared" si="497"/>
        <v>-3.1491643801446717E-3</v>
      </c>
      <c r="S40" s="90">
        <f t="shared" si="497"/>
        <v>1.911176930628816</v>
      </c>
      <c r="T40" s="90">
        <f t="shared" si="497"/>
        <v>0.6282847764404802</v>
      </c>
      <c r="U40" s="90">
        <f t="shared" ref="U40:Z40" si="498">U39/U38</f>
        <v>0.30055852811414613</v>
      </c>
      <c r="V40" s="90">
        <f t="shared" si="498"/>
        <v>0.27952899521189345</v>
      </c>
      <c r="W40" s="90">
        <f t="shared" si="498"/>
        <v>0.23051115989391396</v>
      </c>
      <c r="X40" s="90">
        <f t="shared" si="498"/>
        <v>0.21372100013930193</v>
      </c>
      <c r="Y40" s="90">
        <f t="shared" si="498"/>
        <v>0.24249990938271498</v>
      </c>
      <c r="Z40" s="90">
        <f t="shared" si="498"/>
        <v>0.20548313594573822</v>
      </c>
      <c r="AA40" s="90">
        <f t="shared" ref="AA40" si="499">AA39/AA38</f>
        <v>0.24655941597945122</v>
      </c>
      <c r="AB40" s="91">
        <f t="shared" ref="AA40:AD40" si="500">AB39/AB38</f>
        <v>0.26652623260809355</v>
      </c>
      <c r="AC40" s="91">
        <f t="shared" si="500"/>
        <v>0.26818736748778699</v>
      </c>
      <c r="AD40" s="91">
        <f t="shared" si="500"/>
        <v>0.26856180482583608</v>
      </c>
      <c r="AE40" s="91">
        <f t="shared" ref="AE40" si="501">AE39/AE38</f>
        <v>0.26863508009914672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>
        <f t="shared" si="506"/>
        <v>-0.13480885311871227</v>
      </c>
      <c r="BH40" s="90">
        <f t="shared" si="506"/>
        <v>0.32225913621262453</v>
      </c>
      <c r="BI40" s="90">
        <f t="shared" si="506"/>
        <v>0.30226700251889166</v>
      </c>
      <c r="BJ40" s="90">
        <f t="shared" si="506"/>
        <v>0.16320474777448066</v>
      </c>
      <c r="BK40" s="90">
        <f t="shared" si="506"/>
        <v>0.29870129870129858</v>
      </c>
      <c r="BL40" s="90">
        <f t="shared" si="506"/>
        <v>0.82583170254403149</v>
      </c>
      <c r="BM40" s="90">
        <f t="shared" si="506"/>
        <v>-0.16326530612244897</v>
      </c>
      <c r="BN40" s="90">
        <f t="shared" si="506"/>
        <v>0.27302100161550896</v>
      </c>
      <c r="BO40" s="90">
        <f t="shared" si="506"/>
        <v>0.26091269841269843</v>
      </c>
      <c r="BP40" s="90">
        <f t="shared" si="506"/>
        <v>0.25053533190578159</v>
      </c>
      <c r="BQ40" s="90">
        <f t="shared" si="506"/>
        <v>0.24579439252336449</v>
      </c>
      <c r="BR40" s="90">
        <f t="shared" si="506"/>
        <v>0.36894273127753313</v>
      </c>
      <c r="BS40" s="90">
        <f t="shared" si="506"/>
        <v>0.21164021164021168</v>
      </c>
      <c r="BT40" s="90">
        <f t="shared" si="506"/>
        <v>0.23913043478260868</v>
      </c>
      <c r="BU40" s="90">
        <f t="shared" si="506"/>
        <v>0.23962655601659755</v>
      </c>
      <c r="BV40" s="90">
        <f t="shared" si="506"/>
        <v>0.23393939393939392</v>
      </c>
      <c r="BW40" s="90">
        <f t="shared" si="506"/>
        <v>6.932409012131717E-2</v>
      </c>
      <c r="BX40" s="90">
        <f t="shared" si="506"/>
        <v>0.23455598455598459</v>
      </c>
      <c r="BY40" s="90">
        <f t="shared" si="506"/>
        <v>0.24381188118811878</v>
      </c>
      <c r="BZ40" s="90">
        <f t="shared" si="506"/>
        <v>0.22996515679442503</v>
      </c>
      <c r="CA40" s="90">
        <f t="shared" si="506"/>
        <v>0.23477564102564102</v>
      </c>
      <c r="CB40" s="90">
        <f t="shared" si="506"/>
        <v>0.22914669223394055</v>
      </c>
      <c r="CC40" s="90">
        <f t="shared" si="506"/>
        <v>0.23715753424657532</v>
      </c>
      <c r="CD40" s="90">
        <f t="shared" si="506"/>
        <v>0.26211015262110154</v>
      </c>
      <c r="CE40" s="90">
        <f t="shared" ref="CE40:CF40" si="507">CE39/CE38</f>
        <v>0.2300123001230012</v>
      </c>
      <c r="CF40" s="90">
        <f t="shared" si="507"/>
        <v>0.22210526315789478</v>
      </c>
      <c r="CG40" s="90">
        <f t="shared" ref="CG40:CH40" si="508">CG39/CG38</f>
        <v>0.21952628538417102</v>
      </c>
      <c r="CH40" s="90">
        <f t="shared" si="508"/>
        <v>0.16361256544502614</v>
      </c>
      <c r="CI40" s="90">
        <f t="shared" ref="CI40:CJ40" si="509">CI39/CI38</f>
        <v>0.23119266055045867</v>
      </c>
      <c r="CJ40" s="90">
        <f t="shared" si="509"/>
        <v>0.27196969696969697</v>
      </c>
      <c r="CK40" s="90">
        <f t="shared" ref="CK40:CL40" si="510">CK39/CK38</f>
        <v>0.22438837920489291</v>
      </c>
      <c r="CL40" s="90">
        <f t="shared" si="510"/>
        <v>0.30954994511525785</v>
      </c>
      <c r="CM40" s="91">
        <f t="shared" ref="CM40:DB40" si="511">AVERAGE(CI40:CL40)</f>
        <v>0.25927517046007659</v>
      </c>
      <c r="CN40" s="91">
        <f t="shared" si="511"/>
        <v>0.26629579793748109</v>
      </c>
      <c r="CO40" s="91">
        <f t="shared" si="511"/>
        <v>0.26487732317942714</v>
      </c>
      <c r="CP40" s="91">
        <f t="shared" si="511"/>
        <v>0.27499955917306063</v>
      </c>
      <c r="CQ40" s="91">
        <f t="shared" si="511"/>
        <v>0.26636196268751133</v>
      </c>
      <c r="CR40" s="91">
        <f t="shared" si="511"/>
        <v>0.26813366074437006</v>
      </c>
      <c r="CS40" s="91">
        <f t="shared" si="511"/>
        <v>0.26859312644609229</v>
      </c>
      <c r="CT40" s="91">
        <f t="shared" si="511"/>
        <v>0.26952207726275856</v>
      </c>
      <c r="CU40" s="91">
        <f t="shared" si="511"/>
        <v>0.2681527067851831</v>
      </c>
      <c r="CV40" s="91">
        <f t="shared" si="511"/>
        <v>0.26860039280960102</v>
      </c>
      <c r="CW40" s="91">
        <f t="shared" si="511"/>
        <v>0.26871707582590876</v>
      </c>
      <c r="CX40" s="91">
        <f t="shared" si="511"/>
        <v>0.26874806317086286</v>
      </c>
      <c r="CY40" s="91">
        <f t="shared" si="511"/>
        <v>0.26855455964788894</v>
      </c>
      <c r="CZ40" s="91">
        <f t="shared" si="511"/>
        <v>0.26865502286356541</v>
      </c>
      <c r="DA40" s="91">
        <f t="shared" si="511"/>
        <v>0.26866868037705649</v>
      </c>
      <c r="DB40" s="91">
        <f t="shared" si="511"/>
        <v>0.2686565815148434</v>
      </c>
      <c r="DE40" s="127"/>
      <c r="DF40" s="90">
        <v>0.22279082554251867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</v>
      </c>
      <c r="K41" s="26">
        <f t="shared" si="513"/>
        <v>0</v>
      </c>
      <c r="L41" s="26">
        <f t="shared" si="513"/>
        <v>0</v>
      </c>
      <c r="M41" s="26">
        <f t="shared" si="513"/>
        <v>0</v>
      </c>
      <c r="N41" s="26">
        <f t="shared" si="513"/>
        <v>0</v>
      </c>
      <c r="O41" s="26">
        <f t="shared" si="513"/>
        <v>-7.5830000000000073</v>
      </c>
      <c r="P41" s="26">
        <f t="shared" si="513"/>
        <v>-31.883999999999979</v>
      </c>
      <c r="Q41" s="26">
        <f t="shared" si="513"/>
        <v>-131.56800000000007</v>
      </c>
      <c r="R41" s="26">
        <f t="shared" si="513"/>
        <v>-64.34600000000006</v>
      </c>
      <c r="S41" s="26">
        <f t="shared" si="513"/>
        <v>54.758999999999972</v>
      </c>
      <c r="T41" s="26">
        <f t="shared" si="513"/>
        <v>20.043999999999976</v>
      </c>
      <c r="U41" s="26">
        <f t="shared" ref="U41:Z41" si="514">U38-U39</f>
        <v>149.02300000000008</v>
      </c>
      <c r="V41" s="26">
        <f t="shared" si="514"/>
        <v>282.43400000000003</v>
      </c>
      <c r="W41" s="26">
        <f t="shared" si="514"/>
        <v>309.86700000000002</v>
      </c>
      <c r="X41" s="26">
        <f t="shared" si="514"/>
        <v>321.73200000000008</v>
      </c>
      <c r="Y41" s="26">
        <f t="shared" si="514"/>
        <v>376.17000000000019</v>
      </c>
      <c r="Z41" s="26">
        <f t="shared" si="514"/>
        <v>599.74900000000014</v>
      </c>
      <c r="AA41" s="26">
        <f t="shared" ref="AA41" si="515">AA38-AA39</f>
        <v>529.45399999999972</v>
      </c>
      <c r="AB41" s="27">
        <f t="shared" ref="AA41:AD41" si="516">AB38-AB39</f>
        <v>309.83156830171089</v>
      </c>
      <c r="AC41" s="27">
        <f t="shared" si="516"/>
        <v>356.65368637174652</v>
      </c>
      <c r="AD41" s="27">
        <f t="shared" si="516"/>
        <v>402.66639083155712</v>
      </c>
      <c r="AE41" s="27">
        <f t="shared" ref="AE41" si="517">AE38-AE39</f>
        <v>452.88461037016737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-56.400000000000006</v>
      </c>
      <c r="BH41" s="26">
        <f t="shared" si="521"/>
        <v>20.400000000000002</v>
      </c>
      <c r="BI41" s="26">
        <f t="shared" si="521"/>
        <v>27.700000000000003</v>
      </c>
      <c r="BJ41" s="26">
        <f t="shared" si="521"/>
        <v>28.20000000000001</v>
      </c>
      <c r="BK41" s="26">
        <f t="shared" si="521"/>
        <v>32.40000000000002</v>
      </c>
      <c r="BL41" s="26">
        <f t="shared" si="521"/>
        <v>8.8999999999999915</v>
      </c>
      <c r="BM41" s="26">
        <f t="shared" si="521"/>
        <v>62.700000000000017</v>
      </c>
      <c r="BN41" s="26">
        <f t="shared" si="521"/>
        <v>44.999999999999979</v>
      </c>
      <c r="BO41" s="26">
        <f t="shared" si="521"/>
        <v>74.5</v>
      </c>
      <c r="BP41" s="26">
        <f t="shared" si="521"/>
        <v>70</v>
      </c>
      <c r="BQ41" s="26">
        <f t="shared" si="521"/>
        <v>80.7</v>
      </c>
      <c r="BR41" s="26">
        <f t="shared" si="521"/>
        <v>57.299999999999983</v>
      </c>
      <c r="BS41" s="26">
        <f t="shared" si="521"/>
        <v>89.399999999999977</v>
      </c>
      <c r="BT41" s="26">
        <f t="shared" si="521"/>
        <v>84</v>
      </c>
      <c r="BU41" s="26">
        <f t="shared" si="521"/>
        <v>73.299999999999983</v>
      </c>
      <c r="BV41" s="26">
        <f t="shared" si="521"/>
        <v>63.200000000000017</v>
      </c>
      <c r="BW41" s="26">
        <f t="shared" si="521"/>
        <v>53.699999999999989</v>
      </c>
      <c r="BX41" s="26">
        <f t="shared" si="521"/>
        <v>79.3</v>
      </c>
      <c r="BY41" s="26">
        <f t="shared" si="521"/>
        <v>122.20000000000002</v>
      </c>
      <c r="BZ41" s="26">
        <f t="shared" si="521"/>
        <v>66.300000000000026</v>
      </c>
      <c r="CA41" s="26">
        <f t="shared" si="521"/>
        <v>95.5</v>
      </c>
      <c r="CB41" s="26">
        <f t="shared" si="521"/>
        <v>80.400000000000006</v>
      </c>
      <c r="CC41" s="26">
        <f t="shared" si="521"/>
        <v>89.100000000000009</v>
      </c>
      <c r="CD41" s="26">
        <f t="shared" si="521"/>
        <v>111.19999999999999</v>
      </c>
      <c r="CE41" s="26">
        <f t="shared" ref="CE41:CF41" si="522">CE38-CE39</f>
        <v>125.20000000000002</v>
      </c>
      <c r="CF41" s="26">
        <f t="shared" si="522"/>
        <v>147.79999999999995</v>
      </c>
      <c r="CG41" s="26">
        <f t="shared" ref="CG41:CH41" si="523">CG38-CG39</f>
        <v>135.1</v>
      </c>
      <c r="CH41" s="26">
        <f t="shared" si="523"/>
        <v>191.70000000000005</v>
      </c>
      <c r="CI41" s="26">
        <f t="shared" ref="CI41:CJ41" si="524">CI38-CI39</f>
        <v>167.60000000000002</v>
      </c>
      <c r="CJ41" s="26">
        <f t="shared" si="524"/>
        <v>96.1</v>
      </c>
      <c r="CK41" s="26">
        <f t="shared" ref="CK41:CL41" si="525">CK38-CK39</f>
        <v>202.90000000000009</v>
      </c>
      <c r="CL41" s="26">
        <f t="shared" si="525"/>
        <v>62.90000000000002</v>
      </c>
      <c r="CM41" s="27">
        <f t="shared" ref="CM41:DB41" si="526">CM38-CM39</f>
        <v>73.705028944226541</v>
      </c>
      <c r="CN41" s="27">
        <f t="shared" si="526"/>
        <v>77.023652922355652</v>
      </c>
      <c r="CO41" s="27">
        <f t="shared" si="526"/>
        <v>79.953995595412721</v>
      </c>
      <c r="CP41" s="27">
        <f t="shared" si="526"/>
        <v>79.148890839715989</v>
      </c>
      <c r="CQ41" s="27">
        <f t="shared" si="526"/>
        <v>84.693092317327682</v>
      </c>
      <c r="CR41" s="27">
        <f t="shared" si="526"/>
        <v>89.342000956753594</v>
      </c>
      <c r="CS41" s="27">
        <f t="shared" si="526"/>
        <v>91.47230025803222</v>
      </c>
      <c r="CT41" s="27">
        <f t="shared" si="526"/>
        <v>91.146292839632707</v>
      </c>
      <c r="CU41" s="27">
        <f t="shared" si="526"/>
        <v>95.591794264168215</v>
      </c>
      <c r="CV41" s="27">
        <f t="shared" si="526"/>
        <v>101.03693864487053</v>
      </c>
      <c r="CW41" s="27">
        <f t="shared" si="526"/>
        <v>103.23491047814005</v>
      </c>
      <c r="CX41" s="27">
        <f t="shared" si="526"/>
        <v>102.80274744437821</v>
      </c>
      <c r="CY41" s="27">
        <f t="shared" si="526"/>
        <v>107.49300852905488</v>
      </c>
      <c r="CZ41" s="27">
        <f t="shared" si="526"/>
        <v>113.69033932244398</v>
      </c>
      <c r="DA41" s="27">
        <f t="shared" si="526"/>
        <v>116.11949501527724</v>
      </c>
      <c r="DB41" s="27">
        <f t="shared" si="526"/>
        <v>115.58176750339129</v>
      </c>
      <c r="DE41" s="121"/>
      <c r="DF41" s="26">
        <v>217.82483871948997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 t="e">
        <f t="shared" si="528"/>
        <v>#DIV/0!</v>
      </c>
      <c r="O42" s="45">
        <f t="shared" si="528"/>
        <v>-5.5861271335646508E-2</v>
      </c>
      <c r="P42" s="45">
        <f t="shared" si="528"/>
        <v>-0.18108501067745</v>
      </c>
      <c r="Q42" s="45">
        <f t="shared" si="528"/>
        <v>-0.53536681139192632</v>
      </c>
      <c r="R42" s="45">
        <f t="shared" si="528"/>
        <v>-0.20249682939801067</v>
      </c>
      <c r="S42" s="45">
        <f t="shared" si="528"/>
        <v>0.13339325908386676</v>
      </c>
      <c r="T42" s="45">
        <f t="shared" si="528"/>
        <v>3.9502026932483496E-2</v>
      </c>
      <c r="U42" s="45">
        <f t="shared" si="528"/>
        <v>0.23326612966342869</v>
      </c>
      <c r="V42" s="45">
        <f t="shared" si="528"/>
        <v>0.42181903990967234</v>
      </c>
      <c r="W42" s="45">
        <f t="shared" si="528"/>
        <v>0.41124508118940656</v>
      </c>
      <c r="X42" s="45">
        <f t="shared" si="528"/>
        <v>0.32649921503878132</v>
      </c>
      <c r="Y42" s="45">
        <f t="shared" si="528"/>
        <v>0.31431973428589349</v>
      </c>
      <c r="Z42" s="45">
        <f t="shared" ref="Z42:AA42" si="529">+Z41/Z10</f>
        <v>0.43198875782947171</v>
      </c>
      <c r="AA42" s="45">
        <f t="shared" si="529"/>
        <v>0.3374377486389783</v>
      </c>
      <c r="AB42" s="48">
        <f t="shared" si="528"/>
        <v>0.17442351312235796</v>
      </c>
      <c r="AC42" s="48">
        <f t="shared" si="528"/>
        <v>0.17727700660549273</v>
      </c>
      <c r="AD42" s="48">
        <f t="shared" si="528"/>
        <v>0.17670326560304933</v>
      </c>
      <c r="AE42" s="48">
        <f t="shared" si="528"/>
        <v>0.17545876942100255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>
        <f t="shared" si="530"/>
        <v>-0.49779346866725516</v>
      </c>
      <c r="BH42" s="45">
        <f t="shared" si="530"/>
        <v>0.16653061224489799</v>
      </c>
      <c r="BI42" s="45">
        <f t="shared" si="530"/>
        <v>0.2073353293413174</v>
      </c>
      <c r="BJ42" s="45">
        <f t="shared" si="530"/>
        <v>0.20434782608695659</v>
      </c>
      <c r="BK42" s="45">
        <f t="shared" si="530"/>
        <v>0.2199592668024441</v>
      </c>
      <c r="BL42" s="45">
        <f t="shared" si="530"/>
        <v>5.6832694763729194E-2</v>
      </c>
      <c r="BM42" s="45">
        <f t="shared" si="530"/>
        <v>0.38023044269254103</v>
      </c>
      <c r="BN42" s="45">
        <f t="shared" si="530"/>
        <v>0.26455026455026442</v>
      </c>
      <c r="BO42" s="45">
        <f t="shared" ref="BO42:CT42" si="531">+BO41/BO10</f>
        <v>0.48661005878510777</v>
      </c>
      <c r="BP42" s="45">
        <f t="shared" si="531"/>
        <v>0.42892156862745101</v>
      </c>
      <c r="BQ42" s="45">
        <f t="shared" si="531"/>
        <v>0.46486175115207379</v>
      </c>
      <c r="BR42" s="45">
        <f t="shared" si="531"/>
        <v>0.3188647746243739</v>
      </c>
      <c r="BS42" s="45">
        <f t="shared" si="531"/>
        <v>0.4922907488986783</v>
      </c>
      <c r="BT42" s="45">
        <f t="shared" si="531"/>
        <v>0.46052631578947367</v>
      </c>
      <c r="BU42" s="45">
        <f t="shared" si="531"/>
        <v>0.38968633705475803</v>
      </c>
      <c r="BV42" s="45">
        <f t="shared" si="531"/>
        <v>0.31380337636544198</v>
      </c>
      <c r="BW42" s="45">
        <f t="shared" si="531"/>
        <v>0.2390917186108637</v>
      </c>
      <c r="BX42" s="45">
        <f t="shared" si="531"/>
        <v>0.32959268495428096</v>
      </c>
      <c r="BY42" s="45">
        <f t="shared" si="531"/>
        <v>0.48607796340493242</v>
      </c>
      <c r="BZ42" s="45">
        <f t="shared" si="531"/>
        <v>0.24665178571428581</v>
      </c>
      <c r="CA42" s="45">
        <f t="shared" si="531"/>
        <v>0.33853243530662885</v>
      </c>
      <c r="CB42" s="45">
        <f t="shared" si="531"/>
        <v>0.27281981676280964</v>
      </c>
      <c r="CC42" s="45">
        <f t="shared" si="531"/>
        <v>0.29184408778250903</v>
      </c>
      <c r="CD42" s="45">
        <f t="shared" si="531"/>
        <v>0.35335239911026373</v>
      </c>
      <c r="CE42" s="45">
        <f t="shared" si="531"/>
        <v>0.37790522185330522</v>
      </c>
      <c r="CF42" s="45">
        <f t="shared" si="531"/>
        <v>0.42507909117054921</v>
      </c>
      <c r="CG42" s="45">
        <f t="shared" si="531"/>
        <v>0.38131526954558281</v>
      </c>
      <c r="CH42" s="45">
        <f t="shared" si="531"/>
        <v>0.53984793016051824</v>
      </c>
      <c r="CI42" s="45">
        <f t="shared" ref="CI42:CJ42" si="532">+CI41/CI10</f>
        <v>0.45041655468959962</v>
      </c>
      <c r="CJ42" s="45">
        <f t="shared" si="532"/>
        <v>0.24578005115089513</v>
      </c>
      <c r="CK42" s="45">
        <f t="shared" ref="CK42:CL42" si="533">+CK41/CK10</f>
        <v>0.50522908366533881</v>
      </c>
      <c r="CL42" s="45">
        <f t="shared" si="533"/>
        <v>0.15557754142963151</v>
      </c>
      <c r="CM42" s="48">
        <f t="shared" si="531"/>
        <v>0.17530087322769536</v>
      </c>
      <c r="CN42" s="48">
        <f t="shared" si="531"/>
        <v>0.17407750416738343</v>
      </c>
      <c r="CO42" s="48">
        <f t="shared" si="531"/>
        <v>0.17565531046552235</v>
      </c>
      <c r="CP42" s="48">
        <f t="shared" si="531"/>
        <v>0.17272899680022344</v>
      </c>
      <c r="CQ42" s="48">
        <f t="shared" si="531"/>
        <v>0.17793231286458414</v>
      </c>
      <c r="CR42" s="48">
        <f t="shared" si="531"/>
        <v>0.17827385166526327</v>
      </c>
      <c r="CS42" s="48">
        <f t="shared" si="531"/>
        <v>0.17738983587715468</v>
      </c>
      <c r="CT42" s="48">
        <f t="shared" si="531"/>
        <v>0.17560151637401247</v>
      </c>
      <c r="CU42" s="48">
        <f t="shared" ref="CU42:DB42" si="534">+CU41/CU10</f>
        <v>0.17731989800362885</v>
      </c>
      <c r="CV42" s="48">
        <f t="shared" si="534"/>
        <v>0.17798964120938224</v>
      </c>
      <c r="CW42" s="48">
        <f t="shared" si="534"/>
        <v>0.17674233125326025</v>
      </c>
      <c r="CX42" s="48">
        <f t="shared" si="534"/>
        <v>0.1748570100335336</v>
      </c>
      <c r="CY42" s="48">
        <f t="shared" si="534"/>
        <v>0.17603993982469218</v>
      </c>
      <c r="CZ42" s="48">
        <f t="shared" si="534"/>
        <v>0.1768166967194672</v>
      </c>
      <c r="DA42" s="48">
        <f t="shared" si="534"/>
        <v>0.17551124214942862</v>
      </c>
      <c r="DB42" s="48">
        <f t="shared" si="534"/>
        <v>0.17356262192188068</v>
      </c>
      <c r="DE42" s="129"/>
      <c r="DF42" s="45">
        <v>0.54410445647650907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 t="e">
        <f t="shared" si="536"/>
        <v>#DIV/0!</v>
      </c>
      <c r="L43" s="39" t="e">
        <f t="shared" si="536"/>
        <v>#DIV/0!</v>
      </c>
      <c r="M43" s="39" t="e">
        <f t="shared" si="536"/>
        <v>#DIV/0!</v>
      </c>
      <c r="N43" s="39" t="e">
        <f t="shared" si="536"/>
        <v>#DIV/0!</v>
      </c>
      <c r="O43" s="39" t="e">
        <f t="shared" si="536"/>
        <v>#DIV/0!</v>
      </c>
      <c r="P43" s="39">
        <f t="shared" si="536"/>
        <v>-3.2046683370697542</v>
      </c>
      <c r="Q43" s="39">
        <f t="shared" si="536"/>
        <v>-3.126458411742572</v>
      </c>
      <c r="R43" s="39">
        <f t="shared" si="536"/>
        <v>0.51092970935181792</v>
      </c>
      <c r="S43" s="39">
        <f t="shared" si="536"/>
        <v>1.8510086097037877</v>
      </c>
      <c r="T43" s="39">
        <f t="shared" si="536"/>
        <v>-0.63395971438485021</v>
      </c>
      <c r="U43" s="39">
        <f t="shared" si="536"/>
        <v>6.4347934544003325</v>
      </c>
      <c r="V43" s="39">
        <f t="shared" si="536"/>
        <v>0.89523764787985671</v>
      </c>
      <c r="W43" s="39">
        <f t="shared" si="536"/>
        <v>9.7130657073865034E-2</v>
      </c>
      <c r="X43" s="39">
        <f t="shared" si="536"/>
        <v>3.8290621460175034E-2</v>
      </c>
      <c r="Y43" s="39">
        <f t="shared" si="536"/>
        <v>0.16920293909216388</v>
      </c>
      <c r="Z43" s="39">
        <f t="shared" ref="Z43:AA43" si="537">+IF(Y41&lt;0,1-Z41/Y41,Z41/Y41-1)</f>
        <v>0.5943562750883904</v>
      </c>
      <c r="AA43" s="39">
        <f t="shared" si="537"/>
        <v>-0.11720736508105956</v>
      </c>
      <c r="AB43" s="40">
        <f t="shared" si="536"/>
        <v>-0.41480927842322268</v>
      </c>
      <c r="AC43" s="40">
        <f t="shared" si="536"/>
        <v>0.15112119893619336</v>
      </c>
      <c r="AD43" s="40">
        <f t="shared" si="536"/>
        <v>0.12901227778661095</v>
      </c>
      <c r="AE43" s="40">
        <f t="shared" si="536"/>
        <v>0.12471420680256728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>
        <f t="shared" ref="BK43" si="561">+IF(BG41&lt;0,1-BK41/BG41,BK41/BG41-1)</f>
        <v>1.5744680851063833</v>
      </c>
      <c r="BL43" s="39">
        <f t="shared" ref="BL43" si="562">+IF(BH41&lt;0,1-BL41/BH41,BL41/BH41-1)</f>
        <v>-0.56372549019607887</v>
      </c>
      <c r="BM43" s="39">
        <f t="shared" ref="BM43" si="563">+IF(BI41&lt;0,1-BM41/BI41,BM41/BI41-1)</f>
        <v>1.2635379061371843</v>
      </c>
      <c r="BN43" s="39">
        <f t="shared" ref="BN43" si="564">+IF(BJ41&lt;0,1-BN41/BJ41,BN41/BJ41-1)</f>
        <v>0.59574468085106247</v>
      </c>
      <c r="BO43" s="39">
        <f t="shared" ref="BO43" si="565">+IF(BK41&lt;0,1-BO41/BK41,BO41/BK41-1)</f>
        <v>1.2993827160493812</v>
      </c>
      <c r="BP43" s="39">
        <f t="shared" ref="BP43" si="566">+IF(BL41&lt;0,1-BP41/BL41,BP41/BL41-1)</f>
        <v>6.8651685393258504</v>
      </c>
      <c r="BQ43" s="39">
        <f t="shared" ref="BQ43" si="567">+IF(BM41&lt;0,1-BQ41/BM41,BQ41/BM41-1)</f>
        <v>0.28708133971291838</v>
      </c>
      <c r="BR43" s="39">
        <f t="shared" ref="BR43" si="568">+IF(BN41&lt;0,1-BR41/BN41,BR41/BN41-1)</f>
        <v>0.27333333333333365</v>
      </c>
      <c r="BS43" s="39">
        <f t="shared" ref="BS43" si="569">+IF(BO41&lt;0,1-BS41/BO41,BS41/BO41-1)</f>
        <v>0.19999999999999973</v>
      </c>
      <c r="BT43" s="39">
        <f t="shared" ref="BT43" si="570">+IF(BP41&lt;0,1-BT41/BP41,BT41/BP41-1)</f>
        <v>0.19999999999999996</v>
      </c>
      <c r="BU43" s="39">
        <f t="shared" ref="BU43" si="571">+IF(BQ41&lt;0,1-BU41/BQ41,BU41/BQ41-1)</f>
        <v>-9.1697645600991584E-2</v>
      </c>
      <c r="BV43" s="39">
        <f t="shared" ref="BV43" si="572">+IF(BR41&lt;0,1-BV41/BR41,BV41/BR41-1)</f>
        <v>0.10296684118673705</v>
      </c>
      <c r="BW43" s="39">
        <f t="shared" ref="BW43" si="573">+IF(BS41&lt;0,1-BW41/BS41,BW41/BS41-1)</f>
        <v>-0.39932885906040261</v>
      </c>
      <c r="BX43" s="39">
        <f t="shared" ref="BX43" si="574">+IF(BT41&lt;0,1-BX41/BT41,BX41/BT41-1)</f>
        <v>-5.5952380952380976E-2</v>
      </c>
      <c r="BY43" s="39">
        <f t="shared" ref="BY43" si="575">+IF(BU41&lt;0,1-BY41/BU41,BY41/BU41-1)</f>
        <v>0.66712141882674003</v>
      </c>
      <c r="BZ43" s="39">
        <f t="shared" ref="BZ43" si="576">+IF(BV41&lt;0,1-BZ41/BV41,BZ41/BV41-1)</f>
        <v>4.9050632911392444E-2</v>
      </c>
      <c r="CA43" s="39">
        <f t="shared" ref="CA43" si="577">+IF(BW41&lt;0,1-CA41/BW41,CA41/BW41-1)</f>
        <v>0.77839851024208606</v>
      </c>
      <c r="CB43" s="39">
        <f t="shared" ref="CB43" si="578">+IF(BX41&lt;0,1-CB41/BX41,CB41/BX41-1)</f>
        <v>1.3871374527112401E-2</v>
      </c>
      <c r="CC43" s="39">
        <f t="shared" ref="CC43" si="579">+IF(BY41&lt;0,1-CC41/BY41,CC41/BY41-1)</f>
        <v>-0.27086743044189854</v>
      </c>
      <c r="CD43" s="39">
        <f t="shared" ref="CD43" si="580">+IF(BZ41&lt;0,1-CD41/BZ41,CD41/BZ41-1)</f>
        <v>0.67722473604826461</v>
      </c>
      <c r="CE43" s="39">
        <f t="shared" ref="CE43" si="581">+IF(CA41&lt;0,1-CE41/CA41,CE41/CA41-1)</f>
        <v>0.31099476439790585</v>
      </c>
      <c r="CF43" s="39">
        <f t="shared" ref="CF43" si="582">+IF(CB41&lt;0,1-CF41/CB41,CF41/CB41-1)</f>
        <v>0.83830845771144213</v>
      </c>
      <c r="CG43" s="39">
        <f t="shared" ref="CG43" si="583">+IF(CC41&lt;0,1-CG41/CC41,CG41/CC41-1)</f>
        <v>0.51627384960718281</v>
      </c>
      <c r="CH43" s="39">
        <f t="shared" ref="CH43:CL43" si="584">+IF(CD41&lt;0,1-CH41/CD41,CH41/CD41-1)</f>
        <v>0.72392086330935301</v>
      </c>
      <c r="CI43" s="39">
        <f t="shared" si="584"/>
        <v>0.33865814696485619</v>
      </c>
      <c r="CJ43" s="39">
        <f t="shared" si="584"/>
        <v>-0.34979702300405935</v>
      </c>
      <c r="CK43" s="39">
        <f t="shared" si="584"/>
        <v>0.50185048112509323</v>
      </c>
      <c r="CL43" s="39">
        <f t="shared" si="584"/>
        <v>-0.67188315075639016</v>
      </c>
      <c r="CM43" s="40">
        <f t="shared" ref="CM43" si="585">+CM41/CI41-1</f>
        <v>-0.56023252419912573</v>
      </c>
      <c r="CN43" s="40">
        <f t="shared" ref="CN43" si="586">+CN41/CJ41-1</f>
        <v>-0.19850517250410349</v>
      </c>
      <c r="CO43" s="40">
        <f t="shared" ref="CO43" si="587">+CO41/CK41-1</f>
        <v>-0.6059438363952061</v>
      </c>
      <c r="CP43" s="40">
        <f t="shared" ref="CP43" si="588">+CP41/CL41-1</f>
        <v>0.25832894816718555</v>
      </c>
      <c r="CQ43" s="40">
        <f t="shared" ref="CQ43" si="589">+CQ41/CM41-1</f>
        <v>0.14908159633742146</v>
      </c>
      <c r="CR43" s="40">
        <f t="shared" ref="CR43" si="590">+CR41/CN41-1</f>
        <v>0.15992941865293719</v>
      </c>
      <c r="CS43" s="40">
        <f t="shared" ref="CS43" si="591">+CS41/CO41-1</f>
        <v>0.14406165166410201</v>
      </c>
      <c r="CT43" s="40">
        <f t="shared" ref="CT43" si="592">+CT41/CP41-1</f>
        <v>0.15158016584480749</v>
      </c>
      <c r="CU43" s="40">
        <f t="shared" ref="CU43" si="593">+CU41/CQ41-1</f>
        <v>0.1286846618612687</v>
      </c>
      <c r="CV43" s="40">
        <f t="shared" ref="CV43" si="594">+CV41/CR41-1</f>
        <v>0.13090078085197487</v>
      </c>
      <c r="CW43" s="40">
        <f t="shared" ref="CW43" si="595">+CW41/CS41-1</f>
        <v>0.1285920457551295</v>
      </c>
      <c r="CX43" s="40">
        <f t="shared" ref="CX43" si="596">+CX41/CT41-1</f>
        <v>0.12788731435577372</v>
      </c>
      <c r="CY43" s="40">
        <f t="shared" ref="CY43" si="597">+CY41/CU41-1</f>
        <v>0.12450037533554004</v>
      </c>
      <c r="CZ43" s="40">
        <f t="shared" ref="CZ43" si="598">+CZ41/CV41-1</f>
        <v>0.12523539259288352</v>
      </c>
      <c r="DA43" s="40">
        <f t="shared" ref="DA43" si="599">+DA41/CW41-1</f>
        <v>0.12480840519414693</v>
      </c>
      <c r="DB43" s="40">
        <f t="shared" ref="DB43" si="600">+DB41/CX41-1</f>
        <v>0.12430621142618015</v>
      </c>
      <c r="DE43" s="122"/>
      <c r="DF43" s="39">
        <v>0.1362798055268124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>
        <f t="shared" ref="BH44" si="622">+IF(BG41&lt;0,1-BH41/BG41,BH41/BG41-1)</f>
        <v>1.3617021276595744</v>
      </c>
      <c r="BI44" s="39">
        <f t="shared" ref="BI44" si="623">+IF(BH41&lt;0,1-BI41/BH41,BI41/BH41-1)</f>
        <v>0.35784313725490202</v>
      </c>
      <c r="BJ44" s="39">
        <f t="shared" ref="BJ44" si="624">+IF(BI41&lt;0,1-BJ41/BI41,BJ41/BI41-1)</f>
        <v>1.8050541516245744E-2</v>
      </c>
      <c r="BK44" s="39">
        <f t="shared" ref="BK44" si="625">+IF(BJ41&lt;0,1-BK41/BJ41,BK41/BJ41-1)</f>
        <v>0.14893617021276628</v>
      </c>
      <c r="BL44" s="39">
        <f t="shared" ref="BL44" si="626">+IF(BK41&lt;0,1-BL41/BK41,BL41/BK41-1)</f>
        <v>-0.72530864197530909</v>
      </c>
      <c r="BM44" s="39">
        <f t="shared" ref="BM44" si="627">+IF(BL41&lt;0,1-BM41/BL41,BM41/BL41-1)</f>
        <v>6.0449438202247281</v>
      </c>
      <c r="BN44" s="39">
        <f t="shared" ref="BN44" si="628">+IF(BM41&lt;0,1-BN41/BM41,BN41/BM41-1)</f>
        <v>-0.28229665071770393</v>
      </c>
      <c r="BO44" s="39">
        <f t="shared" ref="BO44" si="629">+IF(BN41&lt;0,1-BO41/BN41,BO41/BN41-1)</f>
        <v>0.65555555555555634</v>
      </c>
      <c r="BP44" s="39">
        <f t="shared" ref="BP44" si="630">+IF(BO41&lt;0,1-BP41/BO41,BP41/BO41-1)</f>
        <v>-6.0402684563758413E-2</v>
      </c>
      <c r="BQ44" s="39">
        <f t="shared" ref="BQ44" si="631">+IF(BP41&lt;0,1-BQ41/BP41,BQ41/BP41-1)</f>
        <v>0.1528571428571428</v>
      </c>
      <c r="BR44" s="39">
        <f t="shared" ref="BR44" si="632">+IF(BQ41&lt;0,1-BR41/BQ41,BR41/BQ41-1)</f>
        <v>-0.28996282527881068</v>
      </c>
      <c r="BS44" s="39">
        <f t="shared" ref="BS44" si="633">+IF(BR41&lt;0,1-BS41/BR41,BS41/BR41-1)</f>
        <v>0.56020942408376961</v>
      </c>
      <c r="BT44" s="39">
        <f t="shared" ref="BT44" si="634">+IF(BS41&lt;0,1-BT41/BS41,BT41/BS41-1)</f>
        <v>-6.0402684563758191E-2</v>
      </c>
      <c r="BU44" s="39">
        <f t="shared" ref="BU44" si="635">+IF(BT41&lt;0,1-BU41/BT41,BU41/BT41-1)</f>
        <v>-0.12738095238095259</v>
      </c>
      <c r="BV44" s="39">
        <f t="shared" ref="BV44" si="636">+IF(BU41&lt;0,1-BV41/BU41,BV41/BU41-1)</f>
        <v>-0.13778990450204598</v>
      </c>
      <c r="BW44" s="39">
        <f t="shared" ref="BW44" si="637">+IF(BV41&lt;0,1-BW41/BV41,BW41/BV41-1)</f>
        <v>-0.15031645569620289</v>
      </c>
      <c r="BX44" s="39">
        <f t="shared" ref="BX44" si="638">+IF(BW41&lt;0,1-BX41/BW41,BX41/BW41-1)</f>
        <v>0.47672253258845454</v>
      </c>
      <c r="BY44" s="39">
        <f t="shared" ref="BY44" si="639">+IF(BX41&lt;0,1-BY41/BX41,BY41/BX41-1)</f>
        <v>0.54098360655737743</v>
      </c>
      <c r="BZ44" s="39">
        <f t="shared" ref="BZ44" si="640">+IF(BY41&lt;0,1-BZ41/BY41,BZ41/BY41-1)</f>
        <v>-0.45744680851063813</v>
      </c>
      <c r="CA44" s="39">
        <f t="shared" ref="CA44" si="641">+IF(BZ41&lt;0,1-CA41/BZ41,CA41/BZ41-1)</f>
        <v>0.4404223227752635</v>
      </c>
      <c r="CB44" s="39">
        <f t="shared" ref="CB44" si="642">+IF(CA41&lt;0,1-CB41/CA41,CB41/CA41-1)</f>
        <v>-0.15811518324607321</v>
      </c>
      <c r="CC44" s="39">
        <f t="shared" ref="CC44" si="643">+IF(CB41&lt;0,1-CC41/CB41,CC41/CB41-1)</f>
        <v>0.10820895522388052</v>
      </c>
      <c r="CD44" s="39">
        <f t="shared" ref="CD44" si="644">+IF(CC41&lt;0,1-CD41/CC41,CD41/CC41-1)</f>
        <v>0.24803591470258102</v>
      </c>
      <c r="CE44" s="39">
        <f t="shared" ref="CE44" si="645">+IF(CD41&lt;0,1-CE41/CD41,CE41/CD41-1)</f>
        <v>0.1258992805755399</v>
      </c>
      <c r="CF44" s="39">
        <f t="shared" ref="CF44" si="646">+IF(CE41&lt;0,1-CF41/CE41,CF41/CE41-1)</f>
        <v>0.1805111821086256</v>
      </c>
      <c r="CG44" s="39">
        <f t="shared" ref="CG44" si="647">+IF(CF41&lt;0,1-CG41/CF41,CG41/CF41-1)</f>
        <v>-8.5926928281461201E-2</v>
      </c>
      <c r="CH44" s="39">
        <f t="shared" ref="CH44:CL44" si="648">+IF(CG41&lt;0,1-CH41/CG41,CH41/CG41-1)</f>
        <v>0.41894892672094786</v>
      </c>
      <c r="CI44" s="39">
        <f t="shared" si="648"/>
        <v>-0.12571726656233706</v>
      </c>
      <c r="CJ44" s="39">
        <f t="shared" si="648"/>
        <v>-0.42661097852028651</v>
      </c>
      <c r="CK44" s="39">
        <f t="shared" si="648"/>
        <v>1.1113423517169627</v>
      </c>
      <c r="CL44" s="39">
        <f t="shared" si="648"/>
        <v>-0.68999507146377526</v>
      </c>
      <c r="CM44" s="40">
        <f t="shared" ref="CM44" si="649">+CM41/CL41-1</f>
        <v>0.17178106429612905</v>
      </c>
      <c r="CN44" s="40">
        <f t="shared" ref="CN44" si="650">+CN41/CM41-1</f>
        <v>4.5025746894969076E-2</v>
      </c>
      <c r="CO44" s="40">
        <f t="shared" ref="CO44" si="651">+CO41/CN41-1</f>
        <v>3.8044711746027193E-2</v>
      </c>
      <c r="CP44" s="40">
        <f t="shared" ref="CP44" si="652">+CP41/CO41-1</f>
        <v>-1.0069600020626401E-2</v>
      </c>
      <c r="CQ44" s="40">
        <f t="shared" ref="CQ44" si="653">+CQ41/CP41-1</f>
        <v>7.0047746958820101E-2</v>
      </c>
      <c r="CR44" s="40">
        <f t="shared" ref="CR44" si="654">+CR41/CQ41-1</f>
        <v>5.4891237434186557E-2</v>
      </c>
      <c r="CS44" s="40">
        <f t="shared" ref="CS44" si="655">+CS41/CR41-1</f>
        <v>2.3844320459196044E-2</v>
      </c>
      <c r="CT44" s="40">
        <f t="shared" ref="CT44" si="656">+CT41/CS41-1</f>
        <v>-3.5640015335777209E-3</v>
      </c>
      <c r="CU44" s="40">
        <f t="shared" ref="CU44" si="657">+CU41/CT41-1</f>
        <v>4.8773255456007858E-2</v>
      </c>
      <c r="CV44" s="40">
        <f t="shared" ref="CV44" si="658">+CV41/CU41-1</f>
        <v>5.6962466523587274E-2</v>
      </c>
      <c r="CW44" s="40">
        <f t="shared" ref="CW44" si="659">+CW41/CV41-1</f>
        <v>2.1754141235365898E-2</v>
      </c>
      <c r="CX44" s="40">
        <f t="shared" ref="CX44" si="660">+CX41/CW41-1</f>
        <v>-4.1862101856846579E-3</v>
      </c>
      <c r="CY44" s="40">
        <f t="shared" ref="CY44" si="661">+CY41/CX41-1</f>
        <v>4.5623888478411923E-2</v>
      </c>
      <c r="CZ44" s="40">
        <f t="shared" ref="CZ44" si="662">+CZ41/CY41-1</f>
        <v>5.7653338372364749E-2</v>
      </c>
      <c r="DA44" s="40">
        <f t="shared" ref="DA44" si="663">+DA41/CZ41-1</f>
        <v>2.1366421345122344E-2</v>
      </c>
      <c r="DB44" s="40">
        <f t="shared" ref="DB44" si="664">+DB41/DA41-1</f>
        <v>-4.630811663581591E-3</v>
      </c>
      <c r="DE44" s="122"/>
      <c r="DF44" s="39">
        <v>7.3557608277426745E-2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-1E-3</v>
      </c>
      <c r="Q45" s="75">
        <f>'Annual Raw'!R32</f>
        <v>-6.0000000000000001E-3</v>
      </c>
      <c r="R45" s="75">
        <f>'Annual Raw'!S32</f>
        <v>-1.7999999999999999E-2</v>
      </c>
      <c r="S45" s="75">
        <f>'Annual Raw'!T32</f>
        <v>-1.9E-2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-1.641</v>
      </c>
      <c r="V46" s="75">
        <f>'Annual Raw'!W33+'Annual Raw'!W28</f>
        <v>-2.66</v>
      </c>
      <c r="W46" s="75">
        <f>'Annual Raw'!X33+'Annual Raw'!X28</f>
        <v>-12.249000000000001</v>
      </c>
      <c r="X46" s="75">
        <f>'Annual Raw'!Y33+'Annual Raw'!Y28</f>
        <v>-37.905000000000001</v>
      </c>
      <c r="Y46" s="75">
        <f>'Annual Raw'!Z33+'Annual Raw'!Z28</f>
        <v>-40.393999999999998</v>
      </c>
      <c r="Z46" s="75">
        <f>'Annual Raw'!AA33+'Annual Raw'!AA28</f>
        <v>-49.051000000000002</v>
      </c>
      <c r="AA46" s="75">
        <f>'Annual Raw'!AB33+'Annual Raw'!AB28</f>
        <v>-54.771999999999998</v>
      </c>
      <c r="AB46" s="76">
        <f t="shared" si="665"/>
        <v>-50.8</v>
      </c>
      <c r="AC46" s="76">
        <f t="shared" si="666"/>
        <v>-50.8</v>
      </c>
      <c r="AD46" s="76">
        <f t="shared" si="667"/>
        <v>-50.8</v>
      </c>
      <c r="AE46" s="76">
        <f t="shared" si="668"/>
        <v>-50.8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-0.2</v>
      </c>
      <c r="BM46" s="75">
        <f>'QTR Raw'!AG35</f>
        <v>-0.7</v>
      </c>
      <c r="BN46" s="75">
        <f>'QTR Raw'!AH35</f>
        <v>-0.7</v>
      </c>
      <c r="BO46" s="75">
        <f>'QTR Raw'!AI35</f>
        <v>-0.4</v>
      </c>
      <c r="BP46" s="75">
        <f>'QTR Raw'!AJ35</f>
        <v>-0.2</v>
      </c>
      <c r="BQ46" s="75">
        <f>'QTR Raw'!AK35</f>
        <v>-0.5</v>
      </c>
      <c r="BR46" s="75">
        <f>'QTR Raw'!AL35</f>
        <v>-1.6</v>
      </c>
      <c r="BS46" s="75">
        <f>'QTR Raw'!AM35</f>
        <v>-1.5</v>
      </c>
      <c r="BT46" s="75">
        <f>'QTR Raw'!AN35</f>
        <v>-1.8</v>
      </c>
      <c r="BU46" s="75">
        <f>'QTR Raw'!AO35</f>
        <v>-3.1</v>
      </c>
      <c r="BV46" s="75">
        <f>'QTR Raw'!AP35</f>
        <v>-5.8</v>
      </c>
      <c r="BW46" s="75">
        <f>'QTR Raw'!AQ35</f>
        <v>-7</v>
      </c>
      <c r="BX46" s="75">
        <f>'QTR Raw'!AR35</f>
        <v>-10.9</v>
      </c>
      <c r="BY46" s="75">
        <f>'QTR Raw'!AS35</f>
        <v>-9.4</v>
      </c>
      <c r="BZ46" s="75">
        <f>'QTR Raw'!AT35</f>
        <v>-10.5</v>
      </c>
      <c r="CA46" s="75">
        <f>'QTR Raw'!AU35</f>
        <v>-10.6</v>
      </c>
      <c r="CB46" s="75">
        <f>'QTR Raw'!AV35</f>
        <v>-11</v>
      </c>
      <c r="CC46" s="75">
        <f>'QTR Raw'!AW35</f>
        <v>-7.2</v>
      </c>
      <c r="CD46" s="75">
        <f>'QTR Raw'!AX35</f>
        <v>-11.6</v>
      </c>
      <c r="CE46" s="75">
        <f>'QTR Raw'!AY35</f>
        <v>-11.2</v>
      </c>
      <c r="CF46" s="75">
        <f>'QTR Raw'!AZ35</f>
        <v>-12.7</v>
      </c>
      <c r="CG46" s="75">
        <f>'QTR Raw'!BA35</f>
        <v>-14.1</v>
      </c>
      <c r="CH46" s="75">
        <f>'QTR Raw'!BB35</f>
        <v>-11.1</v>
      </c>
      <c r="CI46" s="75">
        <f>'QTR Raw'!BC35</f>
        <v>-14.1</v>
      </c>
      <c r="CJ46" s="75">
        <f>'QTR Raw'!BD35</f>
        <v>-13.4</v>
      </c>
      <c r="CK46" s="75">
        <f>'QTR Raw'!BE35</f>
        <v>-14.6</v>
      </c>
      <c r="CL46" s="75">
        <f>'QTR Raw'!BF35</f>
        <v>-12.7</v>
      </c>
      <c r="CM46" s="76">
        <f t="shared" si="669"/>
        <v>-12.7</v>
      </c>
      <c r="CN46" s="76">
        <f t="shared" si="670"/>
        <v>-12.7</v>
      </c>
      <c r="CO46" s="76">
        <f t="shared" si="671"/>
        <v>-12.7</v>
      </c>
      <c r="CP46" s="76">
        <f t="shared" si="672"/>
        <v>-12.7</v>
      </c>
      <c r="CQ46" s="76">
        <f t="shared" si="673"/>
        <v>-12.7</v>
      </c>
      <c r="CR46" s="76">
        <f t="shared" si="674"/>
        <v>-12.7</v>
      </c>
      <c r="CS46" s="76">
        <f t="shared" si="675"/>
        <v>-12.7</v>
      </c>
      <c r="CT46" s="76">
        <f t="shared" si="676"/>
        <v>-12.7</v>
      </c>
      <c r="CU46" s="76">
        <f t="shared" si="677"/>
        <v>-12.7</v>
      </c>
      <c r="CV46" s="76">
        <f t="shared" si="678"/>
        <v>-12.7</v>
      </c>
      <c r="CW46" s="76">
        <f t="shared" si="679"/>
        <v>-12.7</v>
      </c>
      <c r="CX46" s="76">
        <f t="shared" si="680"/>
        <v>-12.7</v>
      </c>
      <c r="CY46" s="76">
        <f t="shared" si="681"/>
        <v>-12.7</v>
      </c>
      <c r="CZ46" s="76">
        <f t="shared" si="682"/>
        <v>-12.7</v>
      </c>
      <c r="DA46" s="76">
        <f t="shared" si="683"/>
        <v>-12.7</v>
      </c>
      <c r="DB46" s="76">
        <f t="shared" si="684"/>
        <v>-12.7</v>
      </c>
      <c r="DE46" s="131"/>
      <c r="DF46" s="75">
        <v>-14.6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-1.823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-1.8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</v>
      </c>
      <c r="K48" s="26">
        <f t="shared" si="685"/>
        <v>0</v>
      </c>
      <c r="L48" s="26">
        <f t="shared" si="685"/>
        <v>0</v>
      </c>
      <c r="M48" s="26">
        <f t="shared" si="685"/>
        <v>0</v>
      </c>
      <c r="N48" s="26">
        <f t="shared" si="685"/>
        <v>0</v>
      </c>
      <c r="O48" s="26">
        <f t="shared" si="685"/>
        <v>-7.5830000000000073</v>
      </c>
      <c r="P48" s="26">
        <f t="shared" si="685"/>
        <v>-31.88499999999998</v>
      </c>
      <c r="Q48" s="26">
        <f t="shared" si="685"/>
        <v>-131.57400000000007</v>
      </c>
      <c r="R48" s="26">
        <f t="shared" si="685"/>
        <v>-64.364000000000061</v>
      </c>
      <c r="S48" s="26">
        <f t="shared" si="685"/>
        <v>54.739999999999974</v>
      </c>
      <c r="T48" s="26">
        <f t="shared" si="685"/>
        <v>20.043999999999976</v>
      </c>
      <c r="U48" s="26">
        <f t="shared" si="685"/>
        <v>147.38200000000009</v>
      </c>
      <c r="V48" s="26">
        <f>V41+V45+V46+V47</f>
        <v>279.774</v>
      </c>
      <c r="W48" s="26">
        <f>W41+W45+W46+W47</f>
        <v>297.61799999999999</v>
      </c>
      <c r="X48" s="26">
        <f>X41+X45+X46+X47</f>
        <v>283.82700000000011</v>
      </c>
      <c r="Y48" s="26">
        <f>Y41+Y45+Y46+Y47</f>
        <v>333.9530000000002</v>
      </c>
      <c r="Z48" s="26">
        <f>Z41+Z45+Z46+Z47</f>
        <v>550.69800000000009</v>
      </c>
      <c r="AA48" s="26">
        <f>AA41+AA45+AA46+AA47</f>
        <v>474.68199999999973</v>
      </c>
      <c r="AB48" s="27">
        <f t="shared" ref="AA48:AD48" si="686">AB41+AB45+AB46+AB47</f>
        <v>259.03156830171088</v>
      </c>
      <c r="AC48" s="27">
        <f t="shared" si="686"/>
        <v>305.85368637174651</v>
      </c>
      <c r="AD48" s="27">
        <f t="shared" si="686"/>
        <v>351.86639083155711</v>
      </c>
      <c r="AE48" s="27">
        <f t="shared" ref="AE48" si="687">AE41+AE45+AE46+AE47</f>
        <v>402.08461037016735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-56.400000000000006</v>
      </c>
      <c r="BH48" s="26">
        <f t="shared" si="692"/>
        <v>20.400000000000002</v>
      </c>
      <c r="BI48" s="26">
        <f t="shared" si="692"/>
        <v>27.700000000000003</v>
      </c>
      <c r="BJ48" s="26">
        <f t="shared" si="692"/>
        <v>28.20000000000001</v>
      </c>
      <c r="BK48" s="26">
        <f t="shared" si="692"/>
        <v>32.40000000000002</v>
      </c>
      <c r="BL48" s="26">
        <f t="shared" si="692"/>
        <v>8.6999999999999922</v>
      </c>
      <c r="BM48" s="26">
        <f t="shared" si="692"/>
        <v>62.000000000000014</v>
      </c>
      <c r="BN48" s="26">
        <f t="shared" si="692"/>
        <v>44.299999999999976</v>
      </c>
      <c r="BO48" s="26">
        <f t="shared" si="692"/>
        <v>74.099999999999994</v>
      </c>
      <c r="BP48" s="26">
        <f t="shared" si="692"/>
        <v>69.8</v>
      </c>
      <c r="BQ48" s="26">
        <f t="shared" si="692"/>
        <v>80.2</v>
      </c>
      <c r="BR48" s="26">
        <f t="shared" si="692"/>
        <v>55.699999999999982</v>
      </c>
      <c r="BS48" s="26">
        <f t="shared" si="692"/>
        <v>87.899999999999977</v>
      </c>
      <c r="BT48" s="26">
        <f t="shared" si="692"/>
        <v>82.2</v>
      </c>
      <c r="BU48" s="26">
        <f t="shared" si="692"/>
        <v>70.199999999999989</v>
      </c>
      <c r="BV48" s="26">
        <f t="shared" si="692"/>
        <v>57.40000000000002</v>
      </c>
      <c r="BW48" s="26">
        <f t="shared" si="692"/>
        <v>46.699999999999989</v>
      </c>
      <c r="BX48" s="26">
        <f t="shared" si="692"/>
        <v>68.399999999999991</v>
      </c>
      <c r="BY48" s="26">
        <f t="shared" si="692"/>
        <v>112.80000000000001</v>
      </c>
      <c r="BZ48" s="26">
        <f t="shared" si="692"/>
        <v>55.800000000000026</v>
      </c>
      <c r="CA48" s="26">
        <f t="shared" si="692"/>
        <v>83.100000000000009</v>
      </c>
      <c r="CB48" s="26">
        <f t="shared" si="692"/>
        <v>69.400000000000006</v>
      </c>
      <c r="CC48" s="26">
        <f t="shared" si="692"/>
        <v>81.900000000000006</v>
      </c>
      <c r="CD48" s="26">
        <f t="shared" si="692"/>
        <v>99.6</v>
      </c>
      <c r="CE48" s="26">
        <f t="shared" ref="CE48:CF48" si="693">CE41+CE45+CE46+CE47</f>
        <v>114.00000000000001</v>
      </c>
      <c r="CF48" s="26">
        <f t="shared" si="693"/>
        <v>135.09999999999997</v>
      </c>
      <c r="CG48" s="26">
        <f t="shared" ref="CG48:CH48" si="694">CG41+CG45+CG46+CG47</f>
        <v>121</v>
      </c>
      <c r="CH48" s="26">
        <f t="shared" si="694"/>
        <v>180.60000000000005</v>
      </c>
      <c r="CI48" s="26">
        <f t="shared" ref="CI48:CJ48" si="695">CI41+CI45+CI46+CI47</f>
        <v>153.50000000000003</v>
      </c>
      <c r="CJ48" s="26">
        <f t="shared" si="695"/>
        <v>82.699999999999989</v>
      </c>
      <c r="CK48" s="26">
        <f t="shared" ref="CK48:CL48" si="696">CK41+CK45+CK46+CK47</f>
        <v>188.3000000000001</v>
      </c>
      <c r="CL48" s="26">
        <f t="shared" si="696"/>
        <v>50.200000000000017</v>
      </c>
      <c r="CM48" s="27">
        <f t="shared" ref="CM48:DB48" si="697">CM41+CM45+CM46+CM47</f>
        <v>61.005028944226538</v>
      </c>
      <c r="CN48" s="27">
        <f t="shared" si="697"/>
        <v>64.323652922355649</v>
      </c>
      <c r="CO48" s="27">
        <f t="shared" si="697"/>
        <v>67.253995595412718</v>
      </c>
      <c r="CP48" s="27">
        <f t="shared" si="697"/>
        <v>66.448890839715986</v>
      </c>
      <c r="CQ48" s="27">
        <f t="shared" si="697"/>
        <v>71.99309231732768</v>
      </c>
      <c r="CR48" s="27">
        <f t="shared" si="697"/>
        <v>76.642000956753591</v>
      </c>
      <c r="CS48" s="27">
        <f t="shared" si="697"/>
        <v>78.772300258032217</v>
      </c>
      <c r="CT48" s="27">
        <f t="shared" si="697"/>
        <v>78.446292839632704</v>
      </c>
      <c r="CU48" s="27">
        <f t="shared" si="697"/>
        <v>82.891794264168212</v>
      </c>
      <c r="CV48" s="27">
        <f t="shared" si="697"/>
        <v>88.336938644870528</v>
      </c>
      <c r="CW48" s="27">
        <f t="shared" si="697"/>
        <v>90.534910478140048</v>
      </c>
      <c r="CX48" s="27">
        <f t="shared" si="697"/>
        <v>90.10274744437821</v>
      </c>
      <c r="CY48" s="27">
        <f t="shared" si="697"/>
        <v>94.793008529054873</v>
      </c>
      <c r="CZ48" s="27">
        <f t="shared" si="697"/>
        <v>100.99033932244397</v>
      </c>
      <c r="DA48" s="27">
        <f t="shared" si="697"/>
        <v>103.41949501527723</v>
      </c>
      <c r="DB48" s="27">
        <f t="shared" si="697"/>
        <v>102.88176750339129</v>
      </c>
      <c r="DE48" s="121"/>
      <c r="DF48" s="26">
        <v>203.22483871948998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-7.5830000000000002</v>
      </c>
      <c r="P51" s="22">
        <f>'Annual Raw'!Q35</f>
        <v>-31.885000000000002</v>
      </c>
      <c r="Q51" s="22">
        <f>'Annual Raw'!R35</f>
        <v>-131.57400000000001</v>
      </c>
      <c r="R51" s="22">
        <f>'Annual Raw'!S35</f>
        <v>-64.364000000000004</v>
      </c>
      <c r="S51" s="22">
        <f>'Annual Raw'!T35</f>
        <v>54.74</v>
      </c>
      <c r="T51" s="22">
        <f>'Annual Raw'!U35</f>
        <v>20.044</v>
      </c>
      <c r="U51" s="22">
        <f>'Annual Raw'!V35</f>
        <v>147.38200000000001</v>
      </c>
      <c r="V51" s="22">
        <f>'Annual Raw'!W35</f>
        <v>279.774</v>
      </c>
      <c r="W51" s="22">
        <f>'Annual Raw'!X35</f>
        <v>297.61799999999999</v>
      </c>
      <c r="X51" s="22">
        <f>'Annual Raw'!Y35</f>
        <v>283.827</v>
      </c>
      <c r="Y51" s="22">
        <f>'Annual Raw'!Z35</f>
        <v>333.95299999999997</v>
      </c>
      <c r="Z51" s="22">
        <f>'Annual Raw'!AA35</f>
        <v>550.69799999999998</v>
      </c>
      <c r="AA51" s="22">
        <f>'Annual Raw'!AB35</f>
        <v>474.68200000000002</v>
      </c>
      <c r="AB51" s="21">
        <f t="shared" ref="AA51:AD51" si="698">+AB48</f>
        <v>259.03156830171088</v>
      </c>
      <c r="AC51" s="21">
        <f t="shared" si="698"/>
        <v>305.85368637174651</v>
      </c>
      <c r="AD51" s="21">
        <f t="shared" si="698"/>
        <v>351.86639083155711</v>
      </c>
      <c r="AE51" s="21">
        <f t="shared" ref="AE51" si="699">+AE48</f>
        <v>402.08461037016735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-56.4</v>
      </c>
      <c r="BH51" s="22">
        <f>'QTR Raw'!AB42</f>
        <v>20.399999999999999</v>
      </c>
      <c r="BI51" s="22">
        <f>'QTR Raw'!AC42</f>
        <v>27.7</v>
      </c>
      <c r="BJ51" s="22">
        <f>'QTR Raw'!AD42</f>
        <v>28.2</v>
      </c>
      <c r="BK51" s="22">
        <f>'QTR Raw'!AE42</f>
        <v>32.4</v>
      </c>
      <c r="BL51" s="22">
        <f>'QTR Raw'!AF42</f>
        <v>8.6999999999999993</v>
      </c>
      <c r="BM51" s="22">
        <f>'QTR Raw'!AG42</f>
        <v>62</v>
      </c>
      <c r="BN51" s="22">
        <f>'QTR Raw'!AH42</f>
        <v>44.3</v>
      </c>
      <c r="BO51" s="22">
        <f>'QTR Raw'!AI42</f>
        <v>74.099999999999994</v>
      </c>
      <c r="BP51" s="22">
        <f>'QTR Raw'!AJ42</f>
        <v>69.8</v>
      </c>
      <c r="BQ51" s="22">
        <f>'QTR Raw'!AK42</f>
        <v>80.2</v>
      </c>
      <c r="BR51" s="22">
        <f>'QTR Raw'!AL42</f>
        <v>55.7</v>
      </c>
      <c r="BS51" s="22">
        <f>'QTR Raw'!AM42</f>
        <v>87.9</v>
      </c>
      <c r="BT51" s="22">
        <f>'QTR Raw'!AN42</f>
        <v>82.2</v>
      </c>
      <c r="BU51" s="22">
        <f>'QTR Raw'!AO42</f>
        <v>70.2</v>
      </c>
      <c r="BV51" s="22">
        <f>'QTR Raw'!AP42</f>
        <v>57.4</v>
      </c>
      <c r="BW51" s="22">
        <f>'QTR Raw'!AQ42</f>
        <v>46.7</v>
      </c>
      <c r="BX51" s="22">
        <f>'QTR Raw'!AR42</f>
        <v>68.400000000000006</v>
      </c>
      <c r="BY51" s="22">
        <f>'QTR Raw'!AS42</f>
        <v>112.8</v>
      </c>
      <c r="BZ51" s="22">
        <f>'QTR Raw'!AT42</f>
        <v>55.8</v>
      </c>
      <c r="CA51" s="22">
        <f>'QTR Raw'!AU42</f>
        <v>83.1</v>
      </c>
      <c r="CB51" s="22">
        <f>'QTR Raw'!AV42</f>
        <v>69.400000000000006</v>
      </c>
      <c r="CC51" s="22">
        <f>'QTR Raw'!AW42</f>
        <v>81.900000000000006</v>
      </c>
      <c r="CD51" s="22">
        <f>'QTR Raw'!AX42</f>
        <v>99.6</v>
      </c>
      <c r="CE51" s="22">
        <f>'QTR Raw'!AY42</f>
        <v>114</v>
      </c>
      <c r="CF51" s="22">
        <f>'QTR Raw'!AZ42</f>
        <v>135.1</v>
      </c>
      <c r="CG51" s="22">
        <f>'QTR Raw'!BA42</f>
        <v>121</v>
      </c>
      <c r="CH51" s="22">
        <f>'QTR Raw'!BB42</f>
        <v>180.6</v>
      </c>
      <c r="CI51" s="22">
        <f>'QTR Raw'!BC42</f>
        <v>153.5</v>
      </c>
      <c r="CJ51" s="22">
        <f>'QTR Raw'!BD42</f>
        <v>82.7</v>
      </c>
      <c r="CK51" s="22">
        <f>'QTR Raw'!BE42</f>
        <v>188.3</v>
      </c>
      <c r="CL51" s="22">
        <f>'QTR Raw'!BF42</f>
        <v>50.2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474.7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7.1054273576010019E-15</v>
      </c>
      <c r="P52" s="25">
        <f t="shared" si="700"/>
        <v>0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 t="e">
        <f t="shared" si="715"/>
        <v>#DIV/0!</v>
      </c>
      <c r="K54" s="39" t="e">
        <f t="shared" si="715"/>
        <v>#DIV/0!</v>
      </c>
      <c r="L54" s="39" t="e">
        <f t="shared" si="715"/>
        <v>#DIV/0!</v>
      </c>
      <c r="M54" s="39" t="e">
        <f t="shared" si="715"/>
        <v>#DIV/0!</v>
      </c>
      <c r="N54" s="39" t="e">
        <f t="shared" si="715"/>
        <v>#DIV/0!</v>
      </c>
      <c r="O54" s="39">
        <f t="shared" si="715"/>
        <v>0.12210950080515309</v>
      </c>
      <c r="P54" s="39">
        <f t="shared" si="715"/>
        <v>0.33925626429749411</v>
      </c>
      <c r="Q54" s="39">
        <f t="shared" si="715"/>
        <v>0.40227716748248876</v>
      </c>
      <c r="R54" s="39">
        <f t="shared" si="715"/>
        <v>0.16501643395907165</v>
      </c>
      <c r="S54" s="39">
        <f t="shared" si="715"/>
        <v>-0.17038680980735763</v>
      </c>
      <c r="T54" s="39">
        <f t="shared" si="715"/>
        <v>0.12536275392774929</v>
      </c>
      <c r="U54" s="39">
        <f t="shared" si="715"/>
        <v>0.53582348385970935</v>
      </c>
      <c r="V54" s="39">
        <f t="shared" si="715"/>
        <v>0.17367731009805795</v>
      </c>
      <c r="W54" s="39">
        <f t="shared" si="715"/>
        <v>0.15880980954113891</v>
      </c>
      <c r="X54" s="39">
        <f t="shared" si="715"/>
        <v>0.13788103135693511</v>
      </c>
      <c r="Y54" s="39">
        <f t="shared" si="715"/>
        <v>0.19340665417132755</v>
      </c>
      <c r="Z54" s="39">
        <f t="shared" si="715"/>
        <v>0.25200225141743204</v>
      </c>
      <c r="AA54" s="39">
        <f t="shared" ref="AA54" si="716">(AA48-AA47)/AA120</f>
        <v>0.19775326771858553</v>
      </c>
      <c r="AB54" s="40">
        <f t="shared" si="715"/>
        <v>9.7401103073739226E-2</v>
      </c>
      <c r="AC54" s="40">
        <f t="shared" si="715"/>
        <v>0.10314477701249948</v>
      </c>
      <c r="AD54" s="40">
        <f t="shared" si="715"/>
        <v>0.10607485832261003</v>
      </c>
      <c r="AE54" s="40">
        <f t="shared" si="715"/>
        <v>0.10810945654097791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>
        <f t="shared" si="717"/>
        <v>1</v>
      </c>
      <c r="BH54" s="39" t="e">
        <f t="shared" si="717"/>
        <v>#DIV/0!</v>
      </c>
      <c r="BI54" s="39">
        <f t="shared" si="717"/>
        <v>-0.29963898916967496</v>
      </c>
      <c r="BJ54" s="39">
        <f t="shared" si="717"/>
        <v>0.12445278298936843</v>
      </c>
      <c r="BK54" s="39">
        <f t="shared" si="717"/>
        <v>0.56526261050442017</v>
      </c>
      <c r="BL54" s="39">
        <f t="shared" si="717"/>
        <v>0.47830374753451688</v>
      </c>
      <c r="BM54" s="39">
        <f t="shared" si="717"/>
        <v>0.49584592145015116</v>
      </c>
      <c r="BN54" s="39">
        <f t="shared" si="717"/>
        <v>0.53580516175936033</v>
      </c>
      <c r="BO54" s="39">
        <f t="shared" si="717"/>
        <v>0.54152348224513169</v>
      </c>
      <c r="BP54" s="39">
        <f t="shared" si="717"/>
        <v>0.59303152405783366</v>
      </c>
      <c r="BQ54" s="39">
        <f t="shared" si="717"/>
        <v>0.53455486954789877</v>
      </c>
      <c r="BR54" s="39">
        <f t="shared" ref="BR54:CW54" si="718">(SUM(BO48:BR48)-SUM(BO47:BR47))/BR120</f>
        <v>0.17369172512260225</v>
      </c>
      <c r="BS54" s="39">
        <f t="shared" si="718"/>
        <v>0.1728278785024723</v>
      </c>
      <c r="BT54" s="39">
        <f t="shared" si="718"/>
        <v>0.17604418363824642</v>
      </c>
      <c r="BU54" s="39">
        <f t="shared" si="718"/>
        <v>0.16368060163680598</v>
      </c>
      <c r="BV54" s="39">
        <f t="shared" si="718"/>
        <v>0.15884958113227682</v>
      </c>
      <c r="BW54" s="39">
        <f t="shared" si="718"/>
        <v>0.13353810912119951</v>
      </c>
      <c r="BX54" s="39">
        <f t="shared" si="718"/>
        <v>0.1292057069846678</v>
      </c>
      <c r="BY54" s="39">
        <f t="shared" si="718"/>
        <v>0.14328043390920051</v>
      </c>
      <c r="BZ54" s="39">
        <f t="shared" si="718"/>
        <v>0.13781880009715811</v>
      </c>
      <c r="CA54" s="39">
        <f t="shared" si="718"/>
        <v>0.15030818079940234</v>
      </c>
      <c r="CB54" s="39">
        <f t="shared" si="718"/>
        <v>0.20902382185396168</v>
      </c>
      <c r="CC54" s="39">
        <f t="shared" si="718"/>
        <v>0.17950451835003381</v>
      </c>
      <c r="CD54" s="39">
        <f t="shared" si="718"/>
        <v>0.19342203790104257</v>
      </c>
      <c r="CE54" s="39">
        <f t="shared" si="718"/>
        <v>0.19723258202259339</v>
      </c>
      <c r="CF54" s="39">
        <f t="shared" si="718"/>
        <v>0.22937197038299684</v>
      </c>
      <c r="CG54" s="39">
        <f t="shared" si="718"/>
        <v>0.23504979232347495</v>
      </c>
      <c r="CH54" s="39">
        <f t="shared" si="718"/>
        <v>0.25200316662777023</v>
      </c>
      <c r="CI54" s="39">
        <f t="shared" si="718"/>
        <v>0.25235271229994999</v>
      </c>
      <c r="CJ54" s="39">
        <f t="shared" si="718"/>
        <v>0.25157879964447771</v>
      </c>
      <c r="CK54" s="39">
        <f t="shared" si="718"/>
        <v>0.2601461736887361</v>
      </c>
      <c r="CL54" s="39">
        <f t="shared" si="718"/>
        <v>0.19775870688218636</v>
      </c>
      <c r="CM54" s="40">
        <f t="shared" si="718"/>
        <v>0.15527921022740671</v>
      </c>
      <c r="CN54" s="40">
        <f t="shared" si="718"/>
        <v>0.14404899642573762</v>
      </c>
      <c r="CO54" s="40">
        <f t="shared" si="718"/>
        <v>9.3630659229713809E-2</v>
      </c>
      <c r="CP54" s="40">
        <f t="shared" si="718"/>
        <v>9.7401103073739226E-2</v>
      </c>
      <c r="CQ54" s="40">
        <f t="shared" si="718"/>
        <v>9.8856701254800824E-2</v>
      </c>
      <c r="CR54" s="40">
        <f t="shared" si="718"/>
        <v>0.10054532663792654</v>
      </c>
      <c r="CS54" s="40">
        <f t="shared" si="718"/>
        <v>0.10179171344741769</v>
      </c>
      <c r="CT54" s="40">
        <f t="shared" si="718"/>
        <v>0.10314477701249937</v>
      </c>
      <c r="CU54" s="40">
        <f t="shared" si="718"/>
        <v>0.10391535112075714</v>
      </c>
      <c r="CV54" s="40">
        <f t="shared" si="718"/>
        <v>0.10471731588222828</v>
      </c>
      <c r="CW54" s="40">
        <f t="shared" si="718"/>
        <v>0.10542447510828482</v>
      </c>
      <c r="CX54" s="40">
        <f t="shared" ref="CX54:DB54" si="719">(SUM(CU48:CX48)-SUM(CU47:CX47))/CX120</f>
        <v>0.10607485832261</v>
      </c>
      <c r="CY54" s="40">
        <f t="shared" si="719"/>
        <v>0.10661591613637335</v>
      </c>
      <c r="CZ54" s="40">
        <f t="shared" si="719"/>
        <v>0.10715285266760861</v>
      </c>
      <c r="DA54" s="40">
        <f t="shared" si="719"/>
        <v>0.10765139080334829</v>
      </c>
      <c r="DB54" s="40">
        <f t="shared" si="719"/>
        <v>0.10810945654097791</v>
      </c>
      <c r="DE54" s="122"/>
      <c r="DF54" s="38">
        <v>0.24818862645572393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 t="e">
        <f t="shared" si="720"/>
        <v>#DIV/0!</v>
      </c>
      <c r="K55" s="39" t="e">
        <f t="shared" si="720"/>
        <v>#DIV/0!</v>
      </c>
      <c r="L55" s="39" t="e">
        <f t="shared" si="720"/>
        <v>#DIV/0!</v>
      </c>
      <c r="M55" s="39" t="e">
        <f t="shared" si="720"/>
        <v>#DIV/0!</v>
      </c>
      <c r="N55" s="39" t="e">
        <f t="shared" si="720"/>
        <v>#DIV/0!</v>
      </c>
      <c r="O55" s="39">
        <f t="shared" si="720"/>
        <v>0.23922757997644678</v>
      </c>
      <c r="P55" s="39">
        <f t="shared" si="720"/>
        <v>0.46152781474580767</v>
      </c>
      <c r="Q55" s="39">
        <f t="shared" si="720"/>
        <v>0.41694897634713712</v>
      </c>
      <c r="R55" s="39">
        <f t="shared" si="720"/>
        <v>0.2008030378007227</v>
      </c>
      <c r="S55" s="39">
        <f t="shared" si="720"/>
        <v>0.24629307365910916</v>
      </c>
      <c r="T55" s="39">
        <f t="shared" si="720"/>
        <v>8.1000450315220518E-2</v>
      </c>
      <c r="U55" s="39">
        <f t="shared" si="720"/>
        <v>0.53716865958692228</v>
      </c>
      <c r="V55" s="39">
        <f t="shared" si="720"/>
        <v>0.1937395864630849</v>
      </c>
      <c r="W55" s="39">
        <f t="shared" si="720"/>
        <v>0.15789307986487042</v>
      </c>
      <c r="X55" s="39">
        <f t="shared" si="720"/>
        <v>0.11503955322634241</v>
      </c>
      <c r="Y55" s="39">
        <f t="shared" si="720"/>
        <v>0.16986038935231221</v>
      </c>
      <c r="Z55" s="39">
        <f t="shared" si="720"/>
        <v>0.22415697687721081</v>
      </c>
      <c r="AA55" s="39">
        <f t="shared" ref="AA55" si="721">+AA34/AA129</f>
        <v>0.20896443264073311</v>
      </c>
      <c r="AB55" s="40">
        <f t="shared" si="720"/>
        <v>0.21677118212165158</v>
      </c>
      <c r="AC55" s="40">
        <f t="shared" si="720"/>
        <v>0.2249558557375092</v>
      </c>
      <c r="AD55" s="40">
        <f t="shared" si="720"/>
        <v>0.22888381350717898</v>
      </c>
      <c r="AE55" s="40">
        <f t="shared" si="720"/>
        <v>0.23148342626063456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>
        <f t="shared" si="722"/>
        <v>0.95567375886524819</v>
      </c>
      <c r="BH55" s="39" t="e">
        <f t="shared" si="722"/>
        <v>#DIV/0!</v>
      </c>
      <c r="BI55" s="39">
        <f t="shared" si="722"/>
        <v>-0.22021660649819511</v>
      </c>
      <c r="BJ55" s="39">
        <f t="shared" si="722"/>
        <v>8.0050031269543492E-2</v>
      </c>
      <c r="BK55" s="39">
        <f t="shared" si="722"/>
        <v>0.51482059282371295</v>
      </c>
      <c r="BL55" s="39">
        <f t="shared" si="722"/>
        <v>0.53648915187376733</v>
      </c>
      <c r="BM55" s="39">
        <f t="shared" si="722"/>
        <v>0.45430513595166178</v>
      </c>
      <c r="BN55" s="39">
        <f t="shared" si="722"/>
        <v>0.5372591784805526</v>
      </c>
      <c r="BO55" s="39">
        <f t="shared" si="722"/>
        <v>0.52806414662084766</v>
      </c>
      <c r="BP55" s="39">
        <f t="shared" si="722"/>
        <v>0.54610097179426398</v>
      </c>
      <c r="BQ55" s="39">
        <f t="shared" si="722"/>
        <v>0.55088627763393738</v>
      </c>
      <c r="BR55" s="39">
        <f t="shared" ref="BR55:CW55" si="723">+SUM(BO34:BR34)/BR129</f>
        <v>0.19374262834440376</v>
      </c>
      <c r="BS55" s="39">
        <f t="shared" si="723"/>
        <v>0.19343065693430653</v>
      </c>
      <c r="BT55" s="39">
        <f t="shared" si="723"/>
        <v>0.19082959383270048</v>
      </c>
      <c r="BU55" s="39">
        <f t="shared" si="723"/>
        <v>0.17888741428887414</v>
      </c>
      <c r="BV55" s="39">
        <f t="shared" si="723"/>
        <v>0.15788912011098663</v>
      </c>
      <c r="BW55" s="39">
        <f t="shared" si="723"/>
        <v>0.13973344439816746</v>
      </c>
      <c r="BX55" s="39">
        <f t="shared" si="723"/>
        <v>0.13181431005110733</v>
      </c>
      <c r="BY55" s="39">
        <f t="shared" si="723"/>
        <v>0.11721574929690641</v>
      </c>
      <c r="BZ55" s="39">
        <f t="shared" si="723"/>
        <v>0.11493806169540929</v>
      </c>
      <c r="CA55" s="39">
        <f t="shared" si="723"/>
        <v>0.11608143444153905</v>
      </c>
      <c r="CB55" s="39">
        <f t="shared" si="723"/>
        <v>0.16895390989124809</v>
      </c>
      <c r="CC55" s="39">
        <f t="shared" si="723"/>
        <v>0.170098973381693</v>
      </c>
      <c r="CD55" s="39">
        <f t="shared" si="723"/>
        <v>0.16986348712631757</v>
      </c>
      <c r="CE55" s="39">
        <f t="shared" si="723"/>
        <v>0.18182800929679477</v>
      </c>
      <c r="CF55" s="39">
        <f t="shared" si="723"/>
        <v>0.2081713098599052</v>
      </c>
      <c r="CG55" s="39">
        <f t="shared" si="723"/>
        <v>0.22193864785067308</v>
      </c>
      <c r="CH55" s="39">
        <f t="shared" si="723"/>
        <v>0.22418077234600445</v>
      </c>
      <c r="CI55" s="39">
        <f t="shared" si="723"/>
        <v>0.21596637577550787</v>
      </c>
      <c r="CJ55" s="39">
        <f t="shared" si="723"/>
        <v>0.23445759461103058</v>
      </c>
      <c r="CK55" s="39">
        <f t="shared" si="723"/>
        <v>0.21414445399828033</v>
      </c>
      <c r="CL55" s="39">
        <f t="shared" si="723"/>
        <v>0.20896517247125482</v>
      </c>
      <c r="CM55" s="40">
        <f t="shared" si="723"/>
        <v>0.2073652233533905</v>
      </c>
      <c r="CN55" s="40">
        <f t="shared" si="723"/>
        <v>0.21001876511138923</v>
      </c>
      <c r="CO55" s="40">
        <f t="shared" si="723"/>
        <v>0.21282986570247753</v>
      </c>
      <c r="CP55" s="40">
        <f t="shared" si="723"/>
        <v>0.21677118212165164</v>
      </c>
      <c r="CQ55" s="40">
        <f t="shared" si="723"/>
        <v>0.21912809974640593</v>
      </c>
      <c r="CR55" s="40">
        <f t="shared" si="723"/>
        <v>0.22146470282201661</v>
      </c>
      <c r="CS55" s="40">
        <f t="shared" si="723"/>
        <v>0.22333084943429118</v>
      </c>
      <c r="CT55" s="40">
        <f t="shared" si="723"/>
        <v>0.22495585573750912</v>
      </c>
      <c r="CU55" s="40">
        <f t="shared" si="723"/>
        <v>0.22607001153813788</v>
      </c>
      <c r="CV55" s="40">
        <f t="shared" si="723"/>
        <v>0.22709037557112283</v>
      </c>
      <c r="CW55" s="40">
        <f t="shared" si="723"/>
        <v>0.22800697695322095</v>
      </c>
      <c r="CX55" s="40">
        <f t="shared" ref="CX55:DB55" si="724">+SUM(CU34:CX34)/CX129</f>
        <v>0.22888381350717896</v>
      </c>
      <c r="CY55" s="40">
        <f t="shared" si="724"/>
        <v>0.22959969867085478</v>
      </c>
      <c r="CZ55" s="40">
        <f t="shared" si="724"/>
        <v>0.2302254184141142</v>
      </c>
      <c r="DA55" s="40">
        <f t="shared" si="724"/>
        <v>0.23083974753986958</v>
      </c>
      <c r="DB55" s="40">
        <f t="shared" si="724"/>
        <v>0.23148342626063453</v>
      </c>
      <c r="DE55" s="122"/>
      <c r="DF55" s="38">
        <v>0.20152474677963017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135.74700000000001</v>
      </c>
      <c r="P58" s="9">
        <f>P10-SUM(AQ10:AT10)</f>
        <v>176.072</v>
      </c>
      <c r="Q58" s="9">
        <f>Q10-SUM(AU10:AX10)</f>
        <v>245.75299999999999</v>
      </c>
      <c r="R58" s="9">
        <f>R10-SUM(AY10:BB10)</f>
        <v>317.76299999999998</v>
      </c>
      <c r="S58" s="9">
        <f>S10-SUM(BC10:BF10)</f>
        <v>410.50799999999998</v>
      </c>
      <c r="T58" s="9">
        <f>T10-SUM(BG10:BJ10)</f>
        <v>1.6999999999995907E-2</v>
      </c>
      <c r="U58" s="9">
        <f>U10-SUM(BK10:BN10)</f>
        <v>-4.5999999999935426E-2</v>
      </c>
      <c r="V58" s="9">
        <f>V10-SUM(BO10:BR10)</f>
        <v>-3.7999999999897227E-2</v>
      </c>
      <c r="W58" s="9">
        <f>W10-SUM(BS10:BV10)</f>
        <v>-1.4999999999986358E-2</v>
      </c>
      <c r="X58" s="9">
        <f>X10-SUM(BW10:BZ10)</f>
        <v>-1.00000000009004E-3</v>
      </c>
      <c r="Y58" s="9">
        <f>Y10-SUM(CA10:CD10)</f>
        <v>-2.4999999999863576E-2</v>
      </c>
      <c r="Z58" s="9">
        <f>Z10-SUM(CE10:CH10)</f>
        <v>-5.6000000000040018E-2</v>
      </c>
      <c r="AA58" s="9">
        <f>AA10-SUM(CF10:CI10)</f>
        <v>139.8420000000001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135.74700000000001</v>
      </c>
      <c r="P59" s="9">
        <f>P16-SUM(AQ16:AT16)</f>
        <v>176.072</v>
      </c>
      <c r="Q59" s="9">
        <f>Q16-SUM(AU16:AX16)</f>
        <v>245.75299999999999</v>
      </c>
      <c r="R59" s="9">
        <f>R16-SUM(AY16:BB16)</f>
        <v>317.76299999999998</v>
      </c>
      <c r="S59" s="9">
        <f>S16-SUM(BC16:BF16)</f>
        <v>410.50799999999998</v>
      </c>
      <c r="T59" s="9">
        <f>T16-SUM(BG16:BJ16)</f>
        <v>1.6999999999995907E-2</v>
      </c>
      <c r="U59" s="9">
        <f>U16-SUM(BK16:BN16)</f>
        <v>-4.5999999999935426E-2</v>
      </c>
      <c r="V59" s="9">
        <f>V16-SUM(BO16:BR16)</f>
        <v>-3.7999999999897227E-2</v>
      </c>
      <c r="W59" s="9">
        <f>W16-SUM(BS16:BV16)</f>
        <v>-1.4999999999986358E-2</v>
      </c>
      <c r="X59" s="9">
        <f>X16-SUM(BW16:BZ16)</f>
        <v>-9.9999999997635314E-4</v>
      </c>
      <c r="Y59" s="9">
        <f>Y16-SUM(CA16:CD16)</f>
        <v>-2.4999999999863576E-2</v>
      </c>
      <c r="Z59" s="9">
        <f>Z16-SUM(CE16:CH16)</f>
        <v>-5.6000000000040018E-2</v>
      </c>
      <c r="AA59" s="9">
        <f>AA16-SUM(CF16:CI16)</f>
        <v>139.8420000000001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-12.597000000000008</v>
      </c>
      <c r="P60" s="9">
        <f>P28-SUM(AQ28:AT28)</f>
        <v>-40.327999999999975</v>
      </c>
      <c r="Q60" s="9">
        <f>Q28-SUM(AU28:AX28)</f>
        <v>-132.68700000000007</v>
      </c>
      <c r="R60" s="9">
        <f>R28-SUM(AY28:BB28)</f>
        <v>-73.685000000000059</v>
      </c>
      <c r="S60" s="9">
        <f>S28-SUM(BC28:BF28)</f>
        <v>-76.230000000000018</v>
      </c>
      <c r="T60" s="9">
        <f>T28-SUM(BG28:BJ28)</f>
        <v>0.17799999999996885</v>
      </c>
      <c r="U60" s="9">
        <f>U28-SUM(BK28:BN28)</f>
        <v>-2.9999999999006377E-3</v>
      </c>
      <c r="V60" s="9">
        <f>V28-SUM(BO28:BR28)</f>
        <v>-4.299999999989268E-2</v>
      </c>
      <c r="W60" s="9">
        <f>W28-SUM(BS28:BV28)</f>
        <v>4.5999999999935426E-2</v>
      </c>
      <c r="X60" s="9">
        <f>X28-SUM(BW28:BZ28)</f>
        <v>0.18299999999999272</v>
      </c>
      <c r="Y60" s="9">
        <f>Y28-SUM(CA28:CD28)</f>
        <v>-4.199999999980264E-2</v>
      </c>
      <c r="Z60" s="9">
        <f>Z28-SUM(CE28:CH28)</f>
        <v>-7.9999999999245119E-3</v>
      </c>
      <c r="AA60" s="9">
        <f>AA28-SUM(CF28:CI28)</f>
        <v>-6.7590000000003556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-7.5830000000000073</v>
      </c>
      <c r="P61" s="9">
        <f>P48-SUM(AQ48:AT48)</f>
        <v>-31.88499999999998</v>
      </c>
      <c r="Q61" s="9">
        <f>Q48-SUM(AU48:AX48)</f>
        <v>-131.57400000000007</v>
      </c>
      <c r="R61" s="9">
        <f>R48-SUM(AY48:BB48)</f>
        <v>-64.364000000000061</v>
      </c>
      <c r="S61" s="9">
        <f>S48-SUM(BC48:BF48)</f>
        <v>54.739999999999974</v>
      </c>
      <c r="T61" s="9">
        <f>T48-SUM(BG48:BJ48)</f>
        <v>0.14399999999996282</v>
      </c>
      <c r="U61" s="9">
        <f>U48-SUM(BK48:BN48)</f>
        <v>-1.7999999999915417E-2</v>
      </c>
      <c r="V61" s="9">
        <f>V48-SUM(BO48:BR48)</f>
        <v>-2.5999999999953616E-2</v>
      </c>
      <c r="W61" s="9">
        <f>W41-SUM(BS41:BV41)</f>
        <v>-3.2999999999958618E-2</v>
      </c>
      <c r="X61" s="9">
        <f>X41-SUM(BW41:BZ41)</f>
        <v>0.23200000000002774</v>
      </c>
      <c r="Y61" s="9">
        <f>Y41-SUM(CA41:CD41)</f>
        <v>-2.9999999999802185E-2</v>
      </c>
      <c r="Z61" s="9">
        <f>Z41-SUM(CE41:CH41)</f>
        <v>-5.0999999999930878E-2</v>
      </c>
      <c r="AA61" s="9">
        <f>AA41-SUM(CF41:CI41)</f>
        <v>-112.74600000000032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60</v>
      </c>
      <c r="AJ63" s="3">
        <f t="shared" si="730"/>
        <v>60</v>
      </c>
      <c r="AK63" s="3">
        <f t="shared" si="730"/>
        <v>60</v>
      </c>
      <c r="AL63" s="3">
        <f t="shared" si="730"/>
        <v>60</v>
      </c>
      <c r="AM63" s="3">
        <f t="shared" si="730"/>
        <v>60</v>
      </c>
      <c r="AN63" s="3">
        <f t="shared" si="730"/>
        <v>60</v>
      </c>
      <c r="AO63" s="3">
        <f t="shared" si="730"/>
        <v>60</v>
      </c>
      <c r="AP63" s="3">
        <f t="shared" si="730"/>
        <v>60</v>
      </c>
      <c r="AQ63" s="3">
        <f t="shared" si="730"/>
        <v>60</v>
      </c>
      <c r="AR63" s="3">
        <f t="shared" si="730"/>
        <v>60</v>
      </c>
      <c r="AS63" s="3">
        <f t="shared" si="730"/>
        <v>60</v>
      </c>
      <c r="AT63" s="3">
        <f t="shared" si="730"/>
        <v>60</v>
      </c>
      <c r="AU63" s="3">
        <f t="shared" si="730"/>
        <v>60</v>
      </c>
      <c r="AV63" s="3">
        <f t="shared" si="730"/>
        <v>60</v>
      </c>
      <c r="AW63" s="3">
        <f t="shared" si="730"/>
        <v>60</v>
      </c>
      <c r="AX63" s="3">
        <f t="shared" si="730"/>
        <v>60</v>
      </c>
      <c r="AY63" s="3">
        <f t="shared" si="730"/>
        <v>60</v>
      </c>
      <c r="AZ63" s="3">
        <f t="shared" si="730"/>
        <v>60</v>
      </c>
      <c r="BA63" s="3">
        <f t="shared" si="730"/>
        <v>60</v>
      </c>
      <c r="BB63" s="3">
        <f t="shared" si="730"/>
        <v>60</v>
      </c>
      <c r="BC63" s="3">
        <f t="shared" si="730"/>
        <v>60</v>
      </c>
      <c r="BD63" s="3">
        <f t="shared" si="730"/>
        <v>60</v>
      </c>
      <c r="BE63" s="3">
        <f t="shared" si="730"/>
        <v>60</v>
      </c>
      <c r="BF63" s="3">
        <f t="shared" si="730"/>
        <v>60</v>
      </c>
      <c r="BG63" s="3">
        <f t="shared" si="730"/>
        <v>60</v>
      </c>
      <c r="BH63" s="3">
        <f t="shared" si="730"/>
        <v>60</v>
      </c>
      <c r="BI63" s="3">
        <f t="shared" si="730"/>
        <v>60</v>
      </c>
      <c r="BJ63" s="3">
        <f t="shared" si="730"/>
        <v>60</v>
      </c>
      <c r="BK63" s="3">
        <f t="shared" si="730"/>
        <v>60</v>
      </c>
      <c r="BL63" s="3">
        <f t="shared" si="730"/>
        <v>60</v>
      </c>
      <c r="BM63" s="3">
        <f t="shared" si="730"/>
        <v>60</v>
      </c>
      <c r="BN63" s="3">
        <f t="shared" si="730"/>
        <v>60</v>
      </c>
      <c r="BO63" s="3">
        <f t="shared" si="730"/>
        <v>60</v>
      </c>
      <c r="BP63" s="3">
        <f t="shared" si="730"/>
        <v>60</v>
      </c>
      <c r="BQ63" s="3">
        <f t="shared" si="730"/>
        <v>60</v>
      </c>
      <c r="BR63" s="3">
        <f t="shared" si="730"/>
        <v>60</v>
      </c>
      <c r="BS63" s="3">
        <f t="shared" si="730"/>
        <v>60</v>
      </c>
      <c r="BT63" s="3">
        <f t="shared" si="730"/>
        <v>60</v>
      </c>
      <c r="BU63" s="3">
        <f t="shared" si="730"/>
        <v>60</v>
      </c>
      <c r="BV63" s="3">
        <f t="shared" si="730"/>
        <v>60</v>
      </c>
      <c r="BW63" s="3">
        <f t="shared" si="730"/>
        <v>60</v>
      </c>
      <c r="BX63" s="3">
        <f t="shared" si="730"/>
        <v>60</v>
      </c>
      <c r="BY63" s="3">
        <f t="shared" si="730"/>
        <v>60</v>
      </c>
      <c r="BZ63" s="3">
        <f t="shared" si="730"/>
        <v>60</v>
      </c>
      <c r="CA63" s="3">
        <f t="shared" si="730"/>
        <v>60</v>
      </c>
      <c r="CB63" s="3">
        <f t="shared" si="730"/>
        <v>60</v>
      </c>
      <c r="CC63" s="3">
        <f t="shared" si="730"/>
        <v>60</v>
      </c>
      <c r="CD63" s="3">
        <f t="shared" si="730"/>
        <v>60</v>
      </c>
      <c r="CE63" s="3">
        <f t="shared" si="730"/>
        <v>60</v>
      </c>
      <c r="CF63" s="3">
        <f t="shared" si="730"/>
        <v>60</v>
      </c>
      <c r="CG63" s="3">
        <f t="shared" si="730"/>
        <v>60</v>
      </c>
      <c r="CH63" s="3">
        <f t="shared" si="730"/>
        <v>60</v>
      </c>
      <c r="CI63" s="3">
        <f>+CJ63</f>
        <v>60</v>
      </c>
      <c r="CJ63" s="3">
        <f>'QTR Raw'!BD45</f>
        <v>60</v>
      </c>
      <c r="CK63" s="3">
        <f>'QTR Raw'!BE45</f>
        <v>60.1</v>
      </c>
      <c r="CL63" s="3">
        <f>'QTR Raw'!BF45</f>
        <v>60.1</v>
      </c>
      <c r="CM63" s="37">
        <f t="shared" ref="CM63:CM64" si="731">+CL63</f>
        <v>60.1</v>
      </c>
      <c r="CN63" s="37">
        <f t="shared" ref="CN63:CN64" si="732">+CM63</f>
        <v>60.1</v>
      </c>
      <c r="CO63" s="37">
        <f t="shared" ref="CO63:CO64" si="733">+CN63</f>
        <v>60.1</v>
      </c>
      <c r="CP63" s="37">
        <f t="shared" ref="CP63:CP64" si="734">+CO63</f>
        <v>60.1</v>
      </c>
      <c r="CQ63" s="37">
        <f t="shared" ref="CQ63:CQ64" si="735">+CP63</f>
        <v>60.1</v>
      </c>
      <c r="CR63" s="37">
        <f t="shared" ref="CR63:CR64" si="736">+CQ63</f>
        <v>60.1</v>
      </c>
      <c r="CS63" s="37">
        <f t="shared" ref="CS63:CS64" si="737">+CR63</f>
        <v>60.1</v>
      </c>
      <c r="CT63" s="37">
        <f t="shared" ref="CT63:CT64" si="738">+CS63</f>
        <v>60.1</v>
      </c>
      <c r="CU63" s="37">
        <f t="shared" ref="CU63:CU64" si="739">+CT63</f>
        <v>60.1</v>
      </c>
      <c r="CV63" s="37">
        <f t="shared" ref="CV63:CV64" si="740">+CU63</f>
        <v>60.1</v>
      </c>
      <c r="CW63" s="37">
        <f t="shared" ref="CW63:CW64" si="741">+CV63</f>
        <v>60.1</v>
      </c>
      <c r="CX63" s="37">
        <f t="shared" ref="CX63:CX64" si="742">+CW63</f>
        <v>60.1</v>
      </c>
      <c r="CY63" s="37">
        <f t="shared" ref="CY63:CY64" si="743">+CX63</f>
        <v>60.1</v>
      </c>
      <c r="CZ63" s="37">
        <f t="shared" ref="CZ63:CZ64" si="744">+CY63</f>
        <v>60.1</v>
      </c>
      <c r="DA63" s="37">
        <f t="shared" ref="DA63:DA64" si="745">+CZ63</f>
        <v>60.1</v>
      </c>
      <c r="DB63" s="37">
        <f t="shared" ref="DB63:DB64" si="746">+DA63</f>
        <v>60.1</v>
      </c>
      <c r="DE63" s="134"/>
      <c r="DF63" s="3">
        <v>60.1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6</v>
      </c>
      <c r="AJ65" s="3">
        <f t="shared" ref="AJ65" si="755">AJ63/AJ64</f>
        <v>6</v>
      </c>
      <c r="AK65" s="3">
        <f t="shared" ref="AK65:AM65" si="756">AK63/AK64</f>
        <v>6</v>
      </c>
      <c r="AL65" s="3">
        <f t="shared" si="756"/>
        <v>6</v>
      </c>
      <c r="AM65" s="3">
        <f t="shared" si="756"/>
        <v>6</v>
      </c>
      <c r="AN65" s="3">
        <f t="shared" ref="AN65:AO65" si="757">AN63/AN64</f>
        <v>6</v>
      </c>
      <c r="AO65" s="3">
        <f t="shared" si="757"/>
        <v>6</v>
      </c>
      <c r="AP65" s="3">
        <f t="shared" ref="AP65:CD65" si="758">AP63/AP64</f>
        <v>6</v>
      </c>
      <c r="AQ65" s="3">
        <f t="shared" si="758"/>
        <v>6</v>
      </c>
      <c r="AR65" s="3">
        <f t="shared" si="758"/>
        <v>6</v>
      </c>
      <c r="AS65" s="3">
        <f t="shared" si="758"/>
        <v>6</v>
      </c>
      <c r="AT65" s="3">
        <f t="shared" si="758"/>
        <v>6</v>
      </c>
      <c r="AU65" s="3">
        <f t="shared" si="758"/>
        <v>6</v>
      </c>
      <c r="AV65" s="3">
        <f t="shared" si="758"/>
        <v>6</v>
      </c>
      <c r="AW65" s="3">
        <f t="shared" si="758"/>
        <v>6</v>
      </c>
      <c r="AX65" s="3">
        <f t="shared" si="758"/>
        <v>6</v>
      </c>
      <c r="AY65" s="3">
        <f t="shared" si="758"/>
        <v>6</v>
      </c>
      <c r="AZ65" s="3">
        <f t="shared" si="758"/>
        <v>6</v>
      </c>
      <c r="BA65" s="3">
        <f t="shared" si="758"/>
        <v>6</v>
      </c>
      <c r="BB65" s="3">
        <f t="shared" si="758"/>
        <v>6</v>
      </c>
      <c r="BC65" s="3">
        <f t="shared" si="758"/>
        <v>6</v>
      </c>
      <c r="BD65" s="3">
        <f t="shared" si="758"/>
        <v>6</v>
      </c>
      <c r="BE65" s="3">
        <f t="shared" si="758"/>
        <v>6</v>
      </c>
      <c r="BF65" s="3">
        <f t="shared" si="758"/>
        <v>6</v>
      </c>
      <c r="BG65" s="3">
        <f t="shared" si="758"/>
        <v>6</v>
      </c>
      <c r="BH65" s="3">
        <f t="shared" si="758"/>
        <v>6</v>
      </c>
      <c r="BI65" s="3">
        <f t="shared" si="758"/>
        <v>6</v>
      </c>
      <c r="BJ65" s="3">
        <f t="shared" si="758"/>
        <v>6</v>
      </c>
      <c r="BK65" s="3">
        <f t="shared" si="758"/>
        <v>6</v>
      </c>
      <c r="BL65" s="3">
        <f t="shared" si="758"/>
        <v>6</v>
      </c>
      <c r="BM65" s="3">
        <f t="shared" si="758"/>
        <v>6</v>
      </c>
      <c r="BN65" s="3">
        <f t="shared" si="758"/>
        <v>6</v>
      </c>
      <c r="BO65" s="3">
        <f t="shared" si="758"/>
        <v>6</v>
      </c>
      <c r="BP65" s="3">
        <f t="shared" si="758"/>
        <v>6</v>
      </c>
      <c r="BQ65" s="3">
        <f t="shared" si="758"/>
        <v>6</v>
      </c>
      <c r="BR65" s="3">
        <f t="shared" si="758"/>
        <v>6</v>
      </c>
      <c r="BS65" s="3">
        <f t="shared" si="758"/>
        <v>6</v>
      </c>
      <c r="BT65" s="3">
        <f t="shared" si="758"/>
        <v>6</v>
      </c>
      <c r="BU65" s="3">
        <f t="shared" si="758"/>
        <v>6</v>
      </c>
      <c r="BV65" s="3">
        <f t="shared" si="758"/>
        <v>6</v>
      </c>
      <c r="BW65" s="3">
        <f t="shared" si="758"/>
        <v>6</v>
      </c>
      <c r="BX65" s="3">
        <f t="shared" si="758"/>
        <v>6</v>
      </c>
      <c r="BY65" s="3">
        <f t="shared" si="758"/>
        <v>6</v>
      </c>
      <c r="BZ65" s="3">
        <f t="shared" si="758"/>
        <v>6</v>
      </c>
      <c r="CA65" s="3">
        <f t="shared" si="758"/>
        <v>6</v>
      </c>
      <c r="CB65" s="3">
        <f t="shared" si="758"/>
        <v>6</v>
      </c>
      <c r="CC65" s="3">
        <f t="shared" si="758"/>
        <v>6</v>
      </c>
      <c r="CD65" s="3">
        <f t="shared" si="758"/>
        <v>6</v>
      </c>
      <c r="CE65" s="3">
        <f t="shared" ref="CE65:CF65" si="759">CE63/CE64</f>
        <v>6</v>
      </c>
      <c r="CF65" s="3">
        <f t="shared" si="759"/>
        <v>6</v>
      </c>
      <c r="CG65" s="3">
        <f t="shared" ref="CG65:CH65" si="760">CG63/CG64</f>
        <v>6</v>
      </c>
      <c r="CH65" s="3">
        <f t="shared" si="760"/>
        <v>6</v>
      </c>
      <c r="CI65" s="3">
        <f t="shared" ref="CI65:CJ65" si="761">CI63/CI64</f>
        <v>6</v>
      </c>
      <c r="CJ65" s="3">
        <f t="shared" si="761"/>
        <v>6</v>
      </c>
      <c r="CK65" s="3">
        <f t="shared" ref="CK65:CL65" si="762">CK63/CK64</f>
        <v>6.01</v>
      </c>
      <c r="CL65" s="3">
        <f t="shared" si="762"/>
        <v>6.01</v>
      </c>
      <c r="CM65" s="37">
        <f t="shared" ref="CM65:DB65" si="763">CM63/CM64</f>
        <v>6.01</v>
      </c>
      <c r="CN65" s="37">
        <f t="shared" si="763"/>
        <v>6.01</v>
      </c>
      <c r="CO65" s="37">
        <f t="shared" si="763"/>
        <v>6.01</v>
      </c>
      <c r="CP65" s="37">
        <f t="shared" si="763"/>
        <v>6.01</v>
      </c>
      <c r="CQ65" s="37">
        <f t="shared" si="763"/>
        <v>6.01</v>
      </c>
      <c r="CR65" s="37">
        <f t="shared" si="763"/>
        <v>6.01</v>
      </c>
      <c r="CS65" s="37">
        <f t="shared" si="763"/>
        <v>6.01</v>
      </c>
      <c r="CT65" s="37">
        <f t="shared" si="763"/>
        <v>6.01</v>
      </c>
      <c r="CU65" s="37">
        <f t="shared" si="763"/>
        <v>6.01</v>
      </c>
      <c r="CV65" s="37">
        <f t="shared" si="763"/>
        <v>6.01</v>
      </c>
      <c r="CW65" s="37">
        <f t="shared" si="763"/>
        <v>6.01</v>
      </c>
      <c r="CX65" s="37">
        <f t="shared" si="763"/>
        <v>6.01</v>
      </c>
      <c r="CY65" s="37">
        <f t="shared" si="763"/>
        <v>6.01</v>
      </c>
      <c r="CZ65" s="37">
        <f t="shared" si="763"/>
        <v>6.01</v>
      </c>
      <c r="DA65" s="37">
        <f t="shared" si="763"/>
        <v>6.01</v>
      </c>
      <c r="DB65" s="37">
        <f t="shared" si="763"/>
        <v>6.01</v>
      </c>
      <c r="DE65" s="134"/>
      <c r="DF65" s="3">
        <v>6.01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-9.4</v>
      </c>
      <c r="BH66" s="53">
        <f t="shared" si="766"/>
        <v>3.4000000000000004</v>
      </c>
      <c r="BI66" s="53">
        <f t="shared" si="766"/>
        <v>4.6166666666666671</v>
      </c>
      <c r="BJ66" s="53">
        <f t="shared" si="766"/>
        <v>4.700000000000002</v>
      </c>
      <c r="BK66" s="53">
        <f t="shared" si="766"/>
        <v>5.400000000000003</v>
      </c>
      <c r="BL66" s="53">
        <f t="shared" si="766"/>
        <v>1.4499999999999986</v>
      </c>
      <c r="BM66" s="53">
        <f t="shared" si="766"/>
        <v>10.333333333333336</v>
      </c>
      <c r="BN66" s="53">
        <f t="shared" si="766"/>
        <v>7.3833333333333293</v>
      </c>
      <c r="BO66" s="53">
        <f t="shared" ref="BO66:CT66" si="767">(BO48-BO47)/BO65</f>
        <v>12.35</v>
      </c>
      <c r="BP66" s="53">
        <f t="shared" si="767"/>
        <v>11.633333333333333</v>
      </c>
      <c r="BQ66" s="53">
        <f t="shared" si="767"/>
        <v>13.366666666666667</v>
      </c>
      <c r="BR66" s="53">
        <f t="shared" si="767"/>
        <v>9.2833333333333297</v>
      </c>
      <c r="BS66" s="53">
        <f t="shared" si="767"/>
        <v>14.649999999999997</v>
      </c>
      <c r="BT66" s="53">
        <f t="shared" si="767"/>
        <v>13.700000000000001</v>
      </c>
      <c r="BU66" s="53">
        <f t="shared" si="767"/>
        <v>11.699999999999998</v>
      </c>
      <c r="BV66" s="53">
        <f t="shared" si="767"/>
        <v>9.56666666666667</v>
      </c>
      <c r="BW66" s="53">
        <f t="shared" si="767"/>
        <v>7.7833333333333314</v>
      </c>
      <c r="BX66" s="53">
        <f t="shared" si="767"/>
        <v>11.399999999999999</v>
      </c>
      <c r="BY66" s="53">
        <f t="shared" si="767"/>
        <v>18.8</v>
      </c>
      <c r="BZ66" s="53">
        <f t="shared" si="767"/>
        <v>9.3000000000000043</v>
      </c>
      <c r="CA66" s="53">
        <f t="shared" si="767"/>
        <v>14.15</v>
      </c>
      <c r="CB66" s="53">
        <f t="shared" si="767"/>
        <v>11.566666666666668</v>
      </c>
      <c r="CC66" s="53">
        <f t="shared" si="767"/>
        <v>13.65</v>
      </c>
      <c r="CD66" s="53">
        <f t="shared" si="767"/>
        <v>16.599999999999998</v>
      </c>
      <c r="CE66" s="53">
        <f t="shared" si="767"/>
        <v>19.000000000000004</v>
      </c>
      <c r="CF66" s="53">
        <f t="shared" si="767"/>
        <v>22.516666666666662</v>
      </c>
      <c r="CG66" s="53">
        <f t="shared" si="767"/>
        <v>20.166666666666668</v>
      </c>
      <c r="CH66" s="53">
        <f t="shared" si="767"/>
        <v>30.100000000000009</v>
      </c>
      <c r="CI66" s="53">
        <f t="shared" si="767"/>
        <v>25.583333333333339</v>
      </c>
      <c r="CJ66" s="53">
        <f t="shared" si="767"/>
        <v>13.783333333333331</v>
      </c>
      <c r="CK66" s="53">
        <f t="shared" ref="CK66:CL66" si="768">(CK48-CK47)/CK65</f>
        <v>31.331114808652263</v>
      </c>
      <c r="CL66" s="53">
        <f t="shared" si="768"/>
        <v>8.3527454242928485</v>
      </c>
      <c r="CM66" s="54">
        <f t="shared" si="767"/>
        <v>10.150587178739856</v>
      </c>
      <c r="CN66" s="54">
        <f t="shared" si="767"/>
        <v>10.702770868944368</v>
      </c>
      <c r="CO66" s="54">
        <f t="shared" si="767"/>
        <v>11.190348684760853</v>
      </c>
      <c r="CP66" s="54">
        <f t="shared" si="767"/>
        <v>11.056387826907818</v>
      </c>
      <c r="CQ66" s="54">
        <f t="shared" si="767"/>
        <v>11.978883913032892</v>
      </c>
      <c r="CR66" s="54">
        <f t="shared" si="767"/>
        <v>12.752412804784292</v>
      </c>
      <c r="CS66" s="54">
        <f t="shared" si="767"/>
        <v>13.106871923133481</v>
      </c>
      <c r="CT66" s="54">
        <f t="shared" si="767"/>
        <v>13.05262776033822</v>
      </c>
      <c r="CU66" s="54">
        <f t="shared" ref="CU66:DB66" si="769">(CU48-CU47)/CU65</f>
        <v>13.792311857598705</v>
      </c>
      <c r="CV66" s="54">
        <f t="shared" si="769"/>
        <v>14.698325897649006</v>
      </c>
      <c r="CW66" s="54">
        <f t="shared" si="769"/>
        <v>15.064045004682205</v>
      </c>
      <c r="CX66" s="54">
        <f t="shared" si="769"/>
        <v>14.992137677933147</v>
      </c>
      <c r="CY66" s="54">
        <f t="shared" si="769"/>
        <v>15.772547176215454</v>
      </c>
      <c r="CZ66" s="54">
        <f t="shared" si="769"/>
        <v>16.803717025365053</v>
      </c>
      <c r="DA66" s="54">
        <f t="shared" si="769"/>
        <v>17.207902664771588</v>
      </c>
      <c r="DB66" s="54">
        <f t="shared" si="769"/>
        <v>17.118430533010198</v>
      </c>
      <c r="DE66" s="132"/>
      <c r="DF66" s="53">
        <v>33.814449038184691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5</v>
      </c>
      <c r="V67" s="3">
        <f>'Annual Raw'!W110</f>
        <v>7.5</v>
      </c>
      <c r="W67" s="3">
        <f>'Annual Raw'!X110</f>
        <v>1</v>
      </c>
      <c r="X67" s="3">
        <f>'Annual Raw'!Y110</f>
        <v>10</v>
      </c>
      <c r="Y67" s="3">
        <f>'Annual Raw'!Z110</f>
        <v>20</v>
      </c>
      <c r="Z67" s="3">
        <f>'Annual Raw'!AA110</f>
        <v>50</v>
      </c>
      <c r="AA67" s="3">
        <f>'Annual Raw'!AB110</f>
        <v>60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-9.4</v>
      </c>
      <c r="BH69" s="3">
        <f t="shared" ref="BH69" si="803">SUM(BE66:BH66)</f>
        <v>-6</v>
      </c>
      <c r="BI69" s="3">
        <f t="shared" ref="BI69" si="804">SUM(BF66:BI66)</f>
        <v>-1.3833333333333329</v>
      </c>
      <c r="BJ69" s="3">
        <f t="shared" ref="BJ69" si="805">SUM(BG66:BJ66)</f>
        <v>3.3166666666666691</v>
      </c>
      <c r="BK69" s="3">
        <f t="shared" ref="BK69" si="806">SUM(BH66:BK66)</f>
        <v>18.116666666666671</v>
      </c>
      <c r="BL69" s="3">
        <f t="shared" ref="BL69" si="807">SUM(BI66:BL66)</f>
        <v>16.166666666666671</v>
      </c>
      <c r="BM69" s="3">
        <f t="shared" ref="BM69" si="808">SUM(BJ66:BM66)</f>
        <v>21.88333333333334</v>
      </c>
      <c r="BN69" s="3">
        <f t="shared" ref="BN69" si="809">SUM(BK66:BN66)</f>
        <v>24.566666666666666</v>
      </c>
      <c r="BO69" s="3">
        <f t="shared" ref="BO69" si="810">SUM(BL66:BO66)</f>
        <v>31.516666666666666</v>
      </c>
      <c r="BP69" s="3">
        <f t="shared" ref="BP69" si="811">SUM(BM66:BP66)</f>
        <v>41.699999999999996</v>
      </c>
      <c r="BQ69" s="3">
        <f t="shared" ref="BQ69" si="812">SUM(BN66:BQ66)</f>
        <v>44.733333333333327</v>
      </c>
      <c r="BR69" s="3">
        <f t="shared" ref="BR69" si="813">SUM(BO66:BR66)</f>
        <v>46.633333333333333</v>
      </c>
      <c r="BS69" s="3">
        <f t="shared" ref="BS69" si="814">SUM(BP66:BS66)</f>
        <v>48.93333333333333</v>
      </c>
      <c r="BT69" s="3">
        <f t="shared" ref="BT69" si="815">SUM(BQ66:BT66)</f>
        <v>51</v>
      </c>
      <c r="BU69" s="3">
        <f t="shared" ref="BU69" si="816">SUM(BR66:BU66)</f>
        <v>49.333333333333321</v>
      </c>
      <c r="BV69" s="3">
        <f t="shared" ref="BV69" si="817">SUM(BS66:BV66)</f>
        <v>49.616666666666667</v>
      </c>
      <c r="BW69" s="3">
        <f t="shared" ref="BW69" si="818">SUM(BT66:BW66)</f>
        <v>42.75</v>
      </c>
      <c r="BX69" s="3">
        <f t="shared" ref="BX69" si="819">SUM(BU66:BX66)</f>
        <v>40.449999999999996</v>
      </c>
      <c r="BY69" s="3">
        <f t="shared" ref="BY69" si="820">SUM(BV66:BY66)</f>
        <v>47.55</v>
      </c>
      <c r="BZ69" s="3">
        <f t="shared" ref="BZ69" si="821">SUM(BW66:BZ66)</f>
        <v>47.283333333333339</v>
      </c>
      <c r="CA69" s="3">
        <f t="shared" ref="CA69" si="822">SUM(BX66:CA66)</f>
        <v>53.65</v>
      </c>
      <c r="CB69" s="3">
        <f t="shared" ref="CB69" si="823">SUM(BY66:CB66)</f>
        <v>53.816666666666677</v>
      </c>
      <c r="CC69" s="3">
        <f t="shared" ref="CC69" si="824">SUM(BZ66:CC66)</f>
        <v>48.666666666666671</v>
      </c>
      <c r="CD69" s="3">
        <f t="shared" ref="CD69" si="825">SUM(CA66:CD66)</f>
        <v>55.966666666666669</v>
      </c>
      <c r="CE69" s="3">
        <f t="shared" ref="CE69" si="826">SUM(CB66:CE66)</f>
        <v>60.816666666666663</v>
      </c>
      <c r="CF69" s="3">
        <f t="shared" ref="CF69" si="827">SUM(CC66:CF66)</f>
        <v>71.766666666666666</v>
      </c>
      <c r="CG69" s="3">
        <f t="shared" ref="CG69" si="828">SUM(CD66:CG66)</f>
        <v>78.283333333333331</v>
      </c>
      <c r="CH69" s="3">
        <f t="shared" ref="CH69:CL69" si="829">SUM(CE66:CH66)</f>
        <v>91.783333333333346</v>
      </c>
      <c r="CI69" s="3">
        <f t="shared" si="829"/>
        <v>98.366666666666674</v>
      </c>
      <c r="CJ69" s="3">
        <f t="shared" si="829"/>
        <v>89.633333333333354</v>
      </c>
      <c r="CK69" s="3">
        <f t="shared" si="829"/>
        <v>100.79778147531894</v>
      </c>
      <c r="CL69" s="3">
        <f t="shared" si="829"/>
        <v>79.050526899611782</v>
      </c>
      <c r="CM69" s="37">
        <f t="shared" ref="CM69" si="830">SUM(CJ66:CM66)</f>
        <v>63.617780745018294</v>
      </c>
      <c r="CN69" s="37">
        <f t="shared" ref="CN69" si="831">SUM(CK66:CN66)</f>
        <v>60.537218280629332</v>
      </c>
      <c r="CO69" s="37">
        <f t="shared" ref="CO69" si="832">SUM(CL66:CO66)</f>
        <v>40.396452156737922</v>
      </c>
      <c r="CP69" s="37">
        <f t="shared" ref="CP69" si="833">SUM(CM66:CP66)</f>
        <v>43.10009455935289</v>
      </c>
      <c r="CQ69" s="37">
        <f t="shared" ref="CQ69" si="834">SUM(CN66:CQ66)</f>
        <v>44.92839129364593</v>
      </c>
      <c r="CR69" s="37">
        <f t="shared" ref="CR69" si="835">SUM(CO66:CR66)</f>
        <v>46.978033229485852</v>
      </c>
      <c r="CS69" s="37">
        <f t="shared" ref="CS69" si="836">SUM(CP66:CS66)</f>
        <v>48.894556467858486</v>
      </c>
      <c r="CT69" s="37">
        <f t="shared" ref="CT69" si="837">SUM(CQ66:CT66)</f>
        <v>50.890796401288881</v>
      </c>
      <c r="CU69" s="37">
        <f t="shared" ref="CU69" si="838">SUM(CR66:CU66)</f>
        <v>52.704224345854698</v>
      </c>
      <c r="CV69" s="37">
        <f t="shared" ref="CV69" si="839">SUM(CS66:CV66)</f>
        <v>54.650137438719412</v>
      </c>
      <c r="CW69" s="37">
        <f t="shared" ref="CW69" si="840">SUM(CT66:CW66)</f>
        <v>56.607310520268136</v>
      </c>
      <c r="CX69" s="37">
        <f t="shared" ref="CX69" si="841">SUM(CU66:CX66)</f>
        <v>58.546820437863062</v>
      </c>
      <c r="CY69" s="37">
        <f t="shared" ref="CY69" si="842">SUM(CV66:CY66)</f>
        <v>60.527055756479811</v>
      </c>
      <c r="CZ69" s="37">
        <f t="shared" ref="CZ69" si="843">SUM(CW66:CZ66)</f>
        <v>62.632446884195858</v>
      </c>
      <c r="DA69" s="37">
        <f t="shared" ref="DA69" si="844">SUM(CX66:DA66)</f>
        <v>64.776304544285239</v>
      </c>
      <c r="DB69" s="37">
        <f t="shared" ref="DB69" si="845">SUM(CY66:DB66)</f>
        <v>66.902597399362293</v>
      </c>
      <c r="DE69" s="134"/>
      <c r="DF69" s="3">
        <v>104.51223051350362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>
        <f t="shared" si="851"/>
        <v>2.9273049645390072</v>
      </c>
      <c r="BL70" s="176">
        <f t="shared" si="851"/>
        <v>3.6944444444444451</v>
      </c>
      <c r="BM70" s="176">
        <f t="shared" si="851"/>
        <v>16.819277108433745</v>
      </c>
      <c r="BN70" s="176">
        <f t="shared" si="851"/>
        <v>6.4070351758793915</v>
      </c>
      <c r="BO70" s="176">
        <f t="shared" si="851"/>
        <v>0.73965041398344011</v>
      </c>
      <c r="BP70" s="176">
        <f t="shared" si="851"/>
        <v>1.5793814432989679</v>
      </c>
      <c r="BQ70" s="176">
        <f t="shared" si="851"/>
        <v>1.0441736481340431</v>
      </c>
      <c r="BR70" s="176">
        <f t="shared" si="851"/>
        <v>0.89823609226594292</v>
      </c>
      <c r="BS70" s="176">
        <f t="shared" si="851"/>
        <v>0.55261766261237444</v>
      </c>
      <c r="BT70" s="176">
        <f t="shared" si="851"/>
        <v>0.22302158273381312</v>
      </c>
      <c r="BU70" s="176">
        <f t="shared" si="851"/>
        <v>0.10283159463487324</v>
      </c>
      <c r="BV70" s="176">
        <f t="shared" si="851"/>
        <v>6.3974267333809953E-2</v>
      </c>
      <c r="BW70" s="176">
        <f t="shared" si="851"/>
        <v>-0.12636239782016345</v>
      </c>
      <c r="BX70" s="176">
        <f t="shared" si="851"/>
        <v>-0.20686274509803926</v>
      </c>
      <c r="BY70" s="176">
        <f t="shared" si="851"/>
        <v>-3.6148648648648529E-2</v>
      </c>
      <c r="BZ70" s="176">
        <f t="shared" si="851"/>
        <v>-4.7027208599260906E-2</v>
      </c>
      <c r="CA70" s="176">
        <f t="shared" si="851"/>
        <v>0.25497076023391818</v>
      </c>
      <c r="CB70" s="176">
        <f t="shared" si="851"/>
        <v>0.33044911413267442</v>
      </c>
      <c r="CC70" s="176">
        <f t="shared" si="851"/>
        <v>2.3484051875219292E-2</v>
      </c>
      <c r="CD70" s="176">
        <f t="shared" si="851"/>
        <v>0.18364469510045822</v>
      </c>
      <c r="CE70" s="176">
        <f t="shared" si="851"/>
        <v>0.1335818577197887</v>
      </c>
      <c r="CF70" s="176">
        <f t="shared" si="851"/>
        <v>0.33353979560235336</v>
      </c>
      <c r="CG70" s="176">
        <f t="shared" si="851"/>
        <v>0.60856164383561628</v>
      </c>
      <c r="CH70" s="176">
        <f t="shared" si="851"/>
        <v>0.63996426444312116</v>
      </c>
      <c r="CI70" s="176">
        <f t="shared" si="851"/>
        <v>0.61742943272129369</v>
      </c>
      <c r="CJ70" s="176">
        <f t="shared" si="851"/>
        <v>0.24895494658615913</v>
      </c>
      <c r="CK70" s="176">
        <f t="shared" si="851"/>
        <v>0.28760206270366973</v>
      </c>
      <c r="CL70" s="176">
        <f t="shared" si="851"/>
        <v>-0.13872678155498341</v>
      </c>
      <c r="CM70" s="102">
        <f t="shared" ref="CM70:DB70" si="852">+IF(CI69&lt;0,1-CM69/CI69,CM69/CI69-1)</f>
        <v>-0.35325875216857039</v>
      </c>
      <c r="CN70" s="102">
        <f t="shared" si="852"/>
        <v>-0.32461266328788418</v>
      </c>
      <c r="CO70" s="102">
        <f t="shared" si="852"/>
        <v>-0.59923272550766127</v>
      </c>
      <c r="CP70" s="102">
        <f t="shared" si="852"/>
        <v>-0.45477789649540523</v>
      </c>
      <c r="CQ70" s="102">
        <f t="shared" si="852"/>
        <v>-0.29377619326709803</v>
      </c>
      <c r="CR70" s="102">
        <f t="shared" si="852"/>
        <v>-0.22398097296588437</v>
      </c>
      <c r="CS70" s="102">
        <f t="shared" si="852"/>
        <v>0.2103675906524658</v>
      </c>
      <c r="CT70" s="102">
        <f t="shared" si="852"/>
        <v>0.18075834685716208</v>
      </c>
      <c r="CU70" s="102">
        <f t="shared" si="852"/>
        <v>0.17307169983868254</v>
      </c>
      <c r="CV70" s="102">
        <f t="shared" si="852"/>
        <v>0.163312588497599</v>
      </c>
      <c r="CW70" s="102">
        <f t="shared" si="852"/>
        <v>0.1577425916007591</v>
      </c>
      <c r="CX70" s="102">
        <f t="shared" si="852"/>
        <v>0.15044024809916867</v>
      </c>
      <c r="CY70" s="102">
        <f t="shared" si="852"/>
        <v>0.14842892591095302</v>
      </c>
      <c r="CZ70" s="102">
        <f t="shared" si="852"/>
        <v>0.1460620195955995</v>
      </c>
      <c r="DA70" s="102">
        <f t="shared" si="852"/>
        <v>0.14430987709780374</v>
      </c>
      <c r="DB70" s="102">
        <f t="shared" si="852"/>
        <v>0.14271956869745628</v>
      </c>
      <c r="DE70" s="135"/>
      <c r="DF70" s="97">
        <v>0.13868418936085281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67.03</v>
      </c>
      <c r="T73" s="3">
        <f>'Annual Raw'!U112</f>
        <v>0</v>
      </c>
      <c r="U73" s="3">
        <f>'Annual Raw'!V112</f>
        <v>52.34</v>
      </c>
      <c r="V73" s="3">
        <f>'Annual Raw'!W112</f>
        <v>49.85</v>
      </c>
      <c r="W73" s="3">
        <f>'Annual Raw'!X112</f>
        <v>49.52</v>
      </c>
      <c r="X73" s="3">
        <f>'Annual Raw'!Y112</f>
        <v>49.22</v>
      </c>
      <c r="Y73" s="3">
        <f>'Annual Raw'!Z112</f>
        <v>49.21</v>
      </c>
      <c r="Z73" s="3">
        <f>'Annual Raw'!AA112</f>
        <v>49.17</v>
      </c>
      <c r="AA73" s="3">
        <f>'Annual Raw'!AB112</f>
        <v>49.12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52.34</v>
      </c>
      <c r="BM73" s="3">
        <f>'QTR Raw'!AG49</f>
        <v>52.34</v>
      </c>
      <c r="BN73" s="3">
        <f>'QTR Raw'!AH49</f>
        <v>52.34</v>
      </c>
      <c r="BO73" s="3">
        <f>'QTR Raw'!AI49</f>
        <v>52.34</v>
      </c>
      <c r="BP73" s="3">
        <f>'QTR Raw'!AJ49</f>
        <v>51.99</v>
      </c>
      <c r="BQ73" s="3">
        <f>'QTR Raw'!AK49</f>
        <v>51.98</v>
      </c>
      <c r="BR73" s="3">
        <f>'QTR Raw'!AL49</f>
        <v>49.85</v>
      </c>
      <c r="BS73" s="3">
        <f>'QTR Raw'!AM49</f>
        <v>49.82</v>
      </c>
      <c r="BT73" s="3">
        <f>'QTR Raw'!AN49</f>
        <v>49.52</v>
      </c>
      <c r="BU73" s="3">
        <f>'QTR Raw'!AO49</f>
        <v>49.52</v>
      </c>
      <c r="BV73" s="3">
        <f>'QTR Raw'!AP49</f>
        <v>49.52</v>
      </c>
      <c r="BW73" s="3">
        <f>'QTR Raw'!AQ49</f>
        <v>49.22</v>
      </c>
      <c r="BX73" s="3">
        <f>'QTR Raw'!AR49</f>
        <v>49.22</v>
      </c>
      <c r="BY73" s="3">
        <f>'QTR Raw'!AS49</f>
        <v>49.22</v>
      </c>
      <c r="BZ73" s="3">
        <f>'QTR Raw'!AT49</f>
        <v>49.22</v>
      </c>
      <c r="CA73" s="3">
        <f>'QTR Raw'!AU49</f>
        <v>49.22</v>
      </c>
      <c r="CB73" s="3">
        <f>'QTR Raw'!AV49</f>
        <v>49.21</v>
      </c>
      <c r="CC73" s="3">
        <f>'QTR Raw'!AW49</f>
        <v>49.21</v>
      </c>
      <c r="CD73" s="3">
        <f>'QTR Raw'!AX49</f>
        <v>49.21</v>
      </c>
      <c r="CE73" s="3">
        <f>'QTR Raw'!AY49</f>
        <v>49.21</v>
      </c>
      <c r="CF73" s="3">
        <f>'QTR Raw'!AZ49</f>
        <v>49.21</v>
      </c>
      <c r="CG73" s="3">
        <f>'QTR Raw'!BA49</f>
        <v>49.17</v>
      </c>
      <c r="CH73" s="3">
        <f>'QTR Raw'!BB49</f>
        <v>49.17</v>
      </c>
      <c r="CI73" s="3">
        <f>'QTR Raw'!BC49</f>
        <v>49.17</v>
      </c>
      <c r="CJ73" s="3">
        <f>'QTR Raw'!BD49</f>
        <v>49.17</v>
      </c>
      <c r="CK73" s="3">
        <f>'QTR Raw'!BE49</f>
        <v>49.12</v>
      </c>
      <c r="CL73" s="3">
        <f>'QTR Raw'!BF49</f>
        <v>49.12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967.95</v>
      </c>
      <c r="V77" s="13">
        <f>'Annual Raw'!W106</f>
        <v>3866.2750000000001</v>
      </c>
      <c r="W77" s="13">
        <f>'Annual Raw'!X106</f>
        <v>2161.6</v>
      </c>
      <c r="X77" s="13">
        <f>'Annual Raw'!Y106</f>
        <v>2514.0749999999998</v>
      </c>
      <c r="Y77" s="13">
        <f>'Annual Raw'!Z106</f>
        <v>2645.75</v>
      </c>
      <c r="Z77" s="13">
        <f>'Annual Raw'!AA106</f>
        <v>2065.4</v>
      </c>
      <c r="AA77" s="13">
        <f>'Annual Raw'!AB106</f>
        <v>1983.9</v>
      </c>
      <c r="AB77" s="37">
        <f>+CP77</f>
        <v>1983.9</v>
      </c>
      <c r="AC77" s="37">
        <f>+CT77</f>
        <v>1983.9</v>
      </c>
      <c r="AD77" s="37">
        <f>+CX77</f>
        <v>1983.9</v>
      </c>
      <c r="AE77" s="37">
        <f>+DB77</f>
        <v>1983.9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883.3</v>
      </c>
      <c r="BM77" s="13">
        <f>'QTR Share Price'!IS21</f>
        <v>1033.0250000000001</v>
      </c>
      <c r="BN77" s="13">
        <f>'QTR Share Price'!IT21</f>
        <v>967.95</v>
      </c>
      <c r="BO77" s="13">
        <f>'QTR Share Price'!IU21</f>
        <v>1158.7249999999999</v>
      </c>
      <c r="BP77" s="13">
        <f>'QTR Share Price'!IV21</f>
        <v>2496.0250000000001</v>
      </c>
      <c r="BQ77" s="13">
        <f>'QTR Share Price'!IW21</f>
        <v>3202.7</v>
      </c>
      <c r="BR77" s="13">
        <f>'QTR Share Price'!IX21</f>
        <v>3866.2750000000001</v>
      </c>
      <c r="BS77" s="13">
        <f>'QTR Share Price'!IY21</f>
        <v>3494.8</v>
      </c>
      <c r="BT77" s="13">
        <f>'QTR Share Price'!IZ21</f>
        <v>4193.05</v>
      </c>
      <c r="BU77" s="13">
        <f>'QTR Share Price'!JA21</f>
        <v>3236.9749999999999</v>
      </c>
      <c r="BV77" s="13">
        <f>'QTR Share Price'!JB21</f>
        <v>2161.6</v>
      </c>
      <c r="BW77" s="13">
        <f>'QTR Share Price'!JC21</f>
        <v>1905.85</v>
      </c>
      <c r="BX77" s="13">
        <f>'QTR Share Price'!JD21</f>
        <v>2231.25</v>
      </c>
      <c r="BY77" s="13">
        <f>'QTR Share Price'!JE21</f>
        <v>2159.25</v>
      </c>
      <c r="BZ77" s="13">
        <f>'QTR Share Price'!JF21</f>
        <v>2514.0749999999998</v>
      </c>
      <c r="CA77" s="13">
        <f>'QTR Share Price'!JG21</f>
        <v>2815.35</v>
      </c>
      <c r="CB77" s="13">
        <f>'QTR Share Price'!JH21</f>
        <v>2870.4</v>
      </c>
      <c r="CC77" s="13">
        <f>'QTR Share Price'!JI21</f>
        <v>2721.6</v>
      </c>
      <c r="CD77" s="13">
        <f>'QTR Share Price'!JJ21</f>
        <v>2645.75</v>
      </c>
      <c r="CE77" s="13">
        <f>'QTR Share Price'!JK21</f>
        <v>2680.5</v>
      </c>
      <c r="CF77" s="13">
        <f>'QTR Share Price'!JL21</f>
        <v>2955</v>
      </c>
      <c r="CG77" s="13">
        <f>'QTR Share Price'!JM21</f>
        <v>2249.1999999999998</v>
      </c>
      <c r="CH77" s="13">
        <f>'QTR Share Price'!JN21</f>
        <v>2065.4</v>
      </c>
      <c r="CI77" s="13">
        <f>'QTR Share Price'!JO21</f>
        <v>2595.1999999999998</v>
      </c>
      <c r="CJ77" s="13">
        <f>'QTR Share Price'!JP21</f>
        <v>2355.4499999999998</v>
      </c>
      <c r="CK77" s="13">
        <f>'QTR Share Price'!JQ21</f>
        <v>2224</v>
      </c>
      <c r="CL77" s="13">
        <f>'QTR Share Price'!JR21</f>
        <v>1983.9</v>
      </c>
      <c r="CM77" s="37">
        <f t="shared" ref="CM77" si="853">+CL77</f>
        <v>1983.9</v>
      </c>
      <c r="CN77" s="37">
        <f t="shared" ref="CN77" si="854">+CM77</f>
        <v>1983.9</v>
      </c>
      <c r="CO77" s="37">
        <f t="shared" ref="CO77" si="855">+CN77</f>
        <v>1983.9</v>
      </c>
      <c r="CP77" s="37">
        <f t="shared" ref="CP77" si="856">+CO77</f>
        <v>1983.9</v>
      </c>
      <c r="CQ77" s="37">
        <f t="shared" ref="CQ77" si="857">+CP77</f>
        <v>1983.9</v>
      </c>
      <c r="CR77" s="37">
        <f t="shared" ref="CR77" si="858">+CQ77</f>
        <v>1983.9</v>
      </c>
      <c r="CS77" s="37">
        <f t="shared" ref="CS77" si="859">+CR77</f>
        <v>1983.9</v>
      </c>
      <c r="CT77" s="37">
        <f t="shared" ref="CT77" si="860">+CS77</f>
        <v>1983.9</v>
      </c>
      <c r="CU77" s="37">
        <f t="shared" ref="CU77" si="861">+CT77</f>
        <v>1983.9</v>
      </c>
      <c r="CV77" s="37">
        <f t="shared" ref="CV77" si="862">+CU77</f>
        <v>1983.9</v>
      </c>
      <c r="CW77" s="37">
        <f t="shared" ref="CW77" si="863">+CV77</f>
        <v>1983.9</v>
      </c>
      <c r="CX77" s="37">
        <f t="shared" ref="CX77" si="864">+CW77</f>
        <v>1983.9</v>
      </c>
      <c r="CY77" s="37">
        <f t="shared" ref="CY77" si="865">+CX77</f>
        <v>1983.9</v>
      </c>
      <c r="CZ77" s="37">
        <f t="shared" ref="CZ77" si="866">+CY77</f>
        <v>1983.9</v>
      </c>
      <c r="DA77" s="37">
        <f t="shared" ref="DA77" si="867">+CZ77</f>
        <v>1983.9</v>
      </c>
      <c r="DB77" s="37">
        <f t="shared" ref="DB77" si="868">+DA77</f>
        <v>1983.9</v>
      </c>
      <c r="DE77" s="134"/>
      <c r="DF77" s="13">
        <v>1983.9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1431</v>
      </c>
      <c r="V78" s="13">
        <f>'Annual Raw'!W107</f>
        <v>4975.9750000000004</v>
      </c>
      <c r="W78" s="13">
        <f>'Annual Raw'!X107</f>
        <v>4850</v>
      </c>
      <c r="X78" s="13">
        <f>'Annual Raw'!Y107</f>
        <v>2623.7750000000001</v>
      </c>
      <c r="Y78" s="13">
        <f>'Annual Raw'!Z107</f>
        <v>3293.45</v>
      </c>
      <c r="Z78" s="13">
        <f>'Annual Raw'!AA107</f>
        <v>3198.95</v>
      </c>
      <c r="AA78" s="13">
        <f>'Annual Raw'!AB107</f>
        <v>2772</v>
      </c>
      <c r="AB78" s="37">
        <f>+MAX(CM78:CP78)</f>
        <v>1859.8318957246481</v>
      </c>
      <c r="AC78" s="37">
        <f>+MAX(CQ78:CT78)</f>
        <v>1487.7652951350053</v>
      </c>
      <c r="AD78" s="37">
        <f>+MAX(CU78:CX78)</f>
        <v>1711.5850752484484</v>
      </c>
      <c r="AE78" s="37">
        <f>+MAX(CY78:DB78)</f>
        <v>1955.8617589769103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985.35</v>
      </c>
      <c r="BM78" s="13">
        <f>'QTR Share Price'!IS19</f>
        <v>1155</v>
      </c>
      <c r="BN78" s="13">
        <f>'QTR Share Price'!IT19</f>
        <v>1431</v>
      </c>
      <c r="BO78" s="13">
        <f>'QTR Share Price'!IU19</f>
        <v>1293.5999999999999</v>
      </c>
      <c r="BP78" s="13">
        <f>'QTR Share Price'!IV19</f>
        <v>2742.5</v>
      </c>
      <c r="BQ78" s="13">
        <f>'QTR Share Price'!IW19</f>
        <v>3231.9250000000002</v>
      </c>
      <c r="BR78" s="13">
        <f>'QTR Share Price'!IX19</f>
        <v>4975.9750000000004</v>
      </c>
      <c r="BS78" s="13">
        <f>'QTR Share Price'!IY19</f>
        <v>4463.5</v>
      </c>
      <c r="BT78" s="13">
        <f>'QTR Share Price'!IZ19</f>
        <v>4635</v>
      </c>
      <c r="BU78" s="13">
        <f>'QTR Share Price'!JA19</f>
        <v>4850</v>
      </c>
      <c r="BV78" s="13">
        <f>'QTR Share Price'!JB19</f>
        <v>3451</v>
      </c>
      <c r="BW78" s="13">
        <f>'QTR Share Price'!JC19</f>
        <v>2623.7750000000001</v>
      </c>
      <c r="BX78" s="13">
        <f>'QTR Share Price'!JD19</f>
        <v>2437.7249999999999</v>
      </c>
      <c r="BY78" s="13">
        <f>'QTR Share Price'!JE19</f>
        <v>2458.0500000000002</v>
      </c>
      <c r="BZ78" s="13">
        <f>'QTR Share Price'!JF19</f>
        <v>2595.9</v>
      </c>
      <c r="CA78" s="13">
        <f>'QTR Share Price'!JG19</f>
        <v>3050.65</v>
      </c>
      <c r="CB78" s="13">
        <f>'QTR Share Price'!JH19</f>
        <v>3293.45</v>
      </c>
      <c r="CC78" s="13">
        <f>'QTR Share Price'!JI19</f>
        <v>2922.05</v>
      </c>
      <c r="CD78" s="13">
        <f>'QTR Share Price'!JJ19</f>
        <v>2803.6</v>
      </c>
      <c r="CE78" s="13">
        <f>'QTR Share Price'!JK19</f>
        <v>2913</v>
      </c>
      <c r="CF78" s="13">
        <f>'QTR Share Price'!JL19</f>
        <v>3198.95</v>
      </c>
      <c r="CG78" s="13">
        <f>'QTR Share Price'!JM19</f>
        <v>3129.85</v>
      </c>
      <c r="CH78" s="13">
        <f>'QTR Share Price'!JN19</f>
        <v>2369.9</v>
      </c>
      <c r="CI78" s="13">
        <f>'QTR Share Price'!JO19</f>
        <v>2721.2</v>
      </c>
      <c r="CJ78" s="13">
        <f>'QTR Share Price'!JP19</f>
        <v>2772</v>
      </c>
      <c r="CK78" s="13">
        <f>'QTR Share Price'!JQ19</f>
        <v>2525</v>
      </c>
      <c r="CL78" s="13">
        <f>'QTR Share Price'!JR19</f>
        <v>2311</v>
      </c>
      <c r="CM78" s="37">
        <f t="shared" ref="CM78:DB78" si="869">+CM69*CM86</f>
        <v>1859.8318957246481</v>
      </c>
      <c r="CN78" s="37">
        <f t="shared" si="869"/>
        <v>1769.7732947966151</v>
      </c>
      <c r="CO78" s="37">
        <f t="shared" si="869"/>
        <v>1180.9687372833921</v>
      </c>
      <c r="CP78" s="37">
        <f t="shared" si="869"/>
        <v>1260.0082811991185</v>
      </c>
      <c r="CQ78" s="37">
        <f t="shared" si="869"/>
        <v>1313.4575612819306</v>
      </c>
      <c r="CR78" s="37">
        <f t="shared" si="869"/>
        <v>1373.3777502990304</v>
      </c>
      <c r="CS78" s="37">
        <f t="shared" si="869"/>
        <v>1429.4062851815841</v>
      </c>
      <c r="CT78" s="37">
        <f t="shared" si="869"/>
        <v>1487.7652951350053</v>
      </c>
      <c r="CU78" s="37">
        <f t="shared" si="869"/>
        <v>1540.7798940789648</v>
      </c>
      <c r="CV78" s="37">
        <f t="shared" si="869"/>
        <v>1597.6676256853741</v>
      </c>
      <c r="CW78" s="37">
        <f t="shared" si="869"/>
        <v>1654.8845370565407</v>
      </c>
      <c r="CX78" s="37">
        <f t="shared" si="869"/>
        <v>1711.5850752484484</v>
      </c>
      <c r="CY78" s="37">
        <f t="shared" si="869"/>
        <v>1769.4761988222976</v>
      </c>
      <c r="CZ78" s="37">
        <f t="shared" si="869"/>
        <v>1831.0261857354865</v>
      </c>
      <c r="DA78" s="37">
        <f t="shared" si="869"/>
        <v>1893.7007212102258</v>
      </c>
      <c r="DB78" s="37">
        <f t="shared" si="869"/>
        <v>1955.8617589769103</v>
      </c>
      <c r="DE78" s="134"/>
      <c r="DF78" s="13">
        <v>2311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476</v>
      </c>
      <c r="V79" s="13">
        <f>'Annual Raw'!W108</f>
        <v>960</v>
      </c>
      <c r="W79" s="13">
        <f>'Annual Raw'!X108</f>
        <v>1982.675</v>
      </c>
      <c r="X79" s="13">
        <f>'Annual Raw'!Y108</f>
        <v>1838.0250000000001</v>
      </c>
      <c r="Y79" s="13">
        <f>'Annual Raw'!Z108</f>
        <v>2395</v>
      </c>
      <c r="Z79" s="13">
        <f>'Annual Raw'!AA108</f>
        <v>1905.35</v>
      </c>
      <c r="AA79" s="13">
        <f>'Annual Raw'!AB108</f>
        <v>1850</v>
      </c>
      <c r="AB79" s="37">
        <f>+MIN(CM79:CP79)</f>
        <v>983.91917211832242</v>
      </c>
      <c r="AC79" s="37">
        <f>+MIN(CQ79:CT79)</f>
        <v>1094.3016826015705</v>
      </c>
      <c r="AD79" s="37">
        <f>+MIN(CU79:CX79)</f>
        <v>1283.6943349457547</v>
      </c>
      <c r="AE79" s="37">
        <f>+MIN(CY79:DB79)</f>
        <v>1474.2317062797283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476</v>
      </c>
      <c r="BM79" s="13">
        <f>+'QTR Share Price'!IS20</f>
        <v>865</v>
      </c>
      <c r="BN79" s="13">
        <f>+'QTR Share Price'!IT20</f>
        <v>820.6</v>
      </c>
      <c r="BO79" s="13">
        <f>+'QTR Share Price'!IU20</f>
        <v>960</v>
      </c>
      <c r="BP79" s="13">
        <f>+'QTR Share Price'!IV20</f>
        <v>1018.175</v>
      </c>
      <c r="BQ79" s="13">
        <f>+'QTR Share Price'!IW20</f>
        <v>2273.35</v>
      </c>
      <c r="BR79" s="13">
        <f>+'QTR Share Price'!IX20</f>
        <v>3190.55</v>
      </c>
      <c r="BS79" s="13">
        <f>+'QTR Share Price'!IY20</f>
        <v>3324.05</v>
      </c>
      <c r="BT79" s="13">
        <f>+'QTR Share Price'!IZ20</f>
        <v>3477.15</v>
      </c>
      <c r="BU79" s="13">
        <f>+'QTR Share Price'!JA20</f>
        <v>3146.375</v>
      </c>
      <c r="BV79" s="13">
        <f>+'QTR Share Price'!JB20</f>
        <v>1982.675</v>
      </c>
      <c r="BW79" s="13">
        <f>+'QTR Share Price'!JC20</f>
        <v>1895.45</v>
      </c>
      <c r="BX79" s="13">
        <f>+'QTR Share Price'!JD20</f>
        <v>1838.0250000000001</v>
      </c>
      <c r="BY79" s="13">
        <f>+'QTR Share Price'!JE20</f>
        <v>2043.65</v>
      </c>
      <c r="BZ79" s="13">
        <f>+'QTR Share Price'!JF20</f>
        <v>2144.15</v>
      </c>
      <c r="CA79" s="13">
        <f>+'QTR Share Price'!JG20</f>
        <v>2468.2750000000001</v>
      </c>
      <c r="CB79" s="13">
        <f>+'QTR Share Price'!JH20</f>
        <v>2612.65</v>
      </c>
      <c r="CC79" s="13">
        <f>+'QTR Share Price'!JI20</f>
        <v>2533.25</v>
      </c>
      <c r="CD79" s="13">
        <f>+'QTR Share Price'!JJ20</f>
        <v>2395</v>
      </c>
      <c r="CE79" s="13">
        <f>+'QTR Share Price'!JK20</f>
        <v>2229.0500000000002</v>
      </c>
      <c r="CF79" s="13">
        <f>+'QTR Share Price'!JL20</f>
        <v>2630.8</v>
      </c>
      <c r="CG79" s="13">
        <f>+'QTR Share Price'!JM20</f>
        <v>2200</v>
      </c>
      <c r="CH79" s="13">
        <f>+'QTR Share Price'!JN20</f>
        <v>1905.35</v>
      </c>
      <c r="CI79" s="13">
        <f>+'QTR Share Price'!JO20</f>
        <v>1850</v>
      </c>
      <c r="CJ79" s="13">
        <f>+'QTR Share Price'!JP20</f>
        <v>2310</v>
      </c>
      <c r="CK79" s="13">
        <f>+'QTR Share Price'!JQ20</f>
        <v>2191</v>
      </c>
      <c r="CL79" s="13">
        <f>+'QTR Share Price'!JR20</f>
        <v>1925.4</v>
      </c>
      <c r="CM79" s="37">
        <f t="shared" ref="CM79:DB79" si="870">+CM87*CM69</f>
        <v>1549.5111778573075</v>
      </c>
      <c r="CN79" s="37">
        <f t="shared" si="870"/>
        <v>1474.4792305501526</v>
      </c>
      <c r="CO79" s="37">
        <f t="shared" si="870"/>
        <v>983.91917211832242</v>
      </c>
      <c r="CP79" s="37">
        <f t="shared" si="870"/>
        <v>1049.7706380877469</v>
      </c>
      <c r="CQ79" s="37">
        <f t="shared" si="870"/>
        <v>1094.3016826015705</v>
      </c>
      <c r="CR79" s="37">
        <f t="shared" si="870"/>
        <v>1144.223937873541</v>
      </c>
      <c r="CS79" s="37">
        <f t="shared" si="870"/>
        <v>1190.9038777536227</v>
      </c>
      <c r="CT79" s="37">
        <f t="shared" si="870"/>
        <v>1239.5254432076761</v>
      </c>
      <c r="CU79" s="37">
        <f t="shared" si="870"/>
        <v>1283.6943349457547</v>
      </c>
      <c r="CV79" s="37">
        <f t="shared" si="870"/>
        <v>1331.0901109885849</v>
      </c>
      <c r="CW79" s="37">
        <f t="shared" si="870"/>
        <v>1378.7601417778726</v>
      </c>
      <c r="CX79" s="37">
        <f t="shared" si="870"/>
        <v>1425.9999584090708</v>
      </c>
      <c r="CY79" s="37">
        <f t="shared" si="870"/>
        <v>1474.2317062797283</v>
      </c>
      <c r="CZ79" s="37">
        <f t="shared" si="870"/>
        <v>1525.5118208633085</v>
      </c>
      <c r="DA79" s="37">
        <f t="shared" si="870"/>
        <v>1577.7288483851878</v>
      </c>
      <c r="DB79" s="37">
        <f t="shared" si="870"/>
        <v>1629.5180574358039</v>
      </c>
      <c r="DE79" s="134"/>
      <c r="DF79" s="13">
        <v>1925.4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-6.2537478842356942E-2</v>
      </c>
      <c r="AC81" s="48">
        <f t="shared" si="871"/>
        <v>-0.25008050046121011</v>
      </c>
      <c r="AD81" s="48">
        <f t="shared" si="871"/>
        <v>-0.13726242489619012</v>
      </c>
      <c r="AE81" s="48">
        <f t="shared" ref="AE81" si="872">+AE78/AE77-1</f>
        <v>-1.4132890278285126E-2</v>
      </c>
      <c r="CM81" s="48">
        <f t="shared" ref="CM81:DB81" si="873">+CM78/CM77-1</f>
        <v>-6.2537478842356942E-2</v>
      </c>
      <c r="CN81" s="48">
        <f t="shared" si="873"/>
        <v>-0.10793220686697158</v>
      </c>
      <c r="CO81" s="48">
        <f t="shared" si="873"/>
        <v>-0.40472365679550781</v>
      </c>
      <c r="CP81" s="48">
        <f t="shared" si="873"/>
        <v>-0.36488316891016759</v>
      </c>
      <c r="CQ81" s="48">
        <f t="shared" si="873"/>
        <v>-0.33794164963862572</v>
      </c>
      <c r="CR81" s="48">
        <f t="shared" si="873"/>
        <v>-0.30773841912443656</v>
      </c>
      <c r="CS81" s="48">
        <f t="shared" si="873"/>
        <v>-0.27949680670316857</v>
      </c>
      <c r="CT81" s="48">
        <f t="shared" si="873"/>
        <v>-0.25008050046121011</v>
      </c>
      <c r="CU81" s="48">
        <f t="shared" si="873"/>
        <v>-0.22335808554918857</v>
      </c>
      <c r="CV81" s="48">
        <f t="shared" si="873"/>
        <v>-0.1946833884342084</v>
      </c>
      <c r="CW81" s="48">
        <f t="shared" si="873"/>
        <v>-0.16584276573590373</v>
      </c>
      <c r="CX81" s="48">
        <f t="shared" si="873"/>
        <v>-0.13726242489619012</v>
      </c>
      <c r="CY81" s="48">
        <f t="shared" si="873"/>
        <v>-0.10808196036982831</v>
      </c>
      <c r="CZ81" s="48">
        <f t="shared" si="873"/>
        <v>-7.705721773502372E-2</v>
      </c>
      <c r="DA81" s="48">
        <f t="shared" si="873"/>
        <v>-4.5465637779008139E-2</v>
      </c>
      <c r="DB81" s="48">
        <f t="shared" si="873"/>
        <v>-1.4132890278285126E-2</v>
      </c>
      <c r="DE81" s="129"/>
      <c r="DF81" s="51">
        <v>0.39724784515348555</v>
      </c>
    </row>
    <row r="82" spans="1:110" s="51" customFormat="1" x14ac:dyDescent="0.2">
      <c r="A82" s="51" t="s">
        <v>347</v>
      </c>
      <c r="AB82" s="48">
        <f t="shared" ref="AB82:AD82" si="874">+AB79/AB77-1</f>
        <v>-0.50404800034360475</v>
      </c>
      <c r="AC82" s="48">
        <f t="shared" si="874"/>
        <v>-0.44840884994124175</v>
      </c>
      <c r="AD82" s="48">
        <f t="shared" si="874"/>
        <v>-0.35294403198459867</v>
      </c>
      <c r="AE82" s="48">
        <f t="shared" ref="AE82" si="875">+AE79/AE77-1</f>
        <v>-0.25690220964780064</v>
      </c>
      <c r="CM82" s="48">
        <f t="shared" ref="CM82:DB82" si="876">+CM79/CM77-1</f>
        <v>-0.21895701504243792</v>
      </c>
      <c r="CN82" s="48">
        <f t="shared" si="876"/>
        <v>-0.25677744314221862</v>
      </c>
      <c r="CO82" s="48">
        <f t="shared" si="876"/>
        <v>-0.50404800034360475</v>
      </c>
      <c r="CP82" s="48">
        <f t="shared" si="876"/>
        <v>-0.47085506422312273</v>
      </c>
      <c r="CQ82" s="48">
        <f t="shared" si="876"/>
        <v>-0.44840884994124175</v>
      </c>
      <c r="CR82" s="48">
        <f t="shared" si="876"/>
        <v>-0.42324515455741674</v>
      </c>
      <c r="CS82" s="48">
        <f t="shared" si="876"/>
        <v>-0.39971577309661643</v>
      </c>
      <c r="CT82" s="48">
        <f t="shared" si="876"/>
        <v>-0.37520770038425522</v>
      </c>
      <c r="CU82" s="48">
        <f t="shared" si="876"/>
        <v>-0.35294403198459867</v>
      </c>
      <c r="CV82" s="48">
        <f t="shared" si="876"/>
        <v>-0.32905382781965575</v>
      </c>
      <c r="CW82" s="48">
        <f t="shared" si="876"/>
        <v>-0.30502538344781871</v>
      </c>
      <c r="CX82" s="48">
        <f t="shared" si="876"/>
        <v>-0.28121379181961248</v>
      </c>
      <c r="CY82" s="48">
        <f t="shared" si="876"/>
        <v>-0.25690220964780064</v>
      </c>
      <c r="CZ82" s="48">
        <f t="shared" si="876"/>
        <v>-0.23105407487105778</v>
      </c>
      <c r="DA82" s="48">
        <f t="shared" si="876"/>
        <v>-0.20473368194708008</v>
      </c>
      <c r="DB82" s="48">
        <f t="shared" si="876"/>
        <v>-0.17862893420242765</v>
      </c>
      <c r="DE82" s="129"/>
      <c r="DF82" s="51">
        <v>-6.7493321235949422E-2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>
        <f t="shared" si="880"/>
        <v>0</v>
      </c>
      <c r="BH85" s="13">
        <f t="shared" si="880"/>
        <v>0</v>
      </c>
      <c r="BI85" s="13">
        <f t="shared" si="880"/>
        <v>0</v>
      </c>
      <c r="BJ85" s="13">
        <f t="shared" si="880"/>
        <v>0</v>
      </c>
      <c r="BK85" s="13">
        <f t="shared" si="880"/>
        <v>0</v>
      </c>
      <c r="BL85" s="13">
        <f t="shared" si="880"/>
        <v>54.637113402061836</v>
      </c>
      <c r="BM85" s="13">
        <f t="shared" si="880"/>
        <v>47.206016755521695</v>
      </c>
      <c r="BN85" s="13">
        <f t="shared" si="880"/>
        <v>39.40094979647219</v>
      </c>
      <c r="BO85" s="13">
        <f t="shared" si="880"/>
        <v>36.765468006345849</v>
      </c>
      <c r="BP85" s="13">
        <f t="shared" si="880"/>
        <v>59.856714628297368</v>
      </c>
      <c r="BQ85" s="13">
        <f t="shared" si="880"/>
        <v>71.595380029806265</v>
      </c>
      <c r="BR85" s="13">
        <f t="shared" ref="BR85:DB85" si="881">+BR77/BR69</f>
        <v>82.90796997855611</v>
      </c>
      <c r="BS85" s="13">
        <f t="shared" si="881"/>
        <v>71.419618528610357</v>
      </c>
      <c r="BT85" s="13">
        <f t="shared" si="881"/>
        <v>82.216666666666669</v>
      </c>
      <c r="BU85" s="13">
        <f t="shared" si="881"/>
        <v>65.614358108108121</v>
      </c>
      <c r="BV85" s="13">
        <f t="shared" si="881"/>
        <v>43.56600604635539</v>
      </c>
      <c r="BW85" s="13">
        <f t="shared" si="881"/>
        <v>44.581286549707599</v>
      </c>
      <c r="BX85" s="13">
        <f t="shared" si="881"/>
        <v>55.160692212608161</v>
      </c>
      <c r="BY85" s="13">
        <f t="shared" si="881"/>
        <v>45.410094637223978</v>
      </c>
      <c r="BZ85" s="13">
        <f t="shared" si="881"/>
        <v>53.170426506873447</v>
      </c>
      <c r="CA85" s="13">
        <f t="shared" si="881"/>
        <v>52.476234855545201</v>
      </c>
      <c r="CB85" s="13">
        <f t="shared" si="881"/>
        <v>53.336636729637647</v>
      </c>
      <c r="CC85" s="13">
        <f t="shared" si="881"/>
        <v>55.92328767123287</v>
      </c>
      <c r="CD85" s="13">
        <f t="shared" si="881"/>
        <v>47.273674806432396</v>
      </c>
      <c r="CE85" s="13">
        <f t="shared" si="881"/>
        <v>44.075089065497401</v>
      </c>
      <c r="CF85" s="13">
        <f t="shared" si="881"/>
        <v>41.175104505341388</v>
      </c>
      <c r="CG85" s="13">
        <f t="shared" si="881"/>
        <v>28.731530764317647</v>
      </c>
      <c r="CH85" s="13">
        <f t="shared" si="881"/>
        <v>22.502996186671506</v>
      </c>
      <c r="CI85" s="13">
        <f t="shared" ref="CI85:CJ85" si="882">+CI77/CI69</f>
        <v>26.382921043713992</v>
      </c>
      <c r="CJ85" s="13">
        <f t="shared" si="882"/>
        <v>26.278728151729258</v>
      </c>
      <c r="CK85" s="13">
        <f t="shared" ref="CK85:CL85" si="883">+CK77/CK69</f>
        <v>22.063977673403084</v>
      </c>
      <c r="CL85" s="13">
        <f t="shared" si="883"/>
        <v>25.096606914706637</v>
      </c>
      <c r="CM85" s="37">
        <f t="shared" si="881"/>
        <v>31.184677880410863</v>
      </c>
      <c r="CN85" s="37">
        <f t="shared" si="881"/>
        <v>32.771575178815368</v>
      </c>
      <c r="CO85" s="37">
        <f t="shared" si="881"/>
        <v>49.110748446484443</v>
      </c>
      <c r="CP85" s="37">
        <f t="shared" si="881"/>
        <v>46.030061425224552</v>
      </c>
      <c r="CQ85" s="37">
        <f t="shared" si="881"/>
        <v>44.156933797907342</v>
      </c>
      <c r="CR85" s="37">
        <f t="shared" si="881"/>
        <v>42.23037585053266</v>
      </c>
      <c r="CS85" s="37">
        <f t="shared" si="881"/>
        <v>40.57506895075619</v>
      </c>
      <c r="CT85" s="37">
        <f t="shared" si="881"/>
        <v>38.983473246446486</v>
      </c>
      <c r="CU85" s="37">
        <f t="shared" si="881"/>
        <v>37.642143957594136</v>
      </c>
      <c r="CV85" s="37">
        <f t="shared" si="881"/>
        <v>36.301830022378219</v>
      </c>
      <c r="CW85" s="37">
        <f t="shared" si="881"/>
        <v>35.046710076248345</v>
      </c>
      <c r="CX85" s="37">
        <f t="shared" si="881"/>
        <v>33.885700114245381</v>
      </c>
      <c r="CY85" s="37">
        <f t="shared" si="881"/>
        <v>32.777077543336659</v>
      </c>
      <c r="CZ85" s="37">
        <f t="shared" si="881"/>
        <v>31.675275335612039</v>
      </c>
      <c r="DA85" s="37">
        <f t="shared" si="881"/>
        <v>30.626940112702457</v>
      </c>
      <c r="DB85" s="37">
        <f t="shared" si="881"/>
        <v>29.653557217778669</v>
      </c>
      <c r="DE85" s="134"/>
      <c r="DF85" s="13">
        <v>18.982467317484609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>
        <f t="shared" si="887"/>
        <v>0</v>
      </c>
      <c r="BH86" s="13">
        <f t="shared" si="887"/>
        <v>0</v>
      </c>
      <c r="BI86" s="13">
        <f t="shared" si="887"/>
        <v>0</v>
      </c>
      <c r="BJ86" s="13">
        <f t="shared" si="887"/>
        <v>0</v>
      </c>
      <c r="BK86" s="13">
        <f t="shared" si="887"/>
        <v>0</v>
      </c>
      <c r="BL86" s="13">
        <f t="shared" si="887"/>
        <v>60.949484536082458</v>
      </c>
      <c r="BM86" s="13">
        <f t="shared" si="887"/>
        <v>52.779893373952767</v>
      </c>
      <c r="BN86" s="13">
        <f t="shared" si="887"/>
        <v>58.249660786974218</v>
      </c>
      <c r="BO86" s="13">
        <f t="shared" si="887"/>
        <v>41.044949762030669</v>
      </c>
      <c r="BP86" s="13">
        <f t="shared" si="887"/>
        <v>65.767386091127108</v>
      </c>
      <c r="BQ86" s="13">
        <f t="shared" si="887"/>
        <v>72.248695976155005</v>
      </c>
      <c r="BR86" s="13">
        <f t="shared" ref="BR86:CH86" si="888">+BR78/BR69</f>
        <v>106.70425303788421</v>
      </c>
      <c r="BS86" s="13">
        <f t="shared" si="888"/>
        <v>91.215940054495917</v>
      </c>
      <c r="BT86" s="13">
        <f t="shared" si="888"/>
        <v>90.882352941176464</v>
      </c>
      <c r="BU86" s="13">
        <f t="shared" si="888"/>
        <v>98.310810810810835</v>
      </c>
      <c r="BV86" s="13">
        <f t="shared" si="888"/>
        <v>69.553241518307019</v>
      </c>
      <c r="BW86" s="13">
        <f t="shared" si="888"/>
        <v>61.374853801169593</v>
      </c>
      <c r="BX86" s="13">
        <f t="shared" si="888"/>
        <v>60.265142150803463</v>
      </c>
      <c r="BY86" s="13">
        <f t="shared" si="888"/>
        <v>51.694006309148271</v>
      </c>
      <c r="BZ86" s="13">
        <f t="shared" si="888"/>
        <v>54.900951709552338</v>
      </c>
      <c r="CA86" s="13">
        <f t="shared" si="888"/>
        <v>56.862068965517246</v>
      </c>
      <c r="CB86" s="13">
        <f t="shared" si="888"/>
        <v>61.197584391452445</v>
      </c>
      <c r="CC86" s="13">
        <f t="shared" si="888"/>
        <v>60.042123287671231</v>
      </c>
      <c r="CD86" s="13">
        <f t="shared" si="888"/>
        <v>50.094103633114948</v>
      </c>
      <c r="CE86" s="13">
        <f t="shared" si="888"/>
        <v>47.898054261441494</v>
      </c>
      <c r="CF86" s="13">
        <f t="shared" si="888"/>
        <v>44.574314909428701</v>
      </c>
      <c r="CG86" s="13">
        <f t="shared" si="888"/>
        <v>39.981051735150096</v>
      </c>
      <c r="CH86" s="13">
        <f t="shared" si="888"/>
        <v>25.82059197385146</v>
      </c>
      <c r="CI86" s="13">
        <f t="shared" ref="CI86:CJ86" si="889">+CI78/CI69</f>
        <v>27.663842765164347</v>
      </c>
      <c r="CJ86" s="13">
        <f t="shared" si="889"/>
        <v>30.925994793603564</v>
      </c>
      <c r="CK86" s="13">
        <f t="shared" ref="CK86:CL86" si="890">+CK78/CK69</f>
        <v>25.050154507798016</v>
      </c>
      <c r="CL86" s="13">
        <f t="shared" si="890"/>
        <v>29.234466747258953</v>
      </c>
      <c r="CM86" s="60">
        <f t="shared" ref="CM86:CM87" si="891">+CL86</f>
        <v>29.234466747258953</v>
      </c>
      <c r="CN86" s="60">
        <f t="shared" ref="CN86:CN87" si="892">+CM86</f>
        <v>29.234466747258953</v>
      </c>
      <c r="CO86" s="60">
        <f t="shared" ref="CO86:CO87" si="893">+CN86</f>
        <v>29.234466747258953</v>
      </c>
      <c r="CP86" s="60">
        <f t="shared" ref="CP86:CP87" si="894">+CO86</f>
        <v>29.234466747258953</v>
      </c>
      <c r="CQ86" s="60">
        <f t="shared" ref="CQ86:CQ87" si="895">+CP86</f>
        <v>29.234466747258953</v>
      </c>
      <c r="CR86" s="60">
        <f t="shared" ref="CR86:CR87" si="896">+CQ86</f>
        <v>29.234466747258953</v>
      </c>
      <c r="CS86" s="60">
        <f t="shared" ref="CS86:CS87" si="897">+CR86</f>
        <v>29.234466747258953</v>
      </c>
      <c r="CT86" s="60">
        <f t="shared" ref="CT86:CT87" si="898">+CS86</f>
        <v>29.234466747258953</v>
      </c>
      <c r="CU86" s="60">
        <f t="shared" ref="CU86:CU87" si="899">+CT86</f>
        <v>29.234466747258953</v>
      </c>
      <c r="CV86" s="60">
        <f t="shared" ref="CV86:CV87" si="900">+CU86</f>
        <v>29.234466747258953</v>
      </c>
      <c r="CW86" s="60">
        <f t="shared" ref="CW86:CW87" si="901">+CV86</f>
        <v>29.234466747258953</v>
      </c>
      <c r="CX86" s="60">
        <f t="shared" ref="CX86:CX87" si="902">+CW86</f>
        <v>29.234466747258953</v>
      </c>
      <c r="CY86" s="60">
        <f t="shared" ref="CY86:CY87" si="903">+CX86</f>
        <v>29.234466747258953</v>
      </c>
      <c r="CZ86" s="60">
        <f t="shared" ref="CZ86:CZ87" si="904">+CY86</f>
        <v>29.234466747258953</v>
      </c>
      <c r="DA86" s="60">
        <f t="shared" ref="DA86:DA87" si="905">+CZ86</f>
        <v>29.234466747258953</v>
      </c>
      <c r="DB86" s="60">
        <f t="shared" ref="DB86:DB87" si="906">+DA86</f>
        <v>29.234466747258953</v>
      </c>
      <c r="DE86" s="136"/>
      <c r="DF86" s="13">
        <v>22.112244554013269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>
        <f t="shared" si="910"/>
        <v>0</v>
      </c>
      <c r="BH87" s="13">
        <f t="shared" si="910"/>
        <v>0</v>
      </c>
      <c r="BI87" s="13">
        <f t="shared" si="910"/>
        <v>0</v>
      </c>
      <c r="BJ87" s="13">
        <f t="shared" si="910"/>
        <v>0</v>
      </c>
      <c r="BK87" s="13">
        <f t="shared" si="910"/>
        <v>0</v>
      </c>
      <c r="BL87" s="13">
        <f t="shared" si="910"/>
        <v>29.443298969072156</v>
      </c>
      <c r="BM87" s="13">
        <f t="shared" si="910"/>
        <v>39.527798933739518</v>
      </c>
      <c r="BN87" s="13">
        <f t="shared" si="910"/>
        <v>33.402985074626869</v>
      </c>
      <c r="BO87" s="13">
        <f t="shared" si="910"/>
        <v>30.460074034902171</v>
      </c>
      <c r="BP87" s="13">
        <f t="shared" si="910"/>
        <v>24.416666666666668</v>
      </c>
      <c r="BQ87" s="13">
        <f t="shared" si="910"/>
        <v>50.820044709388974</v>
      </c>
      <c r="BR87" s="13">
        <f t="shared" ref="BR87:CH87" si="911">+BR79/BR69</f>
        <v>68.417798427448176</v>
      </c>
      <c r="BS87" s="13">
        <f t="shared" si="911"/>
        <v>67.930177111716631</v>
      </c>
      <c r="BT87" s="13">
        <f t="shared" si="911"/>
        <v>68.17941176470589</v>
      </c>
      <c r="BU87" s="13">
        <f t="shared" si="911"/>
        <v>63.777871621621635</v>
      </c>
      <c r="BV87" s="13">
        <f t="shared" si="911"/>
        <v>39.959858918374202</v>
      </c>
      <c r="BW87" s="13">
        <f t="shared" si="911"/>
        <v>44.338011695906431</v>
      </c>
      <c r="BX87" s="13">
        <f t="shared" si="911"/>
        <v>45.439431396786162</v>
      </c>
      <c r="BY87" s="13">
        <f t="shared" si="911"/>
        <v>42.97896950578339</v>
      </c>
      <c r="BZ87" s="13">
        <f t="shared" si="911"/>
        <v>45.346845259076488</v>
      </c>
      <c r="CA87" s="13">
        <f t="shared" si="911"/>
        <v>46.006989748369058</v>
      </c>
      <c r="CB87" s="13">
        <f t="shared" si="911"/>
        <v>48.547228244038394</v>
      </c>
      <c r="CC87" s="13">
        <f t="shared" si="911"/>
        <v>52.053082191780817</v>
      </c>
      <c r="CD87" s="13">
        <f t="shared" si="911"/>
        <v>42.793329362715902</v>
      </c>
      <c r="CE87" s="13">
        <f t="shared" si="911"/>
        <v>36.651959440942733</v>
      </c>
      <c r="CF87" s="13">
        <f t="shared" si="911"/>
        <v>36.657686948444038</v>
      </c>
      <c r="CG87" s="13">
        <f t="shared" si="911"/>
        <v>28.103044496487119</v>
      </c>
      <c r="CH87" s="13">
        <f t="shared" si="911"/>
        <v>20.759215543853273</v>
      </c>
      <c r="CI87" s="13">
        <f t="shared" ref="CI87:CJ87" si="912">+CI79/CI69</f>
        <v>18.807184005421888</v>
      </c>
      <c r="CJ87" s="13">
        <f t="shared" si="912"/>
        <v>25.771662328002968</v>
      </c>
      <c r="CK87" s="13">
        <f t="shared" ref="CK87:CL87" si="913">+CK79/CK69</f>
        <v>21.736589515479388</v>
      </c>
      <c r="CL87" s="13">
        <f t="shared" si="913"/>
        <v>24.356573896656162</v>
      </c>
      <c r="CM87" s="60">
        <f t="shared" si="891"/>
        <v>24.356573896656162</v>
      </c>
      <c r="CN87" s="60">
        <f t="shared" si="892"/>
        <v>24.356573896656162</v>
      </c>
      <c r="CO87" s="60">
        <f t="shared" si="893"/>
        <v>24.356573896656162</v>
      </c>
      <c r="CP87" s="60">
        <f t="shared" si="894"/>
        <v>24.356573896656162</v>
      </c>
      <c r="CQ87" s="60">
        <f t="shared" si="895"/>
        <v>24.356573896656162</v>
      </c>
      <c r="CR87" s="60">
        <f t="shared" si="896"/>
        <v>24.356573896656162</v>
      </c>
      <c r="CS87" s="60">
        <f t="shared" si="897"/>
        <v>24.356573896656162</v>
      </c>
      <c r="CT87" s="60">
        <f t="shared" si="898"/>
        <v>24.356573896656162</v>
      </c>
      <c r="CU87" s="60">
        <f t="shared" si="899"/>
        <v>24.356573896656162</v>
      </c>
      <c r="CV87" s="60">
        <f t="shared" si="900"/>
        <v>24.356573896656162</v>
      </c>
      <c r="CW87" s="60">
        <f t="shared" si="901"/>
        <v>24.356573896656162</v>
      </c>
      <c r="CX87" s="60">
        <f t="shared" si="902"/>
        <v>24.356573896656162</v>
      </c>
      <c r="CY87" s="60">
        <f t="shared" si="903"/>
        <v>24.356573896656162</v>
      </c>
      <c r="CZ87" s="60">
        <f t="shared" si="904"/>
        <v>24.356573896656162</v>
      </c>
      <c r="DA87" s="60">
        <f t="shared" si="905"/>
        <v>24.356573896656162</v>
      </c>
      <c r="DB87" s="60">
        <f t="shared" si="906"/>
        <v>24.356573896656162</v>
      </c>
      <c r="DE87" s="136"/>
      <c r="DF87" s="13">
        <v>18.422724216485136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>
        <f t="shared" si="916"/>
        <v>0</v>
      </c>
      <c r="BD89" s="13">
        <f t="shared" si="916"/>
        <v>0</v>
      </c>
      <c r="BE89" s="13">
        <f t="shared" si="916"/>
        <v>0</v>
      </c>
      <c r="BF89" s="13">
        <f t="shared" si="916"/>
        <v>0</v>
      </c>
      <c r="BG89" s="13">
        <f t="shared" si="916"/>
        <v>0</v>
      </c>
      <c r="BH89" s="13">
        <f t="shared" si="916"/>
        <v>0</v>
      </c>
      <c r="BI89" s="13">
        <f t="shared" si="916"/>
        <v>0</v>
      </c>
      <c r="BJ89" s="13">
        <f t="shared" si="916"/>
        <v>0</v>
      </c>
      <c r="BK89" s="13">
        <f t="shared" si="916"/>
        <v>0</v>
      </c>
      <c r="BL89" s="13">
        <f t="shared" si="916"/>
        <v>23.629496402877702</v>
      </c>
      <c r="BM89" s="13">
        <f t="shared" si="916"/>
        <v>25.819672131147545</v>
      </c>
      <c r="BN89" s="13">
        <f t="shared" si="916"/>
        <v>30.686204431736954</v>
      </c>
      <c r="BO89" s="13">
        <f t="shared" si="916"/>
        <v>26.435967302452315</v>
      </c>
      <c r="BP89" s="13">
        <f t="shared" si="916"/>
        <v>53.774509803921568</v>
      </c>
      <c r="BQ89" s="13">
        <f t="shared" si="916"/>
        <v>65.511993243243268</v>
      </c>
      <c r="BR89" s="13">
        <f t="shared" ref="BR89:CL89" si="917">+BR78/BV69</f>
        <v>100.28837756130334</v>
      </c>
      <c r="BS89" s="13">
        <f t="shared" si="917"/>
        <v>104.4093567251462</v>
      </c>
      <c r="BT89" s="13">
        <f t="shared" si="917"/>
        <v>114.58590852904823</v>
      </c>
      <c r="BU89" s="13">
        <f t="shared" si="917"/>
        <v>101.99789695057835</v>
      </c>
      <c r="BV89" s="13">
        <f t="shared" si="917"/>
        <v>72.985548114205145</v>
      </c>
      <c r="BW89" s="13">
        <f t="shared" si="917"/>
        <v>48.905405405405411</v>
      </c>
      <c r="BX89" s="13">
        <f t="shared" si="917"/>
        <v>45.296841127283976</v>
      </c>
      <c r="BY89" s="13">
        <f t="shared" si="917"/>
        <v>50.507876712328766</v>
      </c>
      <c r="BZ89" s="13">
        <f t="shared" si="917"/>
        <v>46.382966051220961</v>
      </c>
      <c r="CA89" s="13">
        <f t="shared" si="917"/>
        <v>50.161414086050975</v>
      </c>
      <c r="CB89" s="13">
        <f t="shared" si="917"/>
        <v>45.891082210868554</v>
      </c>
      <c r="CC89" s="13">
        <f t="shared" si="917"/>
        <v>37.326591441345542</v>
      </c>
      <c r="CD89" s="13">
        <f t="shared" si="917"/>
        <v>30.545850735427631</v>
      </c>
      <c r="CE89" s="13">
        <f t="shared" si="917"/>
        <v>29.613690274483222</v>
      </c>
      <c r="CF89" s="13">
        <f t="shared" si="917"/>
        <v>35.689289698772768</v>
      </c>
      <c r="CG89" s="13">
        <f t="shared" si="917"/>
        <v>31.050782608408561</v>
      </c>
      <c r="CH89" s="13">
        <f t="shared" si="917"/>
        <v>29.979559820133705</v>
      </c>
      <c r="CI89" s="13">
        <f t="shared" si="917"/>
        <v>42.774205074940284</v>
      </c>
      <c r="CJ89" s="13">
        <f t="shared" si="917"/>
        <v>45.790012800885222</v>
      </c>
      <c r="CK89" s="13">
        <f t="shared" si="917"/>
        <v>62.505489100949248</v>
      </c>
      <c r="CL89" s="13">
        <f t="shared" si="917"/>
        <v>53.619371920809485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14.741694349277212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>
        <f t="shared" si="918"/>
        <v>0.49563237697613688</v>
      </c>
      <c r="BM90" s="175">
        <f t="shared" si="918"/>
        <v>0.56282985588218826</v>
      </c>
      <c r="BN90" s="175">
        <f t="shared" si="918"/>
        <v>0.30752931736356615</v>
      </c>
      <c r="BO90" s="175">
        <f t="shared" si="918"/>
        <v>-0.8789682046070787</v>
      </c>
      <c r="BP90" s="175">
        <f t="shared" si="918"/>
        <v>0.38027741500207296</v>
      </c>
      <c r="BQ90" s="175">
        <f t="shared" si="918"/>
        <v>0.64967496742546993</v>
      </c>
      <c r="BR90" s="175">
        <f t="shared" si="918"/>
        <v>0.88831568025611307</v>
      </c>
      <c r="BS90" s="175">
        <f t="shared" si="918"/>
        <v>0.75413127683123971</v>
      </c>
      <c r="BT90" s="175">
        <f t="shared" si="918"/>
        <v>0.33942906047341204</v>
      </c>
      <c r="BU90" s="175">
        <f t="shared" si="918"/>
        <v>-0.85520726140478576</v>
      </c>
      <c r="BV90" s="175">
        <f t="shared" si="918"/>
        <v>-2.7446842696700172E-2</v>
      </c>
      <c r="BW90" s="175">
        <f t="shared" si="918"/>
        <v>0.71567177395417769</v>
      </c>
      <c r="BX90" s="175">
        <f t="shared" si="918"/>
        <v>0.72349857708391696</v>
      </c>
      <c r="BY90" s="175">
        <f t="shared" si="918"/>
        <v>0.19826732068168698</v>
      </c>
      <c r="BZ90" s="175">
        <f t="shared" si="918"/>
        <v>-0.89928294789028174</v>
      </c>
      <c r="CA90" s="175">
        <f t="shared" si="918"/>
        <v>-0.42720910381920585</v>
      </c>
      <c r="CB90" s="175">
        <f t="shared" si="918"/>
        <v>0.83057076535325447</v>
      </c>
      <c r="CC90" s="175">
        <f t="shared" si="918"/>
        <v>0.44092664220816086</v>
      </c>
      <c r="CD90" s="175">
        <f t="shared" si="918"/>
        <v>-0.65612578416146927</v>
      </c>
      <c r="CE90" s="175">
        <f t="shared" si="918"/>
        <v>-0.83311087525030159</v>
      </c>
      <c r="CF90" s="175">
        <f t="shared" si="918"/>
        <v>-0.91891340274726829</v>
      </c>
      <c r="CG90" s="175">
        <f t="shared" si="918"/>
        <v>-0.98443561478482056</v>
      </c>
      <c r="CH90" s="175">
        <f t="shared" si="918"/>
        <v>-0.96359562705935609</v>
      </c>
      <c r="CI90" s="175">
        <f t="shared" si="918"/>
        <v>-0.953816378761011</v>
      </c>
      <c r="CJ90" s="175">
        <f>+CORREL(CG69:CJ69,CG86:CJ86)</f>
        <v>-0.90159113075783615</v>
      </c>
      <c r="CK90" s="175">
        <f>+CORREL(CH69:CK69,CH86:CK86)</f>
        <v>-0.63973214355428043</v>
      </c>
      <c r="CL90" s="175">
        <f>+CORREL(CI69:CL69,CI86:CL86)</f>
        <v>-0.69052428413894462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-0.97105131374893261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-9.4</v>
      </c>
      <c r="BH92" s="162">
        <f t="shared" si="920"/>
        <v>0</v>
      </c>
      <c r="BI92" s="162">
        <f t="shared" si="920"/>
        <v>4.6166666666666671</v>
      </c>
      <c r="BJ92" s="162">
        <f t="shared" si="920"/>
        <v>26.650000000000002</v>
      </c>
      <c r="BK92" s="162">
        <f t="shared" si="920"/>
        <v>32.050000000000004</v>
      </c>
      <c r="BL92" s="162">
        <f t="shared" si="920"/>
        <v>33.800000000000004</v>
      </c>
      <c r="BM92" s="162">
        <f t="shared" si="920"/>
        <v>44.133333333333333</v>
      </c>
      <c r="BN92" s="162">
        <f t="shared" si="920"/>
        <v>45.849999999999994</v>
      </c>
      <c r="BO92" s="162">
        <f t="shared" si="920"/>
        <v>58.199999999999989</v>
      </c>
      <c r="BP92" s="162">
        <f t="shared" si="920"/>
        <v>70.316666666666663</v>
      </c>
      <c r="BQ92" s="162">
        <f t="shared" si="920"/>
        <v>83.683333333333323</v>
      </c>
      <c r="BR92" s="162">
        <f t="shared" ref="BR92:DB92" si="921">+BR$120/BR$65</f>
        <v>268.48333333333329</v>
      </c>
      <c r="BS92" s="162">
        <f t="shared" si="921"/>
        <v>283.13333333333333</v>
      </c>
      <c r="BT92" s="162">
        <f t="shared" si="921"/>
        <v>289.7</v>
      </c>
      <c r="BU92" s="162">
        <f t="shared" si="921"/>
        <v>301.40000000000003</v>
      </c>
      <c r="BV92" s="162">
        <f t="shared" si="921"/>
        <v>312.34999999999997</v>
      </c>
      <c r="BW92" s="162">
        <f t="shared" si="921"/>
        <v>320.13333333333333</v>
      </c>
      <c r="BX92" s="162">
        <f t="shared" si="921"/>
        <v>313.06666666666666</v>
      </c>
      <c r="BY92" s="162">
        <f t="shared" si="921"/>
        <v>331.86666666666662</v>
      </c>
      <c r="BZ92" s="162">
        <f t="shared" si="921"/>
        <v>343.08333333333331</v>
      </c>
      <c r="CA92" s="162">
        <f t="shared" si="921"/>
        <v>356.93333333333334</v>
      </c>
      <c r="CB92" s="162">
        <f t="shared" si="921"/>
        <v>257.4666666666667</v>
      </c>
      <c r="CC92" s="162">
        <f t="shared" si="921"/>
        <v>271.11666666666673</v>
      </c>
      <c r="CD92" s="162">
        <f t="shared" si="921"/>
        <v>289.35000000000002</v>
      </c>
      <c r="CE92" s="162">
        <f t="shared" si="921"/>
        <v>308.35000000000002</v>
      </c>
      <c r="CF92" s="162">
        <f t="shared" si="921"/>
        <v>312.88333333333333</v>
      </c>
      <c r="CG92" s="162">
        <f t="shared" si="921"/>
        <v>333.05</v>
      </c>
      <c r="CH92" s="162">
        <f t="shared" si="921"/>
        <v>364.21499999999997</v>
      </c>
      <c r="CI92" s="162">
        <f t="shared" si="921"/>
        <v>389.79833333333335</v>
      </c>
      <c r="CJ92" s="162">
        <f t="shared" si="921"/>
        <v>356.2833333333333</v>
      </c>
      <c r="CK92" s="162">
        <f t="shared" si="921"/>
        <v>387.02163061564062</v>
      </c>
      <c r="CL92" s="162">
        <f t="shared" si="921"/>
        <v>399.40099833610651</v>
      </c>
      <c r="CM92" s="21">
        <f t="shared" si="921"/>
        <v>409.55158551484635</v>
      </c>
      <c r="CN92" s="21">
        <f t="shared" si="921"/>
        <v>420.25435638379071</v>
      </c>
      <c r="CO92" s="21">
        <f t="shared" si="921"/>
        <v>431.44470506855151</v>
      </c>
      <c r="CP92" s="21">
        <f t="shared" si="921"/>
        <v>442.50109289545935</v>
      </c>
      <c r="CQ92" s="21">
        <f t="shared" si="921"/>
        <v>454.47997680849232</v>
      </c>
      <c r="CR92" s="21">
        <f t="shared" si="921"/>
        <v>467.23238961327661</v>
      </c>
      <c r="CS92" s="21">
        <f t="shared" si="921"/>
        <v>480.33926153641011</v>
      </c>
      <c r="CT92" s="21">
        <f t="shared" si="921"/>
        <v>493.39188929674833</v>
      </c>
      <c r="CU92" s="21">
        <f t="shared" si="921"/>
        <v>507.18420115434708</v>
      </c>
      <c r="CV92" s="21">
        <f t="shared" si="921"/>
        <v>521.88252705199602</v>
      </c>
      <c r="CW92" s="21">
        <f t="shared" si="921"/>
        <v>536.94657205667818</v>
      </c>
      <c r="CX92" s="21">
        <f t="shared" si="921"/>
        <v>551.93870973461139</v>
      </c>
      <c r="CY92" s="21">
        <f t="shared" si="921"/>
        <v>567.71125691082682</v>
      </c>
      <c r="CZ92" s="21">
        <f t="shared" si="921"/>
        <v>584.51497393619184</v>
      </c>
      <c r="DA92" s="21">
        <f t="shared" si="921"/>
        <v>601.72287660096345</v>
      </c>
      <c r="DB92" s="21">
        <f t="shared" si="921"/>
        <v>618.8413071339736</v>
      </c>
      <c r="DE92" s="22"/>
      <c r="DF92" s="162">
        <v>420.83607965382532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>
        <f t="shared" si="924"/>
        <v>0</v>
      </c>
      <c r="BH94" s="162" t="e">
        <f t="shared" si="924"/>
        <v>#DIV/0!</v>
      </c>
      <c r="BI94" s="162">
        <f t="shared" si="924"/>
        <v>0</v>
      </c>
      <c r="BJ94" s="162">
        <f t="shared" si="924"/>
        <v>0</v>
      </c>
      <c r="BK94" s="162">
        <f t="shared" si="924"/>
        <v>0</v>
      </c>
      <c r="BL94" s="162">
        <f t="shared" si="924"/>
        <v>26.133136094674551</v>
      </c>
      <c r="BM94" s="162">
        <f t="shared" si="924"/>
        <v>23.406910876132933</v>
      </c>
      <c r="BN94" s="162">
        <f t="shared" si="924"/>
        <v>21.111232279171215</v>
      </c>
      <c r="BO94" s="162">
        <f t="shared" si="924"/>
        <v>19.909364261168388</v>
      </c>
      <c r="BP94" s="162">
        <f t="shared" si="924"/>
        <v>35.496918701114012</v>
      </c>
      <c r="BQ94" s="162">
        <f t="shared" si="924"/>
        <v>38.27165903206533</v>
      </c>
      <c r="BR94" s="162">
        <f t="shared" si="924"/>
        <v>14.400428331988332</v>
      </c>
      <c r="BS94" s="162">
        <f t="shared" si="924"/>
        <v>12.343301153755593</v>
      </c>
      <c r="BT94" s="162">
        <f t="shared" si="924"/>
        <v>14.473765964791165</v>
      </c>
      <c r="BU94" s="162">
        <f t="shared" si="924"/>
        <v>10.739797611147974</v>
      </c>
      <c r="BV94" s="162">
        <f t="shared" si="924"/>
        <v>6.9204418120697939</v>
      </c>
      <c r="BW94" s="162">
        <f t="shared" si="924"/>
        <v>5.9533007080383173</v>
      </c>
      <c r="BX94" s="162">
        <f t="shared" si="924"/>
        <v>7.1270762350936971</v>
      </c>
      <c r="BY94" s="162">
        <f t="shared" si="924"/>
        <v>6.5063780634793096</v>
      </c>
      <c r="BZ94" s="162">
        <f t="shared" si="924"/>
        <v>7.3278843818314305</v>
      </c>
      <c r="CA94" s="162">
        <f t="shared" si="924"/>
        <v>7.8876073963391855</v>
      </c>
      <c r="CB94" s="162">
        <f t="shared" si="924"/>
        <v>11.148627654065249</v>
      </c>
      <c r="CC94" s="162">
        <f t="shared" si="924"/>
        <v>10.038482817975039</v>
      </c>
      <c r="CD94" s="162">
        <f t="shared" si="924"/>
        <v>9.1437705201313282</v>
      </c>
      <c r="CE94" s="162">
        <f t="shared" si="924"/>
        <v>8.6930436192638236</v>
      </c>
      <c r="CF94" s="162">
        <f t="shared" si="924"/>
        <v>9.4444148511159653</v>
      </c>
      <c r="CG94" s="162">
        <f t="shared" si="924"/>
        <v>6.7533403392883944</v>
      </c>
      <c r="CH94" s="162">
        <f t="shared" si="924"/>
        <v>5.6708262976538588</v>
      </c>
      <c r="CI94" s="162">
        <f t="shared" si="924"/>
        <v>6.6578016837766532</v>
      </c>
      <c r="CJ94" s="162">
        <f>+CJ77/CJ$92</f>
        <v>6.6111708845955937</v>
      </c>
      <c r="CK94" s="162">
        <f>+CK77/CK$92</f>
        <v>5.7464488392089423</v>
      </c>
      <c r="CL94" s="162">
        <f>+CL77/CL$92</f>
        <v>4.9671883852691217</v>
      </c>
      <c r="CM94" s="21">
        <f t="shared" ref="CM94:DB94" si="925">+CM77/CM$92</f>
        <v>4.8440784266676538</v>
      </c>
      <c r="CN94" s="21">
        <f t="shared" si="925"/>
        <v>4.7207125157989669</v>
      </c>
      <c r="CO94" s="21">
        <f t="shared" si="925"/>
        <v>4.5982717523089818</v>
      </c>
      <c r="CP94" s="21">
        <f t="shared" si="925"/>
        <v>4.4833787573688442</v>
      </c>
      <c r="CQ94" s="21">
        <f t="shared" si="925"/>
        <v>4.3652088127877438</v>
      </c>
      <c r="CR94" s="21">
        <f t="shared" si="925"/>
        <v>4.2460669339342108</v>
      </c>
      <c r="CS94" s="21">
        <f t="shared" si="925"/>
        <v>4.1302057917445891</v>
      </c>
      <c r="CT94" s="21">
        <f t="shared" si="925"/>
        <v>4.0209416551774577</v>
      </c>
      <c r="CU94" s="21">
        <f t="shared" si="925"/>
        <v>3.9115966062914813</v>
      </c>
      <c r="CV94" s="21">
        <f t="shared" si="925"/>
        <v>3.8014302015563377</v>
      </c>
      <c r="CW94" s="21">
        <f t="shared" si="925"/>
        <v>3.6947810140607187</v>
      </c>
      <c r="CX94" s="21">
        <f t="shared" si="925"/>
        <v>3.5944208387810277</v>
      </c>
      <c r="CY94" s="21">
        <f t="shared" si="925"/>
        <v>3.4945581505557866</v>
      </c>
      <c r="CZ94" s="21">
        <f t="shared" si="925"/>
        <v>3.3940961112427739</v>
      </c>
      <c r="DA94" s="21">
        <f t="shared" si="925"/>
        <v>3.2970326991832763</v>
      </c>
      <c r="DB94" s="21">
        <f t="shared" si="925"/>
        <v>3.2058299553208451</v>
      </c>
      <c r="DE94" s="22"/>
      <c r="DF94" s="162">
        <v>4.7141870574213414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>
        <f t="shared" si="924"/>
        <v>0</v>
      </c>
      <c r="BH95" s="162" t="e">
        <f t="shared" si="924"/>
        <v>#DIV/0!</v>
      </c>
      <c r="BI95" s="162">
        <f t="shared" si="924"/>
        <v>0</v>
      </c>
      <c r="BJ95" s="162">
        <f t="shared" si="924"/>
        <v>0</v>
      </c>
      <c r="BK95" s="162">
        <f t="shared" si="924"/>
        <v>0</v>
      </c>
      <c r="BL95" s="162">
        <f t="shared" si="924"/>
        <v>29.152366863905321</v>
      </c>
      <c r="BM95" s="162">
        <f t="shared" si="924"/>
        <v>26.17069486404834</v>
      </c>
      <c r="BN95" s="162">
        <f t="shared" si="924"/>
        <v>31.210468920392589</v>
      </c>
      <c r="BO95" s="162">
        <f t="shared" si="924"/>
        <v>22.226804123711343</v>
      </c>
      <c r="BP95" s="162">
        <f t="shared" si="924"/>
        <v>39.002133206921073</v>
      </c>
      <c r="BQ95" s="162">
        <f t="shared" si="924"/>
        <v>38.620892252539342</v>
      </c>
      <c r="BR95" s="162">
        <f t="shared" si="924"/>
        <v>18.533645788068785</v>
      </c>
      <c r="BS95" s="162">
        <f t="shared" si="924"/>
        <v>15.76465740522722</v>
      </c>
      <c r="BT95" s="162">
        <f t="shared" si="924"/>
        <v>15.9993096306524</v>
      </c>
      <c r="BU95" s="162">
        <f t="shared" si="924"/>
        <v>16.091572660915723</v>
      </c>
      <c r="BV95" s="162">
        <f t="shared" si="924"/>
        <v>11.048503281575158</v>
      </c>
      <c r="BW95" s="162">
        <f t="shared" si="924"/>
        <v>8.1958819241982503</v>
      </c>
      <c r="BX95" s="162">
        <f t="shared" si="924"/>
        <v>7.7866002981260642</v>
      </c>
      <c r="BY95" s="162">
        <f t="shared" si="924"/>
        <v>7.4067396544797122</v>
      </c>
      <c r="BZ95" s="162">
        <f t="shared" si="924"/>
        <v>7.5663832888025269</v>
      </c>
      <c r="CA95" s="162">
        <f t="shared" si="924"/>
        <v>8.5468341426970493</v>
      </c>
      <c r="CB95" s="162">
        <f t="shared" si="924"/>
        <v>12.791752977731743</v>
      </c>
      <c r="CC95" s="162">
        <f t="shared" si="924"/>
        <v>10.777832421466771</v>
      </c>
      <c r="CD95" s="162">
        <f t="shared" si="924"/>
        <v>9.6893036115431119</v>
      </c>
      <c r="CE95" s="162">
        <f t="shared" si="924"/>
        <v>9.4470569158423867</v>
      </c>
      <c r="CF95" s="162">
        <f t="shared" si="924"/>
        <v>10.224098439247856</v>
      </c>
      <c r="CG95" s="162">
        <f t="shared" si="924"/>
        <v>9.3975379072211371</v>
      </c>
      <c r="CH95" s="162">
        <f t="shared" si="924"/>
        <v>6.5068709416141575</v>
      </c>
      <c r="CI95" s="162">
        <f t="shared" si="924"/>
        <v>6.9810457544285711</v>
      </c>
      <c r="CJ95" s="162">
        <f t="shared" ref="CJ95:CK96" si="927">+CJ78/CJ$92</f>
        <v>7.7803246479861539</v>
      </c>
      <c r="CK95" s="162">
        <f t="shared" si="927"/>
        <v>6.5241831470335336</v>
      </c>
      <c r="CL95" s="162">
        <f t="shared" ref="CL95" si="928">+CL78/CL$92</f>
        <v>5.7861648058656892</v>
      </c>
      <c r="CM95" s="94">
        <f t="shared" ref="CM95:DB95" si="929">+CL95</f>
        <v>5.7861648058656892</v>
      </c>
      <c r="CN95" s="94">
        <f t="shared" si="929"/>
        <v>5.7861648058656892</v>
      </c>
      <c r="CO95" s="94">
        <f t="shared" si="929"/>
        <v>5.7861648058656892</v>
      </c>
      <c r="CP95" s="94">
        <f t="shared" si="929"/>
        <v>5.7861648058656892</v>
      </c>
      <c r="CQ95" s="94">
        <f t="shared" si="929"/>
        <v>5.7861648058656892</v>
      </c>
      <c r="CR95" s="94">
        <f t="shared" si="929"/>
        <v>5.7861648058656892</v>
      </c>
      <c r="CS95" s="94">
        <f t="shared" si="929"/>
        <v>5.7861648058656892</v>
      </c>
      <c r="CT95" s="94">
        <f t="shared" si="929"/>
        <v>5.7861648058656892</v>
      </c>
      <c r="CU95" s="94">
        <f t="shared" si="929"/>
        <v>5.7861648058656892</v>
      </c>
      <c r="CV95" s="94">
        <f t="shared" si="929"/>
        <v>5.7861648058656892</v>
      </c>
      <c r="CW95" s="94">
        <f t="shared" si="929"/>
        <v>5.7861648058656892</v>
      </c>
      <c r="CX95" s="94">
        <f t="shared" si="929"/>
        <v>5.7861648058656892</v>
      </c>
      <c r="CY95" s="94">
        <f t="shared" si="929"/>
        <v>5.7861648058656892</v>
      </c>
      <c r="CZ95" s="94">
        <f t="shared" si="929"/>
        <v>5.7861648058656892</v>
      </c>
      <c r="DA95" s="94">
        <f t="shared" si="929"/>
        <v>5.7861648058656892</v>
      </c>
      <c r="DB95" s="94">
        <f t="shared" si="929"/>
        <v>5.7861648058656892</v>
      </c>
      <c r="DC95" s="94"/>
      <c r="DE95" s="22"/>
      <c r="DF95" s="162">
        <v>5.4914493118104337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>
        <f t="shared" si="924"/>
        <v>0</v>
      </c>
      <c r="BH96" s="162" t="e">
        <f t="shared" si="924"/>
        <v>#DIV/0!</v>
      </c>
      <c r="BI96" s="162">
        <f t="shared" si="924"/>
        <v>0</v>
      </c>
      <c r="BJ96" s="162">
        <f t="shared" si="924"/>
        <v>0</v>
      </c>
      <c r="BK96" s="162">
        <f t="shared" si="924"/>
        <v>0</v>
      </c>
      <c r="BL96" s="162">
        <f t="shared" si="924"/>
        <v>14.082840236686389</v>
      </c>
      <c r="BM96" s="162">
        <f t="shared" si="924"/>
        <v>19.599697885196374</v>
      </c>
      <c r="BN96" s="162">
        <f t="shared" si="924"/>
        <v>17.897491821155946</v>
      </c>
      <c r="BO96" s="162">
        <f t="shared" si="924"/>
        <v>16.494845360824744</v>
      </c>
      <c r="BP96" s="162">
        <f t="shared" si="924"/>
        <v>14.479853045745438</v>
      </c>
      <c r="BQ96" s="162">
        <f t="shared" si="924"/>
        <v>27.16610237004581</v>
      </c>
      <c r="BR96" s="162">
        <f t="shared" si="924"/>
        <v>11.883605437953941</v>
      </c>
      <c r="BS96" s="162">
        <f t="shared" si="924"/>
        <v>11.740228396515189</v>
      </c>
      <c r="BT96" s="162">
        <f t="shared" si="924"/>
        <v>12.002588885053504</v>
      </c>
      <c r="BU96" s="162">
        <f t="shared" si="924"/>
        <v>10.439200398142003</v>
      </c>
      <c r="BV96" s="162">
        <f t="shared" si="924"/>
        <v>6.347606851288619</v>
      </c>
      <c r="BW96" s="162">
        <f t="shared" si="924"/>
        <v>5.9208142440649736</v>
      </c>
      <c r="BX96" s="162">
        <f t="shared" si="924"/>
        <v>5.8710338586030666</v>
      </c>
      <c r="BY96" s="162">
        <f t="shared" si="924"/>
        <v>6.1580453997589402</v>
      </c>
      <c r="BZ96" s="162">
        <f t="shared" si="924"/>
        <v>6.2496478017974262</v>
      </c>
      <c r="CA96" s="162">
        <f t="shared" si="924"/>
        <v>6.9152269331341056</v>
      </c>
      <c r="CB96" s="162">
        <f t="shared" si="924"/>
        <v>10.147527187985499</v>
      </c>
      <c r="CC96" s="162">
        <f t="shared" si="924"/>
        <v>9.3437634474703373</v>
      </c>
      <c r="CD96" s="162">
        <f t="shared" si="924"/>
        <v>8.2771729739070317</v>
      </c>
      <c r="CE96" s="162">
        <f t="shared" si="924"/>
        <v>7.2289605967245016</v>
      </c>
      <c r="CF96" s="162">
        <f t="shared" si="924"/>
        <v>8.4082458850476751</v>
      </c>
      <c r="CG96" s="162">
        <f t="shared" si="924"/>
        <v>6.605614772556673</v>
      </c>
      <c r="CH96" s="162">
        <f t="shared" si="924"/>
        <v>5.2313880537594555</v>
      </c>
      <c r="CI96" s="162">
        <f t="shared" si="924"/>
        <v>4.746043894492451</v>
      </c>
      <c r="CJ96" s="162">
        <f t="shared" si="927"/>
        <v>6.4836038733217949</v>
      </c>
      <c r="CK96" s="162">
        <f t="shared" si="927"/>
        <v>5.6611822871883062</v>
      </c>
      <c r="CL96" s="162">
        <f t="shared" ref="CL96" si="931">+CL79/CL$92</f>
        <v>4.8207190468255288</v>
      </c>
      <c r="CM96" s="94">
        <f t="shared" ref="CM96:DB96" si="932">+CL96</f>
        <v>4.8207190468255288</v>
      </c>
      <c r="CN96" s="94">
        <f t="shared" si="932"/>
        <v>4.8207190468255288</v>
      </c>
      <c r="CO96" s="94">
        <f t="shared" si="932"/>
        <v>4.8207190468255288</v>
      </c>
      <c r="CP96" s="94">
        <f t="shared" si="932"/>
        <v>4.8207190468255288</v>
      </c>
      <c r="CQ96" s="94">
        <f t="shared" si="932"/>
        <v>4.8207190468255288</v>
      </c>
      <c r="CR96" s="94">
        <f t="shared" si="932"/>
        <v>4.8207190468255288</v>
      </c>
      <c r="CS96" s="94">
        <f t="shared" si="932"/>
        <v>4.8207190468255288</v>
      </c>
      <c r="CT96" s="94">
        <f t="shared" si="932"/>
        <v>4.8207190468255288</v>
      </c>
      <c r="CU96" s="94">
        <f t="shared" si="932"/>
        <v>4.8207190468255288</v>
      </c>
      <c r="CV96" s="94">
        <f t="shared" si="932"/>
        <v>4.8207190468255288</v>
      </c>
      <c r="CW96" s="94">
        <f t="shared" si="932"/>
        <v>4.8207190468255288</v>
      </c>
      <c r="CX96" s="94">
        <f t="shared" si="932"/>
        <v>4.8207190468255288</v>
      </c>
      <c r="CY96" s="94">
        <f t="shared" si="932"/>
        <v>4.8207190468255288</v>
      </c>
      <c r="CZ96" s="94">
        <f t="shared" si="932"/>
        <v>4.8207190468255288</v>
      </c>
      <c r="DA96" s="94">
        <f t="shared" si="932"/>
        <v>4.8207190468255288</v>
      </c>
      <c r="DB96" s="94">
        <f t="shared" si="932"/>
        <v>4.8207190468255288</v>
      </c>
      <c r="DC96" s="94"/>
      <c r="DE96" s="22"/>
      <c r="DF96" s="162">
        <v>4.5751780635914363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0</v>
      </c>
      <c r="N98" s="177">
        <f t="shared" si="933"/>
        <v>0</v>
      </c>
      <c r="O98" s="177">
        <f t="shared" si="933"/>
        <v>135.74700000000001</v>
      </c>
      <c r="P98" s="177">
        <f t="shared" si="933"/>
        <v>176.072</v>
      </c>
      <c r="Q98" s="177">
        <f t="shared" si="933"/>
        <v>245.75299999999999</v>
      </c>
      <c r="R98" s="177">
        <f t="shared" si="933"/>
        <v>317.76299999999998</v>
      </c>
      <c r="S98" s="177">
        <f t="shared" si="933"/>
        <v>410.50799999999998</v>
      </c>
      <c r="T98" s="177">
        <f t="shared" si="933"/>
        <v>507.41699999999997</v>
      </c>
      <c r="U98" s="177">
        <f t="shared" si="933"/>
        <v>638.85400000000004</v>
      </c>
      <c r="V98" s="177">
        <f t="shared" si="933"/>
        <v>669.56200000000001</v>
      </c>
      <c r="W98" s="177">
        <f t="shared" si="933"/>
        <v>753.48500000000001</v>
      </c>
      <c r="X98" s="177">
        <f t="shared" si="933"/>
        <v>985.399</v>
      </c>
      <c r="Y98" s="177">
        <f t="shared" si="933"/>
        <v>1196.7750000000001</v>
      </c>
      <c r="Z98" s="177">
        <f>+Z10</f>
        <v>1388.3440000000001</v>
      </c>
      <c r="AA98" s="177">
        <f>+AA10</f>
        <v>1569.0419999999999</v>
      </c>
      <c r="AB98" s="178">
        <f t="shared" ref="AA98:AE98" si="934">+AB10</f>
        <v>1776.3176693062264</v>
      </c>
      <c r="AC98" s="178">
        <f t="shared" si="934"/>
        <v>2011.8440242249442</v>
      </c>
      <c r="AD98" s="178">
        <f t="shared" si="934"/>
        <v>2278.7716427160835</v>
      </c>
      <c r="AE98" s="178">
        <f t="shared" si="934"/>
        <v>2581.1454842903777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113.3</v>
      </c>
      <c r="BH98" s="177">
        <f t="shared" si="935"/>
        <v>235.8</v>
      </c>
      <c r="BI98" s="177">
        <f t="shared" si="935"/>
        <v>369.4</v>
      </c>
      <c r="BJ98" s="177">
        <f t="shared" si="935"/>
        <v>507.4</v>
      </c>
      <c r="BK98" s="177">
        <f t="shared" si="935"/>
        <v>541.40000000000009</v>
      </c>
      <c r="BL98" s="177">
        <f t="shared" si="935"/>
        <v>575.5</v>
      </c>
      <c r="BM98" s="177">
        <f t="shared" si="935"/>
        <v>606.79999999999995</v>
      </c>
      <c r="BN98" s="177">
        <f t="shared" si="935"/>
        <v>638.9</v>
      </c>
      <c r="BO98" s="177">
        <f t="shared" si="935"/>
        <v>644.70000000000005</v>
      </c>
      <c r="BP98" s="177">
        <f t="shared" si="935"/>
        <v>651.29999999999995</v>
      </c>
      <c r="BQ98" s="177">
        <f t="shared" si="935"/>
        <v>660</v>
      </c>
      <c r="BR98" s="177">
        <f t="shared" ref="BR98:CW98" si="936">+SUM(BO8:BR8)</f>
        <v>669.59999999999991</v>
      </c>
      <c r="BS98" s="177">
        <f t="shared" si="936"/>
        <v>698.1</v>
      </c>
      <c r="BT98" s="177">
        <f t="shared" si="936"/>
        <v>717.3</v>
      </c>
      <c r="BU98" s="177">
        <f t="shared" si="936"/>
        <v>731.8</v>
      </c>
      <c r="BV98" s="177">
        <f t="shared" si="936"/>
        <v>753.5</v>
      </c>
      <c r="BW98" s="177">
        <f t="shared" si="936"/>
        <v>796.5</v>
      </c>
      <c r="BX98" s="177">
        <f t="shared" si="936"/>
        <v>854.7</v>
      </c>
      <c r="BY98" s="177">
        <f t="shared" si="936"/>
        <v>918</v>
      </c>
      <c r="BZ98" s="177">
        <f t="shared" si="936"/>
        <v>985.40000000000009</v>
      </c>
      <c r="CA98" s="177">
        <f t="shared" si="936"/>
        <v>1042.9000000000001</v>
      </c>
      <c r="CB98" s="177">
        <f t="shared" si="936"/>
        <v>1097</v>
      </c>
      <c r="CC98" s="177">
        <f t="shared" si="936"/>
        <v>1150.9000000000001</v>
      </c>
      <c r="CD98" s="177">
        <f t="shared" si="936"/>
        <v>1196.8</v>
      </c>
      <c r="CE98" s="177">
        <f t="shared" si="936"/>
        <v>1246</v>
      </c>
      <c r="CF98" s="177">
        <f t="shared" si="936"/>
        <v>1299</v>
      </c>
      <c r="CG98" s="177">
        <f t="shared" si="936"/>
        <v>1348</v>
      </c>
      <c r="CH98" s="177">
        <f t="shared" si="936"/>
        <v>1388.4</v>
      </c>
      <c r="CI98" s="177">
        <f t="shared" si="936"/>
        <v>1429.1999999999998</v>
      </c>
      <c r="CJ98" s="177">
        <f t="shared" si="936"/>
        <v>1472.5</v>
      </c>
      <c r="CK98" s="177">
        <f t="shared" si="936"/>
        <v>1519.8000000000002</v>
      </c>
      <c r="CL98" s="177">
        <f t="shared" si="936"/>
        <v>1569</v>
      </c>
      <c r="CM98" s="178">
        <f t="shared" si="936"/>
        <v>1617.3487267356184</v>
      </c>
      <c r="CN98" s="178">
        <f t="shared" si="936"/>
        <v>1668.8163120262134</v>
      </c>
      <c r="CO98" s="178">
        <f t="shared" si="936"/>
        <v>1722.391822425064</v>
      </c>
      <c r="CP98" s="178">
        <f t="shared" si="936"/>
        <v>1776.3176693062264</v>
      </c>
      <c r="CQ98" s="178">
        <f t="shared" si="936"/>
        <v>1831.8538322954082</v>
      </c>
      <c r="CR98" s="178">
        <f t="shared" si="936"/>
        <v>1890.536584657847</v>
      </c>
      <c r="CS98" s="178">
        <f t="shared" si="936"/>
        <v>1951.0180159643728</v>
      </c>
      <c r="CT98" s="178">
        <f t="shared" si="936"/>
        <v>2011.8440242249442</v>
      </c>
      <c r="CU98" s="178">
        <f t="shared" si="936"/>
        <v>2074.9514492397566</v>
      </c>
      <c r="CV98" s="178">
        <f t="shared" si="936"/>
        <v>2141.4573974152518</v>
      </c>
      <c r="CW98" s="178">
        <f t="shared" si="936"/>
        <v>2209.8988420223836</v>
      </c>
      <c r="CX98" s="178">
        <f t="shared" ref="CX98:DB98" si="937">+SUM(CU8:CX8)</f>
        <v>2278.7716427160835</v>
      </c>
      <c r="CY98" s="178">
        <f t="shared" si="937"/>
        <v>2350.2964904005257</v>
      </c>
      <c r="CZ98" s="178">
        <f t="shared" si="937"/>
        <v>2425.6243878068076</v>
      </c>
      <c r="DA98" s="178">
        <f t="shared" si="937"/>
        <v>2503.1331646207173</v>
      </c>
      <c r="DB98" s="178">
        <f t="shared" si="937"/>
        <v>2581.1454842903777</v>
      </c>
      <c r="DE98" s="179"/>
      <c r="DF98" s="177">
        <v>1565.0364356360392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18.883333333333333</v>
      </c>
      <c r="BH99" s="163">
        <f t="shared" si="940"/>
        <v>39.300000000000004</v>
      </c>
      <c r="BI99" s="163">
        <f t="shared" si="940"/>
        <v>61.566666666666663</v>
      </c>
      <c r="BJ99" s="163">
        <f t="shared" si="940"/>
        <v>84.566666666666663</v>
      </c>
      <c r="BK99" s="163">
        <f t="shared" si="940"/>
        <v>90.233333333333348</v>
      </c>
      <c r="BL99" s="163">
        <f t="shared" si="940"/>
        <v>95.916666666666671</v>
      </c>
      <c r="BM99" s="163">
        <f t="shared" si="940"/>
        <v>101.13333333333333</v>
      </c>
      <c r="BN99" s="163">
        <f t="shared" si="940"/>
        <v>106.48333333333333</v>
      </c>
      <c r="BO99" s="163">
        <f t="shared" si="940"/>
        <v>107.45</v>
      </c>
      <c r="BP99" s="163">
        <f t="shared" si="940"/>
        <v>108.55</v>
      </c>
      <c r="BQ99" s="163">
        <f t="shared" si="940"/>
        <v>110</v>
      </c>
      <c r="BR99" s="163">
        <f t="shared" ref="BR99:CW99" si="941">+BR98/BR65</f>
        <v>111.59999999999998</v>
      </c>
      <c r="BS99" s="163">
        <f t="shared" si="941"/>
        <v>116.35000000000001</v>
      </c>
      <c r="BT99" s="163">
        <f t="shared" si="941"/>
        <v>119.55</v>
      </c>
      <c r="BU99" s="163">
        <f t="shared" si="941"/>
        <v>121.96666666666665</v>
      </c>
      <c r="BV99" s="163">
        <f t="shared" si="941"/>
        <v>125.58333333333333</v>
      </c>
      <c r="BW99" s="163">
        <f t="shared" si="941"/>
        <v>132.75</v>
      </c>
      <c r="BX99" s="163">
        <f t="shared" si="941"/>
        <v>142.45000000000002</v>
      </c>
      <c r="BY99" s="163">
        <f t="shared" si="941"/>
        <v>153</v>
      </c>
      <c r="BZ99" s="163">
        <f t="shared" si="941"/>
        <v>164.23333333333335</v>
      </c>
      <c r="CA99" s="163">
        <f t="shared" si="941"/>
        <v>173.81666666666669</v>
      </c>
      <c r="CB99" s="163">
        <f t="shared" si="941"/>
        <v>182.83333333333334</v>
      </c>
      <c r="CC99" s="163">
        <f t="shared" si="941"/>
        <v>191.81666666666669</v>
      </c>
      <c r="CD99" s="163">
        <f t="shared" si="941"/>
        <v>199.46666666666667</v>
      </c>
      <c r="CE99" s="163">
        <f t="shared" si="941"/>
        <v>207.66666666666666</v>
      </c>
      <c r="CF99" s="163">
        <f t="shared" si="941"/>
        <v>216.5</v>
      </c>
      <c r="CG99" s="163">
        <f t="shared" si="941"/>
        <v>224.66666666666666</v>
      </c>
      <c r="CH99" s="163">
        <f t="shared" si="941"/>
        <v>231.4</v>
      </c>
      <c r="CI99" s="163">
        <f t="shared" si="941"/>
        <v>238.19999999999996</v>
      </c>
      <c r="CJ99" s="163">
        <f t="shared" si="941"/>
        <v>245.41666666666666</v>
      </c>
      <c r="CK99" s="163">
        <f t="shared" ref="CK99:CL99" si="942">+CK98/CK65</f>
        <v>252.87853577371052</v>
      </c>
      <c r="CL99" s="163">
        <f t="shared" si="942"/>
        <v>261.0648918469218</v>
      </c>
      <c r="CM99" s="50">
        <f t="shared" si="941"/>
        <v>269.10960511407961</v>
      </c>
      <c r="CN99" s="50">
        <f t="shared" si="941"/>
        <v>277.67326323231504</v>
      </c>
      <c r="CO99" s="50">
        <f t="shared" si="941"/>
        <v>286.58765764144158</v>
      </c>
      <c r="CP99" s="50">
        <f t="shared" si="941"/>
        <v>295.56034431052024</v>
      </c>
      <c r="CQ99" s="50">
        <f t="shared" si="941"/>
        <v>304.80097043184827</v>
      </c>
      <c r="CR99" s="50">
        <f t="shared" si="941"/>
        <v>314.56515551711266</v>
      </c>
      <c r="CS99" s="50">
        <f t="shared" si="941"/>
        <v>324.62862162468764</v>
      </c>
      <c r="CT99" s="50">
        <f t="shared" si="941"/>
        <v>334.74942166804396</v>
      </c>
      <c r="CU99" s="50">
        <f t="shared" si="941"/>
        <v>345.24982516468498</v>
      </c>
      <c r="CV99" s="50">
        <f t="shared" si="941"/>
        <v>356.31570672466751</v>
      </c>
      <c r="CW99" s="50">
        <f t="shared" si="941"/>
        <v>367.70363427993072</v>
      </c>
      <c r="CX99" s="50">
        <f t="shared" ref="CX99:DB99" si="943">+CX98/CX65</f>
        <v>379.16333489452308</v>
      </c>
      <c r="CY99" s="50">
        <f t="shared" si="943"/>
        <v>391.06430788694274</v>
      </c>
      <c r="CZ99" s="50">
        <f t="shared" si="943"/>
        <v>403.59806785471011</v>
      </c>
      <c r="DA99" s="50">
        <f t="shared" si="943"/>
        <v>416.49470293189972</v>
      </c>
      <c r="DB99" s="50">
        <f t="shared" si="943"/>
        <v>429.47512217809947</v>
      </c>
      <c r="DE99" s="164"/>
      <c r="DF99" s="163">
        <v>260.40539694443248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>
        <f t="shared" si="946"/>
        <v>0</v>
      </c>
      <c r="BH102" s="163">
        <f t="shared" si="946"/>
        <v>0</v>
      </c>
      <c r="BI102" s="163">
        <f t="shared" si="946"/>
        <v>0</v>
      </c>
      <c r="BJ102" s="163">
        <f t="shared" si="946"/>
        <v>0</v>
      </c>
      <c r="BK102" s="163">
        <f t="shared" si="946"/>
        <v>0</v>
      </c>
      <c r="BL102" s="163">
        <f t="shared" si="946"/>
        <v>9.2090356211989572</v>
      </c>
      <c r="BM102" s="163">
        <f t="shared" si="946"/>
        <v>10.214485827290707</v>
      </c>
      <c r="BN102" s="163">
        <f t="shared" si="946"/>
        <v>9.0901549538268895</v>
      </c>
      <c r="BO102" s="163">
        <f t="shared" si="946"/>
        <v>10.783852954862725</v>
      </c>
      <c r="BP102" s="163">
        <f t="shared" si="946"/>
        <v>22.994242284661446</v>
      </c>
      <c r="BQ102" s="163">
        <f t="shared" si="946"/>
        <v>29.115454545454543</v>
      </c>
      <c r="BR102" s="163">
        <f t="shared" ref="BR102:DB102" si="947">+BR77/BR99</f>
        <v>34.644041218638002</v>
      </c>
      <c r="BS102" s="163">
        <f t="shared" si="947"/>
        <v>30.036957455951868</v>
      </c>
      <c r="BT102" s="163">
        <f t="shared" si="947"/>
        <v>35.073609368465078</v>
      </c>
      <c r="BU102" s="163">
        <f t="shared" si="947"/>
        <v>26.539833287783548</v>
      </c>
      <c r="BV102" s="163">
        <f t="shared" si="947"/>
        <v>17.21247511612475</v>
      </c>
      <c r="BW102" s="163">
        <f t="shared" si="947"/>
        <v>14.356685499058379</v>
      </c>
      <c r="BX102" s="163">
        <f t="shared" si="947"/>
        <v>15.663390663390661</v>
      </c>
      <c r="BY102" s="163">
        <f t="shared" si="947"/>
        <v>14.112745098039216</v>
      </c>
      <c r="BZ102" s="163">
        <f t="shared" si="947"/>
        <v>15.307946011771866</v>
      </c>
      <c r="CA102" s="163">
        <f t="shared" si="947"/>
        <v>16.197238469651928</v>
      </c>
      <c r="CB102" s="163">
        <f t="shared" si="947"/>
        <v>15.69954421148587</v>
      </c>
      <c r="CC102" s="163">
        <f t="shared" si="947"/>
        <v>14.188548092796939</v>
      </c>
      <c r="CD102" s="163">
        <f t="shared" si="947"/>
        <v>13.264120989304812</v>
      </c>
      <c r="CE102" s="163">
        <f t="shared" si="947"/>
        <v>12.907704654895667</v>
      </c>
      <c r="CF102" s="163">
        <f t="shared" si="947"/>
        <v>13.648960739030024</v>
      </c>
      <c r="CG102" s="163">
        <f t="shared" si="947"/>
        <v>10.011275964391691</v>
      </c>
      <c r="CH102" s="163">
        <f t="shared" si="947"/>
        <v>8.9256698357821946</v>
      </c>
      <c r="CI102" s="163">
        <f t="shared" si="947"/>
        <v>10.895046179680941</v>
      </c>
      <c r="CJ102" s="163">
        <f t="shared" si="947"/>
        <v>9.597758913412564</v>
      </c>
      <c r="CK102" s="163">
        <f t="shared" ref="CK102:CL102" si="948">+CK77/CK99</f>
        <v>8.7947361494933531</v>
      </c>
      <c r="CL102" s="163">
        <f t="shared" si="948"/>
        <v>7.5992600382409181</v>
      </c>
      <c r="CM102" s="50">
        <f t="shared" si="947"/>
        <v>7.3720891499171683</v>
      </c>
      <c r="CN102" s="50">
        <f t="shared" si="947"/>
        <v>7.1447282208808574</v>
      </c>
      <c r="CO102" s="50">
        <f t="shared" si="947"/>
        <v>6.9224893225587438</v>
      </c>
      <c r="CP102" s="50">
        <f t="shared" si="947"/>
        <v>6.7123348520520203</v>
      </c>
      <c r="CQ102" s="50">
        <f t="shared" si="947"/>
        <v>6.5088375446743818</v>
      </c>
      <c r="CR102" s="50">
        <f t="shared" si="947"/>
        <v>6.3068015169660896</v>
      </c>
      <c r="CS102" s="50">
        <f t="shared" si="947"/>
        <v>6.1112910810853984</v>
      </c>
      <c r="CT102" s="50">
        <f t="shared" si="947"/>
        <v>5.9265225616053341</v>
      </c>
      <c r="CU102" s="50">
        <f t="shared" si="947"/>
        <v>5.7462737281725635</v>
      </c>
      <c r="CV102" s="50">
        <f t="shared" si="947"/>
        <v>5.5678151778276801</v>
      </c>
      <c r="CW102" s="50">
        <f t="shared" si="947"/>
        <v>5.3953777309953592</v>
      </c>
      <c r="CX102" s="50">
        <f t="shared" si="947"/>
        <v>5.2323097130472496</v>
      </c>
      <c r="CY102" s="50">
        <f t="shared" si="947"/>
        <v>5.0730786727116719</v>
      </c>
      <c r="CZ102" s="50">
        <f t="shared" si="947"/>
        <v>4.9155339383690446</v>
      </c>
      <c r="DA102" s="50">
        <f t="shared" si="947"/>
        <v>4.7633258863423862</v>
      </c>
      <c r="DB102" s="50">
        <f t="shared" si="947"/>
        <v>4.6193595334197139</v>
      </c>
      <c r="DE102" s="106"/>
      <c r="DF102" s="163">
        <v>7.6185056964212672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>
        <f t="shared" si="950"/>
        <v>0</v>
      </c>
      <c r="BH103" s="163">
        <f t="shared" si="950"/>
        <v>0</v>
      </c>
      <c r="BI103" s="163">
        <f t="shared" si="950"/>
        <v>0</v>
      </c>
      <c r="BJ103" s="163">
        <f t="shared" si="950"/>
        <v>0</v>
      </c>
      <c r="BK103" s="163">
        <f t="shared" si="950"/>
        <v>0</v>
      </c>
      <c r="BL103" s="163">
        <f t="shared" si="950"/>
        <v>10.272980017376195</v>
      </c>
      <c r="BM103" s="163">
        <f t="shared" si="950"/>
        <v>11.420566908371788</v>
      </c>
      <c r="BN103" s="163">
        <f t="shared" si="950"/>
        <v>13.438722804820786</v>
      </c>
      <c r="BO103" s="163">
        <f t="shared" si="950"/>
        <v>12.039087947882734</v>
      </c>
      <c r="BP103" s="163">
        <f t="shared" si="950"/>
        <v>25.264854905573468</v>
      </c>
      <c r="BQ103" s="163">
        <f t="shared" si="950"/>
        <v>29.381136363636365</v>
      </c>
      <c r="BR103" s="163">
        <f t="shared" ref="BR103:CJ103" si="951">+BR78/BR99</f>
        <v>44.587589605734777</v>
      </c>
      <c r="BS103" s="163">
        <f t="shared" si="951"/>
        <v>38.362698753760206</v>
      </c>
      <c r="BT103" s="163">
        <f t="shared" si="951"/>
        <v>38.770388958594729</v>
      </c>
      <c r="BU103" s="163">
        <f t="shared" si="951"/>
        <v>39.764963104673413</v>
      </c>
      <c r="BV103" s="163">
        <f t="shared" si="951"/>
        <v>27.479761114797611</v>
      </c>
      <c r="BW103" s="163">
        <f t="shared" si="951"/>
        <v>19.764783427495292</v>
      </c>
      <c r="BX103" s="163">
        <f t="shared" si="951"/>
        <v>17.11284661284661</v>
      </c>
      <c r="BY103" s="163">
        <f t="shared" si="951"/>
        <v>16.065686274509805</v>
      </c>
      <c r="BZ103" s="163">
        <f t="shared" si="951"/>
        <v>15.806170083214937</v>
      </c>
      <c r="CA103" s="163">
        <f t="shared" si="951"/>
        <v>17.550963659027708</v>
      </c>
      <c r="CB103" s="163">
        <f t="shared" si="951"/>
        <v>18.013400182315404</v>
      </c>
      <c r="CC103" s="163">
        <f t="shared" si="951"/>
        <v>15.233556347206534</v>
      </c>
      <c r="CD103" s="163">
        <f t="shared" si="951"/>
        <v>14.055481283422459</v>
      </c>
      <c r="CE103" s="163">
        <f t="shared" si="951"/>
        <v>14.027287319422152</v>
      </c>
      <c r="CF103" s="163">
        <f t="shared" si="951"/>
        <v>14.775750577367205</v>
      </c>
      <c r="CG103" s="163">
        <f t="shared" si="951"/>
        <v>13.931083086053413</v>
      </c>
      <c r="CH103" s="163">
        <f t="shared" si="951"/>
        <v>10.241573033707866</v>
      </c>
      <c r="CI103" s="163">
        <f t="shared" si="951"/>
        <v>11.424013434089002</v>
      </c>
      <c r="CJ103" s="163">
        <f t="shared" si="951"/>
        <v>11.295076400679118</v>
      </c>
      <c r="CK103" s="163">
        <f t="shared" ref="CK103:CL103" si="952">+CK78/CK99</f>
        <v>9.9850309251217251</v>
      </c>
      <c r="CL103" s="163">
        <f t="shared" si="952"/>
        <v>8.8522052262587643</v>
      </c>
      <c r="CM103" s="94">
        <f t="shared" ref="CM103:DB103" si="953">+CL103</f>
        <v>8.8522052262587643</v>
      </c>
      <c r="CN103" s="94">
        <f t="shared" si="953"/>
        <v>8.8522052262587643</v>
      </c>
      <c r="CO103" s="94">
        <f t="shared" si="953"/>
        <v>8.8522052262587643</v>
      </c>
      <c r="CP103" s="94">
        <f t="shared" si="953"/>
        <v>8.8522052262587643</v>
      </c>
      <c r="CQ103" s="94">
        <f t="shared" si="953"/>
        <v>8.8522052262587643</v>
      </c>
      <c r="CR103" s="94">
        <f t="shared" si="953"/>
        <v>8.8522052262587643</v>
      </c>
      <c r="CS103" s="94">
        <f t="shared" si="953"/>
        <v>8.8522052262587643</v>
      </c>
      <c r="CT103" s="94">
        <f t="shared" si="953"/>
        <v>8.8522052262587643</v>
      </c>
      <c r="CU103" s="94">
        <f t="shared" si="953"/>
        <v>8.8522052262587643</v>
      </c>
      <c r="CV103" s="94">
        <f t="shared" si="953"/>
        <v>8.8522052262587643</v>
      </c>
      <c r="CW103" s="94">
        <f t="shared" si="953"/>
        <v>8.8522052262587643</v>
      </c>
      <c r="CX103" s="94">
        <f t="shared" si="953"/>
        <v>8.8522052262587643</v>
      </c>
      <c r="CY103" s="94">
        <f t="shared" si="953"/>
        <v>8.8522052262587643</v>
      </c>
      <c r="CZ103" s="94">
        <f t="shared" si="953"/>
        <v>8.8522052262587643</v>
      </c>
      <c r="DA103" s="94">
        <f t="shared" si="953"/>
        <v>8.8522052262587643</v>
      </c>
      <c r="DB103" s="94">
        <f t="shared" si="953"/>
        <v>8.8522052262587643</v>
      </c>
      <c r="DE103" s="164"/>
      <c r="DF103" s="163">
        <v>8.8746240558644836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>
        <f t="shared" si="954"/>
        <v>0</v>
      </c>
      <c r="BH104" s="163">
        <f t="shared" si="954"/>
        <v>0</v>
      </c>
      <c r="BI104" s="163">
        <f t="shared" si="954"/>
        <v>0</v>
      </c>
      <c r="BJ104" s="163">
        <f t="shared" si="954"/>
        <v>0</v>
      </c>
      <c r="BK104" s="163">
        <f t="shared" si="954"/>
        <v>0</v>
      </c>
      <c r="BL104" s="163">
        <f t="shared" si="954"/>
        <v>4.9626411815812332</v>
      </c>
      <c r="BM104" s="163">
        <f t="shared" si="954"/>
        <v>8.5530652603823345</v>
      </c>
      <c r="BN104" s="163">
        <f t="shared" si="954"/>
        <v>7.7063703239943653</v>
      </c>
      <c r="BO104" s="163">
        <f t="shared" si="954"/>
        <v>8.9343880874825494</v>
      </c>
      <c r="BP104" s="163">
        <f t="shared" si="954"/>
        <v>9.3797789037309993</v>
      </c>
      <c r="BQ104" s="163">
        <f t="shared" si="954"/>
        <v>20.666818181818179</v>
      </c>
      <c r="BR104" s="163">
        <f t="shared" ref="BR104:CJ104" si="955">+BR79/BR99</f>
        <v>28.589157706093197</v>
      </c>
      <c r="BS104" s="163">
        <f t="shared" si="955"/>
        <v>28.569402664374731</v>
      </c>
      <c r="BT104" s="163">
        <f t="shared" si="955"/>
        <v>29.085319949811797</v>
      </c>
      <c r="BU104" s="163">
        <f t="shared" si="955"/>
        <v>25.79700737906532</v>
      </c>
      <c r="BV104" s="163">
        <f t="shared" si="955"/>
        <v>15.78772395487724</v>
      </c>
      <c r="BW104" s="163">
        <f t="shared" si="955"/>
        <v>14.278342749529191</v>
      </c>
      <c r="BX104" s="163">
        <f t="shared" si="955"/>
        <v>12.902948402948402</v>
      </c>
      <c r="BY104" s="163">
        <f t="shared" si="955"/>
        <v>13.357189542483662</v>
      </c>
      <c r="BZ104" s="163">
        <f t="shared" si="955"/>
        <v>13.055510452608077</v>
      </c>
      <c r="CA104" s="163">
        <f t="shared" si="955"/>
        <v>14.200450666410967</v>
      </c>
      <c r="CB104" s="163">
        <f t="shared" si="955"/>
        <v>14.289790337283501</v>
      </c>
      <c r="CC104" s="163">
        <f t="shared" si="955"/>
        <v>13.206620905378397</v>
      </c>
      <c r="CD104" s="163">
        <f t="shared" si="955"/>
        <v>12.007018716577541</v>
      </c>
      <c r="CE104" s="163">
        <f t="shared" si="955"/>
        <v>10.73378812199037</v>
      </c>
      <c r="CF104" s="163">
        <f t="shared" si="955"/>
        <v>12.151501154734412</v>
      </c>
      <c r="CG104" s="163">
        <f t="shared" si="955"/>
        <v>9.7922848664688438</v>
      </c>
      <c r="CH104" s="163">
        <f t="shared" si="955"/>
        <v>8.2340103716508199</v>
      </c>
      <c r="CI104" s="163">
        <f t="shared" si="955"/>
        <v>7.7665827036104131</v>
      </c>
      <c r="CJ104" s="163">
        <f t="shared" si="955"/>
        <v>9.4125636672325985</v>
      </c>
      <c r="CK104" s="163">
        <f t="shared" ref="CK104:CL104" si="956">+CK79/CK99</f>
        <v>8.6642387156204741</v>
      </c>
      <c r="CL104" s="163">
        <f t="shared" si="956"/>
        <v>7.3751778202676865</v>
      </c>
      <c r="CM104" s="94">
        <f t="shared" ref="CM104:DB104" si="957">+CL104</f>
        <v>7.3751778202676865</v>
      </c>
      <c r="CN104" s="94">
        <f t="shared" si="957"/>
        <v>7.3751778202676865</v>
      </c>
      <c r="CO104" s="94">
        <f t="shared" si="957"/>
        <v>7.3751778202676865</v>
      </c>
      <c r="CP104" s="94">
        <f t="shared" si="957"/>
        <v>7.3751778202676865</v>
      </c>
      <c r="CQ104" s="94">
        <f t="shared" si="957"/>
        <v>7.3751778202676865</v>
      </c>
      <c r="CR104" s="94">
        <f t="shared" si="957"/>
        <v>7.3751778202676865</v>
      </c>
      <c r="CS104" s="94">
        <f t="shared" si="957"/>
        <v>7.3751778202676865</v>
      </c>
      <c r="CT104" s="94">
        <f t="shared" si="957"/>
        <v>7.3751778202676865</v>
      </c>
      <c r="CU104" s="94">
        <f t="shared" si="957"/>
        <v>7.3751778202676865</v>
      </c>
      <c r="CV104" s="94">
        <f t="shared" si="957"/>
        <v>7.3751778202676865</v>
      </c>
      <c r="CW104" s="94">
        <f t="shared" si="957"/>
        <v>7.3751778202676865</v>
      </c>
      <c r="CX104" s="94">
        <f t="shared" si="957"/>
        <v>7.3751778202676865</v>
      </c>
      <c r="CY104" s="94">
        <f t="shared" si="957"/>
        <v>7.3751778202676865</v>
      </c>
      <c r="CZ104" s="94">
        <f t="shared" si="957"/>
        <v>7.3751778202676865</v>
      </c>
      <c r="DA104" s="94">
        <f t="shared" si="957"/>
        <v>7.3751778202676865</v>
      </c>
      <c r="DB104" s="94">
        <f t="shared" si="957"/>
        <v>7.3751778202676865</v>
      </c>
      <c r="DE104" s="164"/>
      <c r="DF104" s="163">
        <v>7.3938559745397994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5912.1</v>
      </c>
      <c r="BM107" s="162">
        <f t="shared" si="960"/>
        <v>6930</v>
      </c>
      <c r="BN107" s="162">
        <f t="shared" si="960"/>
        <v>8586</v>
      </c>
      <c r="BO107" s="162">
        <f t="shared" si="960"/>
        <v>7761.5999999999995</v>
      </c>
      <c r="BP107" s="162">
        <f t="shared" si="960"/>
        <v>16455</v>
      </c>
      <c r="BQ107" s="162">
        <f t="shared" si="960"/>
        <v>19391.550000000003</v>
      </c>
      <c r="BR107" s="162">
        <f t="shared" ref="BR107:CJ107" si="961">+BR78*BR65</f>
        <v>29855.850000000002</v>
      </c>
      <c r="BS107" s="162">
        <f t="shared" si="961"/>
        <v>26781</v>
      </c>
      <c r="BT107" s="162">
        <f t="shared" si="961"/>
        <v>27810</v>
      </c>
      <c r="BU107" s="162">
        <f t="shared" si="961"/>
        <v>29100</v>
      </c>
      <c r="BV107" s="162">
        <f t="shared" si="961"/>
        <v>20706</v>
      </c>
      <c r="BW107" s="162">
        <f t="shared" si="961"/>
        <v>15742.650000000001</v>
      </c>
      <c r="BX107" s="162">
        <f t="shared" si="961"/>
        <v>14626.349999999999</v>
      </c>
      <c r="BY107" s="162">
        <f t="shared" si="961"/>
        <v>14748.300000000001</v>
      </c>
      <c r="BZ107" s="162">
        <f t="shared" si="961"/>
        <v>15575.400000000001</v>
      </c>
      <c r="CA107" s="162">
        <f t="shared" si="961"/>
        <v>18303.900000000001</v>
      </c>
      <c r="CB107" s="162">
        <f t="shared" si="961"/>
        <v>19760.699999999997</v>
      </c>
      <c r="CC107" s="162">
        <f t="shared" si="961"/>
        <v>17532.300000000003</v>
      </c>
      <c r="CD107" s="162">
        <f t="shared" si="961"/>
        <v>16821.599999999999</v>
      </c>
      <c r="CE107" s="162">
        <f t="shared" si="961"/>
        <v>17478</v>
      </c>
      <c r="CF107" s="162">
        <f t="shared" si="961"/>
        <v>19193.699999999997</v>
      </c>
      <c r="CG107" s="162">
        <f t="shared" si="961"/>
        <v>18779.099999999999</v>
      </c>
      <c r="CH107" s="162">
        <f t="shared" si="961"/>
        <v>14219.400000000001</v>
      </c>
      <c r="CI107" s="162">
        <f t="shared" si="961"/>
        <v>16327.199999999999</v>
      </c>
      <c r="CJ107" s="162">
        <f t="shared" si="961"/>
        <v>16632</v>
      </c>
      <c r="CK107" s="162">
        <f t="shared" ref="CK107:CL107" si="962">+CK78*CK65</f>
        <v>15175.25</v>
      </c>
      <c r="CL107" s="162">
        <f t="shared" si="962"/>
        <v>13889.109999999999</v>
      </c>
      <c r="CM107" s="21">
        <f t="shared" ref="CM107:DB107" si="963">+CM78*CM65</f>
        <v>11177.589693305135</v>
      </c>
      <c r="CN107" s="21">
        <f t="shared" si="963"/>
        <v>10636.337501727656</v>
      </c>
      <c r="CO107" s="21">
        <f t="shared" si="963"/>
        <v>7097.6221110731867</v>
      </c>
      <c r="CP107" s="21">
        <f t="shared" si="963"/>
        <v>7572.6497700067021</v>
      </c>
      <c r="CQ107" s="21">
        <f t="shared" si="963"/>
        <v>7893.8799433044023</v>
      </c>
      <c r="CR107" s="21">
        <f t="shared" si="963"/>
        <v>8254.0002792971718</v>
      </c>
      <c r="CS107" s="21">
        <f t="shared" si="963"/>
        <v>8590.7317739413193</v>
      </c>
      <c r="CT107" s="21">
        <f t="shared" si="963"/>
        <v>8941.4694237613821</v>
      </c>
      <c r="CU107" s="21">
        <f t="shared" si="963"/>
        <v>9260.0871634145788</v>
      </c>
      <c r="CV107" s="21">
        <f t="shared" si="963"/>
        <v>9601.9824303690984</v>
      </c>
      <c r="CW107" s="21">
        <f t="shared" si="963"/>
        <v>9945.8560677098085</v>
      </c>
      <c r="CX107" s="21">
        <f t="shared" si="963"/>
        <v>10286.626302243174</v>
      </c>
      <c r="CY107" s="21">
        <f t="shared" si="963"/>
        <v>10634.551954922008</v>
      </c>
      <c r="CZ107" s="21">
        <f t="shared" si="963"/>
        <v>11004.467376270273</v>
      </c>
      <c r="DA107" s="21">
        <f t="shared" si="963"/>
        <v>11381.141334473456</v>
      </c>
      <c r="DB107" s="21">
        <f t="shared" si="963"/>
        <v>11754.72917145123</v>
      </c>
      <c r="DE107" s="22"/>
      <c r="DF107" s="162">
        <v>13889.109999999999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2856</v>
      </c>
      <c r="BM108" s="162">
        <f t="shared" si="966"/>
        <v>5190</v>
      </c>
      <c r="BN108" s="162">
        <f t="shared" si="966"/>
        <v>4923.6000000000004</v>
      </c>
      <c r="BO108" s="162">
        <f t="shared" si="966"/>
        <v>5760</v>
      </c>
      <c r="BP108" s="162">
        <f t="shared" si="966"/>
        <v>6109.0499999999993</v>
      </c>
      <c r="BQ108" s="162">
        <f t="shared" si="966"/>
        <v>13640.099999999999</v>
      </c>
      <c r="BR108" s="162">
        <f t="shared" ref="BR108:CJ108" si="967">+BR79*BR65</f>
        <v>19143.300000000003</v>
      </c>
      <c r="BS108" s="162">
        <f t="shared" si="967"/>
        <v>19944.300000000003</v>
      </c>
      <c r="BT108" s="162">
        <f t="shared" si="967"/>
        <v>20862.900000000001</v>
      </c>
      <c r="BU108" s="162">
        <f t="shared" si="967"/>
        <v>18878.25</v>
      </c>
      <c r="BV108" s="162">
        <f t="shared" si="967"/>
        <v>11896.05</v>
      </c>
      <c r="BW108" s="162">
        <f t="shared" si="967"/>
        <v>11372.7</v>
      </c>
      <c r="BX108" s="162">
        <f t="shared" si="967"/>
        <v>11028.150000000001</v>
      </c>
      <c r="BY108" s="162">
        <f t="shared" si="967"/>
        <v>12261.900000000001</v>
      </c>
      <c r="BZ108" s="162">
        <f t="shared" si="967"/>
        <v>12864.900000000001</v>
      </c>
      <c r="CA108" s="162">
        <f t="shared" si="967"/>
        <v>14809.650000000001</v>
      </c>
      <c r="CB108" s="162">
        <f t="shared" si="967"/>
        <v>15675.900000000001</v>
      </c>
      <c r="CC108" s="162">
        <f t="shared" si="967"/>
        <v>15199.5</v>
      </c>
      <c r="CD108" s="162">
        <f t="shared" si="967"/>
        <v>14370</v>
      </c>
      <c r="CE108" s="162">
        <f t="shared" si="967"/>
        <v>13374.300000000001</v>
      </c>
      <c r="CF108" s="162">
        <f t="shared" si="967"/>
        <v>15784.800000000001</v>
      </c>
      <c r="CG108" s="162">
        <f t="shared" si="967"/>
        <v>13200</v>
      </c>
      <c r="CH108" s="162">
        <f t="shared" si="967"/>
        <v>11432.099999999999</v>
      </c>
      <c r="CI108" s="162">
        <f t="shared" si="967"/>
        <v>11100</v>
      </c>
      <c r="CJ108" s="162">
        <f t="shared" si="967"/>
        <v>13860</v>
      </c>
      <c r="CK108" s="162">
        <f t="shared" ref="CK108:CL108" si="968">+CK79*CK65</f>
        <v>13167.91</v>
      </c>
      <c r="CL108" s="162">
        <f t="shared" si="968"/>
        <v>11571.654</v>
      </c>
      <c r="CM108" s="21">
        <f t="shared" ref="CM108:DB108" si="969">+CM79*CM65</f>
        <v>9312.5621789224188</v>
      </c>
      <c r="CN108" s="21">
        <f t="shared" si="969"/>
        <v>8861.6201756064165</v>
      </c>
      <c r="CO108" s="21">
        <f t="shared" si="969"/>
        <v>5913.3542244311175</v>
      </c>
      <c r="CP108" s="21">
        <f t="shared" si="969"/>
        <v>6309.1215349073582</v>
      </c>
      <c r="CQ108" s="21">
        <f t="shared" si="969"/>
        <v>6576.7531124354382</v>
      </c>
      <c r="CR108" s="21">
        <f t="shared" si="969"/>
        <v>6876.7858666199809</v>
      </c>
      <c r="CS108" s="21">
        <f t="shared" si="969"/>
        <v>7157.3323052992728</v>
      </c>
      <c r="CT108" s="21">
        <f t="shared" si="969"/>
        <v>7449.5479136781332</v>
      </c>
      <c r="CU108" s="21">
        <f t="shared" si="969"/>
        <v>7715.0029530239854</v>
      </c>
      <c r="CV108" s="21">
        <f t="shared" si="969"/>
        <v>7999.8515670413954</v>
      </c>
      <c r="CW108" s="21">
        <f t="shared" si="969"/>
        <v>8286.3484520850143</v>
      </c>
      <c r="CX108" s="21">
        <f t="shared" si="969"/>
        <v>8570.2597500385145</v>
      </c>
      <c r="CY108" s="21">
        <f t="shared" si="969"/>
        <v>8860.132554741167</v>
      </c>
      <c r="CZ108" s="21">
        <f t="shared" si="969"/>
        <v>9168.3260433884843</v>
      </c>
      <c r="DA108" s="21">
        <f t="shared" si="969"/>
        <v>9482.1503787949787</v>
      </c>
      <c r="DB108" s="21">
        <f t="shared" si="969"/>
        <v>9793.4035251891819</v>
      </c>
      <c r="DE108" s="22"/>
      <c r="DF108" s="162">
        <v>11571.654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0</v>
      </c>
      <c r="K109" s="162">
        <f t="shared" si="970"/>
        <v>0</v>
      </c>
      <c r="L109" s="162">
        <f t="shared" si="970"/>
        <v>0</v>
      </c>
      <c r="M109" s="162">
        <f t="shared" si="970"/>
        <v>0</v>
      </c>
      <c r="N109" s="162">
        <f t="shared" si="970"/>
        <v>0</v>
      </c>
      <c r="O109" s="162">
        <f t="shared" si="970"/>
        <v>-64.576000000000008</v>
      </c>
      <c r="P109" s="162">
        <f t="shared" si="970"/>
        <v>-70.272999999999996</v>
      </c>
      <c r="Q109" s="162">
        <f t="shared" si="970"/>
        <v>-147.37700000000001</v>
      </c>
      <c r="R109" s="162">
        <f t="shared" si="970"/>
        <v>-176.917</v>
      </c>
      <c r="S109" s="162">
        <f t="shared" si="970"/>
        <v>-357.78100000000001</v>
      </c>
      <c r="T109" s="162">
        <f t="shared" si="970"/>
        <v>-685.18900000000008</v>
      </c>
      <c r="U109" s="162">
        <f t="shared" si="970"/>
        <v>-895.74200000000008</v>
      </c>
      <c r="V109" s="162">
        <f t="shared" si="970"/>
        <v>-2295.163</v>
      </c>
      <c r="W109" s="162">
        <f t="shared" si="970"/>
        <v>-2377.5889999999999</v>
      </c>
      <c r="X109" s="162">
        <f t="shared" ref="X109:Y109" si="971">+X168</f>
        <v>-2330.1080000000002</v>
      </c>
      <c r="Y109" s="162">
        <f t="shared" si="971"/>
        <v>-2323.377</v>
      </c>
      <c r="Z109" s="162">
        <f t="shared" ref="Z109:AA109" si="972">+Z168</f>
        <v>-2872.5929999999998</v>
      </c>
      <c r="AA109" s="162">
        <f t="shared" si="972"/>
        <v>-3120.6040000000003</v>
      </c>
      <c r="AB109" s="21">
        <f t="shared" ref="AA109:AD109" si="973">+AB168</f>
        <v>-3651.1962599920644</v>
      </c>
      <c r="AC109" s="21">
        <f t="shared" si="973"/>
        <v>-4248.1519242623035</v>
      </c>
      <c r="AD109" s="21">
        <f t="shared" si="973"/>
        <v>-4925.7561474179483</v>
      </c>
      <c r="AE109" s="21">
        <f t="shared" ref="AE109" si="974">+AE168</f>
        <v>-5695.8219364529277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>
        <f t="shared" si="977"/>
        <v>-27.700000000000003</v>
      </c>
      <c r="BJ109" s="162">
        <f t="shared" si="977"/>
        <v>-685.1</v>
      </c>
      <c r="BK109" s="162">
        <f t="shared" si="977"/>
        <v>-718.32891304347834</v>
      </c>
      <c r="BL109" s="162">
        <f t="shared" si="977"/>
        <v>-741.4</v>
      </c>
      <c r="BM109" s="162">
        <f t="shared" si="977"/>
        <v>-804.18441890166037</v>
      </c>
      <c r="BN109" s="162">
        <f t="shared" si="977"/>
        <v>-895.69999999999993</v>
      </c>
      <c r="BO109" s="162">
        <f t="shared" si="977"/>
        <v>-968.18095238095225</v>
      </c>
      <c r="BP109" s="162">
        <f t="shared" si="977"/>
        <v>-1045.3999999999999</v>
      </c>
      <c r="BQ109" s="162">
        <f t="shared" si="977"/>
        <v>-1126.575</v>
      </c>
      <c r="BR109" s="162">
        <f t="shared" si="977"/>
        <v>-2295.1</v>
      </c>
      <c r="BS109" s="162">
        <f t="shared" si="977"/>
        <v>-2383.1490818030056</v>
      </c>
      <c r="BT109" s="162">
        <f t="shared" si="977"/>
        <v>-2404.7999999999997</v>
      </c>
      <c r="BU109" s="162">
        <f t="shared" si="977"/>
        <v>-2475.4656249999998</v>
      </c>
      <c r="BV109" s="162">
        <f t="shared" si="977"/>
        <v>-2377.6000000000004</v>
      </c>
      <c r="BW109" s="162">
        <f t="shared" si="977"/>
        <v>-2426.2698113207553</v>
      </c>
      <c r="BX109" s="162">
        <f t="shared" si="977"/>
        <v>-1953.2</v>
      </c>
      <c r="BY109" s="162">
        <f t="shared" si="977"/>
        <v>-2066.9112219451372</v>
      </c>
      <c r="BZ109" s="162">
        <f t="shared" si="977"/>
        <v>-2330.1000000000004</v>
      </c>
      <c r="CA109" s="162">
        <f t="shared" si="977"/>
        <v>-2414.1945312500002</v>
      </c>
      <c r="CB109" s="162">
        <f t="shared" si="977"/>
        <v>-1882.3999999999999</v>
      </c>
      <c r="CC109" s="162">
        <f t="shared" si="977"/>
        <v>-1965.0553444180521</v>
      </c>
      <c r="CD109" s="162">
        <f t="shared" si="977"/>
        <v>-2323.3999999999996</v>
      </c>
      <c r="CE109" s="162">
        <f t="shared" ref="CE109:CF109" si="978">+CE168</f>
        <v>-2438.9613600254206</v>
      </c>
      <c r="CF109" s="162">
        <f t="shared" si="978"/>
        <v>-2431.6000000000004</v>
      </c>
      <c r="CG109" s="162">
        <f t="shared" ref="CG109:CH109" si="979">+CG168</f>
        <v>-2553.1694564279555</v>
      </c>
      <c r="CH109" s="162">
        <f t="shared" si="979"/>
        <v>-2872.5929999999998</v>
      </c>
      <c r="CI109" s="162">
        <f t="shared" ref="CI109:CJ109" si="980">+CI168</f>
        <v>-3120.3281900872994</v>
      </c>
      <c r="CJ109" s="162">
        <f t="shared" si="980"/>
        <v>-2755.7</v>
      </c>
      <c r="CK109" s="162">
        <f t="shared" ref="CK109:CL109" si="981">+CK168</f>
        <v>-2998.4144245524299</v>
      </c>
      <c r="CL109" s="162">
        <f t="shared" si="981"/>
        <v>-3120.6</v>
      </c>
      <c r="CM109" s="21">
        <f t="shared" ref="CM109:DB109" si="982">+CM168</f>
        <v>-3264.4869691845888</v>
      </c>
      <c r="CN109" s="21">
        <f t="shared" si="982"/>
        <v>-3437.3947375732009</v>
      </c>
      <c r="CO109" s="21">
        <f t="shared" si="982"/>
        <v>-3567.9525790384423</v>
      </c>
      <c r="CP109" s="21">
        <f t="shared" si="982"/>
        <v>-3651.1962599920644</v>
      </c>
      <c r="CQ109" s="21">
        <f t="shared" si="982"/>
        <v>-3808.6089633780257</v>
      </c>
      <c r="CR109" s="21">
        <f t="shared" si="982"/>
        <v>-4005.0811842081816</v>
      </c>
      <c r="CS109" s="21">
        <f t="shared" si="982"/>
        <v>-4153.091518377506</v>
      </c>
      <c r="CT109" s="21">
        <f t="shared" si="982"/>
        <v>-4248.1519242623035</v>
      </c>
      <c r="CU109" s="21">
        <f t="shared" si="982"/>
        <v>-4425.935831621634</v>
      </c>
      <c r="CV109" s="21">
        <f t="shared" si="982"/>
        <v>-4649.2127355156272</v>
      </c>
      <c r="CW109" s="21">
        <f t="shared" si="982"/>
        <v>-4817.4636100072876</v>
      </c>
      <c r="CX109" s="21">
        <f t="shared" si="982"/>
        <v>-4925.7561474179483</v>
      </c>
      <c r="CY109" s="21">
        <f t="shared" si="982"/>
        <v>-5127.6166672993822</v>
      </c>
      <c r="CZ109" s="21">
        <f t="shared" si="982"/>
        <v>-5381.241703784789</v>
      </c>
      <c r="DA109" s="21">
        <f t="shared" si="982"/>
        <v>-5572.4929609283045</v>
      </c>
      <c r="DB109" s="21">
        <f t="shared" si="982"/>
        <v>-5695.8219364529277</v>
      </c>
      <c r="DE109" s="22"/>
      <c r="DF109" s="162">
        <v>-3201.6258929202809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>
        <f t="shared" si="990"/>
        <v>-27.700000000000003</v>
      </c>
      <c r="BJ110" s="162">
        <f t="shared" si="990"/>
        <v>-685.1</v>
      </c>
      <c r="BK110" s="162">
        <f t="shared" si="990"/>
        <v>-718.32891304347834</v>
      </c>
      <c r="BL110" s="162">
        <f t="shared" si="990"/>
        <v>5170.7000000000007</v>
      </c>
      <c r="BM110" s="162">
        <f t="shared" si="990"/>
        <v>6125.8155810983399</v>
      </c>
      <c r="BN110" s="162">
        <f t="shared" si="990"/>
        <v>7690.3</v>
      </c>
      <c r="BO110" s="162">
        <f t="shared" si="990"/>
        <v>6793.419047619047</v>
      </c>
      <c r="BP110" s="162">
        <f t="shared" si="990"/>
        <v>15409.6</v>
      </c>
      <c r="BQ110" s="162">
        <f t="shared" si="990"/>
        <v>18264.975000000002</v>
      </c>
      <c r="BR110" s="162">
        <f t="shared" si="990"/>
        <v>27560.750000000004</v>
      </c>
      <c r="BS110" s="162">
        <f t="shared" si="990"/>
        <v>24397.850918196993</v>
      </c>
      <c r="BT110" s="162">
        <f t="shared" si="990"/>
        <v>25405.200000000001</v>
      </c>
      <c r="BU110" s="162">
        <f t="shared" si="990"/>
        <v>26624.534374999999</v>
      </c>
      <c r="BV110" s="162">
        <f t="shared" si="990"/>
        <v>18328.400000000001</v>
      </c>
      <c r="BW110" s="162">
        <f t="shared" si="990"/>
        <v>13316.380188679246</v>
      </c>
      <c r="BX110" s="162">
        <f t="shared" si="990"/>
        <v>12673.149999999998</v>
      </c>
      <c r="BY110" s="162">
        <f t="shared" si="990"/>
        <v>12681.388778054865</v>
      </c>
      <c r="BZ110" s="162">
        <f t="shared" si="990"/>
        <v>13245.300000000001</v>
      </c>
      <c r="CA110" s="162">
        <f t="shared" si="990"/>
        <v>15889.705468750002</v>
      </c>
      <c r="CB110" s="162">
        <f t="shared" si="990"/>
        <v>17878.299999999996</v>
      </c>
      <c r="CC110" s="162">
        <f t="shared" si="990"/>
        <v>15567.244655581952</v>
      </c>
      <c r="CD110" s="162">
        <f t="shared" si="990"/>
        <v>14498.199999999999</v>
      </c>
      <c r="CE110" s="162">
        <f t="shared" ref="CE110:CF110" si="991">+CE107+CE109</f>
        <v>15039.03863997458</v>
      </c>
      <c r="CF110" s="162">
        <f t="shared" si="991"/>
        <v>16762.099999999999</v>
      </c>
      <c r="CG110" s="162">
        <f t="shared" ref="CG110:CH110" si="992">+CG107+CG109</f>
        <v>16225.930543572043</v>
      </c>
      <c r="CH110" s="162">
        <f t="shared" si="992"/>
        <v>11346.807000000001</v>
      </c>
      <c r="CI110" s="162">
        <f t="shared" ref="CI110:CJ110" si="993">+CI107+CI109</f>
        <v>13206.8718099127</v>
      </c>
      <c r="CJ110" s="162">
        <f t="shared" si="993"/>
        <v>13876.3</v>
      </c>
      <c r="CK110" s="162">
        <f t="shared" ref="CK110:CL110" si="994">+CK107+CK109</f>
        <v>12176.835575447571</v>
      </c>
      <c r="CL110" s="162">
        <f t="shared" si="994"/>
        <v>10768.509999999998</v>
      </c>
      <c r="CM110" s="21">
        <f t="shared" ref="CM110:DB110" si="995">+CM107+CM109</f>
        <v>7913.1027241205466</v>
      </c>
      <c r="CN110" s="21">
        <f t="shared" si="995"/>
        <v>7198.9427641544553</v>
      </c>
      <c r="CO110" s="21">
        <f t="shared" si="995"/>
        <v>3529.6695320347444</v>
      </c>
      <c r="CP110" s="21">
        <f t="shared" si="995"/>
        <v>3921.4535100146377</v>
      </c>
      <c r="CQ110" s="21">
        <f t="shared" si="995"/>
        <v>4085.2709799263766</v>
      </c>
      <c r="CR110" s="21">
        <f t="shared" si="995"/>
        <v>4248.9190950889897</v>
      </c>
      <c r="CS110" s="21">
        <f t="shared" si="995"/>
        <v>4437.6402555638133</v>
      </c>
      <c r="CT110" s="21">
        <f t="shared" si="995"/>
        <v>4693.3174994990786</v>
      </c>
      <c r="CU110" s="21">
        <f t="shared" si="995"/>
        <v>4834.1513317929448</v>
      </c>
      <c r="CV110" s="21">
        <f t="shared" si="995"/>
        <v>4952.7696948534713</v>
      </c>
      <c r="CW110" s="21">
        <f t="shared" si="995"/>
        <v>5128.3924577025209</v>
      </c>
      <c r="CX110" s="21">
        <f t="shared" si="995"/>
        <v>5360.8701548252257</v>
      </c>
      <c r="CY110" s="21">
        <f t="shared" si="995"/>
        <v>5506.9352876226258</v>
      </c>
      <c r="CZ110" s="21">
        <f t="shared" si="995"/>
        <v>5623.2256724854842</v>
      </c>
      <c r="DA110" s="21">
        <f t="shared" si="995"/>
        <v>5808.6483735451511</v>
      </c>
      <c r="DB110" s="21">
        <f t="shared" si="995"/>
        <v>6058.9072349983026</v>
      </c>
      <c r="DE110" s="22"/>
      <c r="DF110" s="162">
        <v>10687.484107079717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>
        <f t="shared" si="1003"/>
        <v>-27.700000000000003</v>
      </c>
      <c r="BJ111" s="162">
        <f t="shared" si="1003"/>
        <v>-685.1</v>
      </c>
      <c r="BK111" s="162">
        <f t="shared" si="1003"/>
        <v>-718.32891304347834</v>
      </c>
      <c r="BL111" s="162">
        <f t="shared" si="1003"/>
        <v>2114.6</v>
      </c>
      <c r="BM111" s="162">
        <f t="shared" si="1003"/>
        <v>4385.8155810983399</v>
      </c>
      <c r="BN111" s="162">
        <f t="shared" si="1003"/>
        <v>4027.9000000000005</v>
      </c>
      <c r="BO111" s="162">
        <f t="shared" si="1003"/>
        <v>4791.8190476190475</v>
      </c>
      <c r="BP111" s="162">
        <f t="shared" si="1003"/>
        <v>5063.6499999999996</v>
      </c>
      <c r="BQ111" s="162">
        <f t="shared" si="1003"/>
        <v>12513.524999999998</v>
      </c>
      <c r="BR111" s="162">
        <f t="shared" si="1003"/>
        <v>16848.200000000004</v>
      </c>
      <c r="BS111" s="162">
        <f t="shared" si="1003"/>
        <v>17561.150918196996</v>
      </c>
      <c r="BT111" s="162">
        <f t="shared" si="1003"/>
        <v>18458.100000000002</v>
      </c>
      <c r="BU111" s="162">
        <f t="shared" si="1003"/>
        <v>16402.784374999999</v>
      </c>
      <c r="BV111" s="162">
        <f t="shared" si="1003"/>
        <v>9518.4499999999989</v>
      </c>
      <c r="BW111" s="162">
        <f t="shared" si="1003"/>
        <v>8946.4301886792455</v>
      </c>
      <c r="BX111" s="162">
        <f t="shared" si="1003"/>
        <v>9074.9500000000007</v>
      </c>
      <c r="BY111" s="162">
        <f t="shared" si="1003"/>
        <v>10194.988778054863</v>
      </c>
      <c r="BZ111" s="162">
        <f t="shared" si="1003"/>
        <v>10534.800000000001</v>
      </c>
      <c r="CA111" s="162">
        <f t="shared" si="1003"/>
        <v>12395.455468750002</v>
      </c>
      <c r="CB111" s="162">
        <f t="shared" si="1003"/>
        <v>13793.500000000002</v>
      </c>
      <c r="CC111" s="162">
        <f t="shared" si="1003"/>
        <v>13234.444655581949</v>
      </c>
      <c r="CD111" s="162">
        <f t="shared" si="1003"/>
        <v>12046.6</v>
      </c>
      <c r="CE111" s="162">
        <f t="shared" ref="CE111:CF111" si="1004">+CE108+CE109</f>
        <v>10935.33863997458</v>
      </c>
      <c r="CF111" s="162">
        <f t="shared" si="1004"/>
        <v>13353.2</v>
      </c>
      <c r="CG111" s="162">
        <f t="shared" ref="CG111:CH111" si="1005">+CG108+CG109</f>
        <v>10646.830543572045</v>
      </c>
      <c r="CH111" s="162">
        <f t="shared" si="1005"/>
        <v>8559.5069999999978</v>
      </c>
      <c r="CI111" s="162">
        <f t="shared" ref="CI111:CJ111" si="1006">+CI108+CI109</f>
        <v>7979.6718099127011</v>
      </c>
      <c r="CJ111" s="162">
        <f t="shared" si="1006"/>
        <v>11104.3</v>
      </c>
      <c r="CK111" s="162">
        <f t="shared" ref="CK111:CL111" si="1007">+CK108+CK109</f>
        <v>10169.49557544757</v>
      </c>
      <c r="CL111" s="162">
        <f t="shared" si="1007"/>
        <v>8451.0540000000001</v>
      </c>
      <c r="CM111" s="21">
        <f t="shared" ref="CM111:DB111" si="1008">+CM108+CM109</f>
        <v>6048.0752097378299</v>
      </c>
      <c r="CN111" s="21">
        <f t="shared" si="1008"/>
        <v>5424.2254380332161</v>
      </c>
      <c r="CO111" s="21">
        <f t="shared" si="1008"/>
        <v>2345.4016453926752</v>
      </c>
      <c r="CP111" s="21">
        <f t="shared" si="1008"/>
        <v>2657.9252749152938</v>
      </c>
      <c r="CQ111" s="21">
        <f t="shared" si="1008"/>
        <v>2768.1441490574125</v>
      </c>
      <c r="CR111" s="21">
        <f t="shared" si="1008"/>
        <v>2871.7046824117992</v>
      </c>
      <c r="CS111" s="21">
        <f t="shared" si="1008"/>
        <v>3004.2407869217668</v>
      </c>
      <c r="CT111" s="21">
        <f t="shared" si="1008"/>
        <v>3201.3959894158297</v>
      </c>
      <c r="CU111" s="21">
        <f t="shared" si="1008"/>
        <v>3289.0671214023514</v>
      </c>
      <c r="CV111" s="21">
        <f t="shared" si="1008"/>
        <v>3350.6388315257682</v>
      </c>
      <c r="CW111" s="21">
        <f t="shared" si="1008"/>
        <v>3468.8848420777267</v>
      </c>
      <c r="CX111" s="21">
        <f t="shared" si="1008"/>
        <v>3644.5036026205662</v>
      </c>
      <c r="CY111" s="21">
        <f t="shared" si="1008"/>
        <v>3732.5158874417848</v>
      </c>
      <c r="CZ111" s="21">
        <f t="shared" si="1008"/>
        <v>3787.0843396036953</v>
      </c>
      <c r="DA111" s="21">
        <f t="shared" si="1008"/>
        <v>3909.6574178666742</v>
      </c>
      <c r="DB111" s="21">
        <f t="shared" si="1008"/>
        <v>4097.5815887362542</v>
      </c>
      <c r="DE111" s="22"/>
      <c r="DF111" s="162">
        <v>8370.0281070797191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0</v>
      </c>
      <c r="K112" s="162">
        <f t="shared" si="1009"/>
        <v>0</v>
      </c>
      <c r="L112" s="162">
        <f t="shared" si="1009"/>
        <v>0</v>
      </c>
      <c r="M112" s="162">
        <f t="shared" si="1009"/>
        <v>0</v>
      </c>
      <c r="N112" s="162">
        <f t="shared" si="1009"/>
        <v>0</v>
      </c>
      <c r="O112" s="162">
        <f t="shared" si="1009"/>
        <v>-12.597000000000008</v>
      </c>
      <c r="P112" s="162">
        <f t="shared" si="1009"/>
        <v>-40.327999999999975</v>
      </c>
      <c r="Q112" s="162">
        <f t="shared" si="1009"/>
        <v>-132.68700000000007</v>
      </c>
      <c r="R112" s="162">
        <f t="shared" si="1009"/>
        <v>-73.685000000000059</v>
      </c>
      <c r="S112" s="162">
        <f t="shared" si="1009"/>
        <v>-76.230000000000018</v>
      </c>
      <c r="T112" s="162">
        <f t="shared" si="1009"/>
        <v>17.077999999999975</v>
      </c>
      <c r="U112" s="162">
        <f t="shared" si="1009"/>
        <v>168.89700000000011</v>
      </c>
      <c r="V112" s="162">
        <f t="shared" si="1009"/>
        <v>328.15700000000004</v>
      </c>
      <c r="W112" s="162">
        <f t="shared" si="1009"/>
        <v>307.846</v>
      </c>
      <c r="X112" s="162">
        <f t="shared" si="1009"/>
        <v>267.88300000000004</v>
      </c>
      <c r="Y112" s="162">
        <f t="shared" si="1009"/>
        <v>331.35800000000017</v>
      </c>
      <c r="Z112" s="162">
        <f t="shared" si="1009"/>
        <v>522.79200000000003</v>
      </c>
      <c r="AA112" s="162">
        <f t="shared" ref="AA112" si="1010">+AA28</f>
        <v>530.04099999999971</v>
      </c>
      <c r="AB112" s="21">
        <f t="shared" si="1009"/>
        <v>593.88241381005605</v>
      </c>
      <c r="AC112" s="21">
        <f t="shared" si="1009"/>
        <v>671.46710789969143</v>
      </c>
      <c r="AD112" s="21">
        <f t="shared" si="1009"/>
        <v>760.35979722640423</v>
      </c>
      <c r="AE112" s="21">
        <f t="shared" si="1009"/>
        <v>861.22479217558657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-53.2</v>
      </c>
      <c r="BH112" s="162">
        <f t="shared" si="1011"/>
        <v>-30.700000000000003</v>
      </c>
      <c r="BI112" s="162">
        <f t="shared" si="1011"/>
        <v>-3.2000000000000028</v>
      </c>
      <c r="BJ112" s="162">
        <f t="shared" si="1011"/>
        <v>16.900000000000006</v>
      </c>
      <c r="BK112" s="162">
        <f t="shared" si="1011"/>
        <v>106.80000000000003</v>
      </c>
      <c r="BL112" s="162">
        <f t="shared" si="1011"/>
        <v>120.60000000000002</v>
      </c>
      <c r="BM112" s="162">
        <f t="shared" si="1011"/>
        <v>136.70000000000005</v>
      </c>
      <c r="BN112" s="162">
        <f t="shared" si="1011"/>
        <v>168.9</v>
      </c>
      <c r="BO112" s="162">
        <f t="shared" si="1011"/>
        <v>205.5</v>
      </c>
      <c r="BP112" s="162">
        <f t="shared" si="1011"/>
        <v>250.89999999999998</v>
      </c>
      <c r="BQ112" s="162">
        <f t="shared" si="1011"/>
        <v>295.09999999999991</v>
      </c>
      <c r="BR112" s="162">
        <f t="shared" ref="BR112:CW112" si="1012">+SUM(BO28:BR28)</f>
        <v>328.19999999999993</v>
      </c>
      <c r="BS112" s="162">
        <f t="shared" si="1012"/>
        <v>343.49999999999994</v>
      </c>
      <c r="BT112" s="162">
        <f t="shared" si="1012"/>
        <v>345</v>
      </c>
      <c r="BU112" s="162">
        <f t="shared" si="1012"/>
        <v>336</v>
      </c>
      <c r="BV112" s="162">
        <f t="shared" si="1012"/>
        <v>307.80000000000007</v>
      </c>
      <c r="BW112" s="162">
        <f t="shared" si="1012"/>
        <v>283.39999999999998</v>
      </c>
      <c r="BX112" s="162">
        <f t="shared" si="1012"/>
        <v>267.39999999999998</v>
      </c>
      <c r="BY112" s="162">
        <f t="shared" si="1012"/>
        <v>258.8</v>
      </c>
      <c r="BZ112" s="162">
        <f t="shared" si="1012"/>
        <v>267.70000000000005</v>
      </c>
      <c r="CA112" s="162">
        <f t="shared" si="1012"/>
        <v>280.80000000000007</v>
      </c>
      <c r="CB112" s="162">
        <f t="shared" si="1012"/>
        <v>293.60000000000002</v>
      </c>
      <c r="CC112" s="162">
        <f t="shared" si="1012"/>
        <v>309.10000000000002</v>
      </c>
      <c r="CD112" s="162">
        <f t="shared" si="1012"/>
        <v>331.4</v>
      </c>
      <c r="CE112" s="162">
        <f t="shared" si="1012"/>
        <v>373.6</v>
      </c>
      <c r="CF112" s="162">
        <f t="shared" si="1012"/>
        <v>428.2</v>
      </c>
      <c r="CG112" s="162">
        <f t="shared" si="1012"/>
        <v>480.8</v>
      </c>
      <c r="CH112" s="162">
        <f t="shared" si="1012"/>
        <v>522.79999999999995</v>
      </c>
      <c r="CI112" s="162">
        <f t="shared" si="1012"/>
        <v>536.80000000000007</v>
      </c>
      <c r="CJ112" s="162">
        <f t="shared" si="1012"/>
        <v>531.90000000000009</v>
      </c>
      <c r="CK112" s="162">
        <f t="shared" si="1012"/>
        <v>527.80000000000018</v>
      </c>
      <c r="CL112" s="162">
        <f t="shared" si="1012"/>
        <v>530.00000000000011</v>
      </c>
      <c r="CM112" s="21">
        <f t="shared" si="1012"/>
        <v>538.67743844494998</v>
      </c>
      <c r="CN112" s="21">
        <f t="shared" si="1012"/>
        <v>556.31998541172925</v>
      </c>
      <c r="CO112" s="21">
        <f t="shared" si="1012"/>
        <v>573.84090146697679</v>
      </c>
      <c r="CP112" s="21">
        <f t="shared" si="1012"/>
        <v>593.88241381005605</v>
      </c>
      <c r="CQ112" s="21">
        <f t="shared" si="1012"/>
        <v>610.87390135403461</v>
      </c>
      <c r="CR112" s="21">
        <f t="shared" si="1012"/>
        <v>630.64483959880681</v>
      </c>
      <c r="CS112" s="21">
        <f t="shared" si="1012"/>
        <v>650.93380599911677</v>
      </c>
      <c r="CT112" s="21">
        <f t="shared" si="1012"/>
        <v>671.4671078996912</v>
      </c>
      <c r="CU112" s="21">
        <f t="shared" si="1012"/>
        <v>692.22967470588083</v>
      </c>
      <c r="CV112" s="21">
        <f t="shared" si="1012"/>
        <v>714.49177198878363</v>
      </c>
      <c r="CW112" s="21">
        <f t="shared" si="1012"/>
        <v>737.36458973759136</v>
      </c>
      <c r="CX112" s="21">
        <f t="shared" ref="CX112:DB112" si="1013">+SUM(CU28:CX28)</f>
        <v>760.35979722640423</v>
      </c>
      <c r="CY112" s="21">
        <f t="shared" si="1013"/>
        <v>784.17436421671118</v>
      </c>
      <c r="CZ112" s="21">
        <f t="shared" si="1013"/>
        <v>809.32952563851507</v>
      </c>
      <c r="DA112" s="21">
        <f t="shared" si="1013"/>
        <v>835.1975441447513</v>
      </c>
      <c r="DB112" s="21">
        <f t="shared" si="1013"/>
        <v>861.22479217558657</v>
      </c>
      <c r="DE112" s="22"/>
      <c r="DF112" s="162">
        <v>536.70426141373446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>
        <f t="shared" si="1021"/>
        <v>0</v>
      </c>
      <c r="BI113" s="162">
        <f t="shared" si="1021"/>
        <v>8.6562499999999929</v>
      </c>
      <c r="BJ113" s="162">
        <f t="shared" si="1021"/>
        <v>-40.538461538461526</v>
      </c>
      <c r="BK113" s="162">
        <f t="shared" si="1021"/>
        <v>-6.7259261520924918</v>
      </c>
      <c r="BL113" s="162">
        <f t="shared" si="1021"/>
        <v>42.874792703150909</v>
      </c>
      <c r="BM113" s="162">
        <f t="shared" si="1021"/>
        <v>44.812111054120976</v>
      </c>
      <c r="BN113" s="162">
        <f t="shared" si="1021"/>
        <v>45.531675547661337</v>
      </c>
      <c r="BO113" s="162">
        <f t="shared" si="1021"/>
        <v>33.058000231722858</v>
      </c>
      <c r="BP113" s="162">
        <f t="shared" si="1021"/>
        <v>61.417297728178568</v>
      </c>
      <c r="BQ113" s="162">
        <f t="shared" si="1021"/>
        <v>61.89418841070826</v>
      </c>
      <c r="BR113" s="162">
        <f t="shared" si="1021"/>
        <v>83.9754722730043</v>
      </c>
      <c r="BS113" s="162">
        <f t="shared" si="1021"/>
        <v>71.027222469278016</v>
      </c>
      <c r="BT113" s="162">
        <f t="shared" si="1021"/>
        <v>73.638260869565215</v>
      </c>
      <c r="BU113" s="162">
        <f t="shared" si="1021"/>
        <v>79.239685639880946</v>
      </c>
      <c r="BV113" s="162">
        <f t="shared" si="1021"/>
        <v>59.546458739441185</v>
      </c>
      <c r="BW113" s="162">
        <f t="shared" si="1021"/>
        <v>46.987932917005104</v>
      </c>
      <c r="BX113" s="162">
        <f t="shared" si="1021"/>
        <v>47.393979057591622</v>
      </c>
      <c r="BY113" s="162">
        <f t="shared" si="1021"/>
        <v>49.000729436069797</v>
      </c>
      <c r="BZ113" s="162">
        <f t="shared" si="1021"/>
        <v>49.478147179678743</v>
      </c>
      <c r="CA113" s="162">
        <f t="shared" si="1021"/>
        <v>56.58727018785612</v>
      </c>
      <c r="CB113" s="162">
        <f t="shared" si="1021"/>
        <v>60.893392370572187</v>
      </c>
      <c r="CC113" s="162">
        <f t="shared" si="1021"/>
        <v>50.363133793535908</v>
      </c>
      <c r="CD113" s="162">
        <f t="shared" si="1021"/>
        <v>43.748340374170184</v>
      </c>
      <c r="CE113" s="162">
        <f t="shared" ref="CE113:CF113" si="1022">+CE110/CE112</f>
        <v>40.254386081302407</v>
      </c>
      <c r="CF113" s="162">
        <f t="shared" si="1022"/>
        <v>39.145492760392337</v>
      </c>
      <c r="CG113" s="162">
        <f t="shared" ref="CG113:CH113" si="1023">+CG110/CG112</f>
        <v>33.747775672986776</v>
      </c>
      <c r="CH113" s="162">
        <f t="shared" si="1023"/>
        <v>21.703915455241013</v>
      </c>
      <c r="CI113" s="162">
        <f t="shared" ref="CI113:CJ113" si="1024">+CI110/CI112</f>
        <v>24.602965368689826</v>
      </c>
      <c r="CJ113" s="162">
        <f t="shared" si="1024"/>
        <v>26.088174468885121</v>
      </c>
      <c r="CK113" s="162">
        <f t="shared" ref="CK113:CL113" si="1025">+CK110/CK112</f>
        <v>23.070927577581596</v>
      </c>
      <c r="CL113" s="162">
        <f t="shared" si="1025"/>
        <v>20.317943396226408</v>
      </c>
      <c r="CM113" s="21">
        <f t="shared" ref="CM113:DB113" si="1026">+CM110/CM112</f>
        <v>14.689872193207187</v>
      </c>
      <c r="CN113" s="21">
        <f t="shared" si="1026"/>
        <v>12.940291474207166</v>
      </c>
      <c r="CO113" s="21">
        <f t="shared" si="1026"/>
        <v>6.1509549476369427</v>
      </c>
      <c r="CP113" s="21">
        <f t="shared" si="1026"/>
        <v>6.6030807089513397</v>
      </c>
      <c r="CQ113" s="21">
        <f t="shared" si="1026"/>
        <v>6.6875847386361658</v>
      </c>
      <c r="CR113" s="21">
        <f t="shared" si="1026"/>
        <v>6.737419904667731</v>
      </c>
      <c r="CS113" s="21">
        <f t="shared" si="1026"/>
        <v>6.817344889243369</v>
      </c>
      <c r="CT113" s="21">
        <f t="shared" si="1026"/>
        <v>6.9896461707253152</v>
      </c>
      <c r="CU113" s="21">
        <f t="shared" si="1026"/>
        <v>6.983450014400078</v>
      </c>
      <c r="CV113" s="21">
        <f t="shared" si="1026"/>
        <v>6.931877859233377</v>
      </c>
      <c r="CW113" s="21">
        <f t="shared" si="1026"/>
        <v>6.9550294780599389</v>
      </c>
      <c r="CX113" s="21">
        <f t="shared" si="1026"/>
        <v>7.0504387191173086</v>
      </c>
      <c r="CY113" s="21">
        <f t="shared" si="1026"/>
        <v>7.0225903050571441</v>
      </c>
      <c r="CZ113" s="21">
        <f t="shared" si="1026"/>
        <v>6.948005100949552</v>
      </c>
      <c r="DA113" s="21">
        <f t="shared" si="1026"/>
        <v>6.9548197480552361</v>
      </c>
      <c r="DB113" s="21">
        <f t="shared" si="1026"/>
        <v>7.035221570540914</v>
      </c>
      <c r="DE113" s="22"/>
      <c r="DF113" s="162">
        <v>19.913171695204692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>
        <f t="shared" si="1034"/>
        <v>0</v>
      </c>
      <c r="BI114" s="162">
        <f t="shared" si="1034"/>
        <v>8.6562499999999929</v>
      </c>
      <c r="BJ114" s="162">
        <f t="shared" si="1034"/>
        <v>-40.538461538461526</v>
      </c>
      <c r="BK114" s="162">
        <f t="shared" si="1034"/>
        <v>-6.7259261520924918</v>
      </c>
      <c r="BL114" s="162">
        <f t="shared" si="1034"/>
        <v>17.533996683250411</v>
      </c>
      <c r="BM114" s="162">
        <f t="shared" si="1034"/>
        <v>32.083508274311178</v>
      </c>
      <c r="BN114" s="162">
        <f t="shared" si="1034"/>
        <v>23.847838957963294</v>
      </c>
      <c r="BO114" s="162">
        <f t="shared" si="1034"/>
        <v>23.317854246321399</v>
      </c>
      <c r="BP114" s="162">
        <f t="shared" si="1034"/>
        <v>20.181944998007175</v>
      </c>
      <c r="BQ114" s="162">
        <f t="shared" si="1034"/>
        <v>42.404354456116579</v>
      </c>
      <c r="BR114" s="162">
        <f t="shared" si="1034"/>
        <v>51.335161486898258</v>
      </c>
      <c r="BS114" s="162">
        <f t="shared" si="1034"/>
        <v>51.124165700719068</v>
      </c>
      <c r="BT114" s="162">
        <f t="shared" si="1034"/>
        <v>53.501739130434792</v>
      </c>
      <c r="BU114" s="162">
        <f t="shared" si="1034"/>
        <v>48.817810639880953</v>
      </c>
      <c r="BV114" s="162">
        <f t="shared" si="1034"/>
        <v>30.924139051332023</v>
      </c>
      <c r="BW114" s="162">
        <f t="shared" si="1034"/>
        <v>31.568208146362903</v>
      </c>
      <c r="BX114" s="162">
        <f t="shared" si="1034"/>
        <v>33.937733732236353</v>
      </c>
      <c r="BY114" s="162">
        <f t="shared" si="1034"/>
        <v>39.393310579810134</v>
      </c>
      <c r="BZ114" s="162">
        <f t="shared" si="1034"/>
        <v>39.353007097497198</v>
      </c>
      <c r="CA114" s="162">
        <f t="shared" si="1034"/>
        <v>44.143359931445865</v>
      </c>
      <c r="CB114" s="162">
        <f t="shared" si="1034"/>
        <v>46.980585831062676</v>
      </c>
      <c r="CC114" s="162">
        <f t="shared" si="1034"/>
        <v>42.816061648598989</v>
      </c>
      <c r="CD114" s="162">
        <f t="shared" si="1034"/>
        <v>36.350633675316843</v>
      </c>
      <c r="CE114" s="162">
        <f t="shared" ref="CE114:CF114" si="1035">+CE111/CE112</f>
        <v>29.270178372522963</v>
      </c>
      <c r="CF114" s="162">
        <f t="shared" si="1035"/>
        <v>31.184493227463804</v>
      </c>
      <c r="CG114" s="162">
        <f t="shared" ref="CG114:CH114" si="1036">+CG111/CG112</f>
        <v>22.143990315249678</v>
      </c>
      <c r="CH114" s="162">
        <f t="shared" si="1036"/>
        <v>16.372431140015298</v>
      </c>
      <c r="CI114" s="162">
        <f t="shared" ref="CI114:CJ114" si="1037">+CI111/CI112</f>
        <v>14.865260450657042</v>
      </c>
      <c r="CJ114" s="162">
        <f t="shared" si="1037"/>
        <v>20.876668546719305</v>
      </c>
      <c r="CK114" s="162">
        <f t="shared" ref="CK114:CL114" si="1038">+CK111/CK112</f>
        <v>19.267706660567576</v>
      </c>
      <c r="CL114" s="162">
        <f t="shared" si="1038"/>
        <v>15.945384905660374</v>
      </c>
      <c r="CM114" s="21">
        <f t="shared" ref="CM114:DB114" si="1039">+CM111/CM112</f>
        <v>11.227637873970309</v>
      </c>
      <c r="CN114" s="21">
        <f t="shared" si="1039"/>
        <v>9.7501897833470377</v>
      </c>
      <c r="CO114" s="21">
        <f t="shared" si="1039"/>
        <v>4.0871984541304913</v>
      </c>
      <c r="CP114" s="21">
        <f t="shared" si="1039"/>
        <v>4.4755076309860042</v>
      </c>
      <c r="CQ114" s="21">
        <f t="shared" si="1039"/>
        <v>4.531449359551412</v>
      </c>
      <c r="CR114" s="21">
        <f t="shared" si="1039"/>
        <v>4.5536005404225186</v>
      </c>
      <c r="CS114" s="21">
        <f t="shared" si="1039"/>
        <v>4.6152784802911944</v>
      </c>
      <c r="CT114" s="21">
        <f t="shared" si="1039"/>
        <v>4.7677629354468367</v>
      </c>
      <c r="CU114" s="21">
        <f t="shared" si="1039"/>
        <v>4.7514101772649839</v>
      </c>
      <c r="CV114" s="21">
        <f t="shared" si="1039"/>
        <v>4.6895415215199536</v>
      </c>
      <c r="CW114" s="21">
        <f t="shared" si="1039"/>
        <v>4.7044364353219237</v>
      </c>
      <c r="CX114" s="21">
        <f t="shared" si="1039"/>
        <v>4.7931303258204503</v>
      </c>
      <c r="CY114" s="21">
        <f t="shared" si="1039"/>
        <v>4.7598035051427443</v>
      </c>
      <c r="CZ114" s="21">
        <f t="shared" si="1039"/>
        <v>4.6792860258198301</v>
      </c>
      <c r="DA114" s="21">
        <f t="shared" si="1039"/>
        <v>4.6811169947466658</v>
      </c>
      <c r="DB114" s="21">
        <f t="shared" si="1039"/>
        <v>4.7578537287403577</v>
      </c>
      <c r="DE114" s="22"/>
      <c r="DF114" s="162">
        <v>15.595233183042371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58.168999999999997</v>
      </c>
      <c r="P117" s="23">
        <f>'Annual Raw'!Q41</f>
        <v>58.168999999999997</v>
      </c>
      <c r="Q117" s="23">
        <f>'Annual Raw'!R41</f>
        <v>9.1690000000000005</v>
      </c>
      <c r="R117" s="23">
        <f>'Annual Raw'!S41</f>
        <v>9.1690000000000005</v>
      </c>
      <c r="S117" s="23">
        <f>'Annual Raw'!T41</f>
        <v>9.9770000000000003</v>
      </c>
      <c r="T117" s="23">
        <f>'Annual Raw'!U41</f>
        <v>28.591999999999999</v>
      </c>
      <c r="U117" s="23">
        <f>'Annual Raw'!V41</f>
        <v>28.876999999999999</v>
      </c>
      <c r="V117" s="23">
        <f>'Annual Raw'!W41</f>
        <v>30.315999999999999</v>
      </c>
      <c r="W117" s="23">
        <f>'Annual Raw'!X41</f>
        <v>30.553000000000001</v>
      </c>
      <c r="X117" s="23">
        <f>'Annual Raw'!Y41</f>
        <v>30.579000000000001</v>
      </c>
      <c r="Y117" s="23">
        <f>'Annual Raw'!Z41</f>
        <v>59.948999999999998</v>
      </c>
      <c r="Z117" s="23">
        <f>'Annual Raw'!AA41</f>
        <v>60.005000000000003</v>
      </c>
      <c r="AA117" s="23">
        <f>'Annual Raw'!AB41</f>
        <v>60.084000000000003</v>
      </c>
      <c r="AB117" s="24">
        <f>+CP117</f>
        <v>60.1</v>
      </c>
      <c r="AC117" s="24">
        <f>+CT117</f>
        <v>60.1</v>
      </c>
      <c r="AD117" s="24">
        <f>+CX117</f>
        <v>60.1</v>
      </c>
      <c r="AE117" s="24">
        <f>+DB117</f>
        <v>60.1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28.6</v>
      </c>
      <c r="BK117" s="23">
        <f t="shared" si="1040"/>
        <v>28.6</v>
      </c>
      <c r="BL117" s="23">
        <f>+'QTR Raw'!AF56</f>
        <v>28.8</v>
      </c>
      <c r="BM117" s="23">
        <f t="shared" si="1040"/>
        <v>28.8</v>
      </c>
      <c r="BN117" s="23">
        <f>+'QTR Raw'!AH56</f>
        <v>28.9</v>
      </c>
      <c r="BO117" s="23">
        <f t="shared" si="1040"/>
        <v>28.9</v>
      </c>
      <c r="BP117" s="23">
        <f>+'QTR Raw'!AJ56</f>
        <v>28.9</v>
      </c>
      <c r="BQ117" s="23">
        <f t="shared" si="1040"/>
        <v>28.9</v>
      </c>
      <c r="BR117" s="23">
        <f>+'QTR Raw'!AL56</f>
        <v>30.3</v>
      </c>
      <c r="BS117" s="23">
        <f t="shared" si="1040"/>
        <v>30.3</v>
      </c>
      <c r="BT117" s="23">
        <f>+'QTR Raw'!AN56</f>
        <v>30.3</v>
      </c>
      <c r="BU117" s="23">
        <f t="shared" si="1040"/>
        <v>30.3</v>
      </c>
      <c r="BV117" s="23">
        <f>+'QTR Raw'!AP56</f>
        <v>30.6</v>
      </c>
      <c r="BW117" s="23">
        <f t="shared" si="1040"/>
        <v>30.6</v>
      </c>
      <c r="BX117" s="23">
        <f>+'QTR Raw'!AR56</f>
        <v>30.6</v>
      </c>
      <c r="BY117" s="23">
        <f t="shared" si="1040"/>
        <v>30.6</v>
      </c>
      <c r="BZ117" s="23">
        <f>+'QTR Raw'!AT56</f>
        <v>30.6</v>
      </c>
      <c r="CA117" s="23">
        <f t="shared" si="1040"/>
        <v>30.6</v>
      </c>
      <c r="CB117" s="23">
        <f>+'QTR Raw'!AV56</f>
        <v>59.9</v>
      </c>
      <c r="CC117" s="23">
        <f t="shared" si="1040"/>
        <v>59.9</v>
      </c>
      <c r="CD117" s="23">
        <f>+'QTR Raw'!AX56</f>
        <v>59.9</v>
      </c>
      <c r="CE117" s="23">
        <f t="shared" si="1040"/>
        <v>59.9</v>
      </c>
      <c r="CF117" s="23">
        <f>+'QTR Raw'!AZ56</f>
        <v>60</v>
      </c>
      <c r="CG117" s="23">
        <f t="shared" ref="CG117:CG118" si="1041">+CF117</f>
        <v>60</v>
      </c>
      <c r="CH117" s="23">
        <f>Z117</f>
        <v>60.005000000000003</v>
      </c>
      <c r="CI117" s="23">
        <f>CH117</f>
        <v>60.005000000000003</v>
      </c>
      <c r="CJ117" s="23">
        <f>+'QTR Raw'!BD56</f>
        <v>60</v>
      </c>
      <c r="CK117" s="24">
        <f t="shared" ref="CK117:DB117" si="1042">CJ117</f>
        <v>60</v>
      </c>
      <c r="CL117" s="23">
        <f>+'QTR Raw'!BF56</f>
        <v>60.1</v>
      </c>
      <c r="CM117" s="24">
        <f t="shared" si="1042"/>
        <v>60.1</v>
      </c>
      <c r="CN117" s="24">
        <f t="shared" si="1042"/>
        <v>60.1</v>
      </c>
      <c r="CO117" s="24">
        <f t="shared" si="1042"/>
        <v>60.1</v>
      </c>
      <c r="CP117" s="24">
        <f t="shared" si="1042"/>
        <v>60.1</v>
      </c>
      <c r="CQ117" s="24">
        <f t="shared" si="1042"/>
        <v>60.1</v>
      </c>
      <c r="CR117" s="24">
        <f t="shared" si="1042"/>
        <v>60.1</v>
      </c>
      <c r="CS117" s="24">
        <f t="shared" si="1042"/>
        <v>60.1</v>
      </c>
      <c r="CT117" s="24">
        <f t="shared" si="1042"/>
        <v>60.1</v>
      </c>
      <c r="CU117" s="24">
        <f t="shared" si="1042"/>
        <v>60.1</v>
      </c>
      <c r="CV117" s="24">
        <f t="shared" si="1042"/>
        <v>60.1</v>
      </c>
      <c r="CW117" s="24">
        <f t="shared" si="1042"/>
        <v>60.1</v>
      </c>
      <c r="CX117" s="24">
        <f t="shared" si="1042"/>
        <v>60.1</v>
      </c>
      <c r="CY117" s="24">
        <f t="shared" si="1042"/>
        <v>60.1</v>
      </c>
      <c r="CZ117" s="24">
        <f t="shared" si="1042"/>
        <v>60.1</v>
      </c>
      <c r="DA117" s="24">
        <f t="shared" si="1042"/>
        <v>60.1</v>
      </c>
      <c r="DB117" s="24">
        <f t="shared" si="1042"/>
        <v>60.1</v>
      </c>
      <c r="DE117" s="123"/>
      <c r="DF117" s="23">
        <v>60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1.766</v>
      </c>
      <c r="P118" s="23">
        <f>'Annual Raw'!Q42</f>
        <v>1.766</v>
      </c>
      <c r="Q118" s="23">
        <f>'Annual Raw'!R42</f>
        <v>3.69</v>
      </c>
      <c r="R118" s="23">
        <f>'Annual Raw'!S42</f>
        <v>4.6139999999999999</v>
      </c>
      <c r="S118" s="23">
        <f>'Annual Raw'!T42</f>
        <v>6.1150000000000002</v>
      </c>
      <c r="T118" s="23">
        <f>'Annual Raw'!U42</f>
        <v>8.8480000000000008</v>
      </c>
      <c r="U118" s="23">
        <f>'Annual Raw'!V42</f>
        <v>11.616</v>
      </c>
      <c r="V118" s="23">
        <f>'Annual Raw'!W42</f>
        <v>9.7379999999999995</v>
      </c>
      <c r="W118" s="23">
        <f>'Annual Raw'!X42</f>
        <v>13.016</v>
      </c>
      <c r="X118" s="23">
        <f>'Annual Raw'!Y42</f>
        <v>25.655000000000001</v>
      </c>
      <c r="Y118" s="23">
        <f>'Annual Raw'!Z42</f>
        <v>37.292000000000002</v>
      </c>
      <c r="Z118" s="23">
        <f>'Annual Raw'!AA42</f>
        <v>37.040999999999997</v>
      </c>
      <c r="AA118" s="23">
        <f>'Annual Raw'!AB42</f>
        <v>48.774000000000001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37.040999999999997</v>
      </c>
      <c r="CI118" s="23">
        <f>CH118</f>
        <v>37.040999999999997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-122.035</v>
      </c>
      <c r="P119" s="23">
        <f>'Annual Raw'!Q43</f>
        <v>-153.91999999999999</v>
      </c>
      <c r="Q119" s="23">
        <f>'Annual Raw'!R43</f>
        <v>-339.93200000000002</v>
      </c>
      <c r="R119" s="23">
        <f>'Annual Raw'!S43</f>
        <v>-403.82900000000001</v>
      </c>
      <c r="S119" s="23">
        <f>'Annual Raw'!T43</f>
        <v>-337.36099999999999</v>
      </c>
      <c r="T119" s="23">
        <f>'Annual Raw'!U43</f>
        <v>122.44799999999999</v>
      </c>
      <c r="U119" s="23">
        <f>'Annual Raw'!V43</f>
        <v>234.56399999999999</v>
      </c>
      <c r="V119" s="23">
        <f>'Annual Raw'!W43</f>
        <v>1570.83</v>
      </c>
      <c r="W119" s="23">
        <f>'Annual Raw'!X43</f>
        <v>1830.4839999999999</v>
      </c>
      <c r="X119" s="23">
        <f>'Annual Raw'!Y43</f>
        <v>2002.258</v>
      </c>
      <c r="Y119" s="23">
        <f>'Annual Raw'!Z43</f>
        <v>1638.873</v>
      </c>
      <c r="Z119" s="23">
        <f>'Annual Raw'!AA43</f>
        <v>2088.2440000000001</v>
      </c>
      <c r="AA119" s="23">
        <f>'Annual Raw'!AB43</f>
        <v>2291.5169999999998</v>
      </c>
      <c r="AB119" s="24">
        <f t="shared" si="1043"/>
        <v>2599.3315683017108</v>
      </c>
      <c r="AC119" s="24">
        <f t="shared" si="1044"/>
        <v>2905.1852546734576</v>
      </c>
      <c r="AD119" s="24">
        <f t="shared" si="1045"/>
        <v>3257.0516455050142</v>
      </c>
      <c r="AE119" s="24">
        <f t="shared" si="1046"/>
        <v>3659.1362558751816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-56.400000000000006</v>
      </c>
      <c r="BH119" s="23">
        <f>+'QTR Raw'!AB58</f>
        <v>0</v>
      </c>
      <c r="BI119" s="23">
        <f>+BH119+BI48</f>
        <v>27.700000000000003</v>
      </c>
      <c r="BJ119" s="23">
        <f>+'QTR Raw'!AD58</f>
        <v>131.30000000000001</v>
      </c>
      <c r="BK119" s="23">
        <f>+BJ119+BK48</f>
        <v>163.70000000000005</v>
      </c>
      <c r="BL119" s="23">
        <f>+'QTR Raw'!AF58</f>
        <v>174</v>
      </c>
      <c r="BM119" s="23">
        <f>+BL119+BM48</f>
        <v>236</v>
      </c>
      <c r="BN119" s="23">
        <f>+'QTR Raw'!AH58</f>
        <v>246.2</v>
      </c>
      <c r="BO119" s="23">
        <f>+BN119+BO48</f>
        <v>320.29999999999995</v>
      </c>
      <c r="BP119" s="23">
        <f>+'QTR Raw'!AJ58</f>
        <v>393</v>
      </c>
      <c r="BQ119" s="23">
        <f>+BP119+BQ48</f>
        <v>473.2</v>
      </c>
      <c r="BR119" s="23">
        <f>+'QTR Raw'!AL58</f>
        <v>1580.6</v>
      </c>
      <c r="BS119" s="23">
        <f>+BR119+BS48</f>
        <v>1668.5</v>
      </c>
      <c r="BT119" s="23">
        <f>+'QTR Raw'!AN58</f>
        <v>1707.9</v>
      </c>
      <c r="BU119" s="23">
        <f>+BT119+BU48</f>
        <v>1778.1000000000001</v>
      </c>
      <c r="BV119" s="23">
        <f>+'QTR Raw'!AP58</f>
        <v>1843.5</v>
      </c>
      <c r="BW119" s="23">
        <f>+BV119+BW48</f>
        <v>1890.2</v>
      </c>
      <c r="BX119" s="23">
        <f>+'QTR Raw'!AR58</f>
        <v>1847.8</v>
      </c>
      <c r="BY119" s="23">
        <f>+BX119+BY48</f>
        <v>1960.6</v>
      </c>
      <c r="BZ119" s="23">
        <f>+'QTR Raw'!AT58</f>
        <v>2027.9</v>
      </c>
      <c r="CA119" s="23">
        <f>+BZ119+CA48</f>
        <v>2111</v>
      </c>
      <c r="CB119" s="23">
        <f>+'QTR Raw'!AV58</f>
        <v>1484.9</v>
      </c>
      <c r="CC119" s="23">
        <f>+CB119+CC48</f>
        <v>1566.8000000000002</v>
      </c>
      <c r="CD119" s="23">
        <f>+'QTR Raw'!AX58</f>
        <v>1676.2</v>
      </c>
      <c r="CE119" s="23">
        <f>+CD119+CE48</f>
        <v>1790.2</v>
      </c>
      <c r="CF119" s="23">
        <f>+'QTR Raw'!AZ58</f>
        <v>1817.3</v>
      </c>
      <c r="CG119" s="23">
        <f>+CF119+CG48</f>
        <v>1938.3</v>
      </c>
      <c r="CH119" s="23">
        <f t="shared" si="1048"/>
        <v>2088.2440000000001</v>
      </c>
      <c r="CI119" s="23">
        <f>CH119+CI48</f>
        <v>2241.7440000000001</v>
      </c>
      <c r="CJ119" s="23">
        <f>+'QTR Raw'!BD58</f>
        <v>2077.6999999999998</v>
      </c>
      <c r="CK119" s="24">
        <f t="shared" ref="CK119:DB119" si="1050">CJ119+CK48</f>
        <v>2266</v>
      </c>
      <c r="CL119" s="23">
        <f>+'QTR Raw'!BF58</f>
        <v>2340.3000000000002</v>
      </c>
      <c r="CM119" s="24">
        <f t="shared" si="1050"/>
        <v>2401.3050289442267</v>
      </c>
      <c r="CN119" s="24">
        <f t="shared" si="1050"/>
        <v>2465.6286818665822</v>
      </c>
      <c r="CO119" s="24">
        <f t="shared" si="1050"/>
        <v>2532.8826774619947</v>
      </c>
      <c r="CP119" s="24">
        <f t="shared" si="1050"/>
        <v>2599.3315683017108</v>
      </c>
      <c r="CQ119" s="24">
        <f t="shared" si="1050"/>
        <v>2671.3246606190387</v>
      </c>
      <c r="CR119" s="24">
        <f t="shared" si="1050"/>
        <v>2747.9666615757924</v>
      </c>
      <c r="CS119" s="24">
        <f t="shared" si="1050"/>
        <v>2826.7389618338248</v>
      </c>
      <c r="CT119" s="24">
        <f t="shared" si="1050"/>
        <v>2905.1852546734576</v>
      </c>
      <c r="CU119" s="24">
        <f t="shared" si="1050"/>
        <v>2988.0770489376259</v>
      </c>
      <c r="CV119" s="24">
        <f t="shared" si="1050"/>
        <v>3076.4139875824962</v>
      </c>
      <c r="CW119" s="24">
        <f t="shared" si="1050"/>
        <v>3166.9488980606361</v>
      </c>
      <c r="CX119" s="24">
        <f t="shared" si="1050"/>
        <v>3257.0516455050142</v>
      </c>
      <c r="CY119" s="24">
        <f t="shared" si="1050"/>
        <v>3351.8446540340692</v>
      </c>
      <c r="CZ119" s="24">
        <f t="shared" si="1050"/>
        <v>3452.8349933565132</v>
      </c>
      <c r="DA119" s="24">
        <f t="shared" si="1050"/>
        <v>3556.2544883717906</v>
      </c>
      <c r="DB119" s="24">
        <f t="shared" si="1050"/>
        <v>3659.1362558751816</v>
      </c>
      <c r="DE119" s="123"/>
      <c r="DF119" s="23">
        <v>2469.22483871949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0</v>
      </c>
      <c r="K120" s="22">
        <f t="shared" si="1051"/>
        <v>0</v>
      </c>
      <c r="L120" s="22">
        <f t="shared" si="1051"/>
        <v>0</v>
      </c>
      <c r="M120" s="22">
        <f>M117+M118+M119</f>
        <v>0</v>
      </c>
      <c r="N120" s="22">
        <f t="shared" si="1051"/>
        <v>0</v>
      </c>
      <c r="O120" s="22">
        <f t="shared" si="1051"/>
        <v>-62.1</v>
      </c>
      <c r="P120" s="22">
        <f t="shared" si="1051"/>
        <v>-93.984999999999985</v>
      </c>
      <c r="Q120" s="22">
        <f t="shared" si="1051"/>
        <v>-327.07300000000004</v>
      </c>
      <c r="R120" s="22">
        <f t="shared" si="1051"/>
        <v>-390.04599999999999</v>
      </c>
      <c r="S120" s="22">
        <f t="shared" si="1051"/>
        <v>-321.26900000000001</v>
      </c>
      <c r="T120" s="22">
        <f t="shared" si="1051"/>
        <v>159.88799999999998</v>
      </c>
      <c r="U120" s="22">
        <f t="shared" si="1051"/>
        <v>275.05700000000002</v>
      </c>
      <c r="V120" s="22">
        <f t="shared" si="1051"/>
        <v>1610.884</v>
      </c>
      <c r="W120" s="22">
        <f t="shared" ref="W120" si="1052">W117+W118+W119</f>
        <v>1874.0529999999999</v>
      </c>
      <c r="X120" s="22">
        <f t="shared" ref="X120:Y120" si="1053">X117+X118+X119</f>
        <v>2058.4920000000002</v>
      </c>
      <c r="Y120" s="22">
        <f t="shared" si="1053"/>
        <v>1736.114</v>
      </c>
      <c r="Z120" s="22">
        <f t="shared" ref="Z120:AA120" si="1054">Z117+Z118+Z119</f>
        <v>2185.29</v>
      </c>
      <c r="AA120" s="22">
        <f t="shared" si="1054"/>
        <v>2400.375</v>
      </c>
      <c r="AB120" s="21">
        <f t="shared" ref="AA120:AD120" si="1055">AB117+AB118+AB119</f>
        <v>2659.4315683017107</v>
      </c>
      <c r="AC120" s="21">
        <f t="shared" si="1055"/>
        <v>2965.2852546734575</v>
      </c>
      <c r="AD120" s="21">
        <f t="shared" si="1055"/>
        <v>3317.1516455050141</v>
      </c>
      <c r="AE120" s="21">
        <f t="shared" ref="AE120" si="1056">AE117+AE118+AE119</f>
        <v>3719.2362558751815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-56.400000000000006</v>
      </c>
      <c r="BH120" s="22">
        <f t="shared" si="1061"/>
        <v>0</v>
      </c>
      <c r="BI120" s="22">
        <f t="shared" si="1061"/>
        <v>27.700000000000003</v>
      </c>
      <c r="BJ120" s="22">
        <f t="shared" si="1061"/>
        <v>159.9</v>
      </c>
      <c r="BK120" s="22">
        <f t="shared" si="1061"/>
        <v>192.30000000000004</v>
      </c>
      <c r="BL120" s="22">
        <f t="shared" si="1061"/>
        <v>202.8</v>
      </c>
      <c r="BM120" s="22">
        <f t="shared" si="1061"/>
        <v>264.8</v>
      </c>
      <c r="BN120" s="22">
        <f t="shared" si="1061"/>
        <v>275.09999999999997</v>
      </c>
      <c r="BO120" s="22">
        <f t="shared" si="1061"/>
        <v>349.19999999999993</v>
      </c>
      <c r="BP120" s="22">
        <f t="shared" si="1061"/>
        <v>421.9</v>
      </c>
      <c r="BQ120" s="22">
        <f t="shared" si="1061"/>
        <v>502.09999999999997</v>
      </c>
      <c r="BR120" s="22">
        <f t="shared" si="1061"/>
        <v>1610.8999999999999</v>
      </c>
      <c r="BS120" s="22">
        <f t="shared" si="1061"/>
        <v>1698.8</v>
      </c>
      <c r="BT120" s="22">
        <f t="shared" si="1061"/>
        <v>1738.2</v>
      </c>
      <c r="BU120" s="22">
        <f t="shared" si="1061"/>
        <v>1808.4</v>
      </c>
      <c r="BV120" s="22">
        <f t="shared" si="1061"/>
        <v>1874.1</v>
      </c>
      <c r="BW120" s="22">
        <f t="shared" si="1061"/>
        <v>1920.8</v>
      </c>
      <c r="BX120" s="22">
        <f t="shared" si="1061"/>
        <v>1878.3999999999999</v>
      </c>
      <c r="BY120" s="22">
        <f t="shared" si="1061"/>
        <v>1991.1999999999998</v>
      </c>
      <c r="BZ120" s="22">
        <f t="shared" si="1061"/>
        <v>2058.5</v>
      </c>
      <c r="CA120" s="22">
        <f t="shared" si="1061"/>
        <v>2141.6</v>
      </c>
      <c r="CB120" s="22">
        <f t="shared" si="1061"/>
        <v>1544.8000000000002</v>
      </c>
      <c r="CC120" s="22">
        <f t="shared" si="1061"/>
        <v>1626.7000000000003</v>
      </c>
      <c r="CD120" s="22">
        <f t="shared" si="1061"/>
        <v>1736.1000000000001</v>
      </c>
      <c r="CE120" s="22">
        <f t="shared" si="1061"/>
        <v>1850.1000000000001</v>
      </c>
      <c r="CF120" s="22">
        <f t="shared" ref="CF120:CG120" si="1062">CF117+CF118+CF119</f>
        <v>1877.3</v>
      </c>
      <c r="CG120" s="22">
        <f t="shared" si="1062"/>
        <v>1998.3</v>
      </c>
      <c r="CH120" s="22">
        <f t="shared" ref="CH120:CI120" si="1063">CH117+CH118+CH119</f>
        <v>2185.29</v>
      </c>
      <c r="CI120" s="22">
        <f t="shared" si="1063"/>
        <v>2338.79</v>
      </c>
      <c r="CJ120" s="22">
        <f t="shared" ref="CJ120:DB120" si="1064">CJ117+CJ118+CJ119</f>
        <v>2137.6999999999998</v>
      </c>
      <c r="CK120" s="21">
        <f t="shared" si="1064"/>
        <v>2326</v>
      </c>
      <c r="CL120" s="22">
        <f t="shared" ref="CL120" si="1065">CL117+CL118+CL119</f>
        <v>2400.4</v>
      </c>
      <c r="CM120" s="21">
        <f t="shared" si="1064"/>
        <v>2461.4050289442266</v>
      </c>
      <c r="CN120" s="21">
        <f t="shared" si="1064"/>
        <v>2525.7286818665821</v>
      </c>
      <c r="CO120" s="21">
        <f t="shared" si="1064"/>
        <v>2592.9826774619946</v>
      </c>
      <c r="CP120" s="21">
        <f t="shared" si="1064"/>
        <v>2659.4315683017107</v>
      </c>
      <c r="CQ120" s="21">
        <f t="shared" si="1064"/>
        <v>2731.4246606190386</v>
      </c>
      <c r="CR120" s="21">
        <f t="shared" si="1064"/>
        <v>2808.0666615757923</v>
      </c>
      <c r="CS120" s="21">
        <f t="shared" si="1064"/>
        <v>2886.8389618338247</v>
      </c>
      <c r="CT120" s="21">
        <f t="shared" si="1064"/>
        <v>2965.2852546734575</v>
      </c>
      <c r="CU120" s="21">
        <f t="shared" si="1064"/>
        <v>3048.1770489376258</v>
      </c>
      <c r="CV120" s="21">
        <f t="shared" si="1064"/>
        <v>3136.5139875824962</v>
      </c>
      <c r="CW120" s="21">
        <f t="shared" si="1064"/>
        <v>3227.048898060636</v>
      </c>
      <c r="CX120" s="21">
        <f t="shared" si="1064"/>
        <v>3317.1516455050141</v>
      </c>
      <c r="CY120" s="21">
        <f t="shared" si="1064"/>
        <v>3411.9446540340691</v>
      </c>
      <c r="CZ120" s="21">
        <f t="shared" si="1064"/>
        <v>3512.9349933565131</v>
      </c>
      <c r="DA120" s="21">
        <f t="shared" si="1064"/>
        <v>3616.3544883717905</v>
      </c>
      <c r="DB120" s="21">
        <f t="shared" si="1064"/>
        <v>3719.2362558751815</v>
      </c>
      <c r="DE120" s="126"/>
      <c r="DF120" s="22">
        <v>2529.22483871949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3.0000000000000001E-3</v>
      </c>
      <c r="Q122" s="23">
        <f>'Annual Raw'!R45</f>
        <v>8.9999999999999993E-3</v>
      </c>
      <c r="R122" s="23">
        <f>'Annual Raw'!S45</f>
        <v>2.7E-2</v>
      </c>
      <c r="S122" s="23">
        <f>'Annual Raw'!T45</f>
        <v>4.5999999999999999E-2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5.7000000000000002E-2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5.6000000000000001E-2</v>
      </c>
      <c r="P126" s="23">
        <f>'Annual Raw'!Q87+'Annual Raw'!Q88+'Annual Raw'!Q89+'Annual Raw'!Q90</f>
        <v>5.7000000000000002E-2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0.113</v>
      </c>
      <c r="P128" s="22">
        <f t="shared" si="1110"/>
        <v>5.7000000000000002E-2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0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0</v>
      </c>
      <c r="CE128" s="22">
        <f t="shared" si="1120"/>
        <v>0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0</v>
      </c>
      <c r="K129" s="26">
        <f t="shared" si="1126"/>
        <v>0</v>
      </c>
      <c r="L129" s="26">
        <f t="shared" si="1126"/>
        <v>0</v>
      </c>
      <c r="M129" s="26">
        <f t="shared" si="1126"/>
        <v>0</v>
      </c>
      <c r="N129" s="26">
        <f t="shared" si="1126"/>
        <v>0</v>
      </c>
      <c r="O129" s="26">
        <f t="shared" si="1126"/>
        <v>-61.987000000000002</v>
      </c>
      <c r="P129" s="26">
        <f t="shared" si="1126"/>
        <v>-93.924999999999983</v>
      </c>
      <c r="Q129" s="26">
        <f t="shared" si="1126"/>
        <v>-327.06400000000002</v>
      </c>
      <c r="R129" s="26">
        <f t="shared" si="1126"/>
        <v>-390.01900000000001</v>
      </c>
      <c r="S129" s="26">
        <f t="shared" si="1126"/>
        <v>-321.22300000000001</v>
      </c>
      <c r="T129" s="26">
        <f t="shared" si="1126"/>
        <v>159.88799999999998</v>
      </c>
      <c r="U129" s="26">
        <f t="shared" si="1126"/>
        <v>275.05700000000002</v>
      </c>
      <c r="V129" s="26">
        <f t="shared" si="1126"/>
        <v>1610.884</v>
      </c>
      <c r="W129" s="26">
        <f t="shared" ref="W129" si="1127">W128+W120+W122</f>
        <v>1874.0529999999999</v>
      </c>
      <c r="X129" s="26">
        <f t="shared" ref="X129:Y129" si="1128">X128+X120+X122</f>
        <v>2058.4920000000002</v>
      </c>
      <c r="Y129" s="26">
        <f t="shared" si="1128"/>
        <v>1736.114</v>
      </c>
      <c r="Z129" s="26">
        <f t="shared" ref="Z129:AA129" si="1129">Z128+Z120+Z122</f>
        <v>2185.29</v>
      </c>
      <c r="AA129" s="26">
        <f t="shared" si="1129"/>
        <v>2400.375</v>
      </c>
      <c r="AB129" s="27">
        <f t="shared" ref="AA129:AD129" si="1130">AB128+AB120+AB122</f>
        <v>2659.4315683017107</v>
      </c>
      <c r="AC129" s="27">
        <f t="shared" si="1130"/>
        <v>2965.2852546734575</v>
      </c>
      <c r="AD129" s="27">
        <f t="shared" si="1130"/>
        <v>3317.1516455050141</v>
      </c>
      <c r="AE129" s="27">
        <f t="shared" ref="AE129" si="1131">AE128+AE120+AE122</f>
        <v>3719.2362558751815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-56.400000000000006</v>
      </c>
      <c r="BH129" s="26">
        <f t="shared" ref="BH129" si="1137">BH128+BH120+BH122</f>
        <v>0</v>
      </c>
      <c r="BI129" s="26">
        <f t="shared" si="1136"/>
        <v>27.700000000000003</v>
      </c>
      <c r="BJ129" s="26">
        <f t="shared" si="1136"/>
        <v>159.9</v>
      </c>
      <c r="BK129" s="26">
        <f t="shared" si="1136"/>
        <v>192.30000000000004</v>
      </c>
      <c r="BL129" s="26">
        <f t="shared" si="1136"/>
        <v>202.8</v>
      </c>
      <c r="BM129" s="26">
        <f t="shared" si="1136"/>
        <v>264.8</v>
      </c>
      <c r="BN129" s="26">
        <f t="shared" si="1136"/>
        <v>275.09999999999997</v>
      </c>
      <c r="BO129" s="26">
        <f t="shared" si="1136"/>
        <v>349.19999999999993</v>
      </c>
      <c r="BP129" s="26">
        <f t="shared" si="1136"/>
        <v>421.9</v>
      </c>
      <c r="BQ129" s="26">
        <f t="shared" si="1136"/>
        <v>502.09999999999997</v>
      </c>
      <c r="BR129" s="26">
        <f t="shared" si="1136"/>
        <v>1610.8999999999999</v>
      </c>
      <c r="BS129" s="26">
        <f t="shared" si="1136"/>
        <v>1698.8</v>
      </c>
      <c r="BT129" s="26">
        <f t="shared" si="1136"/>
        <v>1738.2</v>
      </c>
      <c r="BU129" s="26">
        <f t="shared" si="1136"/>
        <v>1808.4</v>
      </c>
      <c r="BV129" s="26">
        <f t="shared" si="1136"/>
        <v>1874.1</v>
      </c>
      <c r="BW129" s="26">
        <f t="shared" si="1136"/>
        <v>1920.8</v>
      </c>
      <c r="BX129" s="26">
        <f t="shared" si="1136"/>
        <v>1878.3999999999999</v>
      </c>
      <c r="BY129" s="26">
        <f t="shared" si="1136"/>
        <v>1991.1999999999998</v>
      </c>
      <c r="BZ129" s="26">
        <f t="shared" si="1136"/>
        <v>2058.5</v>
      </c>
      <c r="CA129" s="26">
        <f t="shared" si="1136"/>
        <v>2141.6</v>
      </c>
      <c r="CB129" s="26">
        <f t="shared" si="1136"/>
        <v>1544.8000000000002</v>
      </c>
      <c r="CC129" s="26">
        <f t="shared" si="1136"/>
        <v>1626.7000000000003</v>
      </c>
      <c r="CD129" s="26">
        <f t="shared" si="1136"/>
        <v>1736.1000000000001</v>
      </c>
      <c r="CE129" s="26">
        <f t="shared" si="1136"/>
        <v>1850.1000000000001</v>
      </c>
      <c r="CF129" s="26">
        <f t="shared" ref="CF129:CG129" si="1138">CF128+CF120+CF122</f>
        <v>1877.3</v>
      </c>
      <c r="CG129" s="26">
        <f t="shared" si="1138"/>
        <v>1998.3</v>
      </c>
      <c r="CH129" s="26">
        <f t="shared" ref="CH129:CI129" si="1139">CH128+CH120+CH122</f>
        <v>2185.29</v>
      </c>
      <c r="CI129" s="26">
        <f t="shared" si="1139"/>
        <v>2338.79</v>
      </c>
      <c r="CJ129" s="26">
        <f t="shared" ref="CJ129:DB129" si="1140">CJ128+CJ120+CJ122</f>
        <v>2137.6999999999998</v>
      </c>
      <c r="CK129" s="27">
        <f t="shared" si="1140"/>
        <v>2326</v>
      </c>
      <c r="CL129" s="26">
        <f t="shared" ref="CL129" si="1141">CL128+CL120+CL122</f>
        <v>2400.4</v>
      </c>
      <c r="CM129" s="27">
        <f t="shared" si="1140"/>
        <v>2461.4050289442266</v>
      </c>
      <c r="CN129" s="27">
        <f t="shared" si="1140"/>
        <v>2525.7286818665821</v>
      </c>
      <c r="CO129" s="27">
        <f t="shared" si="1140"/>
        <v>2592.9826774619946</v>
      </c>
      <c r="CP129" s="27">
        <f t="shared" si="1140"/>
        <v>2659.4315683017107</v>
      </c>
      <c r="CQ129" s="27">
        <f t="shared" si="1140"/>
        <v>2731.4246606190386</v>
      </c>
      <c r="CR129" s="27">
        <f t="shared" si="1140"/>
        <v>2808.0666615757923</v>
      </c>
      <c r="CS129" s="27">
        <f t="shared" si="1140"/>
        <v>2886.8389618338247</v>
      </c>
      <c r="CT129" s="27">
        <f t="shared" si="1140"/>
        <v>2965.2852546734575</v>
      </c>
      <c r="CU129" s="27">
        <f t="shared" si="1140"/>
        <v>3048.1770489376258</v>
      </c>
      <c r="CV129" s="27">
        <f t="shared" si="1140"/>
        <v>3136.5139875824962</v>
      </c>
      <c r="CW129" s="27">
        <f t="shared" si="1140"/>
        <v>3227.048898060636</v>
      </c>
      <c r="CX129" s="27">
        <f t="shared" si="1140"/>
        <v>3317.1516455050141</v>
      </c>
      <c r="CY129" s="27">
        <f t="shared" si="1140"/>
        <v>3411.9446540340691</v>
      </c>
      <c r="CZ129" s="27">
        <f t="shared" si="1140"/>
        <v>3512.9349933565131</v>
      </c>
      <c r="DA129" s="27">
        <f t="shared" si="1140"/>
        <v>3616.3544883717905</v>
      </c>
      <c r="DB129" s="27">
        <f t="shared" si="1140"/>
        <v>3719.2362558751815</v>
      </c>
      <c r="DE129" s="121"/>
      <c r="DF129" s="26">
        <v>2529.22483871949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31.280999999999999</v>
      </c>
      <c r="P131" s="23">
        <f>'Annual Raw'!Q62-P135</f>
        <v>34.073999999999998</v>
      </c>
      <c r="Q131" s="23">
        <f>'Annual Raw'!R62-Q135</f>
        <v>14.331</v>
      </c>
      <c r="R131" s="23">
        <f>'Annual Raw'!S62-R135</f>
        <v>17.018999999999998</v>
      </c>
      <c r="S131" s="23">
        <f>'Annual Raw'!T62-S135</f>
        <v>15.523</v>
      </c>
      <c r="T131" s="23">
        <f>'Annual Raw'!U62-T135</f>
        <v>20.587</v>
      </c>
      <c r="U131" s="23">
        <f>'Annual Raw'!V62-U135</f>
        <v>117.684</v>
      </c>
      <c r="V131" s="23">
        <f>'Annual Raw'!W62-V135</f>
        <v>106.136</v>
      </c>
      <c r="W131" s="23">
        <f>'Annual Raw'!X62-W135</f>
        <v>106.35599999999999</v>
      </c>
      <c r="X131" s="23">
        <f>'Annual Raw'!Y62-X135</f>
        <v>175.517</v>
      </c>
      <c r="Y131" s="23">
        <f>'Annual Raw'!Z62-Y135</f>
        <v>190.15699999999998</v>
      </c>
      <c r="Z131" s="23">
        <f>'Annual Raw'!AA62-Z135</f>
        <v>197.89400000000006</v>
      </c>
      <c r="AA131" s="23">
        <f>'Annual Raw'!AB62-AA135</f>
        <v>203.95400000000001</v>
      </c>
      <c r="AB131" s="24">
        <f t="shared" ref="AB131:AB137" si="1142">+CP131</f>
        <v>188.86800000000002</v>
      </c>
      <c r="AC131" s="24">
        <f t="shared" ref="AC131:AC137" si="1143">+CT131</f>
        <v>188.86800000000002</v>
      </c>
      <c r="AD131" s="24">
        <f t="shared" ref="AD131:AD137" si="1144">+CX131</f>
        <v>188.86800000000002</v>
      </c>
      <c r="AE131" s="24">
        <f t="shared" ref="AE131:AE137" si="1145">+DB131</f>
        <v>188.86800000000002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9.1</v>
      </c>
      <c r="BL131" s="23">
        <f>+'QTR Raw'!AF68</f>
        <v>6.2</v>
      </c>
      <c r="BN131" s="23">
        <f>+'QTR Raw'!AH68</f>
        <v>5.7</v>
      </c>
      <c r="BP131" s="23">
        <f>+'QTR Raw'!AJ68</f>
        <v>3.9</v>
      </c>
      <c r="BR131" s="23">
        <f>+'QTR Raw'!AL68</f>
        <v>2.5</v>
      </c>
      <c r="BT131" s="23">
        <f>+'QTR Raw'!AN68</f>
        <v>1.9</v>
      </c>
      <c r="BV131" s="23">
        <f>+'QTR Raw'!AP68</f>
        <v>3.3</v>
      </c>
      <c r="BX131" s="23">
        <f>+'QTR Raw'!AR68</f>
        <v>63.1</v>
      </c>
      <c r="BZ131" s="23">
        <f>+'QTR Raw'!AT68</f>
        <v>57.5</v>
      </c>
      <c r="CB131" s="23">
        <f>+'QTR Raw'!AV68</f>
        <v>51.1</v>
      </c>
      <c r="CD131" s="23">
        <f>+'QTR Raw'!AX68</f>
        <v>49</v>
      </c>
      <c r="CF131" s="23">
        <f>+'QTR Raw'!AZ68</f>
        <v>42.2</v>
      </c>
      <c r="CH131" s="23">
        <f t="shared" ref="CH131:CH137" si="1146">Z131</f>
        <v>197.89400000000006</v>
      </c>
      <c r="CI131" s="23">
        <f>CH131</f>
        <v>197.89400000000006</v>
      </c>
      <c r="CJ131" s="23">
        <f>+CJ132+CJ134</f>
        <v>182.66800000000001</v>
      </c>
      <c r="CK131" s="24">
        <f>+CJ131</f>
        <v>182.66800000000001</v>
      </c>
      <c r="CL131" s="23">
        <f>+CL132+CL134</f>
        <v>188.86800000000002</v>
      </c>
      <c r="CM131" s="24">
        <f t="shared" ref="CM131:DB131" si="1147">+CL131</f>
        <v>188.86800000000002</v>
      </c>
      <c r="CN131" s="24">
        <f t="shared" si="1147"/>
        <v>188.86800000000002</v>
      </c>
      <c r="CO131" s="24">
        <f t="shared" si="1147"/>
        <v>188.86800000000002</v>
      </c>
      <c r="CP131" s="24">
        <f t="shared" si="1147"/>
        <v>188.86800000000002</v>
      </c>
      <c r="CQ131" s="24">
        <f t="shared" si="1147"/>
        <v>188.86800000000002</v>
      </c>
      <c r="CR131" s="24">
        <f t="shared" si="1147"/>
        <v>188.86800000000002</v>
      </c>
      <c r="CS131" s="24">
        <f t="shared" si="1147"/>
        <v>188.86800000000002</v>
      </c>
      <c r="CT131" s="24">
        <f t="shared" si="1147"/>
        <v>188.86800000000002</v>
      </c>
      <c r="CU131" s="24">
        <f t="shared" si="1147"/>
        <v>188.86800000000002</v>
      </c>
      <c r="CV131" s="24">
        <f t="shared" si="1147"/>
        <v>188.86800000000002</v>
      </c>
      <c r="CW131" s="24">
        <f t="shared" si="1147"/>
        <v>188.86800000000002</v>
      </c>
      <c r="CX131" s="24">
        <f t="shared" si="1147"/>
        <v>188.86800000000002</v>
      </c>
      <c r="CY131" s="24">
        <f t="shared" si="1147"/>
        <v>188.86800000000002</v>
      </c>
      <c r="CZ131" s="24">
        <f t="shared" si="1147"/>
        <v>188.86800000000002</v>
      </c>
      <c r="DA131" s="24">
        <f t="shared" si="1147"/>
        <v>188.86800000000002</v>
      </c>
      <c r="DB131" s="24">
        <f t="shared" si="1147"/>
        <v>188.86800000000002</v>
      </c>
      <c r="DE131" s="123"/>
      <c r="DF131" s="23">
        <v>182.66800000000001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24.895</v>
      </c>
      <c r="P132" s="23">
        <f>'Annual Raw'!Q63</f>
        <v>27.914000000000001</v>
      </c>
      <c r="Q132" s="23">
        <f>'Annual Raw'!R63</f>
        <v>3.6819999999999999</v>
      </c>
      <c r="R132" s="23">
        <f>'Annual Raw'!S63</f>
        <v>8.3059999999999992</v>
      </c>
      <c r="S132" s="23">
        <f>'Annual Raw'!T63</f>
        <v>7.4569999999999999</v>
      </c>
      <c r="T132" s="23">
        <f>'Annual Raw'!U63</f>
        <v>11.526</v>
      </c>
      <c r="U132" s="23">
        <f>'Annual Raw'!V63</f>
        <v>32.054000000000002</v>
      </c>
      <c r="V132" s="23">
        <f>'Annual Raw'!W63</f>
        <v>41.069000000000003</v>
      </c>
      <c r="W132" s="23">
        <f>'Annual Raw'!X63</f>
        <v>50.292000000000002</v>
      </c>
      <c r="X132" s="23">
        <f>'Annual Raw'!Y63</f>
        <v>76.680999999999997</v>
      </c>
      <c r="Y132" s="23">
        <f>'Annual Raw'!Z63</f>
        <v>108.44799999999999</v>
      </c>
      <c r="Z132" s="23">
        <f>'Annual Raw'!AA63</f>
        <v>137.16800000000001</v>
      </c>
      <c r="AA132" s="23">
        <f>'Annual Raw'!AB63</f>
        <v>164.19200000000001</v>
      </c>
      <c r="AB132" s="24">
        <f t="shared" si="1142"/>
        <v>182.96228897765636</v>
      </c>
      <c r="AC132" s="24">
        <f t="shared" si="1143"/>
        <v>187.3711149064622</v>
      </c>
      <c r="AD132" s="24">
        <f t="shared" si="1144"/>
        <v>188.48859352806491</v>
      </c>
      <c r="AE132" s="24">
        <f t="shared" si="1145"/>
        <v>188.77183412089033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137.16800000000001</v>
      </c>
      <c r="CI132" s="23">
        <f t="shared" ref="CI132:DB132" si="1148">CH132+CI32</f>
        <v>144.06800000000001</v>
      </c>
      <c r="CJ132" s="23">
        <f t="shared" si="1148"/>
        <v>151.268</v>
      </c>
      <c r="CK132" s="24">
        <f t="shared" si="1148"/>
        <v>158.56800000000001</v>
      </c>
      <c r="CL132" s="23">
        <f t="shared" si="1148"/>
        <v>165.56800000000001</v>
      </c>
      <c r="CM132" s="24">
        <f t="shared" si="1148"/>
        <v>172.3356348547718</v>
      </c>
      <c r="CN132" s="24">
        <f t="shared" si="1148"/>
        <v>177.13756663969286</v>
      </c>
      <c r="CO132" s="24">
        <f t="shared" si="1148"/>
        <v>180.54474645388996</v>
      </c>
      <c r="CP132" s="24">
        <f t="shared" si="1148"/>
        <v>182.96228897765636</v>
      </c>
      <c r="CQ132" s="24">
        <f t="shared" si="1148"/>
        <v>184.67764072688482</v>
      </c>
      <c r="CR132" s="24">
        <f t="shared" si="1148"/>
        <v>185.89475752820459</v>
      </c>
      <c r="CS132" s="24">
        <f t="shared" si="1148"/>
        <v>186.75835492665141</v>
      </c>
      <c r="CT132" s="24">
        <f t="shared" si="1148"/>
        <v>187.3711149064622</v>
      </c>
      <c r="CU132" s="24">
        <f t="shared" si="1148"/>
        <v>187.80589480914952</v>
      </c>
      <c r="CV132" s="24">
        <f t="shared" si="1148"/>
        <v>188.11439009279906</v>
      </c>
      <c r="CW132" s="24">
        <f t="shared" si="1148"/>
        <v>188.33328093721428</v>
      </c>
      <c r="CX132" s="24">
        <f t="shared" si="1148"/>
        <v>188.48859352806491</v>
      </c>
      <c r="CY132" s="24">
        <f t="shared" si="1148"/>
        <v>188.59879457800457</v>
      </c>
      <c r="CZ132" s="24">
        <f t="shared" si="1148"/>
        <v>188.67698702422732</v>
      </c>
      <c r="DA132" s="24">
        <f t="shared" si="1148"/>
        <v>188.73246797154718</v>
      </c>
      <c r="DB132" s="24">
        <f t="shared" si="1148"/>
        <v>188.77183412089033</v>
      </c>
      <c r="DE132" s="123"/>
      <c r="DF132" s="23">
        <v>164.17086624203822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0</v>
      </c>
      <c r="K134" s="22">
        <f t="shared" si="1150"/>
        <v>0</v>
      </c>
      <c r="L134" s="22">
        <f t="shared" si="1150"/>
        <v>0</v>
      </c>
      <c r="M134" s="22">
        <f t="shared" si="1150"/>
        <v>0</v>
      </c>
      <c r="N134" s="22">
        <f t="shared" si="1150"/>
        <v>0</v>
      </c>
      <c r="O134" s="22">
        <f t="shared" si="1150"/>
        <v>6.3859999999999992</v>
      </c>
      <c r="P134" s="22">
        <f t="shared" si="1150"/>
        <v>6.1599999999999966</v>
      </c>
      <c r="Q134" s="22">
        <f t="shared" si="1150"/>
        <v>10.648999999999999</v>
      </c>
      <c r="R134" s="22">
        <f t="shared" si="1150"/>
        <v>8.7129999999999992</v>
      </c>
      <c r="S134" s="22">
        <f t="shared" si="1150"/>
        <v>8.0659999999999989</v>
      </c>
      <c r="T134" s="22">
        <f t="shared" si="1150"/>
        <v>9.0609999999999999</v>
      </c>
      <c r="U134" s="22">
        <f t="shared" si="1150"/>
        <v>85.63</v>
      </c>
      <c r="V134" s="22">
        <f t="shared" si="1150"/>
        <v>65.066999999999993</v>
      </c>
      <c r="W134" s="22">
        <f t="shared" si="1150"/>
        <v>56.063999999999993</v>
      </c>
      <c r="X134" s="22">
        <f t="shared" ref="X134:Y134" si="1151">+X131-X132-X133</f>
        <v>98.835999999999999</v>
      </c>
      <c r="Y134" s="22">
        <f t="shared" si="1151"/>
        <v>81.708999999999989</v>
      </c>
      <c r="Z134" s="22">
        <f t="shared" ref="Z134:AE134" si="1152">+Z131-Z132-Z133</f>
        <v>60.726000000000056</v>
      </c>
      <c r="AA134" s="22">
        <f t="shared" ref="AA134" si="1153">+AA131-AA132-AA133</f>
        <v>39.762</v>
      </c>
      <c r="AB134" s="21">
        <f t="shared" si="1152"/>
        <v>5.9057110223436666</v>
      </c>
      <c r="AC134" s="21">
        <f t="shared" si="1152"/>
        <v>1.4968850935378271</v>
      </c>
      <c r="AD134" s="21">
        <f t="shared" si="1152"/>
        <v>0.37940647193511268</v>
      </c>
      <c r="AE134" s="21">
        <f t="shared" si="1152"/>
        <v>9.6165879109690877E-2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9.1</v>
      </c>
      <c r="BK134" s="22">
        <f t="shared" si="1155"/>
        <v>9.1</v>
      </c>
      <c r="BL134" s="22">
        <f t="shared" si="1157"/>
        <v>6.2</v>
      </c>
      <c r="BM134" s="22">
        <f t="shared" si="1155"/>
        <v>6.2</v>
      </c>
      <c r="BN134" s="22">
        <f t="shared" si="1157"/>
        <v>5.7</v>
      </c>
      <c r="BO134" s="22">
        <f t="shared" si="1155"/>
        <v>5.7</v>
      </c>
      <c r="BP134" s="22">
        <f t="shared" si="1157"/>
        <v>3.9</v>
      </c>
      <c r="BQ134" s="22">
        <f t="shared" si="1155"/>
        <v>3.9</v>
      </c>
      <c r="BR134" s="22">
        <f t="shared" si="1157"/>
        <v>2.5</v>
      </c>
      <c r="BS134" s="22">
        <f t="shared" si="1155"/>
        <v>2.5</v>
      </c>
      <c r="BT134" s="22">
        <f t="shared" si="1157"/>
        <v>1.9</v>
      </c>
      <c r="BU134" s="22">
        <f t="shared" si="1155"/>
        <v>1.9</v>
      </c>
      <c r="BV134" s="22">
        <f t="shared" si="1157"/>
        <v>3.3</v>
      </c>
      <c r="BW134" s="22">
        <f t="shared" si="1155"/>
        <v>3.3</v>
      </c>
      <c r="BX134" s="22">
        <f t="shared" si="1157"/>
        <v>63.1</v>
      </c>
      <c r="BY134" s="22">
        <f t="shared" si="1155"/>
        <v>63.1</v>
      </c>
      <c r="BZ134" s="22">
        <f t="shared" si="1157"/>
        <v>57.5</v>
      </c>
      <c r="CA134" s="22">
        <f t="shared" si="1155"/>
        <v>57.5</v>
      </c>
      <c r="CB134" s="22">
        <f t="shared" si="1157"/>
        <v>51.1</v>
      </c>
      <c r="CC134" s="22">
        <f t="shared" si="1155"/>
        <v>51.1</v>
      </c>
      <c r="CD134" s="22">
        <f t="shared" si="1157"/>
        <v>49</v>
      </c>
      <c r="CE134" s="22">
        <f t="shared" si="1155"/>
        <v>49</v>
      </c>
      <c r="CF134" s="22">
        <f t="shared" ref="CF134:CI134" si="1158">+CF131-CF132-CF133</f>
        <v>42.2</v>
      </c>
      <c r="CG134" s="22">
        <f t="shared" ref="CG134:CI137" si="1159">+CF134</f>
        <v>42.2</v>
      </c>
      <c r="CH134" s="22">
        <f t="shared" si="1158"/>
        <v>60.726000000000056</v>
      </c>
      <c r="CI134" s="22">
        <f t="shared" si="1158"/>
        <v>53.82600000000005</v>
      </c>
      <c r="CJ134" s="23">
        <f>+'QTR Raw'!BD68</f>
        <v>31.4</v>
      </c>
      <c r="CK134" s="21">
        <f t="shared" ref="CK134:DB134" si="1160">+CK131-CK132-CK133</f>
        <v>24.099999999999994</v>
      </c>
      <c r="CL134" s="23">
        <f>+'QTR Raw'!BF68</f>
        <v>23.3</v>
      </c>
      <c r="CM134" s="21">
        <f t="shared" si="1160"/>
        <v>16.532365145228226</v>
      </c>
      <c r="CN134" s="21">
        <f t="shared" si="1160"/>
        <v>11.73043336030716</v>
      </c>
      <c r="CO134" s="21">
        <f t="shared" si="1160"/>
        <v>8.3232535461100667</v>
      </c>
      <c r="CP134" s="21">
        <f t="shared" si="1160"/>
        <v>5.9057110223436666</v>
      </c>
      <c r="CQ134" s="21">
        <f t="shared" si="1160"/>
        <v>4.190359273115206</v>
      </c>
      <c r="CR134" s="21">
        <f t="shared" si="1160"/>
        <v>2.9732424717954302</v>
      </c>
      <c r="CS134" s="21">
        <f t="shared" si="1160"/>
        <v>2.1096450733486165</v>
      </c>
      <c r="CT134" s="21">
        <f t="shared" si="1160"/>
        <v>1.4968850935378271</v>
      </c>
      <c r="CU134" s="21">
        <f t="shared" si="1160"/>
        <v>1.0621051908505024</v>
      </c>
      <c r="CV134" s="21">
        <f t="shared" si="1160"/>
        <v>0.75360990720096765</v>
      </c>
      <c r="CW134" s="21">
        <f t="shared" si="1160"/>
        <v>0.53471906278574011</v>
      </c>
      <c r="CX134" s="21">
        <f t="shared" si="1160"/>
        <v>0.37940647193511268</v>
      </c>
      <c r="CY134" s="21">
        <f t="shared" si="1160"/>
        <v>0.26920542199545139</v>
      </c>
      <c r="CZ134" s="21">
        <f t="shared" si="1160"/>
        <v>0.1910129757727077</v>
      </c>
      <c r="DA134" s="21">
        <f t="shared" si="1160"/>
        <v>0.13553202845284318</v>
      </c>
      <c r="DB134" s="21">
        <f t="shared" si="1160"/>
        <v>9.6165879109690877E-2</v>
      </c>
      <c r="DE134" s="126"/>
      <c r="DF134" s="22">
        <v>18.497133757961791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454.27199999999999</v>
      </c>
      <c r="Y135" s="23">
        <f>'Annual Raw'!Z86</f>
        <v>454.27199999999999</v>
      </c>
      <c r="Z135" s="23">
        <f>'Annual Raw'!AA86</f>
        <v>454.27199999999999</v>
      </c>
      <c r="AA135" s="23">
        <f>'Annual Raw'!AB86</f>
        <v>454.27199999999999</v>
      </c>
      <c r="AB135" s="24">
        <f t="shared" si="1142"/>
        <v>454.3</v>
      </c>
      <c r="AC135" s="24">
        <f t="shared" si="1143"/>
        <v>454.3</v>
      </c>
      <c r="AD135" s="24">
        <f t="shared" si="1144"/>
        <v>454.3</v>
      </c>
      <c r="AE135" s="24">
        <f t="shared" si="1145"/>
        <v>454.3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455.8</v>
      </c>
      <c r="BY135" s="23">
        <f t="shared" si="1161"/>
        <v>455.8</v>
      </c>
      <c r="BZ135" s="23">
        <f>+'QTR Raw'!AT72</f>
        <v>454.3</v>
      </c>
      <c r="CA135" s="23">
        <f t="shared" si="1161"/>
        <v>454.3</v>
      </c>
      <c r="CB135" s="23">
        <f>+'QTR Raw'!AV72</f>
        <v>454.3</v>
      </c>
      <c r="CC135" s="23">
        <f t="shared" si="1161"/>
        <v>454.3</v>
      </c>
      <c r="CD135" s="23">
        <f>+'QTR Raw'!AX72</f>
        <v>454.3</v>
      </c>
      <c r="CE135" s="23">
        <f t="shared" si="1161"/>
        <v>454.3</v>
      </c>
      <c r="CF135" s="23">
        <f>+'QTR Raw'!AZ72</f>
        <v>454.3</v>
      </c>
      <c r="CG135" s="23">
        <f t="shared" si="1159"/>
        <v>454.3</v>
      </c>
      <c r="CH135" s="23">
        <f t="shared" si="1146"/>
        <v>454.27199999999999</v>
      </c>
      <c r="CI135" s="23">
        <f t="shared" si="1159"/>
        <v>454.27199999999999</v>
      </c>
      <c r="CJ135" s="23">
        <f>+'QTR Raw'!BD72</f>
        <v>454.3</v>
      </c>
      <c r="CK135" s="24">
        <f t="shared" ref="CK135:CK137" si="1162">+CJ135</f>
        <v>454.3</v>
      </c>
      <c r="CL135" s="23">
        <f>+'QTR Raw'!BF72</f>
        <v>454.3</v>
      </c>
      <c r="CM135" s="24">
        <f t="shared" ref="CM135:CM137" si="1163">+CL135</f>
        <v>454.3</v>
      </c>
      <c r="CN135" s="24">
        <f t="shared" ref="CN135:CN137" si="1164">+CM135</f>
        <v>454.3</v>
      </c>
      <c r="CO135" s="24">
        <f t="shared" ref="CO135:CO137" si="1165">+CN135</f>
        <v>454.3</v>
      </c>
      <c r="CP135" s="24">
        <f t="shared" ref="CP135:CP137" si="1166">+CO135</f>
        <v>454.3</v>
      </c>
      <c r="CQ135" s="24">
        <f t="shared" ref="CQ135:CQ137" si="1167">+CP135</f>
        <v>454.3</v>
      </c>
      <c r="CR135" s="24">
        <f t="shared" ref="CR135:CR137" si="1168">+CQ135</f>
        <v>454.3</v>
      </c>
      <c r="CS135" s="24">
        <f t="shared" ref="CS135:CS137" si="1169">+CR135</f>
        <v>454.3</v>
      </c>
      <c r="CT135" s="24">
        <f t="shared" ref="CT135:CT137" si="1170">+CS135</f>
        <v>454.3</v>
      </c>
      <c r="CU135" s="24">
        <f t="shared" ref="CU135:CU137" si="1171">+CT135</f>
        <v>454.3</v>
      </c>
      <c r="CV135" s="24">
        <f t="shared" ref="CV135:CV137" si="1172">+CU135</f>
        <v>454.3</v>
      </c>
      <c r="CW135" s="24">
        <f t="shared" ref="CW135:CW137" si="1173">+CV135</f>
        <v>454.3</v>
      </c>
      <c r="CX135" s="24">
        <f t="shared" ref="CX135:CX137" si="1174">+CW135</f>
        <v>454.3</v>
      </c>
      <c r="CY135" s="24">
        <f t="shared" ref="CY135:CY137" si="1175">+CX135</f>
        <v>454.3</v>
      </c>
      <c r="CZ135" s="24">
        <f t="shared" ref="CZ135:CZ137" si="1176">+CY135</f>
        <v>454.3</v>
      </c>
      <c r="DA135" s="24">
        <f t="shared" ref="DA135:DA137" si="1177">+CZ135</f>
        <v>454.3</v>
      </c>
      <c r="DB135" s="24">
        <f t="shared" ref="DB135:DB137" si="1178">+DA135</f>
        <v>454.3</v>
      </c>
      <c r="DE135" s="123"/>
      <c r="DF135" s="23">
        <v>454.3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0.46899999999999997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0.46899999999999997</v>
      </c>
      <c r="CI136" s="23">
        <f t="shared" si="1159"/>
        <v>0.46899999999999997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0.17699999999999999</v>
      </c>
      <c r="P137" s="23">
        <f>'Annual Raw'!Q67+'Annual Raw'!Q66+'Annual Raw'!Q69+'Annual Raw'!Q70</f>
        <v>0.17699999999999999</v>
      </c>
      <c r="Q137" s="23">
        <f>'Annual Raw'!R67+'Annual Raw'!R66+'Annual Raw'!R69+'Annual Raw'!R70</f>
        <v>0.17699999999999999</v>
      </c>
      <c r="R137" s="23">
        <f>'Annual Raw'!S67+'Annual Raw'!S66+'Annual Raw'!S69+'Annual Raw'!S70</f>
        <v>0.17699999999999999</v>
      </c>
      <c r="S137" s="23">
        <f>'Annual Raw'!T67+'Annual Raw'!T66+'Annual Raw'!T69+'Annual Raw'!T70</f>
        <v>0.17699999999999999</v>
      </c>
      <c r="T137" s="23">
        <f>'Annual Raw'!U67+'Annual Raw'!U66+'Annual Raw'!U69+'Annual Raw'!U70</f>
        <v>0.17699999999999999</v>
      </c>
      <c r="U137" s="23">
        <f>'Annual Raw'!V67+'Annual Raw'!V66+'Annual Raw'!V69+'Annual Raw'!V70</f>
        <v>0.17699999999999999</v>
      </c>
      <c r="V137" s="23">
        <f>'Annual Raw'!W67+'Annual Raw'!W66+'Annual Raw'!W69+'Annual Raw'!W70</f>
        <v>0.17699999999999999</v>
      </c>
      <c r="W137" s="23">
        <f>'Annual Raw'!X67+'Annual Raw'!X66+'Annual Raw'!X69+'Annual Raw'!X70</f>
        <v>0.17699999999999999</v>
      </c>
      <c r="X137" s="23">
        <f>'Annual Raw'!Y67+'Annual Raw'!Y66+'Annual Raw'!Y69+'Annual Raw'!Y70</f>
        <v>0.17699999999999999</v>
      </c>
      <c r="Y137" s="23">
        <f>'Annual Raw'!Z67+'Annual Raw'!Z66+'Annual Raw'!Z69+'Annual Raw'!Z70</f>
        <v>0.504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0</v>
      </c>
      <c r="AB137" s="24">
        <f t="shared" si="1142"/>
        <v>0</v>
      </c>
      <c r="AC137" s="24">
        <f t="shared" si="1143"/>
        <v>0</v>
      </c>
      <c r="AD137" s="24">
        <f t="shared" si="1144"/>
        <v>0</v>
      </c>
      <c r="AE137" s="24">
        <f t="shared" si="1145"/>
        <v>0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0.2</v>
      </c>
      <c r="BK137" s="23">
        <f t="shared" si="1161"/>
        <v>0.2</v>
      </c>
      <c r="BL137" s="23">
        <f>+'QTR Raw'!AF74+'QTR Raw'!AF75</f>
        <v>0.2</v>
      </c>
      <c r="BM137" s="23">
        <f t="shared" si="1161"/>
        <v>0.2</v>
      </c>
      <c r="BN137" s="23">
        <f>+'QTR Raw'!AH74+'QTR Raw'!AH75</f>
        <v>0.2</v>
      </c>
      <c r="BO137" s="23">
        <f t="shared" si="1161"/>
        <v>0.2</v>
      </c>
      <c r="BP137" s="23">
        <f>+'QTR Raw'!AJ74+'QTR Raw'!AJ75</f>
        <v>0.2</v>
      </c>
      <c r="BQ137" s="23">
        <f t="shared" si="1161"/>
        <v>0.2</v>
      </c>
      <c r="BR137" s="23">
        <f>+'QTR Raw'!AL74+'QTR Raw'!AL75</f>
        <v>0.2</v>
      </c>
      <c r="BS137" s="23">
        <f t="shared" si="1161"/>
        <v>0.2</v>
      </c>
      <c r="BT137" s="23">
        <f>+'QTR Raw'!AN74+'QTR Raw'!AN75</f>
        <v>0.2</v>
      </c>
      <c r="BU137" s="23">
        <f t="shared" si="1161"/>
        <v>0.2</v>
      </c>
      <c r="BV137" s="23">
        <f>+'QTR Raw'!AP74+'QTR Raw'!AP75</f>
        <v>0.2</v>
      </c>
      <c r="BW137" s="23">
        <f t="shared" si="1161"/>
        <v>0.2</v>
      </c>
      <c r="BX137" s="23">
        <f>+'QTR Raw'!AR74+'QTR Raw'!AR75</f>
        <v>0.2</v>
      </c>
      <c r="BY137" s="23">
        <f t="shared" si="1161"/>
        <v>0.2</v>
      </c>
      <c r="BZ137" s="23">
        <f>+'QTR Raw'!AT74+'QTR Raw'!AT75</f>
        <v>0.2</v>
      </c>
      <c r="CA137" s="23">
        <f t="shared" si="1161"/>
        <v>0.2</v>
      </c>
      <c r="CB137" s="23">
        <f>+'QTR Raw'!AV74+'QTR Raw'!AV75</f>
        <v>0.2</v>
      </c>
      <c r="CC137" s="23">
        <f t="shared" si="1161"/>
        <v>0.2</v>
      </c>
      <c r="CD137" s="23">
        <f>+'QTR Raw'!AX74+'QTR Raw'!AX75</f>
        <v>0.5</v>
      </c>
      <c r="CE137" s="23">
        <f t="shared" si="1161"/>
        <v>0.5</v>
      </c>
      <c r="CF137" s="23">
        <f>+'QTR Raw'!AZ74+'QTR Raw'!AZ75</f>
        <v>0</v>
      </c>
      <c r="CG137" s="23">
        <f t="shared" si="1159"/>
        <v>0</v>
      </c>
      <c r="CH137" s="23">
        <f t="shared" si="1146"/>
        <v>0</v>
      </c>
      <c r="CI137" s="23">
        <f t="shared" si="1159"/>
        <v>0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0</v>
      </c>
      <c r="CM137" s="24">
        <f t="shared" si="1163"/>
        <v>0</v>
      </c>
      <c r="CN137" s="24">
        <f t="shared" si="1164"/>
        <v>0</v>
      </c>
      <c r="CO137" s="24">
        <f t="shared" si="1165"/>
        <v>0</v>
      </c>
      <c r="CP137" s="24">
        <f t="shared" si="1166"/>
        <v>0</v>
      </c>
      <c r="CQ137" s="24">
        <f t="shared" si="1167"/>
        <v>0</v>
      </c>
      <c r="CR137" s="24">
        <f t="shared" si="1168"/>
        <v>0</v>
      </c>
      <c r="CS137" s="24">
        <f t="shared" si="1169"/>
        <v>0</v>
      </c>
      <c r="CT137" s="24">
        <f t="shared" si="1170"/>
        <v>0</v>
      </c>
      <c r="CU137" s="24">
        <f t="shared" si="1171"/>
        <v>0</v>
      </c>
      <c r="CV137" s="24">
        <f t="shared" si="1172"/>
        <v>0</v>
      </c>
      <c r="CW137" s="24">
        <f t="shared" si="1173"/>
        <v>0</v>
      </c>
      <c r="CX137" s="24">
        <f t="shared" si="1174"/>
        <v>0</v>
      </c>
      <c r="CY137" s="24">
        <f t="shared" si="1175"/>
        <v>0</v>
      </c>
      <c r="CZ137" s="24">
        <f t="shared" si="1176"/>
        <v>0</v>
      </c>
      <c r="DA137" s="24">
        <f t="shared" si="1177"/>
        <v>0</v>
      </c>
      <c r="DB137" s="24">
        <f t="shared" si="117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0</v>
      </c>
      <c r="K138" s="22">
        <f t="shared" si="1180"/>
        <v>0</v>
      </c>
      <c r="L138" s="22">
        <f t="shared" si="1180"/>
        <v>0</v>
      </c>
      <c r="M138" s="22">
        <f t="shared" si="1180"/>
        <v>0</v>
      </c>
      <c r="N138" s="22">
        <f t="shared" si="1180"/>
        <v>0</v>
      </c>
      <c r="O138" s="22">
        <f t="shared" si="1180"/>
        <v>6.5629999999999988</v>
      </c>
      <c r="P138" s="22">
        <f t="shared" si="1180"/>
        <v>6.3369999999999962</v>
      </c>
      <c r="Q138" s="22">
        <f t="shared" si="1180"/>
        <v>10.825999999999999</v>
      </c>
      <c r="R138" s="22">
        <f t="shared" si="1180"/>
        <v>8.8899999999999988</v>
      </c>
      <c r="S138" s="22">
        <f t="shared" si="1180"/>
        <v>8.2429999999999986</v>
      </c>
      <c r="T138" s="22">
        <f t="shared" si="1180"/>
        <v>9.2379999999999995</v>
      </c>
      <c r="U138" s="22">
        <f t="shared" si="1180"/>
        <v>85.807000000000002</v>
      </c>
      <c r="V138" s="22">
        <f t="shared" si="1180"/>
        <v>65.244</v>
      </c>
      <c r="W138" s="22">
        <f t="shared" si="1180"/>
        <v>56.240999999999993</v>
      </c>
      <c r="X138" s="22">
        <f t="shared" si="1180"/>
        <v>553.28499999999997</v>
      </c>
      <c r="Y138" s="22">
        <f t="shared" si="1180"/>
        <v>536.48500000000001</v>
      </c>
      <c r="Z138" s="22">
        <f>Z134+Z137+Z136+Z135</f>
        <v>515.4670000000001</v>
      </c>
      <c r="AA138" s="22">
        <f>AA134+AA137+AA136+AA135</f>
        <v>494.03399999999999</v>
      </c>
      <c r="AB138" s="161">
        <f t="shared" ref="AB138:AE138" si="1181">AB134+AB137+AB136+AB135</f>
        <v>460.20571102234368</v>
      </c>
      <c r="AC138" s="161">
        <f t="shared" si="1181"/>
        <v>455.79688509353787</v>
      </c>
      <c r="AD138" s="161">
        <f t="shared" si="1181"/>
        <v>454.67940647193512</v>
      </c>
      <c r="AE138" s="161">
        <f t="shared" si="1181"/>
        <v>454.39616587910973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9.2999999999999989</v>
      </c>
      <c r="BK138" s="22">
        <f t="shared" si="1186"/>
        <v>9.2999999999999989</v>
      </c>
      <c r="BL138" s="22">
        <f t="shared" si="1186"/>
        <v>6.4</v>
      </c>
      <c r="BM138" s="22">
        <f t="shared" si="1186"/>
        <v>6.4</v>
      </c>
      <c r="BN138" s="22">
        <f t="shared" si="1186"/>
        <v>5.9</v>
      </c>
      <c r="BO138" s="22">
        <f t="shared" si="1186"/>
        <v>5.9</v>
      </c>
      <c r="BP138" s="22">
        <f t="shared" si="1186"/>
        <v>4.0999999999999996</v>
      </c>
      <c r="BQ138" s="22">
        <f t="shared" si="1186"/>
        <v>4.0999999999999996</v>
      </c>
      <c r="BR138" s="22">
        <f t="shared" si="1186"/>
        <v>2.7</v>
      </c>
      <c r="BS138" s="22">
        <f t="shared" si="1186"/>
        <v>2.7</v>
      </c>
      <c r="BT138" s="22">
        <f t="shared" si="1186"/>
        <v>2.1</v>
      </c>
      <c r="BU138" s="22">
        <f t="shared" si="1186"/>
        <v>2.1</v>
      </c>
      <c r="BV138" s="22">
        <f t="shared" si="1186"/>
        <v>3.5</v>
      </c>
      <c r="BW138" s="22">
        <f t="shared" si="1186"/>
        <v>3.5</v>
      </c>
      <c r="BX138" s="22">
        <f t="shared" si="1186"/>
        <v>519.1</v>
      </c>
      <c r="BY138" s="22">
        <f t="shared" si="1186"/>
        <v>519.1</v>
      </c>
      <c r="BZ138" s="22">
        <f t="shared" si="1186"/>
        <v>512</v>
      </c>
      <c r="CA138" s="22">
        <f t="shared" si="1186"/>
        <v>512</v>
      </c>
      <c r="CB138" s="22">
        <f t="shared" si="1186"/>
        <v>505.6</v>
      </c>
      <c r="CC138" s="22">
        <f t="shared" si="1186"/>
        <v>505.6</v>
      </c>
      <c r="CD138" s="22">
        <f t="shared" si="1186"/>
        <v>503.8</v>
      </c>
      <c r="CE138" s="22">
        <f t="shared" si="1186"/>
        <v>503.8</v>
      </c>
      <c r="CF138" s="22">
        <f t="shared" ref="CF138:CG138" si="1187">CF134+CF137+CF135+CF136</f>
        <v>496.5</v>
      </c>
      <c r="CG138" s="22">
        <f t="shared" si="1187"/>
        <v>496.5</v>
      </c>
      <c r="CH138" s="22">
        <f t="shared" ref="CH138:CJ138" si="1188">CH134+CH137+CH135+CH136</f>
        <v>515.4670000000001</v>
      </c>
      <c r="CI138" s="22">
        <f t="shared" si="1188"/>
        <v>508.56700000000006</v>
      </c>
      <c r="CJ138" s="22">
        <f t="shared" si="1188"/>
        <v>485.7</v>
      </c>
      <c r="CK138" s="21">
        <f t="shared" ref="CK138:DB138" si="1189">CK134+CK137+CK135+CK136</f>
        <v>478.4</v>
      </c>
      <c r="CL138" s="22">
        <f t="shared" si="1189"/>
        <v>477.6</v>
      </c>
      <c r="CM138" s="21">
        <f t="shared" si="1189"/>
        <v>470.83236514522821</v>
      </c>
      <c r="CN138" s="21">
        <f t="shared" si="1189"/>
        <v>466.03043336030714</v>
      </c>
      <c r="CO138" s="21">
        <f t="shared" si="1189"/>
        <v>462.62325354611005</v>
      </c>
      <c r="CP138" s="21">
        <f t="shared" si="1189"/>
        <v>460.20571102234368</v>
      </c>
      <c r="CQ138" s="21">
        <f t="shared" si="1189"/>
        <v>458.49035927311525</v>
      </c>
      <c r="CR138" s="21">
        <f t="shared" si="1189"/>
        <v>457.27324247179547</v>
      </c>
      <c r="CS138" s="21">
        <f t="shared" si="1189"/>
        <v>456.40964507334866</v>
      </c>
      <c r="CT138" s="21">
        <f t="shared" si="1189"/>
        <v>455.79688509353787</v>
      </c>
      <c r="CU138" s="21">
        <f t="shared" si="1189"/>
        <v>455.36210519085051</v>
      </c>
      <c r="CV138" s="21">
        <f t="shared" si="1189"/>
        <v>455.05360990720101</v>
      </c>
      <c r="CW138" s="21">
        <f t="shared" si="1189"/>
        <v>454.83471906278578</v>
      </c>
      <c r="CX138" s="21">
        <f t="shared" si="1189"/>
        <v>454.67940647193512</v>
      </c>
      <c r="CY138" s="21">
        <f t="shared" si="1189"/>
        <v>454.56920542199543</v>
      </c>
      <c r="CZ138" s="21">
        <f t="shared" si="1189"/>
        <v>454.49101297577272</v>
      </c>
      <c r="DA138" s="21">
        <f t="shared" si="1189"/>
        <v>454.43553202845283</v>
      </c>
      <c r="DB138" s="21">
        <f t="shared" si="1189"/>
        <v>454.39616587910973</v>
      </c>
      <c r="DE138" s="126"/>
      <c r="DF138" s="22">
        <v>472.79713375796177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29.561</v>
      </c>
      <c r="V140" s="23">
        <f>'Annual Raw'!W71</f>
        <v>36.993000000000002</v>
      </c>
      <c r="W140" s="23">
        <f>'Annual Raw'!X71</f>
        <v>420.93200000000002</v>
      </c>
      <c r="X140" s="23">
        <f>'Annual Raw'!Y71</f>
        <v>511.7</v>
      </c>
      <c r="Y140" s="23">
        <f>'Annual Raw'!Z71</f>
        <v>523.64800000000002</v>
      </c>
      <c r="Z140" s="23">
        <f>'Annual Raw'!AA71</f>
        <v>664.95</v>
      </c>
      <c r="AA140" s="23">
        <f>'Annual Raw'!AB71</f>
        <v>762.92899999999997</v>
      </c>
      <c r="AB140" s="24">
        <f>+CP140</f>
        <v>762.9</v>
      </c>
      <c r="AC140" s="24">
        <f>+CT140</f>
        <v>762.9</v>
      </c>
      <c r="AD140" s="24">
        <f>+CX140</f>
        <v>762.9</v>
      </c>
      <c r="AE140" s="24">
        <f>+DB140</f>
        <v>762.9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31</v>
      </c>
      <c r="BM140" s="23">
        <f t="shared" si="1190"/>
        <v>31</v>
      </c>
      <c r="BN140" s="23">
        <f>+'QTR Raw'!AH77</f>
        <v>29.6</v>
      </c>
      <c r="BO140" s="23">
        <f t="shared" si="1190"/>
        <v>29.6</v>
      </c>
      <c r="BP140" s="23">
        <f>+'QTR Raw'!AJ77</f>
        <v>39</v>
      </c>
      <c r="BQ140" s="23">
        <f t="shared" si="1190"/>
        <v>39</v>
      </c>
      <c r="BR140" s="23">
        <f>+'QTR Raw'!AL77</f>
        <v>37</v>
      </c>
      <c r="BS140" s="23">
        <f t="shared" si="1190"/>
        <v>37</v>
      </c>
      <c r="BT140" s="23">
        <f>+'QTR Raw'!AN77</f>
        <v>101</v>
      </c>
      <c r="BU140" s="23">
        <f t="shared" si="1190"/>
        <v>101</v>
      </c>
      <c r="BV140" s="23">
        <f>+'QTR Raw'!AP77</f>
        <v>420.9</v>
      </c>
      <c r="BW140" s="23">
        <f t="shared" si="1190"/>
        <v>420.9</v>
      </c>
      <c r="BX140" s="23">
        <f>+'QTR Raw'!AR77</f>
        <v>445.3</v>
      </c>
      <c r="BY140" s="23">
        <f t="shared" si="1190"/>
        <v>445.3</v>
      </c>
      <c r="BZ140" s="23">
        <f>+'QTR Raw'!AT77</f>
        <v>511.6</v>
      </c>
      <c r="CA140" s="23">
        <f t="shared" si="1190"/>
        <v>511.6</v>
      </c>
      <c r="CB140" s="23">
        <f>+'QTR Raw'!AV77</f>
        <v>505</v>
      </c>
      <c r="CC140" s="23">
        <f t="shared" si="1190"/>
        <v>505</v>
      </c>
      <c r="CD140" s="23">
        <f>+'QTR Raw'!AX77</f>
        <v>523.70000000000005</v>
      </c>
      <c r="CE140" s="23">
        <f t="shared" si="1190"/>
        <v>523.70000000000005</v>
      </c>
      <c r="CF140" s="23">
        <f>+'QTR Raw'!AZ77</f>
        <v>597.20000000000005</v>
      </c>
      <c r="CG140" s="23">
        <f t="shared" ref="CG140:CI143" si="1191">+CF140</f>
        <v>597.20000000000005</v>
      </c>
      <c r="CH140" s="23">
        <f t="shared" ref="CH140:CH155" si="1192">Z140</f>
        <v>664.95</v>
      </c>
      <c r="CI140" s="23">
        <f t="shared" si="1191"/>
        <v>664.95</v>
      </c>
      <c r="CJ140" s="23">
        <f>+'QTR Raw'!BD77</f>
        <v>684.6</v>
      </c>
      <c r="CK140" s="24">
        <f t="shared" ref="CK140" si="1193">+CJ140</f>
        <v>684.6</v>
      </c>
      <c r="CL140" s="23">
        <f>+'QTR Raw'!BF77</f>
        <v>762.9</v>
      </c>
      <c r="CM140" s="24">
        <f t="shared" ref="CM140" si="1194">+CL140</f>
        <v>762.9</v>
      </c>
      <c r="CN140" s="24">
        <f t="shared" ref="CN140" si="1195">+CM140</f>
        <v>762.9</v>
      </c>
      <c r="CO140" s="24">
        <f t="shared" ref="CO140" si="1196">+CN140</f>
        <v>762.9</v>
      </c>
      <c r="CP140" s="24">
        <f t="shared" ref="CP140" si="1197">+CO140</f>
        <v>762.9</v>
      </c>
      <c r="CQ140" s="24">
        <f t="shared" ref="CQ140" si="1198">+CP140</f>
        <v>762.9</v>
      </c>
      <c r="CR140" s="24">
        <f t="shared" ref="CR140" si="1199">+CQ140</f>
        <v>762.9</v>
      </c>
      <c r="CS140" s="24">
        <f t="shared" ref="CS140" si="1200">+CR140</f>
        <v>762.9</v>
      </c>
      <c r="CT140" s="24">
        <f t="shared" ref="CT140" si="1201">+CS140</f>
        <v>762.9</v>
      </c>
      <c r="CU140" s="24">
        <f t="shared" ref="CU140" si="1202">+CT140</f>
        <v>762.9</v>
      </c>
      <c r="CV140" s="24">
        <f t="shared" ref="CV140" si="1203">+CU140</f>
        <v>762.9</v>
      </c>
      <c r="CW140" s="24">
        <f t="shared" ref="CW140" si="1204">+CV140</f>
        <v>762.9</v>
      </c>
      <c r="CX140" s="24">
        <f t="shared" ref="CX140" si="1205">+CW140</f>
        <v>762.9</v>
      </c>
      <c r="CY140" s="24">
        <f t="shared" ref="CY140" si="1206">+CX140</f>
        <v>762.9</v>
      </c>
      <c r="CZ140" s="24">
        <f t="shared" ref="CZ140" si="1207">+CY140</f>
        <v>762.9</v>
      </c>
      <c r="DA140" s="24">
        <f t="shared" ref="DA140" si="1208">+CZ140</f>
        <v>762.9</v>
      </c>
      <c r="DB140" s="24">
        <f t="shared" ref="DB140" si="1209">+DA140</f>
        <v>762.9</v>
      </c>
      <c r="DE140" s="123"/>
      <c r="DF140" s="23">
        <v>684.6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3.0910000000000002</v>
      </c>
      <c r="P142" s="23">
        <f>'Annual Raw'!Q72+'Annual Raw'!Q61</f>
        <v>4.0949999999999998</v>
      </c>
      <c r="Q142" s="23">
        <f>'Annual Raw'!R72+'Annual Raw'!R61</f>
        <v>3.6930000000000001</v>
      </c>
      <c r="R142" s="23">
        <f>'Annual Raw'!S72+'Annual Raw'!S61</f>
        <v>4.1500000000000004</v>
      </c>
      <c r="S142" s="23">
        <f>'Annual Raw'!T72+'Annual Raw'!T61</f>
        <v>3.6190000000000002</v>
      </c>
      <c r="T142" s="23">
        <f>'Annual Raw'!U72+'Annual Raw'!U61</f>
        <v>3.6850000000000001</v>
      </c>
      <c r="U142" s="23">
        <f>'Annual Raw'!V72+'Annual Raw'!V61</f>
        <v>28.021999999999998</v>
      </c>
      <c r="V142" s="23">
        <f>'Annual Raw'!W72+'Annual Raw'!W61</f>
        <v>87.977000000000004</v>
      </c>
      <c r="W142" s="23">
        <f>'Annual Raw'!X72+'Annual Raw'!X61</f>
        <v>192.95599999999999</v>
      </c>
      <c r="X142" s="23">
        <f>'Annual Raw'!Y72+'Annual Raw'!Y61</f>
        <v>175.61600000000001</v>
      </c>
      <c r="Y142" s="23">
        <f>'Annual Raw'!Z72+'Annual Raw'!Z61</f>
        <v>19.506</v>
      </c>
      <c r="Z142" s="23">
        <f>'Annual Raw'!AA72+'Annual Raw'!AA61</f>
        <v>20.456</v>
      </c>
      <c r="AA142" s="23">
        <f>'Annual Raw'!AB72+'Annual Raw'!AB61</f>
        <v>110.578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0.1</v>
      </c>
      <c r="BK142" s="23">
        <f t="shared" si="1214"/>
        <v>0.1</v>
      </c>
      <c r="BL142" s="23">
        <f>+'QTR Raw'!AF78</f>
        <v>0.1</v>
      </c>
      <c r="BM142" s="23">
        <f t="shared" si="1214"/>
        <v>0.1</v>
      </c>
      <c r="BN142" s="23">
        <f>+'QTR Raw'!AH78</f>
        <v>0.1</v>
      </c>
      <c r="BO142" s="23">
        <f t="shared" si="1214"/>
        <v>0.1</v>
      </c>
      <c r="BP142" s="23">
        <f>+'QTR Raw'!AJ78</f>
        <v>0.1</v>
      </c>
      <c r="BQ142" s="23">
        <f t="shared" si="1214"/>
        <v>0.1</v>
      </c>
      <c r="BR142" s="23">
        <f>+'QTR Raw'!AL78</f>
        <v>0.2</v>
      </c>
      <c r="BS142" s="23">
        <f t="shared" si="1214"/>
        <v>0.2</v>
      </c>
      <c r="BT142" s="23">
        <f>+'QTR Raw'!AN78</f>
        <v>0.2</v>
      </c>
      <c r="BU142" s="23">
        <f t="shared" si="1214"/>
        <v>0.2</v>
      </c>
      <c r="BV142" s="23">
        <f>+'QTR Raw'!AP78</f>
        <v>0.1</v>
      </c>
      <c r="BW142" s="23">
        <f t="shared" si="1214"/>
        <v>0.1</v>
      </c>
      <c r="BX142" s="23">
        <f>+'QTR Raw'!AR78</f>
        <v>0.1</v>
      </c>
      <c r="BY142" s="23">
        <f t="shared" si="1214"/>
        <v>0.1</v>
      </c>
      <c r="BZ142" s="23">
        <f>+'QTR Raw'!AT78</f>
        <v>0.1</v>
      </c>
      <c r="CA142" s="23">
        <f t="shared" si="1214"/>
        <v>0.1</v>
      </c>
      <c r="CB142" s="23">
        <f>+'QTR Raw'!AV78</f>
        <v>26.6</v>
      </c>
      <c r="CC142" s="23">
        <f t="shared" si="1214"/>
        <v>26.6</v>
      </c>
      <c r="CD142" s="23">
        <f>+'QTR Raw'!AX78</f>
        <v>6.5</v>
      </c>
      <c r="CE142" s="23">
        <f t="shared" si="1214"/>
        <v>6.5</v>
      </c>
      <c r="CF142" s="23">
        <f>+'QTR Raw'!AZ78</f>
        <v>0.1</v>
      </c>
      <c r="CG142" s="23">
        <f t="shared" si="1191"/>
        <v>0.1</v>
      </c>
      <c r="CH142" s="23">
        <f t="shared" si="1192"/>
        <v>20.456</v>
      </c>
      <c r="CJ142" s="23">
        <f>+'QTR Raw'!BD78</f>
        <v>87</v>
      </c>
      <c r="CK142" s="24"/>
      <c r="CL142" s="23">
        <f>+'QTR Raw'!BF78</f>
        <v>89.7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89.7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0.34599999999999997</v>
      </c>
      <c r="P143" s="23">
        <f>'Annual Raw'!Q73+'Annual Raw'!Q81</f>
        <v>10.776999999999999</v>
      </c>
      <c r="Q143" s="23">
        <f>'Annual Raw'!R73+'Annual Raw'!R81</f>
        <v>12.385999999999999</v>
      </c>
      <c r="R143" s="23">
        <f>'Annual Raw'!S73+'Annual Raw'!S81</f>
        <v>1.179</v>
      </c>
      <c r="S143" s="23">
        <f>'Annual Raw'!T73+'Annual Raw'!T81</f>
        <v>30.898</v>
      </c>
      <c r="T143" s="23">
        <f>'Annual Raw'!U73+'Annual Raw'!U81</f>
        <v>0.73099999999999998</v>
      </c>
      <c r="U143" s="23">
        <f>'Annual Raw'!V73+'Annual Raw'!V81</f>
        <v>35.015999999999998</v>
      </c>
      <c r="V143" s="23">
        <f>'Annual Raw'!W73+'Annual Raw'!W81</f>
        <v>7.3999999999999996E-2</v>
      </c>
      <c r="W143" s="23">
        <f>'Annual Raw'!X73+'Annual Raw'!X81</f>
        <v>0.123</v>
      </c>
      <c r="X143" s="23">
        <f>'Annual Raw'!Y73+'Annual Raw'!Y81</f>
        <v>0.06</v>
      </c>
      <c r="Y143" s="23">
        <f>'Annual Raw'!Z73+'Annual Raw'!Z81</f>
        <v>4.1000000000000002E-2</v>
      </c>
      <c r="Z143" s="23">
        <f>'Annual Raw'!AA73+'Annual Raw'!AA81</f>
        <v>1.6839999999999999</v>
      </c>
      <c r="AA143" s="23">
        <f>'Annual Raw'!AB73+'Annual Raw'!AB81</f>
        <v>70.046999999999997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4.3</v>
      </c>
      <c r="BK143" s="23">
        <f t="shared" si="1214"/>
        <v>4.3</v>
      </c>
      <c r="BL143" s="23">
        <f>+'QTR Raw'!AF79+'QTR Raw'!AF76</f>
        <v>88.4</v>
      </c>
      <c r="BM143" s="23">
        <f t="shared" si="1214"/>
        <v>88.4</v>
      </c>
      <c r="BN143" s="23">
        <f>+'QTR Raw'!AH79+'QTR Raw'!AH76</f>
        <v>142.80000000000001</v>
      </c>
      <c r="BO143" s="23">
        <f t="shared" si="1214"/>
        <v>142.80000000000001</v>
      </c>
      <c r="BP143" s="23">
        <f>+'QTR Raw'!AJ79+'QTR Raw'!AJ76</f>
        <v>99.7</v>
      </c>
      <c r="BQ143" s="23">
        <f t="shared" si="1214"/>
        <v>99.7</v>
      </c>
      <c r="BR143" s="23">
        <f>+'QTR Raw'!AL79+'QTR Raw'!AL76</f>
        <v>86.9</v>
      </c>
      <c r="BS143" s="23">
        <f t="shared" si="1214"/>
        <v>86.9</v>
      </c>
      <c r="BT143" s="23">
        <f>+'QTR Raw'!AN79+'QTR Raw'!AN76</f>
        <v>82</v>
      </c>
      <c r="BU143" s="23">
        <f t="shared" si="1214"/>
        <v>82</v>
      </c>
      <c r="BV143" s="23">
        <f>+'QTR Raw'!AP79+'QTR Raw'!AP76</f>
        <v>84.2</v>
      </c>
      <c r="BW143" s="23">
        <f t="shared" si="1214"/>
        <v>84.2</v>
      </c>
      <c r="BX143" s="23">
        <f>+'QTR Raw'!AR79+'QTR Raw'!AR76</f>
        <v>86</v>
      </c>
      <c r="BY143" s="23">
        <f t="shared" si="1214"/>
        <v>86</v>
      </c>
      <c r="BZ143" s="23">
        <f>+'QTR Raw'!AT79+'QTR Raw'!AT76</f>
        <v>55.3</v>
      </c>
      <c r="CA143" s="23">
        <f t="shared" si="1214"/>
        <v>55.3</v>
      </c>
      <c r="CB143" s="23">
        <f>+'QTR Raw'!AV79+'QTR Raw'!AV76</f>
        <v>57.3</v>
      </c>
      <c r="CC143" s="23">
        <f t="shared" si="1214"/>
        <v>57.3</v>
      </c>
      <c r="CD143" s="23">
        <f>+'QTR Raw'!AX79+'QTR Raw'!AX76</f>
        <v>44.5</v>
      </c>
      <c r="CE143" s="23">
        <f t="shared" si="1214"/>
        <v>44.5</v>
      </c>
      <c r="CF143" s="23">
        <f>+'QTR Raw'!AZ79+'QTR Raw'!AZ76</f>
        <v>47.5</v>
      </c>
      <c r="CG143" s="23">
        <f t="shared" si="1191"/>
        <v>47.5</v>
      </c>
      <c r="CH143" s="23">
        <f t="shared" si="1192"/>
        <v>1.6839999999999999</v>
      </c>
      <c r="CJ143" s="23">
        <f>+'QTR Raw'!BD79+'QTR Raw'!BD76</f>
        <v>74</v>
      </c>
      <c r="CK143" s="24"/>
      <c r="CL143" s="23">
        <f>+'QTR Raw'!BF79+'QTR Raw'!BF76</f>
        <v>100.7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100.7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0</v>
      </c>
      <c r="CI144" s="23">
        <f>+CI179*CI10/90</f>
        <v>0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0.53400000000000003</v>
      </c>
      <c r="P145" s="23">
        <f>'Annual Raw'!Q77</f>
        <v>0.43</v>
      </c>
      <c r="Q145" s="23">
        <f>'Annual Raw'!R77</f>
        <v>0.24099999999999999</v>
      </c>
      <c r="R145" s="23">
        <f>'Annual Raw'!S77</f>
        <v>0.53100000000000003</v>
      </c>
      <c r="S145" s="23">
        <f>'Annual Raw'!T77</f>
        <v>0.67900000000000005</v>
      </c>
      <c r="T145" s="23">
        <f>'Annual Raw'!U77</f>
        <v>0.57099999999999995</v>
      </c>
      <c r="U145" s="23">
        <f>'Annual Raw'!V77</f>
        <v>1.6819999999999999</v>
      </c>
      <c r="V145" s="23">
        <f>'Annual Raw'!W77</f>
        <v>1.246</v>
      </c>
      <c r="W145" s="23">
        <f>'Annual Raw'!X77</f>
        <v>1.3260000000000001</v>
      </c>
      <c r="X145" s="23">
        <f>'Annual Raw'!Y77</f>
        <v>7.0549999999999997</v>
      </c>
      <c r="Y145" s="23">
        <f>'Annual Raw'!Z77</f>
        <v>4.782</v>
      </c>
      <c r="Z145" s="23">
        <f>'Annual Raw'!AA77</f>
        <v>3.9710000000000001</v>
      </c>
      <c r="AA145" s="23">
        <f>'Annual Raw'!AB77</f>
        <v>5.4950000000000001</v>
      </c>
      <c r="AB145" s="24">
        <f t="shared" si="1210"/>
        <v>6.2335942563601119</v>
      </c>
      <c r="AC145" s="24">
        <f t="shared" si="1211"/>
        <v>7.0610566492197275</v>
      </c>
      <c r="AD145" s="24">
        <f t="shared" si="1212"/>
        <v>7.9979856717657309</v>
      </c>
      <c r="AE145" s="24">
        <f t="shared" si="1213"/>
        <v>9.059246513178369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>
        <f>+BI180*BI10/90</f>
        <v>0</v>
      </c>
      <c r="BJ145" s="23">
        <f>+'QTR Raw'!AD82</f>
        <v>0.6</v>
      </c>
      <c r="BK145" s="23">
        <f>+BK180*BK10/90</f>
        <v>0.64043478260869569</v>
      </c>
      <c r="BL145" s="23">
        <f>+'QTR Raw'!AF82</f>
        <v>1.6</v>
      </c>
      <c r="BM145" s="23">
        <f>+BM180*BM10/90</f>
        <v>1.6848020434227331</v>
      </c>
      <c r="BN145" s="23">
        <f>+'QTR Raw'!AH82</f>
        <v>1.7</v>
      </c>
      <c r="BO145" s="23">
        <f>+BO180*BO10/90</f>
        <v>1.5300999412110523</v>
      </c>
      <c r="BP145" s="23">
        <f>+'QTR Raw'!AJ82</f>
        <v>1.1000000000000001</v>
      </c>
      <c r="BQ145" s="23">
        <f>+BQ180*BQ10/90</f>
        <v>1.1700980392156863</v>
      </c>
      <c r="BR145" s="23">
        <f>+'QTR Raw'!AL82</f>
        <v>1.3</v>
      </c>
      <c r="BS145" s="23">
        <f>+BS180*BS10/90</f>
        <v>1.3137451307735115</v>
      </c>
      <c r="BT145" s="23">
        <f>+'QTR Raw'!AN82</f>
        <v>0.9</v>
      </c>
      <c r="BU145" s="23">
        <f>+BU180*BU10/90</f>
        <v>0.92812499999999987</v>
      </c>
      <c r="BV145" s="23">
        <f>+'QTR Raw'!AP82</f>
        <v>1.3</v>
      </c>
      <c r="BW145" s="23">
        <f>+BW180*BW10/90</f>
        <v>1.4497517378351539</v>
      </c>
      <c r="BX145" s="23">
        <f>+'QTR Raw'!AR82</f>
        <v>5.8</v>
      </c>
      <c r="BY145" s="23">
        <f>+BY180*BY10/90</f>
        <v>6.0603491271820458</v>
      </c>
      <c r="BZ145" s="23">
        <f>+'QTR Raw'!AT82</f>
        <v>7.1</v>
      </c>
      <c r="CA145" s="23">
        <f>+CA180*CA10/90</f>
        <v>7.4513020833333323</v>
      </c>
      <c r="CB145" s="23">
        <f>+'QTR Raw'!AV82</f>
        <v>4.5999999999999996</v>
      </c>
      <c r="CC145" s="23">
        <f>+CC180*CC10/90</f>
        <v>4.7654563963352565</v>
      </c>
      <c r="CD145" s="23">
        <f>+'QTR Raw'!AX82</f>
        <v>4.8</v>
      </c>
      <c r="CE145" s="23">
        <f>+CE180*CE10/90</f>
        <v>5.0531935176358429</v>
      </c>
      <c r="CF145" s="23">
        <f>+'QTR Raw'!AZ82</f>
        <v>3.4</v>
      </c>
      <c r="CG145" s="23">
        <f>+CG180*CG10/90</f>
        <v>3.4645383951682485</v>
      </c>
      <c r="CH145" s="23">
        <f t="shared" si="1192"/>
        <v>3.9710000000000001</v>
      </c>
      <c r="CI145" s="23">
        <f>+CI180*CI10/90</f>
        <v>4.161107012109265</v>
      </c>
      <c r="CJ145" s="23">
        <f>+'QTR Raw'!BD82</f>
        <v>4.4000000000000004</v>
      </c>
      <c r="CK145" s="24">
        <f t="shared" ref="CK145:DB145" si="1216">+CK180*CK10/90</f>
        <v>4.5192838874680312</v>
      </c>
      <c r="CL145" s="23">
        <f>+'QTR Raw'!BF82</f>
        <v>5.5</v>
      </c>
      <c r="CM145" s="24">
        <f t="shared" si="1216"/>
        <v>5.7196833961066043</v>
      </c>
      <c r="CN145" s="24">
        <f t="shared" si="1216"/>
        <v>6.0192226542128928</v>
      </c>
      <c r="CO145" s="24">
        <f t="shared" si="1216"/>
        <v>6.1920982122030148</v>
      </c>
      <c r="CP145" s="24">
        <f t="shared" si="1216"/>
        <v>6.2335942563601119</v>
      </c>
      <c r="CQ145" s="24">
        <f t="shared" si="1216"/>
        <v>6.4751840056552057</v>
      </c>
      <c r="CR145" s="24">
        <f t="shared" si="1216"/>
        <v>6.817528709106325</v>
      </c>
      <c r="CS145" s="24">
        <f t="shared" si="1216"/>
        <v>7.0148730630214438</v>
      </c>
      <c r="CT145" s="24">
        <f t="shared" si="1216"/>
        <v>7.0610566492197275</v>
      </c>
      <c r="CU145" s="24">
        <f t="shared" si="1216"/>
        <v>7.3336822435514897</v>
      </c>
      <c r="CV145" s="24">
        <f t="shared" si="1216"/>
        <v>7.7222596390227878</v>
      </c>
      <c r="CW145" s="24">
        <f t="shared" si="1216"/>
        <v>7.9459340210704754</v>
      </c>
      <c r="CX145" s="24">
        <f t="shared" si="1216"/>
        <v>7.9979856717657309</v>
      </c>
      <c r="CY145" s="24">
        <f t="shared" si="1216"/>
        <v>8.306689075766263</v>
      </c>
      <c r="CZ145" s="24">
        <f t="shared" si="1216"/>
        <v>8.747002245341239</v>
      </c>
      <c r="DA145" s="24">
        <f t="shared" si="1216"/>
        <v>9.0003447865330148</v>
      </c>
      <c r="DB145" s="24">
        <f t="shared" si="1216"/>
        <v>9.059246513178369</v>
      </c>
      <c r="DE145" s="123"/>
      <c r="DF145" s="23">
        <v>4.5050647488454523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1.3280000000000001</v>
      </c>
      <c r="P146" s="23">
        <f>'Annual Raw'!Q79</f>
        <v>2.1150000000000002</v>
      </c>
      <c r="Q146" s="23">
        <f>'Annual Raw'!R79</f>
        <v>3.3279999999999998</v>
      </c>
      <c r="R146" s="23">
        <f>'Annual Raw'!S79</f>
        <v>5.593</v>
      </c>
      <c r="S146" s="23">
        <f>'Annual Raw'!T79</f>
        <v>9.0229999999999997</v>
      </c>
      <c r="T146" s="23">
        <f>'Annual Raw'!U79</f>
        <v>15.46</v>
      </c>
      <c r="U146" s="23">
        <f>'Annual Raw'!V79</f>
        <v>5.2869999999999999</v>
      </c>
      <c r="V146" s="23">
        <f>'Annual Raw'!W79</f>
        <v>9.1760000000000002</v>
      </c>
      <c r="W146" s="23">
        <f>'Annual Raw'!X79</f>
        <v>13.708</v>
      </c>
      <c r="X146" s="23">
        <f>'Annual Raw'!Y79</f>
        <v>17.207000000000001</v>
      </c>
      <c r="Y146" s="23">
        <f>'Annual Raw'!Z79</f>
        <v>26.957000000000001</v>
      </c>
      <c r="Z146" s="23">
        <f>'Annual Raw'!AA79</f>
        <v>38.438000000000002</v>
      </c>
      <c r="AA146" s="23">
        <f>'Annual Raw'!AB79</f>
        <v>57.473999999999997</v>
      </c>
      <c r="AB146" s="24">
        <f t="shared" si="1210"/>
        <v>292.29890158459517</v>
      </c>
      <c r="AC146" s="24">
        <f t="shared" si="1211"/>
        <v>331.09936542432143</v>
      </c>
      <c r="AD146" s="24">
        <f t="shared" si="1212"/>
        <v>375.03281904516047</v>
      </c>
      <c r="AE146" s="24">
        <f t="shared" si="1213"/>
        <v>424.79630468158217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33.9</v>
      </c>
      <c r="BK146" s="23">
        <f t="shared" si="1214"/>
        <v>33.9</v>
      </c>
      <c r="BL146" s="23">
        <f>+'QTR Raw'!AF84</f>
        <v>24.1</v>
      </c>
      <c r="BM146" s="23">
        <f t="shared" si="1214"/>
        <v>24.1</v>
      </c>
      <c r="BN146" s="23">
        <f>+'QTR Raw'!AH84</f>
        <v>21.2</v>
      </c>
      <c r="BO146" s="23">
        <f t="shared" si="1214"/>
        <v>21.2</v>
      </c>
      <c r="BP146" s="23">
        <f>+'QTR Raw'!AJ84</f>
        <v>19.600000000000001</v>
      </c>
      <c r="BQ146" s="23">
        <f t="shared" si="1214"/>
        <v>19.600000000000001</v>
      </c>
      <c r="BR146" s="23">
        <f>+'QTR Raw'!AL84</f>
        <v>17.399999999999999</v>
      </c>
      <c r="BS146" s="23">
        <f t="shared" si="1214"/>
        <v>17.399999999999999</v>
      </c>
      <c r="BT146" s="23">
        <f>+'QTR Raw'!AN84</f>
        <v>9.3000000000000007</v>
      </c>
      <c r="BU146" s="23">
        <f t="shared" si="1214"/>
        <v>9.3000000000000007</v>
      </c>
      <c r="BV146" s="23">
        <f>+'QTR Raw'!AP84</f>
        <v>16.5</v>
      </c>
      <c r="BW146" s="23">
        <f t="shared" si="1214"/>
        <v>16.5</v>
      </c>
      <c r="BX146" s="23">
        <f>+'QTR Raw'!AR84</f>
        <v>15.5</v>
      </c>
      <c r="BY146" s="23">
        <f t="shared" si="1214"/>
        <v>15.5</v>
      </c>
      <c r="BZ146" s="23">
        <f>+'QTR Raw'!AT84</f>
        <v>20.6</v>
      </c>
      <c r="CA146" s="23">
        <f t="shared" si="1214"/>
        <v>20.6</v>
      </c>
      <c r="CB146" s="23">
        <f>+'QTR Raw'!AV84</f>
        <v>17</v>
      </c>
      <c r="CC146" s="23">
        <f t="shared" si="1214"/>
        <v>17</v>
      </c>
      <c r="CD146" s="23">
        <f>+'QTR Raw'!AX84</f>
        <v>31.1</v>
      </c>
      <c r="CE146" s="23">
        <f t="shared" si="1214"/>
        <v>31.1</v>
      </c>
      <c r="CF146" s="23">
        <f>+'QTR Raw'!AZ84</f>
        <v>16</v>
      </c>
      <c r="CG146" s="23">
        <f t="shared" ref="CG146:CG147" si="1217">+CF146</f>
        <v>16</v>
      </c>
      <c r="CH146" s="23">
        <f t="shared" si="1192"/>
        <v>38.438000000000002</v>
      </c>
      <c r="CI146" s="23">
        <f>CI10/90*CI181</f>
        <v>239.49575725147847</v>
      </c>
      <c r="CJ146" s="23">
        <f>+'QTR Raw'!BD84</f>
        <v>34.6</v>
      </c>
      <c r="CK146" s="24">
        <f t="shared" ref="CK146:DB146" si="1218">CK10/90*CK181</f>
        <v>201.41626598465476</v>
      </c>
      <c r="CL146" s="23">
        <f>+'QTR Raw'!BF84</f>
        <v>66.900000000000006</v>
      </c>
      <c r="CM146" s="24">
        <f t="shared" si="1218"/>
        <v>268.20115415561702</v>
      </c>
      <c r="CN146" s="24">
        <f t="shared" si="1218"/>
        <v>282.24682227663737</v>
      </c>
      <c r="CO146" s="24">
        <f t="shared" si="1218"/>
        <v>290.35311435039233</v>
      </c>
      <c r="CP146" s="24">
        <f t="shared" si="1218"/>
        <v>292.29890158459517</v>
      </c>
      <c r="CQ146" s="24">
        <f t="shared" si="1218"/>
        <v>303.62726455608686</v>
      </c>
      <c r="CR146" s="24">
        <f t="shared" si="1218"/>
        <v>319.68011892336756</v>
      </c>
      <c r="CS146" s="24">
        <f t="shared" si="1218"/>
        <v>328.93377508240553</v>
      </c>
      <c r="CT146" s="24">
        <f t="shared" si="1218"/>
        <v>331.09936542432143</v>
      </c>
      <c r="CU146" s="24">
        <f t="shared" si="1218"/>
        <v>343.88302738398721</v>
      </c>
      <c r="CV146" s="24">
        <f t="shared" si="1218"/>
        <v>362.10377470981405</v>
      </c>
      <c r="CW146" s="24">
        <f t="shared" si="1218"/>
        <v>372.59206982437752</v>
      </c>
      <c r="CX146" s="24">
        <f t="shared" si="1218"/>
        <v>375.03281904516047</v>
      </c>
      <c r="CY146" s="24">
        <f t="shared" si="1218"/>
        <v>389.50820229820357</v>
      </c>
      <c r="CZ146" s="24">
        <f t="shared" si="1218"/>
        <v>410.15488710427377</v>
      </c>
      <c r="DA146" s="24">
        <f t="shared" si="1218"/>
        <v>422.03434917215725</v>
      </c>
      <c r="DB146" s="24">
        <f t="shared" si="1218"/>
        <v>424.79630468158217</v>
      </c>
      <c r="DE146" s="123"/>
      <c r="DF146" s="23">
        <v>200.78254482922574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5.8289999999999997</v>
      </c>
      <c r="P147" s="23">
        <f>'Annual Raw'!Q80</f>
        <v>8.3940000000000001</v>
      </c>
      <c r="Q147" s="23">
        <f>'Annual Raw'!R80</f>
        <v>16.896999999999998</v>
      </c>
      <c r="R147" s="23">
        <f>'Annual Raw'!S80</f>
        <v>23.847999999999999</v>
      </c>
      <c r="S147" s="23">
        <f>'Annual Raw'!T80</f>
        <v>17.295999999999999</v>
      </c>
      <c r="T147" s="23">
        <f>'Annual Raw'!U80</f>
        <v>20.073</v>
      </c>
      <c r="U147" s="23">
        <f>'Annual Raw'!V80</f>
        <v>17.242000000000001</v>
      </c>
      <c r="V147" s="23">
        <f>'Annual Raw'!W80</f>
        <v>79.120999999999995</v>
      </c>
      <c r="W147" s="23">
        <f>'Annual Raw'!X80</f>
        <v>47.56</v>
      </c>
      <c r="X147" s="23">
        <f>'Annual Raw'!Y80</f>
        <v>97.403999999999996</v>
      </c>
      <c r="Y147" s="23">
        <f>'Annual Raw'!Z80</f>
        <v>107.20699999999999</v>
      </c>
      <c r="Z147" s="23">
        <f>'Annual Raw'!AA80</f>
        <v>167.976</v>
      </c>
      <c r="AA147" s="23">
        <f>'Annual Raw'!AB80</f>
        <v>156.48599999999999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1.7</v>
      </c>
      <c r="BK147" s="23">
        <f t="shared" si="1214"/>
        <v>1.7</v>
      </c>
      <c r="BL147" s="23">
        <f>+'QTR Raw'!AF85</f>
        <v>1.7</v>
      </c>
      <c r="BM147" s="23">
        <f t="shared" si="1214"/>
        <v>1.7</v>
      </c>
      <c r="BN147" s="23">
        <f>+'QTR Raw'!AH85</f>
        <v>1.3</v>
      </c>
      <c r="BO147" s="23">
        <f t="shared" si="1214"/>
        <v>1.3</v>
      </c>
      <c r="BP147" s="23">
        <f>+'QTR Raw'!AJ85</f>
        <v>0.8</v>
      </c>
      <c r="BQ147" s="23">
        <f t="shared" si="1214"/>
        <v>0.8</v>
      </c>
      <c r="BR147" s="23">
        <f>+'QTR Raw'!AL85</f>
        <v>70.900000000000006</v>
      </c>
      <c r="BS147" s="23">
        <f t="shared" si="1214"/>
        <v>70.900000000000006</v>
      </c>
      <c r="BT147" s="23">
        <f>+'QTR Raw'!AN85</f>
        <v>62.1</v>
      </c>
      <c r="BU147" s="23">
        <f t="shared" si="1214"/>
        <v>62.1</v>
      </c>
      <c r="BV147" s="23">
        <f>+'QTR Raw'!AP85</f>
        <v>44.8</v>
      </c>
      <c r="BW147" s="23">
        <f t="shared" si="1214"/>
        <v>44.8</v>
      </c>
      <c r="BX147" s="23">
        <f>+'QTR Raw'!AR85</f>
        <v>20.5</v>
      </c>
      <c r="BY147" s="23">
        <f t="shared" si="1214"/>
        <v>20.5</v>
      </c>
      <c r="BZ147" s="23">
        <f>+'QTR Raw'!AT85</f>
        <v>5.6</v>
      </c>
      <c r="CA147" s="23">
        <f t="shared" si="1214"/>
        <v>5.6</v>
      </c>
      <c r="CB147" s="23">
        <f>+'QTR Raw'!AV85</f>
        <v>0.3</v>
      </c>
      <c r="CC147" s="23">
        <f t="shared" si="1214"/>
        <v>0.3</v>
      </c>
      <c r="CD147" s="23">
        <f>+'QTR Raw'!AX85</f>
        <v>10.8</v>
      </c>
      <c r="CE147" s="23">
        <f t="shared" si="1214"/>
        <v>10.8</v>
      </c>
      <c r="CF147" s="23">
        <f>+'QTR Raw'!AZ85</f>
        <v>21.1</v>
      </c>
      <c r="CG147" s="23">
        <f t="shared" si="1217"/>
        <v>21.1</v>
      </c>
      <c r="CH147" s="23">
        <f t="shared" si="1192"/>
        <v>167.976</v>
      </c>
      <c r="CJ147" s="23">
        <f>+'QTR Raw'!BD85</f>
        <v>0.5</v>
      </c>
      <c r="CK147" s="24"/>
      <c r="CL147" s="23">
        <f>+'QTR Raw'!BF85</f>
        <v>0.6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0.6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0</v>
      </c>
      <c r="K148" s="22">
        <f t="shared" si="1219"/>
        <v>0</v>
      </c>
      <c r="L148" s="22">
        <f>SUM(L142:L147)</f>
        <v>0</v>
      </c>
      <c r="M148" s="22">
        <f>SUM(M142:M147)</f>
        <v>0</v>
      </c>
      <c r="N148" s="22">
        <f t="shared" si="1219"/>
        <v>0</v>
      </c>
      <c r="O148" s="22">
        <f t="shared" si="1219"/>
        <v>11.128</v>
      </c>
      <c r="P148" s="22">
        <f t="shared" si="1219"/>
        <v>25.811</v>
      </c>
      <c r="Q148" s="22">
        <f t="shared" si="1219"/>
        <v>36.545000000000002</v>
      </c>
      <c r="R148" s="22">
        <f t="shared" si="1219"/>
        <v>35.301000000000002</v>
      </c>
      <c r="S148" s="22">
        <f t="shared" si="1219"/>
        <v>61.515000000000008</v>
      </c>
      <c r="T148" s="22">
        <f t="shared" si="1219"/>
        <v>40.520000000000003</v>
      </c>
      <c r="U148" s="22">
        <f t="shared" si="1219"/>
        <v>87.249000000000009</v>
      </c>
      <c r="V148" s="22">
        <f t="shared" si="1219"/>
        <v>177.59399999999999</v>
      </c>
      <c r="W148" s="22">
        <f t="shared" ref="W148" si="1220">SUM(W142:W147)</f>
        <v>255.67299999999997</v>
      </c>
      <c r="X148" s="22">
        <f t="shared" ref="X148:Y148" si="1221">SUM(X142:X147)</f>
        <v>297.34199999999998</v>
      </c>
      <c r="Y148" s="22">
        <f t="shared" si="1221"/>
        <v>158.49299999999999</v>
      </c>
      <c r="Z148" s="22">
        <f t="shared" ref="Z148:AA148" si="1222">SUM(Z142:Z147)</f>
        <v>232.52500000000001</v>
      </c>
      <c r="AA148" s="22">
        <f t="shared" si="1222"/>
        <v>400.08</v>
      </c>
      <c r="AB148" s="21">
        <f t="shared" ref="AA148:AD148" si="1223">SUM(AB142:AB147)</f>
        <v>298.53249584095528</v>
      </c>
      <c r="AC148" s="21">
        <f t="shared" si="1223"/>
        <v>338.16042207354116</v>
      </c>
      <c r="AD148" s="21">
        <f t="shared" si="1223"/>
        <v>383.03080471692618</v>
      </c>
      <c r="AE148" s="21">
        <f t="shared" ref="AE148" si="1224">SUM(AE142:AE147)</f>
        <v>433.85555119476055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>
        <f t="shared" si="1229"/>
        <v>0</v>
      </c>
      <c r="BJ148" s="22">
        <f t="shared" si="1229"/>
        <v>40.6</v>
      </c>
      <c r="BK148" s="22">
        <f t="shared" si="1229"/>
        <v>40.640434782608693</v>
      </c>
      <c r="BL148" s="22">
        <f t="shared" si="1229"/>
        <v>115.89999999999999</v>
      </c>
      <c r="BM148" s="22">
        <f t="shared" si="1229"/>
        <v>115.98480204342273</v>
      </c>
      <c r="BN148" s="22">
        <f t="shared" si="1229"/>
        <v>167.1</v>
      </c>
      <c r="BO148" s="22">
        <f t="shared" si="1229"/>
        <v>166.93009994121107</v>
      </c>
      <c r="BP148" s="22">
        <f t="shared" si="1229"/>
        <v>121.3</v>
      </c>
      <c r="BQ148" s="22">
        <f t="shared" si="1229"/>
        <v>121.37009803921568</v>
      </c>
      <c r="BR148" s="22">
        <f t="shared" si="1229"/>
        <v>176.70000000000002</v>
      </c>
      <c r="BS148" s="22">
        <f t="shared" si="1229"/>
        <v>176.71374513077353</v>
      </c>
      <c r="BT148" s="22">
        <f t="shared" si="1229"/>
        <v>154.5</v>
      </c>
      <c r="BU148" s="22">
        <f t="shared" si="1229"/>
        <v>154.52812499999999</v>
      </c>
      <c r="BV148" s="22">
        <f t="shared" si="1229"/>
        <v>146.89999999999998</v>
      </c>
      <c r="BW148" s="22">
        <f t="shared" si="1229"/>
        <v>147.04975173783515</v>
      </c>
      <c r="BX148" s="22">
        <f t="shared" si="1229"/>
        <v>127.89999999999999</v>
      </c>
      <c r="BY148" s="22">
        <f t="shared" si="1229"/>
        <v>128.16034912718203</v>
      </c>
      <c r="BZ148" s="22">
        <f t="shared" si="1229"/>
        <v>88.699999999999989</v>
      </c>
      <c r="CA148" s="22">
        <f t="shared" si="1229"/>
        <v>89.051302083333326</v>
      </c>
      <c r="CB148" s="22">
        <f t="shared" si="1229"/>
        <v>105.8</v>
      </c>
      <c r="CC148" s="22">
        <f t="shared" si="1229"/>
        <v>105.96545639633526</v>
      </c>
      <c r="CD148" s="22">
        <f t="shared" si="1229"/>
        <v>97.7</v>
      </c>
      <c r="CE148" s="22">
        <f t="shared" si="1229"/>
        <v>97.953193517635839</v>
      </c>
      <c r="CF148" s="22">
        <f t="shared" ref="CF148:CG148" si="1230">SUM(CF142:CF147)</f>
        <v>88.1</v>
      </c>
      <c r="CG148" s="22">
        <f t="shared" si="1230"/>
        <v>88.16453839516825</v>
      </c>
      <c r="CH148" s="22">
        <f t="shared" ref="CH148:CI148" si="1231">SUM(CH142:CH147)</f>
        <v>232.52500000000001</v>
      </c>
      <c r="CI148" s="22">
        <f t="shared" si="1231"/>
        <v>243.65686426358772</v>
      </c>
      <c r="CJ148" s="22">
        <f t="shared" ref="CJ148:DB148" si="1232">SUM(CJ142:CJ147)</f>
        <v>200.5</v>
      </c>
      <c r="CK148" s="21">
        <f t="shared" si="1232"/>
        <v>205.93554987212278</v>
      </c>
      <c r="CL148" s="22">
        <f t="shared" ref="CL148" si="1233">SUM(CL142:CL147)</f>
        <v>263.40000000000003</v>
      </c>
      <c r="CM148" s="21">
        <f t="shared" si="1232"/>
        <v>273.92083755172365</v>
      </c>
      <c r="CN148" s="21">
        <f t="shared" si="1232"/>
        <v>288.26604493085028</v>
      </c>
      <c r="CO148" s="21">
        <f t="shared" si="1232"/>
        <v>296.54521256259534</v>
      </c>
      <c r="CP148" s="21">
        <f t="shared" si="1232"/>
        <v>298.53249584095528</v>
      </c>
      <c r="CQ148" s="21">
        <f t="shared" si="1232"/>
        <v>310.10244856174205</v>
      </c>
      <c r="CR148" s="21">
        <f t="shared" si="1232"/>
        <v>326.4976476324739</v>
      </c>
      <c r="CS148" s="21">
        <f t="shared" si="1232"/>
        <v>335.948648145427</v>
      </c>
      <c r="CT148" s="21">
        <f t="shared" si="1232"/>
        <v>338.16042207354116</v>
      </c>
      <c r="CU148" s="21">
        <f t="shared" si="1232"/>
        <v>351.21670962753871</v>
      </c>
      <c r="CV148" s="21">
        <f t="shared" si="1232"/>
        <v>369.82603434883686</v>
      </c>
      <c r="CW148" s="21">
        <f t="shared" si="1232"/>
        <v>380.53800384544797</v>
      </c>
      <c r="CX148" s="21">
        <f t="shared" si="1232"/>
        <v>383.03080471692618</v>
      </c>
      <c r="CY148" s="21">
        <f t="shared" si="1232"/>
        <v>397.81489137396983</v>
      </c>
      <c r="CZ148" s="21">
        <f t="shared" si="1232"/>
        <v>418.90188934961503</v>
      </c>
      <c r="DA148" s="21">
        <f t="shared" si="1232"/>
        <v>431.03469395869024</v>
      </c>
      <c r="DB148" s="21">
        <f t="shared" si="1232"/>
        <v>433.85555119476055</v>
      </c>
      <c r="DE148" s="126"/>
      <c r="DF148" s="22">
        <v>205.2876095780712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35.661999999999999</v>
      </c>
      <c r="P149" s="23">
        <f>'Annual Raw'!Q50+'Annual Raw'!Q58</f>
        <v>53.536000000000001</v>
      </c>
      <c r="Q149" s="23">
        <f>'Annual Raw'!R50+'Annual Raw'!R58</f>
        <v>311.714</v>
      </c>
      <c r="R149" s="23">
        <f>'Annual Raw'!S50+'Annual Raw'!S58</f>
        <v>367.42200000000003</v>
      </c>
      <c r="S149" s="23">
        <f>'Annual Raw'!T50+'Annual Raw'!T58</f>
        <v>539.28300000000002</v>
      </c>
      <c r="T149" s="23">
        <f>'Annual Raw'!U50+'Annual Raw'!U58</f>
        <v>230.07499999999999</v>
      </c>
      <c r="U149" s="23">
        <f>'Annual Raw'!V50+'Annual Raw'!V58</f>
        <v>330.97</v>
      </c>
      <c r="V149" s="23">
        <f>'Annual Raw'!W50+'Annual Raw'!W58</f>
        <v>311.04199999999997</v>
      </c>
      <c r="W149" s="23">
        <f>'Annual Raw'!X50+'Annual Raw'!X58</f>
        <v>377.85899999999998</v>
      </c>
      <c r="X149" s="23">
        <f>'Annual Raw'!Y50+'Annual Raw'!Y58</f>
        <v>490.15300000000002</v>
      </c>
      <c r="Y149" s="23">
        <f>'Annual Raw'!Z50+'Annual Raw'!Z58</f>
        <v>575.18100000000004</v>
      </c>
      <c r="Z149" s="23">
        <f>'Annual Raw'!AA50+'Annual Raw'!AA58</f>
        <v>640.46299999999997</v>
      </c>
      <c r="AA149" s="23">
        <f>'Annual Raw'!AB50+'Annual Raw'!AB58</f>
        <v>758.17399999999998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230.1</v>
      </c>
      <c r="BK149" s="23">
        <f t="shared" si="1238"/>
        <v>230.1</v>
      </c>
      <c r="BL149" s="23">
        <f>+'QTR Raw'!AF64</f>
        <v>258.39999999999998</v>
      </c>
      <c r="BM149" s="23">
        <f t="shared" si="1238"/>
        <v>258.39999999999998</v>
      </c>
      <c r="BN149" s="23">
        <f>+'QTR Raw'!AH64</f>
        <v>330.9</v>
      </c>
      <c r="BO149" s="23">
        <f t="shared" si="1238"/>
        <v>330.9</v>
      </c>
      <c r="BP149" s="23">
        <f>+'QTR Raw'!AJ64</f>
        <v>285.2</v>
      </c>
      <c r="BQ149" s="23">
        <f t="shared" si="1238"/>
        <v>285.2</v>
      </c>
      <c r="BR149" s="23">
        <f>+'QTR Raw'!AL64</f>
        <v>311.10000000000002</v>
      </c>
      <c r="BS149" s="23">
        <f t="shared" si="1238"/>
        <v>311.10000000000002</v>
      </c>
      <c r="BT149" s="23">
        <f>+'QTR Raw'!AN64</f>
        <v>327.10000000000002</v>
      </c>
      <c r="BU149" s="23">
        <f t="shared" si="1238"/>
        <v>327.10000000000002</v>
      </c>
      <c r="BV149" s="23">
        <f>+'QTR Raw'!AP64</f>
        <v>377.8</v>
      </c>
      <c r="BW149" s="23">
        <f t="shared" si="1238"/>
        <v>377.8</v>
      </c>
      <c r="BX149" s="23">
        <f>+'QTR Raw'!AR64</f>
        <v>438.7</v>
      </c>
      <c r="BY149" s="23">
        <f t="shared" si="1238"/>
        <v>438.7</v>
      </c>
      <c r="BZ149" s="23">
        <f>+'QTR Raw'!AT64</f>
        <v>490.2</v>
      </c>
      <c r="CA149" s="23">
        <f t="shared" si="1238"/>
        <v>490.2</v>
      </c>
      <c r="CB149" s="23">
        <f>+'QTR Raw'!AV64</f>
        <v>526.1</v>
      </c>
      <c r="CC149" s="23">
        <f t="shared" si="1238"/>
        <v>526.1</v>
      </c>
      <c r="CD149" s="23">
        <f>+'QTR Raw'!AX64</f>
        <v>575.20000000000005</v>
      </c>
      <c r="CE149" s="23">
        <f t="shared" si="1238"/>
        <v>575.20000000000005</v>
      </c>
      <c r="CF149" s="23">
        <f>+'QTR Raw'!AZ64</f>
        <v>573.79999999999995</v>
      </c>
      <c r="CG149" s="23">
        <f t="shared" ref="CG149:CG152" si="1239">+CF149</f>
        <v>573.79999999999995</v>
      </c>
      <c r="CH149" s="23">
        <f t="shared" si="1192"/>
        <v>640.46299999999997</v>
      </c>
      <c r="CJ149" s="23">
        <f>+'QTR Raw'!BD64</f>
        <v>675.1</v>
      </c>
      <c r="CK149" s="24"/>
      <c r="CL149" s="23">
        <f>+'QTR Raw'!BF64</f>
        <v>758.2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758.2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0.67</v>
      </c>
      <c r="P150" s="23">
        <f>'Annual Raw'!Q51</f>
        <v>0.73199999999999998</v>
      </c>
      <c r="Q150" s="23">
        <f>'Annual Raw'!R51</f>
        <v>0.66600000000000004</v>
      </c>
      <c r="R150" s="23">
        <f>'Annual Raw'!S51</f>
        <v>0.53600000000000003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0.48799999999999999</v>
      </c>
      <c r="R151" s="23">
        <f>'Annual Raw'!S52</f>
        <v>1.7310000000000001</v>
      </c>
      <c r="S151" s="23">
        <f>'Annual Raw'!T52</f>
        <v>5.931</v>
      </c>
      <c r="T151" s="23">
        <f>'Annual Raw'!U52</f>
        <v>9.6</v>
      </c>
      <c r="U151" s="23">
        <f>'Annual Raw'!V52</f>
        <v>26.54</v>
      </c>
      <c r="V151" s="23">
        <f>'Annual Raw'!W52</f>
        <v>91.072000000000003</v>
      </c>
      <c r="W151" s="23">
        <f>'Annual Raw'!X52</f>
        <v>184.64400000000001</v>
      </c>
      <c r="X151" s="23">
        <f>'Annual Raw'!Y52</f>
        <v>181.21199999999999</v>
      </c>
      <c r="Y151" s="23">
        <f>'Annual Raw'!Z52</f>
        <v>28.047999999999998</v>
      </c>
      <c r="Z151" s="23">
        <f>'Annual Raw'!AA52</f>
        <v>47.470999999999997</v>
      </c>
      <c r="AA151" s="23">
        <f>'Annual Raw'!AB52</f>
        <v>52.457000000000001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9.6</v>
      </c>
      <c r="BK151" s="23">
        <f t="shared" si="1238"/>
        <v>9.6</v>
      </c>
      <c r="BL151" s="23">
        <f>+'QTR Raw'!AF66</f>
        <v>21</v>
      </c>
      <c r="BM151" s="23">
        <f t="shared" si="1238"/>
        <v>21</v>
      </c>
      <c r="BN151" s="23">
        <f>+'QTR Raw'!AH66</f>
        <v>26.5</v>
      </c>
      <c r="BO151" s="23">
        <f t="shared" si="1238"/>
        <v>26.5</v>
      </c>
      <c r="BP151" s="23">
        <f>+'QTR Raw'!AJ66</f>
        <v>29.2</v>
      </c>
      <c r="BQ151" s="23">
        <f t="shared" si="1238"/>
        <v>29.2</v>
      </c>
      <c r="BR151" s="23">
        <f>+'QTR Raw'!AL66</f>
        <v>27.5</v>
      </c>
      <c r="BS151" s="23">
        <f t="shared" si="1238"/>
        <v>27.5</v>
      </c>
      <c r="BT151" s="23">
        <f>+'QTR Raw'!AN66</f>
        <v>29.8</v>
      </c>
      <c r="BU151" s="23">
        <f t="shared" si="1238"/>
        <v>29.8</v>
      </c>
      <c r="BV151" s="23">
        <f>+'QTR Raw'!AP66</f>
        <v>23.2</v>
      </c>
      <c r="BW151" s="23">
        <f t="shared" si="1238"/>
        <v>23.2</v>
      </c>
      <c r="BX151" s="23">
        <f>+'QTR Raw'!AR66</f>
        <v>19.2</v>
      </c>
      <c r="BY151" s="23">
        <f t="shared" si="1238"/>
        <v>19.2</v>
      </c>
      <c r="BZ151" s="23">
        <f>+'QTR Raw'!AT66</f>
        <v>19.600000000000001</v>
      </c>
      <c r="CA151" s="23">
        <f t="shared" si="1238"/>
        <v>19.600000000000001</v>
      </c>
      <c r="CB151" s="23">
        <f>+'QTR Raw'!AV66</f>
        <v>19.899999999999999</v>
      </c>
      <c r="CC151" s="23">
        <f t="shared" si="1238"/>
        <v>19.899999999999999</v>
      </c>
      <c r="CD151" s="23">
        <f>+'QTR Raw'!AX66</f>
        <v>26.9</v>
      </c>
      <c r="CE151" s="23">
        <f t="shared" si="1238"/>
        <v>26.9</v>
      </c>
      <c r="CF151" s="23">
        <f>+'QTR Raw'!AZ66</f>
        <v>32.5</v>
      </c>
      <c r="CG151" s="23">
        <f t="shared" si="1239"/>
        <v>32.5</v>
      </c>
      <c r="CH151" s="23">
        <f t="shared" si="1192"/>
        <v>47.470999999999997</v>
      </c>
      <c r="CJ151" s="23">
        <f>+'QTR Raw'!BD66</f>
        <v>46.2</v>
      </c>
      <c r="CK151" s="24"/>
      <c r="CL151" s="23">
        <f>+'QTR Raw'!BF66</f>
        <v>45.8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45.8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2422.034713789375</v>
      </c>
      <c r="AC152" s="24">
        <f t="shared" si="1235"/>
        <v>2743.5414653422831</v>
      </c>
      <c r="AD152" s="24">
        <f t="shared" si="1236"/>
        <v>3107.5809782842489</v>
      </c>
      <c r="AE152" s="24">
        <f t="shared" si="1237"/>
        <v>3519.9290543022144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2126.986891579837</v>
      </c>
      <c r="CJ152" s="23">
        <f>+'QTR Raw'!BD87</f>
        <v>0</v>
      </c>
      <c r="CK152" s="24">
        <f t="shared" ref="CK152:DB152" si="1240">CK10/90*CK184</f>
        <v>1953.5631713554988</v>
      </c>
      <c r="CL152" s="23">
        <f>+'QTR Raw'!BF87</f>
        <v>0</v>
      </c>
      <c r="CM152" s="24">
        <f t="shared" si="1240"/>
        <v>2222.3569849963301</v>
      </c>
      <c r="CN152" s="24">
        <f t="shared" si="1240"/>
        <v>2338.7416021914464</v>
      </c>
      <c r="CO152" s="24">
        <f t="shared" si="1240"/>
        <v>2405.9116144505169</v>
      </c>
      <c r="CP152" s="24">
        <f t="shared" si="1240"/>
        <v>2422.034713789375</v>
      </c>
      <c r="CQ152" s="24">
        <f t="shared" si="1240"/>
        <v>2515.9033127427592</v>
      </c>
      <c r="CR152" s="24">
        <f t="shared" si="1240"/>
        <v>2648.9197911564033</v>
      </c>
      <c r="CS152" s="24">
        <f t="shared" si="1240"/>
        <v>2725.5970428503319</v>
      </c>
      <c r="CT152" s="24">
        <f t="shared" si="1240"/>
        <v>2743.5414653422831</v>
      </c>
      <c r="CU152" s="24">
        <f t="shared" si="1240"/>
        <v>2849.4689008126429</v>
      </c>
      <c r="CV152" s="24">
        <f t="shared" si="1240"/>
        <v>3000.4488815621271</v>
      </c>
      <c r="CW152" s="24">
        <f t="shared" si="1240"/>
        <v>3087.3565460050204</v>
      </c>
      <c r="CX152" s="24">
        <f t="shared" si="1240"/>
        <v>3107.5809782842489</v>
      </c>
      <c r="CY152" s="24">
        <f t="shared" si="1240"/>
        <v>3227.5262827113652</v>
      </c>
      <c r="CZ152" s="24">
        <f t="shared" si="1240"/>
        <v>3398.6079633262234</v>
      </c>
      <c r="DA152" s="24">
        <f t="shared" si="1240"/>
        <v>3497.0430561492826</v>
      </c>
      <c r="DB152" s="24">
        <f t="shared" si="1240"/>
        <v>3519.9290543022144</v>
      </c>
      <c r="DE152" s="123"/>
      <c r="DF152" s="23">
        <v>1947.4166255236478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17.984999999999999</v>
      </c>
      <c r="P153" s="23">
        <f>'Annual Raw'!Q54</f>
        <v>26.779</v>
      </c>
      <c r="Q153" s="23">
        <f>'Annual Raw'!R54</f>
        <v>37.634999999999998</v>
      </c>
      <c r="R153" s="23">
        <f>'Annual Raw'!S54</f>
        <v>30.24</v>
      </c>
      <c r="S153" s="23">
        <f>'Annual Raw'!T54</f>
        <v>41.892000000000003</v>
      </c>
      <c r="T153" s="23">
        <f>'Annual Raw'!U54</f>
        <v>12.932</v>
      </c>
      <c r="U153" s="23">
        <f>'Annual Raw'!V54</f>
        <v>17.942</v>
      </c>
      <c r="V153" s="23">
        <f>'Annual Raw'!W54</f>
        <v>15.428000000000001</v>
      </c>
      <c r="W153" s="23">
        <f>'Annual Raw'!X54</f>
        <v>18.356999999999999</v>
      </c>
      <c r="X153" s="23">
        <f>'Annual Raw'!Y54</f>
        <v>27.218</v>
      </c>
      <c r="Y153" s="23">
        <f>'Annual Raw'!Z54</f>
        <v>34.362000000000002</v>
      </c>
      <c r="Z153" s="23">
        <f>'Annual Raw'!AA54</f>
        <v>26.991</v>
      </c>
      <c r="AA153" s="23">
        <f>'Annual Raw'!AB54</f>
        <v>31.981000000000002</v>
      </c>
      <c r="AB153" s="24">
        <f t="shared" si="1234"/>
        <v>36.268184764277017</v>
      </c>
      <c r="AC153" s="24">
        <f t="shared" si="1235"/>
        <v>41.082511413642045</v>
      </c>
      <c r="AD153" s="24">
        <f t="shared" si="1236"/>
        <v>46.533734817546062</v>
      </c>
      <c r="AE153" s="24">
        <f t="shared" si="1237"/>
        <v>52.708343349401417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>
        <f>+BI183*BI10/90</f>
        <v>0</v>
      </c>
      <c r="BJ153" s="23">
        <f>+'QTR Raw'!AD89</f>
        <v>12.9</v>
      </c>
      <c r="BK153" s="23">
        <f>+BK183*BK10/90</f>
        <v>13.769347826086957</v>
      </c>
      <c r="BL153" s="23">
        <f>+'QTR Raw'!AF89</f>
        <v>16.399999999999999</v>
      </c>
      <c r="BM153" s="23">
        <f>+BM183*BM10/90</f>
        <v>17.269220945083013</v>
      </c>
      <c r="BN153" s="23">
        <f>+'QTR Raw'!AH89</f>
        <v>17.899999999999999</v>
      </c>
      <c r="BO153" s="23">
        <f>+BO183*BO10/90</f>
        <v>16.111052322163435</v>
      </c>
      <c r="BP153" s="23">
        <f>+'QTR Raw'!AJ89</f>
        <v>16.399999999999999</v>
      </c>
      <c r="BQ153" s="23">
        <f>+BQ183*BQ10/90</f>
        <v>17.445098039215686</v>
      </c>
      <c r="BR153" s="23">
        <f>+'QTR Raw'!AL89</f>
        <v>15.4</v>
      </c>
      <c r="BS153" s="23">
        <f>+BS183*BS10/90</f>
        <v>15.562826933778522</v>
      </c>
      <c r="BT153" s="23">
        <f>+'QTR Raw'!AN89</f>
        <v>15.8</v>
      </c>
      <c r="BU153" s="23">
        <f>+BU183*BU10/90</f>
        <v>16.293749999999999</v>
      </c>
      <c r="BV153" s="23">
        <f>+'QTR Raw'!AP89</f>
        <v>18.399999999999999</v>
      </c>
      <c r="BW153" s="23">
        <f>+BW183*BW10/90</f>
        <v>20.519563058589867</v>
      </c>
      <c r="BX153" s="23">
        <f>+'QTR Raw'!AR89</f>
        <v>26.1</v>
      </c>
      <c r="BY153" s="23">
        <f>+BY183*BY10/90</f>
        <v>27.271571072319205</v>
      </c>
      <c r="BZ153" s="23">
        <f>+'QTR Raw'!AT89</f>
        <v>27.2</v>
      </c>
      <c r="CA153" s="23">
        <f>+CA183*CA10/90</f>
        <v>28.545833333333334</v>
      </c>
      <c r="CB153" s="23">
        <f>+'QTR Raw'!AV89</f>
        <v>25.6</v>
      </c>
      <c r="CC153" s="23">
        <f>+CC183*CC10/90</f>
        <v>26.520800814387517</v>
      </c>
      <c r="CD153" s="23">
        <f>+'QTR Raw'!AX89</f>
        <v>34.4</v>
      </c>
      <c r="CE153" s="23">
        <f>+CE183*CE10/90</f>
        <v>36.21455354305688</v>
      </c>
      <c r="CF153" s="23">
        <f>+'QTR Raw'!AZ89</f>
        <v>33.4</v>
      </c>
      <c r="CG153" s="23">
        <f>+CG183*CG10/90</f>
        <v>34.033994823123386</v>
      </c>
      <c r="CH153" s="23">
        <f t="shared" si="1192"/>
        <v>26.991</v>
      </c>
      <c r="CI153" s="23">
        <f>+CI183*CI10/90</f>
        <v>28.28316277105041</v>
      </c>
      <c r="CJ153" s="23">
        <f>+'QTR Raw'!BD89</f>
        <v>36.4</v>
      </c>
      <c r="CK153" s="24">
        <f t="shared" ref="CK153:DB153" si="1241">+CK183*CK10/90</f>
        <v>37.386803069053713</v>
      </c>
      <c r="CL153" s="23">
        <f>+'QTR Raw'!BF89</f>
        <v>32</v>
      </c>
      <c r="CM153" s="24">
        <f t="shared" si="1241"/>
        <v>33.278157940983881</v>
      </c>
      <c r="CN153" s="24">
        <f t="shared" si="1241"/>
        <v>35.020931806329557</v>
      </c>
      <c r="CO153" s="24">
        <f t="shared" si="1241"/>
        <v>36.02675323463572</v>
      </c>
      <c r="CP153" s="24">
        <f t="shared" si="1241"/>
        <v>36.268184764277017</v>
      </c>
      <c r="CQ153" s="24">
        <f t="shared" si="1241"/>
        <v>37.673797851084828</v>
      </c>
      <c r="CR153" s="24">
        <f t="shared" si="1241"/>
        <v>39.665621580254985</v>
      </c>
      <c r="CS153" s="24">
        <f t="shared" si="1241"/>
        <v>40.813806912124761</v>
      </c>
      <c r="CT153" s="24">
        <f t="shared" si="1241"/>
        <v>41.082511413642045</v>
      </c>
      <c r="CU153" s="24">
        <f t="shared" si="1241"/>
        <v>42.668696689754114</v>
      </c>
      <c r="CV153" s="24">
        <f t="shared" si="1241"/>
        <v>44.929510627041672</v>
      </c>
      <c r="CW153" s="24">
        <f t="shared" si="1241"/>
        <v>46.230888849864591</v>
      </c>
      <c r="CX153" s="24">
        <f t="shared" si="1241"/>
        <v>46.533734817546062</v>
      </c>
      <c r="CY153" s="24">
        <f t="shared" si="1241"/>
        <v>48.329827349912797</v>
      </c>
      <c r="CZ153" s="24">
        <f t="shared" si="1241"/>
        <v>50.891649427439937</v>
      </c>
      <c r="DA153" s="24">
        <f t="shared" si="1241"/>
        <v>52.365642394373907</v>
      </c>
      <c r="DB153" s="24">
        <f t="shared" si="1241"/>
        <v>52.708343349401417</v>
      </c>
      <c r="DE153" s="123"/>
      <c r="DF153" s="23">
        <v>37.269172013176018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86.805000000000007</v>
      </c>
      <c r="P154" s="23">
        <f>'Annual Raw'!Q55-Template!P126</f>
        <v>110.797</v>
      </c>
      <c r="Q154" s="23">
        <f>'Annual Raw'!R55-Template!Q126</f>
        <v>167.70699999999999</v>
      </c>
      <c r="R154" s="23">
        <f>'Annual Raw'!S55-Template!R126</f>
        <v>207.03899999999999</v>
      </c>
      <c r="S154" s="23">
        <f>'Annual Raw'!T55-Template!S126</f>
        <v>272.036</v>
      </c>
      <c r="T154" s="23">
        <f>'Annual Raw'!U55-Template!T126</f>
        <v>401.39400000000001</v>
      </c>
      <c r="U154" s="23">
        <f>'Annual Raw'!V55-Template!U126</f>
        <v>468.37299999999999</v>
      </c>
      <c r="V154" s="23">
        <f>'Annual Raw'!W55-Template!V126</f>
        <v>521.005</v>
      </c>
      <c r="W154" s="23">
        <f>'Annual Raw'!X55-Template!W126</f>
        <v>634.85199999999998</v>
      </c>
      <c r="X154" s="23">
        <f>'Annual Raw'!Y55-Template!X126</f>
        <v>817.55600000000004</v>
      </c>
      <c r="Y154" s="23">
        <f>'Annual Raw'!Z55-Template!Y126</f>
        <v>1018.385</v>
      </c>
      <c r="Z154" s="23">
        <f>'Annual Raw'!AA55-Template!Z126</f>
        <v>1178.3109999999999</v>
      </c>
      <c r="AA154" s="23">
        <f>'Annual Raw'!AB55-Template!AA126</f>
        <v>1306.2760000000001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401.4</v>
      </c>
      <c r="BK154" s="23">
        <f t="shared" si="1238"/>
        <v>401.4</v>
      </c>
      <c r="BL154" s="23">
        <f>+'QTR Raw'!AF91</f>
        <v>423.6</v>
      </c>
      <c r="BM154" s="23">
        <f t="shared" si="1238"/>
        <v>423.6</v>
      </c>
      <c r="BN154" s="23">
        <f>+'QTR Raw'!AH91</f>
        <v>468.5</v>
      </c>
      <c r="BO154" s="23">
        <f t="shared" si="1238"/>
        <v>468.5</v>
      </c>
      <c r="BP154" s="23">
        <f>+'QTR Raw'!AJ91</f>
        <v>445.1</v>
      </c>
      <c r="BQ154" s="23">
        <f t="shared" si="1238"/>
        <v>445.1</v>
      </c>
      <c r="BR154" s="23">
        <f>+'QTR Raw'!AL91</f>
        <v>521</v>
      </c>
      <c r="BS154" s="23">
        <f t="shared" si="1238"/>
        <v>521</v>
      </c>
      <c r="BT154" s="23">
        <f>+'QTR Raw'!AN91</f>
        <v>529.20000000000005</v>
      </c>
      <c r="BU154" s="23">
        <f t="shared" si="1238"/>
        <v>529.20000000000005</v>
      </c>
      <c r="BV154" s="23">
        <f>+'QTR Raw'!AP91</f>
        <v>634.79999999999995</v>
      </c>
      <c r="BW154" s="23">
        <f t="shared" si="1238"/>
        <v>634.79999999999995</v>
      </c>
      <c r="BX154" s="23">
        <f>+'QTR Raw'!AR91</f>
        <v>666.5</v>
      </c>
      <c r="BY154" s="23">
        <f t="shared" si="1238"/>
        <v>666.5</v>
      </c>
      <c r="BZ154" s="23">
        <f>+'QTR Raw'!AT91</f>
        <v>821.2</v>
      </c>
      <c r="CA154" s="23">
        <f t="shared" si="1238"/>
        <v>821.2</v>
      </c>
      <c r="CB154" s="23">
        <f>+'QTR Raw'!AV91</f>
        <v>844.3</v>
      </c>
      <c r="CC154" s="23">
        <f t="shared" si="1238"/>
        <v>844.3</v>
      </c>
      <c r="CD154" s="23">
        <f>+'QTR Raw'!AX91</f>
        <v>1023.4</v>
      </c>
      <c r="CE154" s="23">
        <f t="shared" si="1238"/>
        <v>1023.4</v>
      </c>
      <c r="CF154" s="23">
        <f>+'QTR Raw'!AZ91</f>
        <v>1036.8</v>
      </c>
      <c r="CG154" s="23">
        <f t="shared" ref="CG154:CG155" si="1242">+CF154</f>
        <v>1036.8</v>
      </c>
      <c r="CH154" s="23">
        <f t="shared" si="1192"/>
        <v>1178.3109999999999</v>
      </c>
      <c r="CJ154" s="23">
        <f>+'QTR Raw'!BD91</f>
        <v>1167.0999999999999</v>
      </c>
      <c r="CK154" s="24"/>
      <c r="CL154" s="23">
        <f>+'QTR Raw'!BF91</f>
        <v>1318.2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1318.2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3.2450000000000001</v>
      </c>
      <c r="P155" s="23">
        <f>'Annual Raw'!Q57</f>
        <v>4.5590000000000002</v>
      </c>
      <c r="Q155" s="23">
        <f>'Annual Raw'!R57</f>
        <v>3.6019999999999999</v>
      </c>
      <c r="R155" s="23">
        <f>'Annual Raw'!S57</f>
        <v>4.1589999999999998</v>
      </c>
      <c r="S155" s="23">
        <f>'Annual Raw'!T57</f>
        <v>5.1769999999999996</v>
      </c>
      <c r="T155" s="23">
        <f>'Annual Raw'!U57</f>
        <v>6.8659999999999997</v>
      </c>
      <c r="U155" s="23">
        <f>'Annual Raw'!V57</f>
        <v>4.0469999999999997</v>
      </c>
      <c r="V155" s="23">
        <f>'Annual Raw'!W57</f>
        <v>4.843</v>
      </c>
      <c r="W155" s="23">
        <f>'Annual Raw'!X57</f>
        <v>5.0279999999999996</v>
      </c>
      <c r="X155" s="23">
        <f>'Annual Raw'!Y57</f>
        <v>99.692999999999998</v>
      </c>
      <c r="Y155" s="23">
        <f>'Annual Raw'!Z57</f>
        <v>106.96599999999999</v>
      </c>
      <c r="Z155" s="23">
        <f>'Annual Raw'!AA57</f>
        <v>163.56700000000001</v>
      </c>
      <c r="AA155" s="23">
        <f>'Annual Raw'!AB57</f>
        <v>173.18899999999999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6.9</v>
      </c>
      <c r="BK155" s="23">
        <f t="shared" si="1238"/>
        <v>6.9</v>
      </c>
      <c r="BL155" s="23">
        <f>+'QTR Raw'!AF92</f>
        <v>4.2</v>
      </c>
      <c r="BM155" s="23">
        <f t="shared" si="1238"/>
        <v>4.2</v>
      </c>
      <c r="BN155" s="23">
        <f>+'QTR Raw'!AH92</f>
        <v>4</v>
      </c>
      <c r="BO155" s="23">
        <f t="shared" si="1238"/>
        <v>4</v>
      </c>
      <c r="BP155" s="23">
        <f>+'QTR Raw'!AJ92</f>
        <v>4.5</v>
      </c>
      <c r="BQ155" s="23">
        <f t="shared" si="1238"/>
        <v>4.5</v>
      </c>
      <c r="BR155" s="23">
        <f>+'QTR Raw'!AL92</f>
        <v>4.9000000000000004</v>
      </c>
      <c r="BS155" s="23">
        <f t="shared" si="1238"/>
        <v>4.9000000000000004</v>
      </c>
      <c r="BT155" s="23">
        <f>+'QTR Raw'!AN92</f>
        <v>4.7</v>
      </c>
      <c r="BU155" s="23">
        <f t="shared" si="1238"/>
        <v>4.7</v>
      </c>
      <c r="BV155" s="23">
        <f>+'QTR Raw'!AP92</f>
        <v>5</v>
      </c>
      <c r="BW155" s="23">
        <f t="shared" si="1238"/>
        <v>5</v>
      </c>
      <c r="BX155" s="23">
        <f>+'QTR Raw'!AR92</f>
        <v>5.5</v>
      </c>
      <c r="BY155" s="23">
        <f t="shared" si="1238"/>
        <v>5.5</v>
      </c>
      <c r="BZ155" s="23">
        <f>+'QTR Raw'!AT92</f>
        <v>7.6</v>
      </c>
      <c r="CA155" s="23">
        <f t="shared" si="1238"/>
        <v>7.6</v>
      </c>
      <c r="CB155" s="23">
        <f>+'QTR Raw'!AV92</f>
        <v>9.4</v>
      </c>
      <c r="CC155" s="23">
        <f t="shared" si="1238"/>
        <v>9.4</v>
      </c>
      <c r="CD155" s="23">
        <f>+'QTR Raw'!AX92</f>
        <v>9.6999999999999993</v>
      </c>
      <c r="CE155" s="23">
        <f t="shared" si="1238"/>
        <v>9.6999999999999993</v>
      </c>
      <c r="CF155" s="23">
        <f>+'QTR Raw'!AZ92</f>
        <v>11.7</v>
      </c>
      <c r="CG155" s="23">
        <f t="shared" si="1242"/>
        <v>11.7</v>
      </c>
      <c r="CH155" s="23">
        <f t="shared" si="1192"/>
        <v>163.56700000000001</v>
      </c>
      <c r="CJ155" s="23">
        <f>+'QTR Raw'!BD92</f>
        <v>13.6</v>
      </c>
      <c r="CK155" s="24"/>
      <c r="CL155" s="23">
        <f>+'QTR Raw'!BF92</f>
        <v>14.8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14.8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0</v>
      </c>
      <c r="K156" s="22">
        <f t="shared" si="1243"/>
        <v>0</v>
      </c>
      <c r="L156" s="22">
        <f t="shared" si="1243"/>
        <v>0</v>
      </c>
      <c r="M156" s="22">
        <f t="shared" si="1243"/>
        <v>0</v>
      </c>
      <c r="N156" s="22">
        <f t="shared" si="1243"/>
        <v>0</v>
      </c>
      <c r="O156" s="22">
        <f t="shared" si="1243"/>
        <v>144.36700000000002</v>
      </c>
      <c r="P156" s="22">
        <f t="shared" si="1243"/>
        <v>196.40299999999999</v>
      </c>
      <c r="Q156" s="22">
        <f t="shared" si="1243"/>
        <v>521.81200000000001</v>
      </c>
      <c r="R156" s="22">
        <f t="shared" si="1243"/>
        <v>611.12700000000007</v>
      </c>
      <c r="S156" s="22">
        <f t="shared" si="1243"/>
        <v>864.31900000000007</v>
      </c>
      <c r="T156" s="22">
        <f t="shared" si="1243"/>
        <v>660.86699999999996</v>
      </c>
      <c r="U156" s="22">
        <f t="shared" si="1243"/>
        <v>847.87200000000007</v>
      </c>
      <c r="V156" s="22">
        <f t="shared" si="1243"/>
        <v>943.39</v>
      </c>
      <c r="W156" s="22">
        <f t="shared" ref="W156" si="1244">SUM(W149:W155)</f>
        <v>1220.74</v>
      </c>
      <c r="X156" s="22">
        <f t="shared" ref="X156:Y156" si="1245">SUM(X149:X155)</f>
        <v>1615.8320000000001</v>
      </c>
      <c r="Y156" s="22">
        <f t="shared" si="1245"/>
        <v>1762.942</v>
      </c>
      <c r="Z156" s="22">
        <f t="shared" ref="Z156:AA156" si="1246">SUM(Z149:Z155)</f>
        <v>2056.8029999999999</v>
      </c>
      <c r="AA156" s="22">
        <f t="shared" si="1246"/>
        <v>2322.0769999999998</v>
      </c>
      <c r="AB156" s="21">
        <f t="shared" ref="AA156:AD156" si="1247">SUM(AB149:AB155)</f>
        <v>2458.3028985536521</v>
      </c>
      <c r="AC156" s="21">
        <f t="shared" si="1247"/>
        <v>2784.623976755925</v>
      </c>
      <c r="AD156" s="21">
        <f t="shared" si="1247"/>
        <v>3154.1147131017951</v>
      </c>
      <c r="AE156" s="21">
        <f t="shared" ref="AE156" si="1248">SUM(AE149:AE155)</f>
        <v>3572.6373976516156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>
        <f t="shared" si="1253"/>
        <v>0</v>
      </c>
      <c r="BJ156" s="22">
        <f t="shared" si="1253"/>
        <v>660.9</v>
      </c>
      <c r="BK156" s="22">
        <f t="shared" si="1253"/>
        <v>661.76934782608691</v>
      </c>
      <c r="BL156" s="22">
        <f t="shared" si="1253"/>
        <v>723.6</v>
      </c>
      <c r="BM156" s="22">
        <f t="shared" si="1253"/>
        <v>724.46922094508307</v>
      </c>
      <c r="BN156" s="22">
        <f t="shared" si="1253"/>
        <v>847.8</v>
      </c>
      <c r="BO156" s="22">
        <f t="shared" si="1253"/>
        <v>846.01105232216344</v>
      </c>
      <c r="BP156" s="22">
        <f t="shared" si="1253"/>
        <v>780.4</v>
      </c>
      <c r="BQ156" s="22">
        <f t="shared" si="1253"/>
        <v>781.44509803921574</v>
      </c>
      <c r="BR156" s="22">
        <f t="shared" si="1253"/>
        <v>879.9</v>
      </c>
      <c r="BS156" s="22">
        <f t="shared" si="1253"/>
        <v>880.06282693377852</v>
      </c>
      <c r="BT156" s="22">
        <f t="shared" si="1253"/>
        <v>906.60000000000014</v>
      </c>
      <c r="BU156" s="22">
        <f t="shared" si="1253"/>
        <v>907.09375000000011</v>
      </c>
      <c r="BV156" s="22">
        <f t="shared" si="1253"/>
        <v>1059.1999999999998</v>
      </c>
      <c r="BW156" s="22">
        <f t="shared" si="1253"/>
        <v>1061.3195630585899</v>
      </c>
      <c r="BX156" s="22">
        <f t="shared" si="1253"/>
        <v>1156</v>
      </c>
      <c r="BY156" s="22">
        <f t="shared" si="1253"/>
        <v>1157.1715710723192</v>
      </c>
      <c r="BZ156" s="22">
        <f t="shared" si="1253"/>
        <v>1365.8</v>
      </c>
      <c r="CA156" s="22">
        <f t="shared" si="1253"/>
        <v>1367.1458333333333</v>
      </c>
      <c r="CB156" s="22">
        <f t="shared" si="1253"/>
        <v>1425.3000000000002</v>
      </c>
      <c r="CC156" s="22">
        <f t="shared" si="1253"/>
        <v>1426.2208008143875</v>
      </c>
      <c r="CD156" s="22">
        <f t="shared" si="1253"/>
        <v>1669.6000000000001</v>
      </c>
      <c r="CE156" s="22">
        <f t="shared" si="1253"/>
        <v>1671.4145535430569</v>
      </c>
      <c r="CF156" s="22">
        <f t="shared" ref="CF156:CG156" si="1255">SUM(CF149:CF155)</f>
        <v>1688.2</v>
      </c>
      <c r="CG156" s="22">
        <f t="shared" si="1255"/>
        <v>1688.8339948231235</v>
      </c>
      <c r="CH156" s="22">
        <f t="shared" ref="CH156:CI156" si="1256">SUM(CH149:CH155)</f>
        <v>2056.8029999999999</v>
      </c>
      <c r="CI156" s="22">
        <f t="shared" si="1256"/>
        <v>2155.2700543508872</v>
      </c>
      <c r="CJ156" s="22">
        <f t="shared" ref="CJ156:DB156" si="1257">SUM(CJ149:CJ155)</f>
        <v>1938.3999999999999</v>
      </c>
      <c r="CK156" s="21">
        <f t="shared" si="1257"/>
        <v>1990.9499744245525</v>
      </c>
      <c r="CL156" s="22">
        <f t="shared" ref="CL156" si="1258">SUM(CL149:CL155)</f>
        <v>2169</v>
      </c>
      <c r="CM156" s="21">
        <f t="shared" si="1257"/>
        <v>2255.635142937314</v>
      </c>
      <c r="CN156" s="21">
        <f t="shared" si="1257"/>
        <v>2373.7625339977758</v>
      </c>
      <c r="CO156" s="21">
        <f t="shared" si="1257"/>
        <v>2441.9383676851526</v>
      </c>
      <c r="CP156" s="21">
        <f t="shared" si="1257"/>
        <v>2458.3028985536521</v>
      </c>
      <c r="CQ156" s="21">
        <f t="shared" si="1257"/>
        <v>2553.5771105938438</v>
      </c>
      <c r="CR156" s="21">
        <f t="shared" si="1257"/>
        <v>2688.5854127366583</v>
      </c>
      <c r="CS156" s="21">
        <f t="shared" si="1257"/>
        <v>2766.4108497624566</v>
      </c>
      <c r="CT156" s="21">
        <f t="shared" si="1257"/>
        <v>2784.623976755925</v>
      </c>
      <c r="CU156" s="21">
        <f t="shared" si="1257"/>
        <v>2892.1375975023971</v>
      </c>
      <c r="CV156" s="21">
        <f t="shared" si="1257"/>
        <v>3045.3783921891686</v>
      </c>
      <c r="CW156" s="21">
        <f t="shared" si="1257"/>
        <v>3133.587434854885</v>
      </c>
      <c r="CX156" s="21">
        <f t="shared" si="1257"/>
        <v>3154.1147131017951</v>
      </c>
      <c r="CY156" s="21">
        <f t="shared" si="1257"/>
        <v>3275.8561100612778</v>
      </c>
      <c r="CZ156" s="21">
        <f t="shared" si="1257"/>
        <v>3449.4996127536633</v>
      </c>
      <c r="DA156" s="21">
        <f t="shared" si="1257"/>
        <v>3549.4086985436566</v>
      </c>
      <c r="DB156" s="21">
        <f t="shared" si="1257"/>
        <v>3572.6373976516156</v>
      </c>
      <c r="DE156" s="126"/>
      <c r="DF156" s="22">
        <v>1984.6857975368239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0</v>
      </c>
      <c r="K157" s="22">
        <f t="shared" si="1259"/>
        <v>0</v>
      </c>
      <c r="L157" s="22">
        <f t="shared" si="1259"/>
        <v>0</v>
      </c>
      <c r="M157" s="22">
        <f t="shared" si="1259"/>
        <v>0</v>
      </c>
      <c r="N157" s="22">
        <f t="shared" si="1259"/>
        <v>0</v>
      </c>
      <c r="O157" s="22">
        <f t="shared" si="1259"/>
        <v>-133.23900000000003</v>
      </c>
      <c r="P157" s="22">
        <f t="shared" si="1259"/>
        <v>-170.59199999999998</v>
      </c>
      <c r="Q157" s="22">
        <f t="shared" si="1259"/>
        <v>-485.267</v>
      </c>
      <c r="R157" s="22">
        <f t="shared" si="1259"/>
        <v>-575.82600000000002</v>
      </c>
      <c r="S157" s="22">
        <f t="shared" si="1259"/>
        <v>-802.80400000000009</v>
      </c>
      <c r="T157" s="22">
        <f t="shared" si="1259"/>
        <v>-620.34699999999998</v>
      </c>
      <c r="U157" s="22">
        <f t="shared" si="1259"/>
        <v>-760.62300000000005</v>
      </c>
      <c r="V157" s="22">
        <f t="shared" si="1259"/>
        <v>-765.79600000000005</v>
      </c>
      <c r="W157" s="22">
        <f t="shared" ref="W157" si="1260">W148-W156</f>
        <v>-965.06700000000001</v>
      </c>
      <c r="X157" s="22">
        <f t="shared" ref="X157:Y157" si="1261">X148-X156</f>
        <v>-1318.4900000000002</v>
      </c>
      <c r="Y157" s="22">
        <f t="shared" si="1261"/>
        <v>-1604.4490000000001</v>
      </c>
      <c r="Z157" s="22">
        <f t="shared" ref="Z157:AA157" si="1262">Z148-Z156</f>
        <v>-1824.2779999999998</v>
      </c>
      <c r="AA157" s="22">
        <f t="shared" si="1262"/>
        <v>-1921.9969999999998</v>
      </c>
      <c r="AB157" s="21">
        <f t="shared" ref="AA157:AD157" si="1263">AB148-AB156</f>
        <v>-2159.770402712697</v>
      </c>
      <c r="AC157" s="21">
        <f t="shared" si="1263"/>
        <v>-2446.4635546823838</v>
      </c>
      <c r="AD157" s="21">
        <f t="shared" si="1263"/>
        <v>-2771.0839083848691</v>
      </c>
      <c r="AE157" s="21">
        <f t="shared" ref="AE157" si="1264">AE148-AE156</f>
        <v>-3138.781846456855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>
        <f t="shared" si="1269"/>
        <v>0</v>
      </c>
      <c r="BJ157" s="22">
        <f t="shared" si="1269"/>
        <v>-620.29999999999995</v>
      </c>
      <c r="BK157" s="22">
        <f t="shared" si="1269"/>
        <v>-621.12891304347818</v>
      </c>
      <c r="BL157" s="22">
        <f t="shared" si="1269"/>
        <v>-607.70000000000005</v>
      </c>
      <c r="BM157" s="22">
        <f t="shared" si="1269"/>
        <v>-608.48441890166032</v>
      </c>
      <c r="BN157" s="22">
        <f t="shared" si="1269"/>
        <v>-680.69999999999993</v>
      </c>
      <c r="BO157" s="22">
        <f t="shared" si="1269"/>
        <v>-679.08095238095234</v>
      </c>
      <c r="BP157" s="22">
        <f t="shared" si="1269"/>
        <v>-659.1</v>
      </c>
      <c r="BQ157" s="22">
        <f t="shared" si="1269"/>
        <v>-660.07500000000005</v>
      </c>
      <c r="BR157" s="22">
        <f t="shared" si="1269"/>
        <v>-703.19999999999993</v>
      </c>
      <c r="BS157" s="22">
        <f t="shared" si="1269"/>
        <v>-703.34908180300499</v>
      </c>
      <c r="BT157" s="22">
        <f t="shared" si="1269"/>
        <v>-752.10000000000014</v>
      </c>
      <c r="BU157" s="22">
        <f t="shared" si="1269"/>
        <v>-752.56562500000018</v>
      </c>
      <c r="BV157" s="22">
        <f t="shared" si="1269"/>
        <v>-912.29999999999984</v>
      </c>
      <c r="BW157" s="22">
        <f t="shared" si="1269"/>
        <v>-914.2698113207548</v>
      </c>
      <c r="BX157" s="22">
        <f t="shared" si="1269"/>
        <v>-1028.0999999999999</v>
      </c>
      <c r="BY157" s="22">
        <f t="shared" si="1269"/>
        <v>-1029.0112219451371</v>
      </c>
      <c r="BZ157" s="22">
        <f t="shared" si="1269"/>
        <v>-1277.0999999999999</v>
      </c>
      <c r="CA157" s="22">
        <f t="shared" si="1269"/>
        <v>-1278.0945312499998</v>
      </c>
      <c r="CB157" s="22">
        <f t="shared" si="1269"/>
        <v>-1319.5000000000002</v>
      </c>
      <c r="CC157" s="22">
        <f t="shared" si="1269"/>
        <v>-1320.2553444180523</v>
      </c>
      <c r="CD157" s="22">
        <f t="shared" si="1269"/>
        <v>-1571.9</v>
      </c>
      <c r="CE157" s="22">
        <f t="shared" si="1269"/>
        <v>-1573.4613600254211</v>
      </c>
      <c r="CF157" s="22">
        <f t="shared" ref="CF157:CG157" si="1271">CF148-CF156</f>
        <v>-1600.1000000000001</v>
      </c>
      <c r="CG157" s="22">
        <f t="shared" si="1271"/>
        <v>-1600.6694564279553</v>
      </c>
      <c r="CH157" s="22">
        <f t="shared" ref="CH157:CI157" si="1272">CH148-CH156</f>
        <v>-1824.2779999999998</v>
      </c>
      <c r="CI157" s="22">
        <f t="shared" si="1272"/>
        <v>-1911.6131900872995</v>
      </c>
      <c r="CJ157" s="22">
        <f t="shared" ref="CJ157:DB157" si="1273">CJ148-CJ156</f>
        <v>-1737.8999999999999</v>
      </c>
      <c r="CK157" s="21">
        <f t="shared" si="1273"/>
        <v>-1785.0144245524298</v>
      </c>
      <c r="CL157" s="22">
        <f t="shared" ref="CL157" si="1274">CL148-CL156</f>
        <v>-1905.6</v>
      </c>
      <c r="CM157" s="21">
        <f t="shared" si="1273"/>
        <v>-1981.7143053855903</v>
      </c>
      <c r="CN157" s="21">
        <f t="shared" si="1273"/>
        <v>-2085.4964890669253</v>
      </c>
      <c r="CO157" s="21">
        <f t="shared" si="1273"/>
        <v>-2145.3931551225573</v>
      </c>
      <c r="CP157" s="21">
        <f t="shared" si="1273"/>
        <v>-2159.770402712697</v>
      </c>
      <c r="CQ157" s="21">
        <f t="shared" si="1273"/>
        <v>-2243.4746620321016</v>
      </c>
      <c r="CR157" s="21">
        <f t="shared" si="1273"/>
        <v>-2362.0877651041847</v>
      </c>
      <c r="CS157" s="21">
        <f t="shared" si="1273"/>
        <v>-2430.4622016170297</v>
      </c>
      <c r="CT157" s="21">
        <f t="shared" si="1273"/>
        <v>-2446.4635546823838</v>
      </c>
      <c r="CU157" s="21">
        <f t="shared" si="1273"/>
        <v>-2540.9208878748582</v>
      </c>
      <c r="CV157" s="21">
        <f t="shared" si="1273"/>
        <v>-2675.5523578403318</v>
      </c>
      <c r="CW157" s="21">
        <f t="shared" si="1273"/>
        <v>-2753.0494310094373</v>
      </c>
      <c r="CX157" s="21">
        <f t="shared" si="1273"/>
        <v>-2771.0839083848691</v>
      </c>
      <c r="CY157" s="21">
        <f t="shared" si="1273"/>
        <v>-2878.0412186873082</v>
      </c>
      <c r="CZ157" s="21">
        <f t="shared" si="1273"/>
        <v>-3030.5977234040483</v>
      </c>
      <c r="DA157" s="21">
        <f t="shared" si="1273"/>
        <v>-3118.3740045849663</v>
      </c>
      <c r="DB157" s="21">
        <f t="shared" si="1273"/>
        <v>-3138.781846456855</v>
      </c>
      <c r="DE157" s="126"/>
      <c r="DF157" s="22">
        <v>-1779.3981879587527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57.981000000000002</v>
      </c>
      <c r="P159" s="23">
        <f>'Annual Raw'!Q75</f>
        <v>60.034999999999997</v>
      </c>
      <c r="Q159" s="23">
        <f>'Annual Raw'!R75</f>
        <v>128.63</v>
      </c>
      <c r="R159" s="23">
        <f>'Annual Raw'!S75</f>
        <v>136.262</v>
      </c>
      <c r="S159" s="23">
        <f>'Annual Raw'!T75</f>
        <v>311.07</v>
      </c>
      <c r="T159" s="23">
        <f>'Annual Raw'!U75</f>
        <v>607.44500000000005</v>
      </c>
      <c r="U159" s="23">
        <f>'Annual Raw'!V75</f>
        <v>871.87800000000004</v>
      </c>
      <c r="V159" s="23">
        <f>'Annual Raw'!W75</f>
        <v>2217.4360000000001</v>
      </c>
      <c r="W159" s="23">
        <f>'Annual Raw'!X75</f>
        <v>2300.7649999999999</v>
      </c>
      <c r="X159" s="23">
        <f>'Annual Raw'!Y75</f>
        <v>2271.8330000000001</v>
      </c>
      <c r="Y159" s="23">
        <f>'Annual Raw'!Z75</f>
        <v>2222.1759999999999</v>
      </c>
      <c r="Z159" s="23">
        <f>'Annual Raw'!AA75</f>
        <v>2788.2069999999999</v>
      </c>
      <c r="AA159" s="23">
        <f>'Annual Raw'!AB75</f>
        <v>3029.4050000000002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607.4</v>
      </c>
      <c r="BL159" s="23">
        <f>+'QTR Raw'!AF80</f>
        <v>722.9</v>
      </c>
      <c r="BN159" s="23">
        <f>+'QTR Raw'!AH80</f>
        <v>871.9</v>
      </c>
      <c r="BP159" s="23">
        <f>+'QTR Raw'!AJ80</f>
        <v>987.3</v>
      </c>
      <c r="BR159" s="23">
        <f>+'QTR Raw'!AL80</f>
        <v>2217.4</v>
      </c>
      <c r="BT159" s="23">
        <f>+'QTR Raw'!AN80</f>
        <v>2357.6999999999998</v>
      </c>
      <c r="BV159" s="23">
        <f>+'QTR Raw'!AP80</f>
        <v>2300.8000000000002</v>
      </c>
      <c r="BX159" s="23">
        <f>+'QTR Raw'!AR80</f>
        <v>1919.4</v>
      </c>
      <c r="BZ159" s="23">
        <f>+'QTR Raw'!AT80</f>
        <v>2271.8000000000002</v>
      </c>
      <c r="CB159" s="23">
        <f>+'QTR Raw'!AV80</f>
        <v>1825.1</v>
      </c>
      <c r="CD159" s="23">
        <f>+'QTR Raw'!AX80</f>
        <v>2222.1999999999998</v>
      </c>
      <c r="CF159" s="23">
        <f>+'QTR Raw'!AZ80</f>
        <v>2391.8000000000002</v>
      </c>
      <c r="CH159" s="23">
        <f t="shared" ref="CH159:CH160" si="1279">Z159</f>
        <v>2788.2069999999999</v>
      </c>
      <c r="CJ159" s="23">
        <f>+'QTR Raw'!BD80</f>
        <v>2720</v>
      </c>
      <c r="CK159" s="24"/>
      <c r="CL159" s="23">
        <f>+'QTR Raw'!BF80</f>
        <v>3029.4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3029.4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6.7080000000000002</v>
      </c>
      <c r="P160" s="23">
        <f>'Annual Raw'!Q78</f>
        <v>10.295</v>
      </c>
      <c r="Q160" s="23">
        <f>'Annual Raw'!R78</f>
        <v>18.747</v>
      </c>
      <c r="R160" s="23">
        <f>'Annual Raw'!S78</f>
        <v>40.655000000000001</v>
      </c>
      <c r="S160" s="23">
        <f>'Annual Raw'!T78</f>
        <v>46.710999999999999</v>
      </c>
      <c r="T160" s="23">
        <f>'Annual Raw'!U78</f>
        <v>77.744</v>
      </c>
      <c r="U160" s="23">
        <f>'Annual Raw'!V78</f>
        <v>23.864000000000001</v>
      </c>
      <c r="V160" s="23">
        <f>'Annual Raw'!W78</f>
        <v>77.727000000000004</v>
      </c>
      <c r="W160" s="23">
        <f>'Annual Raw'!X78</f>
        <v>76.823999999999998</v>
      </c>
      <c r="X160" s="23">
        <f>'Annual Raw'!Y78</f>
        <v>58.274999999999999</v>
      </c>
      <c r="Y160" s="23">
        <f>'Annual Raw'!Z78</f>
        <v>101.20099999999999</v>
      </c>
      <c r="Z160" s="23">
        <f>'Annual Raw'!AA78</f>
        <v>84.385999999999996</v>
      </c>
      <c r="AA160" s="23">
        <f>'Annual Raw'!AB78</f>
        <v>91.198999999999998</v>
      </c>
      <c r="AB160" s="24">
        <f t="shared" si="1275"/>
        <v>3651.1962599920644</v>
      </c>
      <c r="AC160" s="24">
        <f t="shared" si="1276"/>
        <v>4248.1519242623035</v>
      </c>
      <c r="AD160" s="24">
        <f t="shared" si="1277"/>
        <v>4925.7561474179483</v>
      </c>
      <c r="AE160" s="24">
        <f t="shared" si="1278"/>
        <v>5695.8219364529277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>
        <f t="shared" ref="BI160" si="1291">+BI210</f>
        <v>27.700000000000003</v>
      </c>
      <c r="BJ160" s="23">
        <f>+'QTR Raw'!AD83</f>
        <v>77.7</v>
      </c>
      <c r="BK160" s="23">
        <f t="shared" ref="BK160" si="1292">+BK210</f>
        <v>718.32891304347834</v>
      </c>
      <c r="BL160" s="23">
        <f>+'QTR Raw'!AF83</f>
        <v>18.5</v>
      </c>
      <c r="BM160" s="23">
        <f t="shared" ref="BM160" si="1293">+BM210</f>
        <v>804.18441890166037</v>
      </c>
      <c r="BN160" s="23">
        <f>+'QTR Raw'!AH83</f>
        <v>23.8</v>
      </c>
      <c r="BO160" s="23">
        <f t="shared" ref="BO160" si="1294">+BO210</f>
        <v>968.18095238095225</v>
      </c>
      <c r="BP160" s="23">
        <f>+'QTR Raw'!AJ83</f>
        <v>58.1</v>
      </c>
      <c r="BQ160" s="23">
        <f t="shared" ref="BQ160" si="1295">+BQ210</f>
        <v>1126.575</v>
      </c>
      <c r="BR160" s="23">
        <f>+'QTR Raw'!AL83</f>
        <v>77.7</v>
      </c>
      <c r="BS160" s="23">
        <f t="shared" ref="BS160" si="1296">+BS210</f>
        <v>2383.1490818030056</v>
      </c>
      <c r="BT160" s="23">
        <f>+'QTR Raw'!AN83</f>
        <v>47.1</v>
      </c>
      <c r="BU160" s="23">
        <f t="shared" ref="BU160" si="1297">+BU210</f>
        <v>2475.4656249999998</v>
      </c>
      <c r="BV160" s="23">
        <f>+'QTR Raw'!AP83</f>
        <v>76.8</v>
      </c>
      <c r="BW160" s="23">
        <f t="shared" ref="BW160" si="1298">+BW210</f>
        <v>2426.2698113207553</v>
      </c>
      <c r="BX160" s="23">
        <f>+'QTR Raw'!AR83</f>
        <v>33.799999999999997</v>
      </c>
      <c r="BY160" s="23">
        <f t="shared" ref="BY160" si="1299">+BY210</f>
        <v>2066.9112219451372</v>
      </c>
      <c r="BZ160" s="23">
        <f>+'QTR Raw'!AT83</f>
        <v>58.3</v>
      </c>
      <c r="CA160" s="23">
        <f t="shared" ref="CA160" si="1300">+CA210</f>
        <v>2414.1945312500002</v>
      </c>
      <c r="CB160" s="23">
        <f>+'QTR Raw'!AV83</f>
        <v>57.3</v>
      </c>
      <c r="CC160" s="23">
        <f t="shared" ref="CC160" si="1301">+CC210</f>
        <v>1965.0553444180521</v>
      </c>
      <c r="CD160" s="23">
        <f>+'QTR Raw'!AX83</f>
        <v>101.2</v>
      </c>
      <c r="CE160" s="23">
        <f t="shared" ref="CE160" si="1302">+CE210</f>
        <v>2438.9613600254206</v>
      </c>
      <c r="CF160" s="23">
        <f>+'QTR Raw'!AZ83</f>
        <v>39.799999999999997</v>
      </c>
      <c r="CG160" s="23">
        <f t="shared" ref="CG160:CI160" si="1303">+CG210</f>
        <v>2553.1694564279555</v>
      </c>
      <c r="CH160" s="23">
        <f t="shared" si="1279"/>
        <v>84.385999999999996</v>
      </c>
      <c r="CI160" s="23">
        <f t="shared" si="1303"/>
        <v>3120.3281900872994</v>
      </c>
      <c r="CJ160" s="23">
        <f>+'QTR Raw'!BD83</f>
        <v>35.700000000000003</v>
      </c>
      <c r="CK160" s="24">
        <f t="shared" ref="CK160:DB160" si="1304">+CK210</f>
        <v>2998.4144245524299</v>
      </c>
      <c r="CL160" s="23">
        <f>+'QTR Raw'!BF83</f>
        <v>91.2</v>
      </c>
      <c r="CM160" s="24">
        <f t="shared" si="1304"/>
        <v>3264.4869691845888</v>
      </c>
      <c r="CN160" s="24">
        <f t="shared" si="1304"/>
        <v>3437.3947375732009</v>
      </c>
      <c r="CO160" s="24">
        <f t="shared" si="1304"/>
        <v>3567.9525790384423</v>
      </c>
      <c r="CP160" s="24">
        <f t="shared" si="1304"/>
        <v>3651.1962599920644</v>
      </c>
      <c r="CQ160" s="24">
        <f t="shared" si="1304"/>
        <v>3808.6089633780257</v>
      </c>
      <c r="CR160" s="24">
        <f t="shared" si="1304"/>
        <v>4005.0811842081816</v>
      </c>
      <c r="CS160" s="24">
        <f t="shared" si="1304"/>
        <v>4153.091518377506</v>
      </c>
      <c r="CT160" s="24">
        <f t="shared" si="1304"/>
        <v>4248.1519242623035</v>
      </c>
      <c r="CU160" s="24">
        <f t="shared" si="1304"/>
        <v>4425.935831621634</v>
      </c>
      <c r="CV160" s="24">
        <f t="shared" si="1304"/>
        <v>4649.2127355156272</v>
      </c>
      <c r="CW160" s="24">
        <f t="shared" si="1304"/>
        <v>4817.4636100072876</v>
      </c>
      <c r="CX160" s="24">
        <f t="shared" si="1304"/>
        <v>4925.7561474179483</v>
      </c>
      <c r="CY160" s="24">
        <f t="shared" si="1304"/>
        <v>5127.6166672993822</v>
      </c>
      <c r="CZ160" s="24">
        <f t="shared" si="1304"/>
        <v>5381.241703784789</v>
      </c>
      <c r="DA160" s="24">
        <f t="shared" si="1304"/>
        <v>5572.4929609283045</v>
      </c>
      <c r="DB160" s="24">
        <f t="shared" si="1304"/>
        <v>5695.8219364529277</v>
      </c>
      <c r="DE160" s="123"/>
      <c r="DF160" s="23">
        <v>3201.6258929202809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0</v>
      </c>
      <c r="K161" s="22">
        <f t="shared" si="1305"/>
        <v>0</v>
      </c>
      <c r="L161" s="22">
        <f t="shared" si="1305"/>
        <v>0</v>
      </c>
      <c r="M161" s="22">
        <f t="shared" si="1305"/>
        <v>0</v>
      </c>
      <c r="N161" s="22">
        <f t="shared" si="1305"/>
        <v>0</v>
      </c>
      <c r="O161" s="22">
        <f t="shared" si="1305"/>
        <v>64.689000000000007</v>
      </c>
      <c r="P161" s="22">
        <f t="shared" si="1305"/>
        <v>70.33</v>
      </c>
      <c r="Q161" s="22">
        <f t="shared" si="1305"/>
        <v>147.37700000000001</v>
      </c>
      <c r="R161" s="22">
        <f t="shared" si="1305"/>
        <v>176.917</v>
      </c>
      <c r="S161" s="22">
        <f t="shared" si="1305"/>
        <v>357.78100000000001</v>
      </c>
      <c r="T161" s="22">
        <f t="shared" si="1305"/>
        <v>685.18900000000008</v>
      </c>
      <c r="U161" s="22">
        <f t="shared" si="1305"/>
        <v>895.74200000000008</v>
      </c>
      <c r="V161" s="22">
        <f t="shared" si="1305"/>
        <v>2295.163</v>
      </c>
      <c r="W161" s="22">
        <f t="shared" ref="W161" si="1306">W159+W160</f>
        <v>2377.5889999999999</v>
      </c>
      <c r="X161" s="22">
        <f t="shared" ref="X161:Y161" si="1307">X159+X160</f>
        <v>2330.1080000000002</v>
      </c>
      <c r="Y161" s="22">
        <f t="shared" si="1307"/>
        <v>2323.377</v>
      </c>
      <c r="Z161" s="22">
        <f t="shared" ref="Z161:AA161" si="1308">Z159+Z160</f>
        <v>2872.5929999999998</v>
      </c>
      <c r="AA161" s="22">
        <f t="shared" si="1308"/>
        <v>3120.6040000000003</v>
      </c>
      <c r="AB161" s="21">
        <f t="shared" ref="AA161:AD161" si="1309">AB159+AB160</f>
        <v>3651.1962599920644</v>
      </c>
      <c r="AC161" s="21">
        <f t="shared" si="1309"/>
        <v>4248.1519242623035</v>
      </c>
      <c r="AD161" s="21">
        <f t="shared" si="1309"/>
        <v>4925.7561474179483</v>
      </c>
      <c r="AE161" s="21">
        <f t="shared" ref="AE161" si="1310">AE159+AE160</f>
        <v>5695.8219364529277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>
        <f t="shared" si="1315"/>
        <v>27.700000000000003</v>
      </c>
      <c r="BJ161" s="22">
        <f t="shared" si="1315"/>
        <v>685.1</v>
      </c>
      <c r="BK161" s="22">
        <f t="shared" si="1315"/>
        <v>718.32891304347834</v>
      </c>
      <c r="BL161" s="22">
        <f t="shared" si="1315"/>
        <v>741.4</v>
      </c>
      <c r="BM161" s="22">
        <f t="shared" si="1315"/>
        <v>804.18441890166037</v>
      </c>
      <c r="BN161" s="22">
        <f t="shared" si="1315"/>
        <v>895.69999999999993</v>
      </c>
      <c r="BO161" s="22">
        <f t="shared" si="1315"/>
        <v>968.18095238095225</v>
      </c>
      <c r="BP161" s="22">
        <f t="shared" si="1315"/>
        <v>1045.3999999999999</v>
      </c>
      <c r="BQ161" s="22">
        <f t="shared" si="1315"/>
        <v>1126.575</v>
      </c>
      <c r="BR161" s="22">
        <f t="shared" si="1315"/>
        <v>2295.1</v>
      </c>
      <c r="BS161" s="22">
        <f t="shared" si="1315"/>
        <v>2383.1490818030056</v>
      </c>
      <c r="BT161" s="22">
        <f t="shared" si="1315"/>
        <v>2404.7999999999997</v>
      </c>
      <c r="BU161" s="22">
        <f t="shared" si="1315"/>
        <v>2475.4656249999998</v>
      </c>
      <c r="BV161" s="22">
        <f t="shared" si="1315"/>
        <v>2377.6000000000004</v>
      </c>
      <c r="BW161" s="22">
        <f t="shared" si="1315"/>
        <v>2426.2698113207553</v>
      </c>
      <c r="BX161" s="22">
        <f t="shared" si="1315"/>
        <v>1953.2</v>
      </c>
      <c r="BY161" s="22">
        <f t="shared" si="1315"/>
        <v>2066.9112219451372</v>
      </c>
      <c r="BZ161" s="22">
        <f t="shared" si="1315"/>
        <v>2330.1000000000004</v>
      </c>
      <c r="CA161" s="22">
        <f t="shared" si="1315"/>
        <v>2414.1945312500002</v>
      </c>
      <c r="CB161" s="22">
        <f t="shared" si="1315"/>
        <v>1882.3999999999999</v>
      </c>
      <c r="CC161" s="22">
        <f t="shared" si="1315"/>
        <v>1965.0553444180521</v>
      </c>
      <c r="CD161" s="22">
        <f t="shared" si="1315"/>
        <v>2323.3999999999996</v>
      </c>
      <c r="CE161" s="22">
        <f t="shared" si="1315"/>
        <v>2438.9613600254206</v>
      </c>
      <c r="CF161" s="22">
        <f t="shared" ref="CF161:CG161" si="1316">CF159+CF160</f>
        <v>2431.6000000000004</v>
      </c>
      <c r="CG161" s="22">
        <f t="shared" si="1316"/>
        <v>2553.1694564279555</v>
      </c>
      <c r="CH161" s="22">
        <f t="shared" ref="CH161:CI161" si="1317">CH159+CH160</f>
        <v>2872.5929999999998</v>
      </c>
      <c r="CI161" s="22">
        <f t="shared" si="1317"/>
        <v>3120.3281900872994</v>
      </c>
      <c r="CJ161" s="22">
        <f t="shared" ref="CJ161:DB161" si="1318">CJ159+CJ160</f>
        <v>2755.7</v>
      </c>
      <c r="CK161" s="21">
        <f t="shared" si="1318"/>
        <v>2998.4144245524299</v>
      </c>
      <c r="CL161" s="22">
        <f t="shared" ref="CL161" si="1319">CL159+CL160</f>
        <v>3120.6</v>
      </c>
      <c r="CM161" s="21">
        <f t="shared" si="1318"/>
        <v>3264.4869691845888</v>
      </c>
      <c r="CN161" s="21">
        <f t="shared" si="1318"/>
        <v>3437.3947375732009</v>
      </c>
      <c r="CO161" s="21">
        <f t="shared" si="1318"/>
        <v>3567.9525790384423</v>
      </c>
      <c r="CP161" s="21">
        <f t="shared" si="1318"/>
        <v>3651.1962599920644</v>
      </c>
      <c r="CQ161" s="21">
        <f t="shared" si="1318"/>
        <v>3808.6089633780257</v>
      </c>
      <c r="CR161" s="21">
        <f t="shared" si="1318"/>
        <v>4005.0811842081816</v>
      </c>
      <c r="CS161" s="21">
        <f t="shared" si="1318"/>
        <v>4153.091518377506</v>
      </c>
      <c r="CT161" s="21">
        <f t="shared" si="1318"/>
        <v>4248.1519242623035</v>
      </c>
      <c r="CU161" s="21">
        <f t="shared" si="1318"/>
        <v>4425.935831621634</v>
      </c>
      <c r="CV161" s="21">
        <f t="shared" si="1318"/>
        <v>4649.2127355156272</v>
      </c>
      <c r="CW161" s="21">
        <f t="shared" si="1318"/>
        <v>4817.4636100072876</v>
      </c>
      <c r="CX161" s="21">
        <f t="shared" si="1318"/>
        <v>4925.7561474179483</v>
      </c>
      <c r="CY161" s="21">
        <f t="shared" si="1318"/>
        <v>5127.6166672993822</v>
      </c>
      <c r="CZ161" s="21">
        <f t="shared" si="1318"/>
        <v>5381.241703784789</v>
      </c>
      <c r="DA161" s="21">
        <f t="shared" si="1318"/>
        <v>5572.4929609283045</v>
      </c>
      <c r="DB161" s="21">
        <f t="shared" si="1318"/>
        <v>5695.8219364529277</v>
      </c>
      <c r="DE161" s="126"/>
      <c r="DF161" s="22">
        <v>3201.6258929202809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115.557</v>
      </c>
      <c r="T163" s="23">
        <f>-'Annual Raw'!U49</f>
        <v>85.808000000000007</v>
      </c>
      <c r="U163" s="23">
        <f>-'Annual Raw'!V49</f>
        <v>24.57</v>
      </c>
      <c r="V163" s="23">
        <f>-'Annual Raw'!W49</f>
        <v>-20.72</v>
      </c>
      <c r="W163" s="23">
        <f>-'Annual Raw'!X49</f>
        <v>-15.641999999999999</v>
      </c>
      <c r="X163" s="23">
        <f>-'Annual Raw'!Y49</f>
        <v>-18.111000000000001</v>
      </c>
      <c r="Y163" s="23">
        <f>-'Annual Raw'!Z49</f>
        <v>-42.947000000000003</v>
      </c>
      <c r="Z163" s="23">
        <f>-'Annual Raw'!AA49</f>
        <v>-43.442</v>
      </c>
      <c r="AA163" s="23">
        <f>-'Annual Raw'!AB49</f>
        <v>-55.195</v>
      </c>
      <c r="AB163" s="24">
        <f t="shared" ref="AB163:AB164" si="1320">+CP163</f>
        <v>-55.1</v>
      </c>
      <c r="AC163" s="24">
        <f t="shared" ref="AC163:AC164" si="1321">+CT163</f>
        <v>-55.1</v>
      </c>
      <c r="AD163" s="24">
        <f t="shared" ref="AD163:AD164" si="1322">+CX163</f>
        <v>-55.1</v>
      </c>
      <c r="AE163" s="24">
        <f t="shared" ref="AE163:AE164" si="1323">+DB163</f>
        <v>-55.1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85.8</v>
      </c>
      <c r="BK163" s="23">
        <f t="shared" si="1324"/>
        <v>85.8</v>
      </c>
      <c r="BL163" s="23">
        <f>+'QTR Raw'!AF96</f>
        <v>31.7</v>
      </c>
      <c r="BM163" s="23">
        <f t="shared" si="1324"/>
        <v>31.7</v>
      </c>
      <c r="BN163" s="23">
        <f>+'QTR Raw'!AH96</f>
        <v>24.6</v>
      </c>
      <c r="BO163" s="23">
        <f t="shared" si="1324"/>
        <v>24.6</v>
      </c>
      <c r="BP163" s="23">
        <f>+'QTR Raw'!AJ96</f>
        <v>-7.5</v>
      </c>
      <c r="BQ163" s="23">
        <f t="shared" si="1324"/>
        <v>-7.5</v>
      </c>
      <c r="BR163" s="23">
        <f>+'QTR Raw'!AL96</f>
        <v>-20.7</v>
      </c>
      <c r="BS163" s="23">
        <f t="shared" si="1324"/>
        <v>-20.7</v>
      </c>
      <c r="BT163" s="23">
        <f>+'QTR Raw'!AN96</f>
        <v>-17.600000000000001</v>
      </c>
      <c r="BU163" s="23">
        <f t="shared" si="1324"/>
        <v>-17.600000000000001</v>
      </c>
      <c r="BV163" s="23">
        <f>+'QTR Raw'!AP96</f>
        <v>-15.6</v>
      </c>
      <c r="BW163" s="23">
        <f t="shared" si="1324"/>
        <v>-15.6</v>
      </c>
      <c r="BX163" s="23">
        <f>+'QTR Raw'!AR96</f>
        <v>-11.1</v>
      </c>
      <c r="BY163" s="23">
        <f t="shared" si="1324"/>
        <v>-11.1</v>
      </c>
      <c r="BZ163" s="23">
        <f>+'QTR Raw'!AT96</f>
        <v>-18.100000000000001</v>
      </c>
      <c r="CA163" s="23">
        <f t="shared" si="1324"/>
        <v>-18.100000000000001</v>
      </c>
      <c r="CB163" s="23">
        <f>+'QTR Raw'!AV96</f>
        <v>-28.7</v>
      </c>
      <c r="CC163" s="23">
        <f t="shared" si="1324"/>
        <v>-28.7</v>
      </c>
      <c r="CD163" s="23">
        <f>+'QTR Raw'!AX96</f>
        <v>-42.9</v>
      </c>
      <c r="CE163" s="23">
        <f t="shared" si="1324"/>
        <v>-42.9</v>
      </c>
      <c r="CF163" s="23">
        <f>+'QTR Raw'!AZ96</f>
        <v>-47.9</v>
      </c>
      <c r="CG163" s="23">
        <f t="shared" ref="CG163:CI164" si="1325">+CF163</f>
        <v>-47.9</v>
      </c>
      <c r="CH163" s="23">
        <f t="shared" ref="CH163:CH164" si="1326">Z163</f>
        <v>-43.442</v>
      </c>
      <c r="CI163" s="23">
        <f t="shared" si="1325"/>
        <v>-43.442</v>
      </c>
      <c r="CJ163" s="23">
        <f>+'QTR Raw'!BD96</f>
        <v>-50.4</v>
      </c>
      <c r="CK163" s="24">
        <f t="shared" ref="CK163:CK164" si="1327">+CJ163</f>
        <v>-50.4</v>
      </c>
      <c r="CL163" s="23">
        <f>+'QTR Raw'!BF96</f>
        <v>-55.1</v>
      </c>
      <c r="CM163" s="24">
        <f t="shared" ref="CM163:CM164" si="1328">+CL163</f>
        <v>-55.1</v>
      </c>
      <c r="CN163" s="24">
        <f t="shared" ref="CN163:CN164" si="1329">+CM163</f>
        <v>-55.1</v>
      </c>
      <c r="CO163" s="24">
        <f t="shared" ref="CO163:CO164" si="1330">+CN163</f>
        <v>-55.1</v>
      </c>
      <c r="CP163" s="24">
        <f t="shared" ref="CP163:CP164" si="1331">+CO163</f>
        <v>-55.1</v>
      </c>
      <c r="CQ163" s="24">
        <f t="shared" ref="CQ163:CQ164" si="1332">+CP163</f>
        <v>-55.1</v>
      </c>
      <c r="CR163" s="24">
        <f t="shared" ref="CR163:CR164" si="1333">+CQ163</f>
        <v>-55.1</v>
      </c>
      <c r="CS163" s="24">
        <f t="shared" ref="CS163:CS164" si="1334">+CR163</f>
        <v>-55.1</v>
      </c>
      <c r="CT163" s="24">
        <f t="shared" ref="CT163:CT164" si="1335">+CS163</f>
        <v>-55.1</v>
      </c>
      <c r="CU163" s="24">
        <f t="shared" ref="CU163:CU164" si="1336">+CT163</f>
        <v>-55.1</v>
      </c>
      <c r="CV163" s="24">
        <f t="shared" ref="CV163:CV164" si="1337">+CU163</f>
        <v>-55.1</v>
      </c>
      <c r="CW163" s="24">
        <f t="shared" ref="CW163:CW164" si="1338">+CV163</f>
        <v>-55.1</v>
      </c>
      <c r="CX163" s="24">
        <f t="shared" ref="CX163:CX164" si="1339">+CW163</f>
        <v>-55.1</v>
      </c>
      <c r="CY163" s="24">
        <f t="shared" ref="CY163:CY164" si="1340">+CX163</f>
        <v>-55.1</v>
      </c>
      <c r="CZ163" s="24">
        <f t="shared" ref="CZ163:CZ164" si="1341">+CY163</f>
        <v>-55.1</v>
      </c>
      <c r="DA163" s="24">
        <f t="shared" ref="DA163:DA164" si="1342">+CZ163</f>
        <v>-55.1</v>
      </c>
      <c r="DB163" s="24">
        <f t="shared" ref="DB163:DB164" si="1343">+DA163</f>
        <v>-55.1</v>
      </c>
      <c r="DE163" s="123"/>
      <c r="DF163" s="23">
        <v>-50.4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0</v>
      </c>
      <c r="K165" s="26">
        <f t="shared" si="1345"/>
        <v>0</v>
      </c>
      <c r="L165" s="26">
        <f t="shared" si="1345"/>
        <v>0</v>
      </c>
      <c r="M165" s="26">
        <f t="shared" si="1345"/>
        <v>0</v>
      </c>
      <c r="N165" s="26">
        <f t="shared" si="1345"/>
        <v>0</v>
      </c>
      <c r="O165" s="26">
        <f t="shared" si="1345"/>
        <v>-61.987000000000023</v>
      </c>
      <c r="P165" s="26">
        <f t="shared" si="1345"/>
        <v>-93.924999999999983</v>
      </c>
      <c r="Q165" s="26">
        <f t="shared" si="1345"/>
        <v>-327.06399999999996</v>
      </c>
      <c r="R165" s="26">
        <f t="shared" si="1345"/>
        <v>-390.01900000000001</v>
      </c>
      <c r="S165" s="26">
        <f t="shared" si="1345"/>
        <v>-321.22300000000007</v>
      </c>
      <c r="T165" s="26">
        <f t="shared" si="1345"/>
        <v>159.88800000000009</v>
      </c>
      <c r="U165" s="26">
        <f t="shared" si="1345"/>
        <v>275.05700000000007</v>
      </c>
      <c r="V165" s="26">
        <f t="shared" si="1345"/>
        <v>1610.884</v>
      </c>
      <c r="W165" s="26">
        <f t="shared" si="1345"/>
        <v>1874.0530000000001</v>
      </c>
      <c r="X165" s="26">
        <f t="shared" ref="X165:Y165" si="1346">X163+X161+X157+X140+X138+X164</f>
        <v>2058.4920000000002</v>
      </c>
      <c r="Y165" s="26">
        <f t="shared" si="1346"/>
        <v>1736.114</v>
      </c>
      <c r="Z165" s="26">
        <f t="shared" ref="Z165:AA165" si="1347">Z163+Z161+Z157+Z140+Z138+Z164</f>
        <v>2185.29</v>
      </c>
      <c r="AA165" s="26">
        <f t="shared" si="1347"/>
        <v>2400.3750000000005</v>
      </c>
      <c r="AB165" s="27">
        <f t="shared" ref="AA165:AD165" si="1348">AB163+AB161+AB157+AB140+AB138+AB164</f>
        <v>2659.4315683017112</v>
      </c>
      <c r="AC165" s="27">
        <f t="shared" si="1348"/>
        <v>2965.2852546734575</v>
      </c>
      <c r="AD165" s="27">
        <f t="shared" si="1348"/>
        <v>3317.1516455050141</v>
      </c>
      <c r="AE165" s="27">
        <f t="shared" ref="AE165" si="1349">AE163+AE161+AE157+AE140+AE138+AE164</f>
        <v>3719.236255875182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>
        <f t="shared" si="1353"/>
        <v>27.700000000000003</v>
      </c>
      <c r="BJ165" s="26">
        <f t="shared" si="1353"/>
        <v>159.90000000000003</v>
      </c>
      <c r="BK165" s="26">
        <f t="shared" si="1353"/>
        <v>192.30000000000013</v>
      </c>
      <c r="BL165" s="26">
        <f t="shared" si="1353"/>
        <v>202.79999999999998</v>
      </c>
      <c r="BM165" s="26">
        <f t="shared" si="1353"/>
        <v>264.80000000000007</v>
      </c>
      <c r="BN165" s="26">
        <f t="shared" si="1353"/>
        <v>275.10000000000002</v>
      </c>
      <c r="BO165" s="26">
        <f t="shared" si="1353"/>
        <v>349.19999999999993</v>
      </c>
      <c r="BP165" s="26">
        <f t="shared" si="1353"/>
        <v>421.89999999999986</v>
      </c>
      <c r="BQ165" s="26">
        <f t="shared" si="1353"/>
        <v>502.1</v>
      </c>
      <c r="BR165" s="26">
        <f t="shared" si="1353"/>
        <v>1610.9000000000003</v>
      </c>
      <c r="BS165" s="26">
        <f t="shared" si="1353"/>
        <v>1698.8000000000009</v>
      </c>
      <c r="BT165" s="26">
        <f t="shared" si="1353"/>
        <v>1738.1999999999996</v>
      </c>
      <c r="BU165" s="26">
        <f t="shared" si="1353"/>
        <v>1808.3999999999996</v>
      </c>
      <c r="BV165" s="26">
        <f t="shared" si="1353"/>
        <v>1874.1000000000008</v>
      </c>
      <c r="BW165" s="26">
        <f t="shared" si="1353"/>
        <v>1920.8000000000006</v>
      </c>
      <c r="BX165" s="26">
        <f t="shared" si="1353"/>
        <v>1878.4</v>
      </c>
      <c r="BY165" s="26">
        <f t="shared" si="1353"/>
        <v>1991.2000000000003</v>
      </c>
      <c r="BZ165" s="26">
        <f t="shared" si="1353"/>
        <v>2058.5000000000005</v>
      </c>
      <c r="CA165" s="26">
        <f t="shared" si="1353"/>
        <v>2141.6000000000004</v>
      </c>
      <c r="CB165" s="26">
        <f t="shared" si="1353"/>
        <v>1544.7999999999997</v>
      </c>
      <c r="CC165" s="26">
        <f t="shared" si="1353"/>
        <v>1626.6999999999998</v>
      </c>
      <c r="CD165" s="26">
        <f t="shared" si="1353"/>
        <v>1736.0999999999995</v>
      </c>
      <c r="CE165" s="26">
        <f t="shared" si="1353"/>
        <v>1850.0999999999995</v>
      </c>
      <c r="CF165" s="26">
        <f t="shared" ref="CF165:CG165" si="1355">CF163+CF161+CF157+CF140+CF138+CF164</f>
        <v>1877.3000000000002</v>
      </c>
      <c r="CG165" s="26">
        <f t="shared" si="1355"/>
        <v>1998.3000000000002</v>
      </c>
      <c r="CH165" s="26">
        <f t="shared" ref="CH165:CI165" si="1356">CH163+CH161+CH157+CH140+CH138+CH164</f>
        <v>2185.29</v>
      </c>
      <c r="CI165" s="26">
        <f t="shared" si="1356"/>
        <v>2338.79</v>
      </c>
      <c r="CJ165" s="26">
        <f t="shared" ref="CJ165:DB165" si="1357">CJ163+CJ161+CJ157+CJ140+CJ138+CJ164</f>
        <v>2137.6999999999998</v>
      </c>
      <c r="CK165" s="27">
        <f t="shared" si="1357"/>
        <v>2326</v>
      </c>
      <c r="CL165" s="26">
        <f t="shared" ref="CL165" si="1358">CL163+CL161+CL157+CL140+CL138+CL164</f>
        <v>2400.4</v>
      </c>
      <c r="CM165" s="27">
        <f t="shared" si="1357"/>
        <v>2461.4050289442271</v>
      </c>
      <c r="CN165" s="27">
        <f t="shared" si="1357"/>
        <v>2525.728681866583</v>
      </c>
      <c r="CO165" s="27">
        <f t="shared" si="1357"/>
        <v>2592.9826774619951</v>
      </c>
      <c r="CP165" s="27">
        <f t="shared" si="1357"/>
        <v>2659.4315683017112</v>
      </c>
      <c r="CQ165" s="27">
        <f t="shared" si="1357"/>
        <v>2731.4246606190395</v>
      </c>
      <c r="CR165" s="27">
        <f t="shared" si="1357"/>
        <v>2808.0666615757928</v>
      </c>
      <c r="CS165" s="27">
        <f t="shared" si="1357"/>
        <v>2886.8389618338247</v>
      </c>
      <c r="CT165" s="27">
        <f t="shared" si="1357"/>
        <v>2965.2852546734575</v>
      </c>
      <c r="CU165" s="27">
        <f t="shared" si="1357"/>
        <v>3048.1770489376258</v>
      </c>
      <c r="CV165" s="27">
        <f t="shared" si="1357"/>
        <v>3136.5139875824962</v>
      </c>
      <c r="CW165" s="27">
        <f t="shared" si="1357"/>
        <v>3227.048898060636</v>
      </c>
      <c r="CX165" s="27">
        <f t="shared" si="1357"/>
        <v>3317.1516455050141</v>
      </c>
      <c r="CY165" s="27">
        <f t="shared" si="1357"/>
        <v>3411.9446540340691</v>
      </c>
      <c r="CZ165" s="27">
        <f t="shared" si="1357"/>
        <v>3512.9349933565131</v>
      </c>
      <c r="DA165" s="27">
        <f t="shared" si="1357"/>
        <v>3616.3544883717905</v>
      </c>
      <c r="DB165" s="27">
        <f t="shared" si="1357"/>
        <v>3719.236255875182</v>
      </c>
      <c r="DE165" s="121"/>
      <c r="DF165" s="26">
        <v>2529.2248387194895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0</v>
      </c>
      <c r="K168" s="22">
        <f t="shared" si="1374"/>
        <v>0</v>
      </c>
      <c r="L168" s="22">
        <f t="shared" si="1374"/>
        <v>0</v>
      </c>
      <c r="M168" s="22">
        <f t="shared" si="1374"/>
        <v>0</v>
      </c>
      <c r="N168" s="22">
        <f t="shared" si="1374"/>
        <v>0</v>
      </c>
      <c r="O168" s="22">
        <f t="shared" si="1374"/>
        <v>-64.576000000000008</v>
      </c>
      <c r="P168" s="22">
        <f t="shared" si="1374"/>
        <v>-70.272999999999996</v>
      </c>
      <c r="Q168" s="22">
        <f t="shared" si="1374"/>
        <v>-147.37700000000001</v>
      </c>
      <c r="R168" s="22">
        <f t="shared" si="1374"/>
        <v>-176.917</v>
      </c>
      <c r="S168" s="22">
        <f t="shared" si="1374"/>
        <v>-357.78100000000001</v>
      </c>
      <c r="T168" s="22">
        <f t="shared" si="1374"/>
        <v>-685.18900000000008</v>
      </c>
      <c r="U168" s="22">
        <f t="shared" si="1374"/>
        <v>-895.74200000000008</v>
      </c>
      <c r="V168" s="22">
        <f t="shared" si="1374"/>
        <v>-2295.163</v>
      </c>
      <c r="W168" s="22">
        <f t="shared" si="1374"/>
        <v>-2377.5889999999999</v>
      </c>
      <c r="X168" s="22">
        <f t="shared" ref="X168:Y168" si="1375">X128-X161</f>
        <v>-2330.1080000000002</v>
      </c>
      <c r="Y168" s="22">
        <f t="shared" si="1375"/>
        <v>-2323.377</v>
      </c>
      <c r="Z168" s="22">
        <f t="shared" ref="Z168:AA168" si="1376">Z128-Z161</f>
        <v>-2872.5929999999998</v>
      </c>
      <c r="AA168" s="22">
        <f t="shared" si="1376"/>
        <v>-3120.6040000000003</v>
      </c>
      <c r="AB168" s="21">
        <f t="shared" ref="AA168:AD168" si="1377">AB128-AB161</f>
        <v>-3651.1962599920644</v>
      </c>
      <c r="AC168" s="21">
        <f t="shared" si="1377"/>
        <v>-4248.1519242623035</v>
      </c>
      <c r="AD168" s="21">
        <f t="shared" si="1377"/>
        <v>-4925.7561474179483</v>
      </c>
      <c r="AE168" s="21">
        <f t="shared" ref="AE168" si="1378">AE128-AE161</f>
        <v>-5695.8219364529277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>
        <f t="shared" si="1381"/>
        <v>-27.700000000000003</v>
      </c>
      <c r="BJ168" s="22">
        <f t="shared" si="1381"/>
        <v>-685.1</v>
      </c>
      <c r="BK168" s="22">
        <f t="shared" si="1381"/>
        <v>-718.32891304347834</v>
      </c>
      <c r="BL168" s="22">
        <f t="shared" si="1381"/>
        <v>-741.4</v>
      </c>
      <c r="BM168" s="22">
        <f t="shared" si="1381"/>
        <v>-804.18441890166037</v>
      </c>
      <c r="BN168" s="22">
        <f t="shared" si="1381"/>
        <v>-895.69999999999993</v>
      </c>
      <c r="BO168" s="22">
        <f t="shared" si="1381"/>
        <v>-968.18095238095225</v>
      </c>
      <c r="BP168" s="22">
        <f t="shared" si="1381"/>
        <v>-1045.3999999999999</v>
      </c>
      <c r="BQ168" s="22">
        <f t="shared" si="1381"/>
        <v>-1126.575</v>
      </c>
      <c r="BR168" s="22">
        <f t="shared" si="1381"/>
        <v>-2295.1</v>
      </c>
      <c r="BS168" s="22">
        <f t="shared" si="1381"/>
        <v>-2383.1490818030056</v>
      </c>
      <c r="BT168" s="22">
        <f t="shared" si="1381"/>
        <v>-2404.7999999999997</v>
      </c>
      <c r="BU168" s="22">
        <f t="shared" si="1381"/>
        <v>-2475.4656249999998</v>
      </c>
      <c r="BV168" s="22">
        <f t="shared" si="1381"/>
        <v>-2377.6000000000004</v>
      </c>
      <c r="BW168" s="22">
        <f t="shared" si="1381"/>
        <v>-2426.2698113207553</v>
      </c>
      <c r="BX168" s="22">
        <f t="shared" si="1381"/>
        <v>-1953.2</v>
      </c>
      <c r="BY168" s="22">
        <f t="shared" si="1381"/>
        <v>-2066.9112219451372</v>
      </c>
      <c r="BZ168" s="22">
        <f t="shared" si="1381"/>
        <v>-2330.1000000000004</v>
      </c>
      <c r="CA168" s="22">
        <f t="shared" si="1381"/>
        <v>-2414.1945312500002</v>
      </c>
      <c r="CB168" s="22">
        <f t="shared" si="1381"/>
        <v>-1882.3999999999999</v>
      </c>
      <c r="CC168" s="22">
        <f t="shared" si="1381"/>
        <v>-1965.0553444180521</v>
      </c>
      <c r="CD168" s="22">
        <f t="shared" si="1381"/>
        <v>-2323.3999999999996</v>
      </c>
      <c r="CE168" s="22">
        <f t="shared" si="1381"/>
        <v>-2438.9613600254206</v>
      </c>
      <c r="CF168" s="22">
        <f t="shared" ref="CF168:CG168" si="1382">CF128-CF161</f>
        <v>-2431.6000000000004</v>
      </c>
      <c r="CG168" s="22">
        <f t="shared" si="1382"/>
        <v>-2553.1694564279555</v>
      </c>
      <c r="CH168" s="22">
        <f t="shared" ref="CH168:CI168" si="1383">CH128-CH161</f>
        <v>-2872.5929999999998</v>
      </c>
      <c r="CI168" s="22">
        <f t="shared" si="1383"/>
        <v>-3120.3281900872994</v>
      </c>
      <c r="CJ168" s="22">
        <f t="shared" ref="CJ168:DB168" si="1384">CJ128-CJ161</f>
        <v>-2755.7</v>
      </c>
      <c r="CK168" s="21">
        <f t="shared" si="1384"/>
        <v>-2998.4144245524299</v>
      </c>
      <c r="CL168" s="22">
        <f t="shared" ref="CL168" si="1385">CL128-CL161</f>
        <v>-3120.6</v>
      </c>
      <c r="CM168" s="21">
        <f t="shared" si="1384"/>
        <v>-3264.4869691845888</v>
      </c>
      <c r="CN168" s="21">
        <f t="shared" si="1384"/>
        <v>-3437.3947375732009</v>
      </c>
      <c r="CO168" s="21">
        <f t="shared" si="1384"/>
        <v>-3567.9525790384423</v>
      </c>
      <c r="CP168" s="21">
        <f t="shared" si="1384"/>
        <v>-3651.1962599920644</v>
      </c>
      <c r="CQ168" s="21">
        <f t="shared" si="1384"/>
        <v>-3808.6089633780257</v>
      </c>
      <c r="CR168" s="21">
        <f t="shared" si="1384"/>
        <v>-4005.0811842081816</v>
      </c>
      <c r="CS168" s="21">
        <f t="shared" si="1384"/>
        <v>-4153.091518377506</v>
      </c>
      <c r="CT168" s="21">
        <f t="shared" si="1384"/>
        <v>-4248.1519242623035</v>
      </c>
      <c r="CU168" s="21">
        <f t="shared" si="1384"/>
        <v>-4425.935831621634</v>
      </c>
      <c r="CV168" s="21">
        <f t="shared" si="1384"/>
        <v>-4649.2127355156272</v>
      </c>
      <c r="CW168" s="21">
        <f t="shared" si="1384"/>
        <v>-4817.4636100072876</v>
      </c>
      <c r="CX168" s="21">
        <f t="shared" si="1384"/>
        <v>-4925.7561474179483</v>
      </c>
      <c r="CY168" s="21">
        <f t="shared" si="1384"/>
        <v>-5127.6166672993822</v>
      </c>
      <c r="CZ168" s="21">
        <f t="shared" si="1384"/>
        <v>-5381.241703784789</v>
      </c>
      <c r="DA168" s="21">
        <f t="shared" si="1384"/>
        <v>-5572.4929609283045</v>
      </c>
      <c r="DB168" s="21">
        <f t="shared" si="1384"/>
        <v>-5695.8219364529277</v>
      </c>
      <c r="DE168" s="126"/>
      <c r="DF168" s="22">
        <v>-3201.6258929202809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0.71799999999999997</v>
      </c>
      <c r="P170" s="49">
        <f>'Annual Raw'!Q85</f>
        <v>0.77</v>
      </c>
      <c r="Q170" s="49">
        <f>'Annual Raw'!R85</f>
        <v>0.77500000000000002</v>
      </c>
      <c r="R170" s="49">
        <f>'Annual Raw'!S85</f>
        <v>0.94899999999999995</v>
      </c>
      <c r="S170" s="49">
        <f>'Annual Raw'!T85</f>
        <v>0.05</v>
      </c>
      <c r="T170" s="49">
        <f>'Annual Raw'!U85</f>
        <v>6.2</v>
      </c>
      <c r="U170" s="49">
        <f>'Annual Raw'!V85</f>
        <v>30.268000000000001</v>
      </c>
      <c r="V170" s="49">
        <f>'Annual Raw'!W85</f>
        <v>30.268000000000001</v>
      </c>
      <c r="W170" s="49">
        <f>'Annual Raw'!X85</f>
        <v>30.268000000000001</v>
      </c>
      <c r="X170" s="49">
        <f>'Annual Raw'!Y85</f>
        <v>31.806000000000001</v>
      </c>
      <c r="Y170" s="49">
        <f>'Annual Raw'!Z85</f>
        <v>31.806000000000001</v>
      </c>
      <c r="Z170" s="49">
        <f>'Annual Raw'!AA85</f>
        <v>52.186</v>
      </c>
      <c r="AA170" s="49">
        <f>'Annual Raw'!AB85</f>
        <v>52.186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0.69199999999999995</v>
      </c>
      <c r="P172" s="29">
        <f>'Annual Raw'!Q93</f>
        <v>0.73899999999999999</v>
      </c>
      <c r="Q172" s="29">
        <f>'Annual Raw'!R93</f>
        <v>0.73899999999999999</v>
      </c>
      <c r="R172" s="29">
        <f>'Annual Raw'!S93</f>
        <v>0.90600000000000003</v>
      </c>
      <c r="S172" s="29">
        <f>'Annual Raw'!T93</f>
        <v>0</v>
      </c>
      <c r="T172" s="29">
        <f>'Annual Raw'!U93</f>
        <v>6.2</v>
      </c>
      <c r="U172" s="29">
        <f>'Annual Raw'!V93</f>
        <v>30.268000000000001</v>
      </c>
      <c r="V172" s="29">
        <f>'Annual Raw'!W93</f>
        <v>30.268000000000001</v>
      </c>
      <c r="W172" s="29">
        <f>'Annual Raw'!X93</f>
        <v>30.268000000000001</v>
      </c>
      <c r="X172" s="29">
        <f>'Annual Raw'!Y93</f>
        <v>31.806000000000001</v>
      </c>
      <c r="Y172" s="29">
        <f>'Annual Raw'!Z93</f>
        <v>31.806000000000001</v>
      </c>
      <c r="Z172" s="29">
        <f>'Annual Raw'!AA93</f>
        <v>52.186</v>
      </c>
      <c r="AA172" s="29">
        <f>'Annual Raw'!AB93</f>
        <v>52.186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2.6000000000000023E-2</v>
      </c>
      <c r="P173" s="29">
        <f t="shared" si="1386"/>
        <v>3.1000000000000028E-2</v>
      </c>
      <c r="Q173" s="29">
        <f t="shared" si="1386"/>
        <v>3.6000000000000032E-2</v>
      </c>
      <c r="R173" s="29">
        <f t="shared" si="1386"/>
        <v>4.2999999999999927E-2</v>
      </c>
      <c r="S173" s="29">
        <f t="shared" si="1386"/>
        <v>0.05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 t="e">
        <f t="shared" si="1392"/>
        <v>#DIV/0!</v>
      </c>
      <c r="K175" s="95" t="e">
        <f t="shared" si="1392"/>
        <v>#DIV/0!</v>
      </c>
      <c r="L175" s="95" t="e">
        <f t="shared" si="1392"/>
        <v>#DIV/0!</v>
      </c>
      <c r="M175" s="95" t="e">
        <f t="shared" si="1392"/>
        <v>#DIV/0!</v>
      </c>
      <c r="N175" s="95" t="e">
        <f t="shared" si="1392"/>
        <v>#DIV/0!</v>
      </c>
      <c r="O175" s="95">
        <f t="shared" si="1392"/>
        <v>-1.1561996779388083E-2</v>
      </c>
      <c r="P175" s="95">
        <f t="shared" si="1392"/>
        <v>-8.1927967228813126E-3</v>
      </c>
      <c r="Q175" s="95">
        <f t="shared" si="1392"/>
        <v>-2.3695016097323839E-3</v>
      </c>
      <c r="R175" s="95">
        <f t="shared" si="1392"/>
        <v>-2.4330463586346223E-3</v>
      </c>
      <c r="S175" s="95">
        <f t="shared" si="1392"/>
        <v>-1.556328186037246E-4</v>
      </c>
      <c r="T175" s="95">
        <f t="shared" si="1392"/>
        <v>3.8777144000800567E-2</v>
      </c>
      <c r="U175" s="95">
        <f t="shared" si="1392"/>
        <v>0.11004264570616272</v>
      </c>
      <c r="V175" s="95">
        <f t="shared" si="1392"/>
        <v>1.8789683180166914E-2</v>
      </c>
      <c r="W175" s="95">
        <f t="shared" si="1392"/>
        <v>1.6151090710881711E-2</v>
      </c>
      <c r="X175" s="95">
        <f t="shared" ref="X175:Y175" si="1393">X170/X120</f>
        <v>1.5451116642668515E-2</v>
      </c>
      <c r="Y175" s="95">
        <f t="shared" si="1393"/>
        <v>1.8320225515144742E-2</v>
      </c>
      <c r="Z175" s="95">
        <f t="shared" ref="Z175:AA175" si="1394">Z170/Z120</f>
        <v>2.3880583355069578E-2</v>
      </c>
      <c r="AA175" s="95">
        <f t="shared" si="1394"/>
        <v>2.1740769671405511E-2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 t="e">
        <f t="shared" si="1397"/>
        <v>#DIV/0!</v>
      </c>
      <c r="N179" s="67" t="e">
        <f t="shared" si="1397"/>
        <v>#DIV/0!</v>
      </c>
      <c r="O179" s="67">
        <f t="shared" si="1397"/>
        <v>0</v>
      </c>
      <c r="P179" s="67">
        <f t="shared" si="1397"/>
        <v>0</v>
      </c>
      <c r="Q179" s="67">
        <f t="shared" si="1397"/>
        <v>0</v>
      </c>
      <c r="R179" s="67">
        <f t="shared" si="1397"/>
        <v>0</v>
      </c>
      <c r="S179" s="67">
        <f t="shared" si="1397"/>
        <v>0</v>
      </c>
      <c r="T179" s="67">
        <f t="shared" si="1397"/>
        <v>0</v>
      </c>
      <c r="U179" s="67">
        <f t="shared" si="1397"/>
        <v>0</v>
      </c>
      <c r="V179" s="67">
        <f t="shared" si="1397"/>
        <v>0</v>
      </c>
      <c r="W179" s="67">
        <f t="shared" si="1397"/>
        <v>0</v>
      </c>
      <c r="X179" s="67">
        <f t="shared" si="1397"/>
        <v>0</v>
      </c>
      <c r="Y179" s="67">
        <f t="shared" si="1397"/>
        <v>0</v>
      </c>
      <c r="Z179" s="67">
        <f t="shared" si="1397"/>
        <v>0</v>
      </c>
      <c r="AA179" s="67">
        <f t="shared" ref="AA179" si="1398">AA144/AA8*365</f>
        <v>0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>
        <f>BH144/BH8*90</f>
        <v>0</v>
      </c>
      <c r="BI179" s="67">
        <f t="shared" ref="BI179:BI180" si="1411">+BH179</f>
        <v>0</v>
      </c>
      <c r="BJ179" s="67">
        <f>BJ144/BJ8*90</f>
        <v>0</v>
      </c>
      <c r="BK179" s="67">
        <f t="shared" ref="BK179:BK180" si="1412">+BJ179</f>
        <v>0</v>
      </c>
      <c r="BL179" s="67">
        <f>BL144/BL8*90</f>
        <v>0</v>
      </c>
      <c r="BM179" s="67">
        <f t="shared" ref="BM179:BM180" si="1413">+BL179</f>
        <v>0</v>
      </c>
      <c r="BN179" s="67">
        <f>BN144/BN8*90</f>
        <v>0</v>
      </c>
      <c r="BO179" s="67">
        <f t="shared" ref="BO179:BO180" si="1414">+BN179</f>
        <v>0</v>
      </c>
      <c r="BP179" s="67">
        <f>BP144/BP8*90</f>
        <v>0</v>
      </c>
      <c r="BQ179" s="67">
        <f t="shared" ref="BQ179:BQ180" si="1415">+BP179</f>
        <v>0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</v>
      </c>
      <c r="CI179" s="67">
        <f t="shared" si="1422"/>
        <v>0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 t="e">
        <f t="shared" si="1440"/>
        <v>#DIV/0!</v>
      </c>
      <c r="N180" s="67" t="e">
        <f t="shared" si="1440"/>
        <v>#DIV/0!</v>
      </c>
      <c r="O180" s="67">
        <f t="shared" si="1440"/>
        <v>1.4358328360847754</v>
      </c>
      <c r="P180" s="67">
        <f t="shared" si="1440"/>
        <v>0.89139670134944793</v>
      </c>
      <c r="Q180" s="67">
        <f t="shared" si="1440"/>
        <v>0.35794069655304311</v>
      </c>
      <c r="R180" s="67">
        <f t="shared" si="1440"/>
        <v>0.60993570680035136</v>
      </c>
      <c r="S180" s="67">
        <f t="shared" si="1440"/>
        <v>0.60372757656367237</v>
      </c>
      <c r="T180" s="67">
        <f t="shared" si="1440"/>
        <v>0.41073712548062047</v>
      </c>
      <c r="U180" s="67">
        <f t="shared" si="1440"/>
        <v>0.96098639125684415</v>
      </c>
      <c r="V180" s="67">
        <f t="shared" si="1440"/>
        <v>0.67923508203870586</v>
      </c>
      <c r="W180" s="67">
        <f t="shared" si="1440"/>
        <v>0.64233528205604629</v>
      </c>
      <c r="X180" s="67">
        <f t="shared" si="1440"/>
        <v>2.6132307826575829</v>
      </c>
      <c r="Y180" s="67">
        <f t="shared" si="1440"/>
        <v>1.4584445697812871</v>
      </c>
      <c r="Z180" s="67">
        <f t="shared" si="1440"/>
        <v>1.0439883775202687</v>
      </c>
      <c r="AA180" s="67">
        <f t="shared" ref="AA180" si="1441">AA145/AA8*365</f>
        <v>1.2782799950543071</v>
      </c>
      <c r="AB180" s="18">
        <f t="shared" si="1440"/>
        <v>1.2808868272194163</v>
      </c>
      <c r="AC180" s="18">
        <f t="shared" si="1440"/>
        <v>1.2810564069240362</v>
      </c>
      <c r="AD180" s="18">
        <f t="shared" si="1440"/>
        <v>1.2810694654401615</v>
      </c>
      <c r="AE180" s="18">
        <f t="shared" si="1440"/>
        <v>1.281068811283677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>
        <f>BH145/BH8*90</f>
        <v>0</v>
      </c>
      <c r="BI180" s="67">
        <f t="shared" si="1411"/>
        <v>0</v>
      </c>
      <c r="BJ180" s="67">
        <f>BJ145/BJ8*90</f>
        <v>0.39130434782608697</v>
      </c>
      <c r="BK180" s="67">
        <f t="shared" si="1412"/>
        <v>0.39130434782608697</v>
      </c>
      <c r="BL180" s="67">
        <f>BL145/BL8*90</f>
        <v>0.91954022988505757</v>
      </c>
      <c r="BM180" s="67">
        <f t="shared" si="1413"/>
        <v>0.91954022988505757</v>
      </c>
      <c r="BN180" s="67">
        <f>BN145/BN8*90</f>
        <v>0.89947089947089953</v>
      </c>
      <c r="BO180" s="67">
        <f t="shared" si="1414"/>
        <v>0.89947089947089953</v>
      </c>
      <c r="BP180" s="67">
        <f>BP145/BP8*90</f>
        <v>0.60661764705882359</v>
      </c>
      <c r="BQ180" s="67">
        <f t="shared" si="1415"/>
        <v>0.60661764705882359</v>
      </c>
      <c r="BR180" s="67">
        <f>BR145/BR8*90</f>
        <v>0.65108514190317202</v>
      </c>
      <c r="BS180" s="67">
        <f t="shared" si="1416"/>
        <v>0.65108514190317202</v>
      </c>
      <c r="BT180" s="67">
        <f>BT145/BT8*90</f>
        <v>0.44407894736842102</v>
      </c>
      <c r="BU180" s="67">
        <f t="shared" si="1417"/>
        <v>0.44407894736842102</v>
      </c>
      <c r="BV180" s="67">
        <f>BV145/BV8*90</f>
        <v>0.5809334657398213</v>
      </c>
      <c r="BW180" s="67">
        <f t="shared" si="1418"/>
        <v>0.5809334657398213</v>
      </c>
      <c r="BX180" s="67">
        <f>BX145/BX8*90</f>
        <v>2.1695760598503742</v>
      </c>
      <c r="BY180" s="67">
        <f t="shared" si="1419"/>
        <v>2.1695760598503742</v>
      </c>
      <c r="BZ180" s="67">
        <f>BZ145/BZ8*90</f>
        <v>2.3772321428571423</v>
      </c>
      <c r="CA180" s="67">
        <f t="shared" si="1420"/>
        <v>2.3772321428571423</v>
      </c>
      <c r="CB180" s="67">
        <f>CB145/CB8*90</f>
        <v>1.4048184594502884</v>
      </c>
      <c r="CC180" s="67">
        <f t="shared" si="1421"/>
        <v>1.4048184594502884</v>
      </c>
      <c r="CD180" s="67">
        <f>CD145/CD8*90</f>
        <v>1.3727359389895137</v>
      </c>
      <c r="CE180" s="114">
        <f t="shared" ref="CE180" si="1442">+CD180</f>
        <v>1.3727359389895137</v>
      </c>
      <c r="CF180" s="67">
        <f>CF145/CF8*90</f>
        <v>0.88006902502157036</v>
      </c>
      <c r="CG180" s="67">
        <f t="shared" si="1422"/>
        <v>0.88006902502157036</v>
      </c>
      <c r="CH180" s="67">
        <f>CH145/CH8*90</f>
        <v>1.0064488876372852</v>
      </c>
      <c r="CI180" s="67">
        <f t="shared" si="1422"/>
        <v>1.0064488876372852</v>
      </c>
      <c r="CJ180" s="67">
        <f>CJ145/CJ8*90</f>
        <v>1.0127877237851663</v>
      </c>
      <c r="CK180" s="30">
        <f t="shared" si="1423"/>
        <v>1.0127877237851663</v>
      </c>
      <c r="CL180" s="67">
        <f>CL145/CL8*90</f>
        <v>1.2243383626020281</v>
      </c>
      <c r="CM180" s="30">
        <f t="shared" si="1424"/>
        <v>1.2243383626020281</v>
      </c>
      <c r="CN180" s="30">
        <f t="shared" si="1425"/>
        <v>1.2243383626020281</v>
      </c>
      <c r="CO180" s="30">
        <f t="shared" si="1426"/>
        <v>1.2243383626020281</v>
      </c>
      <c r="CP180" s="30">
        <f t="shared" si="1427"/>
        <v>1.2243383626020281</v>
      </c>
      <c r="CQ180" s="30">
        <f t="shared" si="1428"/>
        <v>1.2243383626020281</v>
      </c>
      <c r="CR180" s="30">
        <f t="shared" si="1429"/>
        <v>1.2243383626020281</v>
      </c>
      <c r="CS180" s="30">
        <f t="shared" si="1430"/>
        <v>1.2243383626020281</v>
      </c>
      <c r="CT180" s="30">
        <f t="shared" si="1431"/>
        <v>1.2243383626020281</v>
      </c>
      <c r="CU180" s="30">
        <f t="shared" si="1432"/>
        <v>1.2243383626020281</v>
      </c>
      <c r="CV180" s="30">
        <f t="shared" si="1433"/>
        <v>1.2243383626020281</v>
      </c>
      <c r="CW180" s="30">
        <f t="shared" si="1434"/>
        <v>1.2243383626020281</v>
      </c>
      <c r="CX180" s="30">
        <f t="shared" si="1435"/>
        <v>1.2243383626020281</v>
      </c>
      <c r="CY180" s="30">
        <f t="shared" si="1436"/>
        <v>1.2243383626020281</v>
      </c>
      <c r="CZ180" s="30">
        <f t="shared" si="1437"/>
        <v>1.2243383626020281</v>
      </c>
      <c r="DA180" s="30">
        <f t="shared" si="1438"/>
        <v>1.2243383626020281</v>
      </c>
      <c r="DB180" s="30">
        <f t="shared" si="1439"/>
        <v>1.2243383626020281</v>
      </c>
      <c r="DE180" s="139"/>
      <c r="DF180" s="62">
        <v>1.0127877237851663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 t="e">
        <f t="shared" si="1443"/>
        <v>#DIV/0!</v>
      </c>
      <c r="N181" s="67" t="e">
        <f t="shared" si="1443"/>
        <v>#DIV/0!</v>
      </c>
      <c r="O181" s="67">
        <f t="shared" si="1443"/>
        <v>28.485417725621929</v>
      </c>
      <c r="P181" s="67">
        <f t="shared" si="1443"/>
        <v>52.615208551047296</v>
      </c>
      <c r="Q181" s="67">
        <f t="shared" si="1443"/>
        <v>53.91983007328497</v>
      </c>
      <c r="R181" s="67">
        <f t="shared" si="1443"/>
        <v>39.938727919864817</v>
      </c>
      <c r="S181" s="67">
        <f t="shared" si="1443"/>
        <v>54.09185691874459</v>
      </c>
      <c r="T181" s="67">
        <f t="shared" si="1443"/>
        <v>28.736492864842926</v>
      </c>
      <c r="U181" s="67">
        <f t="shared" si="1443"/>
        <v>48.887468811340305</v>
      </c>
      <c r="V181" s="67">
        <f>V182-V180-V179</f>
        <v>96.133024275571202</v>
      </c>
      <c r="W181" s="67">
        <f t="shared" ref="W181" si="1444">W182-W180-W179</f>
        <v>123.20969229646242</v>
      </c>
      <c r="X181" s="67">
        <f t="shared" ref="X181:Y181" si="1445">X182-X180-X179</f>
        <v>107.52472348764307</v>
      </c>
      <c r="Y181" s="67">
        <f t="shared" si="1445"/>
        <v>46.87975183305133</v>
      </c>
      <c r="Z181" s="67">
        <f t="shared" ref="Z181:AA181" si="1446">Z182-Z180-Z179</f>
        <v>60.087564753404052</v>
      </c>
      <c r="AA181" s="67">
        <f t="shared" si="1446"/>
        <v>91.790739189900592</v>
      </c>
      <c r="AB181" s="18">
        <f t="shared" ref="AA181:AD181" si="1447">AB182-AB180-AB179</f>
        <v>60.061947770888651</v>
      </c>
      <c r="AC181" s="18">
        <f t="shared" si="1447"/>
        <v>60.06989951740163</v>
      </c>
      <c r="AD181" s="18">
        <f t="shared" si="1447"/>
        <v>60.070511843094138</v>
      </c>
      <c r="AE181" s="18">
        <f t="shared" ref="AE181" si="1448">AE182-AE180-AE179</f>
        <v>60.070481169101889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>
        <f t="shared" si="1453"/>
        <v>0</v>
      </c>
      <c r="BI181" s="67">
        <f t="shared" si="1453"/>
        <v>0</v>
      </c>
      <c r="BJ181" s="67">
        <f t="shared" si="1453"/>
        <v>26.086956521739129</v>
      </c>
      <c r="BK181" s="67">
        <f t="shared" si="1453"/>
        <v>24.439918533604882</v>
      </c>
      <c r="BL181" s="67">
        <f t="shared" si="1453"/>
        <v>65.689655172413794</v>
      </c>
      <c r="BM181" s="67">
        <f t="shared" si="1453"/>
        <v>62.383262583383861</v>
      </c>
      <c r="BN181" s="67">
        <f t="shared" si="1453"/>
        <v>87.51322751322752</v>
      </c>
      <c r="BO181" s="67">
        <f t="shared" si="1453"/>
        <v>97.230568256041821</v>
      </c>
      <c r="BP181" s="67">
        <f t="shared" si="1453"/>
        <v>66.286764705882348</v>
      </c>
      <c r="BQ181" s="67">
        <f t="shared" si="1453"/>
        <v>62.315668202764968</v>
      </c>
      <c r="BR181" s="67">
        <f t="shared" si="1453"/>
        <v>87.846410684474151</v>
      </c>
      <c r="BS181" s="67">
        <f t="shared" si="1453"/>
        <v>86.927312775330421</v>
      </c>
      <c r="BT181" s="67">
        <f t="shared" si="1453"/>
        <v>75.78947368421052</v>
      </c>
      <c r="BU181" s="67">
        <f t="shared" si="1453"/>
        <v>73.492822966507163</v>
      </c>
      <c r="BV181" s="67">
        <f t="shared" si="1453"/>
        <v>65.064548162859978</v>
      </c>
      <c r="BW181" s="67">
        <f t="shared" si="1453"/>
        <v>58.343722172751562</v>
      </c>
      <c r="BX181" s="67">
        <f t="shared" si="1453"/>
        <v>45.673316708229429</v>
      </c>
      <c r="BY181" s="67">
        <f t="shared" si="1453"/>
        <v>43.711217183770877</v>
      </c>
      <c r="BZ181" s="67">
        <f t="shared" si="1453"/>
        <v>27.321428571428569</v>
      </c>
      <c r="CA181" s="67">
        <f t="shared" si="1453"/>
        <v>26.033321517192483</v>
      </c>
      <c r="CB181" s="67">
        <f t="shared" si="1453"/>
        <v>30.906006107906343</v>
      </c>
      <c r="CC181" s="67">
        <f t="shared" si="1453"/>
        <v>29.832951195545366</v>
      </c>
      <c r="CD181" s="67">
        <f t="shared" si="1453"/>
        <v>26.568160152526218</v>
      </c>
      <c r="CE181" s="114">
        <f t="shared" si="1453"/>
        <v>25.236945366737093</v>
      </c>
      <c r="CF181" s="67">
        <f t="shared" ref="CF181:CG181" si="1454">CF182-CF180-CF179</f>
        <v>21.924072476272652</v>
      </c>
      <c r="CG181" s="67">
        <f t="shared" si="1454"/>
        <v>21.515664690939882</v>
      </c>
      <c r="CH181" s="67">
        <f t="shared" ref="CH181" si="1455">CH182-CH180-CH179</f>
        <v>57.926950154885944</v>
      </c>
      <c r="CI181" s="67">
        <f>CH181</f>
        <v>57.926950154885944</v>
      </c>
      <c r="CJ181" s="67">
        <f t="shared" ref="CJ181:CL181" si="1456">CJ182-CJ180-CJ179</f>
        <v>45.138107416879798</v>
      </c>
      <c r="CK181" s="30">
        <f t="shared" ref="CK181:DB181" si="1457">CJ181</f>
        <v>45.138107416879798</v>
      </c>
      <c r="CL181" s="67">
        <f t="shared" si="1456"/>
        <v>57.410338857284202</v>
      </c>
      <c r="CM181" s="30">
        <f t="shared" si="1457"/>
        <v>57.410338857284202</v>
      </c>
      <c r="CN181" s="30">
        <f t="shared" si="1457"/>
        <v>57.410338857284202</v>
      </c>
      <c r="CO181" s="30">
        <f t="shared" si="1457"/>
        <v>57.410338857284202</v>
      </c>
      <c r="CP181" s="30">
        <f t="shared" si="1457"/>
        <v>57.410338857284202</v>
      </c>
      <c r="CQ181" s="30">
        <f t="shared" si="1457"/>
        <v>57.410338857284202</v>
      </c>
      <c r="CR181" s="30">
        <f t="shared" si="1457"/>
        <v>57.410338857284202</v>
      </c>
      <c r="CS181" s="30">
        <f t="shared" si="1457"/>
        <v>57.410338857284202</v>
      </c>
      <c r="CT181" s="30">
        <f t="shared" si="1457"/>
        <v>57.410338857284202</v>
      </c>
      <c r="CU181" s="30">
        <f t="shared" si="1457"/>
        <v>57.410338857284202</v>
      </c>
      <c r="CV181" s="30">
        <f t="shared" si="1457"/>
        <v>57.410338857284202</v>
      </c>
      <c r="CW181" s="30">
        <f t="shared" si="1457"/>
        <v>57.410338857284202</v>
      </c>
      <c r="CX181" s="30">
        <f t="shared" si="1457"/>
        <v>57.410338857284202</v>
      </c>
      <c r="CY181" s="30">
        <f t="shared" si="1457"/>
        <v>57.410338857284202</v>
      </c>
      <c r="CZ181" s="30">
        <f t="shared" si="1457"/>
        <v>57.410338857284202</v>
      </c>
      <c r="DA181" s="30">
        <f t="shared" si="1457"/>
        <v>57.410338857284202</v>
      </c>
      <c r="DB181" s="30">
        <f t="shared" si="1457"/>
        <v>57.410338857284202</v>
      </c>
      <c r="DE181" s="139"/>
      <c r="DF181" s="62">
        <v>45.138107416879798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 t="e">
        <f t="shared" si="1458"/>
        <v>#DIV/0!</v>
      </c>
      <c r="N182" s="70" t="e">
        <f t="shared" si="1458"/>
        <v>#DIV/0!</v>
      </c>
      <c r="O182" s="70">
        <f t="shared" si="1458"/>
        <v>29.921250561706703</v>
      </c>
      <c r="P182" s="70">
        <f t="shared" si="1458"/>
        <v>53.506605252396746</v>
      </c>
      <c r="Q182" s="70">
        <f t="shared" si="1458"/>
        <v>54.277770769838014</v>
      </c>
      <c r="R182" s="70">
        <f t="shared" si="1458"/>
        <v>40.548663626665167</v>
      </c>
      <c r="S182" s="70">
        <f t="shared" si="1458"/>
        <v>54.69558449530826</v>
      </c>
      <c r="T182" s="70">
        <f t="shared" si="1458"/>
        <v>29.147229990323545</v>
      </c>
      <c r="U182" s="70">
        <f t="shared" si="1458"/>
        <v>49.848455202597151</v>
      </c>
      <c r="V182" s="70">
        <f t="shared" si="1458"/>
        <v>96.812259357609904</v>
      </c>
      <c r="W182" s="70">
        <f t="shared" si="1458"/>
        <v>123.85202757851847</v>
      </c>
      <c r="X182" s="70">
        <f t="shared" si="1458"/>
        <v>110.13795427030065</v>
      </c>
      <c r="Y182" s="70">
        <f t="shared" si="1458"/>
        <v>48.338196402832615</v>
      </c>
      <c r="Z182" s="70">
        <f t="shared" si="1458"/>
        <v>61.131553130924324</v>
      </c>
      <c r="AA182" s="70">
        <f t="shared" ref="AA182" si="1459">AA148/AA8*365</f>
        <v>93.069019184954897</v>
      </c>
      <c r="AB182" s="71">
        <f t="shared" si="1458"/>
        <v>61.34283459810807</v>
      </c>
      <c r="AC182" s="71">
        <f t="shared" si="1458"/>
        <v>61.350955924325667</v>
      </c>
      <c r="AD182" s="71">
        <f t="shared" si="1458"/>
        <v>61.3515813085343</v>
      </c>
      <c r="AE182" s="71">
        <f t="shared" si="1458"/>
        <v>61.351549980385563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>
        <f t="shared" si="1460"/>
        <v>0</v>
      </c>
      <c r="BI182" s="70">
        <f t="shared" si="1460"/>
        <v>0</v>
      </c>
      <c r="BJ182" s="70">
        <f t="shared" si="1460"/>
        <v>26.478260869565215</v>
      </c>
      <c r="BK182" s="70">
        <f t="shared" si="1460"/>
        <v>24.831222881430968</v>
      </c>
      <c r="BL182" s="70">
        <f t="shared" si="1460"/>
        <v>66.609195402298852</v>
      </c>
      <c r="BM182" s="70">
        <f t="shared" si="1460"/>
        <v>63.302802813268919</v>
      </c>
      <c r="BN182" s="70">
        <f t="shared" si="1460"/>
        <v>88.412698412698418</v>
      </c>
      <c r="BO182" s="70">
        <f t="shared" si="1460"/>
        <v>98.130039155512719</v>
      </c>
      <c r="BP182" s="70">
        <f t="shared" si="1460"/>
        <v>66.893382352941174</v>
      </c>
      <c r="BQ182" s="70">
        <f t="shared" si="1460"/>
        <v>62.922285849823794</v>
      </c>
      <c r="BR182" s="70">
        <f t="shared" si="1460"/>
        <v>88.497495826377317</v>
      </c>
      <c r="BS182" s="70">
        <f t="shared" si="1460"/>
        <v>87.578397917233588</v>
      </c>
      <c r="BT182" s="70">
        <f t="shared" si="1460"/>
        <v>76.233552631578945</v>
      </c>
      <c r="BU182" s="70">
        <f t="shared" si="1460"/>
        <v>73.936901913875587</v>
      </c>
      <c r="BV182" s="70">
        <f t="shared" si="1460"/>
        <v>65.645481628599796</v>
      </c>
      <c r="BW182" s="70">
        <f t="shared" si="1460"/>
        <v>58.92465563849138</v>
      </c>
      <c r="BX182" s="70">
        <f t="shared" si="1460"/>
        <v>47.8428927680798</v>
      </c>
      <c r="BY182" s="70">
        <f t="shared" si="1460"/>
        <v>45.880793243621248</v>
      </c>
      <c r="BZ182" s="70">
        <f t="shared" si="1460"/>
        <v>29.698660714285712</v>
      </c>
      <c r="CA182" s="70">
        <f t="shared" si="1460"/>
        <v>28.410553660049626</v>
      </c>
      <c r="CB182" s="70">
        <f t="shared" si="1460"/>
        <v>32.310824567356633</v>
      </c>
      <c r="CC182" s="70">
        <f t="shared" si="1460"/>
        <v>31.237769654995656</v>
      </c>
      <c r="CD182" s="70">
        <f t="shared" si="1460"/>
        <v>27.940896091515732</v>
      </c>
      <c r="CE182" s="115">
        <f>CE148/CE10*90</f>
        <v>26.609681305726607</v>
      </c>
      <c r="CF182" s="70">
        <f>CF148/CF8*90</f>
        <v>22.804141501294222</v>
      </c>
      <c r="CG182" s="70">
        <f>CG148/CG10*90</f>
        <v>22.395733715961452</v>
      </c>
      <c r="CH182" s="70">
        <f>CH148/CH8*90</f>
        <v>58.933399042523227</v>
      </c>
      <c r="CI182" s="70">
        <f>CI179+CI180+CI181</f>
        <v>58.933399042523227</v>
      </c>
      <c r="CJ182" s="70">
        <f>CJ148/CJ8*90</f>
        <v>46.150895140664964</v>
      </c>
      <c r="CK182" s="50">
        <f t="shared" ref="CK182:DB182" si="1461">CK179+CK180+CK181</f>
        <v>46.150895140664964</v>
      </c>
      <c r="CL182" s="70">
        <f>CL148/CL8*90</f>
        <v>58.634677219886228</v>
      </c>
      <c r="CM182" s="50">
        <f t="shared" si="1461"/>
        <v>58.634677219886228</v>
      </c>
      <c r="CN182" s="50">
        <f t="shared" si="1461"/>
        <v>58.634677219886228</v>
      </c>
      <c r="CO182" s="50">
        <f t="shared" si="1461"/>
        <v>58.634677219886228</v>
      </c>
      <c r="CP182" s="50">
        <f t="shared" si="1461"/>
        <v>58.634677219886228</v>
      </c>
      <c r="CQ182" s="50">
        <f t="shared" si="1461"/>
        <v>58.634677219886228</v>
      </c>
      <c r="CR182" s="50">
        <f t="shared" si="1461"/>
        <v>58.634677219886228</v>
      </c>
      <c r="CS182" s="50">
        <f t="shared" si="1461"/>
        <v>58.634677219886228</v>
      </c>
      <c r="CT182" s="50">
        <f t="shared" si="1461"/>
        <v>58.634677219886228</v>
      </c>
      <c r="CU182" s="50">
        <f t="shared" si="1461"/>
        <v>58.634677219886228</v>
      </c>
      <c r="CV182" s="50">
        <f t="shared" si="1461"/>
        <v>58.634677219886228</v>
      </c>
      <c r="CW182" s="50">
        <f t="shared" si="1461"/>
        <v>58.634677219886228</v>
      </c>
      <c r="CX182" s="50">
        <f t="shared" si="1461"/>
        <v>58.634677219886228</v>
      </c>
      <c r="CY182" s="50">
        <f t="shared" si="1461"/>
        <v>58.634677219886228</v>
      </c>
      <c r="CZ182" s="50">
        <f t="shared" si="1461"/>
        <v>58.634677219886228</v>
      </c>
      <c r="DA182" s="50">
        <f t="shared" si="1461"/>
        <v>58.634677219886228</v>
      </c>
      <c r="DB182" s="50">
        <f t="shared" si="1461"/>
        <v>58.634677219886228</v>
      </c>
      <c r="DE182" s="138"/>
      <c r="DF182" s="7">
        <v>46.150895140664964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 t="e">
        <f t="shared" si="1462"/>
        <v>#DIV/0!</v>
      </c>
      <c r="N183" s="67" t="e">
        <f t="shared" si="1462"/>
        <v>#DIV/0!</v>
      </c>
      <c r="O183" s="67">
        <f t="shared" si="1462"/>
        <v>48.35852726027094</v>
      </c>
      <c r="P183" s="67">
        <f t="shared" si="1462"/>
        <v>55.513284338225269</v>
      </c>
      <c r="Q183" s="67">
        <f t="shared" si="1462"/>
        <v>55.896672675409867</v>
      </c>
      <c r="R183" s="67">
        <f t="shared" si="1462"/>
        <v>34.735321607613223</v>
      </c>
      <c r="S183" s="67">
        <f t="shared" si="1462"/>
        <v>37.247946446841482</v>
      </c>
      <c r="T183" s="67">
        <f t="shared" si="1462"/>
        <v>9.302368663249359</v>
      </c>
      <c r="U183" s="67">
        <f t="shared" si="1462"/>
        <v>10.250902397104815</v>
      </c>
      <c r="V183" s="67">
        <f t="shared" si="1462"/>
        <v>8.4103040495129644</v>
      </c>
      <c r="W183" s="67">
        <f t="shared" si="1462"/>
        <v>8.8924198889161694</v>
      </c>
      <c r="X183" s="67">
        <f t="shared" si="1462"/>
        <v>10.081773981909866</v>
      </c>
      <c r="Y183" s="67">
        <f t="shared" si="1462"/>
        <v>10.479939838315474</v>
      </c>
      <c r="Z183" s="67">
        <f t="shared" si="1462"/>
        <v>7.0960187100603305</v>
      </c>
      <c r="AA183" s="67">
        <f t="shared" ref="AA183" si="1463">AA153/AA8*365</f>
        <v>7.4396128338183427</v>
      </c>
      <c r="AB183" s="18">
        <f t="shared" si="1462"/>
        <v>7.4524324492766043</v>
      </c>
      <c r="AC183" s="18">
        <f t="shared" si="1462"/>
        <v>7.453419094830755</v>
      </c>
      <c r="AD183" s="18">
        <f t="shared" si="1462"/>
        <v>7.4534950716518473</v>
      </c>
      <c r="AE183" s="18">
        <f t="shared" si="1462"/>
        <v>7.4534912656504826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>
        <f>BH153/BH8*90</f>
        <v>0</v>
      </c>
      <c r="BI183" s="67">
        <f t="shared" ref="BI183" si="1476">+BH183</f>
        <v>0</v>
      </c>
      <c r="BJ183" s="67">
        <f>BJ153/BJ8*90</f>
        <v>8.4130434782608692</v>
      </c>
      <c r="BK183" s="67">
        <f t="shared" ref="BK183" si="1477">+BJ183</f>
        <v>8.4130434782608692</v>
      </c>
      <c r="BL183" s="67">
        <f>BL153/BL8*90</f>
        <v>9.4252873563218387</v>
      </c>
      <c r="BM183" s="67">
        <f t="shared" ref="BM183" si="1478">+BL183</f>
        <v>9.4252873563218387</v>
      </c>
      <c r="BN183" s="67">
        <f>BN153/BN8*90</f>
        <v>9.4708994708994716</v>
      </c>
      <c r="BO183" s="67">
        <f t="shared" ref="BO183" si="1479">+BN183</f>
        <v>9.4708994708994716</v>
      </c>
      <c r="BP183" s="67">
        <f>BP153/BP8*90</f>
        <v>9.0441176470588243</v>
      </c>
      <c r="BQ183" s="67">
        <f t="shared" ref="BQ183" si="1480">+BP183</f>
        <v>9.0441176470588243</v>
      </c>
      <c r="BR183" s="67">
        <f>BR153/BR8*90</f>
        <v>7.7128547579298843</v>
      </c>
      <c r="BS183" s="67">
        <f t="shared" ref="BS183" si="1481">+BR183</f>
        <v>7.7128547579298843</v>
      </c>
      <c r="BT183" s="67">
        <f>BT153/BT8*90</f>
        <v>7.7960526315789478</v>
      </c>
      <c r="BU183" s="67">
        <f t="shared" ref="BU183" si="1482">+BT183</f>
        <v>7.7960526315789478</v>
      </c>
      <c r="BV183" s="67">
        <f>BV153/BV8*90</f>
        <v>8.2224428997020844</v>
      </c>
      <c r="BW183" s="67">
        <f t="shared" ref="BW183" si="1483">+BV183</f>
        <v>8.2224428997020844</v>
      </c>
      <c r="BX183" s="67">
        <f>BX153/BX8*90</f>
        <v>9.7630922693266839</v>
      </c>
      <c r="BY183" s="67">
        <f t="shared" ref="BY183" si="1484">+BX183</f>
        <v>9.7630922693266839</v>
      </c>
      <c r="BZ183" s="67">
        <f>BZ153/BZ8*90</f>
        <v>9.1071428571428559</v>
      </c>
      <c r="CA183" s="67">
        <f t="shared" ref="CA183" si="1485">+BZ183</f>
        <v>9.1071428571428559</v>
      </c>
      <c r="CB183" s="67">
        <f>CB153/CB8*90</f>
        <v>7.8181201221581276</v>
      </c>
      <c r="CC183" s="67">
        <f t="shared" ref="CC183" si="1486">+CB183</f>
        <v>7.8181201221581276</v>
      </c>
      <c r="CD183" s="67">
        <f>CD153/CD8*90</f>
        <v>9.8379408960915153</v>
      </c>
      <c r="CE183" s="114">
        <f t="shared" si="1464"/>
        <v>9.8379408960915153</v>
      </c>
      <c r="CF183" s="67">
        <f>CF153/CF8*90</f>
        <v>8.6453839516824846</v>
      </c>
      <c r="CG183" s="67">
        <f t="shared" ref="CG183:CI183" si="1487">+CF183</f>
        <v>8.6453839516824846</v>
      </c>
      <c r="CH183" s="67">
        <f>CH153/CH8*90</f>
        <v>6.8408617290903972</v>
      </c>
      <c r="CI183" s="67">
        <f t="shared" si="1487"/>
        <v>6.8408617290903972</v>
      </c>
      <c r="CJ183" s="67">
        <f>CJ153/CJ8*90</f>
        <v>8.3785166240409215</v>
      </c>
      <c r="CK183" s="30">
        <f t="shared" ref="CK183" si="1488">+CJ183</f>
        <v>8.3785166240409215</v>
      </c>
      <c r="CL183" s="67">
        <f>CL153/CL8*90</f>
        <v>7.123423200593618</v>
      </c>
      <c r="CM183" s="30">
        <f t="shared" ref="CM183" si="1489">+CL183</f>
        <v>7.123423200593618</v>
      </c>
      <c r="CN183" s="30">
        <f t="shared" ref="CN183" si="1490">+CM183</f>
        <v>7.123423200593618</v>
      </c>
      <c r="CO183" s="30">
        <f t="shared" ref="CO183" si="1491">+CN183</f>
        <v>7.123423200593618</v>
      </c>
      <c r="CP183" s="30">
        <f t="shared" ref="CP183" si="1492">+CO183</f>
        <v>7.123423200593618</v>
      </c>
      <c r="CQ183" s="30">
        <f t="shared" ref="CQ183" si="1493">+CP183</f>
        <v>7.123423200593618</v>
      </c>
      <c r="CR183" s="30">
        <f t="shared" ref="CR183" si="1494">+CQ183</f>
        <v>7.123423200593618</v>
      </c>
      <c r="CS183" s="30">
        <f t="shared" ref="CS183" si="1495">+CR183</f>
        <v>7.123423200593618</v>
      </c>
      <c r="CT183" s="30">
        <f t="shared" ref="CT183" si="1496">+CS183</f>
        <v>7.123423200593618</v>
      </c>
      <c r="CU183" s="30">
        <f t="shared" ref="CU183" si="1497">+CT183</f>
        <v>7.123423200593618</v>
      </c>
      <c r="CV183" s="30">
        <f t="shared" ref="CV183" si="1498">+CU183</f>
        <v>7.123423200593618</v>
      </c>
      <c r="CW183" s="30">
        <f t="shared" ref="CW183" si="1499">+CV183</f>
        <v>7.123423200593618</v>
      </c>
      <c r="CX183" s="30">
        <f t="shared" ref="CX183" si="1500">+CW183</f>
        <v>7.123423200593618</v>
      </c>
      <c r="CY183" s="30">
        <f t="shared" ref="CY183" si="1501">+CX183</f>
        <v>7.123423200593618</v>
      </c>
      <c r="CZ183" s="30">
        <f t="shared" ref="CZ183" si="1502">+CY183</f>
        <v>7.123423200593618</v>
      </c>
      <c r="DA183" s="30">
        <f t="shared" ref="DA183" si="1503">+CZ183</f>
        <v>7.123423200593618</v>
      </c>
      <c r="DB183" s="30">
        <f t="shared" ref="DB183" si="1504">+DA183</f>
        <v>7.123423200593618</v>
      </c>
      <c r="DE183" s="139"/>
      <c r="DF183" s="62">
        <v>8.3785166240409215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 t="e">
        <f t="shared" si="1505"/>
        <v>#DIV/0!</v>
      </c>
      <c r="N184" s="67" t="e">
        <f t="shared" si="1505"/>
        <v>#DIV/0!</v>
      </c>
      <c r="O184" s="67">
        <f t="shared" si="1505"/>
        <v>339.81914885780168</v>
      </c>
      <c r="P184" s="67">
        <f t="shared" si="1505"/>
        <v>351.63319551092735</v>
      </c>
      <c r="Q184" s="67">
        <f t="shared" si="1505"/>
        <v>719.11474122391201</v>
      </c>
      <c r="R184" s="67">
        <f t="shared" si="1505"/>
        <v>667.23864955957765</v>
      </c>
      <c r="S184" s="67">
        <f t="shared" si="1505"/>
        <v>731.2545796915042</v>
      </c>
      <c r="T184" s="67">
        <f t="shared" si="1505"/>
        <v>466.07873800050061</v>
      </c>
      <c r="U184" s="67">
        <f t="shared" si="1505"/>
        <v>474.16851111521567</v>
      </c>
      <c r="V184" s="67">
        <f t="shared" si="1505"/>
        <v>505.86223531203979</v>
      </c>
      <c r="W184" s="67">
        <f t="shared" ref="W184" si="1506">W185-W183</f>
        <v>582.45326051613506</v>
      </c>
      <c r="X184" s="67">
        <f t="shared" ref="X184:Y184" si="1507">X185-X183</f>
        <v>588.43586202137408</v>
      </c>
      <c r="Y184" s="67">
        <f t="shared" si="1507"/>
        <v>527.19324852206978</v>
      </c>
      <c r="Z184" s="67">
        <f t="shared" ref="Z184:AA184" si="1508">Z185-Z183</f>
        <v>533.64395279556072</v>
      </c>
      <c r="AA184" s="67">
        <f t="shared" si="1508"/>
        <v>532.73592421362832</v>
      </c>
      <c r="AB184" s="18">
        <f t="shared" ref="AA184:AD184" si="1509">AB185-AB183</f>
        <v>497.68275450325336</v>
      </c>
      <c r="AC184" s="18">
        <f t="shared" si="1509"/>
        <v>497.74864392666638</v>
      </c>
      <c r="AD184" s="18">
        <f t="shared" si="1509"/>
        <v>497.75371775375015</v>
      </c>
      <c r="AE184" s="18">
        <f t="shared" ref="AE184" si="1510">AE185-AE183</f>
        <v>497.75346358422149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>
        <f t="shared" si="1515"/>
        <v>0</v>
      </c>
      <c r="BI184" s="67">
        <f t="shared" si="1515"/>
        <v>0</v>
      </c>
      <c r="BJ184" s="67">
        <f t="shared" si="1515"/>
        <v>422.60869565217388</v>
      </c>
      <c r="BK184" s="67">
        <f t="shared" si="1515"/>
        <v>395.92668024439917</v>
      </c>
      <c r="BL184" s="67">
        <f t="shared" si="1515"/>
        <v>406.43678160919535</v>
      </c>
      <c r="BM184" s="67">
        <f t="shared" si="1515"/>
        <v>385.97938144329896</v>
      </c>
      <c r="BN184" s="67">
        <f t="shared" si="1515"/>
        <v>439.10052910052906</v>
      </c>
      <c r="BO184" s="67">
        <f t="shared" si="1515"/>
        <v>487.85760940561727</v>
      </c>
      <c r="BP184" s="67">
        <f t="shared" si="1515"/>
        <v>421.3235294117647</v>
      </c>
      <c r="BQ184" s="67">
        <f t="shared" si="1515"/>
        <v>396.08294930875576</v>
      </c>
      <c r="BR184" s="67">
        <f t="shared" si="1515"/>
        <v>432.97161936560934</v>
      </c>
      <c r="BS184" s="67">
        <f t="shared" si="1515"/>
        <v>428.44162995594718</v>
      </c>
      <c r="BT184" s="67">
        <f t="shared" si="1515"/>
        <v>439.53947368421058</v>
      </c>
      <c r="BU184" s="67">
        <f t="shared" si="1515"/>
        <v>426.22009569378002</v>
      </c>
      <c r="BV184" s="67">
        <f t="shared" si="1515"/>
        <v>465.10427010923524</v>
      </c>
      <c r="BW184" s="67">
        <f t="shared" si="1515"/>
        <v>417.06144256455923</v>
      </c>
      <c r="BX184" s="67">
        <f t="shared" si="1515"/>
        <v>422.65586034912718</v>
      </c>
      <c r="BY184" s="67">
        <f t="shared" si="1515"/>
        <v>404.49880668257759</v>
      </c>
      <c r="BZ184" s="67">
        <f t="shared" si="1515"/>
        <v>448.19196428571428</v>
      </c>
      <c r="CA184" s="67">
        <f t="shared" si="1515"/>
        <v>427.06132577100317</v>
      </c>
      <c r="CB184" s="67">
        <f t="shared" si="1515"/>
        <v>427.4618255853411</v>
      </c>
      <c r="CC184" s="67">
        <f t="shared" si="1515"/>
        <v>412.62037340321001</v>
      </c>
      <c r="CD184" s="67">
        <f t="shared" si="1515"/>
        <v>467.64537654909441</v>
      </c>
      <c r="CE184" s="114">
        <f t="shared" si="1515"/>
        <v>444.21370359191064</v>
      </c>
      <c r="CF184" s="67">
        <f t="shared" ref="CF184:CG184" si="1516">CF185-CF183</f>
        <v>428.33477135461601</v>
      </c>
      <c r="CG184" s="67">
        <f t="shared" si="1516"/>
        <v>420.3556308213378</v>
      </c>
      <c r="CH184" s="67">
        <f t="shared" ref="CH184" si="1517">CH185-CH183</f>
        <v>514.45530836384114</v>
      </c>
      <c r="CI184" s="67">
        <f>CH184</f>
        <v>514.45530836384114</v>
      </c>
      <c r="CJ184" s="67">
        <f t="shared" ref="CJ184:CL184" si="1518">CJ185-CJ183</f>
        <v>437.80051150895139</v>
      </c>
      <c r="CK184" s="30">
        <f t="shared" ref="CK184:DB184" si="1519">CJ184</f>
        <v>437.80051150895139</v>
      </c>
      <c r="CL184" s="67">
        <f t="shared" si="1518"/>
        <v>475.71110561464263</v>
      </c>
      <c r="CM184" s="30">
        <f t="shared" si="1519"/>
        <v>475.71110561464263</v>
      </c>
      <c r="CN184" s="30">
        <f t="shared" si="1519"/>
        <v>475.71110561464263</v>
      </c>
      <c r="CO184" s="30">
        <f t="shared" si="1519"/>
        <v>475.71110561464263</v>
      </c>
      <c r="CP184" s="30">
        <f t="shared" si="1519"/>
        <v>475.71110561464263</v>
      </c>
      <c r="CQ184" s="30">
        <f t="shared" si="1519"/>
        <v>475.71110561464263</v>
      </c>
      <c r="CR184" s="30">
        <f t="shared" si="1519"/>
        <v>475.71110561464263</v>
      </c>
      <c r="CS184" s="30">
        <f t="shared" si="1519"/>
        <v>475.71110561464263</v>
      </c>
      <c r="CT184" s="30">
        <f t="shared" si="1519"/>
        <v>475.71110561464263</v>
      </c>
      <c r="CU184" s="30">
        <f t="shared" si="1519"/>
        <v>475.71110561464263</v>
      </c>
      <c r="CV184" s="30">
        <f t="shared" si="1519"/>
        <v>475.71110561464263</v>
      </c>
      <c r="CW184" s="30">
        <f t="shared" si="1519"/>
        <v>475.71110561464263</v>
      </c>
      <c r="CX184" s="30">
        <f t="shared" si="1519"/>
        <v>475.71110561464263</v>
      </c>
      <c r="CY184" s="30">
        <f t="shared" si="1519"/>
        <v>475.71110561464263</v>
      </c>
      <c r="CZ184" s="30">
        <f t="shared" si="1519"/>
        <v>475.71110561464263</v>
      </c>
      <c r="DA184" s="30">
        <f t="shared" si="1519"/>
        <v>475.71110561464263</v>
      </c>
      <c r="DB184" s="30">
        <f t="shared" si="1519"/>
        <v>475.71110561464263</v>
      </c>
      <c r="DE184" s="139"/>
      <c r="DF184" s="62">
        <v>437.80051150895139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 t="e">
        <f t="shared" si="1520"/>
        <v>#DIV/0!</v>
      </c>
      <c r="N185" s="70" t="e">
        <f t="shared" si="1520"/>
        <v>#DIV/0!</v>
      </c>
      <c r="O185" s="70">
        <f t="shared" si="1520"/>
        <v>388.17767611807261</v>
      </c>
      <c r="P185" s="70">
        <f t="shared" si="1520"/>
        <v>407.14647984915263</v>
      </c>
      <c r="Q185" s="70">
        <f t="shared" si="1520"/>
        <v>775.01141389932184</v>
      </c>
      <c r="R185" s="70">
        <f t="shared" si="1520"/>
        <v>701.97397116719083</v>
      </c>
      <c r="S185" s="70">
        <f t="shared" si="1520"/>
        <v>768.50252613834573</v>
      </c>
      <c r="T185" s="70">
        <f t="shared" si="1520"/>
        <v>475.38110666374996</v>
      </c>
      <c r="U185" s="70">
        <f t="shared" si="1520"/>
        <v>484.41941351232049</v>
      </c>
      <c r="V185" s="70">
        <f t="shared" si="1520"/>
        <v>514.27253936155273</v>
      </c>
      <c r="W185" s="70">
        <f t="shared" si="1520"/>
        <v>591.34568040505121</v>
      </c>
      <c r="X185" s="70">
        <f t="shared" si="1520"/>
        <v>598.517636003284</v>
      </c>
      <c r="Y185" s="70">
        <f t="shared" si="1520"/>
        <v>537.67318836038521</v>
      </c>
      <c r="Z185" s="70">
        <f t="shared" si="1520"/>
        <v>540.73997150562104</v>
      </c>
      <c r="AA185" s="70">
        <f t="shared" ref="AA185" si="1521">AA156/AA8*365</f>
        <v>540.17553704744671</v>
      </c>
      <c r="AB185" s="71">
        <f t="shared" si="1520"/>
        <v>505.13518695252998</v>
      </c>
      <c r="AC185" s="71">
        <f t="shared" si="1520"/>
        <v>505.20206302149711</v>
      </c>
      <c r="AD185" s="71">
        <f t="shared" si="1520"/>
        <v>505.207212825402</v>
      </c>
      <c r="AE185" s="71">
        <f t="shared" si="1520"/>
        <v>505.20695484987198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>
        <f t="shared" si="1522"/>
        <v>0</v>
      </c>
      <c r="BI185" s="70">
        <f t="shared" si="1522"/>
        <v>0</v>
      </c>
      <c r="BJ185" s="70">
        <f t="shared" si="1522"/>
        <v>431.02173913043475</v>
      </c>
      <c r="BK185" s="70">
        <f t="shared" si="1522"/>
        <v>404.33972372266004</v>
      </c>
      <c r="BL185" s="70">
        <f t="shared" si="1522"/>
        <v>415.86206896551721</v>
      </c>
      <c r="BM185" s="70">
        <f t="shared" si="1522"/>
        <v>395.40466879962082</v>
      </c>
      <c r="BN185" s="70">
        <f t="shared" si="1522"/>
        <v>448.57142857142856</v>
      </c>
      <c r="BO185" s="70">
        <f t="shared" si="1522"/>
        <v>497.32850887651676</v>
      </c>
      <c r="BP185" s="70">
        <f t="shared" si="1522"/>
        <v>430.36764705882354</v>
      </c>
      <c r="BQ185" s="70">
        <f t="shared" si="1522"/>
        <v>405.1270669558146</v>
      </c>
      <c r="BR185" s="70">
        <f t="shared" si="1522"/>
        <v>440.68447412353925</v>
      </c>
      <c r="BS185" s="70">
        <f t="shared" si="1522"/>
        <v>436.15448471387708</v>
      </c>
      <c r="BT185" s="70">
        <f t="shared" si="1522"/>
        <v>447.33552631578954</v>
      </c>
      <c r="BU185" s="70">
        <f t="shared" si="1522"/>
        <v>434.01614832535898</v>
      </c>
      <c r="BV185" s="70">
        <f t="shared" si="1522"/>
        <v>473.3267130089373</v>
      </c>
      <c r="BW185" s="70">
        <f t="shared" si="1522"/>
        <v>425.28388546426129</v>
      </c>
      <c r="BX185" s="70">
        <f t="shared" si="1522"/>
        <v>432.41895261845389</v>
      </c>
      <c r="BY185" s="70">
        <f t="shared" si="1522"/>
        <v>414.2618989519043</v>
      </c>
      <c r="BZ185" s="70">
        <f t="shared" si="1522"/>
        <v>457.29910714285711</v>
      </c>
      <c r="CA185" s="70">
        <f t="shared" si="1522"/>
        <v>436.168468628146</v>
      </c>
      <c r="CB185" s="70">
        <f t="shared" si="1522"/>
        <v>435.27994570749922</v>
      </c>
      <c r="CC185" s="70">
        <f t="shared" si="1522"/>
        <v>420.43849352536813</v>
      </c>
      <c r="CD185" s="70">
        <f t="shared" si="1522"/>
        <v>477.48331744518595</v>
      </c>
      <c r="CE185" s="115">
        <f>CE156/CE10*90</f>
        <v>454.05164448800218</v>
      </c>
      <c r="CF185" s="70">
        <f>CF156/CF8*90</f>
        <v>436.98015530629851</v>
      </c>
      <c r="CG185" s="70">
        <f>CG156/CG10*90</f>
        <v>429.0010147730203</v>
      </c>
      <c r="CH185" s="70">
        <f>CH156/CH8*90</f>
        <v>521.29617009293156</v>
      </c>
      <c r="CI185" s="70">
        <f>CI183+CI184</f>
        <v>521.29617009293156</v>
      </c>
      <c r="CJ185" s="70">
        <f>CJ156/CJ8*90</f>
        <v>446.1790281329923</v>
      </c>
      <c r="CK185" s="50">
        <f t="shared" ref="CK185:DB185" si="1523">CK183+CK184</f>
        <v>446.1790281329923</v>
      </c>
      <c r="CL185" s="70">
        <f>CL156/CL8*90</f>
        <v>482.83452881523624</v>
      </c>
      <c r="CM185" s="50">
        <f t="shared" si="1523"/>
        <v>482.83452881523624</v>
      </c>
      <c r="CN185" s="50">
        <f t="shared" si="1523"/>
        <v>482.83452881523624</v>
      </c>
      <c r="CO185" s="50">
        <f t="shared" si="1523"/>
        <v>482.83452881523624</v>
      </c>
      <c r="CP185" s="50">
        <f t="shared" si="1523"/>
        <v>482.83452881523624</v>
      </c>
      <c r="CQ185" s="50">
        <f t="shared" si="1523"/>
        <v>482.83452881523624</v>
      </c>
      <c r="CR185" s="50">
        <f t="shared" si="1523"/>
        <v>482.83452881523624</v>
      </c>
      <c r="CS185" s="50">
        <f t="shared" si="1523"/>
        <v>482.83452881523624</v>
      </c>
      <c r="CT185" s="50">
        <f t="shared" si="1523"/>
        <v>482.83452881523624</v>
      </c>
      <c r="CU185" s="50">
        <f t="shared" si="1523"/>
        <v>482.83452881523624</v>
      </c>
      <c r="CV185" s="50">
        <f t="shared" si="1523"/>
        <v>482.83452881523624</v>
      </c>
      <c r="CW185" s="50">
        <f t="shared" si="1523"/>
        <v>482.83452881523624</v>
      </c>
      <c r="CX185" s="50">
        <f t="shared" si="1523"/>
        <v>482.83452881523624</v>
      </c>
      <c r="CY185" s="50">
        <f t="shared" si="1523"/>
        <v>482.83452881523624</v>
      </c>
      <c r="CZ185" s="50">
        <f t="shared" si="1523"/>
        <v>482.83452881523624</v>
      </c>
      <c r="DA185" s="50">
        <f t="shared" si="1523"/>
        <v>482.83452881523624</v>
      </c>
      <c r="DB185" s="50">
        <f t="shared" si="1523"/>
        <v>482.83452881523624</v>
      </c>
      <c r="DE185" s="138"/>
      <c r="DF185" s="7">
        <v>446.1790281329923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 t="e">
        <f t="shared" si="1524"/>
        <v>#DIV/0!</v>
      </c>
      <c r="N186" s="70" t="e">
        <f t="shared" si="1524"/>
        <v>#DIV/0!</v>
      </c>
      <c r="O186" s="70">
        <f t="shared" si="1524"/>
        <v>-358.25642555636591</v>
      </c>
      <c r="P186" s="70">
        <f t="shared" si="1524"/>
        <v>-353.63987459675587</v>
      </c>
      <c r="Q186" s="70">
        <f t="shared" si="1524"/>
        <v>-720.73364312948388</v>
      </c>
      <c r="R186" s="70">
        <f t="shared" si="1524"/>
        <v>-661.42530754052564</v>
      </c>
      <c r="S186" s="70">
        <f t="shared" si="1524"/>
        <v>-713.80694164303748</v>
      </c>
      <c r="T186" s="70">
        <f t="shared" si="1524"/>
        <v>-446.23387667342644</v>
      </c>
      <c r="U186" s="70">
        <f t="shared" si="1524"/>
        <v>-434.57095830972332</v>
      </c>
      <c r="V186" s="70">
        <f t="shared" si="1524"/>
        <v>-417.46028000394284</v>
      </c>
      <c r="W186" s="70">
        <f t="shared" ref="W186" si="1525">W182-W185</f>
        <v>-467.49365282653275</v>
      </c>
      <c r="X186" s="70">
        <f t="shared" ref="X186:Y186" si="1526">X182-X185</f>
        <v>-488.37968173298333</v>
      </c>
      <c r="Y186" s="70">
        <f t="shared" si="1526"/>
        <v>-489.33499195755257</v>
      </c>
      <c r="Z186" s="70">
        <f t="shared" ref="Z186:AA186" si="1527">Z182-Z185</f>
        <v>-479.60841837469673</v>
      </c>
      <c r="AA186" s="70">
        <f t="shared" si="1527"/>
        <v>-447.10651786249184</v>
      </c>
      <c r="AB186" s="71">
        <f t="shared" ref="AA186:AD186" si="1528">AB182-AB185</f>
        <v>-443.79235235442189</v>
      </c>
      <c r="AC186" s="71">
        <f t="shared" si="1528"/>
        <v>-443.85110709717145</v>
      </c>
      <c r="AD186" s="71">
        <f t="shared" si="1528"/>
        <v>-443.85563151686767</v>
      </c>
      <c r="AE186" s="71">
        <f t="shared" ref="AE186" si="1529">AE182-AE185</f>
        <v>-443.85540486948639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>
        <f t="shared" si="1534"/>
        <v>0</v>
      </c>
      <c r="BI186" s="70">
        <f t="shared" si="1534"/>
        <v>0</v>
      </c>
      <c r="BJ186" s="70">
        <f t="shared" si="1534"/>
        <v>-404.54347826086956</v>
      </c>
      <c r="BK186" s="70">
        <f t="shared" si="1534"/>
        <v>-379.50850084122908</v>
      </c>
      <c r="BL186" s="70">
        <f t="shared" si="1534"/>
        <v>-349.25287356321837</v>
      </c>
      <c r="BM186" s="70">
        <f t="shared" si="1534"/>
        <v>-332.10186598635192</v>
      </c>
      <c r="BN186" s="70">
        <f t="shared" si="1534"/>
        <v>-360.15873015873012</v>
      </c>
      <c r="BO186" s="70">
        <f t="shared" si="1534"/>
        <v>-399.19846972100402</v>
      </c>
      <c r="BP186" s="70">
        <f t="shared" si="1534"/>
        <v>-363.47426470588238</v>
      </c>
      <c r="BQ186" s="70">
        <f t="shared" si="1534"/>
        <v>-342.20478110599083</v>
      </c>
      <c r="BR186" s="70">
        <f t="shared" si="1534"/>
        <v>-352.18697829716194</v>
      </c>
      <c r="BS186" s="70">
        <f t="shared" si="1534"/>
        <v>-348.57608679664349</v>
      </c>
      <c r="BT186" s="70">
        <f t="shared" si="1534"/>
        <v>-371.10197368421058</v>
      </c>
      <c r="BU186" s="70">
        <f t="shared" si="1534"/>
        <v>-360.07924641148338</v>
      </c>
      <c r="BV186" s="70">
        <f t="shared" si="1534"/>
        <v>-407.68123138033752</v>
      </c>
      <c r="BW186" s="70">
        <f t="shared" si="1534"/>
        <v>-366.35922982576989</v>
      </c>
      <c r="BX186" s="70">
        <f t="shared" si="1534"/>
        <v>-384.57605985037407</v>
      </c>
      <c r="BY186" s="70">
        <f t="shared" si="1534"/>
        <v>-368.38110570828303</v>
      </c>
      <c r="BZ186" s="70">
        <f t="shared" si="1534"/>
        <v>-427.60044642857139</v>
      </c>
      <c r="CA186" s="70">
        <f t="shared" si="1534"/>
        <v>-407.75791496809637</v>
      </c>
      <c r="CB186" s="70">
        <f t="shared" si="1534"/>
        <v>-402.96912114014259</v>
      </c>
      <c r="CC186" s="70">
        <f t="shared" si="1534"/>
        <v>-389.20072387037249</v>
      </c>
      <c r="CD186" s="70">
        <f t="shared" si="1534"/>
        <v>-449.54242135367019</v>
      </c>
      <c r="CE186" s="115">
        <f t="shared" si="1534"/>
        <v>-427.44196318227557</v>
      </c>
      <c r="CF186" s="70">
        <f t="shared" ref="CF186:CG186" si="1535">CF182-CF185</f>
        <v>-414.17601380500429</v>
      </c>
      <c r="CG186" s="70">
        <f t="shared" si="1535"/>
        <v>-406.60528105705885</v>
      </c>
      <c r="CH186" s="70">
        <f t="shared" ref="CH186:CI186" si="1536">CH182-CH185</f>
        <v>-462.36277105040836</v>
      </c>
      <c r="CI186" s="70">
        <f t="shared" si="1536"/>
        <v>-462.36277105040836</v>
      </c>
      <c r="CJ186" s="70">
        <f t="shared" ref="CJ186:DB186" si="1537">CJ182-CJ185</f>
        <v>-400.02813299232736</v>
      </c>
      <c r="CK186" s="50">
        <f t="shared" si="1537"/>
        <v>-400.02813299232736</v>
      </c>
      <c r="CL186" s="70">
        <f t="shared" ref="CL186" si="1538">CL182-CL185</f>
        <v>-424.19985159535003</v>
      </c>
      <c r="CM186" s="50">
        <f t="shared" si="1537"/>
        <v>-424.19985159535003</v>
      </c>
      <c r="CN186" s="50">
        <f t="shared" si="1537"/>
        <v>-424.19985159535003</v>
      </c>
      <c r="CO186" s="50">
        <f t="shared" si="1537"/>
        <v>-424.19985159535003</v>
      </c>
      <c r="CP186" s="50">
        <f t="shared" si="1537"/>
        <v>-424.19985159535003</v>
      </c>
      <c r="CQ186" s="50">
        <f t="shared" si="1537"/>
        <v>-424.19985159535003</v>
      </c>
      <c r="CR186" s="50">
        <f t="shared" si="1537"/>
        <v>-424.19985159535003</v>
      </c>
      <c r="CS186" s="50">
        <f t="shared" si="1537"/>
        <v>-424.19985159535003</v>
      </c>
      <c r="CT186" s="50">
        <f t="shared" si="1537"/>
        <v>-424.19985159535003</v>
      </c>
      <c r="CU186" s="50">
        <f t="shared" si="1537"/>
        <v>-424.19985159535003</v>
      </c>
      <c r="CV186" s="50">
        <f t="shared" si="1537"/>
        <v>-424.19985159535003</v>
      </c>
      <c r="CW186" s="50">
        <f t="shared" si="1537"/>
        <v>-424.19985159535003</v>
      </c>
      <c r="CX186" s="50">
        <f t="shared" si="1537"/>
        <v>-424.19985159535003</v>
      </c>
      <c r="CY186" s="50">
        <f t="shared" si="1537"/>
        <v>-424.19985159535003</v>
      </c>
      <c r="CZ186" s="50">
        <f t="shared" si="1537"/>
        <v>-424.19985159535003</v>
      </c>
      <c r="DA186" s="50">
        <f t="shared" si="1537"/>
        <v>-424.19985159535003</v>
      </c>
      <c r="DB186" s="50">
        <f t="shared" si="1537"/>
        <v>-424.19985159535003</v>
      </c>
      <c r="DE186" s="138"/>
      <c r="DF186" s="7">
        <v>-400.02813299232736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 t="e">
        <f t="shared" si="1539"/>
        <v>#DIV/0!</v>
      </c>
      <c r="O188" s="86" t="e">
        <f t="shared" si="1539"/>
        <v>#DIV/0!</v>
      </c>
      <c r="P188" s="86">
        <f t="shared" si="1539"/>
        <v>0.29705997185941491</v>
      </c>
      <c r="Q188" s="86">
        <f t="shared" si="1539"/>
        <v>0.39575287382434454</v>
      </c>
      <c r="R188" s="86">
        <f t="shared" si="1539"/>
        <v>0.29301778615113538</v>
      </c>
      <c r="S188" s="86">
        <f t="shared" si="1539"/>
        <v>0.29186846800917676</v>
      </c>
      <c r="T188" s="86">
        <f t="shared" si="1539"/>
        <v>0.2360709170101436</v>
      </c>
      <c r="U188" s="86">
        <f t="shared" si="1539"/>
        <v>0.25903152633829785</v>
      </c>
      <c r="V188" s="86">
        <f t="shared" si="1539"/>
        <v>4.8067320545852388E-2</v>
      </c>
      <c r="W188" s="86">
        <f t="shared" si="1539"/>
        <v>0.12534014773837221</v>
      </c>
      <c r="X188" s="86">
        <f t="shared" si="1539"/>
        <v>0.30778847621385963</v>
      </c>
      <c r="Y188" s="86">
        <f t="shared" si="1539"/>
        <v>0.2145080317719017</v>
      </c>
      <c r="Z188" s="86">
        <f>Z10/Y10-1</f>
        <v>0.16007102421090003</v>
      </c>
      <c r="AA188" s="86">
        <f>AA10/Z10-1</f>
        <v>0.13015362186893142</v>
      </c>
      <c r="AB188" s="87">
        <f t="shared" ref="AA188:AE188" si="1540">AB10/AA10-1</f>
        <v>0.13210332757582433</v>
      </c>
      <c r="AC188" s="87">
        <f t="shared" si="1540"/>
        <v>0.13259247430146148</v>
      </c>
      <c r="AD188" s="87">
        <f t="shared" si="1540"/>
        <v>0.13267808800136605</v>
      </c>
      <c r="AE188" s="87">
        <f t="shared" si="1540"/>
        <v>0.13269159397380093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>
        <f t="shared" si="1541"/>
        <v>1.5180935569285086</v>
      </c>
      <c r="BL188" s="86">
        <f t="shared" si="1541"/>
        <v>0.28880407124681917</v>
      </c>
      <c r="BM188" s="86">
        <f t="shared" si="1541"/>
        <v>0.25536899648574773</v>
      </c>
      <c r="BN188" s="86">
        <f t="shared" si="1541"/>
        <v>0.23343151693667141</v>
      </c>
      <c r="BO188" s="86">
        <f t="shared" si="1541"/>
        <v>0.13284262180161233</v>
      </c>
      <c r="BP188" s="86">
        <f t="shared" si="1541"/>
        <v>4.0802895689371343E-2</v>
      </c>
      <c r="BQ188" s="86">
        <f t="shared" si="1541"/>
        <v>4.7589424572317185E-2</v>
      </c>
      <c r="BR188" s="86">
        <f t="shared" si="1541"/>
        <v>5.4626865671641545E-2</v>
      </c>
      <c r="BS188" s="86">
        <f t="shared" si="1541"/>
        <v>0.11788366336633649</v>
      </c>
      <c r="BT188" s="86">
        <f t="shared" si="1541"/>
        <v>0.15080619664875128</v>
      </c>
      <c r="BU188" s="86">
        <f t="shared" si="1541"/>
        <v>0.1000593824228031</v>
      </c>
      <c r="BV188" s="86">
        <f t="shared" si="1541"/>
        <v>0.10246249646193051</v>
      </c>
      <c r="BW188" s="86">
        <f t="shared" si="1541"/>
        <v>0.17907556047605877</v>
      </c>
      <c r="BX188" s="86">
        <f t="shared" si="1541"/>
        <v>0.27802197802197792</v>
      </c>
      <c r="BY188" s="86">
        <f t="shared" si="1541"/>
        <v>0.32793522267206487</v>
      </c>
      <c r="BZ188" s="86">
        <f t="shared" si="1541"/>
        <v>0.3355584082156613</v>
      </c>
      <c r="CA188" s="86">
        <f t="shared" si="1541"/>
        <v>0.29319248826291111</v>
      </c>
      <c r="CB188" s="86">
        <f t="shared" si="1541"/>
        <v>0.23989681857265688</v>
      </c>
      <c r="CC188" s="86">
        <f t="shared" si="1541"/>
        <v>0.21951219512195119</v>
      </c>
      <c r="CD188" s="86">
        <f t="shared" si="1541"/>
        <v>0.19184928873510176</v>
      </c>
      <c r="CE188" s="86">
        <f t="shared" si="1541"/>
        <v>0.17262661100018128</v>
      </c>
      <c r="CF188" s="86">
        <f t="shared" si="1541"/>
        <v>0.17718446601941751</v>
      </c>
      <c r="CG188" s="86">
        <f t="shared" si="1541"/>
        <v>0.16999999999999993</v>
      </c>
      <c r="CH188" s="86">
        <f t="shared" si="1541"/>
        <v>0.14419354838709686</v>
      </c>
      <c r="CI188" s="86">
        <f t="shared" si="1541"/>
        <v>0.12569659442724457</v>
      </c>
      <c r="CJ188" s="86">
        <f>+(CJ10+CI10)/(CF10+CE10)-1</f>
        <v>0.12385861561119293</v>
      </c>
      <c r="CK188" s="87"/>
      <c r="CL188" s="86">
        <f>+(CL10+CK10)/(CH10+CG10)-1</f>
        <v>0.1360304482661403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0.13012337000051866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 t="e">
        <f t="shared" ref="N189" si="1551">N186/M186-1</f>
        <v>#DIV/0!</v>
      </c>
      <c r="O189" s="86" t="e">
        <f t="shared" ref="O189" si="1552">O186/N186-1</f>
        <v>#DIV/0!</v>
      </c>
      <c r="P189" s="86">
        <f t="shared" ref="P189" si="1553">P186/O186-1</f>
        <v>-1.2886163737162892E-2</v>
      </c>
      <c r="Q189" s="86">
        <f t="shared" ref="Q189" si="1554">Q186/P186-1</f>
        <v>1.0380440524454806</v>
      </c>
      <c r="R189" s="86">
        <f t="shared" ref="R189" si="1555">R186/Q186-1</f>
        <v>-8.2288840203763258E-2</v>
      </c>
      <c r="S189" s="86">
        <f t="shared" ref="S189" si="1556">S186/R186-1</f>
        <v>7.9195085983767566E-2</v>
      </c>
      <c r="T189" s="86">
        <f t="shared" ref="T189" si="1557">T186/S186-1</f>
        <v>-0.37485354843105423</v>
      </c>
      <c r="U189" s="86">
        <f t="shared" ref="U189" si="1558">U186/T186-1</f>
        <v>-2.6136335615412176E-2</v>
      </c>
      <c r="V189" s="86">
        <f t="shared" ref="V189" si="1559">V186/U186-1</f>
        <v>-3.9373727071714493E-2</v>
      </c>
      <c r="W189" s="86">
        <f t="shared" ref="W189:AA189" si="1560">W186/V186-1</f>
        <v>0.11985181637428433</v>
      </c>
      <c r="X189" s="86">
        <f t="shared" si="1560"/>
        <v>4.4676604228037542E-2</v>
      </c>
      <c r="Y189" s="86">
        <f t="shared" si="1560"/>
        <v>1.956081017087774E-3</v>
      </c>
      <c r="Z189" s="86">
        <f t="shared" si="1560"/>
        <v>-1.9877126595719941E-2</v>
      </c>
      <c r="AA189" s="86">
        <f t="shared" si="1560"/>
        <v>-6.7767577187964556E-2</v>
      </c>
      <c r="AB189" s="87">
        <f t="shared" ref="AB189" si="1561">AB186/AA186-1</f>
        <v>-7.4124741547364481E-3</v>
      </c>
      <c r="AC189" s="87">
        <f t="shared" ref="AC189" si="1562">AC186/AB186-1</f>
        <v>1.3239241829610116E-4</v>
      </c>
      <c r="AD189" s="87">
        <f t="shared" ref="AD189" si="1563">AD186/AC186-1</f>
        <v>1.019355280162948E-5</v>
      </c>
      <c r="AE189" s="87">
        <f t="shared" ref="AE189" si="1564">AE186/AD186-1</f>
        <v>-5.1063310946286578E-7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>
        <f t="shared" si="1565"/>
        <v>-0.10971564365083641</v>
      </c>
      <c r="BO189" s="86">
        <f t="shared" si="1565"/>
        <v>5.1882813787121007E-2</v>
      </c>
      <c r="BP189" s="86">
        <f t="shared" si="1565"/>
        <v>4.0719467810161891E-2</v>
      </c>
      <c r="BQ189" s="86">
        <f t="shared" si="1565"/>
        <v>3.0421133255704502E-2</v>
      </c>
      <c r="BR189" s="86">
        <f t="shared" si="1565"/>
        <v>-2.2133995913565241E-2</v>
      </c>
      <c r="BS189" s="86">
        <f t="shared" si="1565"/>
        <v>-0.12681006257298533</v>
      </c>
      <c r="BT189" s="86">
        <f t="shared" si="1565"/>
        <v>2.0985554464221678E-2</v>
      </c>
      <c r="BU189" s="86">
        <f t="shared" si="1565"/>
        <v>5.2233242468802121E-2</v>
      </c>
      <c r="BV189" s="86">
        <f t="shared" si="1565"/>
        <v>0.15757042850219083</v>
      </c>
      <c r="BW189" s="86">
        <f t="shared" si="1565"/>
        <v>5.10165318354181E-2</v>
      </c>
      <c r="BX189" s="86">
        <f t="shared" si="1565"/>
        <v>3.6308311789333914E-2</v>
      </c>
      <c r="BY189" s="86">
        <f t="shared" si="1565"/>
        <v>2.3055645054623986E-2</v>
      </c>
      <c r="BZ189" s="86">
        <f t="shared" si="1565"/>
        <v>4.8859779442852691E-2</v>
      </c>
      <c r="CA189" s="86">
        <f t="shared" si="1565"/>
        <v>0.11300025158916993</v>
      </c>
      <c r="CB189" s="86">
        <f t="shared" si="1565"/>
        <v>4.7826849380392167E-2</v>
      </c>
      <c r="CC189" s="86">
        <f t="shared" si="1565"/>
        <v>5.6516520091495437E-2</v>
      </c>
      <c r="CD189" s="86">
        <f t="shared" si="1565"/>
        <v>5.1314200226786122E-2</v>
      </c>
      <c r="CE189" s="86">
        <f t="shared" si="1565"/>
        <v>4.8273859296438903E-2</v>
      </c>
      <c r="CF189" s="86">
        <f t="shared" si="1565"/>
        <v>2.7810797594499004E-2</v>
      </c>
      <c r="CG189" s="86">
        <f t="shared" si="1565"/>
        <v>4.4718717410410447E-2</v>
      </c>
      <c r="CH189" s="86">
        <f t="shared" si="1565"/>
        <v>2.8518664952983386E-2</v>
      </c>
      <c r="CI189" s="86">
        <f t="shared" si="1565"/>
        <v>8.1697191375759592E-2</v>
      </c>
      <c r="CJ189" s="86">
        <f>+CJ186/CF186-1</f>
        <v>-3.4159102268384367E-2</v>
      </c>
      <c r="CK189" s="87"/>
      <c r="CL189" s="86">
        <f>+CL186/CH186-1</f>
        <v>-8.2538910666096199E-2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-7.5695925441339185E-2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 t="e">
        <f t="shared" si="1566"/>
        <v>#DIV/0!</v>
      </c>
      <c r="O190" s="103" t="e">
        <f t="shared" si="1566"/>
        <v>#DIV/0!</v>
      </c>
      <c r="P190" s="103">
        <f t="shared" si="1566"/>
        <v>0</v>
      </c>
      <c r="Q190" s="103" t="str">
        <f t="shared" si="1566"/>
        <v>RF</v>
      </c>
      <c r="R190" s="103">
        <f t="shared" si="1566"/>
        <v>0</v>
      </c>
      <c r="S190" s="103">
        <f t="shared" si="1566"/>
        <v>0</v>
      </c>
      <c r="T190" s="103">
        <f t="shared" si="1566"/>
        <v>0</v>
      </c>
      <c r="U190" s="103">
        <f t="shared" si="1566"/>
        <v>0</v>
      </c>
      <c r="V190" s="103">
        <f>IF(V189&gt;V188,"RF",0)</f>
        <v>0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>
        <f t="shared" si="1568"/>
        <v>0</v>
      </c>
      <c r="Z190" s="103">
        <f t="shared" ref="Z190:AA190" si="1569">IF(Z189&gt;Z188,"RF",0)</f>
        <v>0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0</v>
      </c>
      <c r="K193" s="23">
        <f t="shared" si="1572"/>
        <v>0</v>
      </c>
      <c r="L193" s="23">
        <f t="shared" si="1572"/>
        <v>0</v>
      </c>
      <c r="M193" s="23">
        <f t="shared" si="1572"/>
        <v>0</v>
      </c>
      <c r="N193" s="23">
        <f t="shared" si="1572"/>
        <v>0</v>
      </c>
      <c r="O193" s="23">
        <f t="shared" si="1572"/>
        <v>-7.5830000000000073</v>
      </c>
      <c r="P193" s="23">
        <f t="shared" si="1572"/>
        <v>-31.88499999999998</v>
      </c>
      <c r="Q193" s="23">
        <f t="shared" si="1572"/>
        <v>-131.57400000000007</v>
      </c>
      <c r="R193" s="23">
        <f t="shared" si="1572"/>
        <v>-64.364000000000061</v>
      </c>
      <c r="S193" s="23">
        <f t="shared" si="1572"/>
        <v>54.739999999999974</v>
      </c>
      <c r="T193" s="23">
        <f t="shared" si="1572"/>
        <v>20.043999999999976</v>
      </c>
      <c r="U193" s="23">
        <f t="shared" si="1572"/>
        <v>147.38200000000009</v>
      </c>
      <c r="V193" s="23">
        <f t="shared" si="1572"/>
        <v>279.774</v>
      </c>
      <c r="W193" s="23">
        <f t="shared" si="1572"/>
        <v>297.61799999999999</v>
      </c>
      <c r="X193" s="23">
        <f t="shared" si="1572"/>
        <v>283.82700000000011</v>
      </c>
      <c r="Y193" s="23">
        <f t="shared" si="1572"/>
        <v>333.9530000000002</v>
      </c>
      <c r="Z193" s="23">
        <f t="shared" si="1572"/>
        <v>550.69800000000009</v>
      </c>
      <c r="AA193" s="23">
        <f t="shared" ref="AA193" si="1573">AA48</f>
        <v>474.68199999999973</v>
      </c>
      <c r="AB193" s="24">
        <f t="shared" si="1572"/>
        <v>259.03156830171088</v>
      </c>
      <c r="AC193" s="24">
        <f t="shared" si="1572"/>
        <v>305.85368637174651</v>
      </c>
      <c r="AD193" s="24">
        <f t="shared" si="1572"/>
        <v>351.86639083155711</v>
      </c>
      <c r="AE193" s="24">
        <f t="shared" si="1572"/>
        <v>402.08461037016735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-56.400000000000006</v>
      </c>
      <c r="BH193" s="23">
        <f t="shared" si="1574"/>
        <v>20.400000000000002</v>
      </c>
      <c r="BI193" s="23">
        <f t="shared" si="1574"/>
        <v>27.700000000000003</v>
      </c>
      <c r="BJ193" s="23">
        <f t="shared" si="1574"/>
        <v>28.20000000000001</v>
      </c>
      <c r="BK193" s="23">
        <f t="shared" si="1574"/>
        <v>32.40000000000002</v>
      </c>
      <c r="BL193" s="23">
        <f t="shared" si="1574"/>
        <v>8.6999999999999922</v>
      </c>
      <c r="BM193" s="23">
        <f t="shared" si="1574"/>
        <v>62.000000000000014</v>
      </c>
      <c r="BN193" s="23">
        <f t="shared" si="1574"/>
        <v>44.299999999999976</v>
      </c>
      <c r="BO193" s="23">
        <f t="shared" ref="BO193:CT193" si="1575">BO48</f>
        <v>74.099999999999994</v>
      </c>
      <c r="BP193" s="23">
        <f t="shared" si="1575"/>
        <v>69.8</v>
      </c>
      <c r="BQ193" s="23">
        <f t="shared" si="1575"/>
        <v>80.2</v>
      </c>
      <c r="BR193" s="23">
        <f t="shared" si="1575"/>
        <v>55.699999999999982</v>
      </c>
      <c r="BS193" s="23">
        <f t="shared" si="1575"/>
        <v>87.899999999999977</v>
      </c>
      <c r="BT193" s="23">
        <f t="shared" si="1575"/>
        <v>82.2</v>
      </c>
      <c r="BU193" s="23">
        <f t="shared" si="1575"/>
        <v>70.199999999999989</v>
      </c>
      <c r="BV193" s="23">
        <f t="shared" si="1575"/>
        <v>57.40000000000002</v>
      </c>
      <c r="BW193" s="23">
        <f t="shared" si="1575"/>
        <v>46.699999999999989</v>
      </c>
      <c r="BX193" s="23">
        <f t="shared" si="1575"/>
        <v>68.399999999999991</v>
      </c>
      <c r="BY193" s="23">
        <f t="shared" si="1575"/>
        <v>112.80000000000001</v>
      </c>
      <c r="BZ193" s="23">
        <f t="shared" si="1575"/>
        <v>55.800000000000026</v>
      </c>
      <c r="CA193" s="23">
        <f t="shared" si="1575"/>
        <v>83.100000000000009</v>
      </c>
      <c r="CB193" s="23">
        <f t="shared" si="1575"/>
        <v>69.400000000000006</v>
      </c>
      <c r="CC193" s="23">
        <f t="shared" si="1575"/>
        <v>81.900000000000006</v>
      </c>
      <c r="CD193" s="23">
        <f t="shared" si="1575"/>
        <v>99.6</v>
      </c>
      <c r="CE193" s="23">
        <f t="shared" si="1575"/>
        <v>114.00000000000001</v>
      </c>
      <c r="CF193" s="23">
        <f t="shared" si="1575"/>
        <v>135.09999999999997</v>
      </c>
      <c r="CG193" s="23">
        <f t="shared" si="1575"/>
        <v>121</v>
      </c>
      <c r="CH193" s="23">
        <f t="shared" si="1575"/>
        <v>180.60000000000005</v>
      </c>
      <c r="CI193" s="23">
        <f t="shared" si="1575"/>
        <v>153.50000000000003</v>
      </c>
      <c r="CJ193" s="23">
        <f t="shared" si="1575"/>
        <v>82.699999999999989</v>
      </c>
      <c r="CK193" s="24">
        <f t="shared" si="1575"/>
        <v>188.3000000000001</v>
      </c>
      <c r="CL193" s="23">
        <f t="shared" ref="CL193" si="1576">CL48</f>
        <v>50.200000000000017</v>
      </c>
      <c r="CM193" s="24">
        <f t="shared" si="1575"/>
        <v>61.005028944226538</v>
      </c>
      <c r="CN193" s="24">
        <f t="shared" si="1575"/>
        <v>64.323652922355649</v>
      </c>
      <c r="CO193" s="24">
        <f t="shared" si="1575"/>
        <v>67.253995595412718</v>
      </c>
      <c r="CP193" s="24">
        <f t="shared" si="1575"/>
        <v>66.448890839715986</v>
      </c>
      <c r="CQ193" s="24">
        <f t="shared" si="1575"/>
        <v>71.99309231732768</v>
      </c>
      <c r="CR193" s="24">
        <f t="shared" si="1575"/>
        <v>76.642000956753591</v>
      </c>
      <c r="CS193" s="24">
        <f t="shared" si="1575"/>
        <v>78.772300258032217</v>
      </c>
      <c r="CT193" s="24">
        <f t="shared" si="1575"/>
        <v>78.446292839632704</v>
      </c>
      <c r="CU193" s="24">
        <f t="shared" ref="CU193:DB193" si="1577">CU48</f>
        <v>82.891794264168212</v>
      </c>
      <c r="CV193" s="24">
        <f t="shared" si="1577"/>
        <v>88.336938644870528</v>
      </c>
      <c r="CW193" s="24">
        <f t="shared" si="1577"/>
        <v>90.534910478140048</v>
      </c>
      <c r="CX193" s="24">
        <f t="shared" si="1577"/>
        <v>90.10274744437821</v>
      </c>
      <c r="CY193" s="24">
        <f t="shared" si="1577"/>
        <v>94.793008529054873</v>
      </c>
      <c r="CZ193" s="24">
        <f t="shared" si="1577"/>
        <v>100.99033932244397</v>
      </c>
      <c r="DA193" s="24">
        <f t="shared" si="1577"/>
        <v>103.41949501527723</v>
      </c>
      <c r="DB193" s="24">
        <f t="shared" si="1577"/>
        <v>102.88176750339129</v>
      </c>
      <c r="DE193" s="123"/>
      <c r="DF193" s="23">
        <v>203.22483871948998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0</v>
      </c>
      <c r="O194" s="23">
        <f t="shared" si="1578"/>
        <v>2.2320000000000002</v>
      </c>
      <c r="P194" s="23">
        <f t="shared" si="1578"/>
        <v>3.0209999999999999</v>
      </c>
      <c r="Q194" s="23">
        <f t="shared" si="1578"/>
        <v>3.6819999999999999</v>
      </c>
      <c r="R194" s="23">
        <f t="shared" si="1578"/>
        <v>4.6319999999999997</v>
      </c>
      <c r="S194" s="23">
        <f t="shared" si="1578"/>
        <v>2.8849999999999998</v>
      </c>
      <c r="T194" s="23">
        <f t="shared" si="1578"/>
        <v>4.1269999999999998</v>
      </c>
      <c r="U194" s="23">
        <f t="shared" si="1578"/>
        <v>21.145</v>
      </c>
      <c r="V194" s="23">
        <f t="shared" si="1578"/>
        <v>16.065000000000001</v>
      </c>
      <c r="W194" s="23">
        <f t="shared" si="1578"/>
        <v>11.946</v>
      </c>
      <c r="X194" s="23">
        <f t="shared" si="1578"/>
        <v>31.074999999999999</v>
      </c>
      <c r="Y194" s="23">
        <f t="shared" si="1578"/>
        <v>36.460999999999999</v>
      </c>
      <c r="Z194" s="23">
        <f t="shared" si="1578"/>
        <v>32.944000000000003</v>
      </c>
      <c r="AA194" s="23">
        <f t="shared" ref="AA194" si="1579">AA32</f>
        <v>28.448</v>
      </c>
      <c r="AB194" s="24">
        <f t="shared" si="1578"/>
        <v>17.394288977656359</v>
      </c>
      <c r="AC194" s="24">
        <f t="shared" si="1578"/>
        <v>4.4088259288058289</v>
      </c>
      <c r="AD194" s="24">
        <f t="shared" si="1578"/>
        <v>1.1174786216027082</v>
      </c>
      <c r="AE194" s="24">
        <f t="shared" si="1578"/>
        <v>0.28324059282542768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0.7</v>
      </c>
      <c r="BH194" s="23">
        <f t="shared" si="1580"/>
        <v>1</v>
      </c>
      <c r="BI194" s="23">
        <f t="shared" si="1580"/>
        <v>1.2</v>
      </c>
      <c r="BJ194" s="23">
        <f t="shared" si="1580"/>
        <v>1.2</v>
      </c>
      <c r="BK194" s="23">
        <f t="shared" si="1580"/>
        <v>4.4000000000000004</v>
      </c>
      <c r="BL194" s="23">
        <f t="shared" si="1580"/>
        <v>5</v>
      </c>
      <c r="BM194" s="23">
        <f t="shared" si="1580"/>
        <v>5.8</v>
      </c>
      <c r="BN194" s="23">
        <f t="shared" si="1580"/>
        <v>5.9</v>
      </c>
      <c r="BO194" s="23">
        <f t="shared" ref="BO194:CT194" si="1581">BO32</f>
        <v>4.4000000000000004</v>
      </c>
      <c r="BP194" s="23">
        <f t="shared" si="1581"/>
        <v>4.4000000000000004</v>
      </c>
      <c r="BQ194" s="23">
        <f t="shared" si="1581"/>
        <v>3.8</v>
      </c>
      <c r="BR194" s="23">
        <f t="shared" si="1581"/>
        <v>3.5</v>
      </c>
      <c r="BS194" s="23">
        <f t="shared" si="1581"/>
        <v>3.2</v>
      </c>
      <c r="BT194" s="23">
        <f t="shared" si="1581"/>
        <v>2.8</v>
      </c>
      <c r="BU194" s="23">
        <f t="shared" si="1581"/>
        <v>3</v>
      </c>
      <c r="BV194" s="23">
        <f t="shared" si="1581"/>
        <v>2.9</v>
      </c>
      <c r="BW194" s="23">
        <f t="shared" si="1581"/>
        <v>6.3</v>
      </c>
      <c r="BX194" s="23">
        <f t="shared" si="1581"/>
        <v>7.6</v>
      </c>
      <c r="BY194" s="23">
        <f t="shared" si="1581"/>
        <v>8.6</v>
      </c>
      <c r="BZ194" s="23">
        <f t="shared" si="1581"/>
        <v>8.6</v>
      </c>
      <c r="CA194" s="23">
        <f t="shared" si="1581"/>
        <v>7.4</v>
      </c>
      <c r="CB194" s="23">
        <f t="shared" si="1581"/>
        <v>8</v>
      </c>
      <c r="CC194" s="23">
        <f t="shared" si="1581"/>
        <v>8.4</v>
      </c>
      <c r="CD194" s="23">
        <f t="shared" si="1581"/>
        <v>12.7</v>
      </c>
      <c r="CE194" s="23">
        <f t="shared" si="1581"/>
        <v>8.1</v>
      </c>
      <c r="CF194" s="23">
        <f t="shared" si="1581"/>
        <v>8.1999999999999993</v>
      </c>
      <c r="CG194" s="23">
        <f t="shared" si="1581"/>
        <v>8.3000000000000007</v>
      </c>
      <c r="CH194" s="23">
        <f t="shared" si="1581"/>
        <v>8.3000000000000007</v>
      </c>
      <c r="CI194" s="23">
        <f t="shared" si="1581"/>
        <v>6.9</v>
      </c>
      <c r="CJ194" s="23">
        <f t="shared" si="1581"/>
        <v>7.2</v>
      </c>
      <c r="CK194" s="24">
        <f t="shared" si="1581"/>
        <v>7.3</v>
      </c>
      <c r="CL194" s="23">
        <f t="shared" ref="CL194" si="1582">CL32</f>
        <v>7</v>
      </c>
      <c r="CM194" s="24">
        <f t="shared" si="1581"/>
        <v>6.7676348547717859</v>
      </c>
      <c r="CN194" s="24">
        <f t="shared" si="1581"/>
        <v>4.801931784921063</v>
      </c>
      <c r="CO194" s="24">
        <f t="shared" si="1581"/>
        <v>3.4071798141971015</v>
      </c>
      <c r="CP194" s="24">
        <f t="shared" si="1581"/>
        <v>2.4175425237664099</v>
      </c>
      <c r="CQ194" s="24">
        <f t="shared" si="1581"/>
        <v>1.7153517492284514</v>
      </c>
      <c r="CR194" s="24">
        <f t="shared" si="1581"/>
        <v>1.2171168013197697</v>
      </c>
      <c r="CS194" s="24">
        <f t="shared" si="1581"/>
        <v>0.86359739844680572</v>
      </c>
      <c r="CT194" s="24">
        <f t="shared" si="1581"/>
        <v>0.61275997981080166</v>
      </c>
      <c r="CU194" s="24">
        <f t="shared" ref="CU194:DB194" si="1583">CU32</f>
        <v>0.4347799026873358</v>
      </c>
      <c r="CV194" s="24">
        <f t="shared" si="1583"/>
        <v>0.30849528364952361</v>
      </c>
      <c r="CW194" s="24">
        <f t="shared" si="1583"/>
        <v>0.21889084441521889</v>
      </c>
      <c r="CX194" s="24">
        <f t="shared" si="1583"/>
        <v>0.15531259085062996</v>
      </c>
      <c r="CY194" s="24">
        <f t="shared" si="1583"/>
        <v>0.11020104993965932</v>
      </c>
      <c r="CZ194" s="24">
        <f t="shared" si="1583"/>
        <v>7.8192446222745238E-2</v>
      </c>
      <c r="DA194" s="24">
        <f t="shared" si="1583"/>
        <v>5.5480947319873623E-2</v>
      </c>
      <c r="DB194" s="24">
        <f t="shared" si="1583"/>
        <v>3.9366149343149484E-2</v>
      </c>
      <c r="DE194" s="123"/>
      <c r="DF194" s="23">
        <v>5.6028662420382149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0</v>
      </c>
      <c r="K195" s="22">
        <f t="shared" si="1584"/>
        <v>0</v>
      </c>
      <c r="L195" s="22">
        <f t="shared" si="1584"/>
        <v>0</v>
      </c>
      <c r="M195" s="22">
        <f t="shared" si="1584"/>
        <v>0</v>
      </c>
      <c r="N195" s="22">
        <f t="shared" si="1584"/>
        <v>0</v>
      </c>
      <c r="O195" s="22">
        <f t="shared" si="1584"/>
        <v>-5.3510000000000071</v>
      </c>
      <c r="P195" s="22">
        <f t="shared" si="1584"/>
        <v>-28.863999999999979</v>
      </c>
      <c r="Q195" s="22">
        <f t="shared" si="1584"/>
        <v>-127.89200000000007</v>
      </c>
      <c r="R195" s="22">
        <f t="shared" si="1584"/>
        <v>-59.732000000000063</v>
      </c>
      <c r="S195" s="22">
        <f t="shared" si="1584"/>
        <v>57.624999999999972</v>
      </c>
      <c r="T195" s="22">
        <f t="shared" si="1584"/>
        <v>24.170999999999975</v>
      </c>
      <c r="U195" s="22">
        <f t="shared" si="1584"/>
        <v>168.5270000000001</v>
      </c>
      <c r="V195" s="22">
        <f t="shared" si="1584"/>
        <v>295.839</v>
      </c>
      <c r="W195" s="22">
        <f t="shared" si="1584"/>
        <v>309.56400000000002</v>
      </c>
      <c r="X195" s="22">
        <f t="shared" ref="X195:Y195" si="1585">X193+X194</f>
        <v>314.9020000000001</v>
      </c>
      <c r="Y195" s="22">
        <f t="shared" si="1585"/>
        <v>370.41400000000021</v>
      </c>
      <c r="Z195" s="22">
        <f t="shared" ref="Z195:AA195" si="1586">Z193+Z194</f>
        <v>583.64200000000005</v>
      </c>
      <c r="AA195" s="22">
        <f t="shared" si="1586"/>
        <v>503.12999999999971</v>
      </c>
      <c r="AB195" s="21">
        <f t="shared" ref="AA195:AD195" si="1587">AB193+AB194</f>
        <v>276.42585727936722</v>
      </c>
      <c r="AC195" s="21">
        <f t="shared" si="1587"/>
        <v>310.26251230055232</v>
      </c>
      <c r="AD195" s="21">
        <f t="shared" si="1587"/>
        <v>352.9838694531598</v>
      </c>
      <c r="AE195" s="21">
        <f t="shared" ref="AE195" si="1588">AE193+AE194</f>
        <v>402.3678509629928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-55.7</v>
      </c>
      <c r="BH195" s="22">
        <f t="shared" si="1592"/>
        <v>21.400000000000002</v>
      </c>
      <c r="BI195" s="22">
        <f t="shared" si="1592"/>
        <v>28.900000000000002</v>
      </c>
      <c r="BJ195" s="22">
        <f t="shared" si="1592"/>
        <v>29.400000000000009</v>
      </c>
      <c r="BK195" s="22">
        <f t="shared" si="1592"/>
        <v>36.800000000000018</v>
      </c>
      <c r="BL195" s="22">
        <f t="shared" si="1592"/>
        <v>13.699999999999992</v>
      </c>
      <c r="BM195" s="22">
        <f t="shared" si="1592"/>
        <v>67.800000000000011</v>
      </c>
      <c r="BN195" s="22">
        <f t="shared" si="1592"/>
        <v>50.199999999999974</v>
      </c>
      <c r="BO195" s="22">
        <f t="shared" si="1592"/>
        <v>78.5</v>
      </c>
      <c r="BP195" s="22">
        <f t="shared" si="1592"/>
        <v>74.2</v>
      </c>
      <c r="BQ195" s="22">
        <f t="shared" si="1592"/>
        <v>84</v>
      </c>
      <c r="BR195" s="22">
        <f t="shared" si="1592"/>
        <v>59.199999999999982</v>
      </c>
      <c r="BS195" s="22">
        <f t="shared" si="1592"/>
        <v>91.09999999999998</v>
      </c>
      <c r="BT195" s="22">
        <f t="shared" si="1592"/>
        <v>85</v>
      </c>
      <c r="BU195" s="22">
        <f t="shared" si="1592"/>
        <v>73.199999999999989</v>
      </c>
      <c r="BV195" s="22">
        <f t="shared" si="1592"/>
        <v>60.300000000000018</v>
      </c>
      <c r="BW195" s="22">
        <f t="shared" si="1592"/>
        <v>52.999999999999986</v>
      </c>
      <c r="BX195" s="22">
        <f t="shared" si="1592"/>
        <v>75.999999999999986</v>
      </c>
      <c r="BY195" s="22">
        <f t="shared" si="1592"/>
        <v>121.4</v>
      </c>
      <c r="BZ195" s="22">
        <f t="shared" si="1592"/>
        <v>64.40000000000002</v>
      </c>
      <c r="CA195" s="22">
        <f t="shared" si="1592"/>
        <v>90.500000000000014</v>
      </c>
      <c r="CB195" s="22">
        <f t="shared" si="1592"/>
        <v>77.400000000000006</v>
      </c>
      <c r="CC195" s="22">
        <f t="shared" si="1592"/>
        <v>90.300000000000011</v>
      </c>
      <c r="CD195" s="22">
        <f t="shared" si="1592"/>
        <v>112.3</v>
      </c>
      <c r="CE195" s="22">
        <f t="shared" ref="CE195:CF195" si="1593">CE193+CE194</f>
        <v>122.10000000000001</v>
      </c>
      <c r="CF195" s="22">
        <f t="shared" si="1593"/>
        <v>143.29999999999995</v>
      </c>
      <c r="CG195" s="22">
        <f t="shared" ref="CG195:CH195" si="1594">CG193+CG194</f>
        <v>129.30000000000001</v>
      </c>
      <c r="CH195" s="22">
        <f t="shared" si="1594"/>
        <v>188.90000000000006</v>
      </c>
      <c r="CI195" s="22">
        <f t="shared" ref="CI195:CJ195" si="1595">CI193+CI194</f>
        <v>160.40000000000003</v>
      </c>
      <c r="CJ195" s="22">
        <f t="shared" si="1595"/>
        <v>89.899999999999991</v>
      </c>
      <c r="CK195" s="21">
        <f t="shared" ref="CK195:DB195" si="1596">CK193+CK194</f>
        <v>195.60000000000011</v>
      </c>
      <c r="CL195" s="22">
        <f t="shared" si="1596"/>
        <v>57.200000000000017</v>
      </c>
      <c r="CM195" s="21">
        <f t="shared" si="1596"/>
        <v>67.772663798998323</v>
      </c>
      <c r="CN195" s="21">
        <f t="shared" si="1596"/>
        <v>69.125584707276715</v>
      </c>
      <c r="CO195" s="21">
        <f t="shared" si="1596"/>
        <v>70.661175409609825</v>
      </c>
      <c r="CP195" s="21">
        <f t="shared" si="1596"/>
        <v>68.8664333634824</v>
      </c>
      <c r="CQ195" s="21">
        <f t="shared" si="1596"/>
        <v>73.708444066556126</v>
      </c>
      <c r="CR195" s="21">
        <f t="shared" si="1596"/>
        <v>77.859117758073367</v>
      </c>
      <c r="CS195" s="21">
        <f t="shared" si="1596"/>
        <v>79.635897656479017</v>
      </c>
      <c r="CT195" s="21">
        <f t="shared" si="1596"/>
        <v>79.059052819443508</v>
      </c>
      <c r="CU195" s="21">
        <f t="shared" si="1596"/>
        <v>83.326574166855551</v>
      </c>
      <c r="CV195" s="21">
        <f t="shared" si="1596"/>
        <v>88.645433928520049</v>
      </c>
      <c r="CW195" s="21">
        <f t="shared" si="1596"/>
        <v>90.753801322555262</v>
      </c>
      <c r="CX195" s="21">
        <f t="shared" si="1596"/>
        <v>90.258060035228837</v>
      </c>
      <c r="CY195" s="21">
        <f t="shared" si="1596"/>
        <v>94.903209578994534</v>
      </c>
      <c r="CZ195" s="21">
        <f t="shared" si="1596"/>
        <v>101.06853176866672</v>
      </c>
      <c r="DA195" s="21">
        <f t="shared" si="1596"/>
        <v>103.47497596259711</v>
      </c>
      <c r="DB195" s="21">
        <f t="shared" si="1596"/>
        <v>102.92113365273444</v>
      </c>
      <c r="DE195" s="126"/>
      <c r="DF195" s="22">
        <v>208.82770496152818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97"/>
        <v>0</v>
      </c>
      <c r="M196" s="23">
        <f t="shared" si="1597"/>
        <v>0</v>
      </c>
      <c r="N196" s="23">
        <f t="shared" si="1597"/>
        <v>0</v>
      </c>
      <c r="O196" s="23">
        <f t="shared" si="1597"/>
        <v>-11.128</v>
      </c>
      <c r="P196" s="23">
        <f t="shared" si="1597"/>
        <v>-14.683</v>
      </c>
      <c r="Q196" s="23">
        <f t="shared" si="1597"/>
        <v>-10.734000000000002</v>
      </c>
      <c r="R196" s="23">
        <f t="shared" si="1597"/>
        <v>1.2439999999999998</v>
      </c>
      <c r="S196" s="23">
        <f t="shared" si="1597"/>
        <v>-141.77100000000002</v>
      </c>
      <c r="T196" s="23">
        <f t="shared" si="1597"/>
        <v>50.744000000000014</v>
      </c>
      <c r="U196" s="23">
        <f t="shared" si="1597"/>
        <v>14.509</v>
      </c>
      <c r="V196" s="23">
        <f t="shared" si="1597"/>
        <v>-45.054999999999978</v>
      </c>
      <c r="W196" s="23">
        <f t="shared" si="1597"/>
        <v>-83.156999999999982</v>
      </c>
      <c r="X196" s="23">
        <f t="shared" si="1597"/>
        <v>-39.200000000000003</v>
      </c>
      <c r="Y196" s="23">
        <f t="shared" si="1597"/>
        <v>163.685</v>
      </c>
      <c r="Z196" s="23">
        <f t="shared" si="1597"/>
        <v>-73.537000000000006</v>
      </c>
      <c r="AA196" s="23">
        <f t="shared" si="1597"/>
        <v>-155.80199999999999</v>
      </c>
      <c r="AB196" s="24">
        <f t="shared" ref="AB196" si="1598">AA148-AB148+AA163+AA164-AB163-AB164</f>
        <v>101.45250415904471</v>
      </c>
      <c r="AC196" s="24">
        <f t="shared" ref="AC196" si="1599">AB148-AC148+AB163+AB164-AC163-AC164</f>
        <v>-39.627926232585871</v>
      </c>
      <c r="AD196" s="24">
        <f t="shared" ref="AD196" si="1600">AC148-AD148+AC163+AC164-AD163-AD164</f>
        <v>-44.870382643385021</v>
      </c>
      <c r="AE196" s="24">
        <f t="shared" ref="AE196" si="1601">AD148-AE148+AD163+AD164-AE163-AE164</f>
        <v>-50.82474647783436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>
        <f t="shared" ref="BI196" si="1625">BH148-BI148+BH163+BH164-BI163-BI164</f>
        <v>0</v>
      </c>
      <c r="BJ196" s="23">
        <f t="shared" ref="BJ196" si="1626">BI148-BJ148+BI163+BI164-BJ163-BJ164</f>
        <v>-126.4</v>
      </c>
      <c r="BK196" s="23">
        <f t="shared" ref="BK196" si="1627">BJ148-BK148+BJ163+BJ164-BK163-BK164</f>
        <v>-4.0434782608699038E-2</v>
      </c>
      <c r="BL196" s="23">
        <f t="shared" ref="BL196" si="1628">BK148-BL148+BK163+BK164-BL163-BL164</f>
        <v>-21.1595652173913</v>
      </c>
      <c r="BM196" s="23">
        <f t="shared" ref="BM196" si="1629">BL148-BM148+BL163+BL164-BM163-BM164</f>
        <v>-8.480204342274078E-2</v>
      </c>
      <c r="BN196" s="23">
        <f t="shared" ref="BN196" si="1630">BM148-BN148+BM163+BM164-BN163-BN164</f>
        <v>-44.015197956577268</v>
      </c>
      <c r="BO196" s="23">
        <f t="shared" ref="BO196" si="1631">BN148-BO148+BN163+BN164-BO163-BO164</f>
        <v>0.16990005878892589</v>
      </c>
      <c r="BP196" s="23">
        <f t="shared" ref="BP196" si="1632">BO148-BP148+BO163+BO164-BP163-BP164</f>
        <v>77.73009994121108</v>
      </c>
      <c r="BQ196" s="23">
        <f t="shared" ref="BQ196" si="1633">BP148-BQ148+BP163+BP164-BQ163-BQ164</f>
        <v>-7.0098039215679364E-2</v>
      </c>
      <c r="BR196" s="23">
        <f t="shared" ref="BR196" si="1634">BQ148-BR148+BQ163+BQ164-BR163-BR164</f>
        <v>-42.129901960784338</v>
      </c>
      <c r="BS196" s="23">
        <f t="shared" ref="BS196" si="1635">BR148-BS148+BR163+BR164-BS163-BS164</f>
        <v>-1.3745130773514802E-2</v>
      </c>
      <c r="BT196" s="23">
        <f t="shared" ref="BT196" si="1636">BS148-BT148+BS163+BS164-BT163-BT164</f>
        <v>19.113745130773534</v>
      </c>
      <c r="BU196" s="23">
        <f t="shared" ref="BU196" si="1637">BT148-BU148+BT163+BT164-BU163-BU164</f>
        <v>-2.8124999999988631E-2</v>
      </c>
      <c r="BV196" s="23">
        <f t="shared" ref="BV196" si="1638">BU148-BV148+BU163+BU164-BV163-BV164</f>
        <v>5.6281250000000096</v>
      </c>
      <c r="BW196" s="23">
        <f t="shared" ref="BW196" si="1639">BV148-BW148+BV163+BV164-BW163-BW164</f>
        <v>-0.14975173783517448</v>
      </c>
      <c r="BX196" s="23">
        <f t="shared" ref="BX196" si="1640">BW148-BX148+BW163+BW164-BX163-BX164</f>
        <v>14.64975173783516</v>
      </c>
      <c r="BY196" s="23">
        <f t="shared" ref="BY196" si="1641">BX148-BY148+BX163+BX164-BY163-BY164</f>
        <v>-0.26034912718203884</v>
      </c>
      <c r="BZ196" s="23">
        <f t="shared" ref="BZ196" si="1642">BY148-BZ148+BY163+BY164-BZ163-BZ164</f>
        <v>46.460349127182042</v>
      </c>
      <c r="CA196" s="23">
        <f t="shared" ref="CA196" si="1643">BZ148-CA148+BZ163+BZ164-CA163-CA164</f>
        <v>-0.35130208333333712</v>
      </c>
      <c r="CB196" s="23">
        <f t="shared" ref="CB196" si="1644">CA148-CB148+CA163+CA164-CB163-CB164</f>
        <v>-6.1486979166666735</v>
      </c>
      <c r="CC196" s="23">
        <f t="shared" ref="CC196" si="1645">CB148-CC148+CB163+CB164-CC163-CC164</f>
        <v>-0.16545639633525866</v>
      </c>
      <c r="CD196" s="23">
        <f t="shared" ref="CD196" si="1646">CC148-CD148+CC163+CC164-CD163-CD164</f>
        <v>22.465456396335252</v>
      </c>
      <c r="CE196" s="23">
        <f t="shared" ref="CE196" si="1647">CD148-CE148+CD163+CD164-CE163-CE164</f>
        <v>-0.25319351763583597</v>
      </c>
      <c r="CF196" s="23">
        <f t="shared" ref="CF196" si="1648">CE148-CF148+CE163+CE164-CF163-CF164</f>
        <v>14.853193517635845</v>
      </c>
      <c r="CG196" s="23">
        <f t="shared" ref="CG196" si="1649">CF148-CG148+CF163+CF164-CG163-CG164</f>
        <v>-6.4538395168256102E-2</v>
      </c>
      <c r="CH196" s="23">
        <f t="shared" ref="CH196:CL196" si="1650">CG148-CH148+CG163+CG164-CH163-CH164</f>
        <v>-148.81846160483175</v>
      </c>
      <c r="CI196" s="23">
        <f t="shared" si="1650"/>
        <v>-11.131864263587715</v>
      </c>
      <c r="CJ196" s="23">
        <f t="shared" si="1650"/>
        <v>50.11486426358772</v>
      </c>
      <c r="CK196" s="24">
        <f t="shared" ref="CK196" si="1651">CJ148-CK148+CJ163+CJ164-CK163-CK164</f>
        <v>-5.4355498721227775</v>
      </c>
      <c r="CL196" s="23">
        <f t="shared" si="1650"/>
        <v>-52.764450127877261</v>
      </c>
      <c r="CM196" s="24">
        <f t="shared" ref="CM196" si="1652">CL148-CM148+CL163+CL164-CM163-CM164</f>
        <v>-10.520837551723609</v>
      </c>
      <c r="CN196" s="24">
        <f t="shared" ref="CN196" si="1653">CM148-CN148+CM163+CM164-CN163-CN164</f>
        <v>-14.345207379126627</v>
      </c>
      <c r="CO196" s="24">
        <f t="shared" ref="CO196" si="1654">CN148-CO148+CN163+CN164-CO163-CO164</f>
        <v>-8.2791676317450538</v>
      </c>
      <c r="CP196" s="24">
        <f t="shared" ref="CP196" si="1655">CO148-CP148+CO163+CO164-CP163-CP164</f>
        <v>-1.9872832783599392</v>
      </c>
      <c r="CQ196" s="24">
        <f t="shared" ref="CQ196" si="1656">CP148-CQ148+CP163+CP164-CQ163-CQ164</f>
        <v>-11.569952720786766</v>
      </c>
      <c r="CR196" s="24">
        <f t="shared" ref="CR196" si="1657">CQ148-CR148+CQ163+CQ164-CR163-CR164</f>
        <v>-16.395199070731842</v>
      </c>
      <c r="CS196" s="24">
        <f t="shared" ref="CS196" si="1658">CR148-CS148+CR163+CR164-CS163-CS164</f>
        <v>-9.4510005129530938</v>
      </c>
      <c r="CT196" s="24">
        <f t="shared" ref="CT196" si="1659">CS148-CT148+CS163+CS164-CT163-CT164</f>
        <v>-2.2117739281141553</v>
      </c>
      <c r="CU196" s="24">
        <f t="shared" ref="CU196" si="1660">CT148-CU148+CT163+CT164-CU163-CU164</f>
        <v>-13.056287553997542</v>
      </c>
      <c r="CV196" s="24">
        <f t="shared" ref="CV196" si="1661">CU148-CV148+CU163+CU164-CV163-CV164</f>
        <v>-18.609324721298144</v>
      </c>
      <c r="CW196" s="24">
        <f t="shared" ref="CW196" si="1662">CV148-CW148+CV163+CV164-CW163-CW164</f>
        <v>-10.711969496611111</v>
      </c>
      <c r="CX196" s="24">
        <f t="shared" ref="CX196" si="1663">CW148-CX148+CW163+CW164-CX163-CX164</f>
        <v>-2.4928008714782095</v>
      </c>
      <c r="CY196" s="24">
        <f t="shared" ref="CY196" si="1664">CX148-CY148+CX163+CX164-CY163-CY164</f>
        <v>-14.784086657043638</v>
      </c>
      <c r="CZ196" s="24">
        <f t="shared" ref="CZ196" si="1665">CY148-CZ148+CY163+CY164-CZ163-CZ164</f>
        <v>-21.086997975645197</v>
      </c>
      <c r="DA196" s="24">
        <f t="shared" ref="DA196" si="1666">CZ148-DA148+CZ163+CZ164-DA163-DA164</f>
        <v>-12.132804609075201</v>
      </c>
      <c r="DB196" s="24">
        <f t="shared" ref="DB196" si="1667">DA148-DB148+DA163+DA164-DB163-DB164</f>
        <v>-2.8208572360703101</v>
      </c>
      <c r="DE196" s="123"/>
      <c r="DF196" s="23">
        <v>0.64794029405157971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0</v>
      </c>
      <c r="K197" s="23">
        <f>J156-K156</f>
        <v>0</v>
      </c>
      <c r="L197" s="23">
        <f t="shared" si="1668"/>
        <v>0</v>
      </c>
      <c r="M197" s="23">
        <f t="shared" si="1668"/>
        <v>0</v>
      </c>
      <c r="N197" s="23">
        <f t="shared" si="1668"/>
        <v>0</v>
      </c>
      <c r="O197" s="23">
        <f t="shared" si="1668"/>
        <v>-144.36700000000002</v>
      </c>
      <c r="P197" s="23">
        <f t="shared" si="1668"/>
        <v>-52.035999999999973</v>
      </c>
      <c r="Q197" s="23">
        <f t="shared" si="1668"/>
        <v>-325.40899999999999</v>
      </c>
      <c r="R197" s="23">
        <f t="shared" si="1668"/>
        <v>-89.315000000000055</v>
      </c>
      <c r="S197" s="23">
        <f t="shared" si="1668"/>
        <v>-253.19200000000001</v>
      </c>
      <c r="T197" s="23">
        <f t="shared" si="1668"/>
        <v>203.45200000000011</v>
      </c>
      <c r="U197" s="23">
        <f t="shared" si="1668"/>
        <v>-187.00500000000011</v>
      </c>
      <c r="V197" s="23">
        <f t="shared" si="1668"/>
        <v>-95.517999999999915</v>
      </c>
      <c r="W197" s="23">
        <f t="shared" si="1668"/>
        <v>-277.35000000000002</v>
      </c>
      <c r="X197" s="23">
        <f t="shared" si="1668"/>
        <v>-395.0920000000001</v>
      </c>
      <c r="Y197" s="23">
        <f t="shared" si="1668"/>
        <v>-147.1099999999999</v>
      </c>
      <c r="Z197" s="23">
        <f t="shared" si="1668"/>
        <v>-293.86099999999988</v>
      </c>
      <c r="AA197" s="23">
        <f t="shared" si="1668"/>
        <v>-265.27399999999989</v>
      </c>
      <c r="AB197" s="24">
        <f t="shared" ref="AB197" si="1669">AA156-AB156</f>
        <v>-136.22589855365231</v>
      </c>
      <c r="AC197" s="24">
        <f t="shared" ref="AC197" si="1670">AB156-AC156</f>
        <v>-326.32107820227293</v>
      </c>
      <c r="AD197" s="24">
        <f t="shared" ref="AD197" si="1671">AC156-AD156</f>
        <v>-369.49073634587012</v>
      </c>
      <c r="AE197" s="24">
        <f t="shared" ref="AE197" si="1672">AD156-AE156</f>
        <v>-418.5226845498205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>
        <f t="shared" ref="BI197" si="1699">BH156-BI156</f>
        <v>0</v>
      </c>
      <c r="BJ197" s="23">
        <f t="shared" ref="BJ197" si="1700">BI156-BJ156</f>
        <v>-660.9</v>
      </c>
      <c r="BK197" s="23">
        <f t="shared" ref="BK197" si="1701">BJ156-BK156</f>
        <v>-0.86934782608693695</v>
      </c>
      <c r="BL197" s="23">
        <f t="shared" ref="BL197" si="1702">BK156-BL156</f>
        <v>-61.830652173913109</v>
      </c>
      <c r="BM197" s="23">
        <f t="shared" ref="BM197" si="1703">BL156-BM156</f>
        <v>-0.86922094508304326</v>
      </c>
      <c r="BN197" s="23">
        <f t="shared" ref="BN197" si="1704">BM156-BN156</f>
        <v>-123.33077905491689</v>
      </c>
      <c r="BO197" s="23">
        <f t="shared" ref="BO197" si="1705">BN156-BO156</f>
        <v>1.7889476778365179</v>
      </c>
      <c r="BP197" s="23">
        <f t="shared" ref="BP197" si="1706">BO156-BP156</f>
        <v>65.611052322163459</v>
      </c>
      <c r="BQ197" s="23">
        <f t="shared" ref="BQ197" si="1707">BP156-BQ156</f>
        <v>-1.0450980392157589</v>
      </c>
      <c r="BR197" s="23">
        <f t="shared" ref="BR197" si="1708">BQ156-BR156</f>
        <v>-98.454901960784241</v>
      </c>
      <c r="BS197" s="23">
        <f t="shared" ref="BS197" si="1709">BR156-BS156</f>
        <v>-0.16282693377854685</v>
      </c>
      <c r="BT197" s="23">
        <f t="shared" ref="BT197" si="1710">BS156-BT156</f>
        <v>-26.537173066221612</v>
      </c>
      <c r="BU197" s="23">
        <f t="shared" ref="BU197" si="1711">BT156-BU156</f>
        <v>-0.49374999999997726</v>
      </c>
      <c r="BV197" s="23">
        <f t="shared" ref="BV197" si="1712">BU156-BV156</f>
        <v>-152.1062499999997</v>
      </c>
      <c r="BW197" s="23">
        <f t="shared" ref="BW197" si="1713">BV156-BW156</f>
        <v>-2.1195630585900744</v>
      </c>
      <c r="BX197" s="23">
        <f t="shared" ref="BX197" si="1714">BW156-BX156</f>
        <v>-94.680436941410107</v>
      </c>
      <c r="BY197" s="23">
        <f t="shared" ref="BY197" si="1715">BX156-BY156</f>
        <v>-1.1715710723192387</v>
      </c>
      <c r="BZ197" s="23">
        <f t="shared" ref="BZ197" si="1716">BY156-BZ156</f>
        <v>-208.62842892768072</v>
      </c>
      <c r="CA197" s="23">
        <f t="shared" ref="CA197" si="1717">BZ156-CA156</f>
        <v>-1.345833333333303</v>
      </c>
      <c r="CB197" s="23">
        <f t="shared" ref="CB197" si="1718">CA156-CB156</f>
        <v>-58.154166666666924</v>
      </c>
      <c r="CC197" s="23">
        <f t="shared" ref="CC197" si="1719">CB156-CC156</f>
        <v>-0.92080081438734851</v>
      </c>
      <c r="CD197" s="23">
        <f t="shared" ref="CD197" si="1720">CC156-CD156</f>
        <v>-243.37919918561261</v>
      </c>
      <c r="CE197" s="23">
        <f t="shared" ref="CE197" si="1721">CD156-CE156</f>
        <v>-1.8145535430567179</v>
      </c>
      <c r="CF197" s="23">
        <f t="shared" ref="CF197" si="1722">CE156-CF156</f>
        <v>-16.785446456943191</v>
      </c>
      <c r="CG197" s="23">
        <f t="shared" ref="CG197" si="1723">CF156-CG156</f>
        <v>-0.63399482312343025</v>
      </c>
      <c r="CH197" s="23">
        <f t="shared" ref="CH197:CL197" si="1724">CG156-CH156</f>
        <v>-367.96900517687641</v>
      </c>
      <c r="CI197" s="23">
        <f t="shared" si="1724"/>
        <v>-98.467054350887338</v>
      </c>
      <c r="CJ197" s="23">
        <f t="shared" si="1724"/>
        <v>216.87005435088736</v>
      </c>
      <c r="CK197" s="24">
        <f t="shared" ref="CK197" si="1725">CJ156-CK156</f>
        <v>-52.549974424552602</v>
      </c>
      <c r="CL197" s="23">
        <f t="shared" si="1724"/>
        <v>-178.05002557544753</v>
      </c>
      <c r="CM197" s="24">
        <f t="shared" ref="CM197" si="1726">CL156-CM156</f>
        <v>-86.635142937313958</v>
      </c>
      <c r="CN197" s="24">
        <f t="shared" ref="CN197" si="1727">CM156-CN156</f>
        <v>-118.12739106046183</v>
      </c>
      <c r="CO197" s="24">
        <f t="shared" ref="CO197" si="1728">CN156-CO156</f>
        <v>-68.17583368737678</v>
      </c>
      <c r="CP197" s="24">
        <f t="shared" ref="CP197" si="1729">CO156-CP156</f>
        <v>-16.364530868499514</v>
      </c>
      <c r="CQ197" s="24">
        <f t="shared" ref="CQ197" si="1730">CP156-CQ156</f>
        <v>-95.274212040191742</v>
      </c>
      <c r="CR197" s="24">
        <f t="shared" ref="CR197" si="1731">CQ156-CR156</f>
        <v>-135.0083021428145</v>
      </c>
      <c r="CS197" s="24">
        <f t="shared" ref="CS197" si="1732">CR156-CS156</f>
        <v>-77.825437025798237</v>
      </c>
      <c r="CT197" s="24">
        <f t="shared" ref="CT197" si="1733">CS156-CT156</f>
        <v>-18.21312699346845</v>
      </c>
      <c r="CU197" s="24">
        <f t="shared" ref="CU197" si="1734">CT156-CU156</f>
        <v>-107.51362074647204</v>
      </c>
      <c r="CV197" s="24">
        <f t="shared" ref="CV197" si="1735">CU156-CV156</f>
        <v>-153.24079468677155</v>
      </c>
      <c r="CW197" s="24">
        <f t="shared" ref="CW197" si="1736">CV156-CW156</f>
        <v>-88.209042665716424</v>
      </c>
      <c r="CX197" s="24">
        <f t="shared" ref="CX197" si="1737">CW156-CX156</f>
        <v>-20.5272782469101</v>
      </c>
      <c r="CY197" s="24">
        <f t="shared" ref="CY197" si="1738">CX156-CY156</f>
        <v>-121.7413969594827</v>
      </c>
      <c r="CZ197" s="24">
        <f t="shared" ref="CZ197" si="1739">CY156-CZ156</f>
        <v>-173.64350269238548</v>
      </c>
      <c r="DA197" s="24">
        <f t="shared" ref="DA197" si="1740">CZ156-DA156</f>
        <v>-99.909085789993242</v>
      </c>
      <c r="DB197" s="24">
        <f t="shared" ref="DB197" si="1741">DA156-DB156</f>
        <v>-23.228699107959073</v>
      </c>
      <c r="DE197" s="123"/>
      <c r="DF197" s="23">
        <v>6.2641768877285813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0</v>
      </c>
      <c r="K198" s="22">
        <f t="shared" si="1742"/>
        <v>0</v>
      </c>
      <c r="L198" s="22">
        <f t="shared" si="1742"/>
        <v>0</v>
      </c>
      <c r="M198" s="22">
        <f t="shared" si="1742"/>
        <v>0</v>
      </c>
      <c r="N198" s="22">
        <f t="shared" si="1742"/>
        <v>0</v>
      </c>
      <c r="O198" s="22">
        <f t="shared" si="1742"/>
        <v>133.23900000000003</v>
      </c>
      <c r="P198" s="22">
        <f t="shared" si="1742"/>
        <v>37.352999999999973</v>
      </c>
      <c r="Q198" s="22">
        <f t="shared" si="1742"/>
        <v>314.67500000000001</v>
      </c>
      <c r="R198" s="22">
        <f t="shared" si="1742"/>
        <v>90.559000000000054</v>
      </c>
      <c r="S198" s="22">
        <f t="shared" si="1742"/>
        <v>111.42099999999999</v>
      </c>
      <c r="T198" s="22">
        <f t="shared" si="1742"/>
        <v>-152.70800000000008</v>
      </c>
      <c r="U198" s="22">
        <f t="shared" si="1742"/>
        <v>201.51400000000012</v>
      </c>
      <c r="V198" s="22">
        <f t="shared" si="1742"/>
        <v>50.462999999999937</v>
      </c>
      <c r="W198" s="22">
        <f t="shared" si="1742"/>
        <v>194.19300000000004</v>
      </c>
      <c r="X198" s="22">
        <f t="shared" ref="X198:Y198" si="1743">X196-X197</f>
        <v>355.89200000000011</v>
      </c>
      <c r="Y198" s="22">
        <f t="shared" si="1743"/>
        <v>310.7949999999999</v>
      </c>
      <c r="Z198" s="22">
        <f t="shared" ref="Z198:AA198" si="1744">Z196-Z197</f>
        <v>220.32399999999987</v>
      </c>
      <c r="AA198" s="22">
        <f t="shared" si="1744"/>
        <v>109.47199999999989</v>
      </c>
      <c r="AB198" s="21">
        <f t="shared" ref="AA198:AD198" si="1745">AB196-AB197</f>
        <v>237.67840271269702</v>
      </c>
      <c r="AC198" s="21">
        <f t="shared" si="1745"/>
        <v>286.69315196968705</v>
      </c>
      <c r="AD198" s="21">
        <f t="shared" si="1745"/>
        <v>324.62035370248509</v>
      </c>
      <c r="AE198" s="21">
        <f t="shared" ref="AE198" si="1746">AE196-AE197</f>
        <v>367.69793807198613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>
        <f t="shared" si="1750"/>
        <v>0</v>
      </c>
      <c r="BJ198" s="22">
        <f t="shared" si="1750"/>
        <v>534.5</v>
      </c>
      <c r="BK198" s="22">
        <f t="shared" si="1750"/>
        <v>0.82891304347823791</v>
      </c>
      <c r="BL198" s="22">
        <f t="shared" si="1750"/>
        <v>40.671086956521805</v>
      </c>
      <c r="BM198" s="22">
        <f t="shared" si="1750"/>
        <v>0.78441890166030248</v>
      </c>
      <c r="BN198" s="22">
        <f t="shared" si="1750"/>
        <v>79.315581098339621</v>
      </c>
      <c r="BO198" s="22">
        <f t="shared" si="1750"/>
        <v>-1.619047619047592</v>
      </c>
      <c r="BP198" s="22">
        <f t="shared" si="1750"/>
        <v>12.11904761904762</v>
      </c>
      <c r="BQ198" s="22">
        <f t="shared" si="1750"/>
        <v>0.97500000000007958</v>
      </c>
      <c r="BR198" s="22">
        <f t="shared" si="1750"/>
        <v>56.324999999999903</v>
      </c>
      <c r="BS198" s="22">
        <f t="shared" si="1750"/>
        <v>0.14908180300503204</v>
      </c>
      <c r="BT198" s="22">
        <f t="shared" si="1750"/>
        <v>45.65091819699515</v>
      </c>
      <c r="BU198" s="22">
        <f t="shared" si="1750"/>
        <v>0.46562499999998863</v>
      </c>
      <c r="BV198" s="22">
        <f t="shared" si="1750"/>
        <v>157.73437499999972</v>
      </c>
      <c r="BW198" s="22">
        <f t="shared" si="1750"/>
        <v>1.9698113207549</v>
      </c>
      <c r="BX198" s="22">
        <f t="shared" si="1750"/>
        <v>109.33018867924527</v>
      </c>
      <c r="BY198" s="22">
        <f t="shared" si="1750"/>
        <v>0.9112219451371999</v>
      </c>
      <c r="BZ198" s="22">
        <f t="shared" si="1750"/>
        <v>255.08877805486276</v>
      </c>
      <c r="CA198" s="22">
        <f t="shared" si="1750"/>
        <v>0.99453124999996589</v>
      </c>
      <c r="CB198" s="22">
        <f t="shared" si="1750"/>
        <v>52.005468750000247</v>
      </c>
      <c r="CC198" s="22">
        <f t="shared" si="1750"/>
        <v>0.75534441805208985</v>
      </c>
      <c r="CD198" s="22">
        <f t="shared" si="1750"/>
        <v>265.84465558194785</v>
      </c>
      <c r="CE198" s="22">
        <f t="shared" ref="CE198:CF198" si="1751">CE196-CE197</f>
        <v>1.5613600254208819</v>
      </c>
      <c r="CF198" s="22">
        <f t="shared" si="1751"/>
        <v>31.638639974579036</v>
      </c>
      <c r="CG198" s="22">
        <f t="shared" ref="CG198:CH198" si="1752">CG196-CG197</f>
        <v>0.56945642795517415</v>
      </c>
      <c r="CH198" s="22">
        <f t="shared" si="1752"/>
        <v>219.15054357204465</v>
      </c>
      <c r="CI198" s="22">
        <f t="shared" ref="CI198:CJ198" si="1753">CI196-CI197</f>
        <v>87.335190087299623</v>
      </c>
      <c r="CJ198" s="22">
        <f t="shared" si="1753"/>
        <v>-166.75519008729964</v>
      </c>
      <c r="CK198" s="21">
        <f t="shared" ref="CK198:DB198" si="1754">CK196-CK197</f>
        <v>47.114424552429824</v>
      </c>
      <c r="CL198" s="22">
        <f t="shared" si="1754"/>
        <v>125.28557544757027</v>
      </c>
      <c r="CM198" s="21">
        <f t="shared" si="1754"/>
        <v>76.114305385590342</v>
      </c>
      <c r="CN198" s="21">
        <f t="shared" si="1754"/>
        <v>103.7821836813352</v>
      </c>
      <c r="CO198" s="21">
        <f t="shared" si="1754"/>
        <v>59.896666055631727</v>
      </c>
      <c r="CP198" s="21">
        <f t="shared" si="1754"/>
        <v>14.377247590139575</v>
      </c>
      <c r="CQ198" s="21">
        <f t="shared" si="1754"/>
        <v>83.704259319404969</v>
      </c>
      <c r="CR198" s="21">
        <f t="shared" si="1754"/>
        <v>118.61310307208265</v>
      </c>
      <c r="CS198" s="21">
        <f t="shared" si="1754"/>
        <v>68.374436512845136</v>
      </c>
      <c r="CT198" s="21">
        <f t="shared" si="1754"/>
        <v>16.001353065354294</v>
      </c>
      <c r="CU198" s="21">
        <f t="shared" si="1754"/>
        <v>94.457333192474493</v>
      </c>
      <c r="CV198" s="21">
        <f t="shared" si="1754"/>
        <v>134.6314699654734</v>
      </c>
      <c r="CW198" s="21">
        <f t="shared" si="1754"/>
        <v>77.497073169105306</v>
      </c>
      <c r="CX198" s="21">
        <f t="shared" si="1754"/>
        <v>18.034477375431891</v>
      </c>
      <c r="CY198" s="21">
        <f t="shared" si="1754"/>
        <v>106.95731030243905</v>
      </c>
      <c r="CZ198" s="21">
        <f t="shared" si="1754"/>
        <v>152.55650471674028</v>
      </c>
      <c r="DA198" s="21">
        <f t="shared" si="1754"/>
        <v>87.776281180918033</v>
      </c>
      <c r="DB198" s="21">
        <f t="shared" si="1754"/>
        <v>20.407841871888763</v>
      </c>
      <c r="DE198" s="126"/>
      <c r="DF198" s="22">
        <v>-5.6162365936770016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0</v>
      </c>
      <c r="K199" s="22">
        <f t="shared" si="1755"/>
        <v>0</v>
      </c>
      <c r="L199" s="22">
        <f t="shared" si="1755"/>
        <v>0</v>
      </c>
      <c r="M199" s="22">
        <f t="shared" si="1755"/>
        <v>0</v>
      </c>
      <c r="N199" s="22">
        <f t="shared" si="1755"/>
        <v>0</v>
      </c>
      <c r="O199" s="22">
        <f t="shared" si="1755"/>
        <v>127.88800000000002</v>
      </c>
      <c r="P199" s="22">
        <f t="shared" si="1755"/>
        <v>8.4889999999999937</v>
      </c>
      <c r="Q199" s="22">
        <f t="shared" si="1755"/>
        <v>186.78299999999996</v>
      </c>
      <c r="R199" s="22">
        <f t="shared" si="1755"/>
        <v>30.826999999999991</v>
      </c>
      <c r="S199" s="22">
        <f t="shared" si="1755"/>
        <v>169.04599999999996</v>
      </c>
      <c r="T199" s="22">
        <f t="shared" si="1755"/>
        <v>-128.53700000000012</v>
      </c>
      <c r="U199" s="22">
        <f t="shared" si="1755"/>
        <v>370.04100000000022</v>
      </c>
      <c r="V199" s="22">
        <f t="shared" si="1755"/>
        <v>346.30199999999991</v>
      </c>
      <c r="W199" s="22">
        <f t="shared" si="1755"/>
        <v>503.75700000000006</v>
      </c>
      <c r="X199" s="22">
        <f t="shared" ref="X199:Y199" si="1756">X195+X198</f>
        <v>670.79400000000021</v>
      </c>
      <c r="Y199" s="22">
        <f t="shared" si="1756"/>
        <v>681.20900000000006</v>
      </c>
      <c r="Z199" s="22">
        <f t="shared" ref="Z199:AA199" si="1757">Z195+Z198</f>
        <v>803.96599999999989</v>
      </c>
      <c r="AA199" s="22">
        <f t="shared" si="1757"/>
        <v>612.60199999999963</v>
      </c>
      <c r="AB199" s="21">
        <f t="shared" ref="AA199:AD199" si="1758">AB195+AB198</f>
        <v>514.10425999206427</v>
      </c>
      <c r="AC199" s="21">
        <f t="shared" si="1758"/>
        <v>596.95566427023937</v>
      </c>
      <c r="AD199" s="21">
        <f t="shared" si="1758"/>
        <v>677.60422315564483</v>
      </c>
      <c r="AE199" s="21">
        <f t="shared" ref="AE199" si="1759">AE195+AE198</f>
        <v>770.06578903497893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>
        <f t="shared" si="1763"/>
        <v>28.900000000000002</v>
      </c>
      <c r="BJ199" s="22">
        <f t="shared" si="1763"/>
        <v>563.9</v>
      </c>
      <c r="BK199" s="22">
        <f t="shared" si="1763"/>
        <v>37.628913043478256</v>
      </c>
      <c r="BL199" s="22">
        <f t="shared" si="1763"/>
        <v>54.371086956521793</v>
      </c>
      <c r="BM199" s="22">
        <f t="shared" si="1763"/>
        <v>68.584418901660314</v>
      </c>
      <c r="BN199" s="22">
        <f t="shared" si="1763"/>
        <v>129.5155810983396</v>
      </c>
      <c r="BO199" s="22">
        <f t="shared" si="1763"/>
        <v>76.880952380952408</v>
      </c>
      <c r="BP199" s="22">
        <f t="shared" si="1763"/>
        <v>86.319047619047623</v>
      </c>
      <c r="BQ199" s="22">
        <f t="shared" si="1763"/>
        <v>84.97500000000008</v>
      </c>
      <c r="BR199" s="22">
        <f t="shared" si="1763"/>
        <v>115.52499999999989</v>
      </c>
      <c r="BS199" s="22">
        <f t="shared" si="1763"/>
        <v>91.249081803005012</v>
      </c>
      <c r="BT199" s="22">
        <f t="shared" si="1763"/>
        <v>130.65091819699515</v>
      </c>
      <c r="BU199" s="22">
        <f t="shared" si="1763"/>
        <v>73.665624999999977</v>
      </c>
      <c r="BV199" s="22">
        <f t="shared" si="1763"/>
        <v>218.03437499999973</v>
      </c>
      <c r="BW199" s="22">
        <f t="shared" si="1763"/>
        <v>54.969811320754886</v>
      </c>
      <c r="BX199" s="22">
        <f t="shared" si="1763"/>
        <v>185.33018867924525</v>
      </c>
      <c r="BY199" s="22">
        <f t="shared" si="1763"/>
        <v>122.31122194513721</v>
      </c>
      <c r="BZ199" s="22">
        <f t="shared" si="1763"/>
        <v>319.48877805486279</v>
      </c>
      <c r="CA199" s="22">
        <f t="shared" si="1763"/>
        <v>91.49453124999998</v>
      </c>
      <c r="CB199" s="22">
        <f t="shared" si="1763"/>
        <v>129.40546875000024</v>
      </c>
      <c r="CC199" s="22">
        <f t="shared" si="1763"/>
        <v>91.055344418052101</v>
      </c>
      <c r="CD199" s="22">
        <f t="shared" si="1763"/>
        <v>378.14465558194786</v>
      </c>
      <c r="CE199" s="22">
        <f t="shared" ref="CE199:CF199" si="1764">CE195+CE198</f>
        <v>123.66136002542089</v>
      </c>
      <c r="CF199" s="22">
        <f t="shared" si="1764"/>
        <v>174.93863997457899</v>
      </c>
      <c r="CG199" s="22">
        <f t="shared" ref="CG199:CH199" si="1765">CG195+CG198</f>
        <v>129.86945642795519</v>
      </c>
      <c r="CH199" s="22">
        <f t="shared" si="1765"/>
        <v>408.05054357204472</v>
      </c>
      <c r="CI199" s="22">
        <f t="shared" ref="CI199:CJ199" si="1766">CI195+CI198</f>
        <v>247.73519008729966</v>
      </c>
      <c r="CJ199" s="22">
        <f t="shared" si="1766"/>
        <v>-76.855190087299647</v>
      </c>
      <c r="CK199" s="21">
        <f t="shared" ref="CK199:DB199" si="1767">CK195+CK198</f>
        <v>242.71442455242993</v>
      </c>
      <c r="CL199" s="22">
        <f t="shared" si="1767"/>
        <v>182.48557544757028</v>
      </c>
      <c r="CM199" s="21">
        <f t="shared" si="1767"/>
        <v>143.88696918458868</v>
      </c>
      <c r="CN199" s="21">
        <f t="shared" si="1767"/>
        <v>172.90776838861191</v>
      </c>
      <c r="CO199" s="21">
        <f t="shared" si="1767"/>
        <v>130.55784146524155</v>
      </c>
      <c r="CP199" s="21">
        <f t="shared" si="1767"/>
        <v>83.243680953621976</v>
      </c>
      <c r="CQ199" s="21">
        <f t="shared" si="1767"/>
        <v>157.41270338596109</v>
      </c>
      <c r="CR199" s="21">
        <f t="shared" si="1767"/>
        <v>196.472220830156</v>
      </c>
      <c r="CS199" s="21">
        <f t="shared" si="1767"/>
        <v>148.01033416932415</v>
      </c>
      <c r="CT199" s="21">
        <f t="shared" si="1767"/>
        <v>95.060405884797802</v>
      </c>
      <c r="CU199" s="21">
        <f t="shared" si="1767"/>
        <v>177.78390735933004</v>
      </c>
      <c r="CV199" s="21">
        <f t="shared" si="1767"/>
        <v>223.27690389399345</v>
      </c>
      <c r="CW199" s="21">
        <f t="shared" si="1767"/>
        <v>168.25087449166057</v>
      </c>
      <c r="CX199" s="21">
        <f t="shared" si="1767"/>
        <v>108.29253741066073</v>
      </c>
      <c r="CY199" s="21">
        <f t="shared" si="1767"/>
        <v>201.86051988143359</v>
      </c>
      <c r="CZ199" s="21">
        <f t="shared" si="1767"/>
        <v>253.62503648540701</v>
      </c>
      <c r="DA199" s="21">
        <f t="shared" si="1767"/>
        <v>191.25125714351515</v>
      </c>
      <c r="DB199" s="21">
        <f t="shared" si="1767"/>
        <v>123.3289755246232</v>
      </c>
      <c r="DE199" s="126"/>
      <c r="DF199" s="22">
        <v>203.21146836785118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0</v>
      </c>
      <c r="K201" s="22">
        <f t="shared" si="1768"/>
        <v>0</v>
      </c>
      <c r="L201" s="22">
        <f t="shared" si="1768"/>
        <v>0</v>
      </c>
      <c r="M201" s="22">
        <f t="shared" si="1768"/>
        <v>0</v>
      </c>
      <c r="N201" s="22">
        <f t="shared" si="1768"/>
        <v>0</v>
      </c>
      <c r="O201" s="22">
        <f t="shared" si="1768"/>
        <v>-8.7949999999999982</v>
      </c>
      <c r="P201" s="22">
        <f t="shared" si="1768"/>
        <v>-2.7949999999999973</v>
      </c>
      <c r="Q201" s="22">
        <f t="shared" si="1768"/>
        <v>-8.1710000000000029</v>
      </c>
      <c r="R201" s="22">
        <f t="shared" si="1768"/>
        <v>-2.6959999999999997</v>
      </c>
      <c r="S201" s="22">
        <f t="shared" si="1768"/>
        <v>-2.2379999999999995</v>
      </c>
      <c r="T201" s="22">
        <f t="shared" si="1768"/>
        <v>-5.1220000000000008</v>
      </c>
      <c r="U201" s="22">
        <f t="shared" si="1768"/>
        <v>-127.27500000000001</v>
      </c>
      <c r="V201" s="22">
        <f t="shared" si="1768"/>
        <v>-2.9339999999999975</v>
      </c>
      <c r="W201" s="22">
        <f t="shared" si="1768"/>
        <v>-386.88200000000001</v>
      </c>
      <c r="X201" s="22">
        <f t="shared" ref="X201:Y201" si="1769">X202+X203</f>
        <v>-618.88699999999994</v>
      </c>
      <c r="Y201" s="22">
        <f t="shared" si="1769"/>
        <v>-31.609000000000094</v>
      </c>
      <c r="Z201" s="22">
        <f t="shared" ref="Z201:AA201" si="1770">Z202+Z203</f>
        <v>-153.22800000000012</v>
      </c>
      <c r="AA201" s="22">
        <f t="shared" si="1770"/>
        <v>-104.9939999999998</v>
      </c>
      <c r="AB201" s="21">
        <f t="shared" ref="AA201:AD201" si="1771">AB202+AB203</f>
        <v>16.462999999999965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-0.7</v>
      </c>
      <c r="BH201" s="22">
        <f t="shared" si="1776"/>
        <v>-1</v>
      </c>
      <c r="BI201" s="22">
        <f t="shared" si="1776"/>
        <v>-1.2</v>
      </c>
      <c r="BJ201" s="22">
        <f t="shared" si="1776"/>
        <v>-10.499999999999998</v>
      </c>
      <c r="BK201" s="22">
        <f t="shared" si="1776"/>
        <v>-4.4000000000000004</v>
      </c>
      <c r="BL201" s="22">
        <f t="shared" si="1776"/>
        <v>-33.1</v>
      </c>
      <c r="BM201" s="22">
        <f t="shared" si="1776"/>
        <v>-5.8</v>
      </c>
      <c r="BN201" s="22">
        <f t="shared" si="1776"/>
        <v>-4.0000000000000018</v>
      </c>
      <c r="BO201" s="22">
        <f t="shared" si="1776"/>
        <v>-4.4000000000000004</v>
      </c>
      <c r="BP201" s="22">
        <f t="shared" si="1776"/>
        <v>-11.999999999999998</v>
      </c>
      <c r="BQ201" s="22">
        <f t="shared" si="1776"/>
        <v>-3.8</v>
      </c>
      <c r="BR201" s="22">
        <f t="shared" si="1776"/>
        <v>-0.10000000000000053</v>
      </c>
      <c r="BS201" s="22">
        <f t="shared" si="1776"/>
        <v>-3.2</v>
      </c>
      <c r="BT201" s="22">
        <f t="shared" si="1776"/>
        <v>-66.2</v>
      </c>
      <c r="BU201" s="22">
        <f t="shared" si="1776"/>
        <v>-3</v>
      </c>
      <c r="BV201" s="22">
        <f t="shared" si="1776"/>
        <v>-324.2</v>
      </c>
      <c r="BW201" s="22">
        <f t="shared" si="1776"/>
        <v>-6.3</v>
      </c>
      <c r="BX201" s="22">
        <f t="shared" si="1776"/>
        <v>-547.60000000000014</v>
      </c>
      <c r="BY201" s="22">
        <f t="shared" si="1776"/>
        <v>-8.6000000000000227</v>
      </c>
      <c r="BZ201" s="22">
        <f t="shared" si="1776"/>
        <v>-67.800000000000011</v>
      </c>
      <c r="CA201" s="22">
        <f t="shared" si="1776"/>
        <v>-7.3999999999999773</v>
      </c>
      <c r="CB201" s="22">
        <f t="shared" si="1776"/>
        <v>5</v>
      </c>
      <c r="CC201" s="22">
        <f t="shared" si="1776"/>
        <v>-8.3999999999999773</v>
      </c>
      <c r="CD201" s="22">
        <f t="shared" si="1776"/>
        <v>-29.600000000000023</v>
      </c>
      <c r="CE201" s="22">
        <f t="shared" ref="CE201:CF201" si="1777">CE202+CE203</f>
        <v>-8.1000000000000227</v>
      </c>
      <c r="CF201" s="22">
        <f t="shared" si="1777"/>
        <v>-74.399999999999977</v>
      </c>
      <c r="CG201" s="22">
        <f t="shared" ref="CG201:CH201" si="1778">CG202+CG203</f>
        <v>-8.3000000000000114</v>
      </c>
      <c r="CH201" s="22">
        <f t="shared" si="1778"/>
        <v>-95.01700000000011</v>
      </c>
      <c r="CI201" s="22">
        <f t="shared" ref="CI201:CJ201" si="1779">CI202+CI203</f>
        <v>0</v>
      </c>
      <c r="CJ201" s="22">
        <f t="shared" si="1779"/>
        <v>-3.9829999999998904</v>
      </c>
      <c r="CK201" s="21">
        <f t="shared" ref="CK201:DB201" si="1780">CK202+CK203</f>
        <v>0</v>
      </c>
      <c r="CL201" s="22">
        <f t="shared" si="1780"/>
        <v>-84.5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0</v>
      </c>
      <c r="P202" s="23">
        <f t="shared" si="1781"/>
        <v>0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-29.561</v>
      </c>
      <c r="V202" s="23">
        <f t="shared" si="1781"/>
        <v>-7.4320000000000022</v>
      </c>
      <c r="W202" s="23">
        <f t="shared" si="1781"/>
        <v>-383.93900000000002</v>
      </c>
      <c r="X202" s="23">
        <f t="shared" si="1781"/>
        <v>-90.767999999999972</v>
      </c>
      <c r="Y202" s="23">
        <f t="shared" si="1781"/>
        <v>-11.948000000000036</v>
      </c>
      <c r="Z202" s="23">
        <f t="shared" si="1781"/>
        <v>-141.30200000000002</v>
      </c>
      <c r="AA202" s="23">
        <f t="shared" si="1781"/>
        <v>-97.978999999999928</v>
      </c>
      <c r="AB202" s="24">
        <f t="shared" ref="AB202" si="1782">AA140-AB140</f>
        <v>2.8999999999996362E-2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-31</v>
      </c>
      <c r="BM202" s="23">
        <f t="shared" ref="BM202" si="1816">BL140-BM140</f>
        <v>0</v>
      </c>
      <c r="BN202" s="23">
        <f t="shared" ref="BN202" si="1817">BM140-BN140</f>
        <v>1.3999999999999986</v>
      </c>
      <c r="BO202" s="23">
        <f t="shared" ref="BO202" si="1818">BN140-BO140</f>
        <v>0</v>
      </c>
      <c r="BP202" s="23">
        <f t="shared" ref="BP202" si="1819">BO140-BP140</f>
        <v>-9.3999999999999986</v>
      </c>
      <c r="BQ202" s="23">
        <f t="shared" ref="BQ202" si="1820">BP140-BQ140</f>
        <v>0</v>
      </c>
      <c r="BR202" s="23">
        <f t="shared" ref="BR202" si="1821">BQ140-BR140</f>
        <v>2</v>
      </c>
      <c r="BS202" s="23">
        <f t="shared" ref="BS202" si="1822">BR140-BS140</f>
        <v>0</v>
      </c>
      <c r="BT202" s="23">
        <f t="shared" ref="BT202" si="1823">BS140-BT140</f>
        <v>-64</v>
      </c>
      <c r="BU202" s="23">
        <f t="shared" ref="BU202" si="1824">BT140-BU140</f>
        <v>0</v>
      </c>
      <c r="BV202" s="23">
        <f t="shared" ref="BV202" si="1825">BU140-BV140</f>
        <v>-319.89999999999998</v>
      </c>
      <c r="BW202" s="23">
        <f t="shared" ref="BW202" si="1826">BV140-BW140</f>
        <v>0</v>
      </c>
      <c r="BX202" s="23">
        <f t="shared" ref="BX202" si="1827">BW140-BX140</f>
        <v>-24.400000000000034</v>
      </c>
      <c r="BY202" s="23">
        <f t="shared" ref="BY202" si="1828">BX140-BY140</f>
        <v>0</v>
      </c>
      <c r="BZ202" s="23">
        <f t="shared" ref="BZ202" si="1829">BY140-BZ140</f>
        <v>-66.300000000000011</v>
      </c>
      <c r="CA202" s="23">
        <f t="shared" ref="CA202" si="1830">BZ140-CA140</f>
        <v>0</v>
      </c>
      <c r="CB202" s="23">
        <f t="shared" ref="CB202" si="1831">CA140-CB140</f>
        <v>6.6000000000000227</v>
      </c>
      <c r="CC202" s="23">
        <f t="shared" ref="CC202" si="1832">CB140-CC140</f>
        <v>0</v>
      </c>
      <c r="CD202" s="23">
        <f t="shared" ref="CD202" si="1833">CC140-CD140</f>
        <v>-18.700000000000045</v>
      </c>
      <c r="CE202" s="23">
        <f t="shared" ref="CE202" si="1834">CD140-CE140</f>
        <v>0</v>
      </c>
      <c r="CF202" s="23">
        <f t="shared" ref="CF202" si="1835">CE140-CF140</f>
        <v>-73.5</v>
      </c>
      <c r="CG202" s="23">
        <f t="shared" ref="CG202" si="1836">CF140-CG140</f>
        <v>0</v>
      </c>
      <c r="CH202" s="23">
        <f t="shared" ref="CH202:CL202" si="1837">CG140-CH140</f>
        <v>-67.75</v>
      </c>
      <c r="CI202" s="23">
        <f t="shared" si="1837"/>
        <v>0</v>
      </c>
      <c r="CJ202" s="23">
        <f t="shared" si="1837"/>
        <v>-19.649999999999977</v>
      </c>
      <c r="CK202" s="24">
        <f t="shared" ref="CK202" si="1838">CJ140-CK140</f>
        <v>0</v>
      </c>
      <c r="CL202" s="23">
        <f t="shared" si="1837"/>
        <v>-78.299999999999955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0</v>
      </c>
      <c r="K203" s="23">
        <f t="shared" si="1855"/>
        <v>0</v>
      </c>
      <c r="L203" s="23">
        <f t="shared" si="1855"/>
        <v>0</v>
      </c>
      <c r="M203" s="23">
        <f t="shared" si="1855"/>
        <v>0</v>
      </c>
      <c r="N203" s="23">
        <f t="shared" si="1855"/>
        <v>0</v>
      </c>
      <c r="O203" s="23">
        <f t="shared" si="1855"/>
        <v>-8.7949999999999982</v>
      </c>
      <c r="P203" s="23">
        <f t="shared" si="1855"/>
        <v>-2.7949999999999973</v>
      </c>
      <c r="Q203" s="23">
        <f t="shared" si="1855"/>
        <v>-8.1710000000000029</v>
      </c>
      <c r="R203" s="23">
        <f t="shared" si="1855"/>
        <v>-2.6959999999999997</v>
      </c>
      <c r="S203" s="23">
        <f t="shared" si="1855"/>
        <v>-2.2379999999999995</v>
      </c>
      <c r="T203" s="23">
        <f t="shared" si="1855"/>
        <v>-5.1220000000000008</v>
      </c>
      <c r="U203" s="23">
        <f t="shared" si="1855"/>
        <v>-97.713999999999999</v>
      </c>
      <c r="V203" s="23">
        <f t="shared" si="1855"/>
        <v>4.4980000000000047</v>
      </c>
      <c r="W203" s="23">
        <f t="shared" si="1855"/>
        <v>-2.9429999999999907</v>
      </c>
      <c r="X203" s="23">
        <f t="shared" si="1855"/>
        <v>-528.11900000000003</v>
      </c>
      <c r="Y203" s="23">
        <f t="shared" si="1855"/>
        <v>-19.661000000000058</v>
      </c>
      <c r="Z203" s="23">
        <f t="shared" si="1855"/>
        <v>-11.926000000000101</v>
      </c>
      <c r="AA203" s="23">
        <f t="shared" si="1855"/>
        <v>-7.0149999999998727</v>
      </c>
      <c r="AB203" s="24">
        <f t="shared" si="1855"/>
        <v>16.433999999999969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-0.7</v>
      </c>
      <c r="BH203" s="23">
        <f t="shared" si="1856"/>
        <v>-1</v>
      </c>
      <c r="BI203" s="23">
        <f t="shared" si="1856"/>
        <v>-1.2</v>
      </c>
      <c r="BJ203" s="23">
        <f t="shared" si="1856"/>
        <v>-10.499999999999998</v>
      </c>
      <c r="BK203" s="23">
        <f t="shared" si="1856"/>
        <v>-4.4000000000000004</v>
      </c>
      <c r="BL203" s="23">
        <f t="shared" si="1856"/>
        <v>-2.1000000000000014</v>
      </c>
      <c r="BM203" s="23">
        <f t="shared" si="1856"/>
        <v>-5.8</v>
      </c>
      <c r="BN203" s="23">
        <f t="shared" si="1856"/>
        <v>-5.4</v>
      </c>
      <c r="BO203" s="23">
        <f t="shared" ref="BO203:CT203" si="1857">BN138-BO32-BO138</f>
        <v>-4.4000000000000004</v>
      </c>
      <c r="BP203" s="23">
        <f t="shared" si="1857"/>
        <v>-2.5999999999999996</v>
      </c>
      <c r="BQ203" s="23">
        <f t="shared" si="1857"/>
        <v>-3.8</v>
      </c>
      <c r="BR203" s="23">
        <f t="shared" si="1857"/>
        <v>-2.1000000000000005</v>
      </c>
      <c r="BS203" s="23">
        <f t="shared" si="1857"/>
        <v>-3.2</v>
      </c>
      <c r="BT203" s="23">
        <f t="shared" si="1857"/>
        <v>-2.1999999999999997</v>
      </c>
      <c r="BU203" s="23">
        <f t="shared" si="1857"/>
        <v>-3</v>
      </c>
      <c r="BV203" s="23">
        <f t="shared" si="1857"/>
        <v>-4.3</v>
      </c>
      <c r="BW203" s="23">
        <f t="shared" si="1857"/>
        <v>-6.3</v>
      </c>
      <c r="BX203" s="23">
        <f t="shared" si="1857"/>
        <v>-523.20000000000005</v>
      </c>
      <c r="BY203" s="23">
        <f t="shared" si="1857"/>
        <v>-8.6000000000000227</v>
      </c>
      <c r="BZ203" s="23">
        <f t="shared" si="1857"/>
        <v>-1.5</v>
      </c>
      <c r="CA203" s="23">
        <f t="shared" si="1857"/>
        <v>-7.3999999999999773</v>
      </c>
      <c r="CB203" s="23">
        <f t="shared" si="1857"/>
        <v>-1.6000000000000227</v>
      </c>
      <c r="CC203" s="23">
        <f t="shared" si="1857"/>
        <v>-8.3999999999999773</v>
      </c>
      <c r="CD203" s="23">
        <f t="shared" si="1857"/>
        <v>-10.899999999999977</v>
      </c>
      <c r="CE203" s="23">
        <f t="shared" si="1857"/>
        <v>-8.1000000000000227</v>
      </c>
      <c r="CF203" s="23">
        <f t="shared" si="1857"/>
        <v>-0.89999999999997726</v>
      </c>
      <c r="CG203" s="23">
        <f t="shared" si="1857"/>
        <v>-8.3000000000000114</v>
      </c>
      <c r="CH203" s="23">
        <f t="shared" si="1857"/>
        <v>-27.26700000000011</v>
      </c>
      <c r="CI203" s="23">
        <f t="shared" si="1857"/>
        <v>0</v>
      </c>
      <c r="CJ203" s="23">
        <f t="shared" si="1857"/>
        <v>15.667000000000087</v>
      </c>
      <c r="CK203" s="24">
        <f t="shared" si="1857"/>
        <v>0</v>
      </c>
      <c r="CL203" s="23">
        <f t="shared" si="1857"/>
        <v>-6.2000000000000455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0</v>
      </c>
      <c r="K205" s="22">
        <f t="shared" si="1859"/>
        <v>0</v>
      </c>
      <c r="L205" s="22">
        <f t="shared" si="1859"/>
        <v>0</v>
      </c>
      <c r="M205" s="22">
        <f t="shared" si="1859"/>
        <v>0</v>
      </c>
      <c r="N205" s="22">
        <f t="shared" si="1859"/>
        <v>0</v>
      </c>
      <c r="O205" s="22">
        <f t="shared" si="1859"/>
        <v>-54.403999999999996</v>
      </c>
      <c r="P205" s="22">
        <f t="shared" si="1859"/>
        <v>-5.3000000000007104E-2</v>
      </c>
      <c r="Q205" s="22">
        <f t="shared" si="1859"/>
        <v>-101.56499999999998</v>
      </c>
      <c r="R205" s="22">
        <f t="shared" si="1859"/>
        <v>1.4090000000001333</v>
      </c>
      <c r="S205" s="22">
        <f t="shared" si="1859"/>
        <v>14.056000000000035</v>
      </c>
      <c r="T205" s="22">
        <f t="shared" si="1859"/>
        <v>461.06700000000001</v>
      </c>
      <c r="U205" s="22">
        <f t="shared" si="1859"/>
        <v>-32.213000000000051</v>
      </c>
      <c r="V205" s="22">
        <f t="shared" si="1859"/>
        <v>1056.0530000000001</v>
      </c>
      <c r="W205" s="22">
        <f t="shared" si="1859"/>
        <v>-34.449000000000069</v>
      </c>
      <c r="X205" s="22">
        <f t="shared" ref="X205:Y205" si="1860">X206+X207</f>
        <v>-99.38799999999992</v>
      </c>
      <c r="Y205" s="22">
        <f t="shared" si="1860"/>
        <v>-656.33100000000036</v>
      </c>
      <c r="Z205" s="22">
        <f t="shared" ref="Z205:AA205" si="1861">Z206+Z207</f>
        <v>-101.52200000000016</v>
      </c>
      <c r="AA205" s="22">
        <f t="shared" si="1861"/>
        <v>-259.59699999999975</v>
      </c>
      <c r="AB205" s="21">
        <f t="shared" ref="AA205:AD205" si="1862">AB206+AB207</f>
        <v>2.4999999999636202E-2</v>
      </c>
      <c r="AC205" s="21">
        <f t="shared" si="1862"/>
        <v>4.5474735088646412E-13</v>
      </c>
      <c r="AD205" s="21">
        <f t="shared" si="1862"/>
        <v>-4.5474735088646412E-13</v>
      </c>
      <c r="AE205" s="21">
        <f t="shared" ref="AE205" si="1863">AE206+AE207</f>
        <v>0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36</v>
      </c>
      <c r="BI205" s="22">
        <f t="shared" si="1867"/>
        <v>0</v>
      </c>
      <c r="BJ205" s="22">
        <f t="shared" si="1867"/>
        <v>103.99999999999999</v>
      </c>
      <c r="BK205" s="22">
        <f t="shared" si="1867"/>
        <v>2.8421709430404007E-14</v>
      </c>
      <c r="BL205" s="22">
        <f t="shared" si="1867"/>
        <v>1.7999999999999829</v>
      </c>
      <c r="BM205" s="22">
        <f t="shared" si="1867"/>
        <v>0</v>
      </c>
      <c r="BN205" s="22">
        <f t="shared" si="1867"/>
        <v>-34.000000000000028</v>
      </c>
      <c r="BO205" s="22">
        <f t="shared" si="1867"/>
        <v>-5.6843418860808015E-14</v>
      </c>
      <c r="BP205" s="22">
        <f t="shared" si="1867"/>
        <v>2.9000000000000341</v>
      </c>
      <c r="BQ205" s="22">
        <f t="shared" si="1867"/>
        <v>0</v>
      </c>
      <c r="BR205" s="22">
        <f t="shared" si="1867"/>
        <v>1053.0999999999999</v>
      </c>
      <c r="BS205" s="22">
        <f t="shared" si="1867"/>
        <v>2.2737367544323206E-13</v>
      </c>
      <c r="BT205" s="22">
        <f t="shared" si="1867"/>
        <v>-42.799999999999955</v>
      </c>
      <c r="BU205" s="22">
        <f t="shared" si="1867"/>
        <v>0</v>
      </c>
      <c r="BV205" s="22">
        <f t="shared" si="1867"/>
        <v>8.2999999999997272</v>
      </c>
      <c r="BW205" s="22">
        <f t="shared" si="1867"/>
        <v>0</v>
      </c>
      <c r="BX205" s="22">
        <f t="shared" si="1867"/>
        <v>-110.80000000000018</v>
      </c>
      <c r="BY205" s="22">
        <f t="shared" si="1867"/>
        <v>0</v>
      </c>
      <c r="BZ205" s="22">
        <f t="shared" si="1867"/>
        <v>11.500000000000227</v>
      </c>
      <c r="CA205" s="22">
        <f t="shared" si="1867"/>
        <v>0</v>
      </c>
      <c r="CB205" s="22">
        <f t="shared" si="1867"/>
        <v>-666.19999999999982</v>
      </c>
      <c r="CC205" s="22">
        <f t="shared" si="1867"/>
        <v>0</v>
      </c>
      <c r="CD205" s="22">
        <f t="shared" si="1867"/>
        <v>9.7999999999999545</v>
      </c>
      <c r="CE205" s="22">
        <f t="shared" ref="CE205:CF205" si="1868">CE206+CE207</f>
        <v>0</v>
      </c>
      <c r="CF205" s="22">
        <f t="shared" si="1868"/>
        <v>-107.90000000000009</v>
      </c>
      <c r="CG205" s="22">
        <f t="shared" ref="CG205:CH205" si="1869">CG206+CG207</f>
        <v>0</v>
      </c>
      <c r="CH205" s="22">
        <f t="shared" si="1869"/>
        <v>6.3899999999998727</v>
      </c>
      <c r="CI205" s="22">
        <f t="shared" ref="CI205:CJ205" si="1870">CI206+CI207</f>
        <v>0</v>
      </c>
      <c r="CJ205" s="22">
        <f t="shared" si="1870"/>
        <v>-283.78999999999996</v>
      </c>
      <c r="CK205" s="21">
        <f t="shared" ref="CK205:DB205" si="1871">CK206+CK207</f>
        <v>0</v>
      </c>
      <c r="CL205" s="22">
        <f t="shared" si="1871"/>
        <v>24.200000000000273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0.113</v>
      </c>
      <c r="P206" s="23">
        <f t="shared" si="1872"/>
        <v>-5.6000000000000001E-2</v>
      </c>
      <c r="Q206" s="23">
        <f t="shared" si="1872"/>
        <v>-5.7000000000000002E-2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0</v>
      </c>
      <c r="X206" s="23">
        <f t="shared" si="1872"/>
        <v>0</v>
      </c>
      <c r="Y206" s="23">
        <f t="shared" si="1872"/>
        <v>0</v>
      </c>
      <c r="Z206" s="23">
        <f t="shared" si="1872"/>
        <v>0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0</v>
      </c>
      <c r="BY206" s="23">
        <f t="shared" ref="BY206" si="1919">BY128-BX128</f>
        <v>0</v>
      </c>
      <c r="BZ206" s="23">
        <f t="shared" ref="BZ206" si="1920">BZ128-BY128</f>
        <v>0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0</v>
      </c>
      <c r="CE206" s="23">
        <f t="shared" ref="CE206" si="1925">CE128-CD128</f>
        <v>0</v>
      </c>
      <c r="CF206" s="23">
        <f t="shared" ref="CF206" si="1926">CF128-CE128</f>
        <v>0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0</v>
      </c>
      <c r="K207" s="23">
        <f t="shared" si="1946"/>
        <v>0</v>
      </c>
      <c r="L207" s="23">
        <f t="shared" si="1946"/>
        <v>0</v>
      </c>
      <c r="M207" s="23">
        <f t="shared" si="1946"/>
        <v>0</v>
      </c>
      <c r="N207" s="23">
        <f t="shared" si="1946"/>
        <v>0</v>
      </c>
      <c r="O207" s="23">
        <f t="shared" si="1946"/>
        <v>-54.516999999999996</v>
      </c>
      <c r="P207" s="23">
        <f t="shared" si="1946"/>
        <v>2.9999999999928946E-3</v>
      </c>
      <c r="Q207" s="23">
        <f t="shared" si="1946"/>
        <v>-101.50799999999998</v>
      </c>
      <c r="R207" s="23">
        <f t="shared" si="1946"/>
        <v>1.4090000000001333</v>
      </c>
      <c r="S207" s="23">
        <f t="shared" si="1946"/>
        <v>14.056000000000035</v>
      </c>
      <c r="T207" s="23">
        <f t="shared" si="1946"/>
        <v>461.06700000000001</v>
      </c>
      <c r="U207" s="23">
        <f t="shared" si="1946"/>
        <v>-32.213000000000051</v>
      </c>
      <c r="V207" s="23">
        <f t="shared" si="1946"/>
        <v>1056.0530000000001</v>
      </c>
      <c r="W207" s="23">
        <f t="shared" si="1946"/>
        <v>-34.449000000000069</v>
      </c>
      <c r="X207" s="23">
        <f t="shared" si="1946"/>
        <v>-99.38799999999992</v>
      </c>
      <c r="Y207" s="23">
        <f t="shared" si="1946"/>
        <v>-656.33100000000036</v>
      </c>
      <c r="Z207" s="23">
        <f t="shared" si="1946"/>
        <v>-101.52200000000016</v>
      </c>
      <c r="AA207" s="23">
        <f t="shared" si="1946"/>
        <v>-259.59699999999975</v>
      </c>
      <c r="AB207" s="24">
        <f t="shared" si="1946"/>
        <v>2.4999999999636202E-2</v>
      </c>
      <c r="AC207" s="24">
        <f t="shared" si="1946"/>
        <v>4.5474735088646412E-13</v>
      </c>
      <c r="AD207" s="24">
        <f t="shared" si="1946"/>
        <v>-4.5474735088646412E-13</v>
      </c>
      <c r="AE207" s="24">
        <f t="shared" si="1946"/>
        <v>0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36</v>
      </c>
      <c r="BI207" s="23">
        <f t="shared" si="1947"/>
        <v>0</v>
      </c>
      <c r="BJ207" s="23">
        <f t="shared" si="1947"/>
        <v>103.99999999999999</v>
      </c>
      <c r="BK207" s="23">
        <f t="shared" si="1947"/>
        <v>2.8421709430404007E-14</v>
      </c>
      <c r="BL207" s="23">
        <f t="shared" si="1947"/>
        <v>1.7999999999999829</v>
      </c>
      <c r="BM207" s="23">
        <f t="shared" si="1947"/>
        <v>0</v>
      </c>
      <c r="BN207" s="23">
        <f t="shared" si="1947"/>
        <v>-34.000000000000028</v>
      </c>
      <c r="BO207" s="23">
        <f t="shared" ref="BO207:CT207" si="1948">BO120-BO48-BN120+BO122-BN122</f>
        <v>-5.6843418860808015E-14</v>
      </c>
      <c r="BP207" s="23">
        <f t="shared" si="1948"/>
        <v>2.9000000000000341</v>
      </c>
      <c r="BQ207" s="23">
        <f t="shared" si="1948"/>
        <v>0</v>
      </c>
      <c r="BR207" s="23">
        <f t="shared" si="1948"/>
        <v>1053.0999999999999</v>
      </c>
      <c r="BS207" s="23">
        <f t="shared" si="1948"/>
        <v>2.2737367544323206E-13</v>
      </c>
      <c r="BT207" s="23">
        <f t="shared" si="1948"/>
        <v>-42.799999999999955</v>
      </c>
      <c r="BU207" s="23">
        <f t="shared" si="1948"/>
        <v>0</v>
      </c>
      <c r="BV207" s="23">
        <f t="shared" si="1948"/>
        <v>8.2999999999997272</v>
      </c>
      <c r="BW207" s="23">
        <f t="shared" si="1948"/>
        <v>0</v>
      </c>
      <c r="BX207" s="23">
        <f t="shared" si="1948"/>
        <v>-110.80000000000018</v>
      </c>
      <c r="BY207" s="23">
        <f t="shared" si="1948"/>
        <v>0</v>
      </c>
      <c r="BZ207" s="23">
        <f t="shared" si="1948"/>
        <v>11.500000000000227</v>
      </c>
      <c r="CA207" s="23">
        <f t="shared" si="1948"/>
        <v>0</v>
      </c>
      <c r="CB207" s="23">
        <f t="shared" si="1948"/>
        <v>-666.19999999999982</v>
      </c>
      <c r="CC207" s="23">
        <f t="shared" si="1948"/>
        <v>0</v>
      </c>
      <c r="CD207" s="23">
        <f t="shared" si="1948"/>
        <v>9.7999999999999545</v>
      </c>
      <c r="CE207" s="23">
        <f t="shared" si="1948"/>
        <v>0</v>
      </c>
      <c r="CF207" s="23">
        <f t="shared" si="1948"/>
        <v>-107.90000000000009</v>
      </c>
      <c r="CG207" s="23">
        <f t="shared" si="1948"/>
        <v>0</v>
      </c>
      <c r="CH207" s="23">
        <f t="shared" si="1948"/>
        <v>6.3899999999998727</v>
      </c>
      <c r="CI207" s="23">
        <f t="shared" si="1948"/>
        <v>0</v>
      </c>
      <c r="CJ207" s="23">
        <f t="shared" si="1948"/>
        <v>-283.78999999999996</v>
      </c>
      <c r="CK207" s="24">
        <f t="shared" si="1948"/>
        <v>0</v>
      </c>
      <c r="CL207" s="23">
        <f t="shared" si="1948"/>
        <v>24.200000000000273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0</v>
      </c>
      <c r="L209" s="23">
        <f t="shared" ref="L209" si="1956">K161</f>
        <v>0</v>
      </c>
      <c r="M209" s="23">
        <f t="shared" ref="M209" si="1957">L161</f>
        <v>0</v>
      </c>
      <c r="N209" s="23">
        <f t="shared" ref="N209" si="1958">M161</f>
        <v>0</v>
      </c>
      <c r="O209" s="23">
        <f t="shared" ref="O209" si="1959">N161</f>
        <v>0</v>
      </c>
      <c r="P209" s="23">
        <f t="shared" ref="P209" si="1960">O161</f>
        <v>64.689000000000007</v>
      </c>
      <c r="Q209" s="23">
        <f t="shared" ref="Q209" si="1961">P161</f>
        <v>70.33</v>
      </c>
      <c r="R209" s="23">
        <f t="shared" ref="R209" si="1962">Q161</f>
        <v>147.37700000000001</v>
      </c>
      <c r="S209" s="23">
        <f t="shared" ref="S209" si="1963">R161</f>
        <v>176.917</v>
      </c>
      <c r="T209" s="23">
        <f t="shared" ref="T209" si="1964">S161</f>
        <v>357.78100000000001</v>
      </c>
      <c r="U209" s="23">
        <f t="shared" ref="U209" si="1965">T161</f>
        <v>685.18900000000008</v>
      </c>
      <c r="V209" s="23">
        <f t="shared" ref="V209" si="1966">U161</f>
        <v>895.74200000000008</v>
      </c>
      <c r="W209" s="23">
        <f t="shared" ref="W209:AA209" si="1967">V161</f>
        <v>2295.163</v>
      </c>
      <c r="X209" s="23">
        <f t="shared" si="1967"/>
        <v>2377.5889999999999</v>
      </c>
      <c r="Y209" s="23">
        <f t="shared" si="1967"/>
        <v>2330.1080000000002</v>
      </c>
      <c r="Z209" s="23">
        <f t="shared" si="1967"/>
        <v>2323.377</v>
      </c>
      <c r="AA209" s="23">
        <f t="shared" si="1967"/>
        <v>2872.5929999999998</v>
      </c>
      <c r="AB209" s="24">
        <f t="shared" ref="AB209" si="1968">AA161</f>
        <v>3120.6040000000003</v>
      </c>
      <c r="AC209" s="24">
        <f t="shared" ref="AC209" si="1969">AB161</f>
        <v>3651.1962599920644</v>
      </c>
      <c r="AD209" s="24">
        <f t="shared" ref="AD209" si="1970">AC161</f>
        <v>4248.1519242623035</v>
      </c>
      <c r="AE209" s="24">
        <f t="shared" ref="AE209" si="1971">AD161</f>
        <v>4925.7561474179483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>
        <f t="shared" ref="BJ209" si="1999">BI161</f>
        <v>27.700000000000003</v>
      </c>
      <c r="BK209" s="23">
        <f t="shared" ref="BK209" si="2000">BJ161</f>
        <v>685.1</v>
      </c>
      <c r="BL209" s="23">
        <f t="shared" ref="BL209" si="2001">BK161</f>
        <v>718.32891304347834</v>
      </c>
      <c r="BM209" s="23">
        <f t="shared" ref="BM209" si="2002">BL161</f>
        <v>741.4</v>
      </c>
      <c r="BN209" s="23">
        <f t="shared" ref="BN209" si="2003">BM161</f>
        <v>804.18441890166037</v>
      </c>
      <c r="BO209" s="23">
        <f t="shared" ref="BO209" si="2004">BN161</f>
        <v>895.69999999999993</v>
      </c>
      <c r="BP209" s="23">
        <f t="shared" ref="BP209" si="2005">BO161</f>
        <v>968.18095238095225</v>
      </c>
      <c r="BQ209" s="23">
        <f t="shared" ref="BQ209" si="2006">BP161</f>
        <v>1045.3999999999999</v>
      </c>
      <c r="BR209" s="23">
        <f t="shared" ref="BR209" si="2007">BQ161</f>
        <v>1126.575</v>
      </c>
      <c r="BS209" s="23">
        <f t="shared" ref="BS209" si="2008">BR161</f>
        <v>2295.1</v>
      </c>
      <c r="BT209" s="23">
        <f t="shared" ref="BT209" si="2009">BS161</f>
        <v>2383.1490818030056</v>
      </c>
      <c r="BU209" s="23">
        <f t="shared" ref="BU209" si="2010">BT161</f>
        <v>2404.7999999999997</v>
      </c>
      <c r="BV209" s="23">
        <f t="shared" ref="BV209" si="2011">BU161</f>
        <v>2475.4656249999998</v>
      </c>
      <c r="BW209" s="23">
        <f t="shared" ref="BW209" si="2012">BV161</f>
        <v>2377.6000000000004</v>
      </c>
      <c r="BX209" s="23">
        <f t="shared" ref="BX209" si="2013">BW161</f>
        <v>2426.2698113207553</v>
      </c>
      <c r="BY209" s="23">
        <f t="shared" ref="BY209" si="2014">BX161</f>
        <v>1953.2</v>
      </c>
      <c r="BZ209" s="23">
        <f t="shared" ref="BZ209" si="2015">BY161</f>
        <v>2066.9112219451372</v>
      </c>
      <c r="CA209" s="23">
        <f t="shared" ref="CA209" si="2016">BZ161</f>
        <v>2330.1000000000004</v>
      </c>
      <c r="CB209" s="23">
        <f t="shared" ref="CB209" si="2017">CA161</f>
        <v>2414.1945312500002</v>
      </c>
      <c r="CC209" s="23">
        <f t="shared" ref="CC209" si="2018">CB161</f>
        <v>1882.3999999999999</v>
      </c>
      <c r="CD209" s="23">
        <f t="shared" ref="CD209" si="2019">CC161</f>
        <v>1965.0553444180521</v>
      </c>
      <c r="CE209" s="23">
        <f t="shared" ref="CE209" si="2020">CD161</f>
        <v>2323.3999999999996</v>
      </c>
      <c r="CF209" s="23">
        <f t="shared" ref="CF209" si="2021">CE161</f>
        <v>2438.9613600254206</v>
      </c>
      <c r="CG209" s="23">
        <f t="shared" ref="CG209" si="2022">CF161</f>
        <v>2431.6000000000004</v>
      </c>
      <c r="CH209" s="23">
        <f t="shared" ref="CH209:CL209" si="2023">CG161</f>
        <v>2553.1694564279555</v>
      </c>
      <c r="CI209" s="23">
        <f t="shared" si="2023"/>
        <v>2872.5929999999998</v>
      </c>
      <c r="CJ209" s="23">
        <f t="shared" si="2023"/>
        <v>3120.3281900872994</v>
      </c>
      <c r="CK209" s="24">
        <f t="shared" ref="CK209" si="2024">CJ161</f>
        <v>2755.7</v>
      </c>
      <c r="CL209" s="23">
        <f t="shared" si="2023"/>
        <v>2998.4144245524299</v>
      </c>
      <c r="CM209" s="24">
        <f t="shared" ref="CM209" si="2025">CL161</f>
        <v>3120.6</v>
      </c>
      <c r="CN209" s="24">
        <f t="shared" ref="CN209" si="2026">CM161</f>
        <v>3264.4869691845888</v>
      </c>
      <c r="CO209" s="24">
        <f t="shared" ref="CO209" si="2027">CN161</f>
        <v>3437.3947375732009</v>
      </c>
      <c r="CP209" s="24">
        <f t="shared" ref="CP209" si="2028">CO161</f>
        <v>3567.9525790384423</v>
      </c>
      <c r="CQ209" s="24">
        <f t="shared" ref="CQ209" si="2029">CP161</f>
        <v>3651.1962599920644</v>
      </c>
      <c r="CR209" s="24">
        <f t="shared" ref="CR209" si="2030">CQ161</f>
        <v>3808.6089633780257</v>
      </c>
      <c r="CS209" s="24">
        <f t="shared" ref="CS209" si="2031">CR161</f>
        <v>4005.0811842081816</v>
      </c>
      <c r="CT209" s="24">
        <f t="shared" ref="CT209" si="2032">CS161</f>
        <v>4153.091518377506</v>
      </c>
      <c r="CU209" s="24">
        <f t="shared" ref="CU209" si="2033">CT161</f>
        <v>4248.1519242623035</v>
      </c>
      <c r="CV209" s="24">
        <f t="shared" ref="CV209" si="2034">CU161</f>
        <v>4425.935831621634</v>
      </c>
      <c r="CW209" s="24">
        <f t="shared" ref="CW209" si="2035">CV161</f>
        <v>4649.2127355156272</v>
      </c>
      <c r="CX209" s="24">
        <f t="shared" ref="CX209" si="2036">CW161</f>
        <v>4817.4636100072876</v>
      </c>
      <c r="CY209" s="24">
        <f t="shared" ref="CY209" si="2037">CX161</f>
        <v>4925.7561474179483</v>
      </c>
      <c r="CZ209" s="24">
        <f t="shared" ref="CZ209" si="2038">CY161</f>
        <v>5127.6166672993822</v>
      </c>
      <c r="DA209" s="24">
        <f t="shared" ref="DA209" si="2039">CZ161</f>
        <v>5381.241703784789</v>
      </c>
      <c r="DB209" s="24">
        <f t="shared" ref="DB209" si="2040">DA161</f>
        <v>5572.4929609283045</v>
      </c>
      <c r="DE209" s="123"/>
      <c r="DF209" s="23">
        <v>2998.4144245524299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41"/>
        <v>0</v>
      </c>
      <c r="O210" s="23">
        <f t="shared" si="2041"/>
        <v>64.689000000000021</v>
      </c>
      <c r="P210" s="23">
        <f t="shared" si="2041"/>
        <v>70.33</v>
      </c>
      <c r="Q210" s="23">
        <f t="shared" si="2041"/>
        <v>147.37699999999995</v>
      </c>
      <c r="R210" s="23">
        <f t="shared" si="2041"/>
        <v>176.91700000000014</v>
      </c>
      <c r="S210" s="23">
        <f t="shared" si="2041"/>
        <v>357.78100000000001</v>
      </c>
      <c r="T210" s="23">
        <f t="shared" si="2041"/>
        <v>685.18899999999985</v>
      </c>
      <c r="U210" s="23">
        <f t="shared" si="2041"/>
        <v>895.74200000000019</v>
      </c>
      <c r="V210" s="23">
        <f t="shared" si="2041"/>
        <v>2295.163</v>
      </c>
      <c r="W210" s="23">
        <f t="shared" si="2041"/>
        <v>2377.5889999999999</v>
      </c>
      <c r="X210" s="23">
        <f t="shared" ref="X210:Y210" si="2042">X209+X205+X201+X199</f>
        <v>2330.1080000000002</v>
      </c>
      <c r="Y210" s="23">
        <f t="shared" si="2042"/>
        <v>2323.3769999999995</v>
      </c>
      <c r="Z210" s="23">
        <f t="shared" ref="Z210:AA210" si="2043">Z209+Z205+Z201+Z199</f>
        <v>2872.5929999999994</v>
      </c>
      <c r="AA210" s="23">
        <f t="shared" si="2043"/>
        <v>3120.6040000000003</v>
      </c>
      <c r="AB210" s="24">
        <f t="shared" ref="AA210:AD210" si="2044">AB209+AB205+AB201+AB199</f>
        <v>3651.1962599920639</v>
      </c>
      <c r="AC210" s="24">
        <f t="shared" si="2044"/>
        <v>4248.1519242623044</v>
      </c>
      <c r="AD210" s="24">
        <f t="shared" si="2044"/>
        <v>4925.7561474179483</v>
      </c>
      <c r="AE210" s="24">
        <f t="shared" ref="AE210" si="2045">AE209+AE205+AE201+AE199</f>
        <v>5695.8219364529268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>
        <f t="shared" si="2049"/>
        <v>27.700000000000003</v>
      </c>
      <c r="BJ210" s="23">
        <f t="shared" si="2049"/>
        <v>685.09999999999991</v>
      </c>
      <c r="BK210" s="23">
        <f t="shared" si="2049"/>
        <v>718.32891304347834</v>
      </c>
      <c r="BL210" s="23">
        <f t="shared" si="2049"/>
        <v>741.40000000000009</v>
      </c>
      <c r="BM210" s="23">
        <f t="shared" si="2049"/>
        <v>804.18441890166037</v>
      </c>
      <c r="BN210" s="23">
        <f t="shared" si="2049"/>
        <v>895.69999999999993</v>
      </c>
      <c r="BO210" s="23">
        <f t="shared" si="2049"/>
        <v>968.18095238095225</v>
      </c>
      <c r="BP210" s="23">
        <f t="shared" si="2049"/>
        <v>1045.3999999999999</v>
      </c>
      <c r="BQ210" s="23">
        <f t="shared" si="2049"/>
        <v>1126.575</v>
      </c>
      <c r="BR210" s="23">
        <f t="shared" si="2049"/>
        <v>2295.1000000000004</v>
      </c>
      <c r="BS210" s="23">
        <f t="shared" si="2049"/>
        <v>2383.1490818030056</v>
      </c>
      <c r="BT210" s="23">
        <f t="shared" si="2049"/>
        <v>2404.8000000000011</v>
      </c>
      <c r="BU210" s="23">
        <f t="shared" si="2049"/>
        <v>2475.4656249999998</v>
      </c>
      <c r="BV210" s="23">
        <f t="shared" si="2049"/>
        <v>2377.5999999999995</v>
      </c>
      <c r="BW210" s="23">
        <f t="shared" si="2049"/>
        <v>2426.2698113207553</v>
      </c>
      <c r="BX210" s="23">
        <f t="shared" si="2049"/>
        <v>1953.2000000000003</v>
      </c>
      <c r="BY210" s="23">
        <f t="shared" si="2049"/>
        <v>2066.9112219451372</v>
      </c>
      <c r="BZ210" s="23">
        <f t="shared" si="2049"/>
        <v>2330.1</v>
      </c>
      <c r="CA210" s="23">
        <f t="shared" si="2049"/>
        <v>2414.1945312500002</v>
      </c>
      <c r="CB210" s="23">
        <f t="shared" si="2049"/>
        <v>1882.4000000000005</v>
      </c>
      <c r="CC210" s="23">
        <f t="shared" si="2049"/>
        <v>1965.0553444180521</v>
      </c>
      <c r="CD210" s="23">
        <f t="shared" si="2049"/>
        <v>2323.4</v>
      </c>
      <c r="CE210" s="23">
        <f t="shared" ref="CE210:CF210" si="2050">CE209+CE205+CE201+CE199</f>
        <v>2438.9613600254206</v>
      </c>
      <c r="CF210" s="23">
        <f t="shared" si="2050"/>
        <v>2431.5999999999995</v>
      </c>
      <c r="CG210" s="23">
        <f t="shared" ref="CG210:CH210" si="2051">CG209+CG205+CG201+CG199</f>
        <v>2553.1694564279555</v>
      </c>
      <c r="CH210" s="23">
        <f t="shared" si="2051"/>
        <v>2872.5929999999998</v>
      </c>
      <c r="CI210" s="23">
        <f t="shared" ref="CI210:CJ210" si="2052">CI209+CI205+CI201+CI199</f>
        <v>3120.3281900872994</v>
      </c>
      <c r="CJ210" s="23">
        <f t="shared" si="2052"/>
        <v>2755.7000000000003</v>
      </c>
      <c r="CK210" s="24">
        <f t="shared" ref="CK210:DB210" si="2053">CK209+CK205+CK201+CK199</f>
        <v>2998.4144245524299</v>
      </c>
      <c r="CL210" s="23">
        <f t="shared" si="2053"/>
        <v>3120.6000000000004</v>
      </c>
      <c r="CM210" s="24">
        <f t="shared" si="2053"/>
        <v>3264.4869691845888</v>
      </c>
      <c r="CN210" s="24">
        <f t="shared" si="2053"/>
        <v>3437.3947375732009</v>
      </c>
      <c r="CO210" s="24">
        <f t="shared" si="2053"/>
        <v>3567.9525790384423</v>
      </c>
      <c r="CP210" s="24">
        <f t="shared" si="2053"/>
        <v>3651.1962599920644</v>
      </c>
      <c r="CQ210" s="24">
        <f t="shared" si="2053"/>
        <v>3808.6089633780257</v>
      </c>
      <c r="CR210" s="24">
        <f t="shared" si="2053"/>
        <v>4005.0811842081816</v>
      </c>
      <c r="CS210" s="24">
        <f t="shared" si="2053"/>
        <v>4153.091518377506</v>
      </c>
      <c r="CT210" s="24">
        <f t="shared" si="2053"/>
        <v>4248.1519242623035</v>
      </c>
      <c r="CU210" s="24">
        <f t="shared" si="2053"/>
        <v>4425.935831621634</v>
      </c>
      <c r="CV210" s="24">
        <f t="shared" si="2053"/>
        <v>4649.2127355156272</v>
      </c>
      <c r="CW210" s="24">
        <f t="shared" si="2053"/>
        <v>4817.4636100072876</v>
      </c>
      <c r="CX210" s="24">
        <f t="shared" si="2053"/>
        <v>4925.7561474179483</v>
      </c>
      <c r="CY210" s="24">
        <f t="shared" si="2053"/>
        <v>5127.6166672993822</v>
      </c>
      <c r="CZ210" s="24">
        <f t="shared" si="2053"/>
        <v>5381.241703784789</v>
      </c>
      <c r="DA210" s="24">
        <f t="shared" si="2053"/>
        <v>5572.4929609283045</v>
      </c>
      <c r="DB210" s="24">
        <f t="shared" si="2053"/>
        <v>5695.8219364529277</v>
      </c>
      <c r="DE210" s="123"/>
      <c r="DF210" s="23">
        <v>3201.6258929202809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>
        <f t="shared" si="2062"/>
        <v>0</v>
      </c>
      <c r="BJ211" s="28">
        <f t="shared" si="2062"/>
        <v>0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0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0</v>
      </c>
      <c r="K213" s="22">
        <f t="shared" si="2067"/>
        <v>0</v>
      </c>
      <c r="L213" s="22">
        <f t="shared" si="2067"/>
        <v>0</v>
      </c>
      <c r="M213" s="22">
        <f t="shared" si="2067"/>
        <v>0</v>
      </c>
      <c r="N213" s="22">
        <f t="shared" si="2067"/>
        <v>0</v>
      </c>
      <c r="O213" s="22">
        <f t="shared" si="2067"/>
        <v>119.09300000000002</v>
      </c>
      <c r="P213" s="22">
        <f t="shared" si="2067"/>
        <v>5.6939999999999964</v>
      </c>
      <c r="Q213" s="22">
        <f t="shared" si="2067"/>
        <v>178.61199999999997</v>
      </c>
      <c r="R213" s="22">
        <f t="shared" si="2067"/>
        <v>28.130999999999993</v>
      </c>
      <c r="S213" s="22">
        <f t="shared" si="2067"/>
        <v>166.80799999999996</v>
      </c>
      <c r="T213" s="22">
        <f t="shared" si="2067"/>
        <v>-133.65900000000013</v>
      </c>
      <c r="U213" s="22">
        <f t="shared" si="2067"/>
        <v>242.76600000000022</v>
      </c>
      <c r="V213" s="22">
        <f t="shared" si="2067"/>
        <v>343.36799999999994</v>
      </c>
      <c r="W213" s="22">
        <f t="shared" si="2067"/>
        <v>116.87500000000006</v>
      </c>
      <c r="X213" s="22">
        <f t="shared" ref="X213:Y213" si="2068">X199+X201</f>
        <v>51.907000000000266</v>
      </c>
      <c r="Y213" s="22">
        <f t="shared" si="2068"/>
        <v>649.59999999999991</v>
      </c>
      <c r="Z213" s="22">
        <f t="shared" ref="Z213:AA213" si="2069">Z199+Z201</f>
        <v>650.73799999999983</v>
      </c>
      <c r="AA213" s="22">
        <f t="shared" si="2069"/>
        <v>507.60799999999983</v>
      </c>
      <c r="AB213" s="21">
        <f t="shared" ref="AA213:AD213" si="2070">AB199+AB201</f>
        <v>530.56725999206424</v>
      </c>
      <c r="AC213" s="21">
        <f t="shared" si="2070"/>
        <v>596.95566427023937</v>
      </c>
      <c r="AD213" s="21">
        <f t="shared" si="2070"/>
        <v>677.60422315564483</v>
      </c>
      <c r="AE213" s="21">
        <f t="shared" ref="AE213" si="2071">AE199+AE201</f>
        <v>770.06578903497893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>
        <f t="shared" si="2075"/>
        <v>27.700000000000003</v>
      </c>
      <c r="BJ213" s="22">
        <f t="shared" si="2075"/>
        <v>553.4</v>
      </c>
      <c r="BK213" s="22">
        <f t="shared" si="2075"/>
        <v>33.228913043478258</v>
      </c>
      <c r="BL213" s="22">
        <f t="shared" si="2075"/>
        <v>21.271086956521792</v>
      </c>
      <c r="BM213" s="22">
        <f t="shared" si="2075"/>
        <v>62.784418901660317</v>
      </c>
      <c r="BN213" s="22">
        <f t="shared" si="2075"/>
        <v>125.5155810983396</v>
      </c>
      <c r="BO213" s="22">
        <f t="shared" si="2075"/>
        <v>72.480952380952402</v>
      </c>
      <c r="BP213" s="22">
        <f t="shared" si="2075"/>
        <v>74.319047619047623</v>
      </c>
      <c r="BQ213" s="22">
        <f t="shared" si="2075"/>
        <v>81.175000000000082</v>
      </c>
      <c r="BR213" s="22">
        <f t="shared" si="2075"/>
        <v>115.4249999999999</v>
      </c>
      <c r="BS213" s="22">
        <f t="shared" si="2075"/>
        <v>88.049081803005009</v>
      </c>
      <c r="BT213" s="22">
        <f t="shared" si="2075"/>
        <v>64.450918196995147</v>
      </c>
      <c r="BU213" s="22">
        <f t="shared" si="2075"/>
        <v>70.665624999999977</v>
      </c>
      <c r="BV213" s="22">
        <f t="shared" si="2075"/>
        <v>-106.16562500000026</v>
      </c>
      <c r="BW213" s="22">
        <f t="shared" si="2075"/>
        <v>48.669811320754889</v>
      </c>
      <c r="BX213" s="22">
        <f t="shared" si="2075"/>
        <v>-362.26981132075491</v>
      </c>
      <c r="BY213" s="22">
        <f t="shared" si="2075"/>
        <v>113.71122194513718</v>
      </c>
      <c r="BZ213" s="22">
        <f t="shared" si="2075"/>
        <v>251.68877805486278</v>
      </c>
      <c r="CA213" s="22">
        <f t="shared" si="2075"/>
        <v>84.094531250000003</v>
      </c>
      <c r="CB213" s="22">
        <f t="shared" si="2075"/>
        <v>134.40546875000024</v>
      </c>
      <c r="CC213" s="22">
        <f t="shared" si="2075"/>
        <v>82.655344418052124</v>
      </c>
      <c r="CD213" s="22">
        <f t="shared" si="2075"/>
        <v>348.54465558194784</v>
      </c>
      <c r="CE213" s="22">
        <f t="shared" ref="CE213:CF213" si="2076">CE199+CE201</f>
        <v>115.56136002542087</v>
      </c>
      <c r="CF213" s="22">
        <f t="shared" si="2076"/>
        <v>100.53863997457901</v>
      </c>
      <c r="CG213" s="22">
        <f t="shared" ref="CG213:CH213" si="2077">CG199+CG201</f>
        <v>121.56945642795517</v>
      </c>
      <c r="CH213" s="22">
        <f t="shared" si="2077"/>
        <v>313.03354357204461</v>
      </c>
      <c r="CI213" s="22">
        <f t="shared" ref="CI213:CJ213" si="2078">CI199+CI201</f>
        <v>247.73519008729966</v>
      </c>
      <c r="CJ213" s="22">
        <f t="shared" si="2078"/>
        <v>-80.838190087299537</v>
      </c>
      <c r="CK213" s="21">
        <f t="shared" ref="CK213:DB213" si="2079">CK199+CK201</f>
        <v>242.71442455242993</v>
      </c>
      <c r="CL213" s="22">
        <f t="shared" si="2079"/>
        <v>97.985575447570284</v>
      </c>
      <c r="CM213" s="21">
        <f t="shared" si="2079"/>
        <v>143.88696918458868</v>
      </c>
      <c r="CN213" s="21">
        <f t="shared" si="2079"/>
        <v>172.90776838861191</v>
      </c>
      <c r="CO213" s="21">
        <f t="shared" si="2079"/>
        <v>130.55784146524155</v>
      </c>
      <c r="CP213" s="21">
        <f t="shared" si="2079"/>
        <v>83.243680953621976</v>
      </c>
      <c r="CQ213" s="21">
        <f t="shared" si="2079"/>
        <v>157.41270338596109</v>
      </c>
      <c r="CR213" s="21">
        <f t="shared" si="2079"/>
        <v>196.472220830156</v>
      </c>
      <c r="CS213" s="21">
        <f t="shared" si="2079"/>
        <v>148.01033416932415</v>
      </c>
      <c r="CT213" s="21">
        <f t="shared" si="2079"/>
        <v>95.060405884797802</v>
      </c>
      <c r="CU213" s="21">
        <f t="shared" si="2079"/>
        <v>177.78390735933004</v>
      </c>
      <c r="CV213" s="21">
        <f t="shared" si="2079"/>
        <v>223.27690389399345</v>
      </c>
      <c r="CW213" s="21">
        <f t="shared" si="2079"/>
        <v>168.25087449166057</v>
      </c>
      <c r="CX213" s="21">
        <f t="shared" si="2079"/>
        <v>108.29253741066073</v>
      </c>
      <c r="CY213" s="21">
        <f t="shared" si="2079"/>
        <v>201.86051988143359</v>
      </c>
      <c r="CZ213" s="21">
        <f t="shared" si="2079"/>
        <v>253.62503648540701</v>
      </c>
      <c r="DA213" s="21">
        <f t="shared" si="2079"/>
        <v>191.25125714351515</v>
      </c>
      <c r="DB213" s="21">
        <f t="shared" si="2079"/>
        <v>123.3289755246232</v>
      </c>
      <c r="DE213" s="126"/>
      <c r="DF213" s="22">
        <v>203.21146836785118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113.3</v>
      </c>
      <c r="BH225" s="66">
        <f t="shared" si="2080"/>
        <v>235.8</v>
      </c>
      <c r="BI225" s="66">
        <f t="shared" si="2080"/>
        <v>369.4</v>
      </c>
      <c r="BJ225" s="66">
        <f t="shared" si="2080"/>
        <v>507.4</v>
      </c>
      <c r="BK225" s="66">
        <f t="shared" si="2080"/>
        <v>541.40000000000009</v>
      </c>
      <c r="BL225" s="66">
        <f t="shared" si="2080"/>
        <v>575.5</v>
      </c>
      <c r="BM225" s="66">
        <f t="shared" si="2080"/>
        <v>606.79999999999995</v>
      </c>
      <c r="BN225" s="66">
        <f t="shared" si="2080"/>
        <v>638.9</v>
      </c>
      <c r="BO225" s="66">
        <f t="shared" si="2080"/>
        <v>644.70000000000005</v>
      </c>
      <c r="BP225" s="66">
        <f t="shared" si="2080"/>
        <v>651.29999999999995</v>
      </c>
      <c r="BQ225" s="66">
        <f t="shared" si="2080"/>
        <v>660</v>
      </c>
      <c r="BR225" s="66">
        <f t="shared" ref="BR225:CW225" si="2081">SUM(BO10:BR10)</f>
        <v>669.59999999999991</v>
      </c>
      <c r="BS225" s="66">
        <f t="shared" si="2081"/>
        <v>698.1</v>
      </c>
      <c r="BT225" s="66">
        <f t="shared" si="2081"/>
        <v>717.3</v>
      </c>
      <c r="BU225" s="66">
        <f t="shared" si="2081"/>
        <v>731.8</v>
      </c>
      <c r="BV225" s="66">
        <f t="shared" si="2081"/>
        <v>753.5</v>
      </c>
      <c r="BW225" s="66">
        <f t="shared" si="2081"/>
        <v>796.5</v>
      </c>
      <c r="BX225" s="66">
        <f t="shared" si="2081"/>
        <v>854.7</v>
      </c>
      <c r="BY225" s="66">
        <f t="shared" si="2081"/>
        <v>918</v>
      </c>
      <c r="BZ225" s="66">
        <f t="shared" si="2081"/>
        <v>985.40000000000009</v>
      </c>
      <c r="CA225" s="66">
        <f t="shared" si="2081"/>
        <v>1042.9000000000001</v>
      </c>
      <c r="CB225" s="66">
        <f t="shared" si="2081"/>
        <v>1097</v>
      </c>
      <c r="CC225" s="66">
        <f t="shared" si="2081"/>
        <v>1150.9000000000001</v>
      </c>
      <c r="CD225" s="66">
        <f t="shared" si="2081"/>
        <v>1196.8</v>
      </c>
      <c r="CE225" s="66">
        <f t="shared" si="2081"/>
        <v>1246</v>
      </c>
      <c r="CF225" s="66">
        <f t="shared" si="2081"/>
        <v>1299</v>
      </c>
      <c r="CG225" s="66">
        <f t="shared" si="2081"/>
        <v>1348</v>
      </c>
      <c r="CH225" s="66">
        <f t="shared" si="2081"/>
        <v>1388.4</v>
      </c>
      <c r="CI225" s="66">
        <f t="shared" si="2081"/>
        <v>1429.1999999999998</v>
      </c>
      <c r="CJ225" s="66">
        <f t="shared" si="2081"/>
        <v>1472.5</v>
      </c>
      <c r="CK225" s="50">
        <f t="shared" si="2081"/>
        <v>1519.8000000000002</v>
      </c>
      <c r="CL225" s="66">
        <f t="shared" si="2081"/>
        <v>1569</v>
      </c>
      <c r="CM225" s="50">
        <f t="shared" si="2081"/>
        <v>1617.3487267356184</v>
      </c>
      <c r="CN225" s="50">
        <f t="shared" si="2081"/>
        <v>1668.8163120262134</v>
      </c>
      <c r="CO225" s="50">
        <f t="shared" si="2081"/>
        <v>1722.391822425064</v>
      </c>
      <c r="CP225" s="50">
        <f t="shared" si="2081"/>
        <v>1776.3176693062264</v>
      </c>
      <c r="CQ225" s="50">
        <f t="shared" si="2081"/>
        <v>1831.8538322954082</v>
      </c>
      <c r="CR225" s="50">
        <f t="shared" si="2081"/>
        <v>1890.536584657847</v>
      </c>
      <c r="CS225" s="50">
        <f t="shared" si="2081"/>
        <v>1951.0180159643728</v>
      </c>
      <c r="CT225" s="50">
        <f t="shared" si="2081"/>
        <v>2011.8440242249442</v>
      </c>
      <c r="CU225" s="50">
        <f t="shared" si="2081"/>
        <v>2074.9514492397566</v>
      </c>
      <c r="CV225" s="50">
        <f t="shared" si="2081"/>
        <v>2141.4573974152518</v>
      </c>
      <c r="CW225" s="50">
        <f t="shared" si="2081"/>
        <v>2209.8988420223836</v>
      </c>
      <c r="CX225" s="50">
        <f t="shared" ref="CX225:DB225" si="2082">SUM(CU10:CX10)</f>
        <v>2278.7716427160835</v>
      </c>
      <c r="CY225" s="50">
        <f t="shared" si="2082"/>
        <v>2350.2964904005257</v>
      </c>
      <c r="CZ225" s="50">
        <f t="shared" si="2082"/>
        <v>2425.6243878068076</v>
      </c>
      <c r="DA225" s="50">
        <f t="shared" si="2082"/>
        <v>2503.1331646207173</v>
      </c>
      <c r="DB225" s="50">
        <f t="shared" si="2082"/>
        <v>2581.1454842903777</v>
      </c>
      <c r="DE225" s="138"/>
      <c r="DF225" s="66">
        <v>1565.0364356360392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-53.2</v>
      </c>
      <c r="BH226" s="66">
        <f t="shared" si="2083"/>
        <v>-30.700000000000003</v>
      </c>
      <c r="BI226" s="66">
        <f t="shared" si="2083"/>
        <v>-3.2000000000000028</v>
      </c>
      <c r="BJ226" s="66">
        <f t="shared" si="2083"/>
        <v>16.900000000000006</v>
      </c>
      <c r="BK226" s="66">
        <f t="shared" si="2083"/>
        <v>106.80000000000003</v>
      </c>
      <c r="BL226" s="66">
        <f t="shared" si="2083"/>
        <v>120.60000000000002</v>
      </c>
      <c r="BM226" s="66">
        <f t="shared" si="2083"/>
        <v>136.70000000000005</v>
      </c>
      <c r="BN226" s="66">
        <f t="shared" si="2083"/>
        <v>168.9</v>
      </c>
      <c r="BO226" s="66">
        <f t="shared" si="2083"/>
        <v>205.5</v>
      </c>
      <c r="BP226" s="66">
        <f t="shared" si="2083"/>
        <v>250.89999999999998</v>
      </c>
      <c r="BQ226" s="66">
        <f t="shared" si="2083"/>
        <v>295.09999999999991</v>
      </c>
      <c r="BR226" s="66">
        <f t="shared" ref="BR226:CW226" si="2084">SUM(BO28:BR28)</f>
        <v>328.19999999999993</v>
      </c>
      <c r="BS226" s="66">
        <f t="shared" si="2084"/>
        <v>343.49999999999994</v>
      </c>
      <c r="BT226" s="66">
        <f t="shared" si="2084"/>
        <v>345</v>
      </c>
      <c r="BU226" s="66">
        <f t="shared" si="2084"/>
        <v>336</v>
      </c>
      <c r="BV226" s="66">
        <f t="shared" si="2084"/>
        <v>307.80000000000007</v>
      </c>
      <c r="BW226" s="66">
        <f t="shared" si="2084"/>
        <v>283.39999999999998</v>
      </c>
      <c r="BX226" s="66">
        <f t="shared" si="2084"/>
        <v>267.39999999999998</v>
      </c>
      <c r="BY226" s="66">
        <f t="shared" si="2084"/>
        <v>258.8</v>
      </c>
      <c r="BZ226" s="66">
        <f t="shared" si="2084"/>
        <v>267.70000000000005</v>
      </c>
      <c r="CA226" s="66">
        <f t="shared" si="2084"/>
        <v>280.80000000000007</v>
      </c>
      <c r="CB226" s="66">
        <f t="shared" si="2084"/>
        <v>293.60000000000002</v>
      </c>
      <c r="CC226" s="66">
        <f t="shared" si="2084"/>
        <v>309.10000000000002</v>
      </c>
      <c r="CD226" s="66">
        <f t="shared" si="2084"/>
        <v>331.4</v>
      </c>
      <c r="CE226" s="66">
        <f t="shared" si="2084"/>
        <v>373.6</v>
      </c>
      <c r="CF226" s="66">
        <f t="shared" si="2084"/>
        <v>428.2</v>
      </c>
      <c r="CG226" s="66">
        <f t="shared" si="2084"/>
        <v>480.8</v>
      </c>
      <c r="CH226" s="66">
        <f t="shared" si="2084"/>
        <v>522.79999999999995</v>
      </c>
      <c r="CI226" s="66">
        <f t="shared" si="2084"/>
        <v>536.80000000000007</v>
      </c>
      <c r="CJ226" s="66">
        <f t="shared" si="2084"/>
        <v>531.90000000000009</v>
      </c>
      <c r="CK226" s="50">
        <f t="shared" si="2084"/>
        <v>527.80000000000018</v>
      </c>
      <c r="CL226" s="66">
        <f t="shared" si="2084"/>
        <v>530.00000000000011</v>
      </c>
      <c r="CM226" s="50">
        <f t="shared" si="2084"/>
        <v>538.67743844494998</v>
      </c>
      <c r="CN226" s="50">
        <f t="shared" si="2084"/>
        <v>556.31998541172925</v>
      </c>
      <c r="CO226" s="50">
        <f t="shared" si="2084"/>
        <v>573.84090146697679</v>
      </c>
      <c r="CP226" s="50">
        <f t="shared" si="2084"/>
        <v>593.88241381005605</v>
      </c>
      <c r="CQ226" s="50">
        <f t="shared" si="2084"/>
        <v>610.87390135403461</v>
      </c>
      <c r="CR226" s="50">
        <f t="shared" si="2084"/>
        <v>630.64483959880681</v>
      </c>
      <c r="CS226" s="50">
        <f t="shared" si="2084"/>
        <v>650.93380599911677</v>
      </c>
      <c r="CT226" s="50">
        <f t="shared" si="2084"/>
        <v>671.4671078996912</v>
      </c>
      <c r="CU226" s="50">
        <f t="shared" si="2084"/>
        <v>692.22967470588083</v>
      </c>
      <c r="CV226" s="50">
        <f t="shared" si="2084"/>
        <v>714.49177198878363</v>
      </c>
      <c r="CW226" s="50">
        <f t="shared" si="2084"/>
        <v>737.36458973759136</v>
      </c>
      <c r="CX226" s="50">
        <f t="shared" ref="CX226:DB226" si="2085">SUM(CU28:CX28)</f>
        <v>760.35979722640423</v>
      </c>
      <c r="CY226" s="50">
        <f t="shared" si="2085"/>
        <v>784.17436421671118</v>
      </c>
      <c r="CZ226" s="50">
        <f t="shared" si="2085"/>
        <v>809.32952563851507</v>
      </c>
      <c r="DA226" s="50">
        <f t="shared" si="2085"/>
        <v>835.1975441447513</v>
      </c>
      <c r="DB226" s="50">
        <f t="shared" si="2085"/>
        <v>861.22479217558657</v>
      </c>
      <c r="DE226" s="138"/>
      <c r="DF226" s="66">
        <v>536.70426141373446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-56.400000000000006</v>
      </c>
      <c r="BH227" s="66">
        <f t="shared" si="2086"/>
        <v>-36</v>
      </c>
      <c r="BI227" s="66">
        <f t="shared" si="2086"/>
        <v>-8.2999999999999972</v>
      </c>
      <c r="BJ227" s="66">
        <f t="shared" si="2086"/>
        <v>19.900000000000013</v>
      </c>
      <c r="BK227" s="66">
        <f t="shared" si="2086"/>
        <v>108.70000000000003</v>
      </c>
      <c r="BL227" s="66">
        <f t="shared" si="2086"/>
        <v>97.200000000000031</v>
      </c>
      <c r="BM227" s="66">
        <f t="shared" si="2086"/>
        <v>132.20000000000005</v>
      </c>
      <c r="BN227" s="66">
        <f t="shared" si="2086"/>
        <v>149</v>
      </c>
      <c r="BO227" s="66">
        <f t="shared" si="2086"/>
        <v>191.1</v>
      </c>
      <c r="BP227" s="66">
        <f t="shared" si="2086"/>
        <v>252.2</v>
      </c>
      <c r="BQ227" s="66">
        <f t="shared" si="2086"/>
        <v>270.2</v>
      </c>
      <c r="BR227" s="66">
        <f t="shared" ref="BR227:CW227" si="2087">SUM(BO41:BR41)</f>
        <v>282.5</v>
      </c>
      <c r="BS227" s="66">
        <f t="shared" si="2087"/>
        <v>297.39999999999998</v>
      </c>
      <c r="BT227" s="66">
        <f t="shared" si="2087"/>
        <v>311.39999999999998</v>
      </c>
      <c r="BU227" s="66">
        <f t="shared" si="2087"/>
        <v>303.99999999999994</v>
      </c>
      <c r="BV227" s="66">
        <f t="shared" si="2087"/>
        <v>309.89999999999998</v>
      </c>
      <c r="BW227" s="66">
        <f t="shared" si="2087"/>
        <v>274.2</v>
      </c>
      <c r="BX227" s="66">
        <f t="shared" si="2087"/>
        <v>269.5</v>
      </c>
      <c r="BY227" s="66">
        <f t="shared" si="2087"/>
        <v>318.39999999999998</v>
      </c>
      <c r="BZ227" s="66">
        <f t="shared" si="2087"/>
        <v>321.50000000000006</v>
      </c>
      <c r="CA227" s="66">
        <f t="shared" si="2087"/>
        <v>363.3</v>
      </c>
      <c r="CB227" s="66">
        <f t="shared" si="2087"/>
        <v>364.40000000000009</v>
      </c>
      <c r="CC227" s="66">
        <f t="shared" si="2087"/>
        <v>331.3</v>
      </c>
      <c r="CD227" s="66">
        <f t="shared" si="2087"/>
        <v>376.2</v>
      </c>
      <c r="CE227" s="66">
        <f t="shared" si="2087"/>
        <v>405.9</v>
      </c>
      <c r="CF227" s="66">
        <f t="shared" si="2087"/>
        <v>473.29999999999995</v>
      </c>
      <c r="CG227" s="66">
        <f t="shared" si="2087"/>
        <v>519.29999999999995</v>
      </c>
      <c r="CH227" s="66">
        <f t="shared" si="2087"/>
        <v>599.80000000000007</v>
      </c>
      <c r="CI227" s="66">
        <f t="shared" si="2087"/>
        <v>642.20000000000005</v>
      </c>
      <c r="CJ227" s="66">
        <f t="shared" si="2087"/>
        <v>590.50000000000011</v>
      </c>
      <c r="CK227" s="50">
        <f t="shared" si="2087"/>
        <v>658.30000000000018</v>
      </c>
      <c r="CL227" s="66">
        <f t="shared" si="2087"/>
        <v>529.50000000000011</v>
      </c>
      <c r="CM227" s="50">
        <f t="shared" si="2087"/>
        <v>435.60502894422666</v>
      </c>
      <c r="CN227" s="50">
        <f t="shared" si="2087"/>
        <v>416.5286818665823</v>
      </c>
      <c r="CO227" s="50">
        <f t="shared" si="2087"/>
        <v>293.58267746199493</v>
      </c>
      <c r="CP227" s="50">
        <f t="shared" si="2087"/>
        <v>309.83156830171089</v>
      </c>
      <c r="CQ227" s="50">
        <f t="shared" si="2087"/>
        <v>320.81963167481206</v>
      </c>
      <c r="CR227" s="50">
        <f t="shared" si="2087"/>
        <v>333.13797970920996</v>
      </c>
      <c r="CS227" s="50">
        <f t="shared" si="2087"/>
        <v>344.65628437182949</v>
      </c>
      <c r="CT227" s="50">
        <f t="shared" si="2087"/>
        <v>356.65368637174618</v>
      </c>
      <c r="CU227" s="50">
        <f t="shared" si="2087"/>
        <v>367.55238831858674</v>
      </c>
      <c r="CV227" s="50">
        <f t="shared" si="2087"/>
        <v>379.24732600670364</v>
      </c>
      <c r="CW227" s="50">
        <f t="shared" si="2087"/>
        <v>391.00993622681153</v>
      </c>
      <c r="CX227" s="50">
        <f t="shared" ref="CX227:DB227" si="2088">SUM(CU41:CX41)</f>
        <v>402.66639083155701</v>
      </c>
      <c r="CY227" s="50">
        <f t="shared" si="2088"/>
        <v>414.56760509644363</v>
      </c>
      <c r="CZ227" s="50">
        <f t="shared" si="2088"/>
        <v>427.22100577401716</v>
      </c>
      <c r="DA227" s="50">
        <f t="shared" si="2088"/>
        <v>440.10559031115429</v>
      </c>
      <c r="DB227" s="50">
        <f t="shared" si="2088"/>
        <v>452.88461037016742</v>
      </c>
      <c r="DE227" s="138"/>
      <c r="DF227" s="66">
        <v>684.42483871949014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0</v>
      </c>
      <c r="N231" s="64">
        <f t="shared" si="2089"/>
        <v>0</v>
      </c>
      <c r="O231" s="64">
        <f t="shared" si="2089"/>
        <v>135.74700000000001</v>
      </c>
      <c r="P231" s="64">
        <f t="shared" si="2089"/>
        <v>176.072</v>
      </c>
      <c r="Q231" s="64">
        <f t="shared" si="2089"/>
        <v>245.75299999999999</v>
      </c>
      <c r="R231" s="64">
        <f t="shared" si="2089"/>
        <v>317.76299999999998</v>
      </c>
      <c r="S231" s="64">
        <f t="shared" si="2089"/>
        <v>410.50799999999998</v>
      </c>
      <c r="T231" s="64">
        <f t="shared" si="2089"/>
        <v>507.41699999999997</v>
      </c>
      <c r="U231" s="64">
        <f t="shared" si="2089"/>
        <v>638.85400000000004</v>
      </c>
      <c r="V231" s="64">
        <f t="shared" si="2089"/>
        <v>669.56200000000001</v>
      </c>
      <c r="W231" s="64">
        <f t="shared" si="2089"/>
        <v>753.48500000000001</v>
      </c>
      <c r="X231" s="64">
        <f t="shared" si="2089"/>
        <v>985.399</v>
      </c>
      <c r="Y231" s="64">
        <f t="shared" si="2089"/>
        <v>1196.7750000000001</v>
      </c>
      <c r="Z231" s="64">
        <f t="shared" si="2089"/>
        <v>1388.3440000000001</v>
      </c>
      <c r="AA231" s="64">
        <f t="shared" ref="AA231" si="2090">AA8-AA237</f>
        <v>1569.0419999999999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113.3</v>
      </c>
      <c r="BH231" s="64">
        <f t="shared" si="2091"/>
        <v>122.5</v>
      </c>
      <c r="BI231" s="64">
        <f t="shared" si="2091"/>
        <v>133.6</v>
      </c>
      <c r="BJ231" s="64">
        <f t="shared" si="2091"/>
        <v>138</v>
      </c>
      <c r="BK231" s="64">
        <f t="shared" si="2091"/>
        <v>147.30000000000001</v>
      </c>
      <c r="BL231" s="64">
        <f t="shared" si="2091"/>
        <v>156.6</v>
      </c>
      <c r="BM231" s="64">
        <f t="shared" si="2091"/>
        <v>164.9</v>
      </c>
      <c r="BN231" s="64">
        <f t="shared" si="2091"/>
        <v>170.1</v>
      </c>
      <c r="BO231" s="64">
        <f t="shared" ref="BO231:CT231" si="2092">BO8-BO237</f>
        <v>153.1</v>
      </c>
      <c r="BP231" s="64">
        <f t="shared" si="2092"/>
        <v>163.19999999999999</v>
      </c>
      <c r="BQ231" s="64">
        <f t="shared" si="2092"/>
        <v>173.6</v>
      </c>
      <c r="BR231" s="64">
        <f t="shared" si="2092"/>
        <v>179.7</v>
      </c>
      <c r="BS231" s="64">
        <f t="shared" si="2092"/>
        <v>181.6</v>
      </c>
      <c r="BT231" s="64">
        <f t="shared" si="2092"/>
        <v>182.4</v>
      </c>
      <c r="BU231" s="64">
        <f t="shared" si="2092"/>
        <v>188.1</v>
      </c>
      <c r="BV231" s="64">
        <f t="shared" si="2092"/>
        <v>201.4</v>
      </c>
      <c r="BW231" s="64">
        <f t="shared" si="2092"/>
        <v>224.6</v>
      </c>
      <c r="BX231" s="64">
        <f t="shared" si="2092"/>
        <v>240.6</v>
      </c>
      <c r="BY231" s="64">
        <f t="shared" si="2092"/>
        <v>251.4</v>
      </c>
      <c r="BZ231" s="64">
        <f t="shared" si="2092"/>
        <v>268.8</v>
      </c>
      <c r="CA231" s="64">
        <f t="shared" si="2092"/>
        <v>282.10000000000002</v>
      </c>
      <c r="CB231" s="64">
        <f t="shared" si="2092"/>
        <v>294.7</v>
      </c>
      <c r="CC231" s="64">
        <f t="shared" si="2092"/>
        <v>305.3</v>
      </c>
      <c r="CD231" s="64">
        <f t="shared" si="2092"/>
        <v>314.7</v>
      </c>
      <c r="CE231" s="64">
        <f t="shared" si="2092"/>
        <v>331.3</v>
      </c>
      <c r="CF231" s="64">
        <f t="shared" si="2092"/>
        <v>347.7</v>
      </c>
      <c r="CG231" s="64">
        <f t="shared" si="2092"/>
        <v>354.3</v>
      </c>
      <c r="CH231" s="64">
        <f t="shared" si="2092"/>
        <v>355.1</v>
      </c>
      <c r="CI231" s="64">
        <f t="shared" si="2092"/>
        <v>372.1</v>
      </c>
      <c r="CJ231" s="64">
        <f t="shared" si="2092"/>
        <v>391</v>
      </c>
      <c r="CK231" s="30">
        <f t="shared" si="2092"/>
        <v>401.6</v>
      </c>
      <c r="CL231" s="64">
        <f t="shared" ref="CL231" si="2093">CL8-CL237</f>
        <v>404.3</v>
      </c>
      <c r="CM231" s="30">
        <f t="shared" si="2092"/>
        <v>420.44872673561821</v>
      </c>
      <c r="CN231" s="30">
        <f t="shared" si="2092"/>
        <v>442.46758529059508</v>
      </c>
      <c r="CO231" s="30">
        <f t="shared" si="2092"/>
        <v>455.17551039885075</v>
      </c>
      <c r="CP231" s="30">
        <f t="shared" si="2092"/>
        <v>458.22584688116245</v>
      </c>
      <c r="CQ231" s="30">
        <f t="shared" si="2092"/>
        <v>475.98488972479993</v>
      </c>
      <c r="CR231" s="30">
        <f t="shared" si="2092"/>
        <v>501.15033765303406</v>
      </c>
      <c r="CS231" s="30">
        <f t="shared" si="2092"/>
        <v>515.65694170537631</v>
      </c>
      <c r="CT231" s="30">
        <f t="shared" si="2092"/>
        <v>519.05185514173377</v>
      </c>
      <c r="CU231" s="30">
        <f t="shared" ref="CU231:DB231" si="2094">CU8-CU237</f>
        <v>539.09231473961222</v>
      </c>
      <c r="CV231" s="30">
        <f t="shared" si="2094"/>
        <v>567.65628582852969</v>
      </c>
      <c r="CW231" s="30">
        <f t="shared" si="2094"/>
        <v>584.09838631250796</v>
      </c>
      <c r="CX231" s="30">
        <f t="shared" si="2094"/>
        <v>587.92465583543367</v>
      </c>
      <c r="CY231" s="30">
        <f t="shared" si="2094"/>
        <v>610.61716242405464</v>
      </c>
      <c r="CZ231" s="30">
        <f t="shared" si="2094"/>
        <v>642.98418323481144</v>
      </c>
      <c r="DA231" s="30">
        <f t="shared" si="2094"/>
        <v>661.60716312641784</v>
      </c>
      <c r="DB231" s="30">
        <f t="shared" si="2094"/>
        <v>665.93697550509364</v>
      </c>
      <c r="DE231" s="139"/>
      <c r="DF231" s="64">
        <v>400.33643563603903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0</v>
      </c>
      <c r="K232" s="64">
        <f t="shared" si="2095"/>
        <v>0</v>
      </c>
      <c r="L232" s="64">
        <f t="shared" si="2095"/>
        <v>0</v>
      </c>
      <c r="M232" s="64">
        <f t="shared" si="2095"/>
        <v>0</v>
      </c>
      <c r="N232" s="64">
        <f t="shared" si="2095"/>
        <v>0</v>
      </c>
      <c r="O232" s="64">
        <f t="shared" si="2095"/>
        <v>-12.597000000000008</v>
      </c>
      <c r="P232" s="64">
        <f t="shared" si="2095"/>
        <v>-40.327999999999975</v>
      </c>
      <c r="Q232" s="64">
        <f t="shared" si="2095"/>
        <v>-132.68700000000007</v>
      </c>
      <c r="R232" s="64">
        <f t="shared" si="2095"/>
        <v>-73.685000000000059</v>
      </c>
      <c r="S232" s="64">
        <f t="shared" si="2095"/>
        <v>-76.230000000000018</v>
      </c>
      <c r="T232" s="64">
        <f t="shared" si="2095"/>
        <v>17.077999999999975</v>
      </c>
      <c r="U232" s="64">
        <f t="shared" si="2095"/>
        <v>168.89700000000011</v>
      </c>
      <c r="V232" s="64">
        <f t="shared" si="2095"/>
        <v>328.15700000000004</v>
      </c>
      <c r="W232" s="64">
        <f t="shared" si="2095"/>
        <v>307.846</v>
      </c>
      <c r="X232" s="64">
        <f t="shared" si="2095"/>
        <v>267.88300000000004</v>
      </c>
      <c r="Y232" s="64">
        <f t="shared" si="2095"/>
        <v>331.35800000000017</v>
      </c>
      <c r="Z232" s="64">
        <f t="shared" si="2095"/>
        <v>522.79200000000003</v>
      </c>
      <c r="AA232" s="64">
        <f t="shared" ref="AA232" si="2096">AA28-AA238</f>
        <v>530.04099999999971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-53.2</v>
      </c>
      <c r="BH232" s="64">
        <f t="shared" si="2097"/>
        <v>22.5</v>
      </c>
      <c r="BI232" s="64">
        <f t="shared" si="2097"/>
        <v>27.5</v>
      </c>
      <c r="BJ232" s="64">
        <f t="shared" si="2097"/>
        <v>20.100000000000009</v>
      </c>
      <c r="BK232" s="64">
        <f t="shared" si="2097"/>
        <v>36.700000000000017</v>
      </c>
      <c r="BL232" s="64">
        <f t="shared" si="2097"/>
        <v>36.299999999999997</v>
      </c>
      <c r="BM232" s="64">
        <f t="shared" si="2097"/>
        <v>43.600000000000009</v>
      </c>
      <c r="BN232" s="64">
        <f t="shared" si="2097"/>
        <v>52.299999999999983</v>
      </c>
      <c r="BO232" s="64">
        <f t="shared" ref="BO232:CT232" si="2098">BO28-BO238</f>
        <v>73.3</v>
      </c>
      <c r="BP232" s="64">
        <f t="shared" si="2098"/>
        <v>81.699999999999989</v>
      </c>
      <c r="BQ232" s="64">
        <f t="shared" si="2098"/>
        <v>87.799999999999983</v>
      </c>
      <c r="BR232" s="64">
        <f t="shared" si="2098"/>
        <v>85.399999999999977</v>
      </c>
      <c r="BS232" s="64">
        <f t="shared" si="2098"/>
        <v>88.6</v>
      </c>
      <c r="BT232" s="64">
        <f t="shared" si="2098"/>
        <v>83.200000000000017</v>
      </c>
      <c r="BU232" s="64">
        <f t="shared" si="2098"/>
        <v>78.8</v>
      </c>
      <c r="BV232" s="64">
        <f t="shared" si="2098"/>
        <v>57.200000000000017</v>
      </c>
      <c r="BW232" s="64">
        <f t="shared" si="2098"/>
        <v>64.199999999999989</v>
      </c>
      <c r="BX232" s="64">
        <f t="shared" si="2098"/>
        <v>67.199999999999989</v>
      </c>
      <c r="BY232" s="64">
        <f t="shared" si="2098"/>
        <v>70.200000000000017</v>
      </c>
      <c r="BZ232" s="64">
        <f t="shared" si="2098"/>
        <v>66.100000000000023</v>
      </c>
      <c r="CA232" s="64">
        <f t="shared" si="2098"/>
        <v>77.300000000000011</v>
      </c>
      <c r="CB232" s="64">
        <f t="shared" si="2098"/>
        <v>80</v>
      </c>
      <c r="CC232" s="64">
        <f t="shared" si="2098"/>
        <v>85.700000000000017</v>
      </c>
      <c r="CD232" s="64">
        <f t="shared" si="2098"/>
        <v>88.399999999999977</v>
      </c>
      <c r="CE232" s="64">
        <f t="shared" si="2098"/>
        <v>119.50000000000003</v>
      </c>
      <c r="CF232" s="64">
        <f t="shared" si="2098"/>
        <v>134.59999999999997</v>
      </c>
      <c r="CG232" s="64">
        <f t="shared" si="2098"/>
        <v>138.30000000000001</v>
      </c>
      <c r="CH232" s="64">
        <f t="shared" si="2098"/>
        <v>130.40000000000003</v>
      </c>
      <c r="CI232" s="64">
        <f t="shared" si="2098"/>
        <v>133.50000000000003</v>
      </c>
      <c r="CJ232" s="64">
        <f t="shared" si="2098"/>
        <v>129.69999999999999</v>
      </c>
      <c r="CK232" s="30">
        <f t="shared" si="2098"/>
        <v>134.20000000000005</v>
      </c>
      <c r="CL232" s="64">
        <f t="shared" ref="CL232" si="2099">CL28-CL238</f>
        <v>132.60000000000002</v>
      </c>
      <c r="CM232" s="30">
        <f t="shared" si="2098"/>
        <v>142.17743844494993</v>
      </c>
      <c r="CN232" s="30">
        <f t="shared" si="2098"/>
        <v>147.34254696677931</v>
      </c>
      <c r="CO232" s="30">
        <f t="shared" si="2098"/>
        <v>151.72091605524753</v>
      </c>
      <c r="CP232" s="30">
        <f t="shared" si="2098"/>
        <v>152.64151234307928</v>
      </c>
      <c r="CQ232" s="30">
        <f t="shared" si="2098"/>
        <v>159.16892598892849</v>
      </c>
      <c r="CR232" s="30">
        <f t="shared" si="2098"/>
        <v>167.11348521155151</v>
      </c>
      <c r="CS232" s="30">
        <f t="shared" si="2098"/>
        <v>172.00988245555749</v>
      </c>
      <c r="CT232" s="30">
        <f t="shared" si="2098"/>
        <v>173.17481424365366</v>
      </c>
      <c r="CU232" s="30">
        <f t="shared" ref="CU232:DB232" si="2100">CU28-CU238</f>
        <v>179.93149279511817</v>
      </c>
      <c r="CV232" s="30">
        <f t="shared" si="2100"/>
        <v>189.37558249445431</v>
      </c>
      <c r="CW232" s="30">
        <f t="shared" si="2100"/>
        <v>194.88270020436522</v>
      </c>
      <c r="CX232" s="30">
        <f t="shared" si="2100"/>
        <v>196.17002173246641</v>
      </c>
      <c r="CY232" s="30">
        <f t="shared" si="2100"/>
        <v>203.7460597854253</v>
      </c>
      <c r="CZ232" s="30">
        <f t="shared" si="2100"/>
        <v>214.53074391625807</v>
      </c>
      <c r="DA232" s="30">
        <f t="shared" si="2100"/>
        <v>220.75071871060152</v>
      </c>
      <c r="DB232" s="30">
        <f t="shared" si="2100"/>
        <v>222.19726976330156</v>
      </c>
      <c r="DE232" s="139"/>
      <c r="DF232" s="64">
        <v>139.30426141373431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 t="e">
        <f t="shared" ref="M233" si="2111">+M232/M231</f>
        <v>#DIV/0!</v>
      </c>
      <c r="N233" s="86" t="e">
        <f t="shared" ref="N233" si="2112">+N232/N231</f>
        <v>#DIV/0!</v>
      </c>
      <c r="O233" s="86">
        <f t="shared" ref="O233" si="2113">+O232/O231</f>
        <v>-9.2797630886870486E-2</v>
      </c>
      <c r="P233" s="86">
        <f t="shared" ref="P233" si="2114">+P232/P231</f>
        <v>-0.22904266436457799</v>
      </c>
      <c r="Q233" s="86">
        <f t="shared" ref="Q233" si="2115">+Q232/Q231</f>
        <v>-0.53992016374164331</v>
      </c>
      <c r="R233" s="86">
        <f t="shared" ref="R233" si="2116">+R232/R231</f>
        <v>-0.23188665766624833</v>
      </c>
      <c r="S233" s="86">
        <f t="shared" ref="S233" si="2117">+S232/S231</f>
        <v>-0.18569674647022719</v>
      </c>
      <c r="T233" s="86">
        <f t="shared" ref="T233" si="2118">+T232/T231</f>
        <v>3.3656735978494959E-2</v>
      </c>
      <c r="U233" s="86">
        <f t="shared" ref="U233" si="2119">+U232/U231</f>
        <v>0.26437495891079982</v>
      </c>
      <c r="V233" s="86">
        <f t="shared" ref="V233" si="2120">+V232/V231</f>
        <v>0.4901069654490548</v>
      </c>
      <c r="W233" s="86">
        <f t="shared" ref="W233" si="2121">+W232/W231</f>
        <v>0.40856287782769396</v>
      </c>
      <c r="X233" s="86">
        <f t="shared" ref="X233:Y233" si="2122">+X232/X231</f>
        <v>0.27185231566096579</v>
      </c>
      <c r="Y233" s="86">
        <f t="shared" si="2122"/>
        <v>0.27687577029934629</v>
      </c>
      <c r="Z233" s="86">
        <f t="shared" ref="Z233:AA233" si="2123">+Z232/Z231</f>
        <v>0.37655797122327034</v>
      </c>
      <c r="AA233" s="86">
        <f t="shared" si="2123"/>
        <v>0.33781186227009841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>
        <f t="shared" ref="BG233" si="2148">+BG232/BG231</f>
        <v>-0.46954986760812006</v>
      </c>
      <c r="BH233" s="86">
        <f t="shared" ref="BH233" si="2149">+BH232/BH231</f>
        <v>0.18367346938775511</v>
      </c>
      <c r="BI233" s="86">
        <f t="shared" ref="BI233" si="2150">+BI232/BI231</f>
        <v>0.20583832335329341</v>
      </c>
      <c r="BJ233" s="86">
        <f t="shared" ref="BJ233" si="2151">+BJ232/BJ231</f>
        <v>0.14565217391304355</v>
      </c>
      <c r="BK233" s="86">
        <f t="shared" ref="BK233" si="2152">+BK232/BK231</f>
        <v>0.24915139171758327</v>
      </c>
      <c r="BL233" s="86">
        <f t="shared" ref="BL233" si="2153">+BL232/BL231</f>
        <v>0.23180076628352489</v>
      </c>
      <c r="BM233" s="86">
        <f t="shared" ref="BM233" si="2154">+BM232/BM231</f>
        <v>0.26440266828380843</v>
      </c>
      <c r="BN233" s="86">
        <f t="shared" ref="BN233" si="2155">+BN232/BN231</f>
        <v>0.30746619635508515</v>
      </c>
      <c r="BO233" s="86">
        <f t="shared" ref="BO233" si="2156">+BO232/BO231</f>
        <v>0.47877204441541477</v>
      </c>
      <c r="BP233" s="86">
        <f t="shared" ref="BP233" si="2157">+BP232/BP231</f>
        <v>0.50061274509803921</v>
      </c>
      <c r="BQ233" s="86">
        <f t="shared" ref="BQ233" si="2158">+BQ232/BQ231</f>
        <v>0.50576036866359442</v>
      </c>
      <c r="BR233" s="86">
        <f t="shared" ref="BR233" si="2159">+BR232/BR231</f>
        <v>0.47523650528658867</v>
      </c>
      <c r="BS233" s="86">
        <f t="shared" ref="BS233" si="2160">+BS232/BS231</f>
        <v>0.48788546255506604</v>
      </c>
      <c r="BT233" s="86">
        <f t="shared" ref="BT233" si="2161">+BT232/BT231</f>
        <v>0.45614035087719307</v>
      </c>
      <c r="BU233" s="86">
        <f t="shared" ref="BU233" si="2162">+BU232/BU231</f>
        <v>0.41892610313662942</v>
      </c>
      <c r="BV233" s="86">
        <f t="shared" ref="BV233" si="2163">+BV232/BV231</f>
        <v>0.28401191658391267</v>
      </c>
      <c r="BW233" s="86">
        <f t="shared" ref="BW233" si="2164">+BW232/BW231</f>
        <v>0.28584149599287617</v>
      </c>
      <c r="BX233" s="86">
        <f t="shared" ref="BX233" si="2165">+BX232/BX231</f>
        <v>0.2793017456359102</v>
      </c>
      <c r="BY233" s="86">
        <f t="shared" ref="BY233" si="2166">+BY232/BY231</f>
        <v>0.27923627684964208</v>
      </c>
      <c r="BZ233" s="86">
        <f t="shared" ref="BZ233" si="2167">+BZ232/BZ231</f>
        <v>0.24590773809523817</v>
      </c>
      <c r="CA233" s="86">
        <f t="shared" ref="CA233" si="2168">+CA232/CA231</f>
        <v>0.27401630627437079</v>
      </c>
      <c r="CB233" s="86">
        <f t="shared" ref="CB233:CC233" si="2169">+CB232/CB231</f>
        <v>0.27146250424160162</v>
      </c>
      <c r="CC233" s="86">
        <f t="shared" si="2169"/>
        <v>0.28070750081886675</v>
      </c>
      <c r="CD233" s="86">
        <f t="shared" ref="CD233" si="2170">+CD232/CD231</f>
        <v>0.28090244677470599</v>
      </c>
      <c r="CE233" s="86">
        <f t="shared" ref="CE233:CF233" si="2171">+CE232/CE231</f>
        <v>0.36070027165710844</v>
      </c>
      <c r="CF233" s="86">
        <f t="shared" si="2171"/>
        <v>0.38711532930687365</v>
      </c>
      <c r="CG233" s="86">
        <f t="shared" ref="CG233:CH233" si="2172">+CG232/CG231</f>
        <v>0.39034716342082981</v>
      </c>
      <c r="CH233" s="86">
        <f t="shared" si="2172"/>
        <v>0.36722050126724876</v>
      </c>
      <c r="CI233" s="86">
        <f t="shared" ref="CI233:CJ233" si="2173">+CI232/CI231</f>
        <v>0.35877452297769424</v>
      </c>
      <c r="CJ233" s="86">
        <f t="shared" si="2173"/>
        <v>0.33171355498721222</v>
      </c>
      <c r="CK233" s="47">
        <f t="shared" ref="CK233:DB233" si="2174">+CK232/CK231</f>
        <v>0.33416334661354591</v>
      </c>
      <c r="CL233" s="86">
        <f t="shared" si="2174"/>
        <v>0.32797427652733124</v>
      </c>
      <c r="CM233" s="47">
        <f t="shared" si="2174"/>
        <v>0.33815642527644596</v>
      </c>
      <c r="CN233" s="47">
        <f t="shared" si="2174"/>
        <v>0.33300190085113374</v>
      </c>
      <c r="CO233" s="47">
        <f t="shared" si="2174"/>
        <v>0.33332398731711427</v>
      </c>
      <c r="CP233" s="47">
        <f t="shared" si="2174"/>
        <v>0.33311414749300633</v>
      </c>
      <c r="CQ233" s="47">
        <f t="shared" si="2174"/>
        <v>0.33439911523442511</v>
      </c>
      <c r="CR233" s="47">
        <f t="shared" si="2174"/>
        <v>0.33345978772391988</v>
      </c>
      <c r="CS233" s="47">
        <f t="shared" si="2174"/>
        <v>0.33357425944211638</v>
      </c>
      <c r="CT233" s="47">
        <f t="shared" si="2174"/>
        <v>0.33363682747336693</v>
      </c>
      <c r="CU233" s="47">
        <f t="shared" si="2174"/>
        <v>0.33376749746845708</v>
      </c>
      <c r="CV233" s="47">
        <f t="shared" si="2174"/>
        <v>0.33360959302696497</v>
      </c>
      <c r="CW233" s="47">
        <f t="shared" si="2174"/>
        <v>0.33364704435272635</v>
      </c>
      <c r="CX233" s="47">
        <f t="shared" si="2174"/>
        <v>0.33366524058037883</v>
      </c>
      <c r="CY233" s="47">
        <f t="shared" si="2174"/>
        <v>0.33367234385713185</v>
      </c>
      <c r="CZ233" s="47">
        <f t="shared" si="2174"/>
        <v>0.33364855545430044</v>
      </c>
      <c r="DA233" s="47">
        <f t="shared" si="2174"/>
        <v>0.33365829606113434</v>
      </c>
      <c r="DB233" s="47">
        <f t="shared" si="2174"/>
        <v>0.33366110898823642</v>
      </c>
      <c r="DE233" s="130"/>
      <c r="DF233" s="89">
        <v>0.34796798146142527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0</v>
      </c>
      <c r="K234" s="64">
        <f t="shared" si="2175"/>
        <v>0</v>
      </c>
      <c r="L234" s="64">
        <f t="shared" si="2175"/>
        <v>0</v>
      </c>
      <c r="M234" s="64">
        <f t="shared" si="2175"/>
        <v>0</v>
      </c>
      <c r="N234" s="64">
        <f t="shared" si="2175"/>
        <v>0</v>
      </c>
      <c r="O234" s="64">
        <f t="shared" si="2175"/>
        <v>-7.5830000000000073</v>
      </c>
      <c r="P234" s="64">
        <f t="shared" si="2175"/>
        <v>-31.883999999999979</v>
      </c>
      <c r="Q234" s="64">
        <f t="shared" si="2175"/>
        <v>-131.56800000000007</v>
      </c>
      <c r="R234" s="64">
        <f t="shared" si="2175"/>
        <v>-64.34600000000006</v>
      </c>
      <c r="S234" s="64">
        <f t="shared" si="2175"/>
        <v>54.758999999999972</v>
      </c>
      <c r="T234" s="64">
        <f t="shared" si="2175"/>
        <v>20.043999999999976</v>
      </c>
      <c r="U234" s="64">
        <f t="shared" si="2175"/>
        <v>149.02300000000008</v>
      </c>
      <c r="V234" s="64">
        <f t="shared" si="2175"/>
        <v>282.43400000000003</v>
      </c>
      <c r="W234" s="64">
        <f t="shared" si="2175"/>
        <v>309.86700000000002</v>
      </c>
      <c r="X234" s="64">
        <f t="shared" si="2175"/>
        <v>321.73200000000008</v>
      </c>
      <c r="Y234" s="64">
        <f t="shared" si="2175"/>
        <v>376.17000000000019</v>
      </c>
      <c r="Z234" s="64">
        <f t="shared" si="2175"/>
        <v>599.74900000000014</v>
      </c>
      <c r="AA234" s="64">
        <f t="shared" ref="AA234" si="2176">AA41-AA240</f>
        <v>529.45399999999972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-56.400000000000006</v>
      </c>
      <c r="BH234" s="64">
        <f t="shared" si="2177"/>
        <v>20.400000000000002</v>
      </c>
      <c r="BI234" s="64">
        <f t="shared" si="2177"/>
        <v>27.700000000000003</v>
      </c>
      <c r="BJ234" s="64">
        <f t="shared" si="2177"/>
        <v>28.20000000000001</v>
      </c>
      <c r="BK234" s="64">
        <f t="shared" si="2177"/>
        <v>32.40000000000002</v>
      </c>
      <c r="BL234" s="64">
        <f t="shared" si="2177"/>
        <v>8.8999999999999915</v>
      </c>
      <c r="BM234" s="64">
        <f t="shared" si="2177"/>
        <v>62.700000000000017</v>
      </c>
      <c r="BN234" s="64">
        <f t="shared" si="2177"/>
        <v>44.999999999999979</v>
      </c>
      <c r="BO234" s="64">
        <f t="shared" ref="BO234:CT234" si="2178">BO41-BO240</f>
        <v>74.5</v>
      </c>
      <c r="BP234" s="64">
        <f t="shared" si="2178"/>
        <v>70</v>
      </c>
      <c r="BQ234" s="64">
        <f t="shared" si="2178"/>
        <v>80.7</v>
      </c>
      <c r="BR234" s="64">
        <f t="shared" si="2178"/>
        <v>57.299999999999983</v>
      </c>
      <c r="BS234" s="64">
        <f t="shared" si="2178"/>
        <v>89.399999999999977</v>
      </c>
      <c r="BT234" s="64">
        <f t="shared" si="2178"/>
        <v>84</v>
      </c>
      <c r="BU234" s="64">
        <f t="shared" si="2178"/>
        <v>73.299999999999983</v>
      </c>
      <c r="BV234" s="64">
        <f t="shared" si="2178"/>
        <v>63.200000000000017</v>
      </c>
      <c r="BW234" s="64">
        <f t="shared" si="2178"/>
        <v>53.699999999999989</v>
      </c>
      <c r="BX234" s="64">
        <f t="shared" si="2178"/>
        <v>79.3</v>
      </c>
      <c r="BY234" s="64">
        <f t="shared" si="2178"/>
        <v>122.20000000000002</v>
      </c>
      <c r="BZ234" s="64">
        <f t="shared" si="2178"/>
        <v>66.300000000000026</v>
      </c>
      <c r="CA234" s="64">
        <f t="shared" si="2178"/>
        <v>95.5</v>
      </c>
      <c r="CB234" s="64">
        <f t="shared" si="2178"/>
        <v>80.400000000000006</v>
      </c>
      <c r="CC234" s="64">
        <f t="shared" si="2178"/>
        <v>89.100000000000009</v>
      </c>
      <c r="CD234" s="64">
        <f t="shared" si="2178"/>
        <v>111.19999999999999</v>
      </c>
      <c r="CE234" s="64">
        <f t="shared" si="2178"/>
        <v>125.20000000000002</v>
      </c>
      <c r="CF234" s="64">
        <f t="shared" si="2178"/>
        <v>147.79999999999995</v>
      </c>
      <c r="CG234" s="64">
        <f t="shared" si="2178"/>
        <v>135.1</v>
      </c>
      <c r="CH234" s="64">
        <f t="shared" si="2178"/>
        <v>191.70000000000005</v>
      </c>
      <c r="CI234" s="64">
        <f t="shared" si="2178"/>
        <v>167.60000000000002</v>
      </c>
      <c r="CJ234" s="64">
        <f t="shared" si="2178"/>
        <v>96.1</v>
      </c>
      <c r="CK234" s="30">
        <f t="shared" si="2178"/>
        <v>202.90000000000009</v>
      </c>
      <c r="CL234" s="64">
        <f t="shared" ref="CL234" si="2179">CL41-CL240</f>
        <v>62.90000000000002</v>
      </c>
      <c r="CM234" s="30">
        <f t="shared" si="2178"/>
        <v>73.705028944226541</v>
      </c>
      <c r="CN234" s="30">
        <f t="shared" si="2178"/>
        <v>77.023652922355652</v>
      </c>
      <c r="CO234" s="30">
        <f t="shared" si="2178"/>
        <v>79.953995595412721</v>
      </c>
      <c r="CP234" s="30">
        <f t="shared" si="2178"/>
        <v>79.148890839715989</v>
      </c>
      <c r="CQ234" s="30">
        <f t="shared" si="2178"/>
        <v>84.693092317327682</v>
      </c>
      <c r="CR234" s="30">
        <f t="shared" si="2178"/>
        <v>89.342000956753594</v>
      </c>
      <c r="CS234" s="30">
        <f t="shared" si="2178"/>
        <v>91.47230025803222</v>
      </c>
      <c r="CT234" s="30">
        <f t="shared" si="2178"/>
        <v>91.146292839632707</v>
      </c>
      <c r="CU234" s="30">
        <f t="shared" ref="CU234:DB234" si="2180">CU41-CU240</f>
        <v>95.591794264168215</v>
      </c>
      <c r="CV234" s="30">
        <f t="shared" si="2180"/>
        <v>101.03693864487053</v>
      </c>
      <c r="CW234" s="30">
        <f t="shared" si="2180"/>
        <v>103.23491047814005</v>
      </c>
      <c r="CX234" s="30">
        <f t="shared" si="2180"/>
        <v>102.80274744437821</v>
      </c>
      <c r="CY234" s="30">
        <f t="shared" si="2180"/>
        <v>107.49300852905488</v>
      </c>
      <c r="CZ234" s="30">
        <f t="shared" si="2180"/>
        <v>113.69033932244398</v>
      </c>
      <c r="DA234" s="30">
        <f t="shared" si="2180"/>
        <v>116.11949501527724</v>
      </c>
      <c r="DB234" s="30">
        <f t="shared" si="2180"/>
        <v>115.58176750339129</v>
      </c>
      <c r="DE234" s="139"/>
      <c r="DF234" s="64">
        <v>217.82483871948997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 t="e">
        <f t="shared" si="2235"/>
        <v>#DIV/0!</v>
      </c>
      <c r="K244" s="84" t="e">
        <f t="shared" si="2235"/>
        <v>#DIV/0!</v>
      </c>
      <c r="L244" s="84" t="e">
        <f t="shared" si="2235"/>
        <v>#DIV/0!</v>
      </c>
      <c r="M244" s="84" t="e">
        <f t="shared" si="2235"/>
        <v>#DIV/0!</v>
      </c>
      <c r="N244" s="84" t="e">
        <f t="shared" si="2235"/>
        <v>#DIV/0!</v>
      </c>
      <c r="O244" s="84">
        <f t="shared" si="2235"/>
        <v>1.6478150036416606</v>
      </c>
      <c r="P244" s="84">
        <f t="shared" si="2235"/>
        <v>1.7181443822088647</v>
      </c>
      <c r="Q244" s="84">
        <f t="shared" si="2235"/>
        <v>1.2619025612586521</v>
      </c>
      <c r="R244" s="84">
        <f t="shared" si="2235"/>
        <v>1.4371393165330968</v>
      </c>
      <c r="S244" s="84">
        <f t="shared" si="2235"/>
        <v>0.96016503757551941</v>
      </c>
      <c r="T244" s="84">
        <f t="shared" si="2235"/>
        <v>0.6904130501927348</v>
      </c>
      <c r="U244" s="84">
        <f t="shared" si="2235"/>
        <v>0.5977312831797964</v>
      </c>
      <c r="V244" s="84">
        <f t="shared" si="2235"/>
        <v>0.26381471086890823</v>
      </c>
      <c r="W244" s="84">
        <f t="shared" si="2235"/>
        <v>0.28015770943553514</v>
      </c>
      <c r="X244" s="84">
        <f t="shared" si="2235"/>
        <v>0.30980229412384241</v>
      </c>
      <c r="Y244" s="84">
        <f t="shared" si="2235"/>
        <v>0.39649908642290255</v>
      </c>
      <c r="Z244" s="84">
        <f>Z10/(Z161+Z148+Z138)</f>
        <v>0.38345847425208912</v>
      </c>
      <c r="AA244" s="84">
        <f>AA10/(AA161+AA148+AA138)</f>
        <v>0.39082246872632143</v>
      </c>
      <c r="AB244" s="50">
        <f t="shared" ref="AA244:AE244" si="2236">AB10/(AB161+AB148+AB138)</f>
        <v>0.40279910793615109</v>
      </c>
      <c r="AC244" s="50">
        <f t="shared" si="2236"/>
        <v>0.39900841728781999</v>
      </c>
      <c r="AD244" s="50">
        <f t="shared" si="2236"/>
        <v>0.39538213653543836</v>
      </c>
      <c r="AE244" s="50">
        <f t="shared" si="2236"/>
        <v>0.39202864671900683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>
        <f t="shared" si="2237"/>
        <v>13.335740072202164</v>
      </c>
      <c r="BJ244" s="84">
        <f t="shared" si="2237"/>
        <v>0.69034013605442168</v>
      </c>
      <c r="BK244" s="84">
        <f t="shared" si="2237"/>
        <v>0.70470076872383136</v>
      </c>
      <c r="BL244" s="84">
        <f t="shared" si="2237"/>
        <v>0.66631932383929615</v>
      </c>
      <c r="BM244" s="84">
        <f t="shared" si="2237"/>
        <v>0.65488901021455836</v>
      </c>
      <c r="BN244" s="84">
        <f t="shared" si="2237"/>
        <v>0.59782913820529615</v>
      </c>
      <c r="BO244" s="84">
        <f t="shared" si="2237"/>
        <v>0.56502520171730086</v>
      </c>
      <c r="BP244" s="84">
        <f t="shared" si="2237"/>
        <v>0.55628629996583545</v>
      </c>
      <c r="BQ244" s="84">
        <f t="shared" si="2237"/>
        <v>0.52713756160509162</v>
      </c>
      <c r="BR244" s="84">
        <f t="shared" si="2237"/>
        <v>0.27060012123661348</v>
      </c>
      <c r="BS244" s="84">
        <f t="shared" si="2237"/>
        <v>0.27242258908255057</v>
      </c>
      <c r="BT244" s="84">
        <f t="shared" si="2237"/>
        <v>0.28004216444132118</v>
      </c>
      <c r="BU244" s="84">
        <f t="shared" si="2237"/>
        <v>0.27802961045745428</v>
      </c>
      <c r="BV244" s="84">
        <f t="shared" si="2237"/>
        <v>0.29806170886075944</v>
      </c>
      <c r="BW244" s="84">
        <f t="shared" si="2237"/>
        <v>0.30910196872868489</v>
      </c>
      <c r="BX244" s="84">
        <f t="shared" si="2237"/>
        <v>0.32870548419352363</v>
      </c>
      <c r="BY244" s="84">
        <f t="shared" si="2237"/>
        <v>0.3382247496009676</v>
      </c>
      <c r="BZ244" s="84">
        <f t="shared" si="2237"/>
        <v>0.33622219189299851</v>
      </c>
      <c r="CA244" s="84">
        <f t="shared" si="2237"/>
        <v>0.34587561268498013</v>
      </c>
      <c r="CB244" s="84">
        <f t="shared" si="2237"/>
        <v>0.43989092950517289</v>
      </c>
      <c r="CC244" s="84">
        <f t="shared" si="2237"/>
        <v>0.44667030540009517</v>
      </c>
      <c r="CD244" s="84">
        <f t="shared" si="2237"/>
        <v>0.4091763820985333</v>
      </c>
      <c r="CE244" s="84">
        <f t="shared" si="2237"/>
        <v>0.40977210391161317</v>
      </c>
      <c r="CF244" s="84">
        <f t="shared" si="2237"/>
        <v>0.43067435846429281</v>
      </c>
      <c r="CG244" s="84">
        <f t="shared" si="2237"/>
        <v>0.42959570271211411</v>
      </c>
      <c r="CH244" s="84">
        <f t="shared" si="2237"/>
        <v>0.38347394136582902</v>
      </c>
      <c r="CI244" s="84">
        <f t="shared" si="2237"/>
        <v>0.36905895129137545</v>
      </c>
      <c r="CJ244" s="84">
        <f t="shared" si="2237"/>
        <v>0.42781603184287753</v>
      </c>
      <c r="CK244" s="50">
        <f t="shared" ref="CK244" si="2238">SUM(CH10:CK10)/(CK161+CK148+CK138)</f>
        <v>0.41268074415979761</v>
      </c>
      <c r="CL244" s="84">
        <f t="shared" si="2237"/>
        <v>0.40630826600372905</v>
      </c>
      <c r="CM244" s="50">
        <f t="shared" ref="CM244:DB244" si="2239">SUM(CJ10:CM10)/(CM161+CM148+CM138)</f>
        <v>0.40340529811078762</v>
      </c>
      <c r="CN244" s="50">
        <f t="shared" si="2239"/>
        <v>0.39812482028977197</v>
      </c>
      <c r="CO244" s="50">
        <f t="shared" si="2239"/>
        <v>0.39804567620236109</v>
      </c>
      <c r="CP244" s="50">
        <f t="shared" si="2239"/>
        <v>0.40279910793615109</v>
      </c>
      <c r="CQ244" s="50">
        <f t="shared" si="2239"/>
        <v>0.40021260234066486</v>
      </c>
      <c r="CR244" s="50">
        <f t="shared" si="2239"/>
        <v>0.3947786557865805</v>
      </c>
      <c r="CS244" s="50">
        <f t="shared" si="2239"/>
        <v>0.39450769703284633</v>
      </c>
      <c r="CT244" s="50">
        <f t="shared" si="2239"/>
        <v>0.39900841728781999</v>
      </c>
      <c r="CU244" s="50">
        <f t="shared" si="2239"/>
        <v>0.39654957309129824</v>
      </c>
      <c r="CV244" s="50">
        <f t="shared" si="2239"/>
        <v>0.39119862231929958</v>
      </c>
      <c r="CW244" s="50">
        <f t="shared" si="2239"/>
        <v>0.39093628611791076</v>
      </c>
      <c r="CX244" s="50">
        <f t="shared" si="2239"/>
        <v>0.39538213653543836</v>
      </c>
      <c r="CY244" s="50">
        <f t="shared" si="2239"/>
        <v>0.39302611874433063</v>
      </c>
      <c r="CZ244" s="50">
        <f t="shared" si="2239"/>
        <v>0.38781232486981826</v>
      </c>
      <c r="DA244" s="50">
        <f t="shared" si="2239"/>
        <v>0.38760412411336498</v>
      </c>
      <c r="DB244" s="50">
        <f t="shared" si="2239"/>
        <v>0.39202864671900683</v>
      </c>
      <c r="DE244" s="138"/>
      <c r="DF244" s="84">
        <v>0.40338999022520011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 t="e">
        <f t="shared" si="2240"/>
        <v>#DIV/0!</v>
      </c>
      <c r="N245" s="181" t="e">
        <f t="shared" si="2240"/>
        <v>#DIV/0!</v>
      </c>
      <c r="O245" s="181">
        <f t="shared" si="2240"/>
        <v>-5.5861271335646508E-2</v>
      </c>
      <c r="P245" s="181">
        <f t="shared" si="2240"/>
        <v>-0.18108501067745</v>
      </c>
      <c r="Q245" s="181">
        <f t="shared" si="2240"/>
        <v>-0.53536681139192632</v>
      </c>
      <c r="R245" s="181">
        <f t="shared" si="2240"/>
        <v>-0.20249682939801067</v>
      </c>
      <c r="S245" s="181">
        <f t="shared" si="2240"/>
        <v>0.13339325908386676</v>
      </c>
      <c r="T245" s="181">
        <f t="shared" si="2240"/>
        <v>3.9502026932483496E-2</v>
      </c>
      <c r="U245" s="181">
        <f t="shared" si="2240"/>
        <v>0.23326612966342869</v>
      </c>
      <c r="V245" s="181">
        <f t="shared" si="2240"/>
        <v>0.42181903990967234</v>
      </c>
      <c r="W245" s="181">
        <f t="shared" si="2240"/>
        <v>0.41124508118940656</v>
      </c>
      <c r="X245" s="181">
        <f t="shared" si="2240"/>
        <v>0.32649921503878132</v>
      </c>
      <c r="Y245" s="181">
        <f t="shared" si="2240"/>
        <v>0.31431973428589349</v>
      </c>
      <c r="Z245" s="181">
        <f t="shared" si="2240"/>
        <v>0.43198875782947171</v>
      </c>
      <c r="AA245" s="181">
        <f t="shared" ref="AA245" si="2241">+AA42</f>
        <v>0.3374377486389783</v>
      </c>
      <c r="AB245" s="182">
        <f t="shared" si="2240"/>
        <v>0.17442351312235796</v>
      </c>
      <c r="AC245" s="182">
        <f t="shared" si="2240"/>
        <v>0.17727700660549273</v>
      </c>
      <c r="AD245" s="182">
        <f t="shared" si="2240"/>
        <v>0.17670326560304933</v>
      </c>
      <c r="AE245" s="182">
        <f t="shared" si="2240"/>
        <v>0.17545876942100255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>
        <f t="shared" si="2242"/>
        <v>-0.49779346866725516</v>
      </c>
      <c r="BH245" s="181">
        <f t="shared" si="2242"/>
        <v>0.16653061224489799</v>
      </c>
      <c r="BI245" s="181">
        <f t="shared" si="2242"/>
        <v>0.2073353293413174</v>
      </c>
      <c r="BJ245" s="181">
        <f t="shared" si="2242"/>
        <v>0.20434782608695659</v>
      </c>
      <c r="BK245" s="181">
        <f t="shared" si="2242"/>
        <v>0.2199592668024441</v>
      </c>
      <c r="BL245" s="181">
        <f t="shared" si="2242"/>
        <v>5.6832694763729194E-2</v>
      </c>
      <c r="BM245" s="181">
        <f t="shared" si="2242"/>
        <v>0.38023044269254103</v>
      </c>
      <c r="BN245" s="181">
        <f t="shared" si="2242"/>
        <v>0.26455026455026442</v>
      </c>
      <c r="BO245" s="181">
        <f t="shared" si="2242"/>
        <v>0.48661005878510777</v>
      </c>
      <c r="BP245" s="181">
        <f t="shared" si="2242"/>
        <v>0.42892156862745101</v>
      </c>
      <c r="BQ245" s="181">
        <f t="shared" si="2242"/>
        <v>0.46486175115207379</v>
      </c>
      <c r="BR245" s="181">
        <f t="shared" si="2242"/>
        <v>0.3188647746243739</v>
      </c>
      <c r="BS245" s="181">
        <f t="shared" si="2242"/>
        <v>0.4922907488986783</v>
      </c>
      <c r="BT245" s="181">
        <f t="shared" si="2242"/>
        <v>0.46052631578947367</v>
      </c>
      <c r="BU245" s="181">
        <f t="shared" si="2242"/>
        <v>0.38968633705475803</v>
      </c>
      <c r="BV245" s="181">
        <f t="shared" si="2242"/>
        <v>0.31380337636544198</v>
      </c>
      <c r="BW245" s="181">
        <f t="shared" si="2242"/>
        <v>0.2390917186108637</v>
      </c>
      <c r="BX245" s="181">
        <f t="shared" si="2242"/>
        <v>0.32959268495428096</v>
      </c>
      <c r="BY245" s="181">
        <f t="shared" si="2242"/>
        <v>0.48607796340493242</v>
      </c>
      <c r="BZ245" s="181">
        <f t="shared" si="2242"/>
        <v>0.24665178571428581</v>
      </c>
      <c r="CA245" s="181">
        <f t="shared" si="2242"/>
        <v>0.33853243530662885</v>
      </c>
      <c r="CB245" s="181">
        <f t="shared" si="2242"/>
        <v>0.27281981676280964</v>
      </c>
      <c r="CC245" s="181">
        <f t="shared" si="2242"/>
        <v>0.29184408778250903</v>
      </c>
      <c r="CD245" s="181">
        <f t="shared" si="2242"/>
        <v>0.35335239911026373</v>
      </c>
      <c r="CE245" s="181">
        <f t="shared" si="2242"/>
        <v>0.37790522185330522</v>
      </c>
      <c r="CF245" s="181">
        <f t="shared" si="2242"/>
        <v>0.42507909117054921</v>
      </c>
      <c r="CG245" s="181">
        <f t="shared" si="2242"/>
        <v>0.38131526954558281</v>
      </c>
      <c r="CH245" s="181">
        <f t="shared" si="2242"/>
        <v>0.53984793016051824</v>
      </c>
      <c r="CI245" s="181">
        <f t="shared" si="2242"/>
        <v>0.45041655468959962</v>
      </c>
      <c r="CJ245" s="181">
        <f t="shared" si="2242"/>
        <v>0.24578005115089513</v>
      </c>
      <c r="CK245" s="182">
        <f t="shared" si="2242"/>
        <v>0.50522908366533881</v>
      </c>
      <c r="CL245" s="181">
        <f t="shared" ref="CL245" si="2243">+CL42</f>
        <v>0.15557754142963151</v>
      </c>
      <c r="CM245" s="182">
        <f t="shared" si="2242"/>
        <v>0.17530087322769536</v>
      </c>
      <c r="CN245" s="182">
        <f t="shared" si="2242"/>
        <v>0.17407750416738343</v>
      </c>
      <c r="CO245" s="182">
        <f t="shared" si="2242"/>
        <v>0.17565531046552235</v>
      </c>
      <c r="CP245" s="182">
        <f t="shared" si="2242"/>
        <v>0.17272899680022344</v>
      </c>
      <c r="CQ245" s="182">
        <f t="shared" si="2242"/>
        <v>0.17793231286458414</v>
      </c>
      <c r="CR245" s="182">
        <f t="shared" si="2242"/>
        <v>0.17827385166526327</v>
      </c>
      <c r="CS245" s="182">
        <f t="shared" si="2242"/>
        <v>0.17738983587715468</v>
      </c>
      <c r="CT245" s="182">
        <f t="shared" si="2242"/>
        <v>0.17560151637401247</v>
      </c>
      <c r="CU245" s="182">
        <f t="shared" si="2242"/>
        <v>0.17731989800362885</v>
      </c>
      <c r="CV245" s="182">
        <f t="shared" si="2242"/>
        <v>0.17798964120938224</v>
      </c>
      <c r="CW245" s="182">
        <f t="shared" si="2242"/>
        <v>0.17674233125326025</v>
      </c>
      <c r="CX245" s="182">
        <f t="shared" ref="CX245:DB245" si="2244">+CX42</f>
        <v>0.1748570100335336</v>
      </c>
      <c r="CY245" s="182">
        <f t="shared" si="2244"/>
        <v>0.17603993982469218</v>
      </c>
      <c r="CZ245" s="182">
        <f t="shared" si="2244"/>
        <v>0.1768166967194672</v>
      </c>
      <c r="DA245" s="182">
        <f t="shared" si="2244"/>
        <v>0.17551124214942862</v>
      </c>
      <c r="DB245" s="182">
        <f t="shared" si="2244"/>
        <v>0.17356262192188068</v>
      </c>
      <c r="DE245" s="138"/>
      <c r="DF245" s="84">
        <v>0.54410445647650907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 t="e">
        <f t="shared" si="2245"/>
        <v>#DIV/0!</v>
      </c>
      <c r="K246" s="84" t="e">
        <f t="shared" si="2245"/>
        <v>#DIV/0!</v>
      </c>
      <c r="L246" s="84" t="e">
        <f t="shared" si="2245"/>
        <v>#DIV/0!</v>
      </c>
      <c r="M246" s="84" t="e">
        <f t="shared" si="2245"/>
        <v>#DIV/0!</v>
      </c>
      <c r="N246" s="84" t="e">
        <f t="shared" si="2245"/>
        <v>#DIV/0!</v>
      </c>
      <c r="O246" s="84">
        <f t="shared" si="2245"/>
        <v>-1.3265700483091789</v>
      </c>
      <c r="P246" s="84">
        <f t="shared" si="2245"/>
        <v>-1.0903654838538064</v>
      </c>
      <c r="Q246" s="84">
        <f t="shared" si="2245"/>
        <v>-0.5954267090221449</v>
      </c>
      <c r="R246" s="84">
        <f t="shared" si="2245"/>
        <v>-0.56687672736036265</v>
      </c>
      <c r="S246" s="84">
        <f t="shared" si="2245"/>
        <v>-1.3307819926603561</v>
      </c>
      <c r="T246" s="84">
        <f t="shared" si="2245"/>
        <v>4.5966363954768354</v>
      </c>
      <c r="U246" s="84">
        <f t="shared" si="2245"/>
        <v>3.9932050447725373</v>
      </c>
      <c r="V246" s="84">
        <f t="shared" si="2245"/>
        <v>1.5984974709538367</v>
      </c>
      <c r="W246" s="84">
        <f t="shared" si="2245"/>
        <v>1.6597369444727548</v>
      </c>
      <c r="X246" s="84">
        <f t="shared" si="2245"/>
        <v>1.7937572747428698</v>
      </c>
      <c r="Y246" s="84">
        <f t="shared" si="2245"/>
        <v>2.0401903331232858</v>
      </c>
      <c r="Z246" s="84">
        <f t="shared" si="2245"/>
        <v>1.9610829683932109</v>
      </c>
      <c r="AA246" s="84">
        <f t="shared" ref="AA246" si="2246">(AA161+AA148+AA138+AA140)/AA120</f>
        <v>1.9903752538665833</v>
      </c>
      <c r="AB246" s="50">
        <f t="shared" si="2245"/>
        <v>1.9450902698574375</v>
      </c>
      <c r="AC246" s="50">
        <f t="shared" si="2245"/>
        <v>1.9576562566047764</v>
      </c>
      <c r="AD246" s="50">
        <f t="shared" si="2245"/>
        <v>1.9674609592993793</v>
      </c>
      <c r="AE246" s="50">
        <f t="shared" si="2245"/>
        <v>1.975398481857928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>
        <f t="shared" si="2247"/>
        <v>1</v>
      </c>
      <c r="BJ246" s="84">
        <f t="shared" si="2247"/>
        <v>4.5966228893058156</v>
      </c>
      <c r="BK246" s="84">
        <f t="shared" si="2247"/>
        <v>3.9951604151122564</v>
      </c>
      <c r="BL246" s="84">
        <f t="shared" si="2247"/>
        <v>4.4117357001972382</v>
      </c>
      <c r="BM246" s="84">
        <f t="shared" si="2247"/>
        <v>3.6161979642941202</v>
      </c>
      <c r="BN246" s="84">
        <f t="shared" si="2247"/>
        <v>3.992366412213741</v>
      </c>
      <c r="BO246" s="84">
        <f t="shared" si="2247"/>
        <v>3.3522653273830567</v>
      </c>
      <c r="BP246" s="84">
        <f t="shared" si="2247"/>
        <v>2.8675041479023462</v>
      </c>
      <c r="BQ246" s="84">
        <f t="shared" si="2247"/>
        <v>2.57129077482417</v>
      </c>
      <c r="BR246" s="84">
        <f t="shared" si="2247"/>
        <v>1.5590663604196411</v>
      </c>
      <c r="BS246" s="84">
        <f t="shared" si="2247"/>
        <v>1.5302347697985514</v>
      </c>
      <c r="BT246" s="84">
        <f t="shared" si="2247"/>
        <v>1.5316994592106774</v>
      </c>
      <c r="BU246" s="84">
        <f t="shared" si="2247"/>
        <v>1.5113325315195749</v>
      </c>
      <c r="BV246" s="84">
        <f t="shared" si="2247"/>
        <v>1.5735019476015157</v>
      </c>
      <c r="BW246" s="84">
        <f t="shared" si="2247"/>
        <v>1.5606619965944351</v>
      </c>
      <c r="BX246" s="84">
        <f t="shared" si="2247"/>
        <v>1.621326660988075</v>
      </c>
      <c r="BY246" s="84">
        <f t="shared" si="2247"/>
        <v>1.5867173418402569</v>
      </c>
      <c r="BZ246" s="84">
        <f t="shared" si="2247"/>
        <v>1.6722856448870538</v>
      </c>
      <c r="CA246" s="84">
        <f t="shared" si="2247"/>
        <v>1.6468275277051427</v>
      </c>
      <c r="CB246" s="84">
        <f t="shared" si="2247"/>
        <v>1.9412221646815118</v>
      </c>
      <c r="CC246" s="84">
        <f t="shared" si="2247"/>
        <v>1.8944001972179176</v>
      </c>
      <c r="CD246" s="84">
        <f t="shared" si="2247"/>
        <v>1.9864063130004028</v>
      </c>
      <c r="CE246" s="84">
        <f t="shared" si="2247"/>
        <v>1.9266064285947013</v>
      </c>
      <c r="CF246" s="84">
        <f t="shared" si="2247"/>
        <v>1.9247855963351626</v>
      </c>
      <c r="CG246" s="84">
        <f t="shared" si="2247"/>
        <v>1.8691057372882571</v>
      </c>
      <c r="CH246" s="84">
        <f t="shared" si="2247"/>
        <v>1.9610829683932109</v>
      </c>
      <c r="CI246" s="84">
        <f t="shared" si="2247"/>
        <v>1.9401066595764849</v>
      </c>
      <c r="CJ246" s="84">
        <f t="shared" si="2247"/>
        <v>1.9303456986480798</v>
      </c>
      <c r="CK246" s="50">
        <f t="shared" si="2247"/>
        <v>1.8776225169495069</v>
      </c>
      <c r="CL246" s="84">
        <f t="shared" ref="CL246" si="2248">(CL161+CL148+CL138+CL140)/CL120</f>
        <v>1.9265539076820528</v>
      </c>
      <c r="CM246" s="50">
        <f t="shared" si="2247"/>
        <v>1.9387870406393295</v>
      </c>
      <c r="CN246" s="50">
        <f t="shared" si="2247"/>
        <v>1.9616482369764199</v>
      </c>
      <c r="CO246" s="50">
        <f t="shared" si="2247"/>
        <v>1.9629984763836712</v>
      </c>
      <c r="CP246" s="50">
        <f t="shared" si="2247"/>
        <v>1.9450902698574375</v>
      </c>
      <c r="CQ246" s="50">
        <f t="shared" si="2247"/>
        <v>1.9550609790579485</v>
      </c>
      <c r="CR246" s="50">
        <f t="shared" si="2247"/>
        <v>1.9770727491194937</v>
      </c>
      <c r="CS246" s="50">
        <f t="shared" si="2247"/>
        <v>1.9773703649787693</v>
      </c>
      <c r="CT246" s="50">
        <f t="shared" si="2247"/>
        <v>1.9576562566047764</v>
      </c>
      <c r="CU246" s="50">
        <f t="shared" si="2247"/>
        <v>1.9668853056057196</v>
      </c>
      <c r="CV246" s="50">
        <f t="shared" si="2247"/>
        <v>1.9885109406379209</v>
      </c>
      <c r="CW246" s="50">
        <f t="shared" si="2247"/>
        <v>1.9881125249670664</v>
      </c>
      <c r="CX246" s="50">
        <f t="shared" ref="CX246:DB246" si="2249">(CX161+CX148+CX138+CX140)/CX120</f>
        <v>1.9674609592993793</v>
      </c>
      <c r="CY246" s="50">
        <f t="shared" si="2249"/>
        <v>1.9762632304492291</v>
      </c>
      <c r="CZ246" s="50">
        <f t="shared" si="2249"/>
        <v>1.9976272317538999</v>
      </c>
      <c r="DA246" s="50">
        <f t="shared" si="2249"/>
        <v>1.996724383666971</v>
      </c>
      <c r="DB246" s="50">
        <f t="shared" si="2249"/>
        <v>1.975398481857928</v>
      </c>
      <c r="DE246" s="138"/>
      <c r="DF246" s="84">
        <v>1.8046282664878297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 t="e">
        <f t="shared" si="2250"/>
        <v>#DIV/0!</v>
      </c>
      <c r="K248" s="88" t="e">
        <f t="shared" si="2250"/>
        <v>#DIV/0!</v>
      </c>
      <c r="L248" s="88" t="e">
        <f t="shared" si="2250"/>
        <v>#DIV/0!</v>
      </c>
      <c r="M248" s="88" t="e">
        <f t="shared" si="2250"/>
        <v>#DIV/0!</v>
      </c>
      <c r="N248" s="88" t="e">
        <f t="shared" si="2250"/>
        <v>#DIV/0!</v>
      </c>
      <c r="O248" s="88">
        <f t="shared" si="2250"/>
        <v>-1.0416908212560387</v>
      </c>
      <c r="P248" s="88">
        <f t="shared" si="2250"/>
        <v>-0.74831090067563988</v>
      </c>
      <c r="Q248" s="88">
        <f t="shared" si="2250"/>
        <v>-0.45059359837100582</v>
      </c>
      <c r="R248" s="88">
        <f t="shared" si="2250"/>
        <v>-0.45357983417340519</v>
      </c>
      <c r="S248" s="88">
        <f t="shared" si="2250"/>
        <v>-1.1136493094571838</v>
      </c>
      <c r="T248" s="88">
        <f t="shared" si="2250"/>
        <v>4.2854310517362162</v>
      </c>
      <c r="U248" s="88">
        <f t="shared" si="2250"/>
        <v>3.2565686385003838</v>
      </c>
      <c r="V248" s="88">
        <f t="shared" si="2250"/>
        <v>1.4247847765574677</v>
      </c>
      <c r="W248" s="88">
        <f t="shared" si="2250"/>
        <v>1.26868823880648</v>
      </c>
      <c r="X248" s="88">
        <f t="shared" si="2250"/>
        <v>1.131949018990601</v>
      </c>
      <c r="Y248" s="88">
        <f t="shared" si="2250"/>
        <v>1.3382629251304925</v>
      </c>
      <c r="Z248" s="88">
        <f t="shared" si="2250"/>
        <v>1.3145134055434289</v>
      </c>
      <c r="AA248" s="88">
        <f t="shared" ref="AA248" si="2251">AA161/AA120</f>
        <v>1.3000485340832162</v>
      </c>
      <c r="AB248" s="42">
        <f t="shared" si="2250"/>
        <v>1.3729235613773232</v>
      </c>
      <c r="AC248" s="42">
        <f t="shared" si="2250"/>
        <v>1.4326284183172515</v>
      </c>
      <c r="AD248" s="42">
        <f t="shared" si="2250"/>
        <v>1.4849354729057118</v>
      </c>
      <c r="AE248" s="42">
        <f t="shared" si="2250"/>
        <v>1.5314493472834334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>
        <f t="shared" si="2252"/>
        <v>1</v>
      </c>
      <c r="BJ248" s="88">
        <f t="shared" si="2252"/>
        <v>4.2845528455284549</v>
      </c>
      <c r="BK248" s="88">
        <f t="shared" si="2252"/>
        <v>3.735459766216735</v>
      </c>
      <c r="BL248" s="88">
        <f t="shared" si="2252"/>
        <v>3.6558185404339247</v>
      </c>
      <c r="BM248" s="88">
        <f t="shared" si="2252"/>
        <v>3.0369502224382945</v>
      </c>
      <c r="BN248" s="88">
        <f t="shared" si="2252"/>
        <v>3.255906942929844</v>
      </c>
      <c r="BO248" s="88">
        <f t="shared" si="2252"/>
        <v>2.7725685921562211</v>
      </c>
      <c r="BP248" s="88">
        <f t="shared" si="2252"/>
        <v>2.4778383503199808</v>
      </c>
      <c r="BQ248" s="88">
        <f t="shared" si="2252"/>
        <v>2.2437263493328024</v>
      </c>
      <c r="BR248" s="88">
        <f t="shared" si="2252"/>
        <v>1.4247315165435472</v>
      </c>
      <c r="BS248" s="88">
        <f t="shared" si="2252"/>
        <v>1.4028426429261864</v>
      </c>
      <c r="BT248" s="88">
        <f t="shared" si="2252"/>
        <v>1.3835001725923366</v>
      </c>
      <c r="BU248" s="88">
        <f t="shared" si="2252"/>
        <v>1.3688706176730809</v>
      </c>
      <c r="BV248" s="88">
        <f t="shared" si="2252"/>
        <v>1.2686622912331256</v>
      </c>
      <c r="BW248" s="88">
        <f t="shared" si="2252"/>
        <v>1.2631558784468739</v>
      </c>
      <c r="BX248" s="88">
        <f t="shared" si="2252"/>
        <v>1.0398211243611586</v>
      </c>
      <c r="BY248" s="88">
        <f t="shared" si="2252"/>
        <v>1.0380229117844202</v>
      </c>
      <c r="BZ248" s="88">
        <f t="shared" si="2252"/>
        <v>1.1319407335438427</v>
      </c>
      <c r="CA248" s="88">
        <f t="shared" si="2252"/>
        <v>1.1272854553838254</v>
      </c>
      <c r="CB248" s="88">
        <f t="shared" si="2252"/>
        <v>1.2185396167788709</v>
      </c>
      <c r="CC248" s="88">
        <f t="shared" si="2252"/>
        <v>1.2080010723661718</v>
      </c>
      <c r="CD248" s="88">
        <f t="shared" si="2252"/>
        <v>1.3382869650365758</v>
      </c>
      <c r="CE248" s="88">
        <f t="shared" si="2252"/>
        <v>1.3182862331903251</v>
      </c>
      <c r="CF248" s="88">
        <f t="shared" si="2252"/>
        <v>1.2952644755766263</v>
      </c>
      <c r="CG248" s="88">
        <f t="shared" si="2252"/>
        <v>1.2776707483500753</v>
      </c>
      <c r="CH248" s="88">
        <f t="shared" si="2252"/>
        <v>1.3145134055434289</v>
      </c>
      <c r="CI248" s="88">
        <f t="shared" si="2252"/>
        <v>1.3341634734573431</v>
      </c>
      <c r="CJ248" s="88">
        <f t="shared" si="2252"/>
        <v>1.2890957571221406</v>
      </c>
      <c r="CK248" s="42">
        <f t="shared" si="2252"/>
        <v>1.2890861670474763</v>
      </c>
      <c r="CL248" s="88">
        <f t="shared" ref="CL248" si="2253">CL161/CL120</f>
        <v>1.3000333277787035</v>
      </c>
      <c r="CM248" s="42">
        <f t="shared" si="2252"/>
        <v>1.3262697243227901</v>
      </c>
      <c r="CN248" s="42">
        <f t="shared" si="2252"/>
        <v>1.3609516977226837</v>
      </c>
      <c r="CO248" s="42">
        <f t="shared" si="2252"/>
        <v>1.3760032452398587</v>
      </c>
      <c r="CP248" s="42">
        <f t="shared" si="2252"/>
        <v>1.3729235613773232</v>
      </c>
      <c r="CQ248" s="42">
        <f t="shared" si="2252"/>
        <v>1.394367202687135</v>
      </c>
      <c r="CR248" s="42">
        <f t="shared" si="2252"/>
        <v>1.4262771033935018</v>
      </c>
      <c r="CS248" s="42">
        <f t="shared" si="2252"/>
        <v>1.4386294397728758</v>
      </c>
      <c r="CT248" s="42">
        <f t="shared" si="2252"/>
        <v>1.4326284183172515</v>
      </c>
      <c r="CU248" s="42">
        <f t="shared" si="2252"/>
        <v>1.4519943430333861</v>
      </c>
      <c r="CV248" s="42">
        <f t="shared" si="2252"/>
        <v>1.4822866258278864</v>
      </c>
      <c r="CW248" s="42">
        <f t="shared" si="2252"/>
        <v>1.4928387397236049</v>
      </c>
      <c r="CX248" s="42">
        <f t="shared" ref="CX248:DB248" si="2254">CX161/CX120</f>
        <v>1.4849354729057118</v>
      </c>
      <c r="CY248" s="42">
        <f t="shared" si="2254"/>
        <v>1.5028428615443132</v>
      </c>
      <c r="CZ248" s="42">
        <f t="shared" si="2254"/>
        <v>1.5318364028829239</v>
      </c>
      <c r="DA248" s="42">
        <f t="shared" si="2254"/>
        <v>1.5409144703171054</v>
      </c>
      <c r="DB248" s="42">
        <f t="shared" si="2254"/>
        <v>1.5314493472834334</v>
      </c>
      <c r="DE248" s="125"/>
      <c r="DF248" s="88">
        <v>1.2658526216835739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>
        <f t="shared" si="2255"/>
        <v>-0.49557522123893805</v>
      </c>
      <c r="Q249" s="89">
        <f t="shared" si="2255"/>
        <v>-1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 t="e">
        <f t="shared" si="2255"/>
        <v>#DIV/0!</v>
      </c>
      <c r="X249" s="89" t="e">
        <f t="shared" si="2255"/>
        <v>#DIV/0!</v>
      </c>
      <c r="Y249" s="89" t="e">
        <f t="shared" si="2255"/>
        <v>#DIV/0!</v>
      </c>
      <c r="Z249" s="89" t="e">
        <f t="shared" si="2255"/>
        <v>#DIV/0!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 t="e">
        <f t="shared" si="2256"/>
        <v>#DIV/0!</v>
      </c>
      <c r="BX249" s="89" t="e">
        <f t="shared" si="2256"/>
        <v>#DIV/0!</v>
      </c>
      <c r="BY249" s="89" t="e">
        <f t="shared" si="2256"/>
        <v>#DIV/0!</v>
      </c>
      <c r="BZ249" s="89" t="e">
        <f t="shared" si="2256"/>
        <v>#DIV/0!</v>
      </c>
      <c r="CA249" s="89" t="e">
        <f t="shared" si="2256"/>
        <v>#DIV/0!</v>
      </c>
      <c r="CB249" s="89" t="e">
        <f t="shared" si="2256"/>
        <v>#DIV/0!</v>
      </c>
      <c r="CC249" s="89" t="e">
        <f t="shared" si="2256"/>
        <v>#DIV/0!</v>
      </c>
      <c r="CD249" s="89" t="e">
        <f t="shared" si="2256"/>
        <v>#DIV/0!</v>
      </c>
      <c r="CE249" s="89" t="e">
        <f t="shared" si="2256"/>
        <v>#DIV/0!</v>
      </c>
      <c r="CF249" s="89" t="e">
        <f t="shared" si="2256"/>
        <v>#DIV/0!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 t="e">
        <f t="shared" si="2258"/>
        <v>#DIV/0!</v>
      </c>
      <c r="L250" s="89" t="e">
        <f t="shared" si="2258"/>
        <v>#DIV/0!</v>
      </c>
      <c r="M250" s="89" t="e">
        <f t="shared" si="2258"/>
        <v>#DIV/0!</v>
      </c>
      <c r="N250" s="89" t="e">
        <f t="shared" si="2258"/>
        <v>#DIV/0!</v>
      </c>
      <c r="O250" s="89" t="e">
        <f t="shared" si="2258"/>
        <v>#DIV/0!</v>
      </c>
      <c r="P250" s="89">
        <f t="shared" si="2258"/>
        <v>2.2013971580535006</v>
      </c>
      <c r="Q250" s="89">
        <f t="shared" si="2258"/>
        <v>2.2901953977385476</v>
      </c>
      <c r="R250" s="89">
        <f t="shared" si="2258"/>
        <v>-0.44467054044480603</v>
      </c>
      <c r="S250" s="89">
        <f t="shared" si="2258"/>
        <v>3.4538915654474645E-2</v>
      </c>
      <c r="T250" s="89">
        <f t="shared" si="2258"/>
        <v>-1.2240325331234418</v>
      </c>
      <c r="U250" s="89">
        <f t="shared" si="2258"/>
        <v>8.8897411874927013</v>
      </c>
      <c r="V250" s="89">
        <f t="shared" si="2258"/>
        <v>0.94294155609631813</v>
      </c>
      <c r="W250" s="89">
        <f t="shared" si="2258"/>
        <v>-6.1894154322473804E-2</v>
      </c>
      <c r="X250" s="89">
        <f t="shared" si="2258"/>
        <v>-0.1298149074537267</v>
      </c>
      <c r="Y250" s="89">
        <f t="shared" si="2258"/>
        <v>0.23695045971562267</v>
      </c>
      <c r="Z250" s="89">
        <f t="shared" si="2258"/>
        <v>0.57772560191695921</v>
      </c>
      <c r="AA250" s="89">
        <f t="shared" si="2258"/>
        <v>1.3865935209413482E-2</v>
      </c>
      <c r="AB250" s="47">
        <f t="shared" si="2258"/>
        <v>0.1204461802201271</v>
      </c>
      <c r="AC250" s="47">
        <f t="shared" si="2258"/>
        <v>0.13063982412257391</v>
      </c>
      <c r="AD250" s="47">
        <f t="shared" si="2258"/>
        <v>0.13238576883499742</v>
      </c>
      <c r="AE250" s="47">
        <f t="shared" si="2258"/>
        <v>0.13265429776417914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>
        <f t="shared" si="2259"/>
        <v>-1.4229323308270676</v>
      </c>
      <c r="BI250" s="89">
        <f t="shared" si="2259"/>
        <v>0.22222222222222232</v>
      </c>
      <c r="BJ250" s="89">
        <f t="shared" si="2259"/>
        <v>-0.26909090909090883</v>
      </c>
      <c r="BK250" s="89">
        <f t="shared" si="2259"/>
        <v>0.82587064676616917</v>
      </c>
      <c r="BL250" s="89">
        <f t="shared" si="2259"/>
        <v>-1.0899182561308396E-2</v>
      </c>
      <c r="BM250" s="89">
        <f t="shared" si="2259"/>
        <v>0.20110192837465601</v>
      </c>
      <c r="BN250" s="89">
        <f t="shared" si="2259"/>
        <v>0.19954128440366903</v>
      </c>
      <c r="BO250" s="89">
        <f t="shared" si="2259"/>
        <v>0.4015296367112815</v>
      </c>
      <c r="BP250" s="89">
        <f t="shared" si="2259"/>
        <v>0.11459754433833558</v>
      </c>
      <c r="BQ250" s="89">
        <f t="shared" si="2259"/>
        <v>7.466340269277838E-2</v>
      </c>
      <c r="BR250" s="89">
        <f t="shared" si="2259"/>
        <v>-2.7334851936218763E-2</v>
      </c>
      <c r="BS250" s="89">
        <f t="shared" si="2259"/>
        <v>3.7470725995316423E-2</v>
      </c>
      <c r="BT250" s="89">
        <f t="shared" si="2259"/>
        <v>-6.0948081264108112E-2</v>
      </c>
      <c r="BU250" s="89">
        <f t="shared" si="2259"/>
        <v>-5.2884615384615641E-2</v>
      </c>
      <c r="BV250" s="89">
        <f t="shared" si="2259"/>
        <v>-0.27411167512690326</v>
      </c>
      <c r="BW250" s="89">
        <f t="shared" si="2259"/>
        <v>0.12237762237762184</v>
      </c>
      <c r="BX250" s="89">
        <f t="shared" si="2259"/>
        <v>4.6728971962616939E-2</v>
      </c>
      <c r="BY250" s="89">
        <f t="shared" si="2259"/>
        <v>4.464285714285765E-2</v>
      </c>
      <c r="BZ250" s="89">
        <f t="shared" si="2259"/>
        <v>-5.8404558404558271E-2</v>
      </c>
      <c r="CA250" s="89">
        <f t="shared" si="2259"/>
        <v>0.16944024205748853</v>
      </c>
      <c r="CB250" s="89">
        <f t="shared" si="2259"/>
        <v>3.4928848641655685E-2</v>
      </c>
      <c r="CC250" s="89">
        <f t="shared" si="2259"/>
        <v>7.1250000000000258E-2</v>
      </c>
      <c r="CD250" s="89">
        <f t="shared" si="2259"/>
        <v>3.1505250875145441E-2</v>
      </c>
      <c r="CE250" s="89">
        <f t="shared" si="2259"/>
        <v>0.35180995475113197</v>
      </c>
      <c r="CF250" s="89">
        <f t="shared" si="2259"/>
        <v>0.12635983263598272</v>
      </c>
      <c r="CG250" s="89">
        <f t="shared" si="2259"/>
        <v>2.7488855869242546E-2</v>
      </c>
      <c r="CH250" s="89">
        <f t="shared" si="2259"/>
        <v>-5.7122198120028722E-2</v>
      </c>
      <c r="CI250" s="89">
        <f t="shared" si="2259"/>
        <v>2.3773006134969243E-2</v>
      </c>
      <c r="CJ250" s="89">
        <f t="shared" si="2259"/>
        <v>-2.84644194756557E-2</v>
      </c>
      <c r="CK250" s="47">
        <f t="shared" si="2259"/>
        <v>3.4695451040863912E-2</v>
      </c>
      <c r="CL250" s="89">
        <f t="shared" si="2259"/>
        <v>-1.1922503725782629E-2</v>
      </c>
      <c r="CM250" s="47">
        <f t="shared" si="2259"/>
        <v>7.2228042571266249E-2</v>
      </c>
      <c r="CN250" s="47">
        <f t="shared" si="2259"/>
        <v>3.6328608661980288E-2</v>
      </c>
      <c r="CO250" s="47">
        <f t="shared" si="2259"/>
        <v>2.9715578959385036E-2</v>
      </c>
      <c r="CP250" s="47">
        <f t="shared" si="2259"/>
        <v>6.0676952905855952E-3</v>
      </c>
      <c r="CQ250" s="47">
        <f t="shared" si="2259"/>
        <v>4.2763030486609122E-2</v>
      </c>
      <c r="CR250" s="47">
        <f t="shared" si="2259"/>
        <v>4.9912752588251008E-2</v>
      </c>
      <c r="CS250" s="47">
        <f t="shared" si="2259"/>
        <v>2.9299833210991721E-2</v>
      </c>
      <c r="CT250" s="47">
        <f t="shared" si="2259"/>
        <v>6.7724701131468557E-3</v>
      </c>
      <c r="CU250" s="47">
        <f t="shared" si="2259"/>
        <v>3.901651969990283E-2</v>
      </c>
      <c r="CV250" s="47">
        <f t="shared" si="2259"/>
        <v>5.248714137046484E-2</v>
      </c>
      <c r="CW250" s="47">
        <f t="shared" si="2259"/>
        <v>2.9080400109513516E-2</v>
      </c>
      <c r="CX250" s="47">
        <f t="shared" ref="CX250:DB250" si="2260">CX28/CW28-1</f>
        <v>6.6056223910651024E-3</v>
      </c>
      <c r="CY250" s="47">
        <f t="shared" si="2260"/>
        <v>3.8619754364359382E-2</v>
      </c>
      <c r="CZ250" s="47">
        <f t="shared" si="2260"/>
        <v>5.2931988683317943E-2</v>
      </c>
      <c r="DA250" s="47">
        <f t="shared" si="2260"/>
        <v>2.8993395915186015E-2</v>
      </c>
      <c r="DB250" s="47">
        <f t="shared" si="2260"/>
        <v>6.5528713163396368E-3</v>
      </c>
      <c r="DE250" s="130"/>
      <c r="DF250" s="89">
        <v>3.8034734826633887E-2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>
        <f t="shared" si="2261"/>
        <v>0</v>
      </c>
      <c r="Q251" s="103">
        <f t="shared" si="2261"/>
        <v>0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e">
        <f t="shared" ref="W251:AE251" si="2262">IF(W249&gt;W250,"RF",0)</f>
        <v>#DIV/0!</v>
      </c>
      <c r="X251" s="103" t="e">
        <f t="shared" si="2262"/>
        <v>#DIV/0!</v>
      </c>
      <c r="Y251" s="103" t="e">
        <f t="shared" si="2262"/>
        <v>#DIV/0!</v>
      </c>
      <c r="Z251" s="103" t="e">
        <f t="shared" si="2262"/>
        <v>#DIV/0!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e">
        <f t="shared" si="2264"/>
        <v>#DIV/0!</v>
      </c>
      <c r="BX251" s="103" t="e">
        <f t="shared" si="2264"/>
        <v>#DIV/0!</v>
      </c>
      <c r="BY251" s="103" t="e">
        <f t="shared" si="2264"/>
        <v>#DIV/0!</v>
      </c>
      <c r="BZ251" s="103" t="e">
        <f t="shared" si="2264"/>
        <v>#DIV/0!</v>
      </c>
      <c r="CA251" s="103" t="e">
        <f t="shared" si="2264"/>
        <v>#DIV/0!</v>
      </c>
      <c r="CB251" s="103" t="e">
        <f t="shared" si="2264"/>
        <v>#DIV/0!</v>
      </c>
      <c r="CC251" s="103" t="e">
        <f t="shared" si="2264"/>
        <v>#DIV/0!</v>
      </c>
      <c r="CD251" s="103" t="e">
        <f t="shared" si="2264"/>
        <v>#DIV/0!</v>
      </c>
      <c r="CE251" s="103" t="e">
        <f t="shared" si="2264"/>
        <v>#DIV/0!</v>
      </c>
      <c r="CF251" s="103" t="e">
        <f t="shared" si="2264"/>
        <v>#DIV/0!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 t="e">
        <f t="shared" si="2267"/>
        <v>#DIV/0!</v>
      </c>
      <c r="N252" s="86" t="e">
        <f t="shared" si="2267"/>
        <v>#DIV/0!</v>
      </c>
      <c r="O252" s="86">
        <f t="shared" si="2267"/>
        <v>2.2910266893559341E-3</v>
      </c>
      <c r="P252" s="86">
        <f t="shared" si="2267"/>
        <v>2.6807215230133124E-3</v>
      </c>
      <c r="Q252" s="86">
        <f t="shared" si="2267"/>
        <v>0</v>
      </c>
      <c r="R252" s="86">
        <f t="shared" si="2267"/>
        <v>0</v>
      </c>
      <c r="S252" s="86">
        <f t="shared" si="2267"/>
        <v>0</v>
      </c>
      <c r="T252" s="86">
        <f t="shared" si="2267"/>
        <v>0</v>
      </c>
      <c r="U252" s="86">
        <f t="shared" si="2267"/>
        <v>5.1388893236952414E-3</v>
      </c>
      <c r="V252" s="86">
        <f t="shared" si="2267"/>
        <v>9.951281584080339E-3</v>
      </c>
      <c r="W252" s="86">
        <f t="shared" si="2267"/>
        <v>7.1693530727220851E-3</v>
      </c>
      <c r="X252" s="86">
        <f t="shared" si="2267"/>
        <v>8.2717762043598587E-3</v>
      </c>
      <c r="Y252" s="86">
        <f t="shared" si="2267"/>
        <v>7.4475151970921846E-3</v>
      </c>
      <c r="Z252" s="86">
        <f t="shared" si="2267"/>
        <v>5.3344127968284515E-3</v>
      </c>
      <c r="AA252" s="86">
        <f t="shared" ref="AA252" si="2268">AA36/AA8</f>
        <v>1.8998854077838579E-3</v>
      </c>
      <c r="AB252" s="87">
        <f t="shared" si="2267"/>
        <v>8.673641408389994E-2</v>
      </c>
      <c r="AC252" s="87">
        <f t="shared" si="2267"/>
        <v>8.9321896163244666E-2</v>
      </c>
      <c r="AD252" s="87">
        <f t="shared" si="2267"/>
        <v>9.1597201683249349E-2</v>
      </c>
      <c r="AE252" s="87">
        <f t="shared" si="2267"/>
        <v>9.3644270354569223E-2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>
        <f t="shared" si="2269"/>
        <v>0</v>
      </c>
      <c r="BH252" s="86">
        <f t="shared" si="2269"/>
        <v>0</v>
      </c>
      <c r="BI252" s="86">
        <f t="shared" si="2269"/>
        <v>0</v>
      </c>
      <c r="BJ252" s="86">
        <f t="shared" si="2269"/>
        <v>0</v>
      </c>
      <c r="BK252" s="86">
        <f t="shared" si="2269"/>
        <v>2.7155465037338763E-3</v>
      </c>
      <c r="BL252" s="86">
        <f t="shared" si="2269"/>
        <v>4.4699872286079181E-3</v>
      </c>
      <c r="BM252" s="86">
        <f t="shared" si="2269"/>
        <v>3.0321406913280777E-3</v>
      </c>
      <c r="BN252" s="86">
        <f t="shared" si="2269"/>
        <v>9.9941211052322169E-3</v>
      </c>
      <c r="BO252" s="86">
        <f t="shared" si="2269"/>
        <v>1.1757021554539518E-2</v>
      </c>
      <c r="BP252" s="86">
        <f t="shared" si="2269"/>
        <v>1.1029411764705883E-2</v>
      </c>
      <c r="BQ252" s="86">
        <f t="shared" si="2269"/>
        <v>9.2165898617511521E-3</v>
      </c>
      <c r="BR252" s="86">
        <f t="shared" si="2269"/>
        <v>8.3472454090150264E-3</v>
      </c>
      <c r="BS252" s="86">
        <f t="shared" si="2269"/>
        <v>7.709251101321586E-3</v>
      </c>
      <c r="BT252" s="86">
        <f t="shared" si="2269"/>
        <v>7.6754385964912276E-3</v>
      </c>
      <c r="BU252" s="86">
        <f t="shared" si="2269"/>
        <v>6.9112174375332274E-3</v>
      </c>
      <c r="BV252" s="86">
        <f t="shared" si="2269"/>
        <v>6.4548162859980138E-3</v>
      </c>
      <c r="BW252" s="86">
        <f t="shared" si="2269"/>
        <v>5.3428317008014248E-3</v>
      </c>
      <c r="BX252" s="86">
        <f t="shared" si="2269"/>
        <v>1.0806317539484623E-2</v>
      </c>
      <c r="BY252" s="86">
        <f t="shared" si="2269"/>
        <v>8.7509944311853632E-3</v>
      </c>
      <c r="BZ252" s="86">
        <f t="shared" si="2269"/>
        <v>7.8125E-3</v>
      </c>
      <c r="CA252" s="86">
        <f t="shared" si="2269"/>
        <v>7.7986529599432825E-3</v>
      </c>
      <c r="CB252" s="86">
        <f t="shared" si="2269"/>
        <v>7.8045469969460464E-3</v>
      </c>
      <c r="CC252" s="86">
        <f t="shared" si="2269"/>
        <v>7.2060268588273833E-3</v>
      </c>
      <c r="CD252" s="86">
        <f t="shared" si="2269"/>
        <v>6.9907848744836364E-3</v>
      </c>
      <c r="CE252" s="86">
        <f t="shared" si="2269"/>
        <v>6.0368246302444908E-3</v>
      </c>
      <c r="CF252" s="86">
        <f t="shared" si="2269"/>
        <v>5.4644808743169399E-3</v>
      </c>
      <c r="CG252" s="86">
        <f t="shared" si="2269"/>
        <v>5.0804403048264179E-3</v>
      </c>
      <c r="CH252" s="86">
        <f t="shared" si="2269"/>
        <v>4.7873838355392846E-3</v>
      </c>
      <c r="CI252" s="86">
        <f t="shared" si="2269"/>
        <v>2.6874496103198062E-3</v>
      </c>
      <c r="CJ252" s="86">
        <f t="shared" si="2269"/>
        <v>1.7902813299232735E-3</v>
      </c>
      <c r="CK252" s="87">
        <f t="shared" si="2269"/>
        <v>1.7430278884462149E-3</v>
      </c>
      <c r="CL252" s="86">
        <f t="shared" ref="CL252" si="2270">CL36/CL8</f>
        <v>1.4840465001236705E-3</v>
      </c>
      <c r="CM252" s="87">
        <f t="shared" si="2269"/>
        <v>8.5398943737699143E-2</v>
      </c>
      <c r="CN252" s="87">
        <f t="shared" si="2269"/>
        <v>8.4890856565558295E-2</v>
      </c>
      <c r="CO252" s="87">
        <f t="shared" si="2269"/>
        <v>8.6891632450884923E-2</v>
      </c>
      <c r="CP252" s="87">
        <f t="shared" si="2269"/>
        <v>8.9591524707299378E-2</v>
      </c>
      <c r="CQ252" s="87">
        <f t="shared" si="2269"/>
        <v>8.8261122876281628E-2</v>
      </c>
      <c r="CR252" s="87">
        <f t="shared" si="2269"/>
        <v>8.7443150093327746E-2</v>
      </c>
      <c r="CS252" s="87">
        <f t="shared" si="2269"/>
        <v>8.9367146652194307E-2</v>
      </c>
      <c r="CT252" s="87">
        <f t="shared" si="2269"/>
        <v>9.206365026831434E-2</v>
      </c>
      <c r="CU252" s="87">
        <f t="shared" si="2269"/>
        <v>9.0670150325887947E-2</v>
      </c>
      <c r="CV252" s="87">
        <f t="shared" si="2269"/>
        <v>8.9711289334620234E-2</v>
      </c>
      <c r="CW252" s="87">
        <f t="shared" si="2269"/>
        <v>9.1584261748243023E-2</v>
      </c>
      <c r="CX252" s="87">
        <f t="shared" ref="CX252:DB252" si="2271">CX36/CX8</f>
        <v>9.4281005536070356E-2</v>
      </c>
      <c r="CY252" s="87">
        <f t="shared" si="2271"/>
        <v>9.2817814424330305E-2</v>
      </c>
      <c r="CZ252" s="87">
        <f t="shared" si="2271"/>
        <v>9.175773766775952E-2</v>
      </c>
      <c r="DA252" s="87">
        <f t="shared" si="2271"/>
        <v>9.3585752601083302E-2</v>
      </c>
      <c r="DB252" s="87">
        <f t="shared" si="2271"/>
        <v>9.628171906705342E-2</v>
      </c>
      <c r="DE252" s="141"/>
      <c r="DF252" s="86">
        <v>-0.36610208295968572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 t="e">
        <f t="shared" si="2272"/>
        <v>#DIV/0!</v>
      </c>
      <c r="N253" s="86" t="e">
        <f t="shared" si="2272"/>
        <v>#DIV/0!</v>
      </c>
      <c r="O253" s="86">
        <f t="shared" si="2272"/>
        <v>1.6442352317178281E-2</v>
      </c>
      <c r="P253" s="86">
        <f t="shared" si="2272"/>
        <v>1.7157753646235629E-2</v>
      </c>
      <c r="Q253" s="86">
        <f t="shared" si="2272"/>
        <v>1.498252310246467E-2</v>
      </c>
      <c r="R253" s="86">
        <f t="shared" si="2272"/>
        <v>1.4576901653118833E-2</v>
      </c>
      <c r="S253" s="86">
        <f t="shared" si="2272"/>
        <v>7.0278776540286664E-3</v>
      </c>
      <c r="T253" s="86">
        <f t="shared" si="2272"/>
        <v>8.1333498877648961E-3</v>
      </c>
      <c r="U253" s="86">
        <f t="shared" si="2272"/>
        <v>3.3098329195716078E-2</v>
      </c>
      <c r="V253" s="86">
        <f t="shared" si="2272"/>
        <v>2.3993297110648456E-2</v>
      </c>
      <c r="W253" s="86">
        <f t="shared" si="2272"/>
        <v>1.585433021228027E-2</v>
      </c>
      <c r="X253" s="86">
        <f t="shared" si="2272"/>
        <v>3.1535449092195141E-2</v>
      </c>
      <c r="Y253" s="86">
        <f t="shared" si="2272"/>
        <v>3.0466044160347597E-2</v>
      </c>
      <c r="Z253" s="86">
        <f t="shared" si="2272"/>
        <v>2.3728989357104581E-2</v>
      </c>
      <c r="AA253" s="86">
        <f t="shared" ref="AA253" si="2273">AA32/AA8</f>
        <v>1.8130808480588793E-2</v>
      </c>
      <c r="AB253" s="87">
        <f t="shared" si="2272"/>
        <v>9.7923300985065468E-3</v>
      </c>
      <c r="AC253" s="87">
        <f t="shared" si="2272"/>
        <v>2.1914352582598014E-3</v>
      </c>
      <c r="AD253" s="87">
        <f t="shared" si="2272"/>
        <v>4.9038639969680234E-4</v>
      </c>
      <c r="AE253" s="87">
        <f t="shared" si="2272"/>
        <v>1.0973445493456859E-4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>
        <f t="shared" si="2274"/>
        <v>6.1782877316857894E-3</v>
      </c>
      <c r="BH253" s="86">
        <f t="shared" si="2274"/>
        <v>8.1632653061224497E-3</v>
      </c>
      <c r="BI253" s="86">
        <f t="shared" si="2274"/>
        <v>8.9820359281437123E-3</v>
      </c>
      <c r="BJ253" s="86">
        <f t="shared" si="2274"/>
        <v>8.6956521739130436E-3</v>
      </c>
      <c r="BK253" s="86">
        <f t="shared" si="2274"/>
        <v>2.9871011541072641E-2</v>
      </c>
      <c r="BL253" s="86">
        <f t="shared" si="2274"/>
        <v>3.1928480204342274E-2</v>
      </c>
      <c r="BM253" s="86">
        <f t="shared" si="2274"/>
        <v>3.51728320194057E-2</v>
      </c>
      <c r="BN253" s="86">
        <f t="shared" si="2274"/>
        <v>3.4685479129923577E-2</v>
      </c>
      <c r="BO253" s="86">
        <f t="shared" si="2274"/>
        <v>2.873938602220771E-2</v>
      </c>
      <c r="BP253" s="86">
        <f t="shared" si="2274"/>
        <v>2.6960784313725495E-2</v>
      </c>
      <c r="BQ253" s="86">
        <f t="shared" si="2274"/>
        <v>2.1889400921658985E-2</v>
      </c>
      <c r="BR253" s="86">
        <f t="shared" si="2274"/>
        <v>1.9476905954368393E-2</v>
      </c>
      <c r="BS253" s="86">
        <f t="shared" si="2274"/>
        <v>1.7621145374449341E-2</v>
      </c>
      <c r="BT253" s="86">
        <f t="shared" si="2274"/>
        <v>1.5350877192982455E-2</v>
      </c>
      <c r="BU253" s="86">
        <f t="shared" si="2274"/>
        <v>1.5948963317384369E-2</v>
      </c>
      <c r="BV253" s="86">
        <f t="shared" si="2274"/>
        <v>1.4399205561072492E-2</v>
      </c>
      <c r="BW253" s="86">
        <f t="shared" si="2274"/>
        <v>2.8049866429207478E-2</v>
      </c>
      <c r="BX253" s="86">
        <f t="shared" si="2274"/>
        <v>3.1587697423108893E-2</v>
      </c>
      <c r="BY253" s="86">
        <f t="shared" si="2274"/>
        <v>3.4208432776451865E-2</v>
      </c>
      <c r="BZ253" s="86">
        <f t="shared" si="2274"/>
        <v>3.1994047619047616E-2</v>
      </c>
      <c r="CA253" s="86">
        <f t="shared" si="2274"/>
        <v>2.6231832683445585E-2</v>
      </c>
      <c r="CB253" s="86">
        <f t="shared" si="2274"/>
        <v>2.7146250424160166E-2</v>
      </c>
      <c r="CC253" s="86">
        <f t="shared" si="2274"/>
        <v>2.7513920733704553E-2</v>
      </c>
      <c r="CD253" s="86">
        <f t="shared" si="2274"/>
        <v>4.0355894502700981E-2</v>
      </c>
      <c r="CE253" s="86">
        <f t="shared" si="2274"/>
        <v>2.444913975249019E-2</v>
      </c>
      <c r="CF253" s="86">
        <f t="shared" si="2274"/>
        <v>2.358354903652574E-2</v>
      </c>
      <c r="CG253" s="86">
        <f t="shared" si="2274"/>
        <v>2.3426474738921819E-2</v>
      </c>
      <c r="CH253" s="86">
        <f t="shared" si="2274"/>
        <v>2.337369754998592E-2</v>
      </c>
      <c r="CI253" s="86">
        <f t="shared" si="2274"/>
        <v>1.8543402311206665E-2</v>
      </c>
      <c r="CJ253" s="86">
        <f t="shared" si="2274"/>
        <v>1.8414322250639388E-2</v>
      </c>
      <c r="CK253" s="87">
        <f t="shared" si="2274"/>
        <v>1.8177290836653384E-2</v>
      </c>
      <c r="CL253" s="86">
        <f t="shared" ref="CL253" si="2275">CL32/CL8</f>
        <v>1.7313875834776157E-2</v>
      </c>
      <c r="CM253" s="87">
        <f t="shared" si="2274"/>
        <v>1.6096219168781865E-2</v>
      </c>
      <c r="CN253" s="87">
        <f t="shared" si="2274"/>
        <v>1.0852618235903869E-2</v>
      </c>
      <c r="CO253" s="87">
        <f t="shared" si="2274"/>
        <v>7.4854198794911796E-3</v>
      </c>
      <c r="CP253" s="87">
        <f t="shared" si="2274"/>
        <v>5.2758755103427899E-3</v>
      </c>
      <c r="CQ253" s="87">
        <f t="shared" si="2274"/>
        <v>3.6037945452852839E-3</v>
      </c>
      <c r="CR253" s="87">
        <f t="shared" si="2274"/>
        <v>2.4286460765839636E-3</v>
      </c>
      <c r="CS253" s="87">
        <f t="shared" si="2274"/>
        <v>1.674751813852682E-3</v>
      </c>
      <c r="CT253" s="87">
        <f t="shared" si="2274"/>
        <v>1.1805371153976122E-3</v>
      </c>
      <c r="CU253" s="87">
        <f t="shared" si="2274"/>
        <v>8.0650361876766783E-4</v>
      </c>
      <c r="CV253" s="87">
        <f t="shared" si="2274"/>
        <v>5.4345436023712048E-4</v>
      </c>
      <c r="CW253" s="87">
        <f t="shared" si="2274"/>
        <v>3.7474995573452338E-4</v>
      </c>
      <c r="CX253" s="87">
        <f t="shared" ref="CX253:DB253" si="2276">CX32/CX8</f>
        <v>2.6417090916170657E-4</v>
      </c>
      <c r="CY253" s="87">
        <f t="shared" si="2276"/>
        <v>1.8047486497460764E-4</v>
      </c>
      <c r="CZ253" s="87">
        <f t="shared" si="2276"/>
        <v>1.216086620192804E-4</v>
      </c>
      <c r="DA253" s="87">
        <f t="shared" si="2276"/>
        <v>8.3857839533808825E-5</v>
      </c>
      <c r="DB253" s="87">
        <f t="shared" si="2276"/>
        <v>5.9113926379131325E-5</v>
      </c>
      <c r="DE253" s="141"/>
      <c r="DF253" s="86">
        <v>1.3995394231695643E-2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290269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Indiamart Intermesh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113.3</v>
      </c>
      <c r="AB6">
        <f>_xll.EQNXTDZ($A$1,$B6,AB$1,$B$1)</f>
        <v>122.5</v>
      </c>
      <c r="AC6">
        <f>_xll.EQNXTDZ($A$1,$B6,AC$1,$B$1)</f>
        <v>133.6</v>
      </c>
      <c r="AD6">
        <f>_xll.EQNXTDZ($A$1,$B6,AD$1,$B$1)</f>
        <v>138</v>
      </c>
      <c r="AE6">
        <f>_xll.EQNXTDZ($A$1,$B6,AE$1,$B$1)</f>
        <v>147.30000000000001</v>
      </c>
      <c r="AF6">
        <f>_xll.EQNXTDZ($A$1,$B6,AF$1,$B$1)</f>
        <v>156.6</v>
      </c>
      <c r="AG6">
        <f>_xll.EQNXTDZ($A$1,$B6,AG$1,$B$1)</f>
        <v>164.9</v>
      </c>
      <c r="AH6">
        <f>_xll.EQNXTDZ($A$1,$B6,AH$1,$B$1)</f>
        <v>170.1</v>
      </c>
      <c r="AI6">
        <f>_xll.EQNXTDZ($A$1,$B6,AI$1,$B$1)</f>
        <v>153.1</v>
      </c>
      <c r="AJ6">
        <f>_xll.EQNXTDZ($A$1,$B6,AJ$1,$B$1)</f>
        <v>163.19999999999999</v>
      </c>
      <c r="AK6">
        <f>_xll.EQNXTDZ($A$1,$B6,AK$1,$B$1)</f>
        <v>173.6</v>
      </c>
      <c r="AL6">
        <f>_xll.EQNXTDZ($A$1,$B6,AL$1,$B$1)</f>
        <v>179.7</v>
      </c>
      <c r="AM6">
        <f>_xll.EQNXTDZ($A$1,$B6,AM$1,$B$1)</f>
        <v>181.6</v>
      </c>
      <c r="AN6">
        <f>_xll.EQNXTDZ($A$1,$B6,AN$1,$B$1)</f>
        <v>182.4</v>
      </c>
      <c r="AO6">
        <f>_xll.EQNXTDZ($A$1,$B6,AO$1,$B$1)</f>
        <v>188.1</v>
      </c>
      <c r="AP6">
        <f>_xll.EQNXTDZ($A$1,$B6,AP$1,$B$1)</f>
        <v>201.4</v>
      </c>
      <c r="AQ6">
        <f>_xll.EQNXTDZ($A$1,$B6,AQ$1,$B$1)</f>
        <v>224.6</v>
      </c>
      <c r="AR6">
        <f>_xll.EQNXTDZ($A$1,$B6,AR$1,$B$1)</f>
        <v>240.6</v>
      </c>
      <c r="AS6">
        <f>_xll.EQNXTDZ($A$1,$B6,AS$1,$B$1)</f>
        <v>251.4</v>
      </c>
      <c r="AT6">
        <f>_xll.EQNXTDZ($A$1,$B6,AT$1,$B$1)</f>
        <v>268.8</v>
      </c>
      <c r="AU6">
        <f>_xll.EQNXTDZ($A$1,$B6,AU$1,$B$1)</f>
        <v>282.10000000000002</v>
      </c>
      <c r="AV6">
        <f>_xll.EQNXTDZ($A$1,$B6,AV$1,$B$1)</f>
        <v>294.7</v>
      </c>
      <c r="AW6">
        <f>_xll.EQNXTDZ($A$1,$B6,AW$1,$B$1)</f>
        <v>305.3</v>
      </c>
      <c r="AX6">
        <f>_xll.EQNXTDZ($A$1,$B6,AX$1,$B$1)</f>
        <v>314.7</v>
      </c>
      <c r="AY6">
        <f>_xll.EQNXTDZ($A$1,$B6,AY$1,$B$1)</f>
        <v>331.3</v>
      </c>
      <c r="AZ6">
        <f>_xll.EQNXTDZ($A$1,$B6,AZ$1,$B$1)</f>
        <v>347.7</v>
      </c>
      <c r="BA6">
        <f>_xll.EQNXTDZ($A$1,$B6,BA$1,$B$1)</f>
        <v>354.3</v>
      </c>
      <c r="BB6">
        <f>_xll.EQNXTDZ($A$1,$B6,BB$1,$B$1)</f>
        <v>355.1</v>
      </c>
      <c r="BC6">
        <f>_xll.EQNXTDZ($A$1,$B6,BC$1,$B$1)</f>
        <v>372.1</v>
      </c>
      <c r="BD6">
        <f>_xll.EQNXTDZ($A$1,$B6,BD$1,$B$1)</f>
        <v>391</v>
      </c>
      <c r="BE6">
        <f>_xll.EQNXTDZ($A$1,$B6,BE$1,$B$1)</f>
        <v>401.6</v>
      </c>
      <c r="BF6">
        <f>_xll.EQNXTDZ($A$1,$B6,BF$1,$B$1)</f>
        <v>404.3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113.3</v>
      </c>
      <c r="AB9">
        <f>_xll.EQNXTDZ($A$1,$B9,AB$1,$B$1)</f>
        <v>122.5</v>
      </c>
      <c r="AC9">
        <f>_xll.EQNXTDZ($A$1,$B9,AC$1,$B$1)</f>
        <v>133.6</v>
      </c>
      <c r="AD9">
        <f>_xll.EQNXTDZ($A$1,$B9,AD$1,$B$1)</f>
        <v>138</v>
      </c>
      <c r="AE9">
        <f>_xll.EQNXTDZ($A$1,$B9,AE$1,$B$1)</f>
        <v>147.30000000000001</v>
      </c>
      <c r="AF9">
        <f>_xll.EQNXTDZ($A$1,$B9,AF$1,$B$1)</f>
        <v>156.6</v>
      </c>
      <c r="AG9">
        <f>_xll.EQNXTDZ($A$1,$B9,AG$1,$B$1)</f>
        <v>164.9</v>
      </c>
      <c r="AH9">
        <f>_xll.EQNXTDZ($A$1,$B9,AH$1,$B$1)</f>
        <v>170.1</v>
      </c>
      <c r="AI9">
        <f>_xll.EQNXTDZ($A$1,$B9,AI$1,$B$1)</f>
        <v>153.1</v>
      </c>
      <c r="AJ9">
        <f>_xll.EQNXTDZ($A$1,$B9,AJ$1,$B$1)</f>
        <v>163.19999999999999</v>
      </c>
      <c r="AK9">
        <f>_xll.EQNXTDZ($A$1,$B9,AK$1,$B$1)</f>
        <v>173.6</v>
      </c>
      <c r="AL9">
        <f>_xll.EQNXTDZ($A$1,$B9,AL$1,$B$1)</f>
        <v>179.7</v>
      </c>
      <c r="AM9">
        <f>_xll.EQNXTDZ($A$1,$B9,AM$1,$B$1)</f>
        <v>181.6</v>
      </c>
      <c r="AN9">
        <f>_xll.EQNXTDZ($A$1,$B9,AN$1,$B$1)</f>
        <v>182.4</v>
      </c>
      <c r="AO9">
        <f>_xll.EQNXTDZ($A$1,$B9,AO$1,$B$1)</f>
        <v>188.1</v>
      </c>
      <c r="AP9">
        <f>_xll.EQNXTDZ($A$1,$B9,AP$1,$B$1)</f>
        <v>201.4</v>
      </c>
      <c r="AQ9">
        <f>_xll.EQNXTDZ($A$1,$B9,AQ$1,$B$1)</f>
        <v>224.6</v>
      </c>
      <c r="AR9">
        <f>_xll.EQNXTDZ($A$1,$B9,AR$1,$B$1)</f>
        <v>240.6</v>
      </c>
      <c r="AS9">
        <f>_xll.EQNXTDZ($A$1,$B9,AS$1,$B$1)</f>
        <v>251.4</v>
      </c>
      <c r="AT9">
        <f>_xll.EQNXTDZ($A$1,$B9,AT$1,$B$1)</f>
        <v>268.8</v>
      </c>
      <c r="AU9">
        <f>_xll.EQNXTDZ($A$1,$B9,AU$1,$B$1)</f>
        <v>282.10000000000002</v>
      </c>
      <c r="AV9">
        <f>_xll.EQNXTDZ($A$1,$B9,AV$1,$B$1)</f>
        <v>294.7</v>
      </c>
      <c r="AW9">
        <f>_xll.EQNXTDZ($A$1,$B9,AW$1,$B$1)</f>
        <v>305.3</v>
      </c>
      <c r="AX9">
        <f>_xll.EQNXTDZ($A$1,$B9,AX$1,$B$1)</f>
        <v>314.7</v>
      </c>
      <c r="AY9">
        <f>_xll.EQNXTDZ($A$1,$B9,AY$1,$B$1)</f>
        <v>331.3</v>
      </c>
      <c r="AZ9">
        <f>_xll.EQNXTDZ($A$1,$B9,AZ$1,$B$1)</f>
        <v>347.7</v>
      </c>
      <c r="BA9">
        <f>_xll.EQNXTDZ($A$1,$B9,BA$1,$B$1)</f>
        <v>354.3</v>
      </c>
      <c r="BB9">
        <f>_xll.EQNXTDZ($A$1,$B9,BB$1,$B$1)</f>
        <v>355.1</v>
      </c>
      <c r="BC9">
        <f>_xll.EQNXTDZ($A$1,$B9,BC$1,$B$1)</f>
        <v>372.1</v>
      </c>
      <c r="BD9">
        <f>_xll.EQNXTDZ($A$1,$B9,BD$1,$B$1)</f>
        <v>391</v>
      </c>
      <c r="BE9">
        <f>_xll.EQNXTDZ($A$1,$B9,BE$1,$B$1)</f>
        <v>401.6</v>
      </c>
      <c r="BF9">
        <f>_xll.EQNXTDZ($A$1,$B9,BF$1,$B$1)</f>
        <v>404.3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0.1</v>
      </c>
      <c r="AT10">
        <f>_xll.EQNXTDZ($A$1,$B10,AT$1,$B$1)</f>
        <v>-0.1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0.1</v>
      </c>
      <c r="AR12">
        <f>_xll.EQNXTDZ($A$1,$B12,AR$1,$B$1)</f>
        <v>0.1</v>
      </c>
      <c r="AS12">
        <f>_xll.EQNXTDZ($A$1,$B12,AS$1,$B$1)</f>
        <v>0</v>
      </c>
      <c r="AT12">
        <f>_xll.EQNXTDZ($A$1,$B12,AT$1,$B$1)</f>
        <v>-0.2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48</v>
      </c>
      <c r="AB14">
        <f>_xll.EQNXTDZ($A$1,$B14,AB$1,$B$1)</f>
        <v>48.8</v>
      </c>
      <c r="AC14">
        <f>_xll.EQNXTDZ($A$1,$B14,AC$1,$B$1)</f>
        <v>48.6</v>
      </c>
      <c r="AD14">
        <f>_xll.EQNXTDZ($A$1,$B14,AD$1,$B$1)</f>
        <v>49.8</v>
      </c>
      <c r="AE14">
        <f>_xll.EQNXTDZ($A$1,$B14,AE$1,$B$1)</f>
        <v>49.9</v>
      </c>
      <c r="AF14">
        <f>_xll.EQNXTDZ($A$1,$B14,AF$1,$B$1)</f>
        <v>51.5</v>
      </c>
      <c r="AG14">
        <f>_xll.EQNXTDZ($A$1,$B14,AG$1,$B$1)</f>
        <v>50.5</v>
      </c>
      <c r="AH14">
        <f>_xll.EQNXTDZ($A$1,$B14,AH$1,$B$1)</f>
        <v>51.4</v>
      </c>
      <c r="AI14">
        <f>_xll.EQNXTDZ($A$1,$B14,AI$1,$B$1)</f>
        <v>32.299999999999997</v>
      </c>
      <c r="AJ14">
        <f>_xll.EQNXTDZ($A$1,$B14,AJ$1,$B$1)</f>
        <v>32.6</v>
      </c>
      <c r="AK14">
        <f>_xll.EQNXTDZ($A$1,$B14,AK$1,$B$1)</f>
        <v>34.1</v>
      </c>
      <c r="AL14">
        <f>_xll.EQNXTDZ($A$1,$B14,AL$1,$B$1)</f>
        <v>37.200000000000003</v>
      </c>
      <c r="AM14">
        <f>_xll.EQNXTDZ($A$1,$B14,AM$1,$B$1)</f>
        <v>37.9</v>
      </c>
      <c r="AN14">
        <f>_xll.EQNXTDZ($A$1,$B14,AN$1,$B$1)</f>
        <v>38.9</v>
      </c>
      <c r="AO14">
        <f>_xll.EQNXTDZ($A$1,$B14,AO$1,$B$1)</f>
        <v>44.5</v>
      </c>
      <c r="AP14">
        <f>_xll.EQNXTDZ($A$1,$B14,AP$1,$B$1)</f>
        <v>56.8</v>
      </c>
      <c r="AQ14">
        <f>_xll.EQNXTDZ($A$1,$B14,AQ$1,$B$1)</f>
        <v>67.8</v>
      </c>
      <c r="AR14">
        <f>_xll.EQNXTDZ($A$1,$B14,AR$1,$B$1)</f>
        <v>72.8</v>
      </c>
      <c r="AS14">
        <f>_xll.EQNXTDZ($A$1,$B14,AS$1,$B$1)</f>
        <v>72.8</v>
      </c>
      <c r="AT14">
        <f>_xll.EQNXTDZ($A$1,$B14,AT$1,$B$1)</f>
        <v>79.5</v>
      </c>
      <c r="AU14">
        <f>_xll.EQNXTDZ($A$1,$B14,AU$1,$B$1)</f>
        <v>80.5</v>
      </c>
      <c r="AV14">
        <f>_xll.EQNXTDZ($A$1,$B14,AV$1,$B$1)</f>
        <v>82.3</v>
      </c>
      <c r="AW14">
        <f>_xll.EQNXTDZ($A$1,$B14,AW$1,$B$1)</f>
        <v>81.099999999999994</v>
      </c>
      <c r="AX14">
        <f>_xll.EQNXTDZ($A$1,$B14,AX$1,$B$1)</f>
        <v>77.400000000000006</v>
      </c>
      <c r="AY14">
        <f>_xll.EQNXTDZ($A$1,$B14,AY$1,$B$1)</f>
        <v>68.599999999999994</v>
      </c>
      <c r="AZ14">
        <f>_xll.EQNXTDZ($A$1,$B14,AZ$1,$B$1)</f>
        <v>65.7</v>
      </c>
      <c r="BA14">
        <f>_xll.EQNXTDZ($A$1,$B14,BA$1,$B$1)</f>
        <v>63</v>
      </c>
      <c r="BB14">
        <f>_xll.EQNXTDZ($A$1,$B14,BB$1,$B$1)</f>
        <v>67.3</v>
      </c>
      <c r="BC14">
        <f>_xll.EQNXTDZ($A$1,$B14,BC$1,$B$1)</f>
        <v>77.599999999999994</v>
      </c>
      <c r="BD14">
        <f>_xll.EQNXTDZ($A$1,$B14,BD$1,$B$1)</f>
        <v>89.8</v>
      </c>
      <c r="BE14">
        <f>_xll.EQNXTDZ($A$1,$B14,BE$1,$B$1)</f>
        <v>85.1</v>
      </c>
      <c r="BF14">
        <f>_xll.EQNXTDZ($A$1,$B14,BF$1,$B$1)</f>
        <v>93.7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53.2</v>
      </c>
      <c r="AB16">
        <f>_xll.EQNXTDZ($A$1,$B16,AB$1,$B$1)</f>
        <v>51.2</v>
      </c>
      <c r="AC16">
        <f>_xll.EQNXTDZ($A$1,$B16,AC$1,$B$1)</f>
        <v>57.5</v>
      </c>
      <c r="AD16">
        <f>_xll.EQNXTDZ($A$1,$B16,AD$1,$B$1)</f>
        <v>68.099999999999994</v>
      </c>
      <c r="AE16">
        <f>_xll.EQNXTDZ($A$1,$B16,AE$1,$B$1)</f>
        <v>60.7</v>
      </c>
      <c r="AF16">
        <f>_xll.EQNXTDZ($A$1,$B16,AF$1,$B$1)</f>
        <v>68.8</v>
      </c>
      <c r="AG16">
        <f>_xll.EQNXTDZ($A$1,$B16,AG$1,$B$1)</f>
        <v>70.8</v>
      </c>
      <c r="AH16">
        <f>_xll.EQNXTDZ($A$1,$B16,AH$1,$B$1)</f>
        <v>66.400000000000006</v>
      </c>
      <c r="AI16">
        <f>_xll.EQNXTDZ($A$1,$B16,AI$1,$B$1)</f>
        <v>47.5</v>
      </c>
      <c r="AJ16">
        <f>_xll.EQNXTDZ($A$1,$B16,AJ$1,$B$1)</f>
        <v>48.9</v>
      </c>
      <c r="AK16">
        <f>_xll.EQNXTDZ($A$1,$B16,AK$1,$B$1)</f>
        <v>51.7</v>
      </c>
      <c r="AL16">
        <f>_xll.EQNXTDZ($A$1,$B16,AL$1,$B$1)</f>
        <v>57.1</v>
      </c>
      <c r="AM16">
        <f>_xll.EQNXTDZ($A$1,$B16,AM$1,$B$1)</f>
        <v>55.1</v>
      </c>
      <c r="AN16">
        <f>_xll.EQNXTDZ($A$1,$B16,AN$1,$B$1)</f>
        <v>60.3</v>
      </c>
      <c r="AO16">
        <f>_xll.EQNXTDZ($A$1,$B16,AO$1,$B$1)</f>
        <v>64.8</v>
      </c>
      <c r="AP16">
        <f>_xll.EQNXTDZ($A$1,$B16,AP$1,$B$1)</f>
        <v>87.4</v>
      </c>
      <c r="AQ16">
        <f>_xll.EQNXTDZ($A$1,$B16,AQ$1,$B$1)</f>
        <v>92.5</v>
      </c>
      <c r="AR16">
        <f>_xll.EQNXTDZ($A$1,$B16,AR$1,$B$1)</f>
        <v>100.5</v>
      </c>
      <c r="AS16">
        <f>_xll.EQNXTDZ($A$1,$B16,AS$1,$B$1)</f>
        <v>108.3</v>
      </c>
      <c r="AT16">
        <f>_xll.EQNXTDZ($A$1,$B16,AT$1,$B$1)</f>
        <v>123.5</v>
      </c>
      <c r="AU16">
        <f>_xll.EQNXTDZ($A$1,$B16,AU$1,$B$1)</f>
        <v>124.3</v>
      </c>
      <c r="AV16">
        <f>_xll.EQNXTDZ($A$1,$B16,AV$1,$B$1)</f>
        <v>132.4</v>
      </c>
      <c r="AW16">
        <f>_xll.EQNXTDZ($A$1,$B16,AW$1,$B$1)</f>
        <v>138.5</v>
      </c>
      <c r="AX16">
        <f>_xll.EQNXTDZ($A$1,$B16,AX$1,$B$1)</f>
        <v>148.9</v>
      </c>
      <c r="AY16">
        <f>_xll.EQNXTDZ($A$1,$B16,AY$1,$B$1)</f>
        <v>143.19999999999999</v>
      </c>
      <c r="AZ16">
        <f>_xll.EQNXTDZ($A$1,$B16,AZ$1,$B$1)</f>
        <v>147.4</v>
      </c>
      <c r="BA16">
        <f>_xll.EQNXTDZ($A$1,$B16,BA$1,$B$1)</f>
        <v>153</v>
      </c>
      <c r="BB16">
        <f>_xll.EQNXTDZ($A$1,$B16,BB$1,$B$1)</f>
        <v>157.4</v>
      </c>
      <c r="BC16">
        <f>_xll.EQNXTDZ($A$1,$B16,BC$1,$B$1)</f>
        <v>161</v>
      </c>
      <c r="BD16">
        <f>_xll.EQNXTDZ($A$1,$B16,BD$1,$B$1)</f>
        <v>171.5</v>
      </c>
      <c r="BE16">
        <f>_xll.EQNXTDZ($A$1,$B16,BE$1,$B$1)</f>
        <v>182.3</v>
      </c>
      <c r="BF16">
        <f>_xll.EQNXTDZ($A$1,$B16,BF$1,$B$1)</f>
        <v>178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65.3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-53.2</v>
      </c>
      <c r="AB22">
        <f>_xll.EQNXTDZ($A$1,$B22,AB$1,$B$1)</f>
        <v>22.5</v>
      </c>
      <c r="AC22">
        <f>_xll.EQNXTDZ($A$1,$B22,AC$1,$B$1)</f>
        <v>27.5</v>
      </c>
      <c r="AD22">
        <f>_xll.EQNXTDZ($A$1,$B22,AD$1,$B$1)</f>
        <v>20.100000000000001</v>
      </c>
      <c r="AE22">
        <f>_xll.EQNXTDZ($A$1,$B22,AE$1,$B$1)</f>
        <v>36.700000000000003</v>
      </c>
      <c r="AF22">
        <f>_xll.EQNXTDZ($A$1,$B22,AF$1,$B$1)</f>
        <v>36.299999999999997</v>
      </c>
      <c r="AG22">
        <f>_xll.EQNXTDZ($A$1,$B22,AG$1,$B$1)</f>
        <v>43.6</v>
      </c>
      <c r="AH22">
        <f>_xll.EQNXTDZ($A$1,$B22,AH$1,$B$1)</f>
        <v>52.3</v>
      </c>
      <c r="AI22">
        <f>_xll.EQNXTDZ($A$1,$B22,AI$1,$B$1)</f>
        <v>73.3</v>
      </c>
      <c r="AJ22">
        <f>_xll.EQNXTDZ($A$1,$B22,AJ$1,$B$1)</f>
        <v>81.7</v>
      </c>
      <c r="AK22">
        <f>_xll.EQNXTDZ($A$1,$B22,AK$1,$B$1)</f>
        <v>87.8</v>
      </c>
      <c r="AL22">
        <f>_xll.EQNXTDZ($A$1,$B22,AL$1,$B$1)</f>
        <v>85.4</v>
      </c>
      <c r="AM22">
        <f>_xll.EQNXTDZ($A$1,$B22,AM$1,$B$1)</f>
        <v>88.6</v>
      </c>
      <c r="AN22">
        <f>_xll.EQNXTDZ($A$1,$B22,AN$1,$B$1)</f>
        <v>83.2</v>
      </c>
      <c r="AO22">
        <f>_xll.EQNXTDZ($A$1,$B22,AO$1,$B$1)</f>
        <v>78.8</v>
      </c>
      <c r="AP22">
        <f>_xll.EQNXTDZ($A$1,$B22,AP$1,$B$1)</f>
        <v>57.2</v>
      </c>
      <c r="AQ22">
        <f>_xll.EQNXTDZ($A$1,$B22,AQ$1,$B$1)</f>
        <v>64.2</v>
      </c>
      <c r="AR22">
        <f>_xll.EQNXTDZ($A$1,$B22,AR$1,$B$1)</f>
        <v>67.2</v>
      </c>
      <c r="AS22">
        <f>_xll.EQNXTDZ($A$1,$B22,AS$1,$B$1)</f>
        <v>70.2</v>
      </c>
      <c r="AT22">
        <f>_xll.EQNXTDZ($A$1,$B22,AT$1,$B$1)</f>
        <v>66.099999999999994</v>
      </c>
      <c r="AU22">
        <f>_xll.EQNXTDZ($A$1,$B22,AU$1,$B$1)</f>
        <v>77.3</v>
      </c>
      <c r="AV22">
        <f>_xll.EQNXTDZ($A$1,$B22,AV$1,$B$1)</f>
        <v>80</v>
      </c>
      <c r="AW22">
        <f>_xll.EQNXTDZ($A$1,$B22,AW$1,$B$1)</f>
        <v>85.7</v>
      </c>
      <c r="AX22">
        <f>_xll.EQNXTDZ($A$1,$B22,AX$1,$B$1)</f>
        <v>88.4</v>
      </c>
      <c r="AY22">
        <f>_xll.EQNXTDZ($A$1,$B22,AY$1,$B$1)</f>
        <v>119.5</v>
      </c>
      <c r="AZ22">
        <f>_xll.EQNXTDZ($A$1,$B22,AZ$1,$B$1)</f>
        <v>134.6</v>
      </c>
      <c r="BA22">
        <f>_xll.EQNXTDZ($A$1,$B22,BA$1,$B$1)</f>
        <v>138.30000000000001</v>
      </c>
      <c r="BB22">
        <f>_xll.EQNXTDZ($A$1,$B22,BB$1,$B$1)</f>
        <v>130.4</v>
      </c>
      <c r="BC22">
        <f>_xll.EQNXTDZ($A$1,$B22,BC$1,$B$1)</f>
        <v>133.5</v>
      </c>
      <c r="BD22">
        <f>_xll.EQNXTDZ($A$1,$B22,BD$1,$B$1)</f>
        <v>129.69999999999999</v>
      </c>
      <c r="BE22">
        <f>_xll.EQNXTDZ($A$1,$B22,BE$1,$B$1)</f>
        <v>134.19999999999999</v>
      </c>
      <c r="BF22">
        <f>_xll.EQNXTDZ($A$1,$B22,BF$1,$B$1)</f>
        <v>132.6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4.2</v>
      </c>
      <c r="AB23">
        <f>_xll.EQNXTDZ($A$1,$B23,AB$1,$B$1)</f>
        <v>8.6</v>
      </c>
      <c r="AC23">
        <f>_xll.EQNXTDZ($A$1,$B23,AC$1,$B$1)</f>
        <v>13.4</v>
      </c>
      <c r="AD23">
        <f>_xll.EQNXTDZ($A$1,$B23,AD$1,$B$1)</f>
        <v>14.8</v>
      </c>
      <c r="AE23">
        <f>_xll.EQNXTDZ($A$1,$B23,AE$1,$B$1)</f>
        <v>14.3</v>
      </c>
      <c r="AF23">
        <f>_xll.EQNXTDZ($A$1,$B23,AF$1,$B$1)</f>
        <v>20.5</v>
      </c>
      <c r="AG23">
        <f>_xll.EQNXTDZ($A$1,$B23,AG$1,$B$1)</f>
        <v>16.600000000000001</v>
      </c>
      <c r="AH23">
        <f>_xll.EQNXTDZ($A$1,$B23,AH$1,$B$1)</f>
        <v>17.2</v>
      </c>
      <c r="AI23">
        <f>_xll.EQNXTDZ($A$1,$B23,AI$1,$B$1)</f>
        <v>33.700000000000003</v>
      </c>
      <c r="AJ23">
        <f>_xll.EQNXTDZ($A$1,$B23,AJ$1,$B$1)</f>
        <v>17.899999999999999</v>
      </c>
      <c r="AK23">
        <f>_xll.EQNXTDZ($A$1,$B23,AK$1,$B$1)</f>
        <v>24.6</v>
      </c>
      <c r="AL23">
        <f>_xll.EQNXTDZ($A$1,$B23,AL$1,$B$1)</f>
        <v>10.4</v>
      </c>
      <c r="AM23">
        <f>_xll.EQNXTDZ($A$1,$B23,AM$1,$B$1)</f>
        <v>29.4</v>
      </c>
      <c r="AN23">
        <f>_xll.EQNXTDZ($A$1,$B23,AN$1,$B$1)</f>
        <v>31.4</v>
      </c>
      <c r="AO23">
        <f>_xll.EQNXTDZ($A$1,$B23,AO$1,$B$1)</f>
        <v>21.9</v>
      </c>
      <c r="AP23">
        <f>_xll.EQNXTDZ($A$1,$B23,AP$1,$B$1)</f>
        <v>29.5</v>
      </c>
      <c r="AQ23">
        <f>_xll.EQNXTDZ($A$1,$B23,AQ$1,$B$1)</f>
        <v>1</v>
      </c>
      <c r="AR23">
        <f>_xll.EQNXTDZ($A$1,$B23,AR$1,$B$1)</f>
        <v>46.6</v>
      </c>
      <c r="AS23">
        <f>_xll.EQNXTDZ($A$1,$B23,AS$1,$B$1)</f>
        <v>102.2</v>
      </c>
      <c r="AT23">
        <f>_xll.EQNXTDZ($A$1,$B23,AT$1,$B$1)</f>
        <v>30.7</v>
      </c>
      <c r="AU23">
        <f>_xll.EQNXTDZ($A$1,$B23,AU$1,$B$1)</f>
        <v>57.1</v>
      </c>
      <c r="AV23">
        <f>_xll.EQNXTDZ($A$1,$B23,AV$1,$B$1)</f>
        <v>34.6</v>
      </c>
      <c r="AW23">
        <f>_xll.EQNXTDZ($A$1,$B23,AW$1,$B$1)</f>
        <v>41.7</v>
      </c>
      <c r="AX23">
        <f>_xll.EQNXTDZ($A$1,$B23,AX$1,$B$1)</f>
        <v>77.2</v>
      </c>
      <c r="AY23">
        <f>_xll.EQNXTDZ($A$1,$B23,AY$1,$B$1)</f>
        <v>53.2</v>
      </c>
      <c r="AZ23">
        <f>_xll.EQNXTDZ($A$1,$B23,AZ$1,$B$1)</f>
        <v>65.5</v>
      </c>
      <c r="BA23">
        <f>_xll.EQNXTDZ($A$1,$B23,BA$1,$B$1)</f>
        <v>44.9</v>
      </c>
      <c r="BB23">
        <f>_xll.EQNXTDZ($A$1,$B23,BB$1,$B$1)</f>
        <v>108.8</v>
      </c>
      <c r="BC23">
        <f>_xll.EQNXTDZ($A$1,$B23,BC$1,$B$1)</f>
        <v>92.4</v>
      </c>
      <c r="BD23">
        <f>_xll.EQNXTDZ($A$1,$B23,BD$1,$B$1)</f>
        <v>10.199999999999999</v>
      </c>
      <c r="BE23">
        <f>_xll.EQNXTDZ($A$1,$B23,BE$1,$B$1)</f>
        <v>135.4</v>
      </c>
      <c r="BF23">
        <f>_xll.EQNXTDZ($A$1,$B23,BF$1,$B$1)</f>
        <v>-33.9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-49</v>
      </c>
      <c r="AB24">
        <f>_xll.EQNXTDZ($A$1,$B24,AB$1,$B$1)</f>
        <v>31.1</v>
      </c>
      <c r="AC24">
        <f>_xll.EQNXTDZ($A$1,$B24,AC$1,$B$1)</f>
        <v>40.9</v>
      </c>
      <c r="AD24">
        <f>_xll.EQNXTDZ($A$1,$B24,AD$1,$B$1)</f>
        <v>34.9</v>
      </c>
      <c r="AE24">
        <f>_xll.EQNXTDZ($A$1,$B24,AE$1,$B$1)</f>
        <v>51</v>
      </c>
      <c r="AF24">
        <f>_xll.EQNXTDZ($A$1,$B24,AF$1,$B$1)</f>
        <v>56.8</v>
      </c>
      <c r="AG24">
        <f>_xll.EQNXTDZ($A$1,$B24,AG$1,$B$1)</f>
        <v>60.2</v>
      </c>
      <c r="AH24">
        <f>_xll.EQNXTDZ($A$1,$B24,AH$1,$B$1)</f>
        <v>69.5</v>
      </c>
      <c r="AI24">
        <f>_xll.EQNXTDZ($A$1,$B24,AI$1,$B$1)</f>
        <v>107</v>
      </c>
      <c r="AJ24">
        <f>_xll.EQNXTDZ($A$1,$B24,AJ$1,$B$1)</f>
        <v>99.6</v>
      </c>
      <c r="AK24">
        <f>_xll.EQNXTDZ($A$1,$B24,AK$1,$B$1)</f>
        <v>112.4</v>
      </c>
      <c r="AL24">
        <f>_xll.EQNXTDZ($A$1,$B24,AL$1,$B$1)</f>
        <v>95.8</v>
      </c>
      <c r="AM24">
        <f>_xll.EQNXTDZ($A$1,$B24,AM$1,$B$1)</f>
        <v>118</v>
      </c>
      <c r="AN24">
        <f>_xll.EQNXTDZ($A$1,$B24,AN$1,$B$1)</f>
        <v>114.6</v>
      </c>
      <c r="AO24">
        <f>_xll.EQNXTDZ($A$1,$B24,AO$1,$B$1)</f>
        <v>100.7</v>
      </c>
      <c r="AP24">
        <f>_xll.EQNXTDZ($A$1,$B24,AP$1,$B$1)</f>
        <v>86.7</v>
      </c>
      <c r="AQ24">
        <f>_xll.EQNXTDZ($A$1,$B24,AQ$1,$B$1)</f>
        <v>65.2</v>
      </c>
      <c r="AR24">
        <f>_xll.EQNXTDZ($A$1,$B24,AR$1,$B$1)</f>
        <v>113.8</v>
      </c>
      <c r="AS24">
        <f>_xll.EQNXTDZ($A$1,$B24,AS$1,$B$1)</f>
        <v>172.4</v>
      </c>
      <c r="AT24">
        <f>_xll.EQNXTDZ($A$1,$B24,AT$1,$B$1)</f>
        <v>96.8</v>
      </c>
      <c r="AU24">
        <f>_xll.EQNXTDZ($A$1,$B24,AU$1,$B$1)</f>
        <v>134.4</v>
      </c>
      <c r="AV24">
        <f>_xll.EQNXTDZ($A$1,$B24,AV$1,$B$1)</f>
        <v>114.6</v>
      </c>
      <c r="AW24">
        <f>_xll.EQNXTDZ($A$1,$B24,AW$1,$B$1)</f>
        <v>127.4</v>
      </c>
      <c r="AX24">
        <f>_xll.EQNXTDZ($A$1,$B24,AX$1,$B$1)</f>
        <v>165.6</v>
      </c>
      <c r="AY24">
        <f>_xll.EQNXTDZ($A$1,$B24,AY$1,$B$1)</f>
        <v>172.7</v>
      </c>
      <c r="AZ24">
        <f>_xll.EQNXTDZ($A$1,$B24,AZ$1,$B$1)</f>
        <v>200.1</v>
      </c>
      <c r="BA24">
        <f>_xll.EQNXTDZ($A$1,$B24,BA$1,$B$1)</f>
        <v>183.2</v>
      </c>
      <c r="BB24">
        <f>_xll.EQNXTDZ($A$1,$B24,BB$1,$B$1)</f>
        <v>239.2</v>
      </c>
      <c r="BC24">
        <f>_xll.EQNXTDZ($A$1,$B24,BC$1,$B$1)</f>
        <v>225.9</v>
      </c>
      <c r="BD24">
        <f>_xll.EQNXTDZ($A$1,$B24,BD$1,$B$1)</f>
        <v>139.9</v>
      </c>
      <c r="BE24">
        <f>_xll.EQNXTDZ($A$1,$B24,BE$1,$B$1)</f>
        <v>269.60000000000002</v>
      </c>
      <c r="BF24">
        <f>_xll.EQNXTDZ($A$1,$B24,BF$1,$B$1)</f>
        <v>98.7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0.4</v>
      </c>
      <c r="AF25">
        <f>_xll.EQNXTDZ($A$1,$B25,AF$1,$B$1)</f>
        <v>0.7</v>
      </c>
      <c r="AG25">
        <f>_xll.EQNXTDZ($A$1,$B25,AG$1,$B$1)</f>
        <v>0.5</v>
      </c>
      <c r="AH25">
        <f>_xll.EQNXTDZ($A$1,$B25,AH$1,$B$1)</f>
        <v>1.7</v>
      </c>
      <c r="AI25">
        <f>_xll.EQNXTDZ($A$1,$B25,AI$1,$B$1)</f>
        <v>1.8</v>
      </c>
      <c r="AJ25">
        <f>_xll.EQNXTDZ($A$1,$B25,AJ$1,$B$1)</f>
        <v>1.8</v>
      </c>
      <c r="AK25">
        <f>_xll.EQNXTDZ($A$1,$B25,AK$1,$B$1)</f>
        <v>1.6</v>
      </c>
      <c r="AL25">
        <f>_xll.EQNXTDZ($A$1,$B25,AL$1,$B$1)</f>
        <v>1.5</v>
      </c>
      <c r="AM25">
        <f>_xll.EQNXTDZ($A$1,$B25,AM$1,$B$1)</f>
        <v>1.4</v>
      </c>
      <c r="AN25">
        <f>_xll.EQNXTDZ($A$1,$B25,AN$1,$B$1)</f>
        <v>1.4</v>
      </c>
      <c r="AO25">
        <f>_xll.EQNXTDZ($A$1,$B25,AO$1,$B$1)</f>
        <v>1.3</v>
      </c>
      <c r="AP25">
        <f>_xll.EQNXTDZ($A$1,$B25,AP$1,$B$1)</f>
        <v>1.3</v>
      </c>
      <c r="AQ25">
        <f>_xll.EQNXTDZ($A$1,$B25,AQ$1,$B$1)</f>
        <v>1.2</v>
      </c>
      <c r="AR25">
        <f>_xll.EQNXTDZ($A$1,$B25,AR$1,$B$1)</f>
        <v>2.6</v>
      </c>
      <c r="AS25">
        <f>_xll.EQNXTDZ($A$1,$B25,AS$1,$B$1)</f>
        <v>2.2000000000000002</v>
      </c>
      <c r="AT25">
        <f>_xll.EQNXTDZ($A$1,$B25,AT$1,$B$1)</f>
        <v>2.1</v>
      </c>
      <c r="AU25">
        <f>_xll.EQNXTDZ($A$1,$B25,AU$1,$B$1)</f>
        <v>2.2000000000000002</v>
      </c>
      <c r="AV25">
        <f>_xll.EQNXTDZ($A$1,$B25,AV$1,$B$1)</f>
        <v>2.2999999999999998</v>
      </c>
      <c r="AW25">
        <f>_xll.EQNXTDZ($A$1,$B25,AW$1,$B$1)</f>
        <v>2.2000000000000002</v>
      </c>
      <c r="AX25">
        <f>_xll.EQNXTDZ($A$1,$B25,AX$1,$B$1)</f>
        <v>2.2000000000000002</v>
      </c>
      <c r="AY25">
        <f>_xll.EQNXTDZ($A$1,$B25,AY$1,$B$1)</f>
        <v>2</v>
      </c>
      <c r="AZ25">
        <f>_xll.EQNXTDZ($A$1,$B25,AZ$1,$B$1)</f>
        <v>1.9</v>
      </c>
      <c r="BA25">
        <f>_xll.EQNXTDZ($A$1,$B25,BA$1,$B$1)</f>
        <v>1.8</v>
      </c>
      <c r="BB25">
        <f>_xll.EQNXTDZ($A$1,$B25,BB$1,$B$1)</f>
        <v>1.7</v>
      </c>
      <c r="BC25">
        <f>_xll.EQNXTDZ($A$1,$B25,BC$1,$B$1)</f>
        <v>1</v>
      </c>
      <c r="BD25">
        <f>_xll.EQNXTDZ($A$1,$B25,BD$1,$B$1)</f>
        <v>0.7</v>
      </c>
      <c r="BE25">
        <f>_xll.EQNXTDZ($A$1,$B25,BE$1,$B$1)</f>
        <v>0.7</v>
      </c>
      <c r="BF25">
        <f>_xll.EQNXTDZ($A$1,$B25,BF$1,$B$1)</f>
        <v>0.6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-1.8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-49</v>
      </c>
      <c r="AB27">
        <f>_xll.EQNXTDZ($A$1,$B27,AB$1,$B$1)</f>
        <v>31.1</v>
      </c>
      <c r="AC27">
        <f>_xll.EQNXTDZ($A$1,$B27,AC$1,$B$1)</f>
        <v>40.9</v>
      </c>
      <c r="AD27">
        <f>_xll.EQNXTDZ($A$1,$B27,AD$1,$B$1)</f>
        <v>34.9</v>
      </c>
      <c r="AE27">
        <f>_xll.EQNXTDZ($A$1,$B27,AE$1,$B$1)</f>
        <v>50.6</v>
      </c>
      <c r="AF27">
        <f>_xll.EQNXTDZ($A$1,$B27,AF$1,$B$1)</f>
        <v>56.1</v>
      </c>
      <c r="AG27">
        <f>_xll.EQNXTDZ($A$1,$B27,AG$1,$B$1)</f>
        <v>59.7</v>
      </c>
      <c r="AH27">
        <f>_xll.EQNXTDZ($A$1,$B27,AH$1,$B$1)</f>
        <v>67.8</v>
      </c>
      <c r="AI27">
        <f>_xll.EQNXTDZ($A$1,$B27,AI$1,$B$1)</f>
        <v>105.2</v>
      </c>
      <c r="AJ27">
        <f>_xll.EQNXTDZ($A$1,$B27,AJ$1,$B$1)</f>
        <v>97.8</v>
      </c>
      <c r="AK27">
        <f>_xll.EQNXTDZ($A$1,$B27,AK$1,$B$1)</f>
        <v>110.8</v>
      </c>
      <c r="AL27">
        <f>_xll.EQNXTDZ($A$1,$B27,AL$1,$B$1)</f>
        <v>94.3</v>
      </c>
      <c r="AM27">
        <f>_xll.EQNXTDZ($A$1,$B27,AM$1,$B$1)</f>
        <v>116.6</v>
      </c>
      <c r="AN27">
        <f>_xll.EQNXTDZ($A$1,$B27,AN$1,$B$1)</f>
        <v>113.2</v>
      </c>
      <c r="AO27">
        <f>_xll.EQNXTDZ($A$1,$B27,AO$1,$B$1)</f>
        <v>99.4</v>
      </c>
      <c r="AP27">
        <f>_xll.EQNXTDZ($A$1,$B27,AP$1,$B$1)</f>
        <v>85.4</v>
      </c>
      <c r="AQ27">
        <f>_xll.EQNXTDZ($A$1,$B27,AQ$1,$B$1)</f>
        <v>64</v>
      </c>
      <c r="AR27">
        <f>_xll.EQNXTDZ($A$1,$B27,AR$1,$B$1)</f>
        <v>111.2</v>
      </c>
      <c r="AS27">
        <f>_xll.EQNXTDZ($A$1,$B27,AS$1,$B$1)</f>
        <v>170.2</v>
      </c>
      <c r="AT27">
        <f>_xll.EQNXTDZ($A$1,$B27,AT$1,$B$1)</f>
        <v>94.7</v>
      </c>
      <c r="AU27">
        <f>_xll.EQNXTDZ($A$1,$B27,AU$1,$B$1)</f>
        <v>130.4</v>
      </c>
      <c r="AV27">
        <f>_xll.EQNXTDZ($A$1,$B27,AV$1,$B$1)</f>
        <v>112.3</v>
      </c>
      <c r="AW27">
        <f>_xll.EQNXTDZ($A$1,$B27,AW$1,$B$1)</f>
        <v>125.2</v>
      </c>
      <c r="AX27">
        <f>_xll.EQNXTDZ($A$1,$B27,AX$1,$B$1)</f>
        <v>163.4</v>
      </c>
      <c r="AY27">
        <f>_xll.EQNXTDZ($A$1,$B27,AY$1,$B$1)</f>
        <v>170.7</v>
      </c>
      <c r="AZ27">
        <f>_xll.EQNXTDZ($A$1,$B27,AZ$1,$B$1)</f>
        <v>198.2</v>
      </c>
      <c r="BA27">
        <f>_xll.EQNXTDZ($A$1,$B27,BA$1,$B$1)</f>
        <v>181.4</v>
      </c>
      <c r="BB27">
        <f>_xll.EQNXTDZ($A$1,$B27,BB$1,$B$1)</f>
        <v>237.5</v>
      </c>
      <c r="BC27">
        <f>_xll.EQNXTDZ($A$1,$B27,BC$1,$B$1)</f>
        <v>224.9</v>
      </c>
      <c r="BD27">
        <f>_xll.EQNXTDZ($A$1,$B27,BD$1,$B$1)</f>
        <v>139.19999999999999</v>
      </c>
      <c r="BE27">
        <f>_xll.EQNXTDZ($A$1,$B27,BE$1,$B$1)</f>
        <v>268.89999999999998</v>
      </c>
      <c r="BF27">
        <f>_xll.EQNXTDZ($A$1,$B27,BF$1,$B$1)</f>
        <v>98.1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0.7</v>
      </c>
      <c r="AB28">
        <f>_xll.EQNXTDZ($A$1,$B28,AB$1,$B$1)</f>
        <v>1</v>
      </c>
      <c r="AC28">
        <f>_xll.EQNXTDZ($A$1,$B28,AC$1,$B$1)</f>
        <v>1.2</v>
      </c>
      <c r="AD28">
        <f>_xll.EQNXTDZ($A$1,$B28,AD$1,$B$1)</f>
        <v>1.2</v>
      </c>
      <c r="AE28">
        <f>_xll.EQNXTDZ($A$1,$B28,AE$1,$B$1)</f>
        <v>4.4000000000000004</v>
      </c>
      <c r="AF28">
        <f>_xll.EQNXTDZ($A$1,$B28,AF$1,$B$1)</f>
        <v>5</v>
      </c>
      <c r="AG28">
        <f>_xll.EQNXTDZ($A$1,$B28,AG$1,$B$1)</f>
        <v>5.8</v>
      </c>
      <c r="AH28">
        <f>_xll.EQNXTDZ($A$1,$B28,AH$1,$B$1)</f>
        <v>5.9</v>
      </c>
      <c r="AI28">
        <f>_xll.EQNXTDZ($A$1,$B28,AI$1,$B$1)</f>
        <v>4.4000000000000004</v>
      </c>
      <c r="AJ28">
        <f>_xll.EQNXTDZ($A$1,$B28,AJ$1,$B$1)</f>
        <v>4.4000000000000004</v>
      </c>
      <c r="AK28">
        <f>_xll.EQNXTDZ($A$1,$B28,AK$1,$B$1)</f>
        <v>3.8</v>
      </c>
      <c r="AL28">
        <f>_xll.EQNXTDZ($A$1,$B28,AL$1,$B$1)</f>
        <v>3.5</v>
      </c>
      <c r="AM28">
        <f>_xll.EQNXTDZ($A$1,$B28,AM$1,$B$1)</f>
        <v>3.2</v>
      </c>
      <c r="AN28">
        <f>_xll.EQNXTDZ($A$1,$B28,AN$1,$B$1)</f>
        <v>2.8</v>
      </c>
      <c r="AO28">
        <f>_xll.EQNXTDZ($A$1,$B28,AO$1,$B$1)</f>
        <v>3</v>
      </c>
      <c r="AP28">
        <f>_xll.EQNXTDZ($A$1,$B28,AP$1,$B$1)</f>
        <v>2.9</v>
      </c>
      <c r="AQ28">
        <f>_xll.EQNXTDZ($A$1,$B28,AQ$1,$B$1)</f>
        <v>6.3</v>
      </c>
      <c r="AR28">
        <f>_xll.EQNXTDZ($A$1,$B28,AR$1,$B$1)</f>
        <v>7.6</v>
      </c>
      <c r="AS28">
        <f>_xll.EQNXTDZ($A$1,$B28,AS$1,$B$1)</f>
        <v>8.6</v>
      </c>
      <c r="AT28">
        <f>_xll.EQNXTDZ($A$1,$B28,AT$1,$B$1)</f>
        <v>8.6</v>
      </c>
      <c r="AU28">
        <f>_xll.EQNXTDZ($A$1,$B28,AU$1,$B$1)</f>
        <v>7.4</v>
      </c>
      <c r="AV28">
        <f>_xll.EQNXTDZ($A$1,$B28,AV$1,$B$1)</f>
        <v>8</v>
      </c>
      <c r="AW28">
        <f>_xll.EQNXTDZ($A$1,$B28,AW$1,$B$1)</f>
        <v>8.4</v>
      </c>
      <c r="AX28">
        <f>_xll.EQNXTDZ($A$1,$B28,AX$1,$B$1)</f>
        <v>12.7</v>
      </c>
      <c r="AY28">
        <f>_xll.EQNXTDZ($A$1,$B28,AY$1,$B$1)</f>
        <v>8.1</v>
      </c>
      <c r="AZ28">
        <f>_xll.EQNXTDZ($A$1,$B28,AZ$1,$B$1)</f>
        <v>8.1999999999999993</v>
      </c>
      <c r="BA28">
        <f>_xll.EQNXTDZ($A$1,$B28,BA$1,$B$1)</f>
        <v>8.3000000000000007</v>
      </c>
      <c r="BB28">
        <f>_xll.EQNXTDZ($A$1,$B28,BB$1,$B$1)</f>
        <v>8.3000000000000007</v>
      </c>
      <c r="BC28">
        <f>_xll.EQNXTDZ($A$1,$B28,BC$1,$B$1)</f>
        <v>6.9</v>
      </c>
      <c r="BD28">
        <f>_xll.EQNXTDZ($A$1,$B28,BD$1,$B$1)</f>
        <v>7.2</v>
      </c>
      <c r="BE28">
        <f>_xll.EQNXTDZ($A$1,$B28,BE$1,$B$1)</f>
        <v>7.3</v>
      </c>
      <c r="BF28">
        <f>_xll.EQNXTDZ($A$1,$B28,BF$1,$B$1)</f>
        <v>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6.7</v>
      </c>
      <c r="AB29">
        <f>_xll.EQNXTDZ($A$1,$B29,AB$1,$B$1)</f>
        <v>9.6999999999999993</v>
      </c>
      <c r="AC29">
        <f>_xll.EQNXTDZ($A$1,$B29,AC$1,$B$1)</f>
        <v>12</v>
      </c>
      <c r="AD29">
        <f>_xll.EQNXTDZ($A$1,$B29,AD$1,$B$1)</f>
        <v>5.5</v>
      </c>
      <c r="AE29">
        <f>_xll.EQNXTDZ($A$1,$B29,AE$1,$B$1)</f>
        <v>13.8</v>
      </c>
      <c r="AF29">
        <f>_xll.EQNXTDZ($A$1,$B29,AF$1,$B$1)</f>
        <v>42.2</v>
      </c>
      <c r="AG29">
        <f>_xll.EQNXTDZ($A$1,$B29,AG$1,$B$1)</f>
        <v>-8.8000000000000007</v>
      </c>
      <c r="AH29">
        <f>_xll.EQNXTDZ($A$1,$B29,AH$1,$B$1)</f>
        <v>16.899999999999999</v>
      </c>
      <c r="AI29">
        <f>_xll.EQNXTDZ($A$1,$B29,AI$1,$B$1)</f>
        <v>26.3</v>
      </c>
      <c r="AJ29">
        <f>_xll.EQNXTDZ($A$1,$B29,AJ$1,$B$1)</f>
        <v>23.4</v>
      </c>
      <c r="AK29">
        <f>_xll.EQNXTDZ($A$1,$B29,AK$1,$B$1)</f>
        <v>26.3</v>
      </c>
      <c r="AL29">
        <f>_xll.EQNXTDZ($A$1,$B29,AL$1,$B$1)</f>
        <v>33.5</v>
      </c>
      <c r="AM29">
        <f>_xll.EQNXTDZ($A$1,$B29,AM$1,$B$1)</f>
        <v>24</v>
      </c>
      <c r="AN29">
        <f>_xll.EQNXTDZ($A$1,$B29,AN$1,$B$1)</f>
        <v>26.4</v>
      </c>
      <c r="AO29">
        <f>_xll.EQNXTDZ($A$1,$B29,AO$1,$B$1)</f>
        <v>23.1</v>
      </c>
      <c r="AP29">
        <f>_xll.EQNXTDZ($A$1,$B29,AP$1,$B$1)</f>
        <v>19.3</v>
      </c>
      <c r="AQ29">
        <f>_xll.EQNXTDZ($A$1,$B29,AQ$1,$B$1)</f>
        <v>4</v>
      </c>
      <c r="AR29">
        <f>_xll.EQNXTDZ($A$1,$B29,AR$1,$B$1)</f>
        <v>24.3</v>
      </c>
      <c r="AS29">
        <f>_xll.EQNXTDZ($A$1,$B29,AS$1,$B$1)</f>
        <v>39.4</v>
      </c>
      <c r="AT29">
        <f>_xll.EQNXTDZ($A$1,$B29,AT$1,$B$1)</f>
        <v>19.8</v>
      </c>
      <c r="AU29">
        <f>_xll.EQNXTDZ($A$1,$B29,AU$1,$B$1)</f>
        <v>29.3</v>
      </c>
      <c r="AV29">
        <f>_xll.EQNXTDZ($A$1,$B29,AV$1,$B$1)</f>
        <v>23.9</v>
      </c>
      <c r="AW29">
        <f>_xll.EQNXTDZ($A$1,$B29,AW$1,$B$1)</f>
        <v>27.7</v>
      </c>
      <c r="AX29">
        <f>_xll.EQNXTDZ($A$1,$B29,AX$1,$B$1)</f>
        <v>39.5</v>
      </c>
      <c r="AY29">
        <f>_xll.EQNXTDZ($A$1,$B29,AY$1,$B$1)</f>
        <v>37.4</v>
      </c>
      <c r="AZ29">
        <f>_xll.EQNXTDZ($A$1,$B29,AZ$1,$B$1)</f>
        <v>42.2</v>
      </c>
      <c r="BA29">
        <f>_xll.EQNXTDZ($A$1,$B29,BA$1,$B$1)</f>
        <v>38</v>
      </c>
      <c r="BB29">
        <f>_xll.EQNXTDZ($A$1,$B29,BB$1,$B$1)</f>
        <v>37.5</v>
      </c>
      <c r="BC29">
        <f>_xll.EQNXTDZ($A$1,$B29,BC$1,$B$1)</f>
        <v>50.4</v>
      </c>
      <c r="BD29">
        <f>_xll.EQNXTDZ($A$1,$B29,BD$1,$B$1)</f>
        <v>35.9</v>
      </c>
      <c r="BE29">
        <f>_xll.EQNXTDZ($A$1,$B29,BE$1,$B$1)</f>
        <v>58.7</v>
      </c>
      <c r="BF29">
        <f>_xll.EQNXTDZ($A$1,$B29,BF$1,$B$1)</f>
        <v>28.2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-56.4</v>
      </c>
      <c r="AB30">
        <f>_xll.EQNXTDZ($A$1,$B30,AB$1,$B$1)</f>
        <v>20.399999999999999</v>
      </c>
      <c r="AC30">
        <f>_xll.EQNXTDZ($A$1,$B30,AC$1,$B$1)</f>
        <v>27.7</v>
      </c>
      <c r="AD30">
        <f>_xll.EQNXTDZ($A$1,$B30,AD$1,$B$1)</f>
        <v>28.2</v>
      </c>
      <c r="AE30">
        <f>_xll.EQNXTDZ($A$1,$B30,AE$1,$B$1)</f>
        <v>32.4</v>
      </c>
      <c r="AF30">
        <f>_xll.EQNXTDZ($A$1,$B30,AF$1,$B$1)</f>
        <v>8.9</v>
      </c>
      <c r="AG30">
        <f>_xll.EQNXTDZ($A$1,$B30,AG$1,$B$1)</f>
        <v>62.7</v>
      </c>
      <c r="AH30">
        <f>_xll.EQNXTDZ($A$1,$B30,AH$1,$B$1)</f>
        <v>45</v>
      </c>
      <c r="AI30">
        <f>_xll.EQNXTDZ($A$1,$B30,AI$1,$B$1)</f>
        <v>74.5</v>
      </c>
      <c r="AJ30">
        <f>_xll.EQNXTDZ($A$1,$B30,AJ$1,$B$1)</f>
        <v>70</v>
      </c>
      <c r="AK30">
        <f>_xll.EQNXTDZ($A$1,$B30,AK$1,$B$1)</f>
        <v>80.7</v>
      </c>
      <c r="AL30">
        <f>_xll.EQNXTDZ($A$1,$B30,AL$1,$B$1)</f>
        <v>57.3</v>
      </c>
      <c r="AM30">
        <f>_xll.EQNXTDZ($A$1,$B30,AM$1,$B$1)</f>
        <v>89.4</v>
      </c>
      <c r="AN30">
        <f>_xll.EQNXTDZ($A$1,$B30,AN$1,$B$1)</f>
        <v>84</v>
      </c>
      <c r="AO30">
        <f>_xll.EQNXTDZ($A$1,$B30,AO$1,$B$1)</f>
        <v>73.3</v>
      </c>
      <c r="AP30">
        <f>_xll.EQNXTDZ($A$1,$B30,AP$1,$B$1)</f>
        <v>63.2</v>
      </c>
      <c r="AQ30">
        <f>_xll.EQNXTDZ($A$1,$B30,AQ$1,$B$1)</f>
        <v>53.7</v>
      </c>
      <c r="AR30">
        <f>_xll.EQNXTDZ($A$1,$B30,AR$1,$B$1)</f>
        <v>79.3</v>
      </c>
      <c r="AS30">
        <f>_xll.EQNXTDZ($A$1,$B30,AS$1,$B$1)</f>
        <v>122.2</v>
      </c>
      <c r="AT30">
        <f>_xll.EQNXTDZ($A$1,$B30,AT$1,$B$1)</f>
        <v>66.3</v>
      </c>
      <c r="AU30">
        <f>_xll.EQNXTDZ($A$1,$B30,AU$1,$B$1)</f>
        <v>93.7</v>
      </c>
      <c r="AV30">
        <f>_xll.EQNXTDZ($A$1,$B30,AV$1,$B$1)</f>
        <v>80.400000000000006</v>
      </c>
      <c r="AW30">
        <f>_xll.EQNXTDZ($A$1,$B30,AW$1,$B$1)</f>
        <v>89.1</v>
      </c>
      <c r="AX30">
        <f>_xll.EQNXTDZ($A$1,$B30,AX$1,$B$1)</f>
        <v>111.2</v>
      </c>
      <c r="AY30">
        <f>_xll.EQNXTDZ($A$1,$B30,AY$1,$B$1)</f>
        <v>125.2</v>
      </c>
      <c r="AZ30">
        <f>_xll.EQNXTDZ($A$1,$B30,AZ$1,$B$1)</f>
        <v>147.80000000000001</v>
      </c>
      <c r="BA30">
        <f>_xll.EQNXTDZ($A$1,$B30,BA$1,$B$1)</f>
        <v>135.1</v>
      </c>
      <c r="BB30">
        <f>_xll.EQNXTDZ($A$1,$B30,BB$1,$B$1)</f>
        <v>191.7</v>
      </c>
      <c r="BC30">
        <f>_xll.EQNXTDZ($A$1,$B30,BC$1,$B$1)</f>
        <v>167.6</v>
      </c>
      <c r="BD30">
        <f>_xll.EQNXTDZ($A$1,$B30,BD$1,$B$1)</f>
        <v>96.1</v>
      </c>
      <c r="BE30">
        <f>_xll.EQNXTDZ($A$1,$B30,BE$1,$B$1)</f>
        <v>202.9</v>
      </c>
      <c r="BF30">
        <f>_xll.EQNXTDZ($A$1,$B30,BF$1,$B$1)</f>
        <v>62.9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-0.2</v>
      </c>
      <c r="AG35">
        <f>_xll.EQNXTDZ($A$1,$B35,AG$1,$B$1)</f>
        <v>-0.7</v>
      </c>
      <c r="AH35">
        <f>_xll.EQNXTDZ($A$1,$B35,AH$1,$B$1)</f>
        <v>-0.7</v>
      </c>
      <c r="AI35">
        <f>_xll.EQNXTDZ($A$1,$B35,AI$1,$B$1)</f>
        <v>-0.4</v>
      </c>
      <c r="AJ35">
        <f>_xll.EQNXTDZ($A$1,$B35,AJ$1,$B$1)</f>
        <v>-0.2</v>
      </c>
      <c r="AK35">
        <f>_xll.EQNXTDZ($A$1,$B35,AK$1,$B$1)</f>
        <v>-0.5</v>
      </c>
      <c r="AL35">
        <f>_xll.EQNXTDZ($A$1,$B35,AL$1,$B$1)</f>
        <v>-1.6</v>
      </c>
      <c r="AM35">
        <f>_xll.EQNXTDZ($A$1,$B35,AM$1,$B$1)</f>
        <v>-1.5</v>
      </c>
      <c r="AN35">
        <f>_xll.EQNXTDZ($A$1,$B35,AN$1,$B$1)</f>
        <v>-1.8</v>
      </c>
      <c r="AO35">
        <f>_xll.EQNXTDZ($A$1,$B35,AO$1,$B$1)</f>
        <v>-3.1</v>
      </c>
      <c r="AP35">
        <f>_xll.EQNXTDZ($A$1,$B35,AP$1,$B$1)</f>
        <v>-5.8</v>
      </c>
      <c r="AQ35">
        <f>_xll.EQNXTDZ($A$1,$B35,AQ$1,$B$1)</f>
        <v>-7</v>
      </c>
      <c r="AR35">
        <f>_xll.EQNXTDZ($A$1,$B35,AR$1,$B$1)</f>
        <v>-10.9</v>
      </c>
      <c r="AS35">
        <f>_xll.EQNXTDZ($A$1,$B35,AS$1,$B$1)</f>
        <v>-9.4</v>
      </c>
      <c r="AT35">
        <f>_xll.EQNXTDZ($A$1,$B35,AT$1,$B$1)</f>
        <v>-10.5</v>
      </c>
      <c r="AU35">
        <f>_xll.EQNXTDZ($A$1,$B35,AU$1,$B$1)</f>
        <v>-10.6</v>
      </c>
      <c r="AV35">
        <f>_xll.EQNXTDZ($A$1,$B35,AV$1,$B$1)</f>
        <v>-11</v>
      </c>
      <c r="AW35">
        <f>_xll.EQNXTDZ($A$1,$B35,AW$1,$B$1)</f>
        <v>-7.2</v>
      </c>
      <c r="AX35">
        <f>_xll.EQNXTDZ($A$1,$B35,AX$1,$B$1)</f>
        <v>-11.6</v>
      </c>
      <c r="AY35">
        <f>_xll.EQNXTDZ($A$1,$B35,AY$1,$B$1)</f>
        <v>-11.2</v>
      </c>
      <c r="AZ35">
        <f>_xll.EQNXTDZ($A$1,$B35,AZ$1,$B$1)</f>
        <v>-12.7</v>
      </c>
      <c r="BA35">
        <f>_xll.EQNXTDZ($A$1,$B35,BA$1,$B$1)</f>
        <v>-14.1</v>
      </c>
      <c r="BB35">
        <f>_xll.EQNXTDZ($A$1,$B35,BB$1,$B$1)</f>
        <v>-11.1</v>
      </c>
      <c r="BC35">
        <f>_xll.EQNXTDZ($A$1,$B35,BC$1,$B$1)</f>
        <v>-14.1</v>
      </c>
      <c r="BD35">
        <f>_xll.EQNXTDZ($A$1,$B35,BD$1,$B$1)</f>
        <v>-13.4</v>
      </c>
      <c r="BE35">
        <f>_xll.EQNXTDZ($A$1,$B35,BE$1,$B$1)</f>
        <v>-14.6</v>
      </c>
      <c r="BF35">
        <f>_xll.EQNXTDZ($A$1,$B35,BF$1,$B$1)</f>
        <v>-12.7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-56.4</v>
      </c>
      <c r="AB38">
        <f>_xll.EQNXTDZ($A$1,$B38,AB$1,$B$1)</f>
        <v>20.399999999999999</v>
      </c>
      <c r="AC38">
        <f>_xll.EQNXTDZ($A$1,$B38,AC$1,$B$1)</f>
        <v>27.7</v>
      </c>
      <c r="AD38">
        <f>_xll.EQNXTDZ($A$1,$B38,AD$1,$B$1)</f>
        <v>28.2</v>
      </c>
      <c r="AE38">
        <f>_xll.EQNXTDZ($A$1,$B38,AE$1,$B$1)</f>
        <v>32.4</v>
      </c>
      <c r="AF38">
        <f>_xll.EQNXTDZ($A$1,$B38,AF$1,$B$1)</f>
        <v>8.6999999999999993</v>
      </c>
      <c r="AG38">
        <f>_xll.EQNXTDZ($A$1,$B38,AG$1,$B$1)</f>
        <v>62</v>
      </c>
      <c r="AH38">
        <f>_xll.EQNXTDZ($A$1,$B38,AH$1,$B$1)</f>
        <v>44.3</v>
      </c>
      <c r="AI38">
        <f>_xll.EQNXTDZ($A$1,$B38,AI$1,$B$1)</f>
        <v>74.099999999999994</v>
      </c>
      <c r="AJ38">
        <f>_xll.EQNXTDZ($A$1,$B38,AJ$1,$B$1)</f>
        <v>69.8</v>
      </c>
      <c r="AK38">
        <f>_xll.EQNXTDZ($A$1,$B38,AK$1,$B$1)</f>
        <v>80.2</v>
      </c>
      <c r="AL38">
        <f>_xll.EQNXTDZ($A$1,$B38,AL$1,$B$1)</f>
        <v>55.7</v>
      </c>
      <c r="AM38">
        <f>_xll.EQNXTDZ($A$1,$B38,AM$1,$B$1)</f>
        <v>87.9</v>
      </c>
      <c r="AN38">
        <f>_xll.EQNXTDZ($A$1,$B38,AN$1,$B$1)</f>
        <v>82.2</v>
      </c>
      <c r="AO38">
        <f>_xll.EQNXTDZ($A$1,$B38,AO$1,$B$1)</f>
        <v>70.2</v>
      </c>
      <c r="AP38">
        <f>_xll.EQNXTDZ($A$1,$B38,AP$1,$B$1)</f>
        <v>57.4</v>
      </c>
      <c r="AQ38">
        <f>_xll.EQNXTDZ($A$1,$B38,AQ$1,$B$1)</f>
        <v>46.7</v>
      </c>
      <c r="AR38">
        <f>_xll.EQNXTDZ($A$1,$B38,AR$1,$B$1)</f>
        <v>68.400000000000006</v>
      </c>
      <c r="AS38">
        <f>_xll.EQNXTDZ($A$1,$B38,AS$1,$B$1)</f>
        <v>112.8</v>
      </c>
      <c r="AT38">
        <f>_xll.EQNXTDZ($A$1,$B38,AT$1,$B$1)</f>
        <v>55.8</v>
      </c>
      <c r="AU38">
        <f>_xll.EQNXTDZ($A$1,$B38,AU$1,$B$1)</f>
        <v>83.1</v>
      </c>
      <c r="AV38">
        <f>_xll.EQNXTDZ($A$1,$B38,AV$1,$B$1)</f>
        <v>69.400000000000006</v>
      </c>
      <c r="AW38">
        <f>_xll.EQNXTDZ($A$1,$B38,AW$1,$B$1)</f>
        <v>81.900000000000006</v>
      </c>
      <c r="AX38">
        <f>_xll.EQNXTDZ($A$1,$B38,AX$1,$B$1)</f>
        <v>99.6</v>
      </c>
      <c r="AY38">
        <f>_xll.EQNXTDZ($A$1,$B38,AY$1,$B$1)</f>
        <v>114</v>
      </c>
      <c r="AZ38">
        <f>_xll.EQNXTDZ($A$1,$B38,AZ$1,$B$1)</f>
        <v>135.1</v>
      </c>
      <c r="BA38">
        <f>_xll.EQNXTDZ($A$1,$B38,BA$1,$B$1)</f>
        <v>121</v>
      </c>
      <c r="BB38">
        <f>_xll.EQNXTDZ($A$1,$B38,BB$1,$B$1)</f>
        <v>180.6</v>
      </c>
      <c r="BC38">
        <f>_xll.EQNXTDZ($A$1,$B38,BC$1,$B$1)</f>
        <v>153.5</v>
      </c>
      <c r="BD38">
        <f>_xll.EQNXTDZ($A$1,$B38,BD$1,$B$1)</f>
        <v>82.7</v>
      </c>
      <c r="BE38">
        <f>_xll.EQNXTDZ($A$1,$B38,BE$1,$B$1)</f>
        <v>188.3</v>
      </c>
      <c r="BF38">
        <f>_xll.EQNXTDZ($A$1,$B38,BF$1,$B$1)</f>
        <v>50.2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-0.3</v>
      </c>
      <c r="AB40">
        <f>_xll.EQNXTDZ($A$1,$B40,AB$1,$B$1)</f>
        <v>-0.1</v>
      </c>
      <c r="AC40">
        <f>_xll.EQNXTDZ($A$1,$B40,AC$1,$B$1)</f>
        <v>-0.5</v>
      </c>
      <c r="AD40">
        <f>_xll.EQNXTDZ($A$1,$B40,AD$1,$B$1)</f>
        <v>0.2</v>
      </c>
      <c r="AE40">
        <f>_xll.EQNXTDZ($A$1,$B40,AE$1,$B$1)</f>
        <v>-1</v>
      </c>
      <c r="AF40">
        <f>_xll.EQNXTDZ($A$1,$B40,AF$1,$B$1)</f>
        <v>-2.6</v>
      </c>
      <c r="AG40">
        <f>_xll.EQNXTDZ($A$1,$B40,AG$1,$B$1)</f>
        <v>-0.2</v>
      </c>
      <c r="AH40">
        <f>_xll.EQNXTDZ($A$1,$B40,AH$1,$B$1)</f>
        <v>-1.7</v>
      </c>
      <c r="AI40">
        <f>_xll.EQNXTDZ($A$1,$B40,AI$1,$B$1)</f>
        <v>-1.4</v>
      </c>
      <c r="AJ40">
        <f>_xll.EQNXTDZ($A$1,$B40,AJ$1,$B$1)</f>
        <v>0.2</v>
      </c>
      <c r="AK40">
        <f>_xll.EQNXTDZ($A$1,$B40,AK$1,$B$1)</f>
        <v>-0.7</v>
      </c>
      <c r="AL40">
        <f>_xll.EQNXTDZ($A$1,$B40,AL$1,$B$1)</f>
        <v>0.1</v>
      </c>
      <c r="AM40">
        <f>_xll.EQNXTDZ($A$1,$B40,AM$1,$B$1)</f>
        <v>-0.4</v>
      </c>
      <c r="AN40">
        <f>_xll.EQNXTDZ($A$1,$B40,AN$1,$B$1)</f>
        <v>0.6</v>
      </c>
      <c r="AO40">
        <f>_xll.EQNXTDZ($A$1,$B40,AO$1,$B$1)</f>
        <v>0.6</v>
      </c>
      <c r="AP40">
        <f>_xll.EQNXTDZ($A$1,$B40,AP$1,$B$1)</f>
        <v>-0.5</v>
      </c>
      <c r="AQ40">
        <f>_xll.EQNXTDZ($A$1,$B40,AQ$1,$B$1)</f>
        <v>0.3</v>
      </c>
      <c r="AR40">
        <f>_xll.EQNXTDZ($A$1,$B40,AR$1,$B$1)</f>
        <v>3.7</v>
      </c>
      <c r="AS40">
        <f>_xll.EQNXTDZ($A$1,$B40,AS$1,$B$1)</f>
        <v>1.3</v>
      </c>
      <c r="AT40">
        <f>_xll.EQNXTDZ($A$1,$B40,AT$1,$B$1)</f>
        <v>-0.8</v>
      </c>
      <c r="AU40">
        <f>_xll.EQNXTDZ($A$1,$B40,AU$1,$B$1)</f>
        <v>-0.1</v>
      </c>
      <c r="AV40">
        <f>_xll.EQNXTDZ($A$1,$B40,AV$1,$B$1)</f>
        <v>0.9</v>
      </c>
      <c r="AW40">
        <f>_xll.EQNXTDZ($A$1,$B40,AW$1,$B$1)</f>
        <v>-1.3</v>
      </c>
      <c r="AX40">
        <f>_xll.EQNXTDZ($A$1,$B40,AX$1,$B$1)</f>
        <v>-0.2</v>
      </c>
      <c r="AY40">
        <f>_xll.EQNXTDZ($A$1,$B40,AY$1,$B$1)</f>
        <v>1.5</v>
      </c>
      <c r="AZ40">
        <f>_xll.EQNXTDZ($A$1,$B40,AZ$1,$B$1)</f>
        <v>-0.6</v>
      </c>
      <c r="BA40">
        <f>_xll.EQNXTDZ($A$1,$B40,BA$1,$B$1)</f>
        <v>-0.9</v>
      </c>
      <c r="BB40">
        <f>_xll.EQNXTDZ($A$1,$B40,BB$1,$B$1)</f>
        <v>-0.4</v>
      </c>
      <c r="BC40">
        <f>_xll.EQNXTDZ($A$1,$B40,BC$1,$B$1)</f>
        <v>-2.2000000000000002</v>
      </c>
      <c r="BD40">
        <f>_xll.EQNXTDZ($A$1,$B40,BD$1,$B$1)</f>
        <v>0.8</v>
      </c>
      <c r="BE40">
        <f>_xll.EQNXTDZ($A$1,$B40,BE$1,$B$1)</f>
        <v>2.7</v>
      </c>
      <c r="BF40">
        <f>_xll.EQNXTDZ($A$1,$B40,BF$1,$B$1)</f>
        <v>2.4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-56.7</v>
      </c>
      <c r="AB41">
        <f>_xll.EQNXTDZ($A$1,$B41,AB$1,$B$1)</f>
        <v>20.3</v>
      </c>
      <c r="AC41">
        <f>_xll.EQNXTDZ($A$1,$B41,AC$1,$B$1)</f>
        <v>27.2</v>
      </c>
      <c r="AD41">
        <f>_xll.EQNXTDZ($A$1,$B41,AD$1,$B$1)</f>
        <v>28.4</v>
      </c>
      <c r="AE41">
        <f>_xll.EQNXTDZ($A$1,$B41,AE$1,$B$1)</f>
        <v>31.4</v>
      </c>
      <c r="AF41">
        <f>_xll.EQNXTDZ($A$1,$B41,AF$1,$B$1)</f>
        <v>6.1</v>
      </c>
      <c r="AG41">
        <f>_xll.EQNXTDZ($A$1,$B41,AG$1,$B$1)</f>
        <v>61.8</v>
      </c>
      <c r="AH41">
        <f>_xll.EQNXTDZ($A$1,$B41,AH$1,$B$1)</f>
        <v>42.6</v>
      </c>
      <c r="AI41">
        <f>_xll.EQNXTDZ($A$1,$B41,AI$1,$B$1)</f>
        <v>72.7</v>
      </c>
      <c r="AJ41">
        <f>_xll.EQNXTDZ($A$1,$B41,AJ$1,$B$1)</f>
        <v>70</v>
      </c>
      <c r="AK41">
        <f>_xll.EQNXTDZ($A$1,$B41,AK$1,$B$1)</f>
        <v>79.5</v>
      </c>
      <c r="AL41">
        <f>_xll.EQNXTDZ($A$1,$B41,AL$1,$B$1)</f>
        <v>55.8</v>
      </c>
      <c r="AM41">
        <f>_xll.EQNXTDZ($A$1,$B41,AM$1,$B$1)</f>
        <v>87.5</v>
      </c>
      <c r="AN41">
        <f>_xll.EQNXTDZ($A$1,$B41,AN$1,$B$1)</f>
        <v>82.8</v>
      </c>
      <c r="AO41">
        <f>_xll.EQNXTDZ($A$1,$B41,AO$1,$B$1)</f>
        <v>70.8</v>
      </c>
      <c r="AP41">
        <f>_xll.EQNXTDZ($A$1,$B41,AP$1,$B$1)</f>
        <v>56.9</v>
      </c>
      <c r="AQ41">
        <f>_xll.EQNXTDZ($A$1,$B41,AQ$1,$B$1)</f>
        <v>47</v>
      </c>
      <c r="AR41">
        <f>_xll.EQNXTDZ($A$1,$B41,AR$1,$B$1)</f>
        <v>72.099999999999994</v>
      </c>
      <c r="AS41">
        <f>_xll.EQNXTDZ($A$1,$B41,AS$1,$B$1)</f>
        <v>114.1</v>
      </c>
      <c r="AT41">
        <f>_xll.EQNXTDZ($A$1,$B41,AT$1,$B$1)</f>
        <v>55</v>
      </c>
      <c r="AU41">
        <f>_xll.EQNXTDZ($A$1,$B41,AU$1,$B$1)</f>
        <v>83</v>
      </c>
      <c r="AV41">
        <f>_xll.EQNXTDZ($A$1,$B41,AV$1,$B$1)</f>
        <v>70.3</v>
      </c>
      <c r="AW41">
        <f>_xll.EQNXTDZ($A$1,$B41,AW$1,$B$1)</f>
        <v>80.599999999999994</v>
      </c>
      <c r="AX41">
        <f>_xll.EQNXTDZ($A$1,$B41,AX$1,$B$1)</f>
        <v>99.4</v>
      </c>
      <c r="AY41">
        <f>_xll.EQNXTDZ($A$1,$B41,AY$1,$B$1)</f>
        <v>115.5</v>
      </c>
      <c r="AZ41">
        <f>_xll.EQNXTDZ($A$1,$B41,AZ$1,$B$1)</f>
        <v>134.5</v>
      </c>
      <c r="BA41">
        <f>_xll.EQNXTDZ($A$1,$B41,BA$1,$B$1)</f>
        <v>120.1</v>
      </c>
      <c r="BB41">
        <f>_xll.EQNXTDZ($A$1,$B41,BB$1,$B$1)</f>
        <v>180.2</v>
      </c>
      <c r="BC41">
        <f>_xll.EQNXTDZ($A$1,$B41,BC$1,$B$1)</f>
        <v>151.30000000000001</v>
      </c>
      <c r="BD41">
        <f>_xll.EQNXTDZ($A$1,$B41,BD$1,$B$1)</f>
        <v>83.5</v>
      </c>
      <c r="BE41">
        <f>_xll.EQNXTDZ($A$1,$B41,BE$1,$B$1)</f>
        <v>191</v>
      </c>
      <c r="BF41">
        <f>_xll.EQNXTDZ($A$1,$B41,BF$1,$B$1)</f>
        <v>52.6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-56.4</v>
      </c>
      <c r="AB42">
        <f>_xll.EQNXTDZ($A$1,$B42,AB$1,$B$1)</f>
        <v>20.399999999999999</v>
      </c>
      <c r="AC42">
        <f>_xll.EQNXTDZ($A$1,$B42,AC$1,$B$1)</f>
        <v>27.7</v>
      </c>
      <c r="AD42">
        <f>_xll.EQNXTDZ($A$1,$B42,AD$1,$B$1)</f>
        <v>28.2</v>
      </c>
      <c r="AE42">
        <f>_xll.EQNXTDZ($A$1,$B42,AE$1,$B$1)</f>
        <v>32.4</v>
      </c>
      <c r="AF42">
        <f>_xll.EQNXTDZ($A$1,$B42,AF$1,$B$1)</f>
        <v>8.6999999999999993</v>
      </c>
      <c r="AG42">
        <f>_xll.EQNXTDZ($A$1,$B42,AG$1,$B$1)</f>
        <v>62</v>
      </c>
      <c r="AH42">
        <f>_xll.EQNXTDZ($A$1,$B42,AH$1,$B$1)</f>
        <v>44.3</v>
      </c>
      <c r="AI42">
        <f>_xll.EQNXTDZ($A$1,$B42,AI$1,$B$1)</f>
        <v>74.099999999999994</v>
      </c>
      <c r="AJ42">
        <f>_xll.EQNXTDZ($A$1,$B42,AJ$1,$B$1)</f>
        <v>69.8</v>
      </c>
      <c r="AK42">
        <f>_xll.EQNXTDZ($A$1,$B42,AK$1,$B$1)</f>
        <v>80.2</v>
      </c>
      <c r="AL42">
        <f>_xll.EQNXTDZ($A$1,$B42,AL$1,$B$1)</f>
        <v>55.7</v>
      </c>
      <c r="AM42">
        <f>_xll.EQNXTDZ($A$1,$B42,AM$1,$B$1)</f>
        <v>87.9</v>
      </c>
      <c r="AN42">
        <f>_xll.EQNXTDZ($A$1,$B42,AN$1,$B$1)</f>
        <v>82.2</v>
      </c>
      <c r="AO42">
        <f>_xll.EQNXTDZ($A$1,$B42,AO$1,$B$1)</f>
        <v>70.2</v>
      </c>
      <c r="AP42">
        <f>_xll.EQNXTDZ($A$1,$B42,AP$1,$B$1)</f>
        <v>57.4</v>
      </c>
      <c r="AQ42">
        <f>_xll.EQNXTDZ($A$1,$B42,AQ$1,$B$1)</f>
        <v>46.7</v>
      </c>
      <c r="AR42">
        <f>_xll.EQNXTDZ($A$1,$B42,AR$1,$B$1)</f>
        <v>68.400000000000006</v>
      </c>
      <c r="AS42">
        <f>_xll.EQNXTDZ($A$1,$B42,AS$1,$B$1)</f>
        <v>112.8</v>
      </c>
      <c r="AT42">
        <f>_xll.EQNXTDZ($A$1,$B42,AT$1,$B$1)</f>
        <v>55.8</v>
      </c>
      <c r="AU42">
        <f>_xll.EQNXTDZ($A$1,$B42,AU$1,$B$1)</f>
        <v>83.1</v>
      </c>
      <c r="AV42">
        <f>_xll.EQNXTDZ($A$1,$B42,AV$1,$B$1)</f>
        <v>69.400000000000006</v>
      </c>
      <c r="AW42">
        <f>_xll.EQNXTDZ($A$1,$B42,AW$1,$B$1)</f>
        <v>81.900000000000006</v>
      </c>
      <c r="AX42">
        <f>_xll.EQNXTDZ($A$1,$B42,AX$1,$B$1)</f>
        <v>99.6</v>
      </c>
      <c r="AY42">
        <f>_xll.EQNXTDZ($A$1,$B42,AY$1,$B$1)</f>
        <v>114</v>
      </c>
      <c r="AZ42">
        <f>_xll.EQNXTDZ($A$1,$B42,AZ$1,$B$1)</f>
        <v>135.1</v>
      </c>
      <c r="BA42">
        <f>_xll.EQNXTDZ($A$1,$B42,BA$1,$B$1)</f>
        <v>121</v>
      </c>
      <c r="BB42">
        <f>_xll.EQNXTDZ($A$1,$B42,BB$1,$B$1)</f>
        <v>180.6</v>
      </c>
      <c r="BC42">
        <f>_xll.EQNXTDZ($A$1,$B42,BC$1,$B$1)</f>
        <v>153.5</v>
      </c>
      <c r="BD42">
        <f>_xll.EQNXTDZ($A$1,$B42,BD$1,$B$1)</f>
        <v>82.7</v>
      </c>
      <c r="BE42">
        <f>_xll.EQNXTDZ($A$1,$B42,BE$1,$B$1)</f>
        <v>188.3</v>
      </c>
      <c r="BF42">
        <f>_xll.EQNXTDZ($A$1,$B42,BF$1,$B$1)</f>
        <v>50.2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24.7</v>
      </c>
      <c r="AB45">
        <f>_xll.EQNXTDZ($A$1,$B45,AB$1,$B$1)</f>
        <v>28.6</v>
      </c>
      <c r="AC45">
        <f>_xll.EQNXTDZ($A$1,$B45,AC$1,$B$1)</f>
        <v>28.6</v>
      </c>
      <c r="AD45">
        <f>_xll.EQNXTDZ($A$1,$B45,AD$1,$B$1)</f>
        <v>28.6</v>
      </c>
      <c r="AE45">
        <f>_xll.EQNXTDZ($A$1,$B45,AE$1,$B$1)</f>
        <v>28.8</v>
      </c>
      <c r="AF45">
        <f>_xll.EQNXTDZ($A$1,$B45,AF$1,$B$1)</f>
        <v>28.8</v>
      </c>
      <c r="AG45">
        <f>_xll.EQNXTDZ($A$1,$B45,AG$1,$B$1)</f>
        <v>28.9</v>
      </c>
      <c r="AH45">
        <f>_xll.EQNXTDZ($A$1,$B45,AH$1,$B$1)</f>
        <v>28.9</v>
      </c>
      <c r="AI45">
        <f>_xll.EQNXTDZ($A$1,$B45,AI$1,$B$1)</f>
        <v>28.9</v>
      </c>
      <c r="AJ45">
        <f>_xll.EQNXTDZ($A$1,$B45,AJ$1,$B$1)</f>
        <v>28.9</v>
      </c>
      <c r="AK45">
        <f>_xll.EQNXTDZ($A$1,$B45,AK$1,$B$1)</f>
        <v>29.1</v>
      </c>
      <c r="AL45">
        <f>_xll.EQNXTDZ($A$1,$B45,AL$1,$B$1)</f>
        <v>30.3</v>
      </c>
      <c r="AM45">
        <f>_xll.EQNXTDZ($A$1,$B45,AM$1,$B$1)</f>
        <v>30.3</v>
      </c>
      <c r="AN45">
        <f>_xll.EQNXTDZ($A$1,$B45,AN$1,$B$1)</f>
        <v>30.3</v>
      </c>
      <c r="AO45">
        <f>_xll.EQNXTDZ($A$1,$B45,AO$1,$B$1)</f>
        <v>30.6</v>
      </c>
      <c r="AP45">
        <f>_xll.EQNXTDZ($A$1,$B45,AP$1,$B$1)</f>
        <v>30.6</v>
      </c>
      <c r="AQ45">
        <f>_xll.EQNXTDZ($A$1,$B45,AQ$1,$B$1)</f>
        <v>30.4</v>
      </c>
      <c r="AR45">
        <f>_xll.EQNXTDZ($A$1,$B45,AR$1,$B$1)</f>
        <v>30.6</v>
      </c>
      <c r="AS45">
        <f>_xll.EQNXTDZ($A$1,$B45,AS$1,$B$1)</f>
        <v>30.6</v>
      </c>
      <c r="AT45">
        <f>_xll.EQNXTDZ($A$1,$B45,AT$1,$B$1)</f>
        <v>30.6</v>
      </c>
      <c r="AU45">
        <f>_xll.EQNXTDZ($A$1,$B45,AU$1,$B$1)</f>
        <v>61.2</v>
      </c>
      <c r="AV45">
        <f>_xll.EQNXTDZ($A$1,$B45,AV$1,$B$1)</f>
        <v>59.9</v>
      </c>
      <c r="AW45">
        <f>_xll.EQNXTDZ($A$1,$B45,AW$1,$B$1)</f>
        <v>59.9</v>
      </c>
      <c r="AX45">
        <f>_xll.EQNXTDZ($A$1,$B45,AX$1,$B$1)</f>
        <v>59.9</v>
      </c>
      <c r="AY45">
        <f>_xll.EQNXTDZ($A$1,$B45,AY$1,$B$1)</f>
        <v>60</v>
      </c>
      <c r="AZ45">
        <f>_xll.EQNXTDZ($A$1,$B45,AZ$1,$B$1)</f>
        <v>60</v>
      </c>
      <c r="BA45">
        <f>_xll.EQNXTDZ($A$1,$B45,BA$1,$B$1)</f>
        <v>60</v>
      </c>
      <c r="BB45">
        <f>_xll.EQNXTDZ($A$1,$B45,BB$1,$B$1)</f>
        <v>60</v>
      </c>
      <c r="BC45">
        <f>_xll.EQNXTDZ($A$1,$B45,BC$1,$B$1)</f>
        <v>60</v>
      </c>
      <c r="BD45">
        <f>_xll.EQNXTDZ($A$1,$B45,BD$1,$B$1)</f>
        <v>60</v>
      </c>
      <c r="BE45">
        <f>_xll.EQNXTDZ($A$1,$B45,BE$1,$B$1)</f>
        <v>60.1</v>
      </c>
      <c r="BF45">
        <f>_xll.EQNXTDZ($A$1,$B45,BF$1,$B$1)</f>
        <v>60.1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883.3</v>
      </c>
      <c r="AG48" s="55">
        <f>_xll.EQNXTDZ($A$1,$B48,AG$5)</f>
        <v>1033.0250000000001</v>
      </c>
      <c r="AH48" s="55">
        <f>_xll.EQNXTDZ($A$1,$B48,AH$5)</f>
        <v>967.95</v>
      </c>
      <c r="AI48" s="55">
        <f>_xll.EQNXTDZ($A$1,$B48,AI$5)</f>
        <v>1158.7249999999999</v>
      </c>
      <c r="AJ48" s="55">
        <f>_xll.EQNXTDZ($A$1,$B48,AJ$5)</f>
        <v>2496.0250000000001</v>
      </c>
      <c r="AK48" s="55">
        <f>_xll.EQNXTDZ($A$1,$B48,AK$5)</f>
        <v>3202.7</v>
      </c>
      <c r="AL48" s="55">
        <f>_xll.EQNXTDZ($A$1,$B48,AL$5)</f>
        <v>3866.2750000000001</v>
      </c>
      <c r="AM48" s="55">
        <f>_xll.EQNXTDZ($A$1,$B48,AM$5)</f>
        <v>3494.8</v>
      </c>
      <c r="AN48" s="55">
        <f>_xll.EQNXTDZ($A$1,$B48,AN$5)</f>
        <v>4193.05</v>
      </c>
      <c r="AO48" s="55">
        <f>_xll.EQNXTDZ($A$1,$B48,AO$5)</f>
        <v>3236.9749999999999</v>
      </c>
      <c r="AP48" s="55">
        <f>_xll.EQNXTDZ($A$1,$B48,AP$5)</f>
        <v>2161.6</v>
      </c>
      <c r="AQ48" s="55">
        <f>_xll.EQNXTDZ($A$1,$B48,AQ$5)</f>
        <v>1905.85</v>
      </c>
      <c r="AR48" s="55">
        <f>_xll.EQNXTDZ($A$1,$B48,AR$5)</f>
        <v>2231.25</v>
      </c>
      <c r="AS48" s="55">
        <f>_xll.EQNXTDZ($A$1,$B48,AS$5)</f>
        <v>2159.25</v>
      </c>
      <c r="AT48" s="55">
        <f>_xll.EQNXTDZ($A$1,$B48,AT$5)</f>
        <v>2514.0749999999998</v>
      </c>
      <c r="AU48" s="55">
        <f>_xll.EQNXTDZ($A$1,$B48,AU$5)</f>
        <v>2815.35</v>
      </c>
      <c r="AV48" s="55">
        <f>_xll.EQNXTDZ($A$1,$B48,AV$5)</f>
        <v>2870.4</v>
      </c>
      <c r="AW48" s="55">
        <f>_xll.EQNXTDZ($A$1,$B48,AW$5)</f>
        <v>2721.6</v>
      </c>
      <c r="AX48" s="55">
        <f>_xll.EQNXTDZ($A$1,$B48,AX$5)</f>
        <v>2645.75</v>
      </c>
      <c r="AY48" s="55">
        <f>_xll.EQNXTDZ($A$1,$B48,AY$5)</f>
        <v>2680.5</v>
      </c>
      <c r="AZ48" s="55">
        <f>_xll.EQNXTDZ($A$1,$B48,AZ$5)</f>
        <v>2955</v>
      </c>
      <c r="BA48" s="55">
        <f>_xll.EQNXTDZ($A$1,$B48,BA$5)</f>
        <v>2249.1999999999998</v>
      </c>
      <c r="BB48" s="55">
        <f>_xll.EQNXTDZ($A$1,$B48,BB$5)</f>
        <v>2065.4</v>
      </c>
      <c r="BC48" s="55">
        <f>_xll.EQNXTDZ($A$1,$B48,BC$5)</f>
        <v>2595.1999999999998</v>
      </c>
      <c r="BD48" s="55">
        <f>_xll.EQNXTDZ($A$1,$B48,BD$5)</f>
        <v>2355.4499999999998</v>
      </c>
      <c r="BE48" s="55">
        <f>_xll.EQNXTDZ($A$1,$B48,BE$5)</f>
        <v>2224</v>
      </c>
      <c r="BF48" s="55">
        <f>_xll.EQNXTDZ($A$1,$B48,BF$5)</f>
        <v>1983.9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52.34</v>
      </c>
      <c r="AG49" s="55">
        <f>_xll.EQNXTDZ($A$1,$B49,AG$5)</f>
        <v>52.34</v>
      </c>
      <c r="AH49" s="55">
        <f>_xll.EQNXTDZ($A$1,$B49,AH$5)</f>
        <v>52.34</v>
      </c>
      <c r="AI49" s="55">
        <f>_xll.EQNXTDZ($A$1,$B49,AI$5)</f>
        <v>52.34</v>
      </c>
      <c r="AJ49" s="55">
        <f>_xll.EQNXTDZ($A$1,$B49,AJ$5)</f>
        <v>51.99</v>
      </c>
      <c r="AK49" s="55">
        <f>_xll.EQNXTDZ($A$1,$B49,AK$5)</f>
        <v>51.98</v>
      </c>
      <c r="AL49" s="55">
        <f>_xll.EQNXTDZ($A$1,$B49,AL$5)</f>
        <v>49.85</v>
      </c>
      <c r="AM49" s="55">
        <f>_xll.EQNXTDZ($A$1,$B49,AM$5)</f>
        <v>49.82</v>
      </c>
      <c r="AN49" s="55">
        <f>_xll.EQNXTDZ($A$1,$B49,AN$5)</f>
        <v>49.52</v>
      </c>
      <c r="AO49" s="55">
        <f>_xll.EQNXTDZ($A$1,$B49,AO$5)</f>
        <v>49.52</v>
      </c>
      <c r="AP49" s="55">
        <f>_xll.EQNXTDZ($A$1,$B49,AP$5)</f>
        <v>49.52</v>
      </c>
      <c r="AQ49" s="55">
        <f>_xll.EQNXTDZ($A$1,$B49,AQ$5)</f>
        <v>49.22</v>
      </c>
      <c r="AR49" s="55">
        <f>_xll.EQNXTDZ($A$1,$B49,AR$5)</f>
        <v>49.22</v>
      </c>
      <c r="AS49" s="55">
        <f>_xll.EQNXTDZ($A$1,$B49,AS$5)</f>
        <v>49.22</v>
      </c>
      <c r="AT49" s="55">
        <f>_xll.EQNXTDZ($A$1,$B49,AT$5)</f>
        <v>49.22</v>
      </c>
      <c r="AU49" s="55">
        <f>_xll.EQNXTDZ($A$1,$B49,AU$5)</f>
        <v>49.22</v>
      </c>
      <c r="AV49" s="55">
        <f>_xll.EQNXTDZ($A$1,$B49,AV$5)</f>
        <v>49.21</v>
      </c>
      <c r="AW49" s="55">
        <f>_xll.EQNXTDZ($A$1,$B49,AW$5)</f>
        <v>49.21</v>
      </c>
      <c r="AX49" s="55">
        <f>_xll.EQNXTDZ($A$1,$B49,AX$5)</f>
        <v>49.21</v>
      </c>
      <c r="AY49" s="55">
        <f>_xll.EQNXTDZ($A$1,$B49,AY$5)</f>
        <v>49.21</v>
      </c>
      <c r="AZ49" s="55">
        <f>_xll.EQNXTDZ($A$1,$B49,AZ$5)</f>
        <v>49.21</v>
      </c>
      <c r="BA49" s="55">
        <f>_xll.EQNXTDZ($A$1,$B49,BA$5)</f>
        <v>49.17</v>
      </c>
      <c r="BB49" s="55">
        <f>_xll.EQNXTDZ($A$1,$B49,BB$5)</f>
        <v>49.17</v>
      </c>
      <c r="BC49" s="55">
        <f>_xll.EQNXTDZ($A$1,$B49,BC$5)</f>
        <v>49.17</v>
      </c>
      <c r="BD49" s="55">
        <f>_xll.EQNXTDZ($A$1,$B49,BD$5)</f>
        <v>49.17</v>
      </c>
      <c r="BE49" s="55">
        <f>_xll.EQNXTDZ($A$1,$B49,BE$5)</f>
        <v>49.12</v>
      </c>
      <c r="BF49" s="55">
        <f>_xll.EQNXTDZ($A$1,$B49,BF$5)</f>
        <v>49.12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28.6</v>
      </c>
      <c r="AE56" s="55">
        <f>_xll.EQNXTDZ($A$1,$B56,AE$5,$B$1)</f>
        <v>0</v>
      </c>
      <c r="AF56" s="55">
        <f>_xll.EQNXTDZ($A$1,$B56,AF$5,$B$1)</f>
        <v>28.8</v>
      </c>
      <c r="AG56" s="55">
        <f>_xll.EQNXTDZ($A$1,$B56,AG$5,$B$1)</f>
        <v>0</v>
      </c>
      <c r="AH56" s="55">
        <f>_xll.EQNXTDZ($A$1,$B56,AH$5,$B$1)</f>
        <v>28.9</v>
      </c>
      <c r="AI56" s="55">
        <f>_xll.EQNXTDZ($A$1,$B56,AI$5,$B$1)</f>
        <v>0</v>
      </c>
      <c r="AJ56" s="55">
        <f>_xll.EQNXTDZ($A$1,$B56,AJ$5,$B$1)</f>
        <v>28.9</v>
      </c>
      <c r="AK56" s="55">
        <f>_xll.EQNXTDZ($A$1,$B56,AK$5,$B$1)</f>
        <v>0</v>
      </c>
      <c r="AL56" s="55">
        <f>_xll.EQNXTDZ($A$1,$B56,AL$5,$B$1)</f>
        <v>30.3</v>
      </c>
      <c r="AM56" s="55">
        <f>_xll.EQNXTDZ($A$1,$B56,AM$5,$B$1)</f>
        <v>0</v>
      </c>
      <c r="AN56" s="55">
        <f>_xll.EQNXTDZ($A$1,$B56,AN$5,$B$1)</f>
        <v>30.3</v>
      </c>
      <c r="AO56" s="55">
        <f>_xll.EQNXTDZ($A$1,$B56,AO$5,$B$1)</f>
        <v>0</v>
      </c>
      <c r="AP56" s="55">
        <f>_xll.EQNXTDZ($A$1,$B56,AP$5,$B$1)</f>
        <v>30.6</v>
      </c>
      <c r="AQ56" s="55">
        <f>_xll.EQNXTDZ($A$1,$B56,AQ$5,$B$1)</f>
        <v>0</v>
      </c>
      <c r="AR56" s="55">
        <f>_xll.EQNXTDZ($A$1,$B56,AR$5,$B$1)</f>
        <v>30.6</v>
      </c>
      <c r="AS56" s="55">
        <f>_xll.EQNXTDZ($A$1,$B56,AS$5,$B$1)</f>
        <v>0</v>
      </c>
      <c r="AT56" s="55">
        <f>_xll.EQNXTDZ($A$1,$B56,AT$5,$B$1)</f>
        <v>30.6</v>
      </c>
      <c r="AU56" s="55">
        <f>_xll.EQNXTDZ($A$1,$B56,AU$5,$B$1)</f>
        <v>0</v>
      </c>
      <c r="AV56" s="55">
        <f>_xll.EQNXTDZ($A$1,$B56,AV$5,$B$1)</f>
        <v>59.9</v>
      </c>
      <c r="AW56" s="55">
        <f>_xll.EQNXTDZ($A$1,$B56,AW$5,$B$1)</f>
        <v>0</v>
      </c>
      <c r="AX56" s="55">
        <f>_xll.EQNXTDZ($A$1,$B56,AX$5,$B$1)</f>
        <v>59.9</v>
      </c>
      <c r="AY56" s="55">
        <f>_xll.EQNXTDZ($A$1,$B56,AY$5,$B$1)</f>
        <v>0</v>
      </c>
      <c r="AZ56" s="55">
        <f>_xll.EQNXTDZ($A$1,$B56,AZ$5,$B$1)</f>
        <v>60</v>
      </c>
      <c r="BA56" s="55">
        <f>_xll.EQNXTDZ($A$1,$B56,BA$5,$B$1)</f>
        <v>0</v>
      </c>
      <c r="BB56" s="55">
        <f>_xll.EQNXTDZ($A$1,$B56,BB$5,$B$1)</f>
        <v>60</v>
      </c>
      <c r="BC56" s="55">
        <f>_xll.EQNXTDZ($A$1,$B56,BC$5,$B$1)</f>
        <v>0</v>
      </c>
      <c r="BD56" s="55">
        <f>_xll.EQNXTDZ($A$1,$B56,BD$5,$B$1)</f>
        <v>60</v>
      </c>
      <c r="BE56" s="55">
        <f>_xll.EQNXTDZ($A$1,$B56,BE$5,$B$1)</f>
        <v>0</v>
      </c>
      <c r="BF56" s="55">
        <f>_xll.EQNXTDZ($A$1,$B56,BF$5,$B$1)</f>
        <v>60.1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131.30000000000001</v>
      </c>
      <c r="AE58" s="55">
        <f>_xll.EQNXTDZ($A$1,$B58,AE$5,$B$1)</f>
        <v>0</v>
      </c>
      <c r="AF58" s="55">
        <f>_xll.EQNXTDZ($A$1,$B58,AF$5,$B$1)</f>
        <v>174</v>
      </c>
      <c r="AG58" s="55">
        <f>_xll.EQNXTDZ($A$1,$B58,AG$5,$B$1)</f>
        <v>0</v>
      </c>
      <c r="AH58" s="55">
        <f>_xll.EQNXTDZ($A$1,$B58,AH$5,$B$1)</f>
        <v>246.2</v>
      </c>
      <c r="AI58" s="55">
        <f>_xll.EQNXTDZ($A$1,$B58,AI$5,$B$1)</f>
        <v>0</v>
      </c>
      <c r="AJ58" s="55">
        <f>_xll.EQNXTDZ($A$1,$B58,AJ$5,$B$1)</f>
        <v>393</v>
      </c>
      <c r="AK58" s="55">
        <f>_xll.EQNXTDZ($A$1,$B58,AK$5,$B$1)</f>
        <v>0</v>
      </c>
      <c r="AL58" s="55">
        <f>_xll.EQNXTDZ($A$1,$B58,AL$5,$B$1)</f>
        <v>1580.6</v>
      </c>
      <c r="AM58" s="55">
        <f>_xll.EQNXTDZ($A$1,$B58,AM$5,$B$1)</f>
        <v>0</v>
      </c>
      <c r="AN58" s="55">
        <f>_xll.EQNXTDZ($A$1,$B58,AN$5,$B$1)</f>
        <v>1707.9</v>
      </c>
      <c r="AO58" s="55">
        <f>_xll.EQNXTDZ($A$1,$B58,AO$5,$B$1)</f>
        <v>0</v>
      </c>
      <c r="AP58" s="55">
        <f>_xll.EQNXTDZ($A$1,$B58,AP$5,$B$1)</f>
        <v>1843.5</v>
      </c>
      <c r="AQ58" s="55">
        <f>_xll.EQNXTDZ($A$1,$B58,AQ$5,$B$1)</f>
        <v>0</v>
      </c>
      <c r="AR58" s="55">
        <f>_xll.EQNXTDZ($A$1,$B58,AR$5,$B$1)</f>
        <v>1847.8</v>
      </c>
      <c r="AS58" s="55">
        <f>_xll.EQNXTDZ($A$1,$B58,AS$5,$B$1)</f>
        <v>0</v>
      </c>
      <c r="AT58" s="55">
        <f>_xll.EQNXTDZ($A$1,$B58,AT$5,$B$1)</f>
        <v>2027.9</v>
      </c>
      <c r="AU58" s="55">
        <f>_xll.EQNXTDZ($A$1,$B58,AU$5,$B$1)</f>
        <v>0</v>
      </c>
      <c r="AV58" s="55">
        <f>_xll.EQNXTDZ($A$1,$B58,AV$5,$B$1)</f>
        <v>1484.9</v>
      </c>
      <c r="AW58" s="55">
        <f>_xll.EQNXTDZ($A$1,$B58,AW$5,$B$1)</f>
        <v>0</v>
      </c>
      <c r="AX58" s="55">
        <f>_xll.EQNXTDZ($A$1,$B58,AX$5,$B$1)</f>
        <v>1676.2</v>
      </c>
      <c r="AY58" s="55">
        <f>_xll.EQNXTDZ($A$1,$B58,AY$5,$B$1)</f>
        <v>0</v>
      </c>
      <c r="AZ58" s="55">
        <f>_xll.EQNXTDZ($A$1,$B58,AZ$5,$B$1)</f>
        <v>1817.3</v>
      </c>
      <c r="BA58" s="55">
        <f>_xll.EQNXTDZ($A$1,$B58,BA$5,$B$1)</f>
        <v>0</v>
      </c>
      <c r="BB58" s="55">
        <f>_xll.EQNXTDZ($A$1,$B58,BB$5,$B$1)</f>
        <v>2125.3000000000002</v>
      </c>
      <c r="BC58" s="55">
        <f>_xll.EQNXTDZ($A$1,$B58,BC$5,$B$1)</f>
        <v>0</v>
      </c>
      <c r="BD58" s="55">
        <f>_xll.EQNXTDZ($A$1,$B58,BD$5,$B$1)</f>
        <v>2077.6999999999998</v>
      </c>
      <c r="BE58" s="55">
        <f>_xll.EQNXTDZ($A$1,$B58,BE$5,$B$1)</f>
        <v>0</v>
      </c>
      <c r="BF58" s="55">
        <f>_xll.EQNXTDZ($A$1,$B58,BF$5,$B$1)</f>
        <v>2340.3000000000002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159.9</v>
      </c>
      <c r="AE59" s="55">
        <f>_xll.EQNXTDZ($A$1,$B59,AE$5,$B$1)</f>
        <v>0</v>
      </c>
      <c r="AF59" s="55">
        <f>_xll.EQNXTDZ($A$1,$B59,AF$5,$B$1)</f>
        <v>202.8</v>
      </c>
      <c r="AG59" s="55">
        <f>_xll.EQNXTDZ($A$1,$B59,AG$5,$B$1)</f>
        <v>0</v>
      </c>
      <c r="AH59" s="55">
        <f>_xll.EQNXTDZ($A$1,$B59,AH$5,$B$1)</f>
        <v>275.10000000000002</v>
      </c>
      <c r="AI59" s="55">
        <f>_xll.EQNXTDZ($A$1,$B59,AI$5,$B$1)</f>
        <v>0</v>
      </c>
      <c r="AJ59" s="55">
        <f>_xll.EQNXTDZ($A$1,$B59,AJ$5,$B$1)</f>
        <v>421.9</v>
      </c>
      <c r="AK59" s="55">
        <f>_xll.EQNXTDZ($A$1,$B59,AK$5,$B$1)</f>
        <v>0</v>
      </c>
      <c r="AL59" s="55">
        <f>_xll.EQNXTDZ($A$1,$B59,AL$5,$B$1)</f>
        <v>1610.9</v>
      </c>
      <c r="AM59" s="55">
        <f>_xll.EQNXTDZ($A$1,$B59,AM$5,$B$1)</f>
        <v>0</v>
      </c>
      <c r="AN59" s="55">
        <f>_xll.EQNXTDZ($A$1,$B59,AN$5,$B$1)</f>
        <v>1738.2</v>
      </c>
      <c r="AO59" s="55">
        <f>_xll.EQNXTDZ($A$1,$B59,AO$5,$B$1)</f>
        <v>0</v>
      </c>
      <c r="AP59" s="55">
        <f>_xll.EQNXTDZ($A$1,$B59,AP$5,$B$1)</f>
        <v>1874.1</v>
      </c>
      <c r="AQ59" s="55">
        <f>_xll.EQNXTDZ($A$1,$B59,AQ$5,$B$1)</f>
        <v>0</v>
      </c>
      <c r="AR59" s="55">
        <f>_xll.EQNXTDZ($A$1,$B59,AR$5,$B$1)</f>
        <v>1878.4</v>
      </c>
      <c r="AS59" s="55">
        <f>_xll.EQNXTDZ($A$1,$B59,AS$5,$B$1)</f>
        <v>0</v>
      </c>
      <c r="AT59" s="55">
        <f>_xll.EQNXTDZ($A$1,$B59,AT$5,$B$1)</f>
        <v>2058.5</v>
      </c>
      <c r="AU59" s="55">
        <f>_xll.EQNXTDZ($A$1,$B59,AU$5,$B$1)</f>
        <v>0</v>
      </c>
      <c r="AV59" s="55">
        <f>_xll.EQNXTDZ($A$1,$B59,AV$5,$B$1)</f>
        <v>1544.8</v>
      </c>
      <c r="AW59" s="55">
        <f>_xll.EQNXTDZ($A$1,$B59,AW$5,$B$1)</f>
        <v>0</v>
      </c>
      <c r="AX59" s="55">
        <f>_xll.EQNXTDZ($A$1,$B59,AX$5,$B$1)</f>
        <v>1736.1</v>
      </c>
      <c r="AY59" s="55">
        <f>_xll.EQNXTDZ($A$1,$B59,AY$5,$B$1)</f>
        <v>0</v>
      </c>
      <c r="AZ59" s="55">
        <f>_xll.EQNXTDZ($A$1,$B59,AZ$5,$B$1)</f>
        <v>1877.3</v>
      </c>
      <c r="BA59" s="55">
        <f>_xll.EQNXTDZ($A$1,$B59,BA$5,$B$1)</f>
        <v>0</v>
      </c>
      <c r="BB59" s="55">
        <f>_xll.EQNXTDZ($A$1,$B59,BB$5,$B$1)</f>
        <v>2185.3000000000002</v>
      </c>
      <c r="BC59" s="55">
        <f>_xll.EQNXTDZ($A$1,$B59,BC$5,$B$1)</f>
        <v>0</v>
      </c>
      <c r="BD59" s="55">
        <f>_xll.EQNXTDZ($A$1,$B59,BD$5,$B$1)</f>
        <v>2137.6999999999998</v>
      </c>
      <c r="BE59" s="55">
        <f>_xll.EQNXTDZ($A$1,$B59,BE$5,$B$1)</f>
        <v>0</v>
      </c>
      <c r="BF59" s="55">
        <f>_xll.EQNXTDZ($A$1,$B59,BF$5,$B$1)</f>
        <v>2400.4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230.1</v>
      </c>
      <c r="AE64" s="55">
        <f>_xll.EQNXTDZ($A$1,$B64,AE$5,$B$1)</f>
        <v>0</v>
      </c>
      <c r="AF64" s="55">
        <f>_xll.EQNXTDZ($A$1,$B64,AF$5,$B$1)</f>
        <v>258.39999999999998</v>
      </c>
      <c r="AG64" s="55">
        <f>_xll.EQNXTDZ($A$1,$B64,AG$5,$B$1)</f>
        <v>0</v>
      </c>
      <c r="AH64" s="55">
        <f>_xll.EQNXTDZ($A$1,$B64,AH$5,$B$1)</f>
        <v>330.9</v>
      </c>
      <c r="AI64" s="55">
        <f>_xll.EQNXTDZ($A$1,$B64,AI$5,$B$1)</f>
        <v>0</v>
      </c>
      <c r="AJ64" s="55">
        <f>_xll.EQNXTDZ($A$1,$B64,AJ$5,$B$1)</f>
        <v>285.2</v>
      </c>
      <c r="AK64" s="55">
        <f>_xll.EQNXTDZ($A$1,$B64,AK$5,$B$1)</f>
        <v>0</v>
      </c>
      <c r="AL64" s="55">
        <f>_xll.EQNXTDZ($A$1,$B64,AL$5,$B$1)</f>
        <v>311.10000000000002</v>
      </c>
      <c r="AM64" s="55">
        <f>_xll.EQNXTDZ($A$1,$B64,AM$5,$B$1)</f>
        <v>0</v>
      </c>
      <c r="AN64" s="55">
        <f>_xll.EQNXTDZ($A$1,$B64,AN$5,$B$1)</f>
        <v>327.10000000000002</v>
      </c>
      <c r="AO64" s="55">
        <f>_xll.EQNXTDZ($A$1,$B64,AO$5,$B$1)</f>
        <v>0</v>
      </c>
      <c r="AP64" s="55">
        <f>_xll.EQNXTDZ($A$1,$B64,AP$5,$B$1)</f>
        <v>377.8</v>
      </c>
      <c r="AQ64" s="55">
        <f>_xll.EQNXTDZ($A$1,$B64,AQ$5,$B$1)</f>
        <v>0</v>
      </c>
      <c r="AR64" s="55">
        <f>_xll.EQNXTDZ($A$1,$B64,AR$5,$B$1)</f>
        <v>438.7</v>
      </c>
      <c r="AS64" s="55">
        <f>_xll.EQNXTDZ($A$1,$B64,AS$5,$B$1)</f>
        <v>0</v>
      </c>
      <c r="AT64" s="55">
        <f>_xll.EQNXTDZ($A$1,$B64,AT$5,$B$1)</f>
        <v>490.2</v>
      </c>
      <c r="AU64" s="55">
        <f>_xll.EQNXTDZ($A$1,$B64,AU$5,$B$1)</f>
        <v>0</v>
      </c>
      <c r="AV64" s="55">
        <f>_xll.EQNXTDZ($A$1,$B64,AV$5,$B$1)</f>
        <v>526.1</v>
      </c>
      <c r="AW64" s="55">
        <f>_xll.EQNXTDZ($A$1,$B64,AW$5,$B$1)</f>
        <v>0</v>
      </c>
      <c r="AX64" s="55">
        <f>_xll.EQNXTDZ($A$1,$B64,AX$5,$B$1)</f>
        <v>575.20000000000005</v>
      </c>
      <c r="AY64" s="55">
        <f>_xll.EQNXTDZ($A$1,$B64,AY$5,$B$1)</f>
        <v>0</v>
      </c>
      <c r="AZ64" s="55">
        <f>_xll.EQNXTDZ($A$1,$B64,AZ$5,$B$1)</f>
        <v>573.79999999999995</v>
      </c>
      <c r="BA64" s="55">
        <f>_xll.EQNXTDZ($A$1,$B64,BA$5,$B$1)</f>
        <v>0</v>
      </c>
      <c r="BB64" s="55">
        <f>_xll.EQNXTDZ($A$1,$B64,BB$5,$B$1)</f>
        <v>640.4</v>
      </c>
      <c r="BC64" s="55">
        <f>_xll.EQNXTDZ($A$1,$B64,BC$5,$B$1)</f>
        <v>0</v>
      </c>
      <c r="BD64" s="55">
        <f>_xll.EQNXTDZ($A$1,$B64,BD$5,$B$1)</f>
        <v>675.1</v>
      </c>
      <c r="BE64" s="55">
        <f>_xll.EQNXTDZ($A$1,$B64,BE$5,$B$1)</f>
        <v>0</v>
      </c>
      <c r="BF64" s="55">
        <f>_xll.EQNXTDZ($A$1,$B64,BF$5,$B$1)</f>
        <v>758.2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9.6</v>
      </c>
      <c r="AE66" s="55">
        <f>_xll.EQNXTDZ($A$1,$B66,AE$5,$B$1)</f>
        <v>0</v>
      </c>
      <c r="AF66" s="55">
        <f>_xll.EQNXTDZ($A$1,$B66,AF$5,$B$1)</f>
        <v>21</v>
      </c>
      <c r="AG66" s="55">
        <f>_xll.EQNXTDZ($A$1,$B66,AG$5,$B$1)</f>
        <v>0</v>
      </c>
      <c r="AH66" s="55">
        <f>_xll.EQNXTDZ($A$1,$B66,AH$5,$B$1)</f>
        <v>26.5</v>
      </c>
      <c r="AI66" s="55">
        <f>_xll.EQNXTDZ($A$1,$B66,AI$5,$B$1)</f>
        <v>0</v>
      </c>
      <c r="AJ66" s="55">
        <f>_xll.EQNXTDZ($A$1,$B66,AJ$5,$B$1)</f>
        <v>29.2</v>
      </c>
      <c r="AK66" s="55">
        <f>_xll.EQNXTDZ($A$1,$B66,AK$5,$B$1)</f>
        <v>0</v>
      </c>
      <c r="AL66" s="55">
        <f>_xll.EQNXTDZ($A$1,$B66,AL$5,$B$1)</f>
        <v>27.5</v>
      </c>
      <c r="AM66" s="55">
        <f>_xll.EQNXTDZ($A$1,$B66,AM$5,$B$1)</f>
        <v>0</v>
      </c>
      <c r="AN66" s="55">
        <f>_xll.EQNXTDZ($A$1,$B66,AN$5,$B$1)</f>
        <v>29.8</v>
      </c>
      <c r="AO66" s="55">
        <f>_xll.EQNXTDZ($A$1,$B66,AO$5,$B$1)</f>
        <v>0</v>
      </c>
      <c r="AP66" s="55">
        <f>_xll.EQNXTDZ($A$1,$B66,AP$5,$B$1)</f>
        <v>23.2</v>
      </c>
      <c r="AQ66" s="55">
        <f>_xll.EQNXTDZ($A$1,$B66,AQ$5,$B$1)</f>
        <v>0</v>
      </c>
      <c r="AR66" s="55">
        <f>_xll.EQNXTDZ($A$1,$B66,AR$5,$B$1)</f>
        <v>19.2</v>
      </c>
      <c r="AS66" s="55">
        <f>_xll.EQNXTDZ($A$1,$B66,AS$5,$B$1)</f>
        <v>0</v>
      </c>
      <c r="AT66" s="55">
        <f>_xll.EQNXTDZ($A$1,$B66,AT$5,$B$1)</f>
        <v>19.600000000000001</v>
      </c>
      <c r="AU66" s="55">
        <f>_xll.EQNXTDZ($A$1,$B66,AU$5,$B$1)</f>
        <v>0</v>
      </c>
      <c r="AV66" s="55">
        <f>_xll.EQNXTDZ($A$1,$B66,AV$5,$B$1)</f>
        <v>19.899999999999999</v>
      </c>
      <c r="AW66" s="55">
        <f>_xll.EQNXTDZ($A$1,$B66,AW$5,$B$1)</f>
        <v>0</v>
      </c>
      <c r="AX66" s="55">
        <f>_xll.EQNXTDZ($A$1,$B66,AX$5,$B$1)</f>
        <v>26.9</v>
      </c>
      <c r="AY66" s="55">
        <f>_xll.EQNXTDZ($A$1,$B66,AY$5,$B$1)</f>
        <v>0</v>
      </c>
      <c r="AZ66" s="55">
        <f>_xll.EQNXTDZ($A$1,$B66,AZ$5,$B$1)</f>
        <v>32.5</v>
      </c>
      <c r="BA66" s="55">
        <f>_xll.EQNXTDZ($A$1,$B66,BA$5,$B$1)</f>
        <v>0</v>
      </c>
      <c r="BB66" s="55">
        <f>_xll.EQNXTDZ($A$1,$B66,BB$5,$B$1)</f>
        <v>39.200000000000003</v>
      </c>
      <c r="BC66" s="55">
        <f>_xll.EQNXTDZ($A$1,$B66,BC$5,$B$1)</f>
        <v>0</v>
      </c>
      <c r="BD66" s="55">
        <f>_xll.EQNXTDZ($A$1,$B66,BD$5,$B$1)</f>
        <v>46.2</v>
      </c>
      <c r="BE66" s="55">
        <f>_xll.EQNXTDZ($A$1,$B66,BE$5,$B$1)</f>
        <v>0</v>
      </c>
      <c r="BF66" s="55">
        <f>_xll.EQNXTDZ($A$1,$B66,BF$5,$B$1)</f>
        <v>45.8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399.6</v>
      </c>
      <c r="AE67" s="55">
        <f>_xll.EQNXTDZ($A$1,$B67,AE$5,$B$1)</f>
        <v>0</v>
      </c>
      <c r="AF67" s="55">
        <f>_xll.EQNXTDZ($A$1,$B67,AF$5,$B$1)</f>
        <v>482.2</v>
      </c>
      <c r="AG67" s="55">
        <f>_xll.EQNXTDZ($A$1,$B67,AG$5,$B$1)</f>
        <v>0</v>
      </c>
      <c r="AH67" s="55">
        <f>_xll.EQNXTDZ($A$1,$B67,AH$5,$B$1)</f>
        <v>632.5</v>
      </c>
      <c r="AI67" s="55">
        <f>_xll.EQNXTDZ($A$1,$B67,AI$5,$B$1)</f>
        <v>0</v>
      </c>
      <c r="AJ67" s="55">
        <f>_xll.EQNXTDZ($A$1,$B67,AJ$5,$B$1)</f>
        <v>736.3</v>
      </c>
      <c r="AK67" s="55">
        <f>_xll.EQNXTDZ($A$1,$B67,AK$5,$B$1)</f>
        <v>0</v>
      </c>
      <c r="AL67" s="55">
        <f>_xll.EQNXTDZ($A$1,$B67,AL$5,$B$1)</f>
        <v>1949.5</v>
      </c>
      <c r="AM67" s="55">
        <f>_xll.EQNXTDZ($A$1,$B67,AM$5,$B$1)</f>
        <v>0</v>
      </c>
      <c r="AN67" s="55">
        <f>_xll.EQNXTDZ($A$1,$B67,AN$5,$B$1)</f>
        <v>2095.1</v>
      </c>
      <c r="AO67" s="55">
        <f>_xll.EQNXTDZ($A$1,$B67,AO$5,$B$1)</f>
        <v>0</v>
      </c>
      <c r="AP67" s="55">
        <f>_xll.EQNXTDZ($A$1,$B67,AP$5,$B$1)</f>
        <v>2275.1</v>
      </c>
      <c r="AQ67" s="55">
        <f>_xll.EQNXTDZ($A$1,$B67,AQ$5,$B$1)</f>
        <v>0</v>
      </c>
      <c r="AR67" s="55">
        <f>_xll.EQNXTDZ($A$1,$B67,AR$5,$B$1)</f>
        <v>2336.3000000000002</v>
      </c>
      <c r="AS67" s="55">
        <f>_xll.EQNXTDZ($A$1,$B67,AS$5,$B$1)</f>
        <v>0</v>
      </c>
      <c r="AT67" s="55">
        <f>_xll.EQNXTDZ($A$1,$B67,AT$5,$B$1)</f>
        <v>2568.3000000000002</v>
      </c>
      <c r="AU67" s="55">
        <f>_xll.EQNXTDZ($A$1,$B67,AU$5,$B$1)</f>
        <v>0</v>
      </c>
      <c r="AV67" s="55">
        <f>_xll.EQNXTDZ($A$1,$B67,AV$5,$B$1)</f>
        <v>2090.8000000000002</v>
      </c>
      <c r="AW67" s="55">
        <f>_xll.EQNXTDZ($A$1,$B67,AW$5,$B$1)</f>
        <v>0</v>
      </c>
      <c r="AX67" s="55">
        <f>_xll.EQNXTDZ($A$1,$B67,AX$5,$B$1)</f>
        <v>2338.1999999999998</v>
      </c>
      <c r="AY67" s="55">
        <f>_xll.EQNXTDZ($A$1,$B67,AY$5,$B$1)</f>
        <v>0</v>
      </c>
      <c r="AZ67" s="55">
        <f>_xll.EQNXTDZ($A$1,$B67,AZ$5,$B$1)</f>
        <v>2483.6</v>
      </c>
      <c r="BA67" s="55">
        <f>_xll.EQNXTDZ($A$1,$B67,BA$5,$B$1)</f>
        <v>0</v>
      </c>
      <c r="BB67" s="55">
        <f>_xll.EQNXTDZ($A$1,$B67,BB$5,$B$1)</f>
        <v>2864.9</v>
      </c>
      <c r="BC67" s="55">
        <f>_xll.EQNXTDZ($A$1,$B67,BC$5,$B$1)</f>
        <v>0</v>
      </c>
      <c r="BD67" s="55">
        <f>_xll.EQNXTDZ($A$1,$B67,BD$5,$B$1)</f>
        <v>2859</v>
      </c>
      <c r="BE67" s="55">
        <f>_xll.EQNXTDZ($A$1,$B67,BE$5,$B$1)</f>
        <v>0</v>
      </c>
      <c r="BF67" s="55">
        <f>_xll.EQNXTDZ($A$1,$B67,BF$5,$B$1)</f>
        <v>3204.4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9.1</v>
      </c>
      <c r="AE68" s="55">
        <f>_xll.EQNXTDZ($A$1,$B68,AE$5,$B$1)</f>
        <v>0</v>
      </c>
      <c r="AF68" s="55">
        <f>_xll.EQNXTDZ($A$1,$B68,AF$5,$B$1)</f>
        <v>6.2</v>
      </c>
      <c r="AG68" s="55">
        <f>_xll.EQNXTDZ($A$1,$B68,AG$5,$B$1)</f>
        <v>0</v>
      </c>
      <c r="AH68" s="55">
        <f>_xll.EQNXTDZ($A$1,$B68,AH$5,$B$1)</f>
        <v>5.7</v>
      </c>
      <c r="AI68" s="55">
        <f>_xll.EQNXTDZ($A$1,$B68,AI$5,$B$1)</f>
        <v>0</v>
      </c>
      <c r="AJ68" s="55">
        <f>_xll.EQNXTDZ($A$1,$B68,AJ$5,$B$1)</f>
        <v>3.9</v>
      </c>
      <c r="AK68" s="55">
        <f>_xll.EQNXTDZ($A$1,$B68,AK$5,$B$1)</f>
        <v>0</v>
      </c>
      <c r="AL68" s="55">
        <f>_xll.EQNXTDZ($A$1,$B68,AL$5,$B$1)</f>
        <v>2.5</v>
      </c>
      <c r="AM68" s="55">
        <f>_xll.EQNXTDZ($A$1,$B68,AM$5,$B$1)</f>
        <v>0</v>
      </c>
      <c r="AN68" s="55">
        <f>_xll.EQNXTDZ($A$1,$B68,AN$5,$B$1)</f>
        <v>1.9</v>
      </c>
      <c r="AO68" s="55">
        <f>_xll.EQNXTDZ($A$1,$B68,AO$5,$B$1)</f>
        <v>0</v>
      </c>
      <c r="AP68" s="55">
        <f>_xll.EQNXTDZ($A$1,$B68,AP$5,$B$1)</f>
        <v>3.3</v>
      </c>
      <c r="AQ68" s="55">
        <f>_xll.EQNXTDZ($A$1,$B68,AQ$5,$B$1)</f>
        <v>0</v>
      </c>
      <c r="AR68" s="55">
        <f>_xll.EQNXTDZ($A$1,$B68,AR$5,$B$1)</f>
        <v>63.1</v>
      </c>
      <c r="AS68" s="55">
        <f>_xll.EQNXTDZ($A$1,$B68,AS$5,$B$1)</f>
        <v>0</v>
      </c>
      <c r="AT68" s="55">
        <f>_xll.EQNXTDZ($A$1,$B68,AT$5,$B$1)</f>
        <v>57.5</v>
      </c>
      <c r="AU68" s="55">
        <f>_xll.EQNXTDZ($A$1,$B68,AU$5,$B$1)</f>
        <v>0</v>
      </c>
      <c r="AV68" s="55">
        <f>_xll.EQNXTDZ($A$1,$B68,AV$5,$B$1)</f>
        <v>51.1</v>
      </c>
      <c r="AW68" s="55">
        <f>_xll.EQNXTDZ($A$1,$B68,AW$5,$B$1)</f>
        <v>0</v>
      </c>
      <c r="AX68" s="55">
        <f>_xll.EQNXTDZ($A$1,$B68,AX$5,$B$1)</f>
        <v>49</v>
      </c>
      <c r="AY68" s="55">
        <f>_xll.EQNXTDZ($A$1,$B68,AY$5,$B$1)</f>
        <v>0</v>
      </c>
      <c r="AZ68" s="55">
        <f>_xll.EQNXTDZ($A$1,$B68,AZ$5,$B$1)</f>
        <v>42.2</v>
      </c>
      <c r="BA68" s="55">
        <f>_xll.EQNXTDZ($A$1,$B68,BA$5,$B$1)</f>
        <v>0</v>
      </c>
      <c r="BB68" s="55">
        <f>_xll.EQNXTDZ($A$1,$B68,BB$5,$B$1)</f>
        <v>36</v>
      </c>
      <c r="BC68" s="55">
        <f>_xll.EQNXTDZ($A$1,$B68,BC$5,$B$1)</f>
        <v>0</v>
      </c>
      <c r="BD68" s="55">
        <f>_xll.EQNXTDZ($A$1,$B68,BD$5,$B$1)</f>
        <v>31.4</v>
      </c>
      <c r="BE68" s="55">
        <f>_xll.EQNXTDZ($A$1,$B68,BE$5,$B$1)</f>
        <v>0</v>
      </c>
      <c r="BF68" s="55">
        <f>_xll.EQNXTDZ($A$1,$B68,BF$5,$B$1)</f>
        <v>23.3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9.1</v>
      </c>
      <c r="AE71" s="55">
        <f>_xll.EQNXTDZ($A$1,$B71,AE$5,$B$1)</f>
        <v>0</v>
      </c>
      <c r="AF71" s="55">
        <f>_xll.EQNXTDZ($A$1,$B71,AF$5,$B$1)</f>
        <v>6.2</v>
      </c>
      <c r="AG71" s="55">
        <f>_xll.EQNXTDZ($A$1,$B71,AG$5,$B$1)</f>
        <v>0</v>
      </c>
      <c r="AH71" s="55">
        <f>_xll.EQNXTDZ($A$1,$B71,AH$5,$B$1)</f>
        <v>5.7</v>
      </c>
      <c r="AI71" s="55">
        <f>_xll.EQNXTDZ($A$1,$B71,AI$5,$B$1)</f>
        <v>0</v>
      </c>
      <c r="AJ71" s="55">
        <f>_xll.EQNXTDZ($A$1,$B71,AJ$5,$B$1)</f>
        <v>3.9</v>
      </c>
      <c r="AK71" s="55">
        <f>_xll.EQNXTDZ($A$1,$B71,AK$5,$B$1)</f>
        <v>0</v>
      </c>
      <c r="AL71" s="55">
        <f>_xll.EQNXTDZ($A$1,$B71,AL$5,$B$1)</f>
        <v>2.5</v>
      </c>
      <c r="AM71" s="55">
        <f>_xll.EQNXTDZ($A$1,$B71,AM$5,$B$1)</f>
        <v>0</v>
      </c>
      <c r="AN71" s="55">
        <f>_xll.EQNXTDZ($A$1,$B71,AN$5,$B$1)</f>
        <v>1.9</v>
      </c>
      <c r="AO71" s="55">
        <f>_xll.EQNXTDZ($A$1,$B71,AO$5,$B$1)</f>
        <v>0</v>
      </c>
      <c r="AP71" s="55">
        <f>_xll.EQNXTDZ($A$1,$B71,AP$5,$B$1)</f>
        <v>3.3</v>
      </c>
      <c r="AQ71" s="55">
        <f>_xll.EQNXTDZ($A$1,$B71,AQ$5,$B$1)</f>
        <v>0</v>
      </c>
      <c r="AR71" s="55">
        <f>_xll.EQNXTDZ($A$1,$B71,AR$5,$B$1)</f>
        <v>63.1</v>
      </c>
      <c r="AS71" s="55">
        <f>_xll.EQNXTDZ($A$1,$B71,AS$5,$B$1)</f>
        <v>0</v>
      </c>
      <c r="AT71" s="55">
        <f>_xll.EQNXTDZ($A$1,$B71,AT$5,$B$1)</f>
        <v>57.5</v>
      </c>
      <c r="AU71" s="55">
        <f>_xll.EQNXTDZ($A$1,$B71,AU$5,$B$1)</f>
        <v>0</v>
      </c>
      <c r="AV71" s="55">
        <f>_xll.EQNXTDZ($A$1,$B71,AV$5,$B$1)</f>
        <v>51.1</v>
      </c>
      <c r="AW71" s="55">
        <f>_xll.EQNXTDZ($A$1,$B71,AW$5,$B$1)</f>
        <v>0</v>
      </c>
      <c r="AX71" s="55">
        <f>_xll.EQNXTDZ($A$1,$B71,AX$5,$B$1)</f>
        <v>49</v>
      </c>
      <c r="AY71" s="55">
        <f>_xll.EQNXTDZ($A$1,$B71,AY$5,$B$1)</f>
        <v>0</v>
      </c>
      <c r="AZ71" s="55">
        <f>_xll.EQNXTDZ($A$1,$B71,AZ$5,$B$1)</f>
        <v>42.2</v>
      </c>
      <c r="BA71" s="55">
        <f>_xll.EQNXTDZ($A$1,$B71,BA$5,$B$1)</f>
        <v>0</v>
      </c>
      <c r="BB71" s="55">
        <f>_xll.EQNXTDZ($A$1,$B71,BB$5,$B$1)</f>
        <v>36</v>
      </c>
      <c r="BC71" s="55">
        <f>_xll.EQNXTDZ($A$1,$B71,BC$5,$B$1)</f>
        <v>0</v>
      </c>
      <c r="BD71" s="55">
        <f>_xll.EQNXTDZ($A$1,$B71,BD$5,$B$1)</f>
        <v>31.4</v>
      </c>
      <c r="BE71" s="55">
        <f>_xll.EQNXTDZ($A$1,$B71,BE$5,$B$1)</f>
        <v>0</v>
      </c>
      <c r="BF71" s="55">
        <f>_xll.EQNXTDZ($A$1,$B71,BF$5,$B$1)</f>
        <v>23.3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455.8</v>
      </c>
      <c r="AS72" s="55">
        <f>_xll.EQNXTDZ($A$1,$B72,AS$5,$B$1)</f>
        <v>0</v>
      </c>
      <c r="AT72" s="55">
        <f>_xll.EQNXTDZ($A$1,$B72,AT$5,$B$1)</f>
        <v>454.3</v>
      </c>
      <c r="AU72" s="55">
        <f>_xll.EQNXTDZ($A$1,$B72,AU$5,$B$1)</f>
        <v>0</v>
      </c>
      <c r="AV72" s="55">
        <f>_xll.EQNXTDZ($A$1,$B72,AV$5,$B$1)</f>
        <v>454.3</v>
      </c>
      <c r="AW72" s="55">
        <f>_xll.EQNXTDZ($A$1,$B72,AW$5,$B$1)</f>
        <v>0</v>
      </c>
      <c r="AX72" s="55">
        <f>_xll.EQNXTDZ($A$1,$B72,AX$5,$B$1)</f>
        <v>454.3</v>
      </c>
      <c r="AY72" s="55">
        <f>_xll.EQNXTDZ($A$1,$B72,AY$5,$B$1)</f>
        <v>0</v>
      </c>
      <c r="AZ72" s="55">
        <f>_xll.EQNXTDZ($A$1,$B72,AZ$5,$B$1)</f>
        <v>454.3</v>
      </c>
      <c r="BA72" s="55">
        <f>_xll.EQNXTDZ($A$1,$B72,BA$5,$B$1)</f>
        <v>0</v>
      </c>
      <c r="BB72" s="55">
        <f>_xll.EQNXTDZ($A$1,$B72,BB$5,$B$1)</f>
        <v>454.3</v>
      </c>
      <c r="BC72" s="55">
        <f>_xll.EQNXTDZ($A$1,$B72,BC$5,$B$1)</f>
        <v>0</v>
      </c>
      <c r="BD72" s="55">
        <f>_xll.EQNXTDZ($A$1,$B72,BD$5,$B$1)</f>
        <v>454.3</v>
      </c>
      <c r="BE72" s="55">
        <f>_xll.EQNXTDZ($A$1,$B72,BE$5,$B$1)</f>
        <v>0</v>
      </c>
      <c r="BF72" s="55">
        <f>_xll.EQNXTDZ($A$1,$B72,BF$5,$B$1)</f>
        <v>454.3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0.2</v>
      </c>
      <c r="AE74" s="55">
        <f>_xll.EQNXTDZ($A$1,$B74,AE$5,$B$1)</f>
        <v>0</v>
      </c>
      <c r="AF74" s="55">
        <f>_xll.EQNXTDZ($A$1,$B74,AF$5,$B$1)</f>
        <v>0.2</v>
      </c>
      <c r="AG74" s="55">
        <f>_xll.EQNXTDZ($A$1,$B74,AG$5,$B$1)</f>
        <v>0</v>
      </c>
      <c r="AH74" s="55">
        <f>_xll.EQNXTDZ($A$1,$B74,AH$5,$B$1)</f>
        <v>0.2</v>
      </c>
      <c r="AI74" s="55">
        <f>_xll.EQNXTDZ($A$1,$B74,AI$5,$B$1)</f>
        <v>0</v>
      </c>
      <c r="AJ74" s="55">
        <f>_xll.EQNXTDZ($A$1,$B74,AJ$5,$B$1)</f>
        <v>0.2</v>
      </c>
      <c r="AK74" s="55">
        <f>_xll.EQNXTDZ($A$1,$B74,AK$5,$B$1)</f>
        <v>0</v>
      </c>
      <c r="AL74" s="55">
        <f>_xll.EQNXTDZ($A$1,$B74,AL$5,$B$1)</f>
        <v>0.2</v>
      </c>
      <c r="AM74" s="55">
        <f>_xll.EQNXTDZ($A$1,$B74,AM$5,$B$1)</f>
        <v>0</v>
      </c>
      <c r="AN74" s="55">
        <f>_xll.EQNXTDZ($A$1,$B74,AN$5,$B$1)</f>
        <v>0.2</v>
      </c>
      <c r="AO74" s="55">
        <f>_xll.EQNXTDZ($A$1,$B74,AO$5,$B$1)</f>
        <v>0</v>
      </c>
      <c r="AP74" s="55">
        <f>_xll.EQNXTDZ($A$1,$B74,AP$5,$B$1)</f>
        <v>0.2</v>
      </c>
      <c r="AQ74" s="55">
        <f>_xll.EQNXTDZ($A$1,$B74,AQ$5,$B$1)</f>
        <v>0</v>
      </c>
      <c r="AR74" s="55">
        <f>_xll.EQNXTDZ($A$1,$B74,AR$5,$B$1)</f>
        <v>0.2</v>
      </c>
      <c r="AS74" s="55">
        <f>_xll.EQNXTDZ($A$1,$B74,AS$5,$B$1)</f>
        <v>0</v>
      </c>
      <c r="AT74" s="55">
        <f>_xll.EQNXTDZ($A$1,$B74,AT$5,$B$1)</f>
        <v>0.2</v>
      </c>
      <c r="AU74" s="55">
        <f>_xll.EQNXTDZ($A$1,$B74,AU$5,$B$1)</f>
        <v>0</v>
      </c>
      <c r="AV74" s="55">
        <f>_xll.EQNXTDZ($A$1,$B74,AV$5,$B$1)</f>
        <v>0.2</v>
      </c>
      <c r="AW74" s="55">
        <f>_xll.EQNXTDZ($A$1,$B74,AW$5,$B$1)</f>
        <v>0</v>
      </c>
      <c r="AX74" s="55">
        <f>_xll.EQNXTDZ($A$1,$B74,AX$5,$B$1)</f>
        <v>0.5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31</v>
      </c>
      <c r="AG77" s="55">
        <f>_xll.EQNXTDZ($A$1,$B77,AG$5,$B$1)</f>
        <v>0</v>
      </c>
      <c r="AH77" s="55">
        <f>_xll.EQNXTDZ($A$1,$B77,AH$5,$B$1)</f>
        <v>29.6</v>
      </c>
      <c r="AI77" s="55">
        <f>_xll.EQNXTDZ($A$1,$B77,AI$5,$B$1)</f>
        <v>0</v>
      </c>
      <c r="AJ77" s="55">
        <f>_xll.EQNXTDZ($A$1,$B77,AJ$5,$B$1)</f>
        <v>39</v>
      </c>
      <c r="AK77" s="55">
        <f>_xll.EQNXTDZ($A$1,$B77,AK$5,$B$1)</f>
        <v>0</v>
      </c>
      <c r="AL77" s="55">
        <f>_xll.EQNXTDZ($A$1,$B77,AL$5,$B$1)</f>
        <v>37</v>
      </c>
      <c r="AM77" s="55">
        <f>_xll.EQNXTDZ($A$1,$B77,AM$5,$B$1)</f>
        <v>0</v>
      </c>
      <c r="AN77" s="55">
        <f>_xll.EQNXTDZ($A$1,$B77,AN$5,$B$1)</f>
        <v>101</v>
      </c>
      <c r="AO77" s="55">
        <f>_xll.EQNXTDZ($A$1,$B77,AO$5,$B$1)</f>
        <v>0</v>
      </c>
      <c r="AP77" s="55">
        <f>_xll.EQNXTDZ($A$1,$B77,AP$5,$B$1)</f>
        <v>420.9</v>
      </c>
      <c r="AQ77" s="55">
        <f>_xll.EQNXTDZ($A$1,$B77,AQ$5,$B$1)</f>
        <v>0</v>
      </c>
      <c r="AR77" s="55">
        <f>_xll.EQNXTDZ($A$1,$B77,AR$5,$B$1)</f>
        <v>445.3</v>
      </c>
      <c r="AS77" s="55">
        <f>_xll.EQNXTDZ($A$1,$B77,AS$5,$B$1)</f>
        <v>0</v>
      </c>
      <c r="AT77" s="55">
        <f>_xll.EQNXTDZ($A$1,$B77,AT$5,$B$1)</f>
        <v>511.6</v>
      </c>
      <c r="AU77" s="55">
        <f>_xll.EQNXTDZ($A$1,$B77,AU$5,$B$1)</f>
        <v>0</v>
      </c>
      <c r="AV77" s="55">
        <f>_xll.EQNXTDZ($A$1,$B77,AV$5,$B$1)</f>
        <v>505</v>
      </c>
      <c r="AW77" s="55">
        <f>_xll.EQNXTDZ($A$1,$B77,AW$5,$B$1)</f>
        <v>0</v>
      </c>
      <c r="AX77" s="55">
        <f>_xll.EQNXTDZ($A$1,$B77,AX$5,$B$1)</f>
        <v>523.70000000000005</v>
      </c>
      <c r="AY77" s="55">
        <f>_xll.EQNXTDZ($A$1,$B77,AY$5,$B$1)</f>
        <v>0</v>
      </c>
      <c r="AZ77" s="55">
        <f>_xll.EQNXTDZ($A$1,$B77,AZ$5,$B$1)</f>
        <v>597.20000000000005</v>
      </c>
      <c r="BA77" s="55">
        <f>_xll.EQNXTDZ($A$1,$B77,BA$5,$B$1)</f>
        <v>0</v>
      </c>
      <c r="BB77" s="55">
        <f>_xll.EQNXTDZ($A$1,$B77,BB$5,$B$1)</f>
        <v>664.9</v>
      </c>
      <c r="BC77" s="55">
        <f>_xll.EQNXTDZ($A$1,$B77,BC$5,$B$1)</f>
        <v>0</v>
      </c>
      <c r="BD77" s="55">
        <f>_xll.EQNXTDZ($A$1,$B77,BD$5,$B$1)</f>
        <v>684.6</v>
      </c>
      <c r="BE77" s="55">
        <f>_xll.EQNXTDZ($A$1,$B77,BE$5,$B$1)</f>
        <v>0</v>
      </c>
      <c r="BF77" s="55">
        <f>_xll.EQNXTDZ($A$1,$B77,BF$5,$B$1)</f>
        <v>762.9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0.1</v>
      </c>
      <c r="AE78" s="55">
        <f>_xll.EQNXTDZ($A$1,$B78,AE$5,$B$1)</f>
        <v>0</v>
      </c>
      <c r="AF78" s="55">
        <f>_xll.EQNXTDZ($A$1,$B78,AF$5,$B$1)</f>
        <v>0.1</v>
      </c>
      <c r="AG78" s="55">
        <f>_xll.EQNXTDZ($A$1,$B78,AG$5,$B$1)</f>
        <v>0</v>
      </c>
      <c r="AH78" s="55">
        <f>_xll.EQNXTDZ($A$1,$B78,AH$5,$B$1)</f>
        <v>0.1</v>
      </c>
      <c r="AI78" s="55">
        <f>_xll.EQNXTDZ($A$1,$B78,AI$5,$B$1)</f>
        <v>0</v>
      </c>
      <c r="AJ78" s="55">
        <f>_xll.EQNXTDZ($A$1,$B78,AJ$5,$B$1)</f>
        <v>0.1</v>
      </c>
      <c r="AK78" s="55">
        <f>_xll.EQNXTDZ($A$1,$B78,AK$5,$B$1)</f>
        <v>0</v>
      </c>
      <c r="AL78" s="55">
        <f>_xll.EQNXTDZ($A$1,$B78,AL$5,$B$1)</f>
        <v>0.2</v>
      </c>
      <c r="AM78" s="55">
        <f>_xll.EQNXTDZ($A$1,$B78,AM$5,$B$1)</f>
        <v>0</v>
      </c>
      <c r="AN78" s="55">
        <f>_xll.EQNXTDZ($A$1,$B78,AN$5,$B$1)</f>
        <v>0.2</v>
      </c>
      <c r="AO78" s="55">
        <f>_xll.EQNXTDZ($A$1,$B78,AO$5,$B$1)</f>
        <v>0</v>
      </c>
      <c r="AP78" s="55">
        <f>_xll.EQNXTDZ($A$1,$B78,AP$5,$B$1)</f>
        <v>0.1</v>
      </c>
      <c r="AQ78" s="55">
        <f>_xll.EQNXTDZ($A$1,$B78,AQ$5,$B$1)</f>
        <v>0</v>
      </c>
      <c r="AR78" s="55">
        <f>_xll.EQNXTDZ($A$1,$B78,AR$5,$B$1)</f>
        <v>0.1</v>
      </c>
      <c r="AS78" s="55">
        <f>_xll.EQNXTDZ($A$1,$B78,AS$5,$B$1)</f>
        <v>0</v>
      </c>
      <c r="AT78" s="55">
        <f>_xll.EQNXTDZ($A$1,$B78,AT$5,$B$1)</f>
        <v>0.1</v>
      </c>
      <c r="AU78" s="55">
        <f>_xll.EQNXTDZ($A$1,$B78,AU$5,$B$1)</f>
        <v>0</v>
      </c>
      <c r="AV78" s="55">
        <f>_xll.EQNXTDZ($A$1,$B78,AV$5,$B$1)</f>
        <v>26.6</v>
      </c>
      <c r="AW78" s="55">
        <f>_xll.EQNXTDZ($A$1,$B78,AW$5,$B$1)</f>
        <v>0</v>
      </c>
      <c r="AX78" s="55">
        <f>_xll.EQNXTDZ($A$1,$B78,AX$5,$B$1)</f>
        <v>6.5</v>
      </c>
      <c r="AY78" s="55">
        <f>_xll.EQNXTDZ($A$1,$B78,AY$5,$B$1)</f>
        <v>0</v>
      </c>
      <c r="AZ78" s="55">
        <f>_xll.EQNXTDZ($A$1,$B78,AZ$5,$B$1)</f>
        <v>0.1</v>
      </c>
      <c r="BA78" s="55">
        <f>_xll.EQNXTDZ($A$1,$B78,BA$5,$B$1)</f>
        <v>0</v>
      </c>
      <c r="BB78" s="55">
        <f>_xll.EQNXTDZ($A$1,$B78,BB$5,$B$1)</f>
        <v>0.1</v>
      </c>
      <c r="BC78" s="55">
        <f>_xll.EQNXTDZ($A$1,$B78,BC$5,$B$1)</f>
        <v>0</v>
      </c>
      <c r="BD78" s="55">
        <f>_xll.EQNXTDZ($A$1,$B78,BD$5,$B$1)</f>
        <v>87</v>
      </c>
      <c r="BE78" s="55">
        <f>_xll.EQNXTDZ($A$1,$B78,BE$5,$B$1)</f>
        <v>0</v>
      </c>
      <c r="BF78" s="55">
        <f>_xll.EQNXTDZ($A$1,$B78,BF$5,$B$1)</f>
        <v>89.7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4.3</v>
      </c>
      <c r="AE79" s="55">
        <f>_xll.EQNXTDZ($A$1,$B79,AE$5,$B$1)</f>
        <v>0</v>
      </c>
      <c r="AF79" s="55">
        <f>_xll.EQNXTDZ($A$1,$B79,AF$5,$B$1)</f>
        <v>88.4</v>
      </c>
      <c r="AG79" s="55">
        <f>_xll.EQNXTDZ($A$1,$B79,AG$5,$B$1)</f>
        <v>0</v>
      </c>
      <c r="AH79" s="55">
        <f>_xll.EQNXTDZ($A$1,$B79,AH$5,$B$1)</f>
        <v>142.80000000000001</v>
      </c>
      <c r="AI79" s="55">
        <f>_xll.EQNXTDZ($A$1,$B79,AI$5,$B$1)</f>
        <v>0</v>
      </c>
      <c r="AJ79" s="55">
        <f>_xll.EQNXTDZ($A$1,$B79,AJ$5,$B$1)</f>
        <v>99.7</v>
      </c>
      <c r="AK79" s="55">
        <f>_xll.EQNXTDZ($A$1,$B79,AK$5,$B$1)</f>
        <v>0</v>
      </c>
      <c r="AL79" s="55">
        <f>_xll.EQNXTDZ($A$1,$B79,AL$5,$B$1)</f>
        <v>86.9</v>
      </c>
      <c r="AM79" s="55">
        <f>_xll.EQNXTDZ($A$1,$B79,AM$5,$B$1)</f>
        <v>0</v>
      </c>
      <c r="AN79" s="55">
        <f>_xll.EQNXTDZ($A$1,$B79,AN$5,$B$1)</f>
        <v>82</v>
      </c>
      <c r="AO79" s="55">
        <f>_xll.EQNXTDZ($A$1,$B79,AO$5,$B$1)</f>
        <v>0</v>
      </c>
      <c r="AP79" s="55">
        <f>_xll.EQNXTDZ($A$1,$B79,AP$5,$B$1)</f>
        <v>84.2</v>
      </c>
      <c r="AQ79" s="55">
        <f>_xll.EQNXTDZ($A$1,$B79,AQ$5,$B$1)</f>
        <v>0</v>
      </c>
      <c r="AR79" s="55">
        <f>_xll.EQNXTDZ($A$1,$B79,AR$5,$B$1)</f>
        <v>86</v>
      </c>
      <c r="AS79" s="55">
        <f>_xll.EQNXTDZ($A$1,$B79,AS$5,$B$1)</f>
        <v>0</v>
      </c>
      <c r="AT79" s="55">
        <f>_xll.EQNXTDZ($A$1,$B79,AT$5,$B$1)</f>
        <v>55.3</v>
      </c>
      <c r="AU79" s="55">
        <f>_xll.EQNXTDZ($A$1,$B79,AU$5,$B$1)</f>
        <v>0</v>
      </c>
      <c r="AV79" s="55">
        <f>_xll.EQNXTDZ($A$1,$B79,AV$5,$B$1)</f>
        <v>57.3</v>
      </c>
      <c r="AW79" s="55">
        <f>_xll.EQNXTDZ($A$1,$B79,AW$5,$B$1)</f>
        <v>0</v>
      </c>
      <c r="AX79" s="55">
        <f>_xll.EQNXTDZ($A$1,$B79,AX$5,$B$1)</f>
        <v>44.5</v>
      </c>
      <c r="AY79" s="55">
        <f>_xll.EQNXTDZ($A$1,$B79,AY$5,$B$1)</f>
        <v>0</v>
      </c>
      <c r="AZ79" s="55">
        <f>_xll.EQNXTDZ($A$1,$B79,AZ$5,$B$1)</f>
        <v>47.5</v>
      </c>
      <c r="BA79" s="55">
        <f>_xll.EQNXTDZ($A$1,$B79,BA$5,$B$1)</f>
        <v>0</v>
      </c>
      <c r="BB79" s="55">
        <f>_xll.EQNXTDZ($A$1,$B79,BB$5,$B$1)</f>
        <v>39</v>
      </c>
      <c r="BC79" s="55">
        <f>_xll.EQNXTDZ($A$1,$B79,BC$5,$B$1)</f>
        <v>0</v>
      </c>
      <c r="BD79" s="55">
        <f>_xll.EQNXTDZ($A$1,$B79,BD$5,$B$1)</f>
        <v>74</v>
      </c>
      <c r="BE79" s="55">
        <f>_xll.EQNXTDZ($A$1,$B79,BE$5,$B$1)</f>
        <v>0</v>
      </c>
      <c r="BF79" s="55">
        <f>_xll.EQNXTDZ($A$1,$B79,BF$5,$B$1)</f>
        <v>100.7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607.4</v>
      </c>
      <c r="AE80" s="55">
        <f>_xll.EQNXTDZ($A$1,$B80,AE$5,$B$1)</f>
        <v>0</v>
      </c>
      <c r="AF80" s="55">
        <f>_xll.EQNXTDZ($A$1,$B80,AF$5,$B$1)</f>
        <v>722.9</v>
      </c>
      <c r="AG80" s="55">
        <f>_xll.EQNXTDZ($A$1,$B80,AG$5,$B$1)</f>
        <v>0</v>
      </c>
      <c r="AH80" s="55">
        <f>_xll.EQNXTDZ($A$1,$B80,AH$5,$B$1)</f>
        <v>871.9</v>
      </c>
      <c r="AI80" s="55">
        <f>_xll.EQNXTDZ($A$1,$B80,AI$5,$B$1)</f>
        <v>0</v>
      </c>
      <c r="AJ80" s="55">
        <f>_xll.EQNXTDZ($A$1,$B80,AJ$5,$B$1)</f>
        <v>987.3</v>
      </c>
      <c r="AK80" s="55">
        <f>_xll.EQNXTDZ($A$1,$B80,AK$5,$B$1)</f>
        <v>0</v>
      </c>
      <c r="AL80" s="55">
        <f>_xll.EQNXTDZ($A$1,$B80,AL$5,$B$1)</f>
        <v>2217.4</v>
      </c>
      <c r="AM80" s="55">
        <f>_xll.EQNXTDZ($A$1,$B80,AM$5,$B$1)</f>
        <v>0</v>
      </c>
      <c r="AN80" s="55">
        <f>_xll.EQNXTDZ($A$1,$B80,AN$5,$B$1)</f>
        <v>2357.6999999999998</v>
      </c>
      <c r="AO80" s="55">
        <f>_xll.EQNXTDZ($A$1,$B80,AO$5,$B$1)</f>
        <v>0</v>
      </c>
      <c r="AP80" s="55">
        <f>_xll.EQNXTDZ($A$1,$B80,AP$5,$B$1)</f>
        <v>2300.8000000000002</v>
      </c>
      <c r="AQ80" s="55">
        <f>_xll.EQNXTDZ($A$1,$B80,AQ$5,$B$1)</f>
        <v>0</v>
      </c>
      <c r="AR80" s="55">
        <f>_xll.EQNXTDZ($A$1,$B80,AR$5,$B$1)</f>
        <v>1919.4</v>
      </c>
      <c r="AS80" s="55">
        <f>_xll.EQNXTDZ($A$1,$B80,AS$5,$B$1)</f>
        <v>0</v>
      </c>
      <c r="AT80" s="55">
        <f>_xll.EQNXTDZ($A$1,$B80,AT$5,$B$1)</f>
        <v>2271.8000000000002</v>
      </c>
      <c r="AU80" s="55">
        <f>_xll.EQNXTDZ($A$1,$B80,AU$5,$B$1)</f>
        <v>0</v>
      </c>
      <c r="AV80" s="55">
        <f>_xll.EQNXTDZ($A$1,$B80,AV$5,$B$1)</f>
        <v>1825.1</v>
      </c>
      <c r="AW80" s="55">
        <f>_xll.EQNXTDZ($A$1,$B80,AW$5,$B$1)</f>
        <v>0</v>
      </c>
      <c r="AX80" s="55">
        <f>_xll.EQNXTDZ($A$1,$B80,AX$5,$B$1)</f>
        <v>2222.1999999999998</v>
      </c>
      <c r="AY80" s="55">
        <f>_xll.EQNXTDZ($A$1,$B80,AY$5,$B$1)</f>
        <v>0</v>
      </c>
      <c r="AZ80" s="55">
        <f>_xll.EQNXTDZ($A$1,$B80,AZ$5,$B$1)</f>
        <v>2391.8000000000002</v>
      </c>
      <c r="BA80" s="55">
        <f>_xll.EQNXTDZ($A$1,$B80,BA$5,$B$1)</f>
        <v>0</v>
      </c>
      <c r="BB80" s="55">
        <f>_xll.EQNXTDZ($A$1,$B80,BB$5,$B$1)</f>
        <v>2788.2</v>
      </c>
      <c r="BC80" s="55">
        <f>_xll.EQNXTDZ($A$1,$B80,BC$5,$B$1)</f>
        <v>0</v>
      </c>
      <c r="BD80" s="55">
        <f>_xll.EQNXTDZ($A$1,$B80,BD$5,$B$1)</f>
        <v>2720</v>
      </c>
      <c r="BE80" s="55">
        <f>_xll.EQNXTDZ($A$1,$B80,BE$5,$B$1)</f>
        <v>0</v>
      </c>
      <c r="BF80" s="55">
        <f>_xll.EQNXTDZ($A$1,$B80,BF$5,$B$1)</f>
        <v>3029.4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0.6</v>
      </c>
      <c r="AE82" s="55">
        <f>_xll.EQNXTDZ($A$1,$B82,AE$5,$B$1)</f>
        <v>0</v>
      </c>
      <c r="AF82" s="55">
        <f>_xll.EQNXTDZ($A$1,$B82,AF$5,$B$1)</f>
        <v>1.6</v>
      </c>
      <c r="AG82" s="55">
        <f>_xll.EQNXTDZ($A$1,$B82,AG$5,$B$1)</f>
        <v>0</v>
      </c>
      <c r="AH82" s="55">
        <f>_xll.EQNXTDZ($A$1,$B82,AH$5,$B$1)</f>
        <v>1.7</v>
      </c>
      <c r="AI82" s="55">
        <f>_xll.EQNXTDZ($A$1,$B82,AI$5,$B$1)</f>
        <v>0</v>
      </c>
      <c r="AJ82" s="55">
        <f>_xll.EQNXTDZ($A$1,$B82,AJ$5,$B$1)</f>
        <v>1.1000000000000001</v>
      </c>
      <c r="AK82" s="55">
        <f>_xll.EQNXTDZ($A$1,$B82,AK$5,$B$1)</f>
        <v>0</v>
      </c>
      <c r="AL82" s="55">
        <f>_xll.EQNXTDZ($A$1,$B82,AL$5,$B$1)</f>
        <v>1.3</v>
      </c>
      <c r="AM82" s="55">
        <f>_xll.EQNXTDZ($A$1,$B82,AM$5,$B$1)</f>
        <v>0</v>
      </c>
      <c r="AN82" s="55">
        <f>_xll.EQNXTDZ($A$1,$B82,AN$5,$B$1)</f>
        <v>0.9</v>
      </c>
      <c r="AO82" s="55">
        <f>_xll.EQNXTDZ($A$1,$B82,AO$5,$B$1)</f>
        <v>0</v>
      </c>
      <c r="AP82" s="55">
        <f>_xll.EQNXTDZ($A$1,$B82,AP$5,$B$1)</f>
        <v>1.3</v>
      </c>
      <c r="AQ82" s="55">
        <f>_xll.EQNXTDZ($A$1,$B82,AQ$5,$B$1)</f>
        <v>0</v>
      </c>
      <c r="AR82" s="55">
        <f>_xll.EQNXTDZ($A$1,$B82,AR$5,$B$1)</f>
        <v>5.8</v>
      </c>
      <c r="AS82" s="55">
        <f>_xll.EQNXTDZ($A$1,$B82,AS$5,$B$1)</f>
        <v>0</v>
      </c>
      <c r="AT82" s="55">
        <f>_xll.EQNXTDZ($A$1,$B82,AT$5,$B$1)</f>
        <v>7.1</v>
      </c>
      <c r="AU82" s="55">
        <f>_xll.EQNXTDZ($A$1,$B82,AU$5,$B$1)</f>
        <v>0</v>
      </c>
      <c r="AV82" s="55">
        <f>_xll.EQNXTDZ($A$1,$B82,AV$5,$B$1)</f>
        <v>4.5999999999999996</v>
      </c>
      <c r="AW82" s="55">
        <f>_xll.EQNXTDZ($A$1,$B82,AW$5,$B$1)</f>
        <v>0</v>
      </c>
      <c r="AX82" s="55">
        <f>_xll.EQNXTDZ($A$1,$B82,AX$5,$B$1)</f>
        <v>4.8</v>
      </c>
      <c r="AY82" s="55">
        <f>_xll.EQNXTDZ($A$1,$B82,AY$5,$B$1)</f>
        <v>0</v>
      </c>
      <c r="AZ82" s="55">
        <f>_xll.EQNXTDZ($A$1,$B82,AZ$5,$B$1)</f>
        <v>3.4</v>
      </c>
      <c r="BA82" s="55">
        <f>_xll.EQNXTDZ($A$1,$B82,BA$5,$B$1)</f>
        <v>0</v>
      </c>
      <c r="BB82" s="55">
        <f>_xll.EQNXTDZ($A$1,$B82,BB$5,$B$1)</f>
        <v>4</v>
      </c>
      <c r="BC82" s="55">
        <f>_xll.EQNXTDZ($A$1,$B82,BC$5,$B$1)</f>
        <v>0</v>
      </c>
      <c r="BD82" s="55">
        <f>_xll.EQNXTDZ($A$1,$B82,BD$5,$B$1)</f>
        <v>4.4000000000000004</v>
      </c>
      <c r="BE82" s="55">
        <f>_xll.EQNXTDZ($A$1,$B82,BE$5,$B$1)</f>
        <v>0</v>
      </c>
      <c r="BF82" s="55">
        <f>_xll.EQNXTDZ($A$1,$B82,BF$5,$B$1)</f>
        <v>5.5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77.7</v>
      </c>
      <c r="AE83" s="55">
        <f>_xll.EQNXTDZ($A$1,$B83,AE$5,$B$1)</f>
        <v>0</v>
      </c>
      <c r="AF83" s="55">
        <f>_xll.EQNXTDZ($A$1,$B83,AF$5,$B$1)</f>
        <v>18.5</v>
      </c>
      <c r="AG83" s="55">
        <f>_xll.EQNXTDZ($A$1,$B83,AG$5,$B$1)</f>
        <v>0</v>
      </c>
      <c r="AH83" s="55">
        <f>_xll.EQNXTDZ($A$1,$B83,AH$5,$B$1)</f>
        <v>23.8</v>
      </c>
      <c r="AI83" s="55">
        <f>_xll.EQNXTDZ($A$1,$B83,AI$5,$B$1)</f>
        <v>0</v>
      </c>
      <c r="AJ83" s="55">
        <f>_xll.EQNXTDZ($A$1,$B83,AJ$5,$B$1)</f>
        <v>58.1</v>
      </c>
      <c r="AK83" s="55">
        <f>_xll.EQNXTDZ($A$1,$B83,AK$5,$B$1)</f>
        <v>0</v>
      </c>
      <c r="AL83" s="55">
        <f>_xll.EQNXTDZ($A$1,$B83,AL$5,$B$1)</f>
        <v>77.7</v>
      </c>
      <c r="AM83" s="55">
        <f>_xll.EQNXTDZ($A$1,$B83,AM$5,$B$1)</f>
        <v>0</v>
      </c>
      <c r="AN83" s="55">
        <f>_xll.EQNXTDZ($A$1,$B83,AN$5,$B$1)</f>
        <v>47.1</v>
      </c>
      <c r="AO83" s="55">
        <f>_xll.EQNXTDZ($A$1,$B83,AO$5,$B$1)</f>
        <v>0</v>
      </c>
      <c r="AP83" s="55">
        <f>_xll.EQNXTDZ($A$1,$B83,AP$5,$B$1)</f>
        <v>76.8</v>
      </c>
      <c r="AQ83" s="55">
        <f>_xll.EQNXTDZ($A$1,$B83,AQ$5,$B$1)</f>
        <v>0</v>
      </c>
      <c r="AR83" s="55">
        <f>_xll.EQNXTDZ($A$1,$B83,AR$5,$B$1)</f>
        <v>33.799999999999997</v>
      </c>
      <c r="AS83" s="55">
        <f>_xll.EQNXTDZ($A$1,$B83,AS$5,$B$1)</f>
        <v>0</v>
      </c>
      <c r="AT83" s="55">
        <f>_xll.EQNXTDZ($A$1,$B83,AT$5,$B$1)</f>
        <v>58.3</v>
      </c>
      <c r="AU83" s="55">
        <f>_xll.EQNXTDZ($A$1,$B83,AU$5,$B$1)</f>
        <v>0</v>
      </c>
      <c r="AV83" s="55">
        <f>_xll.EQNXTDZ($A$1,$B83,AV$5,$B$1)</f>
        <v>57.3</v>
      </c>
      <c r="AW83" s="55">
        <f>_xll.EQNXTDZ($A$1,$B83,AW$5,$B$1)</f>
        <v>0</v>
      </c>
      <c r="AX83" s="55">
        <f>_xll.EQNXTDZ($A$1,$B83,AX$5,$B$1)</f>
        <v>101.2</v>
      </c>
      <c r="AY83" s="55">
        <f>_xll.EQNXTDZ($A$1,$B83,AY$5,$B$1)</f>
        <v>0</v>
      </c>
      <c r="AZ83" s="55">
        <f>_xll.EQNXTDZ($A$1,$B83,AZ$5,$B$1)</f>
        <v>39.799999999999997</v>
      </c>
      <c r="BA83" s="55">
        <f>_xll.EQNXTDZ($A$1,$B83,BA$5,$B$1)</f>
        <v>0</v>
      </c>
      <c r="BB83" s="55">
        <f>_xll.EQNXTDZ($A$1,$B83,BB$5,$B$1)</f>
        <v>84.4</v>
      </c>
      <c r="BC83" s="55">
        <f>_xll.EQNXTDZ($A$1,$B83,BC$5,$B$1)</f>
        <v>0</v>
      </c>
      <c r="BD83" s="55">
        <f>_xll.EQNXTDZ($A$1,$B83,BD$5,$B$1)</f>
        <v>35.700000000000003</v>
      </c>
      <c r="BE83" s="55">
        <f>_xll.EQNXTDZ($A$1,$B83,BE$5,$B$1)</f>
        <v>0</v>
      </c>
      <c r="BF83" s="55">
        <f>_xll.EQNXTDZ($A$1,$B83,BF$5,$B$1)</f>
        <v>91.2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33.9</v>
      </c>
      <c r="AE84" s="55">
        <f>_xll.EQNXTDZ($A$1,$B84,AE$5,$B$1)</f>
        <v>0</v>
      </c>
      <c r="AF84" s="55">
        <f>_xll.EQNXTDZ($A$1,$B84,AF$5,$B$1)</f>
        <v>24.1</v>
      </c>
      <c r="AG84" s="55">
        <f>_xll.EQNXTDZ($A$1,$B84,AG$5,$B$1)</f>
        <v>0</v>
      </c>
      <c r="AH84" s="55">
        <f>_xll.EQNXTDZ($A$1,$B84,AH$5,$B$1)</f>
        <v>21.2</v>
      </c>
      <c r="AI84" s="55">
        <f>_xll.EQNXTDZ($A$1,$B84,AI$5,$B$1)</f>
        <v>0</v>
      </c>
      <c r="AJ84" s="55">
        <f>_xll.EQNXTDZ($A$1,$B84,AJ$5,$B$1)</f>
        <v>19.600000000000001</v>
      </c>
      <c r="AK84" s="55">
        <f>_xll.EQNXTDZ($A$1,$B84,AK$5,$B$1)</f>
        <v>0</v>
      </c>
      <c r="AL84" s="55">
        <f>_xll.EQNXTDZ($A$1,$B84,AL$5,$B$1)</f>
        <v>17.399999999999999</v>
      </c>
      <c r="AM84" s="55">
        <f>_xll.EQNXTDZ($A$1,$B84,AM$5,$B$1)</f>
        <v>0</v>
      </c>
      <c r="AN84" s="55">
        <f>_xll.EQNXTDZ($A$1,$B84,AN$5,$B$1)</f>
        <v>9.3000000000000007</v>
      </c>
      <c r="AO84" s="55">
        <f>_xll.EQNXTDZ($A$1,$B84,AO$5,$B$1)</f>
        <v>0</v>
      </c>
      <c r="AP84" s="55">
        <f>_xll.EQNXTDZ($A$1,$B84,AP$5,$B$1)</f>
        <v>16.5</v>
      </c>
      <c r="AQ84" s="55">
        <f>_xll.EQNXTDZ($A$1,$B84,AQ$5,$B$1)</f>
        <v>0</v>
      </c>
      <c r="AR84" s="55">
        <f>_xll.EQNXTDZ($A$1,$B84,AR$5,$B$1)</f>
        <v>15.5</v>
      </c>
      <c r="AS84" s="55">
        <f>_xll.EQNXTDZ($A$1,$B84,AS$5,$B$1)</f>
        <v>0</v>
      </c>
      <c r="AT84" s="55">
        <f>_xll.EQNXTDZ($A$1,$B84,AT$5,$B$1)</f>
        <v>20.6</v>
      </c>
      <c r="AU84" s="55">
        <f>_xll.EQNXTDZ($A$1,$B84,AU$5,$B$1)</f>
        <v>0</v>
      </c>
      <c r="AV84" s="55">
        <f>_xll.EQNXTDZ($A$1,$B84,AV$5,$B$1)</f>
        <v>17</v>
      </c>
      <c r="AW84" s="55">
        <f>_xll.EQNXTDZ($A$1,$B84,AW$5,$B$1)</f>
        <v>0</v>
      </c>
      <c r="AX84" s="55">
        <f>_xll.EQNXTDZ($A$1,$B84,AX$5,$B$1)</f>
        <v>31.1</v>
      </c>
      <c r="AY84" s="55">
        <f>_xll.EQNXTDZ($A$1,$B84,AY$5,$B$1)</f>
        <v>0</v>
      </c>
      <c r="AZ84" s="55">
        <f>_xll.EQNXTDZ($A$1,$B84,AZ$5,$B$1)</f>
        <v>16</v>
      </c>
      <c r="BA84" s="55">
        <f>_xll.EQNXTDZ($A$1,$B84,BA$5,$B$1)</f>
        <v>0</v>
      </c>
      <c r="BB84" s="55">
        <f>_xll.EQNXTDZ($A$1,$B84,BB$5,$B$1)</f>
        <v>46.1</v>
      </c>
      <c r="BC84" s="55">
        <f>_xll.EQNXTDZ($A$1,$B84,BC$5,$B$1)</f>
        <v>0</v>
      </c>
      <c r="BD84" s="55">
        <f>_xll.EQNXTDZ($A$1,$B84,BD$5,$B$1)</f>
        <v>34.6</v>
      </c>
      <c r="BE84" s="55">
        <f>_xll.EQNXTDZ($A$1,$B84,BE$5,$B$1)</f>
        <v>0</v>
      </c>
      <c r="BF84" s="55">
        <f>_xll.EQNXTDZ($A$1,$B84,BF$5,$B$1)</f>
        <v>66.900000000000006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1.7</v>
      </c>
      <c r="AE85" s="55">
        <f>_xll.EQNXTDZ($A$1,$B85,AE$5,$B$1)</f>
        <v>0</v>
      </c>
      <c r="AF85" s="55">
        <f>_xll.EQNXTDZ($A$1,$B85,AF$5,$B$1)</f>
        <v>1.7</v>
      </c>
      <c r="AG85" s="55">
        <f>_xll.EQNXTDZ($A$1,$B85,AG$5,$B$1)</f>
        <v>0</v>
      </c>
      <c r="AH85" s="55">
        <f>_xll.EQNXTDZ($A$1,$B85,AH$5,$B$1)</f>
        <v>1.3</v>
      </c>
      <c r="AI85" s="55">
        <f>_xll.EQNXTDZ($A$1,$B85,AI$5,$B$1)</f>
        <v>0</v>
      </c>
      <c r="AJ85" s="55">
        <f>_xll.EQNXTDZ($A$1,$B85,AJ$5,$B$1)</f>
        <v>0.8</v>
      </c>
      <c r="AK85" s="55">
        <f>_xll.EQNXTDZ($A$1,$B85,AK$5,$B$1)</f>
        <v>0</v>
      </c>
      <c r="AL85" s="55">
        <f>_xll.EQNXTDZ($A$1,$B85,AL$5,$B$1)</f>
        <v>70.900000000000006</v>
      </c>
      <c r="AM85" s="55">
        <f>_xll.EQNXTDZ($A$1,$B85,AM$5,$B$1)</f>
        <v>0</v>
      </c>
      <c r="AN85" s="55">
        <f>_xll.EQNXTDZ($A$1,$B85,AN$5,$B$1)</f>
        <v>62.1</v>
      </c>
      <c r="AO85" s="55">
        <f>_xll.EQNXTDZ($A$1,$B85,AO$5,$B$1)</f>
        <v>0</v>
      </c>
      <c r="AP85" s="55">
        <f>_xll.EQNXTDZ($A$1,$B85,AP$5,$B$1)</f>
        <v>44.8</v>
      </c>
      <c r="AQ85" s="55">
        <f>_xll.EQNXTDZ($A$1,$B85,AQ$5,$B$1)</f>
        <v>0</v>
      </c>
      <c r="AR85" s="55">
        <f>_xll.EQNXTDZ($A$1,$B85,AR$5,$B$1)</f>
        <v>20.5</v>
      </c>
      <c r="AS85" s="55">
        <f>_xll.EQNXTDZ($A$1,$B85,AS$5,$B$1)</f>
        <v>0</v>
      </c>
      <c r="AT85" s="55">
        <f>_xll.EQNXTDZ($A$1,$B85,AT$5,$B$1)</f>
        <v>5.6</v>
      </c>
      <c r="AU85" s="55">
        <f>_xll.EQNXTDZ($A$1,$B85,AU$5,$B$1)</f>
        <v>0</v>
      </c>
      <c r="AV85" s="55">
        <f>_xll.EQNXTDZ($A$1,$B85,AV$5,$B$1)</f>
        <v>0.3</v>
      </c>
      <c r="AW85" s="55">
        <f>_xll.EQNXTDZ($A$1,$B85,AW$5,$B$1)</f>
        <v>0</v>
      </c>
      <c r="AX85" s="55">
        <f>_xll.EQNXTDZ($A$1,$B85,AX$5,$B$1)</f>
        <v>10.8</v>
      </c>
      <c r="AY85" s="55">
        <f>_xll.EQNXTDZ($A$1,$B85,AY$5,$B$1)</f>
        <v>0</v>
      </c>
      <c r="AZ85" s="55">
        <f>_xll.EQNXTDZ($A$1,$B85,AZ$5,$B$1)</f>
        <v>21.1</v>
      </c>
      <c r="BA85" s="55">
        <f>_xll.EQNXTDZ($A$1,$B85,BA$5,$B$1)</f>
        <v>0</v>
      </c>
      <c r="BB85" s="55">
        <f>_xll.EQNXTDZ($A$1,$B85,BB$5,$B$1)</f>
        <v>13</v>
      </c>
      <c r="BC85" s="55">
        <f>_xll.EQNXTDZ($A$1,$B85,BC$5,$B$1)</f>
        <v>0</v>
      </c>
      <c r="BD85" s="55">
        <f>_xll.EQNXTDZ($A$1,$B85,BD$5,$B$1)</f>
        <v>0.5</v>
      </c>
      <c r="BE85" s="55">
        <f>_xll.EQNXTDZ($A$1,$B85,BE$5,$B$1)</f>
        <v>0</v>
      </c>
      <c r="BF85" s="55">
        <f>_xll.EQNXTDZ($A$1,$B85,BF$5,$B$1)</f>
        <v>0.6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721.3</v>
      </c>
      <c r="AE86" s="55">
        <f>_xll.EQNXTDZ($A$1,$B86,AE$5,$B$1)</f>
        <v>0</v>
      </c>
      <c r="AF86" s="55">
        <f>_xll.EQNXTDZ($A$1,$B86,AF$5,$B$1)</f>
        <v>768.8</v>
      </c>
      <c r="AG86" s="55">
        <f>_xll.EQNXTDZ($A$1,$B86,AG$5,$B$1)</f>
        <v>0</v>
      </c>
      <c r="AH86" s="55">
        <f>_xll.EQNXTDZ($A$1,$B86,AH$5,$B$1)</f>
        <v>919.9</v>
      </c>
      <c r="AI86" s="55">
        <f>_xll.EQNXTDZ($A$1,$B86,AI$5,$B$1)</f>
        <v>0</v>
      </c>
      <c r="AJ86" s="55">
        <f>_xll.EQNXTDZ($A$1,$B86,AJ$5,$B$1)</f>
        <v>1066.9000000000001</v>
      </c>
      <c r="AK86" s="55">
        <f>_xll.EQNXTDZ($A$1,$B86,AK$5,$B$1)</f>
        <v>0</v>
      </c>
      <c r="AL86" s="55">
        <f>_xll.EQNXTDZ($A$1,$B86,AL$5,$B$1)</f>
        <v>2384.6999999999998</v>
      </c>
      <c r="AM86" s="55">
        <f>_xll.EQNXTDZ($A$1,$B86,AM$5,$B$1)</f>
        <v>0</v>
      </c>
      <c r="AN86" s="55">
        <f>_xll.EQNXTDZ($A$1,$B86,AN$5,$B$1)</f>
        <v>2477.1</v>
      </c>
      <c r="AO86" s="55">
        <f>_xll.EQNXTDZ($A$1,$B86,AO$5,$B$1)</f>
        <v>0</v>
      </c>
      <c r="AP86" s="55">
        <f>_xll.EQNXTDZ($A$1,$B86,AP$5,$B$1)</f>
        <v>2440.1999999999998</v>
      </c>
      <c r="AQ86" s="55">
        <f>_xll.EQNXTDZ($A$1,$B86,AQ$5,$B$1)</f>
        <v>0</v>
      </c>
      <c r="AR86" s="55">
        <f>_xll.EQNXTDZ($A$1,$B86,AR$5,$B$1)</f>
        <v>1995</v>
      </c>
      <c r="AS86" s="55">
        <f>_xll.EQNXTDZ($A$1,$B86,AS$5,$B$1)</f>
        <v>0</v>
      </c>
      <c r="AT86" s="55">
        <f>_xll.EQNXTDZ($A$1,$B86,AT$5,$B$1)</f>
        <v>2363.4</v>
      </c>
      <c r="AU86" s="55">
        <f>_xll.EQNXTDZ($A$1,$B86,AU$5,$B$1)</f>
        <v>0</v>
      </c>
      <c r="AV86" s="55">
        <f>_xll.EQNXTDZ($A$1,$B86,AV$5,$B$1)</f>
        <v>1904.3</v>
      </c>
      <c r="AW86" s="55">
        <f>_xll.EQNXTDZ($A$1,$B86,AW$5,$B$1)</f>
        <v>0</v>
      </c>
      <c r="AX86" s="55">
        <f>_xll.EQNXTDZ($A$1,$B86,AX$5,$B$1)</f>
        <v>2370.1</v>
      </c>
      <c r="AY86" s="55">
        <f>_xll.EQNXTDZ($A$1,$B86,AY$5,$B$1)</f>
        <v>0</v>
      </c>
      <c r="AZ86" s="55">
        <f>_xll.EQNXTDZ($A$1,$B86,AZ$5,$B$1)</f>
        <v>2472.1</v>
      </c>
      <c r="BA86" s="55">
        <f>_xll.EQNXTDZ($A$1,$B86,BA$5,$B$1)</f>
        <v>0</v>
      </c>
      <c r="BB86" s="55">
        <f>_xll.EQNXTDZ($A$1,$B86,BB$5,$B$1)</f>
        <v>2935.7</v>
      </c>
      <c r="BC86" s="55">
        <f>_xll.EQNXTDZ($A$1,$B86,BC$5,$B$1)</f>
        <v>0</v>
      </c>
      <c r="BD86" s="55">
        <f>_xll.EQNXTDZ($A$1,$B86,BD$5,$B$1)</f>
        <v>2795.2</v>
      </c>
      <c r="BE86" s="55">
        <f>_xll.EQNXTDZ($A$1,$B86,BE$5,$B$1)</f>
        <v>0</v>
      </c>
      <c r="BF86" s="55">
        <f>_xll.EQNXTDZ($A$1,$B86,BF$5,$B$1)</f>
        <v>3193.6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12.9</v>
      </c>
      <c r="AE89" s="55">
        <f>_xll.EQNXTDZ($A$1,$B89,AE$5,$B$1)</f>
        <v>0</v>
      </c>
      <c r="AF89" s="55">
        <f>_xll.EQNXTDZ($A$1,$B89,AF$5,$B$1)</f>
        <v>16.399999999999999</v>
      </c>
      <c r="AG89" s="55">
        <f>_xll.EQNXTDZ($A$1,$B89,AG$5,$B$1)</f>
        <v>0</v>
      </c>
      <c r="AH89" s="55">
        <f>_xll.EQNXTDZ($A$1,$B89,AH$5,$B$1)</f>
        <v>17.899999999999999</v>
      </c>
      <c r="AI89" s="55">
        <f>_xll.EQNXTDZ($A$1,$B89,AI$5,$B$1)</f>
        <v>0</v>
      </c>
      <c r="AJ89" s="55">
        <f>_xll.EQNXTDZ($A$1,$B89,AJ$5,$B$1)</f>
        <v>16.399999999999999</v>
      </c>
      <c r="AK89" s="55">
        <f>_xll.EQNXTDZ($A$1,$B89,AK$5,$B$1)</f>
        <v>0</v>
      </c>
      <c r="AL89" s="55">
        <f>_xll.EQNXTDZ($A$1,$B89,AL$5,$B$1)</f>
        <v>15.4</v>
      </c>
      <c r="AM89" s="55">
        <f>_xll.EQNXTDZ($A$1,$B89,AM$5,$B$1)</f>
        <v>0</v>
      </c>
      <c r="AN89" s="55">
        <f>_xll.EQNXTDZ($A$1,$B89,AN$5,$B$1)</f>
        <v>15.8</v>
      </c>
      <c r="AO89" s="55">
        <f>_xll.EQNXTDZ($A$1,$B89,AO$5,$B$1)</f>
        <v>0</v>
      </c>
      <c r="AP89" s="55">
        <f>_xll.EQNXTDZ($A$1,$B89,AP$5,$B$1)</f>
        <v>18.399999999999999</v>
      </c>
      <c r="AQ89" s="55">
        <f>_xll.EQNXTDZ($A$1,$B89,AQ$5,$B$1)</f>
        <v>0</v>
      </c>
      <c r="AR89" s="55">
        <f>_xll.EQNXTDZ($A$1,$B89,AR$5,$B$1)</f>
        <v>26.1</v>
      </c>
      <c r="AS89" s="55">
        <f>_xll.EQNXTDZ($A$1,$B89,AS$5,$B$1)</f>
        <v>0</v>
      </c>
      <c r="AT89" s="55">
        <f>_xll.EQNXTDZ($A$1,$B89,AT$5,$B$1)</f>
        <v>27.2</v>
      </c>
      <c r="AU89" s="55">
        <f>_xll.EQNXTDZ($A$1,$B89,AU$5,$B$1)</f>
        <v>0</v>
      </c>
      <c r="AV89" s="55">
        <f>_xll.EQNXTDZ($A$1,$B89,AV$5,$B$1)</f>
        <v>25.6</v>
      </c>
      <c r="AW89" s="55">
        <f>_xll.EQNXTDZ($A$1,$B89,AW$5,$B$1)</f>
        <v>0</v>
      </c>
      <c r="AX89" s="55">
        <f>_xll.EQNXTDZ($A$1,$B89,AX$5,$B$1)</f>
        <v>34.4</v>
      </c>
      <c r="AY89" s="55">
        <f>_xll.EQNXTDZ($A$1,$B89,AY$5,$B$1)</f>
        <v>0</v>
      </c>
      <c r="AZ89" s="55">
        <f>_xll.EQNXTDZ($A$1,$B89,AZ$5,$B$1)</f>
        <v>33.4</v>
      </c>
      <c r="BA89" s="55">
        <f>_xll.EQNXTDZ($A$1,$B89,BA$5,$B$1)</f>
        <v>0</v>
      </c>
      <c r="BB89" s="55">
        <f>_xll.EQNXTDZ($A$1,$B89,BB$5,$B$1)</f>
        <v>27</v>
      </c>
      <c r="BC89" s="55">
        <f>_xll.EQNXTDZ($A$1,$B89,BC$5,$B$1)</f>
        <v>0</v>
      </c>
      <c r="BD89" s="55">
        <f>_xll.EQNXTDZ($A$1,$B89,BD$5,$B$1)</f>
        <v>36.4</v>
      </c>
      <c r="BE89" s="55">
        <f>_xll.EQNXTDZ($A$1,$B89,BE$5,$B$1)</f>
        <v>0</v>
      </c>
      <c r="BF89" s="55">
        <f>_xll.EQNXTDZ($A$1,$B89,BF$5,$B$1)</f>
        <v>32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401.4</v>
      </c>
      <c r="AE91" s="55">
        <f>_xll.EQNXTDZ($A$1,$B91,AE$5,$B$1)</f>
        <v>0</v>
      </c>
      <c r="AF91" s="55">
        <f>_xll.EQNXTDZ($A$1,$B91,AF$5,$B$1)</f>
        <v>423.6</v>
      </c>
      <c r="AG91" s="55">
        <f>_xll.EQNXTDZ($A$1,$B91,AG$5,$B$1)</f>
        <v>0</v>
      </c>
      <c r="AH91" s="55">
        <f>_xll.EQNXTDZ($A$1,$B91,AH$5,$B$1)</f>
        <v>468.5</v>
      </c>
      <c r="AI91" s="55">
        <f>_xll.EQNXTDZ($A$1,$B91,AI$5,$B$1)</f>
        <v>0</v>
      </c>
      <c r="AJ91" s="55">
        <f>_xll.EQNXTDZ($A$1,$B91,AJ$5,$B$1)</f>
        <v>445.1</v>
      </c>
      <c r="AK91" s="55">
        <f>_xll.EQNXTDZ($A$1,$B91,AK$5,$B$1)</f>
        <v>0</v>
      </c>
      <c r="AL91" s="55">
        <f>_xll.EQNXTDZ($A$1,$B91,AL$5,$B$1)</f>
        <v>521</v>
      </c>
      <c r="AM91" s="55">
        <f>_xll.EQNXTDZ($A$1,$B91,AM$5,$B$1)</f>
        <v>0</v>
      </c>
      <c r="AN91" s="55">
        <f>_xll.EQNXTDZ($A$1,$B91,AN$5,$B$1)</f>
        <v>529.20000000000005</v>
      </c>
      <c r="AO91" s="55">
        <f>_xll.EQNXTDZ($A$1,$B91,AO$5,$B$1)</f>
        <v>0</v>
      </c>
      <c r="AP91" s="55">
        <f>_xll.EQNXTDZ($A$1,$B91,AP$5,$B$1)</f>
        <v>634.79999999999995</v>
      </c>
      <c r="AQ91" s="55">
        <f>_xll.EQNXTDZ($A$1,$B91,AQ$5,$B$1)</f>
        <v>0</v>
      </c>
      <c r="AR91" s="55">
        <f>_xll.EQNXTDZ($A$1,$B91,AR$5,$B$1)</f>
        <v>666.5</v>
      </c>
      <c r="AS91" s="55">
        <f>_xll.EQNXTDZ($A$1,$B91,AS$5,$B$1)</f>
        <v>0</v>
      </c>
      <c r="AT91" s="55">
        <f>_xll.EQNXTDZ($A$1,$B91,AT$5,$B$1)</f>
        <v>821.2</v>
      </c>
      <c r="AU91" s="55">
        <f>_xll.EQNXTDZ($A$1,$B91,AU$5,$B$1)</f>
        <v>0</v>
      </c>
      <c r="AV91" s="55">
        <f>_xll.EQNXTDZ($A$1,$B91,AV$5,$B$1)</f>
        <v>844.3</v>
      </c>
      <c r="AW91" s="55">
        <f>_xll.EQNXTDZ($A$1,$B91,AW$5,$B$1)</f>
        <v>0</v>
      </c>
      <c r="AX91" s="55">
        <f>_xll.EQNXTDZ($A$1,$B91,AX$5,$B$1)</f>
        <v>1023.4</v>
      </c>
      <c r="AY91" s="55">
        <f>_xll.EQNXTDZ($A$1,$B91,AY$5,$B$1)</f>
        <v>0</v>
      </c>
      <c r="AZ91" s="55">
        <f>_xll.EQNXTDZ($A$1,$B91,AZ$5,$B$1)</f>
        <v>1036.8</v>
      </c>
      <c r="BA91" s="55">
        <f>_xll.EQNXTDZ($A$1,$B91,BA$5,$B$1)</f>
        <v>0</v>
      </c>
      <c r="BB91" s="55">
        <f>_xll.EQNXTDZ($A$1,$B91,BB$5,$B$1)</f>
        <v>1184.0999999999999</v>
      </c>
      <c r="BC91" s="55">
        <f>_xll.EQNXTDZ($A$1,$B91,BC$5,$B$1)</f>
        <v>0</v>
      </c>
      <c r="BD91" s="55">
        <f>_xll.EQNXTDZ($A$1,$B91,BD$5,$B$1)</f>
        <v>1167.0999999999999</v>
      </c>
      <c r="BE91" s="55">
        <f>_xll.EQNXTDZ($A$1,$B91,BE$5,$B$1)</f>
        <v>0</v>
      </c>
      <c r="BF91" s="55">
        <f>_xll.EQNXTDZ($A$1,$B91,BF$5,$B$1)</f>
        <v>1318.2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6.9</v>
      </c>
      <c r="AE92" s="55">
        <f>_xll.EQNXTDZ($A$1,$B92,AE$5,$B$1)</f>
        <v>0</v>
      </c>
      <c r="AF92" s="55">
        <f>_xll.EQNXTDZ($A$1,$B92,AF$5,$B$1)</f>
        <v>4.2</v>
      </c>
      <c r="AG92" s="55">
        <f>_xll.EQNXTDZ($A$1,$B92,AG$5,$B$1)</f>
        <v>0</v>
      </c>
      <c r="AH92" s="55">
        <f>_xll.EQNXTDZ($A$1,$B92,AH$5,$B$1)</f>
        <v>4</v>
      </c>
      <c r="AI92" s="55">
        <f>_xll.EQNXTDZ($A$1,$B92,AI$5,$B$1)</f>
        <v>0</v>
      </c>
      <c r="AJ92" s="55">
        <f>_xll.EQNXTDZ($A$1,$B92,AJ$5,$B$1)</f>
        <v>4.5</v>
      </c>
      <c r="AK92" s="55">
        <f>_xll.EQNXTDZ($A$1,$B92,AK$5,$B$1)</f>
        <v>0</v>
      </c>
      <c r="AL92" s="55">
        <f>_xll.EQNXTDZ($A$1,$B92,AL$5,$B$1)</f>
        <v>4.9000000000000004</v>
      </c>
      <c r="AM92" s="55">
        <f>_xll.EQNXTDZ($A$1,$B92,AM$5,$B$1)</f>
        <v>0</v>
      </c>
      <c r="AN92" s="55">
        <f>_xll.EQNXTDZ($A$1,$B92,AN$5,$B$1)</f>
        <v>4.7</v>
      </c>
      <c r="AO92" s="55">
        <f>_xll.EQNXTDZ($A$1,$B92,AO$5,$B$1)</f>
        <v>0</v>
      </c>
      <c r="AP92" s="55">
        <f>_xll.EQNXTDZ($A$1,$B92,AP$5,$B$1)</f>
        <v>5</v>
      </c>
      <c r="AQ92" s="55">
        <f>_xll.EQNXTDZ($A$1,$B92,AQ$5,$B$1)</f>
        <v>0</v>
      </c>
      <c r="AR92" s="55">
        <f>_xll.EQNXTDZ($A$1,$B92,AR$5,$B$1)</f>
        <v>5.5</v>
      </c>
      <c r="AS92" s="55">
        <f>_xll.EQNXTDZ($A$1,$B92,AS$5,$B$1)</f>
        <v>0</v>
      </c>
      <c r="AT92" s="55">
        <f>_xll.EQNXTDZ($A$1,$B92,AT$5,$B$1)</f>
        <v>7.6</v>
      </c>
      <c r="AU92" s="55">
        <f>_xll.EQNXTDZ($A$1,$B92,AU$5,$B$1)</f>
        <v>0</v>
      </c>
      <c r="AV92" s="55">
        <f>_xll.EQNXTDZ($A$1,$B92,AV$5,$B$1)</f>
        <v>9.4</v>
      </c>
      <c r="AW92" s="55">
        <f>_xll.EQNXTDZ($A$1,$B92,AW$5,$B$1)</f>
        <v>0</v>
      </c>
      <c r="AX92" s="55">
        <f>_xll.EQNXTDZ($A$1,$B92,AX$5,$B$1)</f>
        <v>9.6999999999999993</v>
      </c>
      <c r="AY92" s="55">
        <f>_xll.EQNXTDZ($A$1,$B92,AY$5,$B$1)</f>
        <v>0</v>
      </c>
      <c r="AZ92" s="55">
        <f>_xll.EQNXTDZ($A$1,$B92,AZ$5,$B$1)</f>
        <v>11.7</v>
      </c>
      <c r="BA92" s="55">
        <f>_xll.EQNXTDZ($A$1,$B92,BA$5,$B$1)</f>
        <v>0</v>
      </c>
      <c r="BB92" s="55">
        <f>_xll.EQNXTDZ($A$1,$B92,BB$5,$B$1)</f>
        <v>10.5</v>
      </c>
      <c r="BC92" s="55">
        <f>_xll.EQNXTDZ($A$1,$B92,BC$5,$B$1)</f>
        <v>0</v>
      </c>
      <c r="BD92" s="55">
        <f>_xll.EQNXTDZ($A$1,$B92,BD$5,$B$1)</f>
        <v>13.6</v>
      </c>
      <c r="BE92" s="55">
        <f>_xll.EQNXTDZ($A$1,$B92,BE$5,$B$1)</f>
        <v>0</v>
      </c>
      <c r="BF92" s="55">
        <f>_xll.EQNXTDZ($A$1,$B92,BF$5,$B$1)</f>
        <v>14.8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421.2</v>
      </c>
      <c r="AE93" s="55">
        <f>_xll.EQNXTDZ($A$1,$B93,AE$5,$B$1)</f>
        <v>0</v>
      </c>
      <c r="AF93" s="55">
        <f>_xll.EQNXTDZ($A$1,$B93,AF$5,$B$1)</f>
        <v>444.2</v>
      </c>
      <c r="AG93" s="55">
        <f>_xll.EQNXTDZ($A$1,$B93,AG$5,$B$1)</f>
        <v>0</v>
      </c>
      <c r="AH93" s="55">
        <f>_xll.EQNXTDZ($A$1,$B93,AH$5,$B$1)</f>
        <v>490.4</v>
      </c>
      <c r="AI93" s="55">
        <f>_xll.EQNXTDZ($A$1,$B93,AI$5,$B$1)</f>
        <v>0</v>
      </c>
      <c r="AJ93" s="55">
        <f>_xll.EQNXTDZ($A$1,$B93,AJ$5,$B$1)</f>
        <v>466</v>
      </c>
      <c r="AK93" s="55">
        <f>_xll.EQNXTDZ($A$1,$B93,AK$5,$B$1)</f>
        <v>0</v>
      </c>
      <c r="AL93" s="55">
        <f>_xll.EQNXTDZ($A$1,$B93,AL$5,$B$1)</f>
        <v>541.29999999999995</v>
      </c>
      <c r="AM93" s="55">
        <f>_xll.EQNXTDZ($A$1,$B93,AM$5,$B$1)</f>
        <v>0</v>
      </c>
      <c r="AN93" s="55">
        <f>_xll.EQNXTDZ($A$1,$B93,AN$5,$B$1)</f>
        <v>549.70000000000005</v>
      </c>
      <c r="AO93" s="55">
        <f>_xll.EQNXTDZ($A$1,$B93,AO$5,$B$1)</f>
        <v>0</v>
      </c>
      <c r="AP93" s="55">
        <f>_xll.EQNXTDZ($A$1,$B93,AP$5,$B$1)</f>
        <v>658.2</v>
      </c>
      <c r="AQ93" s="55">
        <f>_xll.EQNXTDZ($A$1,$B93,AQ$5,$B$1)</f>
        <v>0</v>
      </c>
      <c r="AR93" s="55">
        <f>_xll.EQNXTDZ($A$1,$B93,AR$5,$B$1)</f>
        <v>698.1</v>
      </c>
      <c r="AS93" s="55">
        <f>_xll.EQNXTDZ($A$1,$B93,AS$5,$B$1)</f>
        <v>0</v>
      </c>
      <c r="AT93" s="55">
        <f>_xll.EQNXTDZ($A$1,$B93,AT$5,$B$1)</f>
        <v>856</v>
      </c>
      <c r="AU93" s="55">
        <f>_xll.EQNXTDZ($A$1,$B93,AU$5,$B$1)</f>
        <v>0</v>
      </c>
      <c r="AV93" s="55">
        <f>_xll.EQNXTDZ($A$1,$B93,AV$5,$B$1)</f>
        <v>879.3</v>
      </c>
      <c r="AW93" s="55">
        <f>_xll.EQNXTDZ($A$1,$B93,AW$5,$B$1)</f>
        <v>0</v>
      </c>
      <c r="AX93" s="55">
        <f>_xll.EQNXTDZ($A$1,$B93,AX$5,$B$1)</f>
        <v>1067.5</v>
      </c>
      <c r="AY93" s="55">
        <f>_xll.EQNXTDZ($A$1,$B93,AY$5,$B$1)</f>
        <v>0</v>
      </c>
      <c r="AZ93" s="55">
        <f>_xll.EQNXTDZ($A$1,$B93,AZ$5,$B$1)</f>
        <v>1081.9000000000001</v>
      </c>
      <c r="BA93" s="55">
        <f>_xll.EQNXTDZ($A$1,$B93,BA$5,$B$1)</f>
        <v>0</v>
      </c>
      <c r="BB93" s="55">
        <f>_xll.EQNXTDZ($A$1,$B93,BB$5,$B$1)</f>
        <v>1221.5999999999999</v>
      </c>
      <c r="BC93" s="55">
        <f>_xll.EQNXTDZ($A$1,$B93,BC$5,$B$1)</f>
        <v>0</v>
      </c>
      <c r="BD93" s="55">
        <f>_xll.EQNXTDZ($A$1,$B93,BD$5,$B$1)</f>
        <v>1217.0999999999999</v>
      </c>
      <c r="BE93" s="55">
        <f>_xll.EQNXTDZ($A$1,$B93,BE$5,$B$1)</f>
        <v>0</v>
      </c>
      <c r="BF93" s="55">
        <f>_xll.EQNXTDZ($A$1,$B93,BF$5,$B$1)</f>
        <v>1365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300.10000000000002</v>
      </c>
      <c r="AE94" s="55">
        <f>_xll.EQNXTDZ($A$1,$B94,AE$5,$B$1)</f>
        <v>0</v>
      </c>
      <c r="AF94" s="55">
        <f>_xll.EQNXTDZ($A$1,$B94,AF$5,$B$1)</f>
        <v>324.60000000000002</v>
      </c>
      <c r="AG94" s="55">
        <f>_xll.EQNXTDZ($A$1,$B94,AG$5,$B$1)</f>
        <v>0</v>
      </c>
      <c r="AH94" s="55">
        <f>_xll.EQNXTDZ($A$1,$B94,AH$5,$B$1)</f>
        <v>429.5</v>
      </c>
      <c r="AI94" s="55">
        <f>_xll.EQNXTDZ($A$1,$B94,AI$5,$B$1)</f>
        <v>0</v>
      </c>
      <c r="AJ94" s="55">
        <f>_xll.EQNXTDZ($A$1,$B94,AJ$5,$B$1)</f>
        <v>600.9</v>
      </c>
      <c r="AK94" s="55">
        <f>_xll.EQNXTDZ($A$1,$B94,AK$5,$B$1)</f>
        <v>0</v>
      </c>
      <c r="AL94" s="55">
        <f>_xll.EQNXTDZ($A$1,$B94,AL$5,$B$1)</f>
        <v>1843.4</v>
      </c>
      <c r="AM94" s="55">
        <f>_xll.EQNXTDZ($A$1,$B94,AM$5,$B$1)</f>
        <v>0</v>
      </c>
      <c r="AN94" s="55">
        <f>_xll.EQNXTDZ($A$1,$B94,AN$5,$B$1)</f>
        <v>1927.4</v>
      </c>
      <c r="AO94" s="55">
        <f>_xll.EQNXTDZ($A$1,$B94,AO$5,$B$1)</f>
        <v>0</v>
      </c>
      <c r="AP94" s="55">
        <f>_xll.EQNXTDZ($A$1,$B94,AP$5,$B$1)</f>
        <v>1782</v>
      </c>
      <c r="AQ94" s="55">
        <f>_xll.EQNXTDZ($A$1,$B94,AQ$5,$B$1)</f>
        <v>0</v>
      </c>
      <c r="AR94" s="55">
        <f>_xll.EQNXTDZ($A$1,$B94,AR$5,$B$1)</f>
        <v>1296.9000000000001</v>
      </c>
      <c r="AS94" s="55">
        <f>_xll.EQNXTDZ($A$1,$B94,AS$5,$B$1)</f>
        <v>0</v>
      </c>
      <c r="AT94" s="55">
        <f>_xll.EQNXTDZ($A$1,$B94,AT$5,$B$1)</f>
        <v>1507.4</v>
      </c>
      <c r="AU94" s="55">
        <f>_xll.EQNXTDZ($A$1,$B94,AU$5,$B$1)</f>
        <v>0</v>
      </c>
      <c r="AV94" s="55">
        <f>_xll.EQNXTDZ($A$1,$B94,AV$5,$B$1)</f>
        <v>1025</v>
      </c>
      <c r="AW94" s="55">
        <f>_xll.EQNXTDZ($A$1,$B94,AW$5,$B$1)</f>
        <v>0</v>
      </c>
      <c r="AX94" s="55">
        <f>_xll.EQNXTDZ($A$1,$B94,AX$5,$B$1)</f>
        <v>1302.5999999999999</v>
      </c>
      <c r="AY94" s="55">
        <f>_xll.EQNXTDZ($A$1,$B94,AY$5,$B$1)</f>
        <v>0</v>
      </c>
      <c r="AZ94" s="55">
        <f>_xll.EQNXTDZ($A$1,$B94,AZ$5,$B$1)</f>
        <v>1390.2</v>
      </c>
      <c r="BA94" s="55">
        <f>_xll.EQNXTDZ($A$1,$B94,BA$5,$B$1)</f>
        <v>0</v>
      </c>
      <c r="BB94" s="55">
        <f>_xll.EQNXTDZ($A$1,$B94,BB$5,$B$1)</f>
        <v>1714.1</v>
      </c>
      <c r="BC94" s="55">
        <f>_xll.EQNXTDZ($A$1,$B94,BC$5,$B$1)</f>
        <v>0</v>
      </c>
      <c r="BD94" s="55">
        <f>_xll.EQNXTDZ($A$1,$B94,BD$5,$B$1)</f>
        <v>1578.1</v>
      </c>
      <c r="BE94" s="55">
        <f>_xll.EQNXTDZ($A$1,$B94,BE$5,$B$1)</f>
        <v>0</v>
      </c>
      <c r="BF94" s="55">
        <f>_xll.EQNXTDZ($A$1,$B94,BF$5,$B$1)</f>
        <v>1828.6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85.8</v>
      </c>
      <c r="AE96" s="55">
        <f>_xll.EQNXTDZ($A$1,$B96,AE$5,$B$1)</f>
        <v>0</v>
      </c>
      <c r="AF96" s="55">
        <f>_xll.EQNXTDZ($A$1,$B96,AF$5,$B$1)</f>
        <v>31.7</v>
      </c>
      <c r="AG96" s="55">
        <f>_xll.EQNXTDZ($A$1,$B96,AG$5,$B$1)</f>
        <v>0</v>
      </c>
      <c r="AH96" s="55">
        <f>_xll.EQNXTDZ($A$1,$B96,AH$5,$B$1)</f>
        <v>24.6</v>
      </c>
      <c r="AI96" s="55">
        <f>_xll.EQNXTDZ($A$1,$B96,AI$5,$B$1)</f>
        <v>0</v>
      </c>
      <c r="AJ96" s="55">
        <f>_xll.EQNXTDZ($A$1,$B96,AJ$5,$B$1)</f>
        <v>-7.5</v>
      </c>
      <c r="AK96" s="55">
        <f>_xll.EQNXTDZ($A$1,$B96,AK$5,$B$1)</f>
        <v>0</v>
      </c>
      <c r="AL96" s="55">
        <f>_xll.EQNXTDZ($A$1,$B96,AL$5,$B$1)</f>
        <v>-20.7</v>
      </c>
      <c r="AM96" s="55">
        <f>_xll.EQNXTDZ($A$1,$B96,AM$5,$B$1)</f>
        <v>0</v>
      </c>
      <c r="AN96" s="55">
        <f>_xll.EQNXTDZ($A$1,$B96,AN$5,$B$1)</f>
        <v>-17.600000000000001</v>
      </c>
      <c r="AO96" s="55">
        <f>_xll.EQNXTDZ($A$1,$B96,AO$5,$B$1)</f>
        <v>0</v>
      </c>
      <c r="AP96" s="55">
        <f>_xll.EQNXTDZ($A$1,$B96,AP$5,$B$1)</f>
        <v>-15.6</v>
      </c>
      <c r="AQ96" s="55">
        <f>_xll.EQNXTDZ($A$1,$B96,AQ$5,$B$1)</f>
        <v>0</v>
      </c>
      <c r="AR96" s="55">
        <f>_xll.EQNXTDZ($A$1,$B96,AR$5,$B$1)</f>
        <v>-11.1</v>
      </c>
      <c r="AS96" s="55">
        <f>_xll.EQNXTDZ($A$1,$B96,AS$5,$B$1)</f>
        <v>0</v>
      </c>
      <c r="AT96" s="55">
        <f>_xll.EQNXTDZ($A$1,$B96,AT$5,$B$1)</f>
        <v>-18.100000000000001</v>
      </c>
      <c r="AU96" s="55">
        <f>_xll.EQNXTDZ($A$1,$B96,AU$5,$B$1)</f>
        <v>0</v>
      </c>
      <c r="AV96" s="55">
        <f>_xll.EQNXTDZ($A$1,$B96,AV$5,$B$1)</f>
        <v>-28.7</v>
      </c>
      <c r="AW96" s="55">
        <f>_xll.EQNXTDZ($A$1,$B96,AW$5,$B$1)</f>
        <v>0</v>
      </c>
      <c r="AX96" s="55">
        <f>_xll.EQNXTDZ($A$1,$B96,AX$5,$B$1)</f>
        <v>-42.9</v>
      </c>
      <c r="AY96" s="55">
        <f>_xll.EQNXTDZ($A$1,$B96,AY$5,$B$1)</f>
        <v>0</v>
      </c>
      <c r="AZ96" s="55">
        <f>_xll.EQNXTDZ($A$1,$B96,AZ$5,$B$1)</f>
        <v>-47.9</v>
      </c>
      <c r="BA96" s="55">
        <f>_xll.EQNXTDZ($A$1,$B96,BA$5,$B$1)</f>
        <v>0</v>
      </c>
      <c r="BB96" s="55">
        <f>_xll.EQNXTDZ($A$1,$B96,BB$5,$B$1)</f>
        <v>-43.5</v>
      </c>
      <c r="BC96" s="55">
        <f>_xll.EQNXTDZ($A$1,$B96,BC$5,$B$1)</f>
        <v>0</v>
      </c>
      <c r="BD96" s="55">
        <f>_xll.EQNXTDZ($A$1,$B96,BD$5,$B$1)</f>
        <v>-50.4</v>
      </c>
      <c r="BE96" s="55">
        <f>_xll.EQNXTDZ($A$1,$B96,BE$5,$B$1)</f>
        <v>0</v>
      </c>
      <c r="BF96" s="55">
        <f>_xll.EQNXTDZ($A$1,$B96,BF$5,$B$1)</f>
        <v>-55.1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399.6</v>
      </c>
      <c r="AE97" s="55">
        <f>_xll.EQNXTDZ($A$1,$B97,AE$5,$B$1)</f>
        <v>0</v>
      </c>
      <c r="AF97" s="55">
        <f>_xll.EQNXTDZ($A$1,$B97,AF$5,$B$1)</f>
        <v>482.2</v>
      </c>
      <c r="AG97" s="55">
        <f>_xll.EQNXTDZ($A$1,$B97,AG$5,$B$1)</f>
        <v>0</v>
      </c>
      <c r="AH97" s="55">
        <f>_xll.EQNXTDZ($A$1,$B97,AH$5,$B$1)</f>
        <v>632.5</v>
      </c>
      <c r="AI97" s="55">
        <f>_xll.EQNXTDZ($A$1,$B97,AI$5,$B$1)</f>
        <v>0</v>
      </c>
      <c r="AJ97" s="55">
        <f>_xll.EQNXTDZ($A$1,$B97,AJ$5,$B$1)</f>
        <v>736.3</v>
      </c>
      <c r="AK97" s="55">
        <f>_xll.EQNXTDZ($A$1,$B97,AK$5,$B$1)</f>
        <v>0</v>
      </c>
      <c r="AL97" s="55">
        <f>_xll.EQNXTDZ($A$1,$B97,AL$5,$B$1)</f>
        <v>1949.5</v>
      </c>
      <c r="AM97" s="55">
        <f>_xll.EQNXTDZ($A$1,$B97,AM$5,$B$1)</f>
        <v>0</v>
      </c>
      <c r="AN97" s="55">
        <f>_xll.EQNXTDZ($A$1,$B97,AN$5,$B$1)</f>
        <v>2095.1</v>
      </c>
      <c r="AO97" s="55">
        <f>_xll.EQNXTDZ($A$1,$B97,AO$5,$B$1)</f>
        <v>0</v>
      </c>
      <c r="AP97" s="55">
        <f>_xll.EQNXTDZ($A$1,$B97,AP$5,$B$1)</f>
        <v>2275.1</v>
      </c>
      <c r="AQ97" s="55">
        <f>_xll.EQNXTDZ($A$1,$B97,AQ$5,$B$1)</f>
        <v>0</v>
      </c>
      <c r="AR97" s="55">
        <f>_xll.EQNXTDZ($A$1,$B97,AR$5,$B$1)</f>
        <v>2336.3000000000002</v>
      </c>
      <c r="AS97" s="55">
        <f>_xll.EQNXTDZ($A$1,$B97,AS$5,$B$1)</f>
        <v>0</v>
      </c>
      <c r="AT97" s="55">
        <f>_xll.EQNXTDZ($A$1,$B97,AT$5,$B$1)</f>
        <v>2568.3000000000002</v>
      </c>
      <c r="AU97" s="55">
        <f>_xll.EQNXTDZ($A$1,$B97,AU$5,$B$1)</f>
        <v>0</v>
      </c>
      <c r="AV97" s="55">
        <f>_xll.EQNXTDZ($A$1,$B97,AV$5,$B$1)</f>
        <v>2090.8000000000002</v>
      </c>
      <c r="AW97" s="55">
        <f>_xll.EQNXTDZ($A$1,$B97,AW$5,$B$1)</f>
        <v>0</v>
      </c>
      <c r="AX97" s="55">
        <f>_xll.EQNXTDZ($A$1,$B97,AX$5,$B$1)</f>
        <v>2338.1999999999998</v>
      </c>
      <c r="AY97" s="55">
        <f>_xll.EQNXTDZ($A$1,$B97,AY$5,$B$1)</f>
        <v>0</v>
      </c>
      <c r="AZ97" s="55">
        <f>_xll.EQNXTDZ($A$1,$B97,AZ$5,$B$1)</f>
        <v>2483.6</v>
      </c>
      <c r="BA97" s="55">
        <f>_xll.EQNXTDZ($A$1,$B97,BA$5,$B$1)</f>
        <v>0</v>
      </c>
      <c r="BB97" s="55">
        <f>_xll.EQNXTDZ($A$1,$B97,BB$5,$B$1)</f>
        <v>2864.9</v>
      </c>
      <c r="BC97" s="55">
        <f>_xll.EQNXTDZ($A$1,$B97,BC$5,$B$1)</f>
        <v>0</v>
      </c>
      <c r="BD97" s="55">
        <f>_xll.EQNXTDZ($A$1,$B97,BD$5,$B$1)</f>
        <v>2859</v>
      </c>
      <c r="BE97" s="55">
        <f>_xll.EQNXTDZ($A$1,$B97,BE$5,$B$1)</f>
        <v>0</v>
      </c>
      <c r="BF97" s="55">
        <f>_xll.EQNXTDZ($A$1,$B97,BF$5,$B$1)</f>
        <v>3204.4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290269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Indiamart Intermesh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135.74700000000001</v>
      </c>
      <c r="Q6" s="100">
        <f>_xll.EQNXTDZ($A$1,$B6,Q$1,$B$1)</f>
        <v>176.072</v>
      </c>
      <c r="R6" s="100">
        <f>_xll.EQNXTDZ($A$1,$B6,R$1,$B$1)</f>
        <v>245.75299999999999</v>
      </c>
      <c r="S6" s="100">
        <f>_xll.EQNXTDZ($A$1,$B6,S$1,$B$1)</f>
        <v>317.76299999999998</v>
      </c>
      <c r="T6" s="100">
        <f>_xll.EQNXTDZ($A$1,$B6,T$1,$B$1)</f>
        <v>410.50799999999998</v>
      </c>
      <c r="U6" s="100">
        <f>_xll.EQNXTDZ($A$1,$B6,U$1,$B$1)</f>
        <v>507.41699999999997</v>
      </c>
      <c r="V6" s="100">
        <f>_xll.EQNXTDZ($A$1,$B6,V$1,$B$1)</f>
        <v>638.85400000000004</v>
      </c>
      <c r="W6" s="100">
        <f>_xll.EQNXTDZ($A$1,$B6,W$1,$B$1)</f>
        <v>669.56200000000001</v>
      </c>
      <c r="X6" s="100">
        <f>_xll.EQNXTDZ($A$1,$B6,X$1,$B$1)</f>
        <v>753.48500000000001</v>
      </c>
      <c r="Y6" s="100">
        <f>_xll.EQNXTDZ($A$1,$B6,Y$1,$B$1)</f>
        <v>985.399</v>
      </c>
      <c r="Z6" s="100">
        <f>_xll.EQNXTDZ($A$1,$B6,Z$1,$B$1)</f>
        <v>1196.7750000000001</v>
      </c>
      <c r="AA6" s="100">
        <f>_xll.EQNXTDZ($A$1,$B6,AA$1,$B$1)</f>
        <v>1388.3440000000001</v>
      </c>
      <c r="AB6" s="100">
        <f>_xll.EQNXTDZ($A$1,$B6,AB$1,$B$1)</f>
        <v>1569.0419999999999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135.74700000000001</v>
      </c>
      <c r="Q10" s="100">
        <f>_xll.EQNXTDZ($A$1,$B10,Q$1,$B$1)</f>
        <v>176.072</v>
      </c>
      <c r="R10" s="100">
        <f>_xll.EQNXTDZ($A$1,$B10,R$1,$B$1)</f>
        <v>245.75299999999999</v>
      </c>
      <c r="S10" s="100">
        <f>_xll.EQNXTDZ($A$1,$B10,S$1,$B$1)</f>
        <v>317.76299999999998</v>
      </c>
      <c r="T10" s="100">
        <f>_xll.EQNXTDZ($A$1,$B10,T$1,$B$1)</f>
        <v>410.50799999999998</v>
      </c>
      <c r="U10" s="100">
        <f>_xll.EQNXTDZ($A$1,$B10,U$1,$B$1)</f>
        <v>507.41699999999997</v>
      </c>
      <c r="V10" s="100">
        <f>_xll.EQNXTDZ($A$1,$B10,V$1,$B$1)</f>
        <v>638.85400000000004</v>
      </c>
      <c r="W10" s="100">
        <f>_xll.EQNXTDZ($A$1,$B10,W$1,$B$1)</f>
        <v>669.56200000000001</v>
      </c>
      <c r="X10" s="100">
        <f>_xll.EQNXTDZ($A$1,$B10,X$1,$B$1)</f>
        <v>753.48500000000001</v>
      </c>
      <c r="Y10" s="100">
        <f>_xll.EQNXTDZ($A$1,$B10,Y$1,$B$1)</f>
        <v>985.399</v>
      </c>
      <c r="Z10" s="100">
        <f>_xll.EQNXTDZ($A$1,$B10,Z$1,$B$1)</f>
        <v>1196.7750000000001</v>
      </c>
      <c r="AA10" s="100">
        <f>_xll.EQNXTDZ($A$1,$B10,AA$1,$B$1)</f>
        <v>1388.3440000000001</v>
      </c>
      <c r="AB10" s="100">
        <f>_xll.EQNXTDZ($A$1,$B10,AB$1,$B$1)</f>
        <v>1569.0419999999999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2.1549999999999998</v>
      </c>
      <c r="Q13" s="100">
        <f>_xll.EQNXTDZ($A$1,$B13,Q$1,$B$1)</f>
        <v>1.92</v>
      </c>
      <c r="R13" s="100">
        <f>_xll.EQNXTDZ($A$1,$B13,R$1,$B$1)</f>
        <v>2.8940000000000001</v>
      </c>
      <c r="S13" s="100">
        <f>_xll.EQNXTDZ($A$1,$B13,S$1,$B$1)</f>
        <v>2.9009999999999998</v>
      </c>
      <c r="T13" s="100">
        <f>_xll.EQNXTDZ($A$1,$B13,T$1,$B$1)</f>
        <v>2.863</v>
      </c>
      <c r="U13" s="100">
        <f>_xll.EQNXTDZ($A$1,$B13,U$1,$B$1)</f>
        <v>2.923</v>
      </c>
      <c r="V13" s="100">
        <f>_xll.EQNXTDZ($A$1,$B13,V$1,$B$1)</f>
        <v>2.8780000000000001</v>
      </c>
      <c r="W13" s="100">
        <f>_xll.EQNXTDZ($A$1,$B13,W$1,$B$1)</f>
        <v>0.68600000000000005</v>
      </c>
      <c r="X13" s="100">
        <f>_xll.EQNXTDZ($A$1,$B13,X$1,$B$1)</f>
        <v>0.77200000000000002</v>
      </c>
      <c r="Y13" s="100">
        <f>_xll.EQNXTDZ($A$1,$B13,Y$1,$B$1)</f>
        <v>1.581</v>
      </c>
      <c r="Z13" s="100">
        <f>_xll.EQNXTDZ($A$1,$B13,Z$1,$B$1)</f>
        <v>1.774</v>
      </c>
      <c r="AA13" s="100">
        <f>_xll.EQNXTDZ($A$1,$B13,AA$1,$B$1)</f>
        <v>2.1440000000000001</v>
      </c>
      <c r="AB13" s="100">
        <f>_xll.EQNXTDZ($A$1,$B13,AB$1,$B$1)</f>
        <v>2.383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93.896000000000001</v>
      </c>
      <c r="Q14" s="100">
        <f>_xll.EQNXTDZ($A$1,$B14,Q$1,$B$1)</f>
        <v>119.009</v>
      </c>
      <c r="R14" s="100">
        <f>_xll.EQNXTDZ($A$1,$B14,R$1,$B$1)</f>
        <v>181.922</v>
      </c>
      <c r="S14" s="100">
        <f>_xll.EQNXTDZ($A$1,$B14,S$1,$B$1)</f>
        <v>209.67400000000001</v>
      </c>
      <c r="T14" s="100">
        <f>_xll.EQNXTDZ($A$1,$B14,T$1,$B$1)</f>
        <v>194.857</v>
      </c>
      <c r="U14" s="100">
        <f>_xll.EQNXTDZ($A$1,$B14,U$1,$B$1)</f>
        <v>229.983</v>
      </c>
      <c r="V14" s="100">
        <f>_xll.EQNXTDZ($A$1,$B14,V$1,$B$1)</f>
        <v>266.66899999999998</v>
      </c>
      <c r="W14" s="100">
        <f>_xll.EQNXTDZ($A$1,$B14,W$1,$B$1)</f>
        <v>205.21299999999999</v>
      </c>
      <c r="X14" s="100">
        <f>_xll.EQNXTDZ($A$1,$B14,X$1,$B$1)</f>
        <v>267.55200000000002</v>
      </c>
      <c r="Y14" s="100">
        <f>_xll.EQNXTDZ($A$1,$B14,Y$1,$B$1)</f>
        <v>424.73500000000001</v>
      </c>
      <c r="Z14" s="100">
        <f>_xll.EQNXTDZ($A$1,$B14,Z$1,$B$1)</f>
        <v>544.072</v>
      </c>
      <c r="AA14" s="100">
        <f>_xll.EQNXTDZ($A$1,$B14,AA$1,$B$1)</f>
        <v>600.98599999999999</v>
      </c>
      <c r="AB14" s="100">
        <f>_xll.EQNXTDZ($A$1,$B14,AB$1,$B$1)</f>
        <v>692.82500000000005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17.704000000000001</v>
      </c>
      <c r="Q15" s="100">
        <f>_xll.EQNXTDZ($A$1,$B15,Q$1,$B$1)</f>
        <v>28.13</v>
      </c>
      <c r="R15" s="100">
        <f>_xll.EQNXTDZ($A$1,$B15,R$1,$B$1)</f>
        <v>52.106999999999999</v>
      </c>
      <c r="S15" s="100">
        <f>_xll.EQNXTDZ($A$1,$B15,S$1,$B$1)</f>
        <v>57.94</v>
      </c>
      <c r="T15" s="100">
        <f>_xll.EQNXTDZ($A$1,$B15,T$1,$B$1)</f>
        <v>77.887</v>
      </c>
      <c r="U15" s="100">
        <f>_xll.EQNXTDZ($A$1,$B15,U$1,$B$1)</f>
        <v>91.548000000000002</v>
      </c>
      <c r="V15" s="100">
        <f>_xll.EQNXTDZ($A$1,$B15,V$1,$B$1)</f>
        <v>107.08799999999999</v>
      </c>
      <c r="W15" s="100">
        <f>_xll.EQNXTDZ($A$1,$B15,W$1,$B$1)</f>
        <v>66.423000000000002</v>
      </c>
      <c r="X15" s="100">
        <f>_xll.EQNXTDZ($A$1,$B15,X$1,$B$1)</f>
        <v>94.536000000000001</v>
      </c>
      <c r="Y15" s="100">
        <f>_xll.EQNXTDZ($A$1,$B15,Y$1,$B$1)</f>
        <v>166.505</v>
      </c>
      <c r="Z15" s="100">
        <f>_xll.EQNXTDZ($A$1,$B15,Z$1,$B$1)</f>
        <v>177.41399999999999</v>
      </c>
      <c r="AA15" s="100">
        <f>_xll.EQNXTDZ($A$1,$B15,AA$1,$B$1)</f>
        <v>116.024</v>
      </c>
      <c r="AB15" s="100">
        <f>_xll.EQNXTDZ($A$1,$B15,AB$1,$B$1)</f>
        <v>114.142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26.695</v>
      </c>
      <c r="Q17" s="100">
        <f>_xll.EQNXTDZ($A$1,$B17,Q$1,$B$1)</f>
        <v>40.276000000000003</v>
      </c>
      <c r="R17" s="100">
        <f>_xll.EQNXTDZ($A$1,$B17,R$1,$B$1)</f>
        <v>73.391999999999996</v>
      </c>
      <c r="S17" s="100">
        <f>_xll.EQNXTDZ($A$1,$B17,S$1,$B$1)</f>
        <v>76.546999999999997</v>
      </c>
      <c r="T17" s="100">
        <f>_xll.EQNXTDZ($A$1,$B17,T$1,$B$1)</f>
        <v>85.043000000000006</v>
      </c>
      <c r="U17" s="100">
        <f>_xll.EQNXTDZ($A$1,$B17,U$1,$B$1)</f>
        <v>98.126999999999995</v>
      </c>
      <c r="V17" s="100">
        <f>_xll.EQNXTDZ($A$1,$B17,V$1,$B$1)</f>
        <v>90.707999999999998</v>
      </c>
      <c r="W17" s="100">
        <f>_xll.EQNXTDZ($A$1,$B17,W$1,$B$1)</f>
        <v>66.753</v>
      </c>
      <c r="X17" s="100">
        <f>_xll.EQNXTDZ($A$1,$B17,X$1,$B$1)</f>
        <v>77.882999999999996</v>
      </c>
      <c r="Y17" s="100">
        <f>_xll.EQNXTDZ($A$1,$B17,Y$1,$B$1)</f>
        <v>114.386</v>
      </c>
      <c r="Z17" s="100">
        <f>_xll.EQNXTDZ($A$1,$B17,Z$1,$B$1)</f>
        <v>130.76400000000001</v>
      </c>
      <c r="AA17" s="100">
        <f>_xll.EQNXTDZ($A$1,$B17,AA$1,$B$1)</f>
        <v>129.952</v>
      </c>
      <c r="AB17" s="100">
        <f>_xll.EQNXTDZ($A$1,$B17,AB$1,$B$1)</f>
        <v>184.73400000000001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7.4420000000000002</v>
      </c>
      <c r="Q18" s="100">
        <f>_xll.EQNXTDZ($A$1,$B18,Q$1,$B$1)</f>
        <v>27.006</v>
      </c>
      <c r="R18" s="100">
        <f>_xll.EQNXTDZ($A$1,$B18,R$1,$B$1)</f>
        <v>60.970999999999997</v>
      </c>
      <c r="S18" s="100">
        <f>_xll.EQNXTDZ($A$1,$B18,S$1,$B$1)</f>
        <v>24.390999999999998</v>
      </c>
      <c r="T18" s="100">
        <f>_xll.EQNXTDZ($A$1,$B18,T$1,$B$1)</f>
        <v>3.1459999999999999</v>
      </c>
      <c r="U18" s="100">
        <f>_xll.EQNXTDZ($A$1,$B18,U$1,$B$1)</f>
        <v>2.0990000000000002</v>
      </c>
      <c r="V18" s="100">
        <f>_xll.EQNXTDZ($A$1,$B18,V$1,$B$1)</f>
        <v>2.1640000000000001</v>
      </c>
      <c r="W18" s="100">
        <f>_xll.EQNXTDZ($A$1,$B18,W$1,$B$1)</f>
        <v>0.79800000000000004</v>
      </c>
      <c r="X18" s="100">
        <f>_xll.EQNXTDZ($A$1,$B18,X$1,$B$1)</f>
        <v>0.93899999999999995</v>
      </c>
      <c r="Y18" s="100">
        <f>_xll.EQNXTDZ($A$1,$B18,Y$1,$B$1)</f>
        <v>3.8660000000000001</v>
      </c>
      <c r="Z18" s="100">
        <f>_xll.EQNXTDZ($A$1,$B18,Z$1,$B$1)</f>
        <v>4.43</v>
      </c>
      <c r="AA18" s="100">
        <f>_xll.EQNXTDZ($A$1,$B18,AA$1,$B$1)</f>
        <v>7.5289999999999999</v>
      </c>
      <c r="AB18" s="100">
        <f>_xll.EQNXTDZ($A$1,$B18,AB$1,$B$1)</f>
        <v>35.709000000000003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0.45200000000000001</v>
      </c>
      <c r="Q19" s="100">
        <f>_xll.EQNXTDZ($A$1,$B19,Q$1,$B$1)</f>
        <v>5.8999999999999997E-2</v>
      </c>
      <c r="R19" s="100">
        <f>_xll.EQNXTDZ($A$1,$B19,R$1,$B$1)</f>
        <v>7.1539999999999999</v>
      </c>
      <c r="S19" s="100">
        <f>_xll.EQNXTDZ($A$1,$B19,S$1,$B$1)</f>
        <v>19.995000000000001</v>
      </c>
      <c r="T19" s="100">
        <f>_xll.EQNXTDZ($A$1,$B19,T$1,$B$1)</f>
        <v>122.94199999999999</v>
      </c>
      <c r="U19" s="100">
        <f>_xll.EQNXTDZ($A$1,$B19,U$1,$B$1)</f>
        <v>65.659000000000006</v>
      </c>
      <c r="V19" s="100">
        <f>_xll.EQNXTDZ($A$1,$B19,V$1,$B$1)</f>
        <v>0.45</v>
      </c>
      <c r="W19" s="100">
        <f>_xll.EQNXTDZ($A$1,$B19,W$1,$B$1)</f>
        <v>1.532</v>
      </c>
      <c r="X19" s="100">
        <f>_xll.EQNXTDZ($A$1,$B19,X$1,$B$1)</f>
        <v>3.9569999999999999</v>
      </c>
      <c r="Y19" s="100">
        <f>_xll.EQNXTDZ($A$1,$B19,Y$1,$B$1)</f>
        <v>6.4429999999999996</v>
      </c>
      <c r="Z19" s="100">
        <f>_xll.EQNXTDZ($A$1,$B19,Z$1,$B$1)</f>
        <v>6.9630000000000001</v>
      </c>
      <c r="AA19" s="100">
        <f>_xll.EQNXTDZ($A$1,$B19,AA$1,$B$1)</f>
        <v>8.9169999999999998</v>
      </c>
      <c r="AB19" s="100">
        <f>_xll.EQNXTDZ($A$1,$B19,AB$1,$B$1)</f>
        <v>9.2080000000000002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148.34399999999999</v>
      </c>
      <c r="Q21" s="100">
        <f>_xll.EQNXTDZ($A$1,$B21,Q$1,$B$1)</f>
        <v>216.4</v>
      </c>
      <c r="R21" s="100">
        <f>_xll.EQNXTDZ($A$1,$B21,R$1,$B$1)</f>
        <v>378.44</v>
      </c>
      <c r="S21" s="100">
        <f>_xll.EQNXTDZ($A$1,$B21,S$1,$B$1)</f>
        <v>391.44799999999998</v>
      </c>
      <c r="T21" s="100">
        <f>_xll.EQNXTDZ($A$1,$B21,T$1,$B$1)</f>
        <v>486.738</v>
      </c>
      <c r="U21" s="100">
        <f>_xll.EQNXTDZ($A$1,$B21,U$1,$B$1)</f>
        <v>490.339</v>
      </c>
      <c r="V21" s="100">
        <f>_xll.EQNXTDZ($A$1,$B21,V$1,$B$1)</f>
        <v>469.95699999999999</v>
      </c>
      <c r="W21" s="100">
        <f>_xll.EQNXTDZ($A$1,$B21,W$1,$B$1)</f>
        <v>341.40499999999997</v>
      </c>
      <c r="X21" s="100">
        <f>_xll.EQNXTDZ($A$1,$B21,X$1,$B$1)</f>
        <v>445.63900000000001</v>
      </c>
      <c r="Y21" s="100">
        <f>_xll.EQNXTDZ($A$1,$B21,Y$1,$B$1)</f>
        <v>717.51599999999996</v>
      </c>
      <c r="Z21" s="100">
        <f>_xll.EQNXTDZ($A$1,$B21,Z$1,$B$1)</f>
        <v>865.41700000000003</v>
      </c>
      <c r="AA21" s="100">
        <f>_xll.EQNXTDZ($A$1,$B21,AA$1,$B$1)</f>
        <v>865.55200000000002</v>
      </c>
      <c r="AB21" s="100">
        <f>_xll.EQNXTDZ($A$1,$B21,AB$1,$B$1)</f>
        <v>1039.001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-12.597</v>
      </c>
      <c r="Q22" s="100">
        <f>_xll.EQNXTDZ($A$1,$B22,Q$1,$B$1)</f>
        <v>-40.328000000000003</v>
      </c>
      <c r="R22" s="100">
        <f>_xll.EQNXTDZ($A$1,$B22,R$1,$B$1)</f>
        <v>-132.68700000000001</v>
      </c>
      <c r="S22" s="100">
        <f>_xll.EQNXTDZ($A$1,$B22,S$1,$B$1)</f>
        <v>-73.685000000000002</v>
      </c>
      <c r="T22" s="100">
        <f>_xll.EQNXTDZ($A$1,$B22,T$1,$B$1)</f>
        <v>-76.23</v>
      </c>
      <c r="U22" s="100">
        <f>_xll.EQNXTDZ($A$1,$B22,U$1,$B$1)</f>
        <v>17.077999999999999</v>
      </c>
      <c r="V22" s="100">
        <f>_xll.EQNXTDZ($A$1,$B22,V$1,$B$1)</f>
        <v>168.89699999999999</v>
      </c>
      <c r="W22" s="100">
        <f>_xll.EQNXTDZ($A$1,$B22,W$1,$B$1)</f>
        <v>328.15699999999998</v>
      </c>
      <c r="X22" s="100">
        <f>_xll.EQNXTDZ($A$1,$B22,X$1,$B$1)</f>
        <v>307.846</v>
      </c>
      <c r="Y22" s="100">
        <f>_xll.EQNXTDZ($A$1,$B22,Y$1,$B$1)</f>
        <v>267.88299999999998</v>
      </c>
      <c r="Z22" s="100">
        <f>_xll.EQNXTDZ($A$1,$B22,Z$1,$B$1)</f>
        <v>331.358</v>
      </c>
      <c r="AA22" s="100">
        <f>_xll.EQNXTDZ($A$1,$B22,AA$1,$B$1)</f>
        <v>522.79200000000003</v>
      </c>
      <c r="AB22" s="100">
        <f>_xll.EQNXTDZ($A$1,$B22,AB$1,$B$1)</f>
        <v>530.04100000000005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7.5570000000000004</v>
      </c>
      <c r="Q23" s="100">
        <f>_xll.EQNXTDZ($A$1,$B23,Q$1,$B$1)</f>
        <v>11.955</v>
      </c>
      <c r="R23" s="100">
        <f>_xll.EQNXTDZ($A$1,$B23,R$1,$B$1)</f>
        <v>5.2560000000000002</v>
      </c>
      <c r="S23" s="100">
        <f>_xll.EQNXTDZ($A$1,$B23,S$1,$B$1)</f>
        <v>14.173</v>
      </c>
      <c r="T23" s="100">
        <f>_xll.EQNXTDZ($A$1,$B23,T$1,$B$1)</f>
        <v>19.018000000000001</v>
      </c>
      <c r="U23" s="100">
        <f>_xll.EQNXTDZ($A$1,$B23,U$1,$B$1)</f>
        <v>40.972000000000001</v>
      </c>
      <c r="V23" s="100">
        <f>_xll.EQNXTDZ($A$1,$B23,V$1,$B$1)</f>
        <v>68.590999999999994</v>
      </c>
      <c r="W23" s="100">
        <f>_xll.EQNXTDZ($A$1,$B23,W$1,$B$1)</f>
        <v>86.584000000000003</v>
      </c>
      <c r="X23" s="100">
        <f>_xll.EQNXTDZ($A$1,$B23,X$1,$B$1)</f>
        <v>112.194</v>
      </c>
      <c r="Y23" s="100">
        <f>_xll.EQNXTDZ($A$1,$B23,Y$1,$B$1)</f>
        <v>180.52600000000001</v>
      </c>
      <c r="Z23" s="100">
        <f>_xll.EQNXTDZ($A$1,$B23,Z$1,$B$1)</f>
        <v>210.61</v>
      </c>
      <c r="AA23" s="100">
        <f>_xll.EQNXTDZ($A$1,$B23,AA$1,$B$1)</f>
        <v>272.41800000000001</v>
      </c>
      <c r="AB23" s="100">
        <f>_xll.EQNXTDZ($A$1,$B23,AB$1,$B$1)</f>
        <v>204.10300000000001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-5.04</v>
      </c>
      <c r="Q24" s="100">
        <f>_xll.EQNXTDZ($A$1,$B24,Q$1,$B$1)</f>
        <v>-28.373000000000001</v>
      </c>
      <c r="R24" s="100">
        <f>_xll.EQNXTDZ($A$1,$B24,R$1,$B$1)</f>
        <v>-127.431</v>
      </c>
      <c r="S24" s="100">
        <f>_xll.EQNXTDZ($A$1,$B24,S$1,$B$1)</f>
        <v>-59.512</v>
      </c>
      <c r="T24" s="100">
        <f>_xll.EQNXTDZ($A$1,$B24,T$1,$B$1)</f>
        <v>-57.212000000000003</v>
      </c>
      <c r="U24" s="100">
        <f>_xll.EQNXTDZ($A$1,$B24,U$1,$B$1)</f>
        <v>58.05</v>
      </c>
      <c r="V24" s="100">
        <f>_xll.EQNXTDZ($A$1,$B24,V$1,$B$1)</f>
        <v>237.488</v>
      </c>
      <c r="W24" s="100">
        <f>_xll.EQNXTDZ($A$1,$B24,W$1,$B$1)</f>
        <v>414.74099999999999</v>
      </c>
      <c r="X24" s="100">
        <f>_xll.EQNXTDZ($A$1,$B24,X$1,$B$1)</f>
        <v>420.04</v>
      </c>
      <c r="Y24" s="100">
        <f>_xll.EQNXTDZ($A$1,$B24,Y$1,$B$1)</f>
        <v>448.40899999999999</v>
      </c>
      <c r="Z24" s="100">
        <f>_xll.EQNXTDZ($A$1,$B24,Z$1,$B$1)</f>
        <v>541.96799999999996</v>
      </c>
      <c r="AA24" s="100">
        <f>_xll.EQNXTDZ($A$1,$B24,AA$1,$B$1)</f>
        <v>795.21</v>
      </c>
      <c r="AB24" s="100">
        <f>_xll.EQNXTDZ($A$1,$B24,AB$1,$B$1)</f>
        <v>734.14400000000001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0.311</v>
      </c>
      <c r="Q25" s="100">
        <f>_xll.EQNXTDZ($A$1,$B25,Q$1,$B$1)</f>
        <v>0.47199999999999998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3.2829999999999999</v>
      </c>
      <c r="W25" s="100">
        <f>_xll.EQNXTDZ($A$1,$B25,W$1,$B$1)</f>
        <v>6.6630000000000003</v>
      </c>
      <c r="X25" s="100">
        <f>_xll.EQNXTDZ($A$1,$B25,X$1,$B$1)</f>
        <v>5.4020000000000001</v>
      </c>
      <c r="Y25" s="100">
        <f>_xll.EQNXTDZ($A$1,$B25,Y$1,$B$1)</f>
        <v>8.1509999999999998</v>
      </c>
      <c r="Z25" s="100">
        <f>_xll.EQNXTDZ($A$1,$B25,Z$1,$B$1)</f>
        <v>8.9130000000000003</v>
      </c>
      <c r="AA25" s="100">
        <f>_xll.EQNXTDZ($A$1,$B25,AA$1,$B$1)</f>
        <v>7.4059999999999997</v>
      </c>
      <c r="AB25" s="100">
        <f>_xll.EQNXTDZ($A$1,$B25,AB$1,$B$1)</f>
        <v>2.9809999999999999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-5.351</v>
      </c>
      <c r="Q26" s="100">
        <f>_xll.EQNXTDZ($A$1,$B26,Q$1,$B$1)</f>
        <v>-28.844999999999999</v>
      </c>
      <c r="R26" s="100">
        <f>_xll.EQNXTDZ($A$1,$B26,R$1,$B$1)</f>
        <v>-127.431</v>
      </c>
      <c r="S26" s="100">
        <f>_xll.EQNXTDZ($A$1,$B26,S$1,$B$1)</f>
        <v>-59.512</v>
      </c>
      <c r="T26" s="100">
        <f>_xll.EQNXTDZ($A$1,$B26,T$1,$B$1)</f>
        <v>-57.212000000000003</v>
      </c>
      <c r="U26" s="100">
        <f>_xll.EQNXTDZ($A$1,$B26,U$1,$B$1)</f>
        <v>58.05</v>
      </c>
      <c r="V26" s="100">
        <f>_xll.EQNXTDZ($A$1,$B26,V$1,$B$1)</f>
        <v>234.20500000000001</v>
      </c>
      <c r="W26" s="100">
        <f>_xll.EQNXTDZ($A$1,$B26,W$1,$B$1)</f>
        <v>408.07799999999997</v>
      </c>
      <c r="X26" s="100">
        <f>_xll.EQNXTDZ($A$1,$B26,X$1,$B$1)</f>
        <v>414.63799999999998</v>
      </c>
      <c r="Y26" s="100">
        <f>_xll.EQNXTDZ($A$1,$B26,Y$1,$B$1)</f>
        <v>440.25799999999998</v>
      </c>
      <c r="Z26" s="100">
        <f>_xll.EQNXTDZ($A$1,$B26,Z$1,$B$1)</f>
        <v>533.05499999999995</v>
      </c>
      <c r="AA26" s="100">
        <f>_xll.EQNXTDZ($A$1,$B26,AA$1,$B$1)</f>
        <v>787.80399999999997</v>
      </c>
      <c r="AB26" s="100">
        <f>_xll.EQNXTDZ($A$1,$B26,AB$1,$B$1)</f>
        <v>731.16300000000001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2.2320000000000002</v>
      </c>
      <c r="Q27" s="100">
        <f>_xll.EQNXTDZ($A$1,$B27,Q$1,$B$1)</f>
        <v>3.0209999999999999</v>
      </c>
      <c r="R27" s="100">
        <f>_xll.EQNXTDZ($A$1,$B27,R$1,$B$1)</f>
        <v>3.6819999999999999</v>
      </c>
      <c r="S27" s="100">
        <f>_xll.EQNXTDZ($A$1,$B27,S$1,$B$1)</f>
        <v>4.6319999999999997</v>
      </c>
      <c r="T27" s="100">
        <f>_xll.EQNXTDZ($A$1,$B27,T$1,$B$1)</f>
        <v>2.8849999999999998</v>
      </c>
      <c r="U27" s="100">
        <f>_xll.EQNXTDZ($A$1,$B27,U$1,$B$1)</f>
        <v>4.1269999999999998</v>
      </c>
      <c r="V27" s="100">
        <f>_xll.EQNXTDZ($A$1,$B27,V$1,$B$1)</f>
        <v>21.145</v>
      </c>
      <c r="W27" s="100">
        <f>_xll.EQNXTDZ($A$1,$B27,W$1,$B$1)</f>
        <v>16.065000000000001</v>
      </c>
      <c r="X27" s="100">
        <f>_xll.EQNXTDZ($A$1,$B27,X$1,$B$1)</f>
        <v>11.946</v>
      </c>
      <c r="Y27" s="100">
        <f>_xll.EQNXTDZ($A$1,$B27,Y$1,$B$1)</f>
        <v>31.074999999999999</v>
      </c>
      <c r="Z27" s="100">
        <f>_xll.EQNXTDZ($A$1,$B27,Z$1,$B$1)</f>
        <v>36.460999999999999</v>
      </c>
      <c r="AA27" s="100">
        <f>_xll.EQNXTDZ($A$1,$B27,AA$1,$B$1)</f>
        <v>32.944000000000003</v>
      </c>
      <c r="AB27" s="100">
        <f>_xll.EQNXTDZ($A$1,$B27,AB$1,$B$1)</f>
        <v>28.448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-1.641</v>
      </c>
      <c r="W28" s="100">
        <f>_xll.EQNXTDZ($A$1,$B28,W$1,$B$1)</f>
        <v>-2.66</v>
      </c>
      <c r="X28" s="100">
        <f>_xll.EQNXTDZ($A$1,$B28,X$1,$B$1)</f>
        <v>-12.249000000000001</v>
      </c>
      <c r="Y28" s="100">
        <f>_xll.EQNXTDZ($A$1,$B28,Y$1,$B$1)</f>
        <v>-37.905000000000001</v>
      </c>
      <c r="Z28" s="100">
        <f>_xll.EQNXTDZ($A$1,$B28,Z$1,$B$1)</f>
        <v>-40.393999999999998</v>
      </c>
      <c r="AA28" s="100">
        <f>_xll.EQNXTDZ($A$1,$B28,AA$1,$B$1)</f>
        <v>-49.051000000000002</v>
      </c>
      <c r="AB28" s="100">
        <f>_xll.EQNXTDZ($A$1,$B28,AB$1,$B$1)</f>
        <v>-54.771999999999998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-1.823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1.7999999999999999E-2</v>
      </c>
      <c r="R30" s="100">
        <f>_xll.EQNXTDZ($A$1,$B30,R$1,$B$1)</f>
        <v>0.45500000000000002</v>
      </c>
      <c r="S30" s="100">
        <f>_xll.EQNXTDZ($A$1,$B30,S$1,$B$1)</f>
        <v>0.20200000000000001</v>
      </c>
      <c r="T30" s="100">
        <f>_xll.EQNXTDZ($A$1,$B30,T$1,$B$1)</f>
        <v>-114.85599999999999</v>
      </c>
      <c r="U30" s="100">
        <f>_xll.EQNXTDZ($A$1,$B30,U$1,$B$1)</f>
        <v>33.878999999999998</v>
      </c>
      <c r="V30" s="100">
        <f>_xll.EQNXTDZ($A$1,$B30,V$1,$B$1)</f>
        <v>64.037000000000006</v>
      </c>
      <c r="W30" s="100">
        <f>_xll.EQNXTDZ($A$1,$B30,W$1,$B$1)</f>
        <v>109.57899999999999</v>
      </c>
      <c r="X30" s="100">
        <f>_xll.EQNXTDZ($A$1,$B30,X$1,$B$1)</f>
        <v>92.825000000000003</v>
      </c>
      <c r="Y30" s="100">
        <f>_xll.EQNXTDZ($A$1,$B30,Y$1,$B$1)</f>
        <v>87.450999999999993</v>
      </c>
      <c r="Z30" s="100">
        <f>_xll.EQNXTDZ($A$1,$B30,Z$1,$B$1)</f>
        <v>120.42400000000001</v>
      </c>
      <c r="AA30" s="100">
        <f>_xll.EQNXTDZ($A$1,$B30,AA$1,$B$1)</f>
        <v>155.11099999999999</v>
      </c>
      <c r="AB30" s="100">
        <f>_xll.EQNXTDZ($A$1,$B30,AB$1,$B$1)</f>
        <v>173.261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-1E-3</v>
      </c>
      <c r="R32" s="100">
        <f>_xll.EQNXTDZ($A$1,$B32,R$1,$B$1)</f>
        <v>-6.0000000000000001E-3</v>
      </c>
      <c r="S32" s="100">
        <f>_xll.EQNXTDZ($A$1,$B32,S$1,$B$1)</f>
        <v>-1.7999999999999999E-2</v>
      </c>
      <c r="T32" s="100">
        <f>_xll.EQNXTDZ($A$1,$B32,T$1,$B$1)</f>
        <v>-1.9E-2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-7.5830000000000002</v>
      </c>
      <c r="Q35" s="100">
        <f>_xll.EQNXTDZ($A$1,$B35,Q$1,$B$1)</f>
        <v>-31.885000000000002</v>
      </c>
      <c r="R35" s="100">
        <f>_xll.EQNXTDZ($A$1,$B35,R$1,$B$1)</f>
        <v>-131.57400000000001</v>
      </c>
      <c r="S35" s="100">
        <f>_xll.EQNXTDZ($A$1,$B35,S$1,$B$1)</f>
        <v>-64.364000000000004</v>
      </c>
      <c r="T35" s="100">
        <f>_xll.EQNXTDZ($A$1,$B35,T$1,$B$1)</f>
        <v>54.74</v>
      </c>
      <c r="U35" s="100">
        <f>_xll.EQNXTDZ($A$1,$B35,U$1,$B$1)</f>
        <v>20.044</v>
      </c>
      <c r="V35" s="100">
        <f>_xll.EQNXTDZ($A$1,$B35,V$1,$B$1)</f>
        <v>147.38200000000001</v>
      </c>
      <c r="W35" s="100">
        <f>_xll.EQNXTDZ($A$1,$B35,W$1,$B$1)</f>
        <v>279.774</v>
      </c>
      <c r="X35" s="100">
        <f>_xll.EQNXTDZ($A$1,$B35,X$1,$B$1)</f>
        <v>297.61799999999999</v>
      </c>
      <c r="Y35" s="100">
        <f>_xll.EQNXTDZ($A$1,$B35,Y$1,$B$1)</f>
        <v>283.827</v>
      </c>
      <c r="Z35" s="100">
        <f>_xll.EQNXTDZ($A$1,$B35,Z$1,$B$1)</f>
        <v>333.95299999999997</v>
      </c>
      <c r="AA35" s="100">
        <f>_xll.EQNXTDZ($A$1,$B35,AA$1,$B$1)</f>
        <v>550.69799999999998</v>
      </c>
      <c r="AB35" s="100">
        <f>_xll.EQNXTDZ($A$1,$B35,AB$1,$B$1)</f>
        <v>474.68200000000002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58.168999999999997</v>
      </c>
      <c r="Q41" s="55">
        <f>_xll.EQNXTDZ($A$1,$B41,Q$1,$B$1)</f>
        <v>58.168999999999997</v>
      </c>
      <c r="R41" s="55">
        <f>_xll.EQNXTDZ($A$1,$B41,R$1,$B$1)</f>
        <v>9.1690000000000005</v>
      </c>
      <c r="S41" s="55">
        <f>_xll.EQNXTDZ($A$1,$B41,S$1,$B$1)</f>
        <v>9.1690000000000005</v>
      </c>
      <c r="T41" s="55">
        <f>_xll.EQNXTDZ($A$1,$B41,T$1,$B$1)</f>
        <v>9.9770000000000003</v>
      </c>
      <c r="U41" s="55">
        <f>_xll.EQNXTDZ($A$1,$B41,U$1,$B$1)</f>
        <v>28.591999999999999</v>
      </c>
      <c r="V41" s="55">
        <f>_xll.EQNXTDZ($A$1,$B41,V$1,$B$1)</f>
        <v>28.876999999999999</v>
      </c>
      <c r="W41" s="55">
        <f>_xll.EQNXTDZ($A$1,$B41,W$1,$B$1)</f>
        <v>30.315999999999999</v>
      </c>
      <c r="X41" s="55">
        <f>_xll.EQNXTDZ($A$1,$B41,X$1,$B$1)</f>
        <v>30.553000000000001</v>
      </c>
      <c r="Y41" s="55">
        <f>_xll.EQNXTDZ($A$1,$B41,Y$1,$B$1)</f>
        <v>30.579000000000001</v>
      </c>
      <c r="Z41" s="55">
        <f>_xll.EQNXTDZ($A$1,$B41,Z$1,$B$1)</f>
        <v>59.948999999999998</v>
      </c>
      <c r="AA41" s="55">
        <f>_xll.EQNXTDZ($A$1,$B41,AA$1,$B$1)</f>
        <v>60.005000000000003</v>
      </c>
      <c r="AB41" s="55">
        <f>_xll.EQNXTDZ($A$1,$B41,AB$1,$B$1)</f>
        <v>60.084000000000003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1.766</v>
      </c>
      <c r="Q42" s="55">
        <f>_xll.EQNXTDZ($A$1,$B42,Q$1,$B$1)</f>
        <v>1.766</v>
      </c>
      <c r="R42" s="55">
        <f>_xll.EQNXTDZ($A$1,$B42,R$1,$B$1)</f>
        <v>3.69</v>
      </c>
      <c r="S42" s="55">
        <f>_xll.EQNXTDZ($A$1,$B42,S$1,$B$1)</f>
        <v>4.6139999999999999</v>
      </c>
      <c r="T42" s="55">
        <f>_xll.EQNXTDZ($A$1,$B42,T$1,$B$1)</f>
        <v>6.1150000000000002</v>
      </c>
      <c r="U42" s="55">
        <f>_xll.EQNXTDZ($A$1,$B42,U$1,$B$1)</f>
        <v>8.8480000000000008</v>
      </c>
      <c r="V42" s="55">
        <f>_xll.EQNXTDZ($A$1,$B42,V$1,$B$1)</f>
        <v>11.616</v>
      </c>
      <c r="W42" s="55">
        <f>_xll.EQNXTDZ($A$1,$B42,W$1,$B$1)</f>
        <v>9.7379999999999995</v>
      </c>
      <c r="X42" s="55">
        <f>_xll.EQNXTDZ($A$1,$B42,X$1,$B$1)</f>
        <v>13.016</v>
      </c>
      <c r="Y42" s="55">
        <f>_xll.EQNXTDZ($A$1,$B42,Y$1,$B$1)</f>
        <v>25.655000000000001</v>
      </c>
      <c r="Z42" s="55">
        <f>_xll.EQNXTDZ($A$1,$B42,Z$1,$B$1)</f>
        <v>37.292000000000002</v>
      </c>
      <c r="AA42" s="55">
        <f>_xll.EQNXTDZ($A$1,$B42,AA$1,$B$1)</f>
        <v>37.040999999999997</v>
      </c>
      <c r="AB42" s="55">
        <f>_xll.EQNXTDZ($A$1,$B42,AB$1,$B$1)</f>
        <v>48.774000000000001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-122.035</v>
      </c>
      <c r="Q43" s="55">
        <f>_xll.EQNXTDZ($A$1,$B43,Q$1,$B$1)</f>
        <v>-153.91999999999999</v>
      </c>
      <c r="R43" s="55">
        <f>_xll.EQNXTDZ($A$1,$B43,R$1,$B$1)</f>
        <v>-339.93200000000002</v>
      </c>
      <c r="S43" s="55">
        <f>_xll.EQNXTDZ($A$1,$B43,S$1,$B$1)</f>
        <v>-403.82900000000001</v>
      </c>
      <c r="T43" s="55">
        <f>_xll.EQNXTDZ($A$1,$B43,T$1,$B$1)</f>
        <v>-337.36099999999999</v>
      </c>
      <c r="U43" s="55">
        <f>_xll.EQNXTDZ($A$1,$B43,U$1,$B$1)</f>
        <v>122.44799999999999</v>
      </c>
      <c r="V43" s="55">
        <f>_xll.EQNXTDZ($A$1,$B43,V$1,$B$1)</f>
        <v>234.56399999999999</v>
      </c>
      <c r="W43" s="55">
        <f>_xll.EQNXTDZ($A$1,$B43,W$1,$B$1)</f>
        <v>1570.83</v>
      </c>
      <c r="X43" s="55">
        <f>_xll.EQNXTDZ($A$1,$B43,X$1,$B$1)</f>
        <v>1830.4839999999999</v>
      </c>
      <c r="Y43" s="55">
        <f>_xll.EQNXTDZ($A$1,$B43,Y$1,$B$1)</f>
        <v>2002.258</v>
      </c>
      <c r="Z43" s="55">
        <f>_xll.EQNXTDZ($A$1,$B43,Z$1,$B$1)</f>
        <v>1638.873</v>
      </c>
      <c r="AA43" s="55">
        <f>_xll.EQNXTDZ($A$1,$B43,AA$1,$B$1)</f>
        <v>2088.2440000000001</v>
      </c>
      <c r="AB43" s="55">
        <f>_xll.EQNXTDZ($A$1,$B43,AB$1,$B$1)</f>
        <v>2291.5169999999998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-62.1</v>
      </c>
      <c r="Q44" s="55">
        <f>_xll.EQNXTDZ($A$1,$B44,Q$1,$B$1)</f>
        <v>-93.984999999999999</v>
      </c>
      <c r="R44" s="55">
        <f>_xll.EQNXTDZ($A$1,$B44,R$1,$B$1)</f>
        <v>-327.07299999999998</v>
      </c>
      <c r="S44" s="55">
        <f>_xll.EQNXTDZ($A$1,$B44,S$1,$B$1)</f>
        <v>-390.04599999999999</v>
      </c>
      <c r="T44" s="55">
        <f>_xll.EQNXTDZ($A$1,$B44,T$1,$B$1)</f>
        <v>-321.26900000000001</v>
      </c>
      <c r="U44" s="55">
        <f>_xll.EQNXTDZ($A$1,$B44,U$1,$B$1)</f>
        <v>159.88800000000001</v>
      </c>
      <c r="V44" s="55">
        <f>_xll.EQNXTDZ($A$1,$B44,V$1,$B$1)</f>
        <v>275.05700000000002</v>
      </c>
      <c r="W44" s="55">
        <f>_xll.EQNXTDZ($A$1,$B44,W$1,$B$1)</f>
        <v>1610.884</v>
      </c>
      <c r="X44" s="55">
        <f>_xll.EQNXTDZ($A$1,$B44,X$1,$B$1)</f>
        <v>1874.0530000000001</v>
      </c>
      <c r="Y44" s="55">
        <f>_xll.EQNXTDZ($A$1,$B44,Y$1,$B$1)</f>
        <v>2058.4920000000002</v>
      </c>
      <c r="Z44" s="55">
        <f>_xll.EQNXTDZ($A$1,$B44,Z$1,$B$1)</f>
        <v>1736.114</v>
      </c>
      <c r="AA44" s="55">
        <f>_xll.EQNXTDZ($A$1,$B44,AA$1,$B$1)</f>
        <v>2185.29</v>
      </c>
      <c r="AB44" s="55">
        <f>_xll.EQNXTDZ($A$1,$B44,AB$1,$B$1)</f>
        <v>2400.375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3.0000000000000001E-3</v>
      </c>
      <c r="R45" s="55">
        <f>_xll.EQNXTDZ($A$1,$B45,R$1,$B$1)</f>
        <v>8.9999999999999993E-3</v>
      </c>
      <c r="S45" s="55">
        <f>_xll.EQNXTDZ($A$1,$B45,S$1,$B$1)</f>
        <v>2.7E-2</v>
      </c>
      <c r="T45" s="55">
        <f>_xll.EQNXTDZ($A$1,$B45,T$1,$B$1)</f>
        <v>4.5999999999999999E-2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5.7000000000000002E-2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-115.557</v>
      </c>
      <c r="U49" s="55">
        <f>_xll.EQNXTDZ($A$1,$B49,U$1,$B$1)</f>
        <v>-85.808000000000007</v>
      </c>
      <c r="V49" s="55">
        <f>_xll.EQNXTDZ($A$1,$B49,V$1,$B$1)</f>
        <v>-24.57</v>
      </c>
      <c r="W49" s="55">
        <f>_xll.EQNXTDZ($A$1,$B49,W$1,$B$1)</f>
        <v>20.72</v>
      </c>
      <c r="X49" s="55">
        <f>_xll.EQNXTDZ($A$1,$B49,X$1,$B$1)</f>
        <v>15.641999999999999</v>
      </c>
      <c r="Y49" s="55">
        <f>_xll.EQNXTDZ($A$1,$B49,Y$1,$B$1)</f>
        <v>18.111000000000001</v>
      </c>
      <c r="Z49" s="55">
        <f>_xll.EQNXTDZ($A$1,$B49,Z$1,$B$1)</f>
        <v>42.947000000000003</v>
      </c>
      <c r="AA49" s="55">
        <f>_xll.EQNXTDZ($A$1,$B49,AA$1,$B$1)</f>
        <v>43.442</v>
      </c>
      <c r="AB49" s="55">
        <f>_xll.EQNXTDZ($A$1,$B49,AB$1,$B$1)</f>
        <v>55.195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35.661999999999999</v>
      </c>
      <c r="Q50" s="55">
        <f>_xll.EQNXTDZ($A$1,$B50,Q$1,$B$1)</f>
        <v>53.536000000000001</v>
      </c>
      <c r="R50" s="55">
        <f>_xll.EQNXTDZ($A$1,$B50,R$1,$B$1)</f>
        <v>311.714</v>
      </c>
      <c r="S50" s="55">
        <f>_xll.EQNXTDZ($A$1,$B50,S$1,$B$1)</f>
        <v>367.42200000000003</v>
      </c>
      <c r="T50" s="55">
        <f>_xll.EQNXTDZ($A$1,$B50,T$1,$B$1)</f>
        <v>539.28300000000002</v>
      </c>
      <c r="U50" s="55">
        <f>_xll.EQNXTDZ($A$1,$B50,U$1,$B$1)</f>
        <v>230.07499999999999</v>
      </c>
      <c r="V50" s="55">
        <f>_xll.EQNXTDZ($A$1,$B50,V$1,$B$1)</f>
        <v>330.97</v>
      </c>
      <c r="W50" s="55">
        <f>_xll.EQNXTDZ($A$1,$B50,W$1,$B$1)</f>
        <v>311.04199999999997</v>
      </c>
      <c r="X50" s="55">
        <f>_xll.EQNXTDZ($A$1,$B50,X$1,$B$1)</f>
        <v>377.85899999999998</v>
      </c>
      <c r="Y50" s="55">
        <f>_xll.EQNXTDZ($A$1,$B50,Y$1,$B$1)</f>
        <v>490.15300000000002</v>
      </c>
      <c r="Z50" s="55">
        <f>_xll.EQNXTDZ($A$1,$B50,Z$1,$B$1)</f>
        <v>575.18100000000004</v>
      </c>
      <c r="AA50" s="55">
        <f>_xll.EQNXTDZ($A$1,$B50,AA$1,$B$1)</f>
        <v>640.46299999999997</v>
      </c>
      <c r="AB50" s="55">
        <f>_xll.EQNXTDZ($A$1,$B50,AB$1,$B$1)</f>
        <v>758.17399999999998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0.67</v>
      </c>
      <c r="Q51" s="55">
        <f>_xll.EQNXTDZ($A$1,$B51,Q$1,$B$1)</f>
        <v>0.73199999999999998</v>
      </c>
      <c r="R51" s="55">
        <f>_xll.EQNXTDZ($A$1,$B51,R$1,$B$1)</f>
        <v>0.66600000000000004</v>
      </c>
      <c r="S51" s="55">
        <f>_xll.EQNXTDZ($A$1,$B51,S$1,$B$1)</f>
        <v>0.53600000000000003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0.48799999999999999</v>
      </c>
      <c r="S52" s="55">
        <f>_xll.EQNXTDZ($A$1,$B52,S$1,$B$1)</f>
        <v>1.7310000000000001</v>
      </c>
      <c r="T52" s="55">
        <f>_xll.EQNXTDZ($A$1,$B52,T$1,$B$1)</f>
        <v>5.931</v>
      </c>
      <c r="U52" s="55">
        <f>_xll.EQNXTDZ($A$1,$B52,U$1,$B$1)</f>
        <v>9.6</v>
      </c>
      <c r="V52" s="55">
        <f>_xll.EQNXTDZ($A$1,$B52,V$1,$B$1)</f>
        <v>26.54</v>
      </c>
      <c r="W52" s="55">
        <f>_xll.EQNXTDZ($A$1,$B52,W$1,$B$1)</f>
        <v>91.072000000000003</v>
      </c>
      <c r="X52" s="55">
        <f>_xll.EQNXTDZ($A$1,$B52,X$1,$B$1)</f>
        <v>184.64400000000001</v>
      </c>
      <c r="Y52" s="55">
        <f>_xll.EQNXTDZ($A$1,$B52,Y$1,$B$1)</f>
        <v>181.21199999999999</v>
      </c>
      <c r="Z52" s="55">
        <f>_xll.EQNXTDZ($A$1,$B52,Z$1,$B$1)</f>
        <v>28.047999999999998</v>
      </c>
      <c r="AA52" s="55">
        <f>_xll.EQNXTDZ($A$1,$B52,AA$1,$B$1)</f>
        <v>47.470999999999997</v>
      </c>
      <c r="AB52" s="55">
        <f>_xll.EQNXTDZ($A$1,$B52,AB$1,$B$1)</f>
        <v>52.457000000000001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36.389000000000003</v>
      </c>
      <c r="Q53" s="55">
        <f>_xll.EQNXTDZ($A$1,$B53,Q$1,$B$1)</f>
        <v>54.268000000000001</v>
      </c>
      <c r="R53" s="55">
        <f>_xll.EQNXTDZ($A$1,$B53,R$1,$B$1)</f>
        <v>312.86799999999999</v>
      </c>
      <c r="S53" s="55">
        <f>_xll.EQNXTDZ($A$1,$B53,S$1,$B$1)</f>
        <v>369.68900000000002</v>
      </c>
      <c r="T53" s="55">
        <f>_xll.EQNXTDZ($A$1,$B53,T$1,$B$1)</f>
        <v>429.65699999999998</v>
      </c>
      <c r="U53" s="55">
        <f>_xll.EQNXTDZ($A$1,$B53,U$1,$B$1)</f>
        <v>153.86699999999999</v>
      </c>
      <c r="V53" s="55">
        <f>_xll.EQNXTDZ($A$1,$B53,V$1,$B$1)</f>
        <v>332.94</v>
      </c>
      <c r="W53" s="55">
        <f>_xll.EQNXTDZ($A$1,$B53,W$1,$B$1)</f>
        <v>422.834</v>
      </c>
      <c r="X53" s="55">
        <f>_xll.EQNXTDZ($A$1,$B53,X$1,$B$1)</f>
        <v>578.14499999999998</v>
      </c>
      <c r="Y53" s="55">
        <f>_xll.EQNXTDZ($A$1,$B53,Y$1,$B$1)</f>
        <v>689.476</v>
      </c>
      <c r="Z53" s="55">
        <f>_xll.EQNXTDZ($A$1,$B53,Z$1,$B$1)</f>
        <v>646.17600000000004</v>
      </c>
      <c r="AA53" s="55">
        <f>_xll.EQNXTDZ($A$1,$B53,AA$1,$B$1)</f>
        <v>731.37599999999998</v>
      </c>
      <c r="AB53" s="55">
        <f>_xll.EQNXTDZ($A$1,$B53,AB$1,$B$1)</f>
        <v>865.82600000000002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17.984999999999999</v>
      </c>
      <c r="Q54" s="55">
        <f>_xll.EQNXTDZ($A$1,$B54,Q$1,$B$1)</f>
        <v>26.779</v>
      </c>
      <c r="R54" s="55">
        <f>_xll.EQNXTDZ($A$1,$B54,R$1,$B$1)</f>
        <v>37.634999999999998</v>
      </c>
      <c r="S54" s="55">
        <f>_xll.EQNXTDZ($A$1,$B54,S$1,$B$1)</f>
        <v>30.24</v>
      </c>
      <c r="T54" s="55">
        <f>_xll.EQNXTDZ($A$1,$B54,T$1,$B$1)</f>
        <v>41.892000000000003</v>
      </c>
      <c r="U54" s="55">
        <f>_xll.EQNXTDZ($A$1,$B54,U$1,$B$1)</f>
        <v>12.932</v>
      </c>
      <c r="V54" s="55">
        <f>_xll.EQNXTDZ($A$1,$B54,V$1,$B$1)</f>
        <v>17.942</v>
      </c>
      <c r="W54" s="55">
        <f>_xll.EQNXTDZ($A$1,$B54,W$1,$B$1)</f>
        <v>15.428000000000001</v>
      </c>
      <c r="X54" s="55">
        <f>_xll.EQNXTDZ($A$1,$B54,X$1,$B$1)</f>
        <v>18.356999999999999</v>
      </c>
      <c r="Y54" s="55">
        <f>_xll.EQNXTDZ($A$1,$B54,Y$1,$B$1)</f>
        <v>27.218</v>
      </c>
      <c r="Z54" s="55">
        <f>_xll.EQNXTDZ($A$1,$B54,Z$1,$B$1)</f>
        <v>34.362000000000002</v>
      </c>
      <c r="AA54" s="55">
        <f>_xll.EQNXTDZ($A$1,$B54,AA$1,$B$1)</f>
        <v>26.991</v>
      </c>
      <c r="AB54" s="55">
        <f>_xll.EQNXTDZ($A$1,$B54,AB$1,$B$1)</f>
        <v>31.981000000000002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86.861000000000004</v>
      </c>
      <c r="Q55" s="55">
        <f>_xll.EQNXTDZ($A$1,$B55,Q$1,$B$1)</f>
        <v>110.854</v>
      </c>
      <c r="R55" s="55">
        <f>_xll.EQNXTDZ($A$1,$B55,R$1,$B$1)</f>
        <v>167.70699999999999</v>
      </c>
      <c r="S55" s="55">
        <f>_xll.EQNXTDZ($A$1,$B55,S$1,$B$1)</f>
        <v>207.03899999999999</v>
      </c>
      <c r="T55" s="55">
        <f>_xll.EQNXTDZ($A$1,$B55,T$1,$B$1)</f>
        <v>272.036</v>
      </c>
      <c r="U55" s="55">
        <f>_xll.EQNXTDZ($A$1,$B55,U$1,$B$1)</f>
        <v>401.39400000000001</v>
      </c>
      <c r="V55" s="55">
        <f>_xll.EQNXTDZ($A$1,$B55,V$1,$B$1)</f>
        <v>468.37299999999999</v>
      </c>
      <c r="W55" s="55">
        <f>_xll.EQNXTDZ($A$1,$B55,W$1,$B$1)</f>
        <v>521.005</v>
      </c>
      <c r="X55" s="55">
        <f>_xll.EQNXTDZ($A$1,$B55,X$1,$B$1)</f>
        <v>634.85199999999998</v>
      </c>
      <c r="Y55" s="55">
        <f>_xll.EQNXTDZ($A$1,$B55,Y$1,$B$1)</f>
        <v>817.55600000000004</v>
      </c>
      <c r="Z55" s="55">
        <f>_xll.EQNXTDZ($A$1,$B55,Z$1,$B$1)</f>
        <v>1018.385</v>
      </c>
      <c r="AA55" s="55">
        <f>_xll.EQNXTDZ($A$1,$B55,AA$1,$B$1)</f>
        <v>1178.3109999999999</v>
      </c>
      <c r="AB55" s="55">
        <f>_xll.EQNXTDZ($A$1,$B55,AB$1,$B$1)</f>
        <v>1306.2760000000001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3.2450000000000001</v>
      </c>
      <c r="Q57" s="55">
        <f>_xll.EQNXTDZ($A$1,$B57,Q$1,$B$1)</f>
        <v>4.5590000000000002</v>
      </c>
      <c r="R57" s="55">
        <f>_xll.EQNXTDZ($A$1,$B57,R$1,$B$1)</f>
        <v>3.6019999999999999</v>
      </c>
      <c r="S57" s="55">
        <f>_xll.EQNXTDZ($A$1,$B57,S$1,$B$1)</f>
        <v>4.1589999999999998</v>
      </c>
      <c r="T57" s="55">
        <f>_xll.EQNXTDZ($A$1,$B57,T$1,$B$1)</f>
        <v>5.1769999999999996</v>
      </c>
      <c r="U57" s="55">
        <f>_xll.EQNXTDZ($A$1,$B57,U$1,$B$1)</f>
        <v>6.8659999999999997</v>
      </c>
      <c r="V57" s="55">
        <f>_xll.EQNXTDZ($A$1,$B57,V$1,$B$1)</f>
        <v>4.0469999999999997</v>
      </c>
      <c r="W57" s="55">
        <f>_xll.EQNXTDZ($A$1,$B57,W$1,$B$1)</f>
        <v>4.843</v>
      </c>
      <c r="X57" s="55">
        <f>_xll.EQNXTDZ($A$1,$B57,X$1,$B$1)</f>
        <v>5.0279999999999996</v>
      </c>
      <c r="Y57" s="55">
        <f>_xll.EQNXTDZ($A$1,$B57,Y$1,$B$1)</f>
        <v>99.692999999999998</v>
      </c>
      <c r="Z57" s="55">
        <f>_xll.EQNXTDZ($A$1,$B57,Z$1,$B$1)</f>
        <v>106.96599999999999</v>
      </c>
      <c r="AA57" s="55">
        <f>_xll.EQNXTDZ($A$1,$B57,AA$1,$B$1)</f>
        <v>163.56700000000001</v>
      </c>
      <c r="AB57" s="55">
        <f>_xll.EQNXTDZ($A$1,$B57,AB$1,$B$1)</f>
        <v>173.18899999999999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108.09099999999999</v>
      </c>
      <c r="Q59" s="55">
        <f>_xll.EQNXTDZ($A$1,$B59,Q$1,$B$1)</f>
        <v>142.19200000000001</v>
      </c>
      <c r="R59" s="55">
        <f>_xll.EQNXTDZ($A$1,$B59,R$1,$B$1)</f>
        <v>208.94399999999999</v>
      </c>
      <c r="S59" s="55">
        <f>_xll.EQNXTDZ($A$1,$B59,S$1,$B$1)</f>
        <v>241.43799999999999</v>
      </c>
      <c r="T59" s="55">
        <f>_xll.EQNXTDZ($A$1,$B59,T$1,$B$1)</f>
        <v>319.10500000000002</v>
      </c>
      <c r="U59" s="55">
        <f>_xll.EQNXTDZ($A$1,$B59,U$1,$B$1)</f>
        <v>421.19200000000001</v>
      </c>
      <c r="V59" s="55">
        <f>_xll.EQNXTDZ($A$1,$B59,V$1,$B$1)</f>
        <v>490.36200000000002</v>
      </c>
      <c r="W59" s="55">
        <f>_xll.EQNXTDZ($A$1,$B59,W$1,$B$1)</f>
        <v>541.27599999999995</v>
      </c>
      <c r="X59" s="55">
        <f>_xll.EQNXTDZ($A$1,$B59,X$1,$B$1)</f>
        <v>658.23699999999997</v>
      </c>
      <c r="Y59" s="55">
        <f>_xll.EQNXTDZ($A$1,$B59,Y$1,$B$1)</f>
        <v>944.46699999999998</v>
      </c>
      <c r="Z59" s="55">
        <f>_xll.EQNXTDZ($A$1,$B59,Z$1,$B$1)</f>
        <v>1159.713</v>
      </c>
      <c r="AA59" s="55">
        <f>_xll.EQNXTDZ($A$1,$B59,AA$1,$B$1)</f>
        <v>1368.8689999999999</v>
      </c>
      <c r="AB59" s="55">
        <f>_xll.EQNXTDZ($A$1,$B59,AB$1,$B$1)</f>
        <v>1511.4459999999999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82.38</v>
      </c>
      <c r="Q60" s="55">
        <f>_xll.EQNXTDZ($A$1,$B60,Q$1,$B$1)</f>
        <v>102.47799999999999</v>
      </c>
      <c r="R60" s="55">
        <f>_xll.EQNXTDZ($A$1,$B60,R$1,$B$1)</f>
        <v>194.74799999999999</v>
      </c>
      <c r="S60" s="55">
        <f>_xll.EQNXTDZ($A$1,$B60,S$1,$B$1)</f>
        <v>221.108</v>
      </c>
      <c r="T60" s="55">
        <f>_xll.EQNXTDZ($A$1,$B60,T$1,$B$1)</f>
        <v>427.53899999999999</v>
      </c>
      <c r="U60" s="55">
        <f>_xll.EQNXTDZ($A$1,$B60,U$1,$B$1)</f>
        <v>734.947</v>
      </c>
      <c r="V60" s="55">
        <f>_xll.EQNXTDZ($A$1,$B60,V$1,$B$1)</f>
        <v>1098.3589999999999</v>
      </c>
      <c r="W60" s="55">
        <f>_xll.EQNXTDZ($A$1,$B60,W$1,$B$1)</f>
        <v>2574.9940000000001</v>
      </c>
      <c r="X60" s="55">
        <f>_xll.EQNXTDZ($A$1,$B60,X$1,$B$1)</f>
        <v>3110.4349999999999</v>
      </c>
      <c r="Y60" s="55">
        <f>_xll.EQNXTDZ($A$1,$B60,Y$1,$B$1)</f>
        <v>3692.4349999999999</v>
      </c>
      <c r="Z60" s="55">
        <f>_xll.EQNXTDZ($A$1,$B60,Z$1,$B$1)</f>
        <v>3542.0030000000002</v>
      </c>
      <c r="AA60" s="55">
        <f>_xll.EQNXTDZ($A$1,$B60,AA$1,$B$1)</f>
        <v>4285.5349999999999</v>
      </c>
      <c r="AB60" s="55">
        <f>_xll.EQNXTDZ($A$1,$B60,AB$1,$B$1)</f>
        <v>4777.6469999999999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31.280999999999999</v>
      </c>
      <c r="Q62" s="55">
        <f>_xll.EQNXTDZ($A$1,$B62,Q$1,$B$1)</f>
        <v>34.073999999999998</v>
      </c>
      <c r="R62" s="55">
        <f>_xll.EQNXTDZ($A$1,$B62,R$1,$B$1)</f>
        <v>14.331</v>
      </c>
      <c r="S62" s="55">
        <f>_xll.EQNXTDZ($A$1,$B62,S$1,$B$1)</f>
        <v>17.018999999999998</v>
      </c>
      <c r="T62" s="55">
        <f>_xll.EQNXTDZ($A$1,$B62,T$1,$B$1)</f>
        <v>15.523</v>
      </c>
      <c r="U62" s="55">
        <f>_xll.EQNXTDZ($A$1,$B62,U$1,$B$1)</f>
        <v>20.587</v>
      </c>
      <c r="V62" s="55">
        <f>_xll.EQNXTDZ($A$1,$B62,V$1,$B$1)</f>
        <v>117.684</v>
      </c>
      <c r="W62" s="55">
        <f>_xll.EQNXTDZ($A$1,$B62,W$1,$B$1)</f>
        <v>106.136</v>
      </c>
      <c r="X62" s="55">
        <f>_xll.EQNXTDZ($A$1,$B62,X$1,$B$1)</f>
        <v>106.35599999999999</v>
      </c>
      <c r="Y62" s="55">
        <f>_xll.EQNXTDZ($A$1,$B62,Y$1,$B$1)</f>
        <v>629.78899999999999</v>
      </c>
      <c r="Z62" s="55">
        <f>_xll.EQNXTDZ($A$1,$B62,Z$1,$B$1)</f>
        <v>644.42899999999997</v>
      </c>
      <c r="AA62" s="55">
        <f>_xll.EQNXTDZ($A$1,$B62,AA$1,$B$1)</f>
        <v>652.16600000000005</v>
      </c>
      <c r="AB62" s="55">
        <f>_xll.EQNXTDZ($A$1,$B62,AB$1,$B$1)</f>
        <v>658.226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24.895</v>
      </c>
      <c r="Q63" s="55">
        <f>_xll.EQNXTDZ($A$1,$B63,Q$1,$B$1)</f>
        <v>27.914000000000001</v>
      </c>
      <c r="R63" s="55">
        <f>_xll.EQNXTDZ($A$1,$B63,R$1,$B$1)</f>
        <v>3.6819999999999999</v>
      </c>
      <c r="S63" s="55">
        <f>_xll.EQNXTDZ($A$1,$B63,S$1,$B$1)</f>
        <v>8.3059999999999992</v>
      </c>
      <c r="T63" s="55">
        <f>_xll.EQNXTDZ($A$1,$B63,T$1,$B$1)</f>
        <v>7.4569999999999999</v>
      </c>
      <c r="U63" s="55">
        <f>_xll.EQNXTDZ($A$1,$B63,U$1,$B$1)</f>
        <v>11.526</v>
      </c>
      <c r="V63" s="55">
        <f>_xll.EQNXTDZ($A$1,$B63,V$1,$B$1)</f>
        <v>32.054000000000002</v>
      </c>
      <c r="W63" s="55">
        <f>_xll.EQNXTDZ($A$1,$B63,W$1,$B$1)</f>
        <v>41.069000000000003</v>
      </c>
      <c r="X63" s="55">
        <f>_xll.EQNXTDZ($A$1,$B63,X$1,$B$1)</f>
        <v>50.292000000000002</v>
      </c>
      <c r="Y63" s="55">
        <f>_xll.EQNXTDZ($A$1,$B63,Y$1,$B$1)</f>
        <v>76.680999999999997</v>
      </c>
      <c r="Z63" s="55">
        <f>_xll.EQNXTDZ($A$1,$B63,Z$1,$B$1)</f>
        <v>108.44799999999999</v>
      </c>
      <c r="AA63" s="55">
        <f>_xll.EQNXTDZ($A$1,$B63,AA$1,$B$1)</f>
        <v>137.16800000000001</v>
      </c>
      <c r="AB63" s="55">
        <f>_xll.EQNXTDZ($A$1,$B63,AB$1,$B$1)</f>
        <v>164.19200000000001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6.3860000000000001</v>
      </c>
      <c r="Q65" s="55">
        <f>_xll.EQNXTDZ($A$1,$B65,Q$1,$B$1)</f>
        <v>6.16</v>
      </c>
      <c r="R65" s="55">
        <f>_xll.EQNXTDZ($A$1,$B65,R$1,$B$1)</f>
        <v>10.648999999999999</v>
      </c>
      <c r="S65" s="55">
        <f>_xll.EQNXTDZ($A$1,$B65,S$1,$B$1)</f>
        <v>8.7129999999999992</v>
      </c>
      <c r="T65" s="55">
        <f>_xll.EQNXTDZ($A$1,$B65,T$1,$B$1)</f>
        <v>8.0660000000000007</v>
      </c>
      <c r="U65" s="55">
        <f>_xll.EQNXTDZ($A$1,$B65,U$1,$B$1)</f>
        <v>9.0609999999999999</v>
      </c>
      <c r="V65" s="55">
        <f>_xll.EQNXTDZ($A$1,$B65,V$1,$B$1)</f>
        <v>85.63</v>
      </c>
      <c r="W65" s="55">
        <f>_xll.EQNXTDZ($A$1,$B65,W$1,$B$1)</f>
        <v>65.066999999999993</v>
      </c>
      <c r="X65" s="55">
        <f>_xll.EQNXTDZ($A$1,$B65,X$1,$B$1)</f>
        <v>56.064</v>
      </c>
      <c r="Y65" s="55">
        <f>_xll.EQNXTDZ($A$1,$B65,Y$1,$B$1)</f>
        <v>553.10799999999995</v>
      </c>
      <c r="Z65" s="55">
        <f>_xll.EQNXTDZ($A$1,$B65,Z$1,$B$1)</f>
        <v>535.98099999999999</v>
      </c>
      <c r="AA65" s="55">
        <f>_xll.EQNXTDZ($A$1,$B65,AA$1,$B$1)</f>
        <v>514.99800000000005</v>
      </c>
      <c r="AB65" s="55">
        <f>_xll.EQNXTDZ($A$1,$B65,AB$1,$B$1)</f>
        <v>494.03399999999999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0.17699999999999999</v>
      </c>
      <c r="Q67" s="55">
        <f>_xll.EQNXTDZ($A$1,$B67,Q$1,$B$1)</f>
        <v>0.17699999999999999</v>
      </c>
      <c r="R67" s="55">
        <f>_xll.EQNXTDZ($A$1,$B67,R$1,$B$1)</f>
        <v>0.17699999999999999</v>
      </c>
      <c r="S67" s="55">
        <f>_xll.EQNXTDZ($A$1,$B67,S$1,$B$1)</f>
        <v>0.17699999999999999</v>
      </c>
      <c r="T67" s="55">
        <f>_xll.EQNXTDZ($A$1,$B67,T$1,$B$1)</f>
        <v>0.17699999999999999</v>
      </c>
      <c r="U67" s="55">
        <f>_xll.EQNXTDZ($A$1,$B67,U$1,$B$1)</f>
        <v>0.17699999999999999</v>
      </c>
      <c r="V67" s="55">
        <f>_xll.EQNXTDZ($A$1,$B67,V$1,$B$1)</f>
        <v>0.17699999999999999</v>
      </c>
      <c r="W67" s="55">
        <f>_xll.EQNXTDZ($A$1,$B67,W$1,$B$1)</f>
        <v>0.17699999999999999</v>
      </c>
      <c r="X67" s="55">
        <f>_xll.EQNXTDZ($A$1,$B67,X$1,$B$1)</f>
        <v>0.17699999999999999</v>
      </c>
      <c r="Y67" s="55">
        <f>_xll.EQNXTDZ($A$1,$B67,Y$1,$B$1)</f>
        <v>0.17699999999999999</v>
      </c>
      <c r="Z67" s="55">
        <f>_xll.EQNXTDZ($A$1,$B67,Z$1,$B$1)</f>
        <v>0.504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0.46899999999999997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29.561</v>
      </c>
      <c r="W71" s="55">
        <f>_xll.EQNXTDZ($A$1,$B71,W$1,$B$1)</f>
        <v>36.993000000000002</v>
      </c>
      <c r="X71" s="55">
        <f>_xll.EQNXTDZ($A$1,$B71,X$1,$B$1)</f>
        <v>420.93200000000002</v>
      </c>
      <c r="Y71" s="55">
        <f>_xll.EQNXTDZ($A$1,$B71,Y$1,$B$1)</f>
        <v>511.7</v>
      </c>
      <c r="Z71" s="55">
        <f>_xll.EQNXTDZ($A$1,$B71,Z$1,$B$1)</f>
        <v>523.64800000000002</v>
      </c>
      <c r="AA71" s="55">
        <f>_xll.EQNXTDZ($A$1,$B71,AA$1,$B$1)</f>
        <v>664.95</v>
      </c>
      <c r="AB71" s="55">
        <f>_xll.EQNXTDZ($A$1,$B71,AB$1,$B$1)</f>
        <v>762.92899999999997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3.0910000000000002</v>
      </c>
      <c r="Q72" s="55">
        <f>_xll.EQNXTDZ($A$1,$B72,Q$1,$B$1)</f>
        <v>4.0949999999999998</v>
      </c>
      <c r="R72" s="55">
        <f>_xll.EQNXTDZ($A$1,$B72,R$1,$B$1)</f>
        <v>3.6930000000000001</v>
      </c>
      <c r="S72" s="55">
        <f>_xll.EQNXTDZ($A$1,$B72,S$1,$B$1)</f>
        <v>4.1500000000000004</v>
      </c>
      <c r="T72" s="55">
        <f>_xll.EQNXTDZ($A$1,$B72,T$1,$B$1)</f>
        <v>3.6190000000000002</v>
      </c>
      <c r="U72" s="55">
        <f>_xll.EQNXTDZ($A$1,$B72,U$1,$B$1)</f>
        <v>3.6850000000000001</v>
      </c>
      <c r="V72" s="55">
        <f>_xll.EQNXTDZ($A$1,$B72,V$1,$B$1)</f>
        <v>28.021999999999998</v>
      </c>
      <c r="W72" s="55">
        <f>_xll.EQNXTDZ($A$1,$B72,W$1,$B$1)</f>
        <v>87.977000000000004</v>
      </c>
      <c r="X72" s="55">
        <f>_xll.EQNXTDZ($A$1,$B72,X$1,$B$1)</f>
        <v>192.95599999999999</v>
      </c>
      <c r="Y72" s="55">
        <f>_xll.EQNXTDZ($A$1,$B72,Y$1,$B$1)</f>
        <v>175.61600000000001</v>
      </c>
      <c r="Z72" s="55">
        <f>_xll.EQNXTDZ($A$1,$B72,Z$1,$B$1)</f>
        <v>19.506</v>
      </c>
      <c r="AA72" s="55">
        <f>_xll.EQNXTDZ($A$1,$B72,AA$1,$B$1)</f>
        <v>20.456</v>
      </c>
      <c r="AB72" s="55">
        <f>_xll.EQNXTDZ($A$1,$B72,AB$1,$B$1)</f>
        <v>110.578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0.34599999999999997</v>
      </c>
      <c r="Q73" s="55">
        <f>_xll.EQNXTDZ($A$1,$B73,Q$1,$B$1)</f>
        <v>10.776999999999999</v>
      </c>
      <c r="R73" s="55">
        <f>_xll.EQNXTDZ($A$1,$B73,R$1,$B$1)</f>
        <v>12.385999999999999</v>
      </c>
      <c r="S73" s="55">
        <f>_xll.EQNXTDZ($A$1,$B73,S$1,$B$1)</f>
        <v>1.179</v>
      </c>
      <c r="T73" s="55">
        <f>_xll.EQNXTDZ($A$1,$B73,T$1,$B$1)</f>
        <v>30.898</v>
      </c>
      <c r="U73" s="55">
        <f>_xll.EQNXTDZ($A$1,$B73,U$1,$B$1)</f>
        <v>0.73099999999999998</v>
      </c>
      <c r="V73" s="55">
        <f>_xll.EQNXTDZ($A$1,$B73,V$1,$B$1)</f>
        <v>35.015999999999998</v>
      </c>
      <c r="W73" s="55">
        <f>_xll.EQNXTDZ($A$1,$B73,W$1,$B$1)</f>
        <v>7.3999999999999996E-2</v>
      </c>
      <c r="X73" s="55">
        <f>_xll.EQNXTDZ($A$1,$B73,X$1,$B$1)</f>
        <v>0.123</v>
      </c>
      <c r="Y73" s="55">
        <f>_xll.EQNXTDZ($A$1,$B73,Y$1,$B$1)</f>
        <v>0.06</v>
      </c>
      <c r="Z73" s="55">
        <f>_xll.EQNXTDZ($A$1,$B73,Z$1,$B$1)</f>
        <v>4.1000000000000002E-2</v>
      </c>
      <c r="AA73" s="55">
        <f>_xll.EQNXTDZ($A$1,$B73,AA$1,$B$1)</f>
        <v>1.6839999999999999</v>
      </c>
      <c r="AB73" s="55">
        <f>_xll.EQNXTDZ($A$1,$B73,AB$1,$B$1)</f>
        <v>70.046999999999997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10</v>
      </c>
      <c r="Q74" s="55">
        <f>_xll.EQNXTDZ($A$1,$B74,Q$1,$B$1)</f>
        <v>21.209</v>
      </c>
      <c r="R74" s="55">
        <f>_xll.EQNXTDZ($A$1,$B74,R$1,$B$1)</f>
        <v>26.905000000000001</v>
      </c>
      <c r="S74" s="55">
        <f>_xll.EQNXTDZ($A$1,$B74,S$1,$B$1)</f>
        <v>14.218999999999999</v>
      </c>
      <c r="T74" s="55">
        <f>_xll.EQNXTDZ($A$1,$B74,T$1,$B$1)</f>
        <v>42.76</v>
      </c>
      <c r="U74" s="55">
        <f>_xll.EQNXTDZ($A$1,$B74,U$1,$B$1)</f>
        <v>13.654</v>
      </c>
      <c r="V74" s="55">
        <f>_xll.EQNXTDZ($A$1,$B74,V$1,$B$1)</f>
        <v>178.40600000000001</v>
      </c>
      <c r="W74" s="55">
        <f>_xll.EQNXTDZ($A$1,$B74,W$1,$B$1)</f>
        <v>190.28800000000001</v>
      </c>
      <c r="X74" s="55">
        <f>_xll.EQNXTDZ($A$1,$B74,X$1,$B$1)</f>
        <v>670.25199999999995</v>
      </c>
      <c r="Y74" s="55">
        <f>_xll.EQNXTDZ($A$1,$B74,Y$1,$B$1)</f>
        <v>1240.6610000000001</v>
      </c>
      <c r="Z74" s="55">
        <f>_xll.EQNXTDZ($A$1,$B74,Z$1,$B$1)</f>
        <v>1079.68</v>
      </c>
      <c r="AA74" s="55">
        <f>_xll.EQNXTDZ($A$1,$B74,AA$1,$B$1)</f>
        <v>1202.557</v>
      </c>
      <c r="AB74" s="55">
        <f>_xll.EQNXTDZ($A$1,$B74,AB$1,$B$1)</f>
        <v>1437.588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57.981000000000002</v>
      </c>
      <c r="Q75" s="55">
        <f>_xll.EQNXTDZ($A$1,$B75,Q$1,$B$1)</f>
        <v>60.034999999999997</v>
      </c>
      <c r="R75" s="55">
        <f>_xll.EQNXTDZ($A$1,$B75,R$1,$B$1)</f>
        <v>128.63</v>
      </c>
      <c r="S75" s="55">
        <f>_xll.EQNXTDZ($A$1,$B75,S$1,$B$1)</f>
        <v>136.262</v>
      </c>
      <c r="T75" s="55">
        <f>_xll.EQNXTDZ($A$1,$B75,T$1,$B$1)</f>
        <v>311.07</v>
      </c>
      <c r="U75" s="55">
        <f>_xll.EQNXTDZ($A$1,$B75,U$1,$B$1)</f>
        <v>607.44500000000005</v>
      </c>
      <c r="V75" s="55">
        <f>_xll.EQNXTDZ($A$1,$B75,V$1,$B$1)</f>
        <v>871.87800000000004</v>
      </c>
      <c r="W75" s="55">
        <f>_xll.EQNXTDZ($A$1,$B75,W$1,$B$1)</f>
        <v>2217.4360000000001</v>
      </c>
      <c r="X75" s="55">
        <f>_xll.EQNXTDZ($A$1,$B75,X$1,$B$1)</f>
        <v>2300.7649999999999</v>
      </c>
      <c r="Y75" s="55">
        <f>_xll.EQNXTDZ($A$1,$B75,Y$1,$B$1)</f>
        <v>2271.8330000000001</v>
      </c>
      <c r="Z75" s="55">
        <f>_xll.EQNXTDZ($A$1,$B75,Z$1,$B$1)</f>
        <v>2222.1759999999999</v>
      </c>
      <c r="AA75" s="55">
        <f>_xll.EQNXTDZ($A$1,$B75,AA$1,$B$1)</f>
        <v>2788.2069999999999</v>
      </c>
      <c r="AB75" s="55">
        <f>_xll.EQNXTDZ($A$1,$B75,AB$1,$B$1)</f>
        <v>3029.4050000000002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0.53400000000000003</v>
      </c>
      <c r="Q77" s="55">
        <f>_xll.EQNXTDZ($A$1,$B77,Q$1,$B$1)</f>
        <v>0.43</v>
      </c>
      <c r="R77" s="55">
        <f>_xll.EQNXTDZ($A$1,$B77,R$1,$B$1)</f>
        <v>0.24099999999999999</v>
      </c>
      <c r="S77" s="55">
        <f>_xll.EQNXTDZ($A$1,$B77,S$1,$B$1)</f>
        <v>0.53100000000000003</v>
      </c>
      <c r="T77" s="55">
        <f>_xll.EQNXTDZ($A$1,$B77,T$1,$B$1)</f>
        <v>0.67900000000000005</v>
      </c>
      <c r="U77" s="55">
        <f>_xll.EQNXTDZ($A$1,$B77,U$1,$B$1)</f>
        <v>0.57099999999999995</v>
      </c>
      <c r="V77" s="55">
        <f>_xll.EQNXTDZ($A$1,$B77,V$1,$B$1)</f>
        <v>1.6819999999999999</v>
      </c>
      <c r="W77" s="55">
        <f>_xll.EQNXTDZ($A$1,$B77,W$1,$B$1)</f>
        <v>1.246</v>
      </c>
      <c r="X77" s="55">
        <f>_xll.EQNXTDZ($A$1,$B77,X$1,$B$1)</f>
        <v>1.3260000000000001</v>
      </c>
      <c r="Y77" s="55">
        <f>_xll.EQNXTDZ($A$1,$B77,Y$1,$B$1)</f>
        <v>7.0549999999999997</v>
      </c>
      <c r="Z77" s="55">
        <f>_xll.EQNXTDZ($A$1,$B77,Z$1,$B$1)</f>
        <v>4.782</v>
      </c>
      <c r="AA77" s="55">
        <f>_xll.EQNXTDZ($A$1,$B77,AA$1,$B$1)</f>
        <v>3.9710000000000001</v>
      </c>
      <c r="AB77" s="55">
        <f>_xll.EQNXTDZ($A$1,$B77,AB$1,$B$1)</f>
        <v>5.4950000000000001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6.7080000000000002</v>
      </c>
      <c r="Q78" s="55">
        <f>_xll.EQNXTDZ($A$1,$B78,Q$1,$B$1)</f>
        <v>10.295</v>
      </c>
      <c r="R78" s="55">
        <f>_xll.EQNXTDZ($A$1,$B78,R$1,$B$1)</f>
        <v>18.747</v>
      </c>
      <c r="S78" s="55">
        <f>_xll.EQNXTDZ($A$1,$B78,S$1,$B$1)</f>
        <v>40.655000000000001</v>
      </c>
      <c r="T78" s="55">
        <f>_xll.EQNXTDZ($A$1,$B78,T$1,$B$1)</f>
        <v>46.710999999999999</v>
      </c>
      <c r="U78" s="55">
        <f>_xll.EQNXTDZ($A$1,$B78,U$1,$B$1)</f>
        <v>77.744</v>
      </c>
      <c r="V78" s="55">
        <f>_xll.EQNXTDZ($A$1,$B78,V$1,$B$1)</f>
        <v>23.864000000000001</v>
      </c>
      <c r="W78" s="55">
        <f>_xll.EQNXTDZ($A$1,$B78,W$1,$B$1)</f>
        <v>77.727000000000004</v>
      </c>
      <c r="X78" s="55">
        <f>_xll.EQNXTDZ($A$1,$B78,X$1,$B$1)</f>
        <v>76.823999999999998</v>
      </c>
      <c r="Y78" s="55">
        <f>_xll.EQNXTDZ($A$1,$B78,Y$1,$B$1)</f>
        <v>58.274999999999999</v>
      </c>
      <c r="Z78" s="55">
        <f>_xll.EQNXTDZ($A$1,$B78,Z$1,$B$1)</f>
        <v>101.20099999999999</v>
      </c>
      <c r="AA78" s="55">
        <f>_xll.EQNXTDZ($A$1,$B78,AA$1,$B$1)</f>
        <v>84.385999999999996</v>
      </c>
      <c r="AB78" s="55">
        <f>_xll.EQNXTDZ($A$1,$B78,AB$1,$B$1)</f>
        <v>91.198999999999998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1.3280000000000001</v>
      </c>
      <c r="Q79" s="55">
        <f>_xll.EQNXTDZ($A$1,$B79,Q$1,$B$1)</f>
        <v>2.1150000000000002</v>
      </c>
      <c r="R79" s="55">
        <f>_xll.EQNXTDZ($A$1,$B79,R$1,$B$1)</f>
        <v>3.3279999999999998</v>
      </c>
      <c r="S79" s="55">
        <f>_xll.EQNXTDZ($A$1,$B79,S$1,$B$1)</f>
        <v>5.593</v>
      </c>
      <c r="T79" s="55">
        <f>_xll.EQNXTDZ($A$1,$B79,T$1,$B$1)</f>
        <v>9.0229999999999997</v>
      </c>
      <c r="U79" s="55">
        <f>_xll.EQNXTDZ($A$1,$B79,U$1,$B$1)</f>
        <v>15.46</v>
      </c>
      <c r="V79" s="55">
        <f>_xll.EQNXTDZ($A$1,$B79,V$1,$B$1)</f>
        <v>5.2869999999999999</v>
      </c>
      <c r="W79" s="55">
        <f>_xll.EQNXTDZ($A$1,$B79,W$1,$B$1)</f>
        <v>9.1760000000000002</v>
      </c>
      <c r="X79" s="55">
        <f>_xll.EQNXTDZ($A$1,$B79,X$1,$B$1)</f>
        <v>13.708</v>
      </c>
      <c r="Y79" s="55">
        <f>_xll.EQNXTDZ($A$1,$B79,Y$1,$B$1)</f>
        <v>17.207000000000001</v>
      </c>
      <c r="Z79" s="55">
        <f>_xll.EQNXTDZ($A$1,$B79,Z$1,$B$1)</f>
        <v>26.957000000000001</v>
      </c>
      <c r="AA79" s="55">
        <f>_xll.EQNXTDZ($A$1,$B79,AA$1,$B$1)</f>
        <v>38.438000000000002</v>
      </c>
      <c r="AB79" s="55">
        <f>_xll.EQNXTDZ($A$1,$B79,AB$1,$B$1)</f>
        <v>57.473999999999997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5.8289999999999997</v>
      </c>
      <c r="Q80" s="55">
        <f>_xll.EQNXTDZ($A$1,$B80,Q$1,$B$1)</f>
        <v>8.3940000000000001</v>
      </c>
      <c r="R80" s="55">
        <f>_xll.EQNXTDZ($A$1,$B80,R$1,$B$1)</f>
        <v>16.896999999999998</v>
      </c>
      <c r="S80" s="55">
        <f>_xll.EQNXTDZ($A$1,$B80,S$1,$B$1)</f>
        <v>23.847999999999999</v>
      </c>
      <c r="T80" s="55">
        <f>_xll.EQNXTDZ($A$1,$B80,T$1,$B$1)</f>
        <v>17.295999999999999</v>
      </c>
      <c r="U80" s="55">
        <f>_xll.EQNXTDZ($A$1,$B80,U$1,$B$1)</f>
        <v>20.073</v>
      </c>
      <c r="V80" s="55">
        <f>_xll.EQNXTDZ($A$1,$B80,V$1,$B$1)</f>
        <v>17.242000000000001</v>
      </c>
      <c r="W80" s="55">
        <f>_xll.EQNXTDZ($A$1,$B80,W$1,$B$1)</f>
        <v>79.120999999999995</v>
      </c>
      <c r="X80" s="55">
        <f>_xll.EQNXTDZ($A$1,$B80,X$1,$B$1)</f>
        <v>47.56</v>
      </c>
      <c r="Y80" s="55">
        <f>_xll.EQNXTDZ($A$1,$B80,Y$1,$B$1)</f>
        <v>97.403999999999996</v>
      </c>
      <c r="Z80" s="55">
        <f>_xll.EQNXTDZ($A$1,$B80,Z$1,$B$1)</f>
        <v>107.20699999999999</v>
      </c>
      <c r="AA80" s="55">
        <f>_xll.EQNXTDZ($A$1,$B80,AA$1,$B$1)</f>
        <v>167.976</v>
      </c>
      <c r="AB80" s="55">
        <f>_xll.EQNXTDZ($A$1,$B80,AB$1,$B$1)</f>
        <v>156.48599999999999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72.38</v>
      </c>
      <c r="Q82" s="55">
        <f>_xll.EQNXTDZ($A$1,$B82,Q$1,$B$1)</f>
        <v>81.269000000000005</v>
      </c>
      <c r="R82" s="55">
        <f>_xll.EQNXTDZ($A$1,$B82,R$1,$B$1)</f>
        <v>167.84299999999999</v>
      </c>
      <c r="S82" s="55">
        <f>_xll.EQNXTDZ($A$1,$B82,S$1,$B$1)</f>
        <v>206.88900000000001</v>
      </c>
      <c r="T82" s="55">
        <f>_xll.EQNXTDZ($A$1,$B82,T$1,$B$1)</f>
        <v>384.779</v>
      </c>
      <c r="U82" s="55">
        <f>_xll.EQNXTDZ($A$1,$B82,U$1,$B$1)</f>
        <v>721.29300000000001</v>
      </c>
      <c r="V82" s="55">
        <f>_xll.EQNXTDZ($A$1,$B82,V$1,$B$1)</f>
        <v>919.95299999999997</v>
      </c>
      <c r="W82" s="55">
        <f>_xll.EQNXTDZ($A$1,$B82,W$1,$B$1)</f>
        <v>2384.7060000000001</v>
      </c>
      <c r="X82" s="55">
        <f>_xll.EQNXTDZ($A$1,$B82,X$1,$B$1)</f>
        <v>2440.183</v>
      </c>
      <c r="Y82" s="55">
        <f>_xll.EQNXTDZ($A$1,$B82,Y$1,$B$1)</f>
        <v>2451.7739999999999</v>
      </c>
      <c r="Z82" s="55">
        <f>_xll.EQNXTDZ($A$1,$B82,Z$1,$B$1)</f>
        <v>2462.3229999999999</v>
      </c>
      <c r="AA82" s="55">
        <f>_xll.EQNXTDZ($A$1,$B82,AA$1,$B$1)</f>
        <v>3082.9780000000001</v>
      </c>
      <c r="AB82" s="55">
        <f>_xll.EQNXTDZ($A$1,$B82,AB$1,$B$1)</f>
        <v>3340.0590000000002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82.38</v>
      </c>
      <c r="Q84" s="55">
        <f>_xll.EQNXTDZ($A$1,$B84,Q$1,$B$1)</f>
        <v>102.47799999999999</v>
      </c>
      <c r="R84" s="55">
        <f>_xll.EQNXTDZ($A$1,$B84,R$1,$B$1)</f>
        <v>194.74799999999999</v>
      </c>
      <c r="S84" s="55">
        <f>_xll.EQNXTDZ($A$1,$B84,S$1,$B$1)</f>
        <v>221.108</v>
      </c>
      <c r="T84" s="55">
        <f>_xll.EQNXTDZ($A$1,$B84,T$1,$B$1)</f>
        <v>427.53899999999999</v>
      </c>
      <c r="U84" s="55">
        <f>_xll.EQNXTDZ($A$1,$B84,U$1,$B$1)</f>
        <v>734.947</v>
      </c>
      <c r="V84" s="55">
        <f>_xll.EQNXTDZ($A$1,$B84,V$1,$B$1)</f>
        <v>1098.3589999999999</v>
      </c>
      <c r="W84" s="55">
        <f>_xll.EQNXTDZ($A$1,$B84,W$1,$B$1)</f>
        <v>2574.9940000000001</v>
      </c>
      <c r="X84" s="55">
        <f>_xll.EQNXTDZ($A$1,$B84,X$1,$B$1)</f>
        <v>3110.4349999999999</v>
      </c>
      <c r="Y84" s="55">
        <f>_xll.EQNXTDZ($A$1,$B84,Y$1,$B$1)</f>
        <v>3692.4349999999999</v>
      </c>
      <c r="Z84" s="55">
        <f>_xll.EQNXTDZ($A$1,$B84,Z$1,$B$1)</f>
        <v>3542.0030000000002</v>
      </c>
      <c r="AA84" s="55">
        <f>_xll.EQNXTDZ($A$1,$B84,AA$1,$B$1)</f>
        <v>4285.5349999999999</v>
      </c>
      <c r="AB84" s="55">
        <f>_xll.EQNXTDZ($A$1,$B84,AB$1,$B$1)</f>
        <v>4777.6469999999999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0.71799999999999997</v>
      </c>
      <c r="Q85" s="55">
        <f>_xll.EQNXTDZ($A$1,$B85,Q$1,$B$1)</f>
        <v>0.77</v>
      </c>
      <c r="R85" s="55">
        <f>_xll.EQNXTDZ($A$1,$B85,R$1,$B$1)</f>
        <v>0.77500000000000002</v>
      </c>
      <c r="S85" s="55">
        <f>_xll.EQNXTDZ($A$1,$B85,S$1,$B$1)</f>
        <v>0.94899999999999995</v>
      </c>
      <c r="T85" s="55">
        <f>_xll.EQNXTDZ($A$1,$B85,T$1,$B$1)</f>
        <v>0.05</v>
      </c>
      <c r="U85" s="55">
        <f>_xll.EQNXTDZ($A$1,$B85,U$1,$B$1)</f>
        <v>6.2</v>
      </c>
      <c r="V85" s="55">
        <f>_xll.EQNXTDZ($A$1,$B85,V$1,$B$1)</f>
        <v>30.268000000000001</v>
      </c>
      <c r="W85" s="55">
        <f>_xll.EQNXTDZ($A$1,$B85,W$1,$B$1)</f>
        <v>30.268000000000001</v>
      </c>
      <c r="X85" s="55">
        <f>_xll.EQNXTDZ($A$1,$B85,X$1,$B$1)</f>
        <v>30.268000000000001</v>
      </c>
      <c r="Y85" s="55">
        <f>_xll.EQNXTDZ($A$1,$B85,Y$1,$B$1)</f>
        <v>31.806000000000001</v>
      </c>
      <c r="Z85" s="55">
        <f>_xll.EQNXTDZ($A$1,$B85,Z$1,$B$1)</f>
        <v>31.806000000000001</v>
      </c>
      <c r="AA85" s="55">
        <f>_xll.EQNXTDZ($A$1,$B85,AA$1,$B$1)</f>
        <v>52.186</v>
      </c>
      <c r="AB85" s="55">
        <f>_xll.EQNXTDZ($A$1,$B85,AB$1,$B$1)</f>
        <v>52.186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454.27199999999999</v>
      </c>
      <c r="Z86" s="55">
        <f>_xll.EQNXTDZ($A$1,$B86,Z$1,$B$1)</f>
        <v>454.27199999999999</v>
      </c>
      <c r="AA86" s="55">
        <f>_xll.EQNXTDZ($A$1,$B86,AA$1,$B$1)</f>
        <v>454.27199999999999</v>
      </c>
      <c r="AB86" s="55">
        <f>_xll.EQNXTDZ($A$1,$B86,AB$1,$B$1)</f>
        <v>454.27199999999999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5.6000000000000001E-2</v>
      </c>
      <c r="Q88" s="55">
        <f>_xll.EQNXTDZ($A$1,$B88,Q$1,$B$1)</f>
        <v>5.7000000000000002E-2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454.27199999999999</v>
      </c>
      <c r="Z91" s="55">
        <f>_xll.EQNXTDZ($A$1,$B91,Z$1,$B$1)</f>
        <v>454.27199999999999</v>
      </c>
      <c r="AA91" s="55">
        <f>_xll.EQNXTDZ($A$1,$B91,AA$1,$B$1)</f>
        <v>454.27199999999999</v>
      </c>
      <c r="AB91" s="55">
        <f>_xll.EQNXTDZ($A$1,$B91,AB$1,$B$1)</f>
        <v>454.27199999999999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0.69199999999999995</v>
      </c>
      <c r="Q93" s="55">
        <f>_xll.EQNXTDZ($A$1,$B93,Q$1,$B$1)</f>
        <v>0.73899999999999999</v>
      </c>
      <c r="R93" s="55">
        <f>_xll.EQNXTDZ($A$1,$B93,R$1,$B$1)</f>
        <v>0.73899999999999999</v>
      </c>
      <c r="S93" s="55">
        <f>_xll.EQNXTDZ($A$1,$B93,S$1,$B$1)</f>
        <v>0.90600000000000003</v>
      </c>
      <c r="T93" s="55">
        <f>_xll.EQNXTDZ($A$1,$B93,T$1,$B$1)</f>
        <v>0</v>
      </c>
      <c r="U93" s="55">
        <f>_xll.EQNXTDZ($A$1,$B93,U$1,$B$1)</f>
        <v>6.2</v>
      </c>
      <c r="V93" s="55">
        <f>_xll.EQNXTDZ($A$1,$B93,V$1,$B$1)</f>
        <v>30.268000000000001</v>
      </c>
      <c r="W93" s="55">
        <f>_xll.EQNXTDZ($A$1,$B93,W$1,$B$1)</f>
        <v>30.268000000000001</v>
      </c>
      <c r="X93" s="55">
        <f>_xll.EQNXTDZ($A$1,$B93,X$1,$B$1)</f>
        <v>30.268000000000001</v>
      </c>
      <c r="Y93" s="55">
        <f>_xll.EQNXTDZ($A$1,$B93,Y$1,$B$1)</f>
        <v>31.806000000000001</v>
      </c>
      <c r="Z93" s="55">
        <f>_xll.EQNXTDZ($A$1,$B93,Z$1,$B$1)</f>
        <v>31.806000000000001</v>
      </c>
      <c r="AA93" s="55">
        <f>_xll.EQNXTDZ($A$1,$B93,AA$1,$B$1)</f>
        <v>52.186</v>
      </c>
      <c r="AB93" s="55">
        <f>_xll.EQNXTDZ($A$1,$B93,AB$1,$B$1)</f>
        <v>52.186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2.5999999999999999E-2</v>
      </c>
      <c r="Q96" s="55">
        <f>_xll.EQNXTDZ($A$1,$B96,Q$1,$B$1)</f>
        <v>3.1E-2</v>
      </c>
      <c r="R96" s="55">
        <f>_xll.EQNXTDZ($A$1,$B96,R$1,$B$1)</f>
        <v>3.5999999999999997E-2</v>
      </c>
      <c r="S96" s="55">
        <f>_xll.EQNXTDZ($A$1,$B96,S$1,$B$1)</f>
        <v>4.2999999999999997E-2</v>
      </c>
      <c r="T96" s="55">
        <f>_xll.EQNXTDZ($A$1,$B96,T$1,$B$1)</f>
        <v>0.05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9.1690000000000005</v>
      </c>
      <c r="Q104" s="55">
        <f>_xll.EQNXTDZ($A$1,$B104,Q$1,$B$1)</f>
        <v>9.1690000000000005</v>
      </c>
      <c r="R104" s="55">
        <f>_xll.EQNXTDZ($A$1,$B104,R$1,$B$1)</f>
        <v>9.1690000000000005</v>
      </c>
      <c r="S104" s="55">
        <f>_xll.EQNXTDZ($A$1,$B104,S$1,$B$1)</f>
        <v>9.1690000000000005</v>
      </c>
      <c r="T104" s="55">
        <f>_xll.EQNXTDZ($A$1,$B104,T$1,$B$1)</f>
        <v>9.9770000000000003</v>
      </c>
      <c r="U104" s="55">
        <f>_xll.EQNXTDZ($A$1,$B104,U$1,$B$1)</f>
        <v>28.591999999999999</v>
      </c>
      <c r="V104" s="55">
        <f>_xll.EQNXTDZ($A$1,$B104,V$1,$B$1)</f>
        <v>28.876999999999999</v>
      </c>
      <c r="W104" s="55">
        <f>_xll.EQNXTDZ($A$1,$B104,W$1,$B$1)</f>
        <v>30.315999999999999</v>
      </c>
      <c r="X104" s="55">
        <f>_xll.EQNXTDZ($A$1,$B104,X$1,$B$1)</f>
        <v>30.553000000000001</v>
      </c>
      <c r="Y104" s="55">
        <f>_xll.EQNXTDZ($A$1,$B104,Y$1,$B$1)</f>
        <v>30.579000000000001</v>
      </c>
      <c r="Z104" s="55">
        <f>_xll.EQNXTDZ($A$1,$B104,Z$1,$B$1)</f>
        <v>59.948999999999998</v>
      </c>
      <c r="AA104" s="55">
        <f>_xll.EQNXTDZ($A$1,$B104,AA$1,$B$1)</f>
        <v>60.005000000000003</v>
      </c>
      <c r="AB104" s="55">
        <f>_xll.EQNXTDZ($A$1,$B104,AB$1,$B$1)</f>
        <v>60.084000000000003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967.95</v>
      </c>
      <c r="W106" s="55">
        <f>_xll.EQNXTDZ($A$1,$B106,W$1,$B$1)</f>
        <v>3866.2750000000001</v>
      </c>
      <c r="X106" s="55">
        <f>_xll.EQNXTDZ($A$1,$B106,X$1,$B$1)</f>
        <v>2161.6</v>
      </c>
      <c r="Y106" s="55">
        <f>_xll.EQNXTDZ($A$1,$B106,Y$1,$B$1)</f>
        <v>2514.0749999999998</v>
      </c>
      <c r="Z106" s="55">
        <f>_xll.EQNXTDZ($A$1,$B106,Z$1,$B$1)</f>
        <v>2645.75</v>
      </c>
      <c r="AA106" s="55">
        <f>_xll.EQNXTDZ($A$1,$B106,AA$1,$B$1)</f>
        <v>2065.4</v>
      </c>
      <c r="AB106" s="55">
        <f>_xll.EQNXTDZ($A$1,$B106,AB$1,$B$1)</f>
        <v>1983.9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1431</v>
      </c>
      <c r="W107" s="55">
        <f>_xll.EQNXTDZ($A$1,$B107,W$1,$B$1)</f>
        <v>4975.9750000000004</v>
      </c>
      <c r="X107" s="55">
        <f>_xll.EQNXTDZ($A$1,$B107,X$1,$B$1)</f>
        <v>4850</v>
      </c>
      <c r="Y107" s="55">
        <f>_xll.EQNXTDZ($A$1,$B107,Y$1,$B$1)</f>
        <v>2623.7750000000001</v>
      </c>
      <c r="Z107" s="55">
        <f>_xll.EQNXTDZ($A$1,$B107,Z$1,$B$1)</f>
        <v>3293.45</v>
      </c>
      <c r="AA107" s="55">
        <f>_xll.EQNXTDZ($A$1,$B107,AA$1,$B$1)</f>
        <v>3198.95</v>
      </c>
      <c r="AB107" s="55">
        <f>_xll.EQNXTDZ($A$1,$B107,AB$1,$B$1)</f>
        <v>2772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476</v>
      </c>
      <c r="W108" s="55">
        <f>_xll.EQNXTDZ($A$1,$B108,W$1,$B$1)</f>
        <v>960</v>
      </c>
      <c r="X108" s="55">
        <f>_xll.EQNXTDZ($A$1,$B108,X$1,$B$1)</f>
        <v>1982.675</v>
      </c>
      <c r="Y108" s="55">
        <f>_xll.EQNXTDZ($A$1,$B108,Y$1,$B$1)</f>
        <v>1838.0250000000001</v>
      </c>
      <c r="Z108" s="55">
        <f>_xll.EQNXTDZ($A$1,$B108,Z$1,$B$1)</f>
        <v>2395</v>
      </c>
      <c r="AA108" s="55">
        <f>_xll.EQNXTDZ($A$1,$B108,AA$1,$B$1)</f>
        <v>1905.35</v>
      </c>
      <c r="AB108" s="55">
        <f>_xll.EQNXTDZ($A$1,$B108,AB$1,$B$1)</f>
        <v>1850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5590.2984299999998</v>
      </c>
      <c r="W109" s="55">
        <f>_xll.EQNXTDZ($A$1,$B109,W$1,$B$1)</f>
        <v>23441.998579999999</v>
      </c>
      <c r="X109" s="55">
        <f>_xll.EQNXTDZ($A$1,$B109,X$1,$B$1)</f>
        <v>13208.67296</v>
      </c>
      <c r="Y109" s="55">
        <f>_xll.EQNXTDZ($A$1,$B109,Y$1,$B$1)</f>
        <v>15375.579884999999</v>
      </c>
      <c r="Z109" s="55">
        <f>_xll.EQNXTDZ($A$1,$B109,Z$1,$B$1)</f>
        <v>15861.006675000001</v>
      </c>
      <c r="AA109" s="55">
        <f>_xll.EQNXTDZ($A$1,$B109,AA$1,$B$1)</f>
        <v>12393.432699999999</v>
      </c>
      <c r="AB109" s="55">
        <f>_xll.EQNXTDZ($A$1,$B109,AB$1,$B$1)</f>
        <v>11920.064759999999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5</v>
      </c>
      <c r="W110" s="55">
        <f>_xll.EQNXTDZ($A$1,$B110,W$1,$B$1)</f>
        <v>7.5</v>
      </c>
      <c r="X110" s="55">
        <f>_xll.EQNXTDZ($A$1,$B110,X$1,$B$1)</f>
        <v>1</v>
      </c>
      <c r="Y110" s="55">
        <f>_xll.EQNXTDZ($A$1,$B110,Y$1,$B$1)</f>
        <v>10</v>
      </c>
      <c r="Z110" s="55">
        <f>_xll.EQNXTDZ($A$1,$B110,Z$1,$B$1)</f>
        <v>20</v>
      </c>
      <c r="AA110" s="55">
        <f>_xll.EQNXTDZ($A$1,$B110,AA$1,$B$1)</f>
        <v>50</v>
      </c>
      <c r="AB110" s="55">
        <f>_xll.EQNXTDZ($A$1,$B110,AB$1,$B$1)</f>
        <v>60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67.03</v>
      </c>
      <c r="U112" s="56">
        <f>_xll.EQNXTDZ($A$1,$B112,U$5)</f>
        <v>0</v>
      </c>
      <c r="V112" s="56">
        <f>_xll.EQNXTDZ($A$1,$B112,V$5)</f>
        <v>52.34</v>
      </c>
      <c r="W112" s="56">
        <f>_xll.EQNXTDZ($A$1,$B112,W$5)</f>
        <v>49.85</v>
      </c>
      <c r="X112" s="56">
        <f>_xll.EQNXTDZ($A$1,$B112,X$5)</f>
        <v>49.52</v>
      </c>
      <c r="Y112" s="56">
        <f>_xll.EQNXTDZ($A$1,$B112,Y$5)</f>
        <v>49.22</v>
      </c>
      <c r="Z112" s="56">
        <f>_xll.EQNXTDZ($A$1,$B112,Z$5)</f>
        <v>49.21</v>
      </c>
      <c r="AA112" s="56">
        <f>_xll.EQNXTDZ($A$1,$B112,AA$5)</f>
        <v>49.17</v>
      </c>
      <c r="AB112" s="56">
        <f>_xll.EQNXTDZ($A$1,$B112,AB$5)</f>
        <v>49.12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290269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590</v>
      </c>
      <c r="CK6" cm="1">
        <f t="array" ref="CK6">_xll.EQNXTDZ($A$1,$B6,CK$1)</f>
        <v>630</v>
      </c>
      <c r="CL6" cm="1">
        <f t="array" ref="CL6">_xll.EQNXTDZ($A$1,$B6,CL$1)</f>
        <v>599.97500000000002</v>
      </c>
      <c r="CM6" cm="1">
        <f t="array" ref="CM6">_xll.EQNXTDZ($A$1,$B6,CM$1)</f>
        <v>890</v>
      </c>
      <c r="CN6" cm="1">
        <f t="array" ref="CN6">_xll.EQNXTDZ($A$1,$B6,CN$1)</f>
        <v>934.875</v>
      </c>
      <c r="CO6" cm="1">
        <f t="array" ref="CO6">_xll.EQNXTDZ($A$1,$B6,CO$1)</f>
        <v>1080</v>
      </c>
      <c r="CP6" cm="1">
        <f t="array" ref="CP6">_xll.EQNXTDZ($A$1,$B6,CP$1)</f>
        <v>1035</v>
      </c>
      <c r="CQ6" cm="1">
        <f t="array" ref="CQ6">_xll.EQNXTDZ($A$1,$B6,CQ$1)</f>
        <v>1177.5</v>
      </c>
      <c r="CR6" cm="1">
        <f t="array" ref="CR6">_xll.EQNXTDZ($A$1,$B6,CR$1)</f>
        <v>1249.5</v>
      </c>
      <c r="CS6" cm="1">
        <f t="array" ref="CS6">_xll.EQNXTDZ($A$1,$B6,CS$1)</f>
        <v>955</v>
      </c>
      <c r="CT6" cm="1">
        <f t="array" ref="CT6">_xll.EQNXTDZ($A$1,$B6,CT$1)</f>
        <v>1095</v>
      </c>
      <c r="CU6" cm="1">
        <f t="array" ref="CU6">_xll.EQNXTDZ($A$1,$B6,CU$1)</f>
        <v>1249.5</v>
      </c>
      <c r="CV6" cm="1">
        <f t="array" ref="CV6">_xll.EQNXTDZ($A$1,$B6,CV$1)</f>
        <v>1162.45</v>
      </c>
      <c r="CW6" cm="1">
        <f t="array" ref="CW6">_xll.EQNXTDZ($A$1,$B6,CW$1)</f>
        <v>1423</v>
      </c>
      <c r="CX6" cm="1">
        <f t="array" ref="CX6">_xll.EQNXTDZ($A$1,$B6,CX$1)</f>
        <v>1882.5</v>
      </c>
      <c r="CY6" cm="1">
        <f t="array" ref="CY6">_xll.EQNXTDZ($A$1,$B6,CY$1)</f>
        <v>2570</v>
      </c>
      <c r="CZ6" cm="1">
        <f t="array" ref="CZ6">_xll.EQNXTDZ($A$1,$B6,CZ$1)</f>
        <v>2423</v>
      </c>
      <c r="DA6" cm="1">
        <f t="array" ref="DA6">_xll.EQNXTDZ($A$1,$B6,DA$1)</f>
        <v>2567.5500000000002</v>
      </c>
      <c r="DB6" cm="1">
        <f t="array" ref="DB6">_xll.EQNXTDZ($A$1,$B6,DB$1)</f>
        <v>3205.5</v>
      </c>
      <c r="DC6" cm="1">
        <f t="array" ref="DC6">_xll.EQNXTDZ($A$1,$B6,DC$1)</f>
        <v>3929.0749999999998</v>
      </c>
      <c r="DD6" cm="1">
        <f t="array" ref="DD6">_xll.EQNXTDZ($A$1,$B6,DD$1)</f>
        <v>4350</v>
      </c>
      <c r="DE6" cm="1">
        <f t="array" ref="DE6">_xll.EQNXTDZ($A$1,$B6,DE$1)</f>
        <v>3880.5</v>
      </c>
      <c r="DF6" cm="1">
        <f t="array" ref="DF6">_xll.EQNXTDZ($A$1,$B6,DF$1)</f>
        <v>3924.3249999999998</v>
      </c>
      <c r="DG6" cm="1">
        <f t="array" ref="DG6">_xll.EQNXTDZ($A$1,$B6,DG$1)</f>
        <v>3686.75</v>
      </c>
      <c r="DH6" cm="1">
        <f t="array" ref="DH6">_xll.EQNXTDZ($A$1,$B6,DH$1)</f>
        <v>3539.5</v>
      </c>
      <c r="DI6" cm="1">
        <f t="array" ref="DI6">_xll.EQNXTDZ($A$1,$B6,DI$1)</f>
        <v>3555.5</v>
      </c>
      <c r="DJ6" cm="1">
        <f t="array" ref="DJ6">_xll.EQNXTDZ($A$1,$B6,DJ$1)</f>
        <v>3943.45</v>
      </c>
      <c r="DK6" cm="1">
        <f t="array" ref="DK6">_xll.EQNXTDZ($A$1,$B6,DK$1)</f>
        <v>4197</v>
      </c>
      <c r="DL6" cm="1">
        <f t="array" ref="DL6">_xll.EQNXTDZ($A$1,$B6,DL$1)</f>
        <v>3624.45</v>
      </c>
      <c r="DM6" cm="1">
        <f t="array" ref="DM6">_xll.EQNXTDZ($A$1,$B6,DM$1)</f>
        <v>3715.05</v>
      </c>
      <c r="DN6" cm="1">
        <f t="array" ref="DN6">_xll.EQNXTDZ($A$1,$B6,DN$1)</f>
        <v>3235</v>
      </c>
      <c r="DO6" cm="1">
        <f t="array" ref="DO6">_xll.EQNXTDZ($A$1,$B6,DO$1)</f>
        <v>2535</v>
      </c>
      <c r="DP6" cm="1">
        <f t="array" ref="DP6">_xll.EQNXTDZ($A$1,$B6,DP$1)</f>
        <v>2374.5</v>
      </c>
      <c r="DQ6" cm="1">
        <f t="array" ref="DQ6">_xll.EQNXTDZ($A$1,$B6,DQ$1)</f>
        <v>2178.4</v>
      </c>
      <c r="DR6" cm="1">
        <f t="array" ref="DR6">_xll.EQNXTDZ($A$1,$B6,DR$1)</f>
        <v>2444.9499999999998</v>
      </c>
      <c r="DS6" cm="1">
        <f t="array" ref="DS6">_xll.EQNXTDZ($A$1,$B6,DS$1)</f>
        <v>2287.9250000000002</v>
      </c>
      <c r="DT6" cm="1">
        <f t="array" ref="DT6">_xll.EQNXTDZ($A$1,$B6,DT$1)</f>
        <v>1911.25</v>
      </c>
      <c r="DU6" cm="1">
        <f t="array" ref="DU6">_xll.EQNXTDZ($A$1,$B6,DU$1)</f>
        <v>2144.9499999999998</v>
      </c>
      <c r="DV6" cm="1">
        <f t="array" ref="DV6">_xll.EQNXTDZ($A$1,$B6,DV$1)</f>
        <v>2199</v>
      </c>
      <c r="DW6" cm="1">
        <f t="array" ref="DW6">_xll.EQNXTDZ($A$1,$B6,DW$1)</f>
        <v>2224.4</v>
      </c>
      <c r="DX6" cm="1">
        <f t="array" ref="DX6">_xll.EQNXTDZ($A$1,$B6,DX$1)</f>
        <v>2300</v>
      </c>
      <c r="DY6" cm="1">
        <f t="array" ref="DY6">_xll.EQNXTDZ($A$1,$B6,DY$1)</f>
        <v>2211.2249999999999</v>
      </c>
      <c r="DZ6" cm="1">
        <f t="array" ref="DZ6">_xll.EQNXTDZ($A$1,$B6,DZ$1)</f>
        <v>2170.5500000000002</v>
      </c>
      <c r="EA6" cm="1">
        <f t="array" ref="EA6">_xll.EQNXTDZ($A$1,$B6,EA$1)</f>
        <v>2269.4</v>
      </c>
      <c r="EB6" cm="1">
        <f t="array" ref="EB6">_xll.EQNXTDZ($A$1,$B6,EB$1)</f>
        <v>2430</v>
      </c>
      <c r="EC6" cm="1">
        <f t="array" ref="EC6">_xll.EQNXTDZ($A$1,$B6,EC$1)</f>
        <v>2520</v>
      </c>
      <c r="ED6" cm="1">
        <f t="array" ref="ED6">_xll.EQNXTDZ($A$1,$B6,ED$1)</f>
        <v>2675</v>
      </c>
      <c r="EE6" cm="1">
        <f t="array" ref="EE6">_xll.EQNXTDZ($A$1,$B6,EE$1)</f>
        <v>2791.9749999999999</v>
      </c>
      <c r="EF6" cm="1">
        <f t="array" ref="EF6">_xll.EQNXTDZ($A$1,$B6,EF$1)</f>
        <v>2835.95</v>
      </c>
      <c r="EG6" cm="1">
        <f t="array" ref="EG6">_xll.EQNXTDZ($A$1,$B6,EG$1)</f>
        <v>3130</v>
      </c>
      <c r="EH6" cm="1">
        <f t="array" ref="EH6">_xll.EQNXTDZ($A$1,$B6,EH$1)</f>
        <v>3063</v>
      </c>
      <c r="EI6" cm="1">
        <f t="array" ref="EI6">_xll.EQNXTDZ($A$1,$B6,EI$1)</f>
        <v>2876</v>
      </c>
      <c r="EJ6" cm="1">
        <f t="array" ref="EJ6">_xll.EQNXTDZ($A$1,$B6,EJ$1)</f>
        <v>2645</v>
      </c>
      <c r="EK6" cm="1">
        <f t="array" ref="EK6">_xll.EQNXTDZ($A$1,$B6,EK$1)</f>
        <v>2605.75</v>
      </c>
      <c r="EL6" cm="1">
        <f t="array" ref="EL6">_xll.EQNXTDZ($A$1,$B6,EL$1)</f>
        <v>2721</v>
      </c>
      <c r="EM6" cm="1">
        <f t="array" ref="EM6">_xll.EQNXTDZ($A$1,$B6,EM$1)</f>
        <v>2500</v>
      </c>
      <c r="EN6" cm="1">
        <f t="array" ref="EN6">_xll.EQNXTDZ($A$1,$B6,EN$1)</f>
        <v>2660</v>
      </c>
      <c r="EO6" cm="1">
        <f t="array" ref="EO6">_xll.EQNXTDZ($A$1,$B6,EO$1)</f>
        <v>2647.95</v>
      </c>
      <c r="EP6" cm="1">
        <f t="array" ref="EP6">_xll.EQNXTDZ($A$1,$B6,EP$1)</f>
        <v>2702</v>
      </c>
      <c r="EQ6" cm="1">
        <f t="array" ref="EQ6">_xll.EQNXTDZ($A$1,$B6,EQ$1)</f>
        <v>2530</v>
      </c>
      <c r="ER6" cm="1">
        <f t="array" ref="ER6">_xll.EQNXTDZ($A$1,$B6,ER$1)</f>
        <v>2681</v>
      </c>
      <c r="ES6" cm="1">
        <f t="array" ref="ES6">_xll.EQNXTDZ($A$1,$B6,ES$1)</f>
        <v>2956.05</v>
      </c>
      <c r="ET6" cm="1">
        <f t="array" ref="ET6">_xll.EQNXTDZ($A$1,$B6,ET$1)</f>
        <v>3009</v>
      </c>
      <c r="EU6" cm="1">
        <f t="array" ref="EU6">_xll.EQNXTDZ($A$1,$B6,EU$1)</f>
        <v>2970</v>
      </c>
      <c r="EV6" cm="1">
        <f t="array" ref="EV6">_xll.EQNXTDZ($A$1,$B6,EV$1)</f>
        <v>2518</v>
      </c>
      <c r="EW6" cm="1">
        <f t="array" ref="EW6">_xll.EQNXTDZ($A$1,$B6,EW$1)</f>
        <v>2344.9</v>
      </c>
      <c r="EX6" cm="1">
        <f t="array" ref="EX6">_xll.EQNXTDZ($A$1,$B6,EX$1)</f>
        <v>2254.85</v>
      </c>
      <c r="EY6" cm="1">
        <f t="array" ref="EY6">_xll.EQNXTDZ($A$1,$B6,EY$1)</f>
        <v>2068</v>
      </c>
      <c r="EZ6" cm="1">
        <f t="array" ref="EZ6">_xll.EQNXTDZ($A$1,$B6,EZ$1)</f>
        <v>1973.05</v>
      </c>
      <c r="FA6" cm="1">
        <f t="array" ref="FA6">_xll.EQNXTDZ($A$1,$B6,FA$1)</f>
        <v>2065.75</v>
      </c>
      <c r="FB6" cm="1">
        <f t="array" ref="FB6">_xll.EQNXTDZ($A$1,$B6,FB$1)</f>
        <v>2308.1</v>
      </c>
      <c r="FC6" cm="1">
        <f t="array" ref="FC6">_xll.EQNXTDZ($A$1,$B6,FC$1)</f>
        <v>2320.1</v>
      </c>
      <c r="FD6" cm="1">
        <f t="array" ref="FD6">_xll.EQNXTDZ($A$1,$B6,FD$1)</f>
        <v>2607</v>
      </c>
      <c r="FE6" cm="1">
        <f t="array" ref="FE6">_xll.EQNXTDZ($A$1,$B6,FE$1)</f>
        <v>2597</v>
      </c>
      <c r="FF6" cm="1">
        <f t="array" ref="FF6">_xll.EQNXTDZ($A$1,$B6,FF$1)</f>
        <v>2572</v>
      </c>
      <c r="FG6" cm="1">
        <f t="array" ref="FG6">_xll.EQNXTDZ($A$1,$B6,FG$1)</f>
        <v>2356</v>
      </c>
      <c r="FH6" cm="1">
        <f t="array" ref="FH6">_xll.EQNXTDZ($A$1,$B6,FH$1)</f>
        <v>2447.9</v>
      </c>
      <c r="FI6" cm="1">
        <f t="array" ref="FI6">_xll.EQNXTDZ($A$1,$B6,FI$1)</f>
        <v>2309.9</v>
      </c>
      <c r="FJ6" cm="1">
        <f t="array" ref="FJ6">_xll.EQNXTDZ($A$1,$B6,FJ$1)</f>
        <v>2234</v>
      </c>
      <c r="FK6" cm="1">
        <f t="array" ref="FK6">_xll.EQNXTDZ($A$1,$B6,FK$1)</f>
        <v>2202.1999999999998</v>
      </c>
      <c r="FL6" cm="1">
        <f t="array" ref="FL6">_xll.EQNXTDZ($A$1,$B6,FL$1)</f>
        <v>2100</v>
      </c>
      <c r="FM6" cm="1">
        <f t="array" ref="FM6">_xll.EQNXTDZ($A$1,$B6,FM$1)</f>
        <v>2004</v>
      </c>
      <c r="FN6" cm="1">
        <f t="array" ref="FN6">_xll.EQNXTDZ($A$1,$B6,FN$1)</f>
        <v>2036.6</v>
      </c>
      <c r="FO6" cm="1">
        <f t="array" ref="FO6">_xll.EQNXTDZ($A$1,$B6,FO$1)</f>
        <v>2002.4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684.35</v>
      </c>
      <c r="CK7" s="116" cm="1">
        <f t="array" ref="CK7">_xll.EQNXTDZ($A$1,$B7,CK$1)</f>
        <v>637.92499999999995</v>
      </c>
      <c r="CL7" s="116" cm="1">
        <f t="array" ref="CL7">_xll.EQNXTDZ($A$1,$B7,CL$1)</f>
        <v>985</v>
      </c>
      <c r="CM7" s="116" cm="1">
        <f t="array" ref="CM7">_xll.EQNXTDZ($A$1,$B7,CM$1)</f>
        <v>1152.0250000000001</v>
      </c>
      <c r="CN7" s="116" cm="1">
        <f t="array" ref="CN7">_xll.EQNXTDZ($A$1,$B7,CN$1)</f>
        <v>1099.5</v>
      </c>
      <c r="CO7" s="116" cm="1">
        <f t="array" ref="CO7">_xll.EQNXTDZ($A$1,$B7,CO$1)</f>
        <v>1112.5</v>
      </c>
      <c r="CP7" s="116" cm="1">
        <f t="array" ref="CP7">_xll.EQNXTDZ($A$1,$B7,CP$1)</f>
        <v>1239</v>
      </c>
      <c r="CQ7" s="116" cm="1">
        <f t="array" ref="CQ7">_xll.EQNXTDZ($A$1,$B7,CQ$1)</f>
        <v>1431.25</v>
      </c>
      <c r="CR7" s="116" cm="1">
        <f t="array" ref="CR7">_xll.EQNXTDZ($A$1,$B7,CR$1)</f>
        <v>1349</v>
      </c>
      <c r="CS7" s="116" cm="1">
        <f t="array" ref="CS7">_xll.EQNXTDZ($A$1,$B7,CS$1)</f>
        <v>1159.5</v>
      </c>
      <c r="CT7" s="116" cm="1">
        <f t="array" ref="CT7">_xll.EQNXTDZ($A$1,$B7,CT$1)</f>
        <v>1281.7249999999999</v>
      </c>
      <c r="CU7" s="116" cm="1">
        <f t="array" ref="CU7">_xll.EQNXTDZ($A$1,$B7,CU$1)</f>
        <v>1295.3499999999999</v>
      </c>
      <c r="CV7" s="116" cm="1">
        <f t="array" ref="CV7">_xll.EQNXTDZ($A$1,$B7,CV$1)</f>
        <v>1435</v>
      </c>
      <c r="CW7" s="116" cm="1">
        <f t="array" ref="CW7">_xll.EQNXTDZ($A$1,$B7,CW$1)</f>
        <v>1935</v>
      </c>
      <c r="CX7" s="116" cm="1">
        <f t="array" ref="CX7">_xll.EQNXTDZ($A$1,$B7,CX$1)</f>
        <v>2743.75</v>
      </c>
      <c r="CY7" s="116" cm="1">
        <f t="array" ref="CY7">_xll.EQNXTDZ($A$1,$B7,CY$1)</f>
        <v>2675</v>
      </c>
      <c r="CZ7" s="116" cm="1">
        <f t="array" ref="CZ7">_xll.EQNXTDZ($A$1,$B7,CZ$1)</f>
        <v>2619.3000000000002</v>
      </c>
      <c r="DA7" s="116" cm="1">
        <f t="array" ref="DA7">_xll.EQNXTDZ($A$1,$B7,DA$1)</f>
        <v>3232.0250000000001</v>
      </c>
      <c r="DB7" s="116" cm="1">
        <f t="array" ref="DB7">_xll.EQNXTDZ($A$1,$B7,DB$1)</f>
        <v>4187.3500000000004</v>
      </c>
      <c r="DC7" s="116" cm="1">
        <f t="array" ref="DC7">_xll.EQNXTDZ($A$1,$B7,DC$1)</f>
        <v>4975</v>
      </c>
      <c r="DD7" s="116" cm="1">
        <f t="array" ref="DD7">_xll.EQNXTDZ($A$1,$B7,DD$1)</f>
        <v>4403.95</v>
      </c>
      <c r="DE7" s="116" cm="1">
        <f t="array" ref="DE7">_xll.EQNXTDZ($A$1,$B7,DE$1)</f>
        <v>4462.45</v>
      </c>
      <c r="DF7" s="116" cm="1">
        <f t="array" ref="DF7">_xll.EQNXTDZ($A$1,$B7,DF$1)</f>
        <v>3969.7</v>
      </c>
      <c r="DG7" s="116" cm="1">
        <f t="array" ref="DG7">_xll.EQNXTDZ($A$1,$B7,DG$1)</f>
        <v>3709.7249999999999</v>
      </c>
      <c r="DH7" s="116" cm="1">
        <f t="array" ref="DH7">_xll.EQNXTDZ($A$1,$B7,DH$1)</f>
        <v>3749</v>
      </c>
      <c r="DI7" s="116" cm="1">
        <f t="array" ref="DI7">_xll.EQNXTDZ($A$1,$B7,DI$1)</f>
        <v>3999.5</v>
      </c>
      <c r="DJ7" s="116" cm="1">
        <f t="array" ref="DJ7">_xll.EQNXTDZ($A$1,$B7,DJ$1)</f>
        <v>4635</v>
      </c>
      <c r="DK7" s="116" cm="1">
        <f t="array" ref="DK7">_xll.EQNXTDZ($A$1,$B7,DK$1)</f>
        <v>4855.3500000000004</v>
      </c>
      <c r="DL7" s="116" cm="1">
        <f t="array" ref="DL7">_xll.EQNXTDZ($A$1,$B7,DL$1)</f>
        <v>3964.4</v>
      </c>
      <c r="DM7" s="116" cm="1">
        <f t="array" ref="DM7">_xll.EQNXTDZ($A$1,$B7,DM$1)</f>
        <v>3748.2</v>
      </c>
      <c r="DN7" s="116" cm="1">
        <f t="array" ref="DN7">_xll.EQNXTDZ($A$1,$B7,DN$1)</f>
        <v>3453.5</v>
      </c>
      <c r="DO7" s="116" cm="1">
        <f t="array" ref="DO7">_xll.EQNXTDZ($A$1,$B7,DO$1)</f>
        <v>2691</v>
      </c>
      <c r="DP7" s="116" cm="1">
        <f t="array" ref="DP7">_xll.EQNXTDZ($A$1,$B7,DP$1)</f>
        <v>2440</v>
      </c>
      <c r="DQ7" s="116" cm="1">
        <f t="array" ref="DQ7">_xll.EQNXTDZ($A$1,$B7,DQ$1)</f>
        <v>2624</v>
      </c>
      <c r="DR7" s="116" cm="1">
        <f t="array" ref="DR7">_xll.EQNXTDZ($A$1,$B7,DR$1)</f>
        <v>2474.4250000000002</v>
      </c>
      <c r="DS7" s="116" cm="1">
        <f t="array" ref="DS7">_xll.EQNXTDZ($A$1,$B7,DS$1)</f>
        <v>2362.5</v>
      </c>
      <c r="DT7" s="116" cm="1">
        <f t="array" ref="DT7">_xll.EQNXTDZ($A$1,$B7,DT$1)</f>
        <v>2155</v>
      </c>
      <c r="DU7" s="116" cm="1">
        <f t="array" ref="DU7">_xll.EQNXTDZ($A$1,$B7,DU$1)</f>
        <v>2316</v>
      </c>
      <c r="DV7" s="116" cm="1">
        <f t="array" ref="DV7">_xll.EQNXTDZ($A$1,$B7,DV$1)</f>
        <v>2440</v>
      </c>
      <c r="DW7" s="116" cm="1">
        <f t="array" ref="DW7">_xll.EQNXTDZ($A$1,$B7,DW$1)</f>
        <v>2318</v>
      </c>
      <c r="DX7" s="116" cm="1">
        <f t="array" ref="DX7">_xll.EQNXTDZ($A$1,$B7,DX$1)</f>
        <v>2457.5</v>
      </c>
      <c r="DY7" s="116" cm="1">
        <f t="array" ref="DY7">_xll.EQNXTDZ($A$1,$B7,DY$1)</f>
        <v>2294.5</v>
      </c>
      <c r="DZ7" s="116" cm="1">
        <f t="array" ref="DZ7">_xll.EQNXTDZ($A$1,$B7,DZ$1)</f>
        <v>2361.9749999999999</v>
      </c>
      <c r="EA7" s="116" cm="1">
        <f t="array" ref="EA7">_xll.EQNXTDZ($A$1,$B7,EA$1)</f>
        <v>2435</v>
      </c>
      <c r="EB7" s="116" cm="1">
        <f t="array" ref="EB7">_xll.EQNXTDZ($A$1,$B7,EB$1)</f>
        <v>2596.5</v>
      </c>
      <c r="EC7" s="116" cm="1">
        <f t="array" ref="EC7">_xll.EQNXTDZ($A$1,$B7,EC$1)</f>
        <v>2782.75</v>
      </c>
      <c r="ED7" s="116" cm="1">
        <f t="array" ref="ED7">_xll.EQNXTDZ($A$1,$B7,ED$1)</f>
        <v>3048.5</v>
      </c>
      <c r="EE7" s="116" cm="1">
        <f t="array" ref="EE7">_xll.EQNXTDZ($A$1,$B7,EE$1)</f>
        <v>3014</v>
      </c>
      <c r="EF7" s="116" cm="1">
        <f t="array" ref="EF7">_xll.EQNXTDZ($A$1,$B7,EF$1)</f>
        <v>3335.55</v>
      </c>
      <c r="EG7" s="116" cm="1">
        <f t="array" ref="EG7">_xll.EQNXTDZ($A$1,$B7,EG$1)</f>
        <v>3207.6</v>
      </c>
      <c r="EH7" s="116" cm="1">
        <f t="array" ref="EH7">_xll.EQNXTDZ($A$1,$B7,EH$1)</f>
        <v>3292</v>
      </c>
      <c r="EI7" s="116" cm="1">
        <f t="array" ref="EI7">_xll.EQNXTDZ($A$1,$B7,EI$1)</f>
        <v>2924.35</v>
      </c>
      <c r="EJ7" s="116" cm="1">
        <f t="array" ref="EJ7">_xll.EQNXTDZ($A$1,$B7,EJ$1)</f>
        <v>2689.5</v>
      </c>
      <c r="EK7" s="116" cm="1">
        <f t="array" ref="EK7">_xll.EQNXTDZ($A$1,$B7,EK$1)</f>
        <v>2912</v>
      </c>
      <c r="EL7" s="116" cm="1">
        <f t="array" ref="EL7">_xll.EQNXTDZ($A$1,$B7,EL$1)</f>
        <v>2783.95</v>
      </c>
      <c r="EM7" s="116" cm="1">
        <f t="array" ref="EM7">_xll.EQNXTDZ($A$1,$B7,EM$1)</f>
        <v>2805</v>
      </c>
      <c r="EN7" s="116" cm="1">
        <f t="array" ref="EN7">_xll.EQNXTDZ($A$1,$B7,EN$1)</f>
        <v>2730</v>
      </c>
      <c r="EO7" s="116" cm="1">
        <f t="array" ref="EO7">_xll.EQNXTDZ($A$1,$B7,EO$1)</f>
        <v>2727.9</v>
      </c>
      <c r="EP7" s="116" cm="1">
        <f t="array" ref="EP7">_xll.EQNXTDZ($A$1,$B7,EP$1)</f>
        <v>2908.25</v>
      </c>
      <c r="EQ7" s="116" cm="1">
        <f t="array" ref="EQ7">_xll.EQNXTDZ($A$1,$B7,EQ$1)</f>
        <v>2734.2</v>
      </c>
      <c r="ER7" s="116" cm="1">
        <f t="array" ref="ER7">_xll.EQNXTDZ($A$1,$B7,ER$1)</f>
        <v>3198.4</v>
      </c>
      <c r="ES7" s="116" cm="1">
        <f t="array" ref="ES7">_xll.EQNXTDZ($A$1,$B7,ES$1)</f>
        <v>3067.55</v>
      </c>
      <c r="ET7" s="116" cm="1">
        <f t="array" ref="ET7">_xll.EQNXTDZ($A$1,$B7,ET$1)</f>
        <v>3176</v>
      </c>
      <c r="EU7" s="116" cm="1">
        <f t="array" ref="EU7">_xll.EQNXTDZ($A$1,$B7,EU$1)</f>
        <v>3127.6</v>
      </c>
      <c r="EV7" s="116" cm="1">
        <f t="array" ref="EV7">_xll.EQNXTDZ($A$1,$B7,EV$1)</f>
        <v>2578.85</v>
      </c>
      <c r="EW7" s="116" cm="1">
        <f t="array" ref="EW7">_xll.EQNXTDZ($A$1,$B7,EW$1)</f>
        <v>2449</v>
      </c>
      <c r="EX7" s="116" cm="1">
        <f t="array" ref="EX7">_xll.EQNXTDZ($A$1,$B7,EX$1)</f>
        <v>2371</v>
      </c>
      <c r="EY7" s="116" cm="1">
        <f t="array" ref="EY7">_xll.EQNXTDZ($A$1,$B7,EY$1)</f>
        <v>2238.6999999999998</v>
      </c>
      <c r="EZ7" s="116" cm="1">
        <f t="array" ref="EZ7">_xll.EQNXTDZ($A$1,$B7,EZ$1)</f>
        <v>2161.9499999999998</v>
      </c>
      <c r="FA7" s="116" cm="1">
        <f t="array" ref="FA7">_xll.EQNXTDZ($A$1,$B7,FA$1)</f>
        <v>2435.6999999999998</v>
      </c>
      <c r="FB7" s="116" cm="1">
        <f t="array" ref="FB7">_xll.EQNXTDZ($A$1,$B7,FB$1)</f>
        <v>2410</v>
      </c>
      <c r="FC7" s="116" cm="1">
        <f t="array" ref="FC7">_xll.EQNXTDZ($A$1,$B7,FC$1)</f>
        <v>2729.9</v>
      </c>
      <c r="FD7" s="116" cm="1">
        <f t="array" ref="FD7">_xll.EQNXTDZ($A$1,$B7,FD$1)</f>
        <v>2799</v>
      </c>
      <c r="FE7" s="116" cm="1">
        <f t="array" ref="FE7">_xll.EQNXTDZ($A$1,$B7,FE$1)</f>
        <v>2685</v>
      </c>
      <c r="FF7" s="116" cm="1">
        <f t="array" ref="FF7">_xll.EQNXTDZ($A$1,$B7,FF$1)</f>
        <v>2632.8</v>
      </c>
      <c r="FG7" s="116" cm="1">
        <f t="array" ref="FG7">_xll.EQNXTDZ($A$1,$B7,FG$1)</f>
        <v>2490.1999999999998</v>
      </c>
      <c r="FH7" s="116" cm="1">
        <f t="array" ref="FH7">_xll.EQNXTDZ($A$1,$B7,FH$1)</f>
        <v>2525.9</v>
      </c>
      <c r="FI7" s="116" cm="1">
        <f t="array" ref="FI7">_xll.EQNXTDZ($A$1,$B7,FI$1)</f>
        <v>2345.5</v>
      </c>
      <c r="FJ7" s="116" cm="1">
        <f t="array" ref="FJ7">_xll.EQNXTDZ($A$1,$B7,FJ$1)</f>
        <v>2304</v>
      </c>
      <c r="FK7" s="116" cm="1">
        <f t="array" ref="FK7">_xll.EQNXTDZ($A$1,$B7,FK$1)</f>
        <v>2310.6999999999998</v>
      </c>
      <c r="FL7" s="116" cm="1">
        <f t="array" ref="FL7">_xll.EQNXTDZ($A$1,$B7,FL$1)</f>
        <v>2217</v>
      </c>
      <c r="FM7" s="116" cm="1">
        <f t="array" ref="FM7">_xll.EQNXTDZ($A$1,$B7,FM$1)</f>
        <v>2199</v>
      </c>
      <c r="FN7" s="116" cm="1">
        <f t="array" ref="FN7">_xll.EQNXTDZ($A$1,$B7,FN$1)</f>
        <v>2122.1999999999998</v>
      </c>
      <c r="FO7" s="116" cm="1">
        <f t="array" ref="FO7">_xll.EQNXTDZ($A$1,$B7,FO$1)</f>
        <v>2115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985</v>
      </c>
      <c r="IS7" s="116">
        <f>+MAX(CM7:CO7)</f>
        <v>1152.0250000000001</v>
      </c>
      <c r="IT7" s="116">
        <f>+MAX(CP7:CR7)</f>
        <v>1431.25</v>
      </c>
      <c r="IU7" s="116">
        <f>+MAX(CS7:CU7)</f>
        <v>1295.3499999999999</v>
      </c>
      <c r="IV7" s="116">
        <f>+MAX(CV7:CX7)</f>
        <v>2743.75</v>
      </c>
      <c r="IW7" s="116">
        <f>+MAX(CY7:DA7)</f>
        <v>3232.0250000000001</v>
      </c>
      <c r="IX7" s="116">
        <f>+MAX(DB7:DD7)</f>
        <v>4975</v>
      </c>
      <c r="IY7" s="116">
        <f>+MAX(DE7:DG7)</f>
        <v>4462.45</v>
      </c>
      <c r="IZ7" s="116">
        <f>+MAX(DH7:DJ7)</f>
        <v>4635</v>
      </c>
      <c r="JA7" s="116">
        <f>+MAX(DK7:DM7)</f>
        <v>4855.3500000000004</v>
      </c>
      <c r="JB7" s="116">
        <f>+MAX(DN7:DP7)</f>
        <v>3453.5</v>
      </c>
      <c r="JC7" s="116">
        <f>+MAX(DQ7:DS7)</f>
        <v>2624</v>
      </c>
      <c r="JD7" s="116">
        <f>+MAX(DT7:DV7)</f>
        <v>2440</v>
      </c>
      <c r="JE7" s="116">
        <f>+MAX(DW7:DY7)</f>
        <v>2457.5</v>
      </c>
      <c r="JF7" s="116">
        <f>+MAX(DZ7:EB7)</f>
        <v>2596.5</v>
      </c>
      <c r="JG7" s="116">
        <f>+MAX(EC7:EE7)</f>
        <v>3048.5</v>
      </c>
      <c r="JH7" s="116">
        <f>+MAX(EF7:EH7)</f>
        <v>3335.55</v>
      </c>
      <c r="JI7" s="116">
        <f>+MAX(EI7:EK7)</f>
        <v>2924.35</v>
      </c>
      <c r="JJ7" s="116">
        <f>+MAX(EL7:EN7)</f>
        <v>2805</v>
      </c>
      <c r="JK7" s="116">
        <f>MAX(EO7:EQ7)</f>
        <v>2908.25</v>
      </c>
      <c r="JL7" s="116">
        <f>MAX(ER7:ET7)</f>
        <v>3198.4</v>
      </c>
      <c r="JM7" s="116">
        <f>MAX(EU7:EW7)</f>
        <v>3127.6</v>
      </c>
      <c r="JN7" s="116">
        <f>MAX(EX7:EZ7)</f>
        <v>2371</v>
      </c>
      <c r="JO7" s="116">
        <f>MAX(FA7:FC7)</f>
        <v>2729.9</v>
      </c>
      <c r="JP7" s="116">
        <f>MAX(FD7:FF7)</f>
        <v>2799</v>
      </c>
      <c r="JQ7" s="116">
        <f>MAX(FG7:FI7)</f>
        <v>2525.9</v>
      </c>
      <c r="JR7" s="116">
        <f>MAX(FJ7:FL7)</f>
        <v>2310.6999999999998</v>
      </c>
      <c r="JS7" s="116">
        <f>MAX(FM7:FO7)</f>
        <v>2199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590</v>
      </c>
      <c r="CK8" s="116" cm="1">
        <f t="array" ref="CK8">_xll.EQNXTDZ($A$1,$B8,CK$1)</f>
        <v>551.47500000000002</v>
      </c>
      <c r="CL8" s="116" cm="1">
        <f t="array" ref="CL8">_xll.EQNXTDZ($A$1,$B8,CL$1)</f>
        <v>580</v>
      </c>
      <c r="CM8" s="116" cm="1">
        <f t="array" ref="CM8">_xll.EQNXTDZ($A$1,$B8,CM$1)</f>
        <v>868.625</v>
      </c>
      <c r="CN8" s="116" cm="1">
        <f t="array" ref="CN8">_xll.EQNXTDZ($A$1,$B8,CN$1)</f>
        <v>864</v>
      </c>
      <c r="CO8" s="116" cm="1">
        <f t="array" ref="CO8">_xll.EQNXTDZ($A$1,$B8,CO$1)</f>
        <v>980.95</v>
      </c>
      <c r="CP8" s="116" cm="1">
        <f t="array" ref="CP8">_xll.EQNXTDZ($A$1,$B8,CP$1)</f>
        <v>1000</v>
      </c>
      <c r="CQ8" s="116" cm="1">
        <f t="array" ref="CQ8">_xll.EQNXTDZ($A$1,$B8,CQ$1)</f>
        <v>1111</v>
      </c>
      <c r="CR8" s="116" cm="1">
        <f t="array" ref="CR8">_xll.EQNXTDZ($A$1,$B8,CR$1)</f>
        <v>820.52499999999998</v>
      </c>
      <c r="CS8" s="116" cm="1">
        <f t="array" ref="CS8">_xll.EQNXTDZ($A$1,$B8,CS$1)</f>
        <v>955</v>
      </c>
      <c r="CT8" s="116" cm="1">
        <f t="array" ref="CT8">_xll.EQNXTDZ($A$1,$B8,CT$1)</f>
        <v>1050.5</v>
      </c>
      <c r="CU8" s="116" cm="1">
        <f t="array" ref="CU8">_xll.EQNXTDZ($A$1,$B8,CU$1)</f>
        <v>1062.9749999999999</v>
      </c>
      <c r="CV8" s="116" cm="1">
        <f t="array" ref="CV8">_xll.EQNXTDZ($A$1,$B8,CV$1)</f>
        <v>1017.5</v>
      </c>
      <c r="CW8" s="116" cm="1">
        <f t="array" ref="CW8">_xll.EQNXTDZ($A$1,$B8,CW$1)</f>
        <v>1394</v>
      </c>
      <c r="CX8" s="116" cm="1">
        <f t="array" ref="CX8">_xll.EQNXTDZ($A$1,$B8,CX$1)</f>
        <v>1840.55</v>
      </c>
      <c r="CY8" s="116" cm="1">
        <f t="array" ref="CY8">_xll.EQNXTDZ($A$1,$B8,CY$1)</f>
        <v>2302.9</v>
      </c>
      <c r="CZ8" s="116" cm="1">
        <f t="array" ref="CZ8">_xll.EQNXTDZ($A$1,$B8,CZ$1)</f>
        <v>2257.5</v>
      </c>
      <c r="DA8" s="116" cm="1">
        <f t="array" ref="DA8">_xll.EQNXTDZ($A$1,$B8,DA$1)</f>
        <v>2455.5</v>
      </c>
      <c r="DB8" s="116" cm="1">
        <f t="array" ref="DB8">_xll.EQNXTDZ($A$1,$B8,DB$1)</f>
        <v>3191.125</v>
      </c>
      <c r="DC8" s="116" cm="1">
        <f t="array" ref="DC8">_xll.EQNXTDZ($A$1,$B8,DC$1)</f>
        <v>3705.5</v>
      </c>
      <c r="DD8" s="116" cm="1">
        <f t="array" ref="DD8">_xll.EQNXTDZ($A$1,$B8,DD$1)</f>
        <v>3802.7750000000001</v>
      </c>
      <c r="DE8" s="116" cm="1">
        <f t="array" ref="DE8">_xll.EQNXTDZ($A$1,$B8,DE$1)</f>
        <v>3830</v>
      </c>
      <c r="DF8" s="116" cm="1">
        <f t="array" ref="DF8">_xll.EQNXTDZ($A$1,$B8,DF$1)</f>
        <v>3325.0250000000001</v>
      </c>
      <c r="DG8" s="116" cm="1">
        <f t="array" ref="DG8">_xll.EQNXTDZ($A$1,$B8,DG$1)</f>
        <v>3389.6</v>
      </c>
      <c r="DH8" s="116" cm="1">
        <f t="array" ref="DH8">_xll.EQNXTDZ($A$1,$B8,DH$1)</f>
        <v>3475</v>
      </c>
      <c r="DI8" s="116" cm="1">
        <f t="array" ref="DI8">_xll.EQNXTDZ($A$1,$B8,DI$1)</f>
        <v>3496</v>
      </c>
      <c r="DJ8" s="116" cm="1">
        <f t="array" ref="DJ8">_xll.EQNXTDZ($A$1,$B8,DJ$1)</f>
        <v>3790</v>
      </c>
      <c r="DK8" s="116" cm="1">
        <f t="array" ref="DK8">_xll.EQNXTDZ($A$1,$B8,DK$1)</f>
        <v>3436.45</v>
      </c>
      <c r="DL8" s="116" cm="1">
        <f t="array" ref="DL8">_xll.EQNXTDZ($A$1,$B8,DL$1)</f>
        <v>3488.0749999999998</v>
      </c>
      <c r="DM8" s="116" cm="1">
        <f t="array" ref="DM8">_xll.EQNXTDZ($A$1,$B8,DM$1)</f>
        <v>3145</v>
      </c>
      <c r="DN8" s="116" cm="1">
        <f t="array" ref="DN8">_xll.EQNXTDZ($A$1,$B8,DN$1)</f>
        <v>2150.5500000000002</v>
      </c>
      <c r="DO8" s="116" cm="1">
        <f t="array" ref="DO8">_xll.EQNXTDZ($A$1,$B8,DO$1)</f>
        <v>2277.5</v>
      </c>
      <c r="DP8" s="116" cm="1">
        <f t="array" ref="DP8">_xll.EQNXTDZ($A$1,$B8,DP$1)</f>
        <v>1980</v>
      </c>
      <c r="DQ8" s="116" cm="1">
        <f t="array" ref="DQ8">_xll.EQNXTDZ($A$1,$B8,DQ$1)</f>
        <v>2165.625</v>
      </c>
      <c r="DR8" s="116" cm="1">
        <f t="array" ref="DR8">_xll.EQNXTDZ($A$1,$B8,DR$1)</f>
        <v>2025.125</v>
      </c>
      <c r="DS8" s="116" cm="1">
        <f t="array" ref="DS8">_xll.EQNXTDZ($A$1,$B8,DS$1)</f>
        <v>1892.55</v>
      </c>
      <c r="DT8" s="116" cm="1">
        <f t="array" ref="DT8">_xll.EQNXTDZ($A$1,$B8,DT$1)</f>
        <v>1838</v>
      </c>
      <c r="DU8" s="116" cm="1">
        <f t="array" ref="DU8">_xll.EQNXTDZ($A$1,$B8,DU$1)</f>
        <v>2018.75</v>
      </c>
      <c r="DV8" s="116" cm="1">
        <f t="array" ref="DV8">_xll.EQNXTDZ($A$1,$B8,DV$1)</f>
        <v>2115</v>
      </c>
      <c r="DW8" s="116" cm="1">
        <f t="array" ref="DW8">_xll.EQNXTDZ($A$1,$B8,DW$1)</f>
        <v>2133</v>
      </c>
      <c r="DX8" s="116" cm="1">
        <f t="array" ref="DX8">_xll.EQNXTDZ($A$1,$B8,DX$1)</f>
        <v>2146</v>
      </c>
      <c r="DY8" s="116" cm="1">
        <f t="array" ref="DY8">_xll.EQNXTDZ($A$1,$B8,DY$1)</f>
        <v>2043.5</v>
      </c>
      <c r="DZ8" s="116" cm="1">
        <f t="array" ref="DZ8">_xll.EQNXTDZ($A$1,$B8,DZ$1)</f>
        <v>2145.8249999999998</v>
      </c>
      <c r="EA8" s="116" cm="1">
        <f t="array" ref="EA8">_xll.EQNXTDZ($A$1,$B8,EA$1)</f>
        <v>2225.85</v>
      </c>
      <c r="EB8" s="116" cm="1">
        <f t="array" ref="EB8">_xll.EQNXTDZ($A$1,$B8,EB$1)</f>
        <v>2315.6</v>
      </c>
      <c r="EC8" s="116" cm="1">
        <f t="array" ref="EC8">_xll.EQNXTDZ($A$1,$B8,EC$1)</f>
        <v>2469.6750000000002</v>
      </c>
      <c r="ED8" s="116" cm="1">
        <f t="array" ref="ED8">_xll.EQNXTDZ($A$1,$B8,ED$1)</f>
        <v>2663.5250000000001</v>
      </c>
      <c r="EE8" s="116" cm="1">
        <f t="array" ref="EE8">_xll.EQNXTDZ($A$1,$B8,EE$1)</f>
        <v>2759.0250000000001</v>
      </c>
      <c r="EF8" s="116" cm="1">
        <f t="array" ref="EF8">_xll.EQNXTDZ($A$1,$B8,EF$1)</f>
        <v>2611.4</v>
      </c>
      <c r="EG8" s="116" cm="1">
        <f t="array" ref="EG8">_xll.EQNXTDZ($A$1,$B8,EG$1)</f>
        <v>2963.3</v>
      </c>
      <c r="EH8" s="116" cm="1">
        <f t="array" ref="EH8">_xll.EQNXTDZ($A$1,$B8,EH$1)</f>
        <v>2850</v>
      </c>
      <c r="EI8" s="116" cm="1">
        <f t="array" ref="EI8">_xll.EQNXTDZ($A$1,$B8,EI$1)</f>
        <v>2581.5</v>
      </c>
      <c r="EJ8" s="116" cm="1">
        <f t="array" ref="EJ8">_xll.EQNXTDZ($A$1,$B8,EJ$1)</f>
        <v>2533.85</v>
      </c>
      <c r="EK8" s="116" cm="1">
        <f t="array" ref="EK8">_xll.EQNXTDZ($A$1,$B8,EK$1)</f>
        <v>2578</v>
      </c>
      <c r="EL8" s="116" cm="1">
        <f t="array" ref="EL8">_xll.EQNXTDZ($A$1,$B8,EL$1)</f>
        <v>2393.35</v>
      </c>
      <c r="EM8" s="116" cm="1">
        <f t="array" ref="EM8">_xll.EQNXTDZ($A$1,$B8,EM$1)</f>
        <v>2495.1</v>
      </c>
      <c r="EN8" s="116" cm="1">
        <f t="array" ref="EN8">_xll.EQNXTDZ($A$1,$B8,EN$1)</f>
        <v>2475</v>
      </c>
      <c r="EO8" s="116" cm="1">
        <f t="array" ref="EO8">_xll.EQNXTDZ($A$1,$B8,EO$1)</f>
        <v>2487.0500000000002</v>
      </c>
      <c r="EP8" s="116" cm="1">
        <f t="array" ref="EP8">_xll.EQNXTDZ($A$1,$B8,EP$1)</f>
        <v>2409.35</v>
      </c>
      <c r="EQ8" s="116" cm="1">
        <f t="array" ref="EQ8">_xll.EQNXTDZ($A$1,$B8,EQ$1)</f>
        <v>2230</v>
      </c>
      <c r="ER8" s="116" cm="1">
        <f t="array" ref="ER8">_xll.EQNXTDZ($A$1,$B8,ER$1)</f>
        <v>2631.45</v>
      </c>
      <c r="ES8" s="116" cm="1">
        <f t="array" ref="ES8">_xll.EQNXTDZ($A$1,$B8,ES$1)</f>
        <v>2626.25</v>
      </c>
      <c r="ET8" s="116" cm="1">
        <f t="array" ref="ET8">_xll.EQNXTDZ($A$1,$B8,ET$1)</f>
        <v>2875.9</v>
      </c>
      <c r="EU8" s="116" cm="1">
        <f t="array" ref="EU8">_xll.EQNXTDZ($A$1,$B8,EU$1)</f>
        <v>2401</v>
      </c>
      <c r="EV8" s="116" cm="1">
        <f t="array" ref="EV8">_xll.EQNXTDZ($A$1,$B8,EV$1)</f>
        <v>2234.15</v>
      </c>
      <c r="EW8" s="116" cm="1">
        <f t="array" ref="EW8">_xll.EQNXTDZ($A$1,$B8,EW$1)</f>
        <v>2199.9</v>
      </c>
      <c r="EX8" s="116" cm="1">
        <f t="array" ref="EX8">_xll.EQNXTDZ($A$1,$B8,EX$1)</f>
        <v>2045.6</v>
      </c>
      <c r="EY8" s="116" cm="1">
        <f t="array" ref="EY8">_xll.EQNXTDZ($A$1,$B8,EY$1)</f>
        <v>1903.8</v>
      </c>
      <c r="EZ8" s="116" cm="1">
        <f t="array" ref="EZ8">_xll.EQNXTDZ($A$1,$B8,EZ$1)</f>
        <v>1914.95</v>
      </c>
      <c r="FA8" s="116" cm="1">
        <f t="array" ref="FA8">_xll.EQNXTDZ($A$1,$B8,FA$1)</f>
        <v>1900.1</v>
      </c>
      <c r="FB8" s="116" cm="1">
        <f t="array" ref="FB8">_xll.EQNXTDZ($A$1,$B8,FB$1)</f>
        <v>2155.1</v>
      </c>
      <c r="FC8" s="116" cm="1">
        <f t="array" ref="FC8">_xll.EQNXTDZ($A$1,$B8,FC$1)</f>
        <v>2299.8000000000002</v>
      </c>
      <c r="FD8" s="116" cm="1">
        <f t="array" ref="FD8">_xll.EQNXTDZ($A$1,$B8,FD$1)</f>
        <v>2525</v>
      </c>
      <c r="FE8" s="116" cm="1">
        <f t="array" ref="FE8">_xll.EQNXTDZ($A$1,$B8,FE$1)</f>
        <v>2455.8000000000002</v>
      </c>
      <c r="FF8" s="116" cm="1">
        <f t="array" ref="FF8">_xll.EQNXTDZ($A$1,$B8,FF$1)</f>
        <v>2307</v>
      </c>
      <c r="FG8" s="116" cm="1">
        <f t="array" ref="FG8">_xll.EQNXTDZ($A$1,$B8,FG$1)</f>
        <v>2252.5</v>
      </c>
      <c r="FH8" s="116" cm="1">
        <f t="array" ref="FH8">_xll.EQNXTDZ($A$1,$B8,FH$1)</f>
        <v>2291.5</v>
      </c>
      <c r="FI8" s="116" cm="1">
        <f t="array" ref="FI8">_xll.EQNXTDZ($A$1,$B8,FI$1)</f>
        <v>2190</v>
      </c>
      <c r="FJ8" s="116" cm="1">
        <f t="array" ref="FJ8">_xll.EQNXTDZ($A$1,$B8,FJ$1)</f>
        <v>2110</v>
      </c>
      <c r="FK8" s="116" cm="1">
        <f t="array" ref="FK8">_xll.EQNXTDZ($A$1,$B8,FK$1)</f>
        <v>2125.1</v>
      </c>
      <c r="FL8" s="116" cm="1">
        <f t="array" ref="FL8">_xll.EQNXTDZ($A$1,$B8,FL$1)</f>
        <v>1925.6</v>
      </c>
      <c r="FM8" s="116" cm="1">
        <f t="array" ref="FM8">_xll.EQNXTDZ($A$1,$B8,FM$1)</f>
        <v>1971.1</v>
      </c>
      <c r="FN8" s="116" cm="1">
        <f t="array" ref="FN8">_xll.EQNXTDZ($A$1,$B8,FN$1)</f>
        <v>1911</v>
      </c>
      <c r="FO8" s="116" cm="1">
        <f t="array" ref="FO8">_xll.EQNXTDZ($A$1,$B8,FO$1)</f>
        <v>1955.1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551.47500000000002</v>
      </c>
      <c r="IS8" s="116">
        <f>+MIN(CM8:CO8)</f>
        <v>864</v>
      </c>
      <c r="IT8" s="116">
        <f>+MIN(CP8:CR8)</f>
        <v>820.52499999999998</v>
      </c>
      <c r="IU8" s="116">
        <f>+MIN(CS8:CU8)</f>
        <v>955</v>
      </c>
      <c r="IV8" s="116">
        <f>+MIN(CV8:CX8)</f>
        <v>1017.5</v>
      </c>
      <c r="IW8" s="116">
        <f>+MIN(CY8:DA8)</f>
        <v>2257.5</v>
      </c>
      <c r="IX8" s="116">
        <f>+MIN(DB8:DD8)</f>
        <v>3191.125</v>
      </c>
      <c r="IY8" s="116">
        <f>+MIN(DE8:DG8)</f>
        <v>3325.0250000000001</v>
      </c>
      <c r="IZ8" s="116">
        <f>+MIN(DH8:DJ8)</f>
        <v>3475</v>
      </c>
      <c r="JA8" s="116">
        <f>+MIN(DK8:DM8)</f>
        <v>3145</v>
      </c>
      <c r="JB8" s="116">
        <f>+MIN(DN8:DP8)</f>
        <v>1980</v>
      </c>
      <c r="JC8" s="116">
        <f>+MIN(DQ8:DS8)</f>
        <v>1892.55</v>
      </c>
      <c r="JD8" s="116">
        <f>+MIN(DT8:DV8)</f>
        <v>1838</v>
      </c>
      <c r="JE8" s="116">
        <f>+MIN(DW8:DY8)</f>
        <v>2043.5</v>
      </c>
      <c r="JF8" s="116">
        <f>+MIN(DZ8:EB8)</f>
        <v>2145.8249999999998</v>
      </c>
      <c r="JG8" s="116">
        <f>+MIN(EC8:EE8)</f>
        <v>2469.6750000000002</v>
      </c>
      <c r="JH8" s="116">
        <f>+MIN(EF8:EH8)</f>
        <v>2611.4</v>
      </c>
      <c r="JI8" s="116">
        <f>+MIN(EI8:EK8)</f>
        <v>2533.85</v>
      </c>
      <c r="JJ8" s="116">
        <f>+MIN(EL8:EN8)</f>
        <v>2393.35</v>
      </c>
      <c r="JK8" s="116">
        <f>MIN(EO8:EQ8)</f>
        <v>2230</v>
      </c>
      <c r="JL8" s="116">
        <f>MIN(ER8:ET8)</f>
        <v>2626.25</v>
      </c>
      <c r="JM8" s="116">
        <f>MIN(EU8:EW8)</f>
        <v>2199.9</v>
      </c>
      <c r="JN8" s="116">
        <f>MIN(EX8:EZ8)</f>
        <v>1903.8</v>
      </c>
      <c r="JO8" s="116">
        <f>MIN(FA8:FC8)</f>
        <v>1900.1</v>
      </c>
      <c r="JP8" s="116">
        <f>MIN(FD8:FF8)</f>
        <v>2307</v>
      </c>
      <c r="JQ8" s="116">
        <f>MIN(FG8:FI8)</f>
        <v>2190</v>
      </c>
      <c r="JR8" s="116">
        <f>MIN(FJ8:FL8)</f>
        <v>1925.6</v>
      </c>
      <c r="JS8" s="116">
        <f>MIN(FM8:FO8)</f>
        <v>1911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601.85</v>
      </c>
      <c r="CK9" s="116" cm="1">
        <f t="array" ref="CK9">_xll.EQNXTDZ($A$1,$B9,CK$1)</f>
        <v>600.02499999999998</v>
      </c>
      <c r="CL9" s="116" cm="1">
        <f t="array" ref="CL9">_xll.EQNXTDZ($A$1,$B9,CL$1)</f>
        <v>884.52499999999998</v>
      </c>
      <c r="CM9" s="116" cm="1">
        <f t="array" ref="CM9">_xll.EQNXTDZ($A$1,$B9,CM$1)</f>
        <v>929.32500000000005</v>
      </c>
      <c r="CN9" s="116" cm="1">
        <f t="array" ref="CN9">_xll.EQNXTDZ($A$1,$B9,CN$1)</f>
        <v>1077.5999999999999</v>
      </c>
      <c r="CO9" s="116" cm="1">
        <f t="array" ref="CO9">_xll.EQNXTDZ($A$1,$B9,CO$1)</f>
        <v>1032.9749999999999</v>
      </c>
      <c r="CP9" s="116" cm="1">
        <f t="array" ref="CP9">_xll.EQNXTDZ($A$1,$B9,CP$1)</f>
        <v>1167.2750000000001</v>
      </c>
      <c r="CQ9" s="116" cm="1">
        <f t="array" ref="CQ9">_xll.EQNXTDZ($A$1,$B9,CQ$1)</f>
        <v>1202.9749999999999</v>
      </c>
      <c r="CR9" s="116" cm="1">
        <f t="array" ref="CR9">_xll.EQNXTDZ($A$1,$B9,CR$1)</f>
        <v>968.2</v>
      </c>
      <c r="CS9" s="116" cm="1">
        <f t="array" ref="CS9">_xll.EQNXTDZ($A$1,$B9,CS$1)</f>
        <v>1123.7750000000001</v>
      </c>
      <c r="CT9" s="116" cm="1">
        <f t="array" ref="CT9">_xll.EQNXTDZ($A$1,$B9,CT$1)</f>
        <v>1238.7</v>
      </c>
      <c r="CU9" s="116" cm="1">
        <f t="array" ref="CU9">_xll.EQNXTDZ($A$1,$B9,CU$1)</f>
        <v>1162.55</v>
      </c>
      <c r="CV9" s="116" cm="1">
        <f t="array" ref="CV9">_xll.EQNXTDZ($A$1,$B9,CV$1)</f>
        <v>1414.15</v>
      </c>
      <c r="CW9" s="116" cm="1">
        <f t="array" ref="CW9">_xll.EQNXTDZ($A$1,$B9,CW$1)</f>
        <v>1842.825</v>
      </c>
      <c r="CX9" s="116" cm="1">
        <f t="array" ref="CX9">_xll.EQNXTDZ($A$1,$B9,CX$1)</f>
        <v>2497.5250000000001</v>
      </c>
      <c r="CY9" s="116" cm="1">
        <f t="array" ref="CY9">_xll.EQNXTDZ($A$1,$B9,CY$1)</f>
        <v>2423</v>
      </c>
      <c r="CZ9" s="116" cm="1">
        <f t="array" ref="CZ9">_xll.EQNXTDZ($A$1,$B9,CZ$1)</f>
        <v>2546.1999999999998</v>
      </c>
      <c r="DA9" s="116" cm="1">
        <f t="array" ref="DA9">_xll.EQNXTDZ($A$1,$B9,DA$1)</f>
        <v>3203.6</v>
      </c>
      <c r="DB9" s="116" cm="1">
        <f t="array" ref="DB9">_xll.EQNXTDZ($A$1,$B9,DB$1)</f>
        <v>3901.2750000000001</v>
      </c>
      <c r="DC9" s="116" cm="1">
        <f t="array" ref="DC9">_xll.EQNXTDZ($A$1,$B9,DC$1)</f>
        <v>4297.875</v>
      </c>
      <c r="DD9" s="116" cm="1">
        <f t="array" ref="DD9">_xll.EQNXTDZ($A$1,$B9,DD$1)</f>
        <v>3868.9749999999999</v>
      </c>
      <c r="DE9" s="116" cm="1">
        <f t="array" ref="DE9">_xll.EQNXTDZ($A$1,$B9,DE$1)</f>
        <v>3974.3249999999998</v>
      </c>
      <c r="DF9" s="116" cm="1">
        <f t="array" ref="DF9">_xll.EQNXTDZ($A$1,$B9,DF$1)</f>
        <v>3684.8249999999998</v>
      </c>
      <c r="DG9" s="116" cm="1">
        <f t="array" ref="DG9">_xll.EQNXTDZ($A$1,$B9,DG$1)</f>
        <v>3496.0749999999998</v>
      </c>
      <c r="DH9" s="116" cm="1">
        <f t="array" ref="DH9">_xll.EQNXTDZ($A$1,$B9,DH$1)</f>
        <v>3572.625</v>
      </c>
      <c r="DI9" s="116" cm="1">
        <f t="array" ref="DI9">_xll.EQNXTDZ($A$1,$B9,DI$1)</f>
        <v>3924.1</v>
      </c>
      <c r="DJ9" s="116" cm="1">
        <f t="array" ref="DJ9">_xll.EQNXTDZ($A$1,$B9,DJ$1)</f>
        <v>4189.45</v>
      </c>
      <c r="DK9" s="116" cm="1">
        <f t="array" ref="DK9">_xll.EQNXTDZ($A$1,$B9,DK$1)</f>
        <v>3573.25</v>
      </c>
      <c r="DL9" s="116" cm="1">
        <f t="array" ref="DL9">_xll.EQNXTDZ($A$1,$B9,DL$1)</f>
        <v>3729.95</v>
      </c>
      <c r="DM9" s="116" cm="1">
        <f t="array" ref="DM9">_xll.EQNXTDZ($A$1,$B9,DM$1)</f>
        <v>3238.2</v>
      </c>
      <c r="DN9" s="116" cm="1">
        <f t="array" ref="DN9">_xll.EQNXTDZ($A$1,$B9,DN$1)</f>
        <v>2494.35</v>
      </c>
      <c r="DO9" s="116" cm="1">
        <f t="array" ref="DO9">_xll.EQNXTDZ($A$1,$B9,DO$1)</f>
        <v>2387.0250000000001</v>
      </c>
      <c r="DP9" s="116" cm="1">
        <f t="array" ref="DP9">_xll.EQNXTDZ($A$1,$B9,DP$1)</f>
        <v>2161.3249999999998</v>
      </c>
      <c r="DQ9" s="116" cm="1">
        <f t="array" ref="DQ9">_xll.EQNXTDZ($A$1,$B9,DQ$1)</f>
        <v>2457.375</v>
      </c>
      <c r="DR9" s="116" cm="1">
        <f t="array" ref="DR9">_xll.EQNXTDZ($A$1,$B9,DR$1)</f>
        <v>2277.25</v>
      </c>
      <c r="DS9" s="116" cm="1">
        <f t="array" ref="DS9">_xll.EQNXTDZ($A$1,$B9,DS$1)</f>
        <v>1904.6</v>
      </c>
      <c r="DT9" s="116" cm="1">
        <f t="array" ref="DT9">_xll.EQNXTDZ($A$1,$B9,DT$1)</f>
        <v>2127.0749999999998</v>
      </c>
      <c r="DU9" s="116" cm="1">
        <f t="array" ref="DU9">_xll.EQNXTDZ($A$1,$B9,DU$1)</f>
        <v>2205.0250000000001</v>
      </c>
      <c r="DV9" s="116" cm="1">
        <f t="array" ref="DV9">_xll.EQNXTDZ($A$1,$B9,DV$1)</f>
        <v>2228.9250000000002</v>
      </c>
      <c r="DW9" s="116" cm="1">
        <f t="array" ref="DW9">_xll.EQNXTDZ($A$1,$B9,DW$1)</f>
        <v>2295.7249999999999</v>
      </c>
      <c r="DX9" s="116" cm="1">
        <f t="array" ref="DX9">_xll.EQNXTDZ($A$1,$B9,DX$1)</f>
        <v>2191.8000000000002</v>
      </c>
      <c r="DY9" s="116" cm="1">
        <f t="array" ref="DY9">_xll.EQNXTDZ($A$1,$B9,DY$1)</f>
        <v>2159.75</v>
      </c>
      <c r="DZ9" s="116" cm="1">
        <f t="array" ref="DZ9">_xll.EQNXTDZ($A$1,$B9,DZ$1)</f>
        <v>2269.3000000000002</v>
      </c>
      <c r="EA9" s="116" cm="1">
        <f t="array" ref="EA9">_xll.EQNXTDZ($A$1,$B9,EA$1)</f>
        <v>2424.4749999999999</v>
      </c>
      <c r="EB9" s="116" cm="1">
        <f t="array" ref="EB9">_xll.EQNXTDZ($A$1,$B9,EB$1)</f>
        <v>2509.875</v>
      </c>
      <c r="EC9" s="116" cm="1">
        <f t="array" ref="EC9">_xll.EQNXTDZ($A$1,$B9,EC$1)</f>
        <v>2683.3249999999998</v>
      </c>
      <c r="ED9" s="116" cm="1">
        <f t="array" ref="ED9">_xll.EQNXTDZ($A$1,$B9,ED$1)</f>
        <v>2790.2750000000001</v>
      </c>
      <c r="EE9" s="116" cm="1">
        <f t="array" ref="EE9">_xll.EQNXTDZ($A$1,$B9,EE$1)</f>
        <v>2814.2</v>
      </c>
      <c r="EF9" s="116" cm="1">
        <f t="array" ref="EF9">_xll.EQNXTDZ($A$1,$B9,EF$1)</f>
        <v>3112.4</v>
      </c>
      <c r="EG9" s="116" cm="1">
        <f t="array" ref="EG9">_xll.EQNXTDZ($A$1,$B9,EG$1)</f>
        <v>3061.05</v>
      </c>
      <c r="EH9" s="116" cm="1">
        <f t="array" ref="EH9">_xll.EQNXTDZ($A$1,$B9,EH$1)</f>
        <v>2876.3</v>
      </c>
      <c r="EI9" s="116" cm="1">
        <f t="array" ref="EI9">_xll.EQNXTDZ($A$1,$B9,EI$1)</f>
        <v>2649.6</v>
      </c>
      <c r="EJ9" s="116" cm="1">
        <f t="array" ref="EJ9">_xll.EQNXTDZ($A$1,$B9,EJ$1)</f>
        <v>2604.0500000000002</v>
      </c>
      <c r="EK9" s="116" cm="1">
        <f t="array" ref="EK9">_xll.EQNXTDZ($A$1,$B9,EK$1)</f>
        <v>2721.9</v>
      </c>
      <c r="EL9" s="116" cm="1">
        <f t="array" ref="EL9">_xll.EQNXTDZ($A$1,$B9,EL$1)</f>
        <v>2521.35</v>
      </c>
      <c r="EM9" s="116" cm="1">
        <f t="array" ref="EM9">_xll.EQNXTDZ($A$1,$B9,EM$1)</f>
        <v>2654.7</v>
      </c>
      <c r="EN9" s="116" cm="1">
        <f t="array" ref="EN9">_xll.EQNXTDZ($A$1,$B9,EN$1)</f>
        <v>2645.45</v>
      </c>
      <c r="EO9" s="116" cm="1">
        <f t="array" ref="EO9">_xll.EQNXTDZ($A$1,$B9,EO$1)</f>
        <v>2643.9</v>
      </c>
      <c r="EP9" s="116" cm="1">
        <f t="array" ref="EP9">_xll.EQNXTDZ($A$1,$B9,EP$1)</f>
        <v>2417.6999999999998</v>
      </c>
      <c r="EQ9" s="116" cm="1">
        <f t="array" ref="EQ9">_xll.EQNXTDZ($A$1,$B9,EQ$1)</f>
        <v>2680.85</v>
      </c>
      <c r="ER9" s="116" cm="1">
        <f t="array" ref="ER9">_xll.EQNXTDZ($A$1,$B9,ER$1)</f>
        <v>2944.85</v>
      </c>
      <c r="ES9" s="116" cm="1">
        <f t="array" ref="ES9">_xll.EQNXTDZ($A$1,$B9,ES$1)</f>
        <v>3000.05</v>
      </c>
      <c r="ET9" s="116" cm="1">
        <f t="array" ref="ET9">_xll.EQNXTDZ($A$1,$B9,ET$1)</f>
        <v>2951.8</v>
      </c>
      <c r="EU9" s="116" cm="1">
        <f t="array" ref="EU9">_xll.EQNXTDZ($A$1,$B9,EU$1)</f>
        <v>2500</v>
      </c>
      <c r="EV9" s="116" cm="1">
        <f t="array" ref="EV9">_xll.EQNXTDZ($A$1,$B9,EV$1)</f>
        <v>2344.9</v>
      </c>
      <c r="EW9" s="116" cm="1">
        <f t="array" ref="EW9">_xll.EQNXTDZ($A$1,$B9,EW$1)</f>
        <v>2248.8000000000002</v>
      </c>
      <c r="EX9" s="116" cm="1">
        <f t="array" ref="EX9">_xll.EQNXTDZ($A$1,$B9,EX$1)</f>
        <v>2066.4</v>
      </c>
      <c r="EY9" s="116" cm="1">
        <f t="array" ref="EY9">_xll.EQNXTDZ($A$1,$B9,EY$1)</f>
        <v>1964.95</v>
      </c>
      <c r="EZ9" s="116" cm="1">
        <f t="array" ref="EZ9">_xll.EQNXTDZ($A$1,$B9,EZ$1)</f>
        <v>2068.6999999999998</v>
      </c>
      <c r="FA9" s="116" cm="1">
        <f t="array" ref="FA9">_xll.EQNXTDZ($A$1,$B9,FA$1)</f>
        <v>2308.1</v>
      </c>
      <c r="FB9" s="116" cm="1">
        <f t="array" ref="FB9">_xll.EQNXTDZ($A$1,$B9,FB$1)</f>
        <v>2332.5</v>
      </c>
      <c r="FC9" s="116" cm="1">
        <f t="array" ref="FC9">_xll.EQNXTDZ($A$1,$B9,FC$1)</f>
        <v>2598</v>
      </c>
      <c r="FD9" s="116" cm="1">
        <f t="array" ref="FD9">_xll.EQNXTDZ($A$1,$B9,FD$1)</f>
        <v>2589.1999999999998</v>
      </c>
      <c r="FE9" s="116" cm="1">
        <f t="array" ref="FE9">_xll.EQNXTDZ($A$1,$B9,FE$1)</f>
        <v>2597.1999999999998</v>
      </c>
      <c r="FF9" s="116" cm="1">
        <f t="array" ref="FF9">_xll.EQNXTDZ($A$1,$B9,FF$1)</f>
        <v>2356.4</v>
      </c>
      <c r="FG9" s="116" cm="1">
        <f t="array" ref="FG9">_xll.EQNXTDZ($A$1,$B9,FG$1)</f>
        <v>2457.9</v>
      </c>
      <c r="FH9" s="116" cm="1">
        <f t="array" ref="FH9">_xll.EQNXTDZ($A$1,$B9,FH$1)</f>
        <v>2310</v>
      </c>
      <c r="FI9" s="116" cm="1">
        <f t="array" ref="FI9">_xll.EQNXTDZ($A$1,$B9,FI$1)</f>
        <v>2223.5</v>
      </c>
      <c r="FJ9" s="116" cm="1">
        <f t="array" ref="FJ9">_xll.EQNXTDZ($A$1,$B9,FJ$1)</f>
        <v>2201.9</v>
      </c>
      <c r="FK9" s="116" cm="1">
        <f t="array" ref="FK9">_xll.EQNXTDZ($A$1,$B9,FK$1)</f>
        <v>2132</v>
      </c>
      <c r="FL9" s="116" cm="1">
        <f t="array" ref="FL9">_xll.EQNXTDZ($A$1,$B9,FL$1)</f>
        <v>1986.2</v>
      </c>
      <c r="FM9" s="116" cm="1">
        <f t="array" ref="FM9">_xll.EQNXTDZ($A$1,$B9,FM$1)</f>
        <v>2103.6</v>
      </c>
      <c r="FN9" s="116" cm="1">
        <f t="array" ref="FN9">_xll.EQNXTDZ($A$1,$B9,FN$1)</f>
        <v>2015.7</v>
      </c>
      <c r="FO9" s="116" cm="1">
        <f t="array" ref="FO9">_xll.EQNXTDZ($A$1,$B9,FO$1)</f>
        <v>2084.1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884.52499999999998</v>
      </c>
      <c r="IS9" s="116">
        <f>+CO9</f>
        <v>1032.9749999999999</v>
      </c>
      <c r="IT9" s="116">
        <f>+CR9</f>
        <v>968.2</v>
      </c>
      <c r="IU9" s="116">
        <f>+CU9</f>
        <v>1162.55</v>
      </c>
      <c r="IV9" s="116">
        <f>+CX9</f>
        <v>2497.5250000000001</v>
      </c>
      <c r="IW9" s="116">
        <f>+DA9</f>
        <v>3203.6</v>
      </c>
      <c r="IX9" s="116">
        <f>+DD9</f>
        <v>3868.9749999999999</v>
      </c>
      <c r="IY9" s="116">
        <f>+DG9</f>
        <v>3496.0749999999998</v>
      </c>
      <c r="IZ9" s="116">
        <f>+DJ9</f>
        <v>4189.45</v>
      </c>
      <c r="JA9" s="116">
        <f>+DM9</f>
        <v>3238.2</v>
      </c>
      <c r="JB9" s="116">
        <f>+DP9</f>
        <v>2161.3249999999998</v>
      </c>
      <c r="JC9" s="116">
        <f>+DS9</f>
        <v>1904.6</v>
      </c>
      <c r="JD9" s="116">
        <f>+DV9</f>
        <v>2228.9250000000002</v>
      </c>
      <c r="JE9" s="116">
        <f>+DY9</f>
        <v>2159.75</v>
      </c>
      <c r="JF9" s="116">
        <f>+EB9</f>
        <v>2509.875</v>
      </c>
      <c r="JG9" s="116">
        <f>+EE9</f>
        <v>2814.2</v>
      </c>
      <c r="JH9" s="116">
        <f>+EH9</f>
        <v>2876.3</v>
      </c>
      <c r="JI9" s="116">
        <f>+EK9</f>
        <v>2721.9</v>
      </c>
      <c r="JJ9" s="116">
        <f>+EN9</f>
        <v>2645.45</v>
      </c>
      <c r="JK9" s="116">
        <f>EQ9</f>
        <v>2680.85</v>
      </c>
      <c r="JL9" s="116">
        <f>ET9</f>
        <v>2951.8</v>
      </c>
      <c r="JM9" s="116">
        <f>EW9</f>
        <v>2248.8000000000002</v>
      </c>
      <c r="JN9" s="116">
        <f>EZ9</f>
        <v>2068.6999999999998</v>
      </c>
      <c r="JO9" s="116">
        <f>FC9</f>
        <v>2598</v>
      </c>
      <c r="JP9" s="116">
        <f>FF9</f>
        <v>2356.4</v>
      </c>
      <c r="JQ9" s="116">
        <f>FI9</f>
        <v>2223.5</v>
      </c>
      <c r="JR9" s="116">
        <f>FL9</f>
        <v>1986.2</v>
      </c>
      <c r="JS9" s="116">
        <f>FO9</f>
        <v>2084.1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590</v>
      </c>
      <c r="CK13" cm="1">
        <f t="array" ref="CK13">_xll.EQNXTDZ($A$1,$B13,CK$1)</f>
        <v>625</v>
      </c>
      <c r="CL13" cm="1">
        <f t="array" ref="CL13">_xll.EQNXTDZ($A$1,$B13,CL$1)</f>
        <v>598.4</v>
      </c>
      <c r="CM13" cm="1">
        <f t="array" ref="CM13">_xll.EQNXTDZ($A$1,$B13,CM$1)</f>
        <v>896.75</v>
      </c>
      <c r="CN13" cm="1">
        <f t="array" ref="CN13">_xll.EQNXTDZ($A$1,$B13,CN$1)</f>
        <v>925.5</v>
      </c>
      <c r="CO13" cm="1">
        <f t="array" ref="CO13">_xll.EQNXTDZ($A$1,$B13,CO$1)</f>
        <v>1078</v>
      </c>
      <c r="CP13" cm="1">
        <f t="array" ref="CP13">_xll.EQNXTDZ($A$1,$B13,CP$1)</f>
        <v>1030.7750000000001</v>
      </c>
      <c r="CQ13" cm="1">
        <f t="array" ref="CQ13">_xll.EQNXTDZ($A$1,$B13,CQ$1)</f>
        <v>1175.9000000000001</v>
      </c>
      <c r="CR13" cm="1">
        <f t="array" ref="CR13">_xll.EQNXTDZ($A$1,$B13,CR$1)</f>
        <v>1242.5</v>
      </c>
      <c r="CS13" cm="1">
        <f t="array" ref="CS13">_xll.EQNXTDZ($A$1,$B13,CS$1)</f>
        <v>971.625</v>
      </c>
      <c r="CT13" cm="1">
        <f t="array" ref="CT13">_xll.EQNXTDZ($A$1,$B13,CT$1)</f>
        <v>1130</v>
      </c>
      <c r="CU13" cm="1">
        <f t="array" ref="CU13">_xll.EQNXTDZ($A$1,$B13,CU$1)</f>
        <v>1272</v>
      </c>
      <c r="CV13" cm="1">
        <f t="array" ref="CV13">_xll.EQNXTDZ($A$1,$B13,CV$1)</f>
        <v>1165.2249999999999</v>
      </c>
      <c r="CW13" cm="1">
        <f t="array" ref="CW13">_xll.EQNXTDZ($A$1,$B13,CW$1)</f>
        <v>1400.5250000000001</v>
      </c>
      <c r="CX13" cm="1">
        <f t="array" ref="CX13">_xll.EQNXTDZ($A$1,$B13,CX$1)</f>
        <v>1899.9749999999999</v>
      </c>
      <c r="CY13" cm="1">
        <f t="array" ref="CY13">_xll.EQNXTDZ($A$1,$B13,CY$1)</f>
        <v>2600</v>
      </c>
      <c r="CZ13" cm="1">
        <f t="array" ref="CZ13">_xll.EQNXTDZ($A$1,$B13,CZ$1)</f>
        <v>2423.1750000000002</v>
      </c>
      <c r="DA13" cm="1">
        <f t="array" ref="DA13">_xll.EQNXTDZ($A$1,$B13,DA$1)</f>
        <v>2570</v>
      </c>
      <c r="DB13" cm="1">
        <f t="array" ref="DB13">_xll.EQNXTDZ($A$1,$B13,DB$1)</f>
        <v>3209.1</v>
      </c>
      <c r="DC13" cm="1">
        <f t="array" ref="DC13">_xll.EQNXTDZ($A$1,$B13,DC$1)</f>
        <v>3925</v>
      </c>
      <c r="DD13" cm="1">
        <f t="array" ref="DD13">_xll.EQNXTDZ($A$1,$B13,DD$1)</f>
        <v>4327.5</v>
      </c>
      <c r="DE13" cm="1">
        <f t="array" ref="DE13">_xll.EQNXTDZ($A$1,$B13,DE$1)</f>
        <v>3885</v>
      </c>
      <c r="DF13" cm="1">
        <f t="array" ref="DF13">_xll.EQNXTDZ($A$1,$B13,DF$1)</f>
        <v>3925</v>
      </c>
      <c r="DG13" cm="1">
        <f t="array" ref="DG13">_xll.EQNXTDZ($A$1,$B13,DG$1)</f>
        <v>3700.9</v>
      </c>
      <c r="DH13" cm="1">
        <f t="array" ref="DH13">_xll.EQNXTDZ($A$1,$B13,DH$1)</f>
        <v>3508</v>
      </c>
      <c r="DI13" cm="1">
        <f t="array" ref="DI13">_xll.EQNXTDZ($A$1,$B13,DI$1)</f>
        <v>3597.8249999999998</v>
      </c>
      <c r="DJ13" cm="1">
        <f t="array" ref="DJ13">_xll.EQNXTDZ($A$1,$B13,DJ$1)</f>
        <v>3920</v>
      </c>
      <c r="DK13" cm="1">
        <f t="array" ref="DK13">_xll.EQNXTDZ($A$1,$B13,DK$1)</f>
        <v>4190.1750000000002</v>
      </c>
      <c r="DL13" cm="1">
        <f t="array" ref="DL13">_xll.EQNXTDZ($A$1,$B13,DL$1)</f>
        <v>3620</v>
      </c>
      <c r="DM13" cm="1">
        <f t="array" ref="DM13">_xll.EQNXTDZ($A$1,$B13,DM$1)</f>
        <v>3723.5</v>
      </c>
      <c r="DN13" cm="1">
        <f t="array" ref="DN13">_xll.EQNXTDZ($A$1,$B13,DN$1)</f>
        <v>3247.5</v>
      </c>
      <c r="DO13" cm="1">
        <f t="array" ref="DO13">_xll.EQNXTDZ($A$1,$B13,DO$1)</f>
        <v>2549</v>
      </c>
      <c r="DP13" cm="1">
        <f t="array" ref="DP13">_xll.EQNXTDZ($A$1,$B13,DP$1)</f>
        <v>2386.9499999999998</v>
      </c>
      <c r="DQ13" cm="1">
        <f t="array" ref="DQ13">_xll.EQNXTDZ($A$1,$B13,DQ$1)</f>
        <v>2175</v>
      </c>
      <c r="DR13" cm="1">
        <f t="array" ref="DR13">_xll.EQNXTDZ($A$1,$B13,DR$1)</f>
        <v>2461.0250000000001</v>
      </c>
      <c r="DS13" cm="1">
        <f t="array" ref="DS13">_xll.EQNXTDZ($A$1,$B13,DS$1)</f>
        <v>2315</v>
      </c>
      <c r="DT13" cm="1">
        <f t="array" ref="DT13">_xll.EQNXTDZ($A$1,$B13,DT$1)</f>
        <v>1915.85</v>
      </c>
      <c r="DU13" cm="1">
        <f t="array" ref="DU13">_xll.EQNXTDZ($A$1,$B13,DU$1)</f>
        <v>2145</v>
      </c>
      <c r="DV13" cm="1">
        <f t="array" ref="DV13">_xll.EQNXTDZ($A$1,$B13,DV$1)</f>
        <v>2200</v>
      </c>
      <c r="DW13" cm="1">
        <f t="array" ref="DW13">_xll.EQNXTDZ($A$1,$B13,DW$1)</f>
        <v>2224</v>
      </c>
      <c r="DX13" cm="1">
        <f t="array" ref="DX13">_xll.EQNXTDZ($A$1,$B13,DX$1)</f>
        <v>2315.9749999999999</v>
      </c>
      <c r="DY13" cm="1">
        <f t="array" ref="DY13">_xll.EQNXTDZ($A$1,$B13,DY$1)</f>
        <v>2202.5</v>
      </c>
      <c r="DZ13" cm="1">
        <f t="array" ref="DZ13">_xll.EQNXTDZ($A$1,$B13,DZ$1)</f>
        <v>2168.5749999999998</v>
      </c>
      <c r="EA13" cm="1">
        <f t="array" ref="EA13">_xll.EQNXTDZ($A$1,$B13,EA$1)</f>
        <v>2256.0250000000001</v>
      </c>
      <c r="EB13" cm="1">
        <f t="array" ref="EB13">_xll.EQNXTDZ($A$1,$B13,EB$1)</f>
        <v>2434.9749999999999</v>
      </c>
      <c r="EC13" cm="1">
        <f t="array" ref="EC13">_xll.EQNXTDZ($A$1,$B13,EC$1)</f>
        <v>2530</v>
      </c>
      <c r="ED13" cm="1">
        <f t="array" ref="ED13">_xll.EQNXTDZ($A$1,$B13,ED$1)</f>
        <v>2686.4749999999999</v>
      </c>
      <c r="EE13" cm="1">
        <f t="array" ref="EE13">_xll.EQNXTDZ($A$1,$B13,EE$1)</f>
        <v>2765.0250000000001</v>
      </c>
      <c r="EF13" cm="1">
        <f t="array" ref="EF13">_xll.EQNXTDZ($A$1,$B13,EF$1)</f>
        <v>2825.6</v>
      </c>
      <c r="EG13" cm="1">
        <f t="array" ref="EG13">_xll.EQNXTDZ($A$1,$B13,EG$1)</f>
        <v>3120.05</v>
      </c>
      <c r="EH13" cm="1">
        <f t="array" ref="EH13">_xll.EQNXTDZ($A$1,$B13,EH$1)</f>
        <v>3058.65</v>
      </c>
      <c r="EI13" cm="1">
        <f t="array" ref="EI13">_xll.EQNXTDZ($A$1,$B13,EI$1)</f>
        <v>2876.85</v>
      </c>
      <c r="EJ13" cm="1">
        <f t="array" ref="EJ13">_xll.EQNXTDZ($A$1,$B13,EJ$1)</f>
        <v>2646.05</v>
      </c>
      <c r="EK13" cm="1">
        <f t="array" ref="EK13">_xll.EQNXTDZ($A$1,$B13,EK$1)</f>
        <v>2591.4</v>
      </c>
      <c r="EL13" cm="1">
        <f t="array" ref="EL13">_xll.EQNXTDZ($A$1,$B13,EL$1)</f>
        <v>2755.6</v>
      </c>
      <c r="EM13" cm="1">
        <f t="array" ref="EM13">_xll.EQNXTDZ($A$1,$B13,EM$1)</f>
        <v>2531.25</v>
      </c>
      <c r="EN13" cm="1">
        <f t="array" ref="EN13">_xll.EQNXTDZ($A$1,$B13,EN$1)</f>
        <v>2652</v>
      </c>
      <c r="EO13" cm="1">
        <f t="array" ref="EO13">_xll.EQNXTDZ($A$1,$B13,EO$1)</f>
        <v>2640.65</v>
      </c>
      <c r="EP13" cm="1">
        <f t="array" ref="EP13">_xll.EQNXTDZ($A$1,$B13,EP$1)</f>
        <v>2704.8</v>
      </c>
      <c r="EQ13" cm="1">
        <f t="array" ref="EQ13">_xll.EQNXTDZ($A$1,$B13,EQ$1)</f>
        <v>2464.3000000000002</v>
      </c>
      <c r="ER13" cm="1">
        <f t="array" ref="ER13">_xll.EQNXTDZ($A$1,$B13,ER$1)</f>
        <v>2679</v>
      </c>
      <c r="ES13" cm="1">
        <f t="array" ref="ES13">_xll.EQNXTDZ($A$1,$B13,ES$1)</f>
        <v>2963.3</v>
      </c>
      <c r="ET13" cm="1">
        <f t="array" ref="ET13">_xll.EQNXTDZ($A$1,$B13,ET$1)</f>
        <v>3020.4</v>
      </c>
      <c r="EU13" cm="1">
        <f t="array" ref="EU13">_xll.EQNXTDZ($A$1,$B13,EU$1)</f>
        <v>2950.05</v>
      </c>
      <c r="EV13" cm="1">
        <f t="array" ref="EV13">_xll.EQNXTDZ($A$1,$B13,EV$1)</f>
        <v>2500.0500000000002</v>
      </c>
      <c r="EW13" cm="1">
        <f t="array" ref="EW13">_xll.EQNXTDZ($A$1,$B13,EW$1)</f>
        <v>2320.0500000000002</v>
      </c>
      <c r="EX13" cm="1">
        <f t="array" ref="EX13">_xll.EQNXTDZ($A$1,$B13,EX$1)</f>
        <v>2259.15</v>
      </c>
      <c r="EY13" cm="1">
        <f t="array" ref="EY13">_xll.EQNXTDZ($A$1,$B13,EY$1)</f>
        <v>2025.25</v>
      </c>
      <c r="EZ13" cm="1">
        <f t="array" ref="EZ13">_xll.EQNXTDZ($A$1,$B13,EZ$1)</f>
        <v>1970.05</v>
      </c>
      <c r="FA13" cm="1">
        <f t="array" ref="FA13">_xll.EQNXTDZ($A$1,$B13,FA$1)</f>
        <v>2097.5500000000002</v>
      </c>
      <c r="FB13" cm="1">
        <f t="array" ref="FB13">_xll.EQNXTDZ($A$1,$B13,FB$1)</f>
        <v>2305.0500000000002</v>
      </c>
      <c r="FC13" cm="1">
        <f t="array" ref="FC13">_xll.EQNXTDZ($A$1,$B13,FC$1)</f>
        <v>2329</v>
      </c>
      <c r="FD13" cm="1">
        <f t="array" ref="FD13">_xll.EQNXTDZ($A$1,$B13,FD$1)</f>
        <v>2610.5</v>
      </c>
      <c r="FE13" cm="1">
        <f t="array" ref="FE13">_xll.EQNXTDZ($A$1,$B13,FE$1)</f>
        <v>2585.0500000000002</v>
      </c>
      <c r="FF13" cm="1">
        <f t="array" ref="FF13">_xll.EQNXTDZ($A$1,$B13,FF$1)</f>
        <v>2520</v>
      </c>
      <c r="FG13" cm="1">
        <f t="array" ref="FG13">_xll.EQNXTDZ($A$1,$B13,FG$1)</f>
        <v>2360</v>
      </c>
      <c r="FH13" cm="1">
        <f t="array" ref="FH13">_xll.EQNXTDZ($A$1,$B13,FH$1)</f>
        <v>2411.9499999999998</v>
      </c>
      <c r="FI13" cm="1">
        <f t="array" ref="FI13">_xll.EQNXTDZ($A$1,$B13,FI$1)</f>
        <v>2310.4499999999998</v>
      </c>
      <c r="FJ13" cm="1">
        <f t="array" ref="FJ13">_xll.EQNXTDZ($A$1,$B13,FJ$1)</f>
        <v>2230.75</v>
      </c>
      <c r="FK13" cm="1">
        <f t="array" ref="FK13">_xll.EQNXTDZ($A$1,$B13,FK$1)</f>
        <v>2201.9</v>
      </c>
      <c r="FL13" cm="1">
        <f t="array" ref="FL13">_xll.EQNXTDZ($A$1,$B13,FL$1)</f>
        <v>2091.4499999999998</v>
      </c>
      <c r="FM13" cm="1">
        <f t="array" ref="FM13">_xll.EQNXTDZ($A$1,$B13,FM$1)</f>
        <v>2009</v>
      </c>
      <c r="FN13" cm="1">
        <f t="array" ref="FN13">_xll.EQNXTDZ($A$1,$B13,FN$1)</f>
        <v>2035.2</v>
      </c>
      <c r="FO13" cm="1">
        <f t="array" ref="FO13">_xll.EQNXTDZ($A$1,$B13,FO$1)</f>
        <v>2034.55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683.5</v>
      </c>
      <c r="CK14" s="116" cm="1">
        <f t="array" ref="CK14">_xll.EQNXTDZ($A$1,$B14,CK$1)</f>
        <v>636.85</v>
      </c>
      <c r="CL14" s="116" cm="1">
        <f t="array" ref="CL14">_xll.EQNXTDZ($A$1,$B14,CL$1)</f>
        <v>985.35</v>
      </c>
      <c r="CM14" s="116" cm="1">
        <f t="array" ref="CM14">_xll.EQNXTDZ($A$1,$B14,CM$1)</f>
        <v>1155</v>
      </c>
      <c r="CN14" s="116" cm="1">
        <f t="array" ref="CN14">_xll.EQNXTDZ($A$1,$B14,CN$1)</f>
        <v>1097.45</v>
      </c>
      <c r="CO14" s="116" cm="1">
        <f t="array" ref="CO14">_xll.EQNXTDZ($A$1,$B14,CO$1)</f>
        <v>1113</v>
      </c>
      <c r="CP14" s="116" cm="1">
        <f t="array" ref="CP14">_xll.EQNXTDZ($A$1,$B14,CP$1)</f>
        <v>1238.825</v>
      </c>
      <c r="CQ14" s="116" cm="1">
        <f t="array" ref="CQ14">_xll.EQNXTDZ($A$1,$B14,CQ$1)</f>
        <v>1431</v>
      </c>
      <c r="CR14" s="116" cm="1">
        <f t="array" ref="CR14">_xll.EQNXTDZ($A$1,$B14,CR$1)</f>
        <v>1348.175</v>
      </c>
      <c r="CS14" s="116" cm="1">
        <f t="array" ref="CS14">_xll.EQNXTDZ($A$1,$B14,CS$1)</f>
        <v>1188.5</v>
      </c>
      <c r="CT14" s="116" cm="1">
        <f t="array" ref="CT14">_xll.EQNXTDZ($A$1,$B14,CT$1)</f>
        <v>1281.925</v>
      </c>
      <c r="CU14" s="116" cm="1">
        <f t="array" ref="CU14">_xll.EQNXTDZ($A$1,$B14,CU$1)</f>
        <v>1293.5999999999999</v>
      </c>
      <c r="CV14" s="116" cm="1">
        <f t="array" ref="CV14">_xll.EQNXTDZ($A$1,$B14,CV$1)</f>
        <v>1436.0250000000001</v>
      </c>
      <c r="CW14" s="116" cm="1">
        <f t="array" ref="CW14">_xll.EQNXTDZ($A$1,$B14,CW$1)</f>
        <v>1941.5</v>
      </c>
      <c r="CX14" s="116" cm="1">
        <f t="array" ref="CX14">_xll.EQNXTDZ($A$1,$B14,CX$1)</f>
        <v>2742.5</v>
      </c>
      <c r="CY14" s="116" cm="1">
        <f t="array" ref="CY14">_xll.EQNXTDZ($A$1,$B14,CY$1)</f>
        <v>2674.7249999999999</v>
      </c>
      <c r="CZ14" s="116" cm="1">
        <f t="array" ref="CZ14">_xll.EQNXTDZ($A$1,$B14,CZ$1)</f>
        <v>2599.9499999999998</v>
      </c>
      <c r="DA14" s="116" cm="1">
        <f t="array" ref="DA14">_xll.EQNXTDZ($A$1,$B14,DA$1)</f>
        <v>3231.9250000000002</v>
      </c>
      <c r="DB14" s="116" cm="1">
        <f t="array" ref="DB14">_xll.EQNXTDZ($A$1,$B14,DB$1)</f>
        <v>4185</v>
      </c>
      <c r="DC14" s="116" cm="1">
        <f t="array" ref="DC14">_xll.EQNXTDZ($A$1,$B14,DC$1)</f>
        <v>4975.9750000000004</v>
      </c>
      <c r="DD14" s="116" cm="1">
        <f t="array" ref="DD14">_xll.EQNXTDZ($A$1,$B14,DD$1)</f>
        <v>4399.7250000000004</v>
      </c>
      <c r="DE14" s="116" cm="1">
        <f t="array" ref="DE14">_xll.EQNXTDZ($A$1,$B14,DE$1)</f>
        <v>4463.5</v>
      </c>
      <c r="DF14" s="116" cm="1">
        <f t="array" ref="DF14">_xll.EQNXTDZ($A$1,$B14,DF$1)</f>
        <v>3974.5</v>
      </c>
      <c r="DG14" s="116" cm="1">
        <f t="array" ref="DG14">_xll.EQNXTDZ($A$1,$B14,DG$1)</f>
        <v>3715.7750000000001</v>
      </c>
      <c r="DH14" s="116" cm="1">
        <f t="array" ref="DH14">_xll.EQNXTDZ($A$1,$B14,DH$1)</f>
        <v>3747.6</v>
      </c>
      <c r="DI14" s="116" cm="1">
        <f t="array" ref="DI14">_xll.EQNXTDZ($A$1,$B14,DI$1)</f>
        <v>3999.5</v>
      </c>
      <c r="DJ14" s="116" cm="1">
        <f t="array" ref="DJ14">_xll.EQNXTDZ($A$1,$B14,DJ$1)</f>
        <v>4635</v>
      </c>
      <c r="DK14" s="116" cm="1">
        <f t="array" ref="DK14">_xll.EQNXTDZ($A$1,$B14,DK$1)</f>
        <v>4850</v>
      </c>
      <c r="DL14" s="116" cm="1">
        <f t="array" ref="DL14">_xll.EQNXTDZ($A$1,$B14,DL$1)</f>
        <v>3962.6</v>
      </c>
      <c r="DM14" s="116" cm="1">
        <f t="array" ref="DM14">_xll.EQNXTDZ($A$1,$B14,DM$1)</f>
        <v>3744.3249999999998</v>
      </c>
      <c r="DN14" s="116" cm="1">
        <f t="array" ref="DN14">_xll.EQNXTDZ($A$1,$B14,DN$1)</f>
        <v>3451</v>
      </c>
      <c r="DO14" s="116" cm="1">
        <f t="array" ref="DO14">_xll.EQNXTDZ($A$1,$B14,DO$1)</f>
        <v>2689.95</v>
      </c>
      <c r="DP14" s="116" cm="1">
        <f t="array" ref="DP14">_xll.EQNXTDZ($A$1,$B14,DP$1)</f>
        <v>2439.875</v>
      </c>
      <c r="DQ14" s="116" cm="1">
        <f t="array" ref="DQ14">_xll.EQNXTDZ($A$1,$B14,DQ$1)</f>
        <v>2623.7750000000001</v>
      </c>
      <c r="DR14" s="116" cm="1">
        <f t="array" ref="DR14">_xll.EQNXTDZ($A$1,$B14,DR$1)</f>
        <v>2468.6</v>
      </c>
      <c r="DS14" s="116" cm="1">
        <f t="array" ref="DS14">_xll.EQNXTDZ($A$1,$B14,DS$1)</f>
        <v>2360</v>
      </c>
      <c r="DT14" s="116" cm="1">
        <f t="array" ref="DT14">_xll.EQNXTDZ($A$1,$B14,DT$1)</f>
        <v>2154.65</v>
      </c>
      <c r="DU14" s="116" cm="1">
        <f t="array" ref="DU14">_xll.EQNXTDZ($A$1,$B14,DU$1)</f>
        <v>2315</v>
      </c>
      <c r="DV14" s="116" cm="1">
        <f t="array" ref="DV14">_xll.EQNXTDZ($A$1,$B14,DV$1)</f>
        <v>2437.7249999999999</v>
      </c>
      <c r="DW14" s="116" cm="1">
        <f t="array" ref="DW14">_xll.EQNXTDZ($A$1,$B14,DW$1)</f>
        <v>2315.375</v>
      </c>
      <c r="DX14" s="116" cm="1">
        <f t="array" ref="DX14">_xll.EQNXTDZ($A$1,$B14,DX$1)</f>
        <v>2458.0500000000002</v>
      </c>
      <c r="DY14" s="116" cm="1">
        <f t="array" ref="DY14">_xll.EQNXTDZ($A$1,$B14,DY$1)</f>
        <v>2293.6999999999998</v>
      </c>
      <c r="DZ14" s="116" cm="1">
        <f t="array" ref="DZ14">_xll.EQNXTDZ($A$1,$B14,DZ$1)</f>
        <v>2360.15</v>
      </c>
      <c r="EA14" s="116" cm="1">
        <f t="array" ref="EA14">_xll.EQNXTDZ($A$1,$B14,EA$1)</f>
        <v>2439.8000000000002</v>
      </c>
      <c r="EB14" s="116" cm="1">
        <f t="array" ref="EB14">_xll.EQNXTDZ($A$1,$B14,EB$1)</f>
        <v>2595.9</v>
      </c>
      <c r="EC14" s="116" cm="1">
        <f t="array" ref="EC14">_xll.EQNXTDZ($A$1,$B14,EC$1)</f>
        <v>2781.8249999999998</v>
      </c>
      <c r="ED14" s="116" cm="1">
        <f t="array" ref="ED14">_xll.EQNXTDZ($A$1,$B14,ED$1)</f>
        <v>3050.65</v>
      </c>
      <c r="EE14" s="116" cm="1">
        <f t="array" ref="EE14">_xll.EQNXTDZ($A$1,$B14,EE$1)</f>
        <v>3012.15</v>
      </c>
      <c r="EF14" s="116" cm="1">
        <f t="array" ref="EF14">_xll.EQNXTDZ($A$1,$B14,EF$1)</f>
        <v>3205</v>
      </c>
      <c r="EG14" s="116" cm="1">
        <f t="array" ref="EG14">_xll.EQNXTDZ($A$1,$B14,EG$1)</f>
        <v>3207.5</v>
      </c>
      <c r="EH14" s="116" cm="1">
        <f t="array" ref="EH14">_xll.EQNXTDZ($A$1,$B14,EH$1)</f>
        <v>3293.45</v>
      </c>
      <c r="EI14" s="116" cm="1">
        <f t="array" ref="EI14">_xll.EQNXTDZ($A$1,$B14,EI$1)</f>
        <v>2922.05</v>
      </c>
      <c r="EJ14" s="116" cm="1">
        <f t="array" ref="EJ14">_xll.EQNXTDZ($A$1,$B14,EJ$1)</f>
        <v>2679.95</v>
      </c>
      <c r="EK14" s="116" cm="1">
        <f t="array" ref="EK14">_xll.EQNXTDZ($A$1,$B14,EK$1)</f>
        <v>2910</v>
      </c>
      <c r="EL14" s="116" cm="1">
        <f t="array" ref="EL14">_xll.EQNXTDZ($A$1,$B14,EL$1)</f>
        <v>2785</v>
      </c>
      <c r="EM14" s="116" cm="1">
        <f t="array" ref="EM14">_xll.EQNXTDZ($A$1,$B14,EM$1)</f>
        <v>2803.6</v>
      </c>
      <c r="EN14" s="116" cm="1">
        <f t="array" ref="EN14">_xll.EQNXTDZ($A$1,$B14,EN$1)</f>
        <v>2739.4</v>
      </c>
      <c r="EO14" s="116" cm="1">
        <f t="array" ref="EO14">_xll.EQNXTDZ($A$1,$B14,EO$1)</f>
        <v>2720.25</v>
      </c>
      <c r="EP14" s="116" cm="1">
        <f t="array" ref="EP14">_xll.EQNXTDZ($A$1,$B14,EP$1)</f>
        <v>2913</v>
      </c>
      <c r="EQ14" s="116" cm="1">
        <f t="array" ref="EQ14">_xll.EQNXTDZ($A$1,$B14,EQ$1)</f>
        <v>2734.65</v>
      </c>
      <c r="ER14" s="116" cm="1">
        <f t="array" ref="ER14">_xll.EQNXTDZ($A$1,$B14,ER$1)</f>
        <v>3198.95</v>
      </c>
      <c r="ES14" s="116" cm="1">
        <f t="array" ref="ES14">_xll.EQNXTDZ($A$1,$B14,ES$1)</f>
        <v>3065</v>
      </c>
      <c r="ET14" s="116" cm="1">
        <f t="array" ref="ET14">_xll.EQNXTDZ($A$1,$B14,ET$1)</f>
        <v>3175</v>
      </c>
      <c r="EU14" s="116" cm="1">
        <f t="array" ref="EU14">_xll.EQNXTDZ($A$1,$B14,EU$1)</f>
        <v>3129.85</v>
      </c>
      <c r="EV14" s="116" cm="1">
        <f t="array" ref="EV14">_xll.EQNXTDZ($A$1,$B14,EV$1)</f>
        <v>2574</v>
      </c>
      <c r="EW14" s="116" cm="1">
        <f t="array" ref="EW14">_xll.EQNXTDZ($A$1,$B14,EW$1)</f>
        <v>2410</v>
      </c>
      <c r="EX14" s="116" cm="1">
        <f t="array" ref="EX14">_xll.EQNXTDZ($A$1,$B14,EX$1)</f>
        <v>2369.9</v>
      </c>
      <c r="EY14" s="116" cm="1">
        <f t="array" ref="EY14">_xll.EQNXTDZ($A$1,$B14,EY$1)</f>
        <v>2236.9499999999998</v>
      </c>
      <c r="EZ14" s="116" cm="1">
        <f t="array" ref="EZ14">_xll.EQNXTDZ($A$1,$B14,EZ$1)</f>
        <v>2165.15</v>
      </c>
      <c r="FA14" s="116" cm="1">
        <f t="array" ref="FA14">_xll.EQNXTDZ($A$1,$B14,FA$1)</f>
        <v>2430</v>
      </c>
      <c r="FB14" s="116" cm="1">
        <f t="array" ref="FB14">_xll.EQNXTDZ($A$1,$B14,FB$1)</f>
        <v>2409.5500000000002</v>
      </c>
      <c r="FC14" s="116" cm="1">
        <f t="array" ref="FC14">_xll.EQNXTDZ($A$1,$B14,FC$1)</f>
        <v>2721.2</v>
      </c>
      <c r="FD14" s="116" cm="1">
        <f t="array" ref="FD14">_xll.EQNXTDZ($A$1,$B14,FD$1)</f>
        <v>2772</v>
      </c>
      <c r="FE14" s="116" cm="1">
        <f t="array" ref="FE14">_xll.EQNXTDZ($A$1,$B14,FE$1)</f>
        <v>2686.55</v>
      </c>
      <c r="FF14" s="116" cm="1">
        <f t="array" ref="FF14">_xll.EQNXTDZ($A$1,$B14,FF$1)</f>
        <v>2630.9</v>
      </c>
      <c r="FG14" s="116" cm="1">
        <f t="array" ref="FG14">_xll.EQNXTDZ($A$1,$B14,FG$1)</f>
        <v>2491.4499999999998</v>
      </c>
      <c r="FH14" s="116" cm="1">
        <f t="array" ref="FH14">_xll.EQNXTDZ($A$1,$B14,FH$1)</f>
        <v>2525</v>
      </c>
      <c r="FI14" s="116" cm="1">
        <f t="array" ref="FI14">_xll.EQNXTDZ($A$1,$B14,FI$1)</f>
        <v>2345</v>
      </c>
      <c r="FJ14" s="116" cm="1">
        <f t="array" ref="FJ14">_xll.EQNXTDZ($A$1,$B14,FJ$1)</f>
        <v>2304.9499999999998</v>
      </c>
      <c r="FK14" s="116" cm="1">
        <f t="array" ref="FK14">_xll.EQNXTDZ($A$1,$B14,FK$1)</f>
        <v>2311</v>
      </c>
      <c r="FL14" s="116" cm="1">
        <f t="array" ref="FL14">_xll.EQNXTDZ($A$1,$B14,FL$1)</f>
        <v>2226.15</v>
      </c>
      <c r="FM14" s="116" cm="1">
        <f t="array" ref="FM14">_xll.EQNXTDZ($A$1,$B14,FM$1)</f>
        <v>2199.5500000000002</v>
      </c>
      <c r="FN14" s="116" cm="1">
        <f t="array" ref="FN14">_xll.EQNXTDZ($A$1,$B14,FN$1)</f>
        <v>2120.0500000000002</v>
      </c>
      <c r="FO14" s="116" cm="1">
        <f t="array" ref="FO14">_xll.EQNXTDZ($A$1,$B14,FO$1)</f>
        <v>2114.9499999999998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985.35</v>
      </c>
      <c r="IS14" s="116">
        <f>+MAX(CM14:CO14)</f>
        <v>1155</v>
      </c>
      <c r="IT14" s="116">
        <f>+MAX(CP14:CR14)</f>
        <v>1431</v>
      </c>
      <c r="IU14" s="116">
        <f>+MAX(CS14:CU14)</f>
        <v>1293.5999999999999</v>
      </c>
      <c r="IV14" s="116">
        <f>+MAX(CV14:CX14)</f>
        <v>2742.5</v>
      </c>
      <c r="IW14" s="116">
        <f>+MAX(CY14:DA14)</f>
        <v>3231.9250000000002</v>
      </c>
      <c r="IX14" s="116">
        <f>+MAX(DB14:DD14)</f>
        <v>4975.9750000000004</v>
      </c>
      <c r="IY14" s="116">
        <f>+MAX(DE14:DG14)</f>
        <v>4463.5</v>
      </c>
      <c r="IZ14" s="116">
        <f>+MAX(DH14:DJ14)</f>
        <v>4635</v>
      </c>
      <c r="JA14" s="116">
        <f>+MAX(DK14:DM14)</f>
        <v>4850</v>
      </c>
      <c r="JB14" s="116">
        <f>+MAX(DN14:DP14)</f>
        <v>3451</v>
      </c>
      <c r="JC14" s="116">
        <f>+MAX(DQ14:DS14)</f>
        <v>2623.7750000000001</v>
      </c>
      <c r="JD14" s="116">
        <f>+MAX(DT14:DV14)</f>
        <v>2437.7249999999999</v>
      </c>
      <c r="JE14" s="116">
        <f>+MAX(DW14:DY14)</f>
        <v>2458.0500000000002</v>
      </c>
      <c r="JF14" s="116">
        <f>+MAX(DZ14:EB14)</f>
        <v>2595.9</v>
      </c>
      <c r="JG14" s="116">
        <f>+MAX(EC14:EE14)</f>
        <v>3050.65</v>
      </c>
      <c r="JH14" s="116">
        <f>+MAX(EF14:EH14)</f>
        <v>3293.45</v>
      </c>
      <c r="JI14" s="116">
        <f>+MAX(EI14:EK14)</f>
        <v>2922.05</v>
      </c>
      <c r="JJ14" s="116">
        <f>+MAX(EL14:EN14)</f>
        <v>2803.6</v>
      </c>
      <c r="JK14" s="116">
        <f>MAX(EO14:EQ14)</f>
        <v>2913</v>
      </c>
      <c r="JL14" s="116">
        <f>MAX(ER14:ET14)</f>
        <v>3198.95</v>
      </c>
      <c r="JM14" s="116">
        <f>MAX(EU14:EW14)</f>
        <v>3129.85</v>
      </c>
      <c r="JN14" s="116">
        <f>MAX(EX14:EZ14)</f>
        <v>2369.9</v>
      </c>
      <c r="JO14" s="116">
        <f>MAX(FA14:FC14)</f>
        <v>2721.2</v>
      </c>
      <c r="JP14" s="116">
        <f>MAX(FD14:FF14)</f>
        <v>2772</v>
      </c>
      <c r="JQ14" s="116">
        <f>MAX(FG14:FI14)</f>
        <v>2525</v>
      </c>
      <c r="JR14" s="116">
        <f>MAX(FJ14:FL14)</f>
        <v>2311</v>
      </c>
      <c r="JS14" s="116">
        <f>MAX(FM14:FO14)</f>
        <v>2199.5500000000002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586.72500000000002</v>
      </c>
      <c r="CK15" s="116" cm="1">
        <f t="array" ref="CK15">_xll.EQNXTDZ($A$1,$B15,CK$1)</f>
        <v>476</v>
      </c>
      <c r="CL15" s="116" cm="1">
        <f t="array" ref="CL15">_xll.EQNXTDZ($A$1,$B15,CL$1)</f>
        <v>594.6</v>
      </c>
      <c r="CM15" s="116" cm="1">
        <f t="array" ref="CM15">_xll.EQNXTDZ($A$1,$B15,CM$1)</f>
        <v>868.3</v>
      </c>
      <c r="CN15" s="116" cm="1">
        <f t="array" ref="CN15">_xll.EQNXTDZ($A$1,$B15,CN$1)</f>
        <v>865</v>
      </c>
      <c r="CO15" s="116" cm="1">
        <f t="array" ref="CO15">_xll.EQNXTDZ($A$1,$B15,CO$1)</f>
        <v>983</v>
      </c>
      <c r="CP15" s="116" cm="1">
        <f t="array" ref="CP15">_xll.EQNXTDZ($A$1,$B15,CP$1)</f>
        <v>1000</v>
      </c>
      <c r="CQ15" s="116" cm="1">
        <f t="array" ref="CQ15">_xll.EQNXTDZ($A$1,$B15,CQ$1)</f>
        <v>1110.55</v>
      </c>
      <c r="CR15" s="116" cm="1">
        <f t="array" ref="CR15">_xll.EQNXTDZ($A$1,$B15,CR$1)</f>
        <v>820.6</v>
      </c>
      <c r="CS15" s="116" cm="1">
        <f t="array" ref="CS15">_xll.EQNXTDZ($A$1,$B15,CS$1)</f>
        <v>960</v>
      </c>
      <c r="CT15" s="116" cm="1">
        <f t="array" ref="CT15">_xll.EQNXTDZ($A$1,$B15,CT$1)</f>
        <v>1060.075</v>
      </c>
      <c r="CU15" s="116" cm="1">
        <f t="array" ref="CU15">_xll.EQNXTDZ($A$1,$B15,CU$1)</f>
        <v>1066.0250000000001</v>
      </c>
      <c r="CV15" s="116" cm="1">
        <f t="array" ref="CV15">_xll.EQNXTDZ($A$1,$B15,CV$1)</f>
        <v>1018.175</v>
      </c>
      <c r="CW15" s="116" cm="1">
        <f t="array" ref="CW15">_xll.EQNXTDZ($A$1,$B15,CW$1)</f>
        <v>1396.5250000000001</v>
      </c>
      <c r="CX15" s="116" cm="1">
        <f t="array" ref="CX15">_xll.EQNXTDZ($A$1,$B15,CX$1)</f>
        <v>1845.9749999999999</v>
      </c>
      <c r="CY15" s="116" cm="1">
        <f t="array" ref="CY15">_xll.EQNXTDZ($A$1,$B15,CY$1)</f>
        <v>2300.4749999999999</v>
      </c>
      <c r="CZ15" s="116" cm="1">
        <f t="array" ref="CZ15">_xll.EQNXTDZ($A$1,$B15,CZ$1)</f>
        <v>2273.35</v>
      </c>
      <c r="DA15" s="116" cm="1">
        <f t="array" ref="DA15">_xll.EQNXTDZ($A$1,$B15,DA$1)</f>
        <v>2438.5</v>
      </c>
      <c r="DB15" s="116" cm="1">
        <f t="array" ref="DB15">_xll.EQNXTDZ($A$1,$B15,DB$1)</f>
        <v>3190.55</v>
      </c>
      <c r="DC15" s="116" cm="1">
        <f t="array" ref="DC15">_xll.EQNXTDZ($A$1,$B15,DC$1)</f>
        <v>3716.625</v>
      </c>
      <c r="DD15" s="116" cm="1">
        <f t="array" ref="DD15">_xll.EQNXTDZ($A$1,$B15,DD$1)</f>
        <v>3804.8</v>
      </c>
      <c r="DE15" s="116" cm="1">
        <f t="array" ref="DE15">_xll.EQNXTDZ($A$1,$B15,DE$1)</f>
        <v>3760.75</v>
      </c>
      <c r="DF15" s="116" cm="1">
        <f t="array" ref="DF15">_xll.EQNXTDZ($A$1,$B15,DF$1)</f>
        <v>3324.05</v>
      </c>
      <c r="DG15" s="116" cm="1">
        <f t="array" ref="DG15">_xll.EQNXTDZ($A$1,$B15,DG$1)</f>
        <v>3401</v>
      </c>
      <c r="DH15" s="116" cm="1">
        <f t="array" ref="DH15">_xll.EQNXTDZ($A$1,$B15,DH$1)</f>
        <v>3477.15</v>
      </c>
      <c r="DI15" s="116" cm="1">
        <f t="array" ref="DI15">_xll.EQNXTDZ($A$1,$B15,DI$1)</f>
        <v>3498</v>
      </c>
      <c r="DJ15" s="116" cm="1">
        <f t="array" ref="DJ15">_xll.EQNXTDZ($A$1,$B15,DJ$1)</f>
        <v>3792.5</v>
      </c>
      <c r="DK15" s="116" cm="1">
        <f t="array" ref="DK15">_xll.EQNXTDZ($A$1,$B15,DK$1)</f>
        <v>3437.5</v>
      </c>
      <c r="DL15" s="116" cm="1">
        <f t="array" ref="DL15">_xll.EQNXTDZ($A$1,$B15,DL$1)</f>
        <v>3489.3</v>
      </c>
      <c r="DM15" s="116" cm="1">
        <f t="array" ref="DM15">_xll.EQNXTDZ($A$1,$B15,DM$1)</f>
        <v>3146.375</v>
      </c>
      <c r="DN15" s="116" cm="1">
        <f t="array" ref="DN15">_xll.EQNXTDZ($A$1,$B15,DN$1)</f>
        <v>2175</v>
      </c>
      <c r="DO15" s="116" cm="1">
        <f t="array" ref="DO15">_xll.EQNXTDZ($A$1,$B15,DO$1)</f>
        <v>2275.6</v>
      </c>
      <c r="DP15" s="116" cm="1">
        <f t="array" ref="DP15">_xll.EQNXTDZ($A$1,$B15,DP$1)</f>
        <v>1982.675</v>
      </c>
      <c r="DQ15" s="116" cm="1">
        <f t="array" ref="DQ15">_xll.EQNXTDZ($A$1,$B15,DQ$1)</f>
        <v>2164</v>
      </c>
      <c r="DR15" s="116" cm="1">
        <f t="array" ref="DR15">_xll.EQNXTDZ($A$1,$B15,DR$1)</f>
        <v>2025</v>
      </c>
      <c r="DS15" s="116" cm="1">
        <f t="array" ref="DS15">_xll.EQNXTDZ($A$1,$B15,DS$1)</f>
        <v>1895.45</v>
      </c>
      <c r="DT15" s="116" cm="1">
        <f t="array" ref="DT15">_xll.EQNXTDZ($A$1,$B15,DT$1)</f>
        <v>1838.0250000000001</v>
      </c>
      <c r="DU15" s="116" cm="1">
        <f t="array" ref="DU15">_xll.EQNXTDZ($A$1,$B15,DU$1)</f>
        <v>2020.15</v>
      </c>
      <c r="DV15" s="116" cm="1">
        <f t="array" ref="DV15">_xll.EQNXTDZ($A$1,$B15,DV$1)</f>
        <v>2115.0250000000001</v>
      </c>
      <c r="DW15" s="116" cm="1">
        <f t="array" ref="DW15">_xll.EQNXTDZ($A$1,$B15,DW$1)</f>
        <v>2134.0500000000002</v>
      </c>
      <c r="DX15" s="116" cm="1">
        <f t="array" ref="DX15">_xll.EQNXTDZ($A$1,$B15,DX$1)</f>
        <v>2148.0749999999998</v>
      </c>
      <c r="DY15" s="116" cm="1">
        <f t="array" ref="DY15">_xll.EQNXTDZ($A$1,$B15,DY$1)</f>
        <v>2043.65</v>
      </c>
      <c r="DZ15" s="116" cm="1">
        <f t="array" ref="DZ15">_xll.EQNXTDZ($A$1,$B15,DZ$1)</f>
        <v>2144.15</v>
      </c>
      <c r="EA15" s="116" cm="1">
        <f t="array" ref="EA15">_xll.EQNXTDZ($A$1,$B15,EA$1)</f>
        <v>2182.2750000000001</v>
      </c>
      <c r="EB15" s="116" cm="1">
        <f t="array" ref="EB15">_xll.EQNXTDZ($A$1,$B15,EB$1)</f>
        <v>2284.1</v>
      </c>
      <c r="EC15" s="116" cm="1">
        <f t="array" ref="EC15">_xll.EQNXTDZ($A$1,$B15,EC$1)</f>
        <v>2468.2750000000001</v>
      </c>
      <c r="ED15" s="116" cm="1">
        <f t="array" ref="ED15">_xll.EQNXTDZ($A$1,$B15,ED$1)</f>
        <v>2665.85</v>
      </c>
      <c r="EE15" s="116" cm="1">
        <f t="array" ref="EE15">_xll.EQNXTDZ($A$1,$B15,EE$1)</f>
        <v>2760</v>
      </c>
      <c r="EF15" s="116" cm="1">
        <f t="array" ref="EF15">_xll.EQNXTDZ($A$1,$B15,EF$1)</f>
        <v>2612.65</v>
      </c>
      <c r="EG15" s="116" cm="1">
        <f t="array" ref="EG15">_xll.EQNXTDZ($A$1,$B15,EG$1)</f>
        <v>2965.25</v>
      </c>
      <c r="EH15" s="116" cm="1">
        <f t="array" ref="EH15">_xll.EQNXTDZ($A$1,$B15,EH$1)</f>
        <v>2850.1</v>
      </c>
      <c r="EI15" s="116" cm="1">
        <f t="array" ref="EI15">_xll.EQNXTDZ($A$1,$B15,EI$1)</f>
        <v>2581</v>
      </c>
      <c r="EJ15" s="116" cm="1">
        <f t="array" ref="EJ15">_xll.EQNXTDZ($A$1,$B15,EJ$1)</f>
        <v>2533.25</v>
      </c>
      <c r="EK15" s="116" cm="1">
        <f t="array" ref="EK15">_xll.EQNXTDZ($A$1,$B15,EK$1)</f>
        <v>2580</v>
      </c>
      <c r="EL15" s="116" cm="1">
        <f t="array" ref="EL15">_xll.EQNXTDZ($A$1,$B15,EL$1)</f>
        <v>2395</v>
      </c>
      <c r="EM15" s="116" cm="1">
        <f t="array" ref="EM15">_xll.EQNXTDZ($A$1,$B15,EM$1)</f>
        <v>2495.6</v>
      </c>
      <c r="EN15" s="116" cm="1">
        <f t="array" ref="EN15">_xll.EQNXTDZ($A$1,$B15,EN$1)</f>
        <v>2473</v>
      </c>
      <c r="EO15" s="116" cm="1">
        <f t="array" ref="EO15">_xll.EQNXTDZ($A$1,$B15,EO$1)</f>
        <v>2496.3000000000002</v>
      </c>
      <c r="EP15" s="116" cm="1">
        <f t="array" ref="EP15">_xll.EQNXTDZ($A$1,$B15,EP$1)</f>
        <v>2403.9</v>
      </c>
      <c r="EQ15" s="116" cm="1">
        <f t="array" ref="EQ15">_xll.EQNXTDZ($A$1,$B15,EQ$1)</f>
        <v>2229.0500000000002</v>
      </c>
      <c r="ER15" s="116" cm="1">
        <f t="array" ref="ER15">_xll.EQNXTDZ($A$1,$B15,ER$1)</f>
        <v>2632.25</v>
      </c>
      <c r="ES15" s="116" cm="1">
        <f t="array" ref="ES15">_xll.EQNXTDZ($A$1,$B15,ES$1)</f>
        <v>2630.8</v>
      </c>
      <c r="ET15" s="116" cm="1">
        <f t="array" ref="ET15">_xll.EQNXTDZ($A$1,$B15,ET$1)</f>
        <v>2877.95</v>
      </c>
      <c r="EU15" s="116" cm="1">
        <f t="array" ref="EU15">_xll.EQNXTDZ($A$1,$B15,EU$1)</f>
        <v>2401.9499999999998</v>
      </c>
      <c r="EV15" s="116" cm="1">
        <f t="array" ref="EV15">_xll.EQNXTDZ($A$1,$B15,EV$1)</f>
        <v>2235</v>
      </c>
      <c r="EW15" s="116" cm="1">
        <f t="array" ref="EW15">_xll.EQNXTDZ($A$1,$B15,EW$1)</f>
        <v>2200</v>
      </c>
      <c r="EX15" s="116" cm="1">
        <f t="array" ref="EX15">_xll.EQNXTDZ($A$1,$B15,EX$1)</f>
        <v>2045.8</v>
      </c>
      <c r="EY15" s="116" cm="1">
        <f t="array" ref="EY15">_xll.EQNXTDZ($A$1,$B15,EY$1)</f>
        <v>1905.35</v>
      </c>
      <c r="EZ15" s="116" cm="1">
        <f t="array" ref="EZ15">_xll.EQNXTDZ($A$1,$B15,EZ$1)</f>
        <v>1916</v>
      </c>
      <c r="FA15" s="116" cm="1">
        <f t="array" ref="FA15">_xll.EQNXTDZ($A$1,$B15,FA$1)</f>
        <v>1850</v>
      </c>
      <c r="FB15" s="116" cm="1">
        <f t="array" ref="FB15">_xll.EQNXTDZ($A$1,$B15,FB$1)</f>
        <v>2120</v>
      </c>
      <c r="FC15" s="116" cm="1">
        <f t="array" ref="FC15">_xll.EQNXTDZ($A$1,$B15,FC$1)</f>
        <v>2300</v>
      </c>
      <c r="FD15" s="116" cm="1">
        <f t="array" ref="FD15">_xll.EQNXTDZ($A$1,$B15,FD$1)</f>
        <v>2525.15</v>
      </c>
      <c r="FE15" s="116" cm="1">
        <f t="array" ref="FE15">_xll.EQNXTDZ($A$1,$B15,FE$1)</f>
        <v>2455.0500000000002</v>
      </c>
      <c r="FF15" s="116" cm="1">
        <f t="array" ref="FF15">_xll.EQNXTDZ($A$1,$B15,FF$1)</f>
        <v>2310</v>
      </c>
      <c r="FG15" s="116" cm="1">
        <f t="array" ref="FG15">_xll.EQNXTDZ($A$1,$B15,FG$1)</f>
        <v>2253.85</v>
      </c>
      <c r="FH15" s="116" cm="1">
        <f t="array" ref="FH15">_xll.EQNXTDZ($A$1,$B15,FH$1)</f>
        <v>2293.1999999999998</v>
      </c>
      <c r="FI15" s="116" cm="1">
        <f t="array" ref="FI15">_xll.EQNXTDZ($A$1,$B15,FI$1)</f>
        <v>2191</v>
      </c>
      <c r="FJ15" s="116" cm="1">
        <f t="array" ref="FJ15">_xll.EQNXTDZ($A$1,$B15,FJ$1)</f>
        <v>2110</v>
      </c>
      <c r="FK15" s="116" cm="1">
        <f t="array" ref="FK15">_xll.EQNXTDZ($A$1,$B15,FK$1)</f>
        <v>2125</v>
      </c>
      <c r="FL15" s="116" cm="1">
        <f t="array" ref="FL15">_xll.EQNXTDZ($A$1,$B15,FL$1)</f>
        <v>1925.4</v>
      </c>
      <c r="FM15" s="116" cm="1">
        <f t="array" ref="FM15">_xll.EQNXTDZ($A$1,$B15,FM$1)</f>
        <v>1971.1</v>
      </c>
      <c r="FN15" s="116" cm="1">
        <f t="array" ref="FN15">_xll.EQNXTDZ($A$1,$B15,FN$1)</f>
        <v>1911</v>
      </c>
      <c r="FO15" s="116" cm="1">
        <f t="array" ref="FO15">_xll.EQNXTDZ($A$1,$B15,FO$1)</f>
        <v>1955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476</v>
      </c>
      <c r="IS15" s="116">
        <f>+MIN(CM15:CO15)</f>
        <v>865</v>
      </c>
      <c r="IT15" s="116">
        <f>+MIN(CP15:CR15)</f>
        <v>820.6</v>
      </c>
      <c r="IU15" s="116">
        <f>+MIN(CS15:CU15)</f>
        <v>960</v>
      </c>
      <c r="IV15" s="116">
        <f>+MIN(CV15:CX15)</f>
        <v>1018.175</v>
      </c>
      <c r="IW15" s="116">
        <f>+MIN(CY15:DA15)</f>
        <v>2273.35</v>
      </c>
      <c r="IX15" s="116">
        <f>+MIN(DB15:DD15)</f>
        <v>3190.55</v>
      </c>
      <c r="IY15" s="116">
        <f>+MIN(DE15:DG15)</f>
        <v>3324.05</v>
      </c>
      <c r="IZ15" s="116">
        <f>+MIN(DH15:DJ15)</f>
        <v>3477.15</v>
      </c>
      <c r="JA15" s="116">
        <f>+MIN(DK15:DM15)</f>
        <v>3146.375</v>
      </c>
      <c r="JB15" s="116">
        <f>+MIN(DN15:DP15)</f>
        <v>1982.675</v>
      </c>
      <c r="JC15" s="116">
        <f>+MIN(DQ15:DS15)</f>
        <v>1895.45</v>
      </c>
      <c r="JD15" s="116">
        <f>+MIN(DT15:DV15)</f>
        <v>1838.0250000000001</v>
      </c>
      <c r="JE15" s="116">
        <f>+MIN(DW15:DY15)</f>
        <v>2043.65</v>
      </c>
      <c r="JF15" s="116">
        <f>+MIN(DZ15:EB15)</f>
        <v>2144.15</v>
      </c>
      <c r="JG15" s="116">
        <f>+MIN(EC15:EE15)</f>
        <v>2468.2750000000001</v>
      </c>
      <c r="JH15" s="116">
        <f>+MIN(EF15:EH15)</f>
        <v>2612.65</v>
      </c>
      <c r="JI15" s="116">
        <f>+MIN(EI15:EK15)</f>
        <v>2533.25</v>
      </c>
      <c r="JJ15" s="116">
        <f>+MIN(EL15:EN15)</f>
        <v>2395</v>
      </c>
      <c r="JK15" s="116">
        <f>MIN(EO15:EQ15)</f>
        <v>2229.0500000000002</v>
      </c>
      <c r="JL15" s="116">
        <f>MIN(ER15:ET15)</f>
        <v>2630.8</v>
      </c>
      <c r="JM15" s="116">
        <f>MIN(EU15:EW15)</f>
        <v>2200</v>
      </c>
      <c r="JN15" s="116">
        <f>MIN(EX15:EZ15)</f>
        <v>1905.35</v>
      </c>
      <c r="JO15" s="116">
        <f>MIN(FA15:FC15)</f>
        <v>1850</v>
      </c>
      <c r="JP15" s="116">
        <f>MIN(FD15:FF15)</f>
        <v>2310</v>
      </c>
      <c r="JQ15" s="116">
        <f>MIN(FG15:FI15)</f>
        <v>2191</v>
      </c>
      <c r="JR15" s="116">
        <f>MIN(FJ15:FL15)</f>
        <v>1925.4</v>
      </c>
      <c r="JS15" s="116">
        <f>MIN(FM15:FO15)</f>
        <v>1911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601.42499999999995</v>
      </c>
      <c r="CK16" s="116" cm="1">
        <f t="array" ref="CK16">_xll.EQNXTDZ($A$1,$B16,CK$1)</f>
        <v>601.27499999999998</v>
      </c>
      <c r="CL16" s="116" cm="1">
        <f t="array" ref="CL16">_xll.EQNXTDZ($A$1,$B16,CL$1)</f>
        <v>883.3</v>
      </c>
      <c r="CM16" s="116" cm="1">
        <f t="array" ref="CM16">_xll.EQNXTDZ($A$1,$B16,CM$1)</f>
        <v>930.57500000000005</v>
      </c>
      <c r="CN16" s="116" cm="1">
        <f t="array" ref="CN16">_xll.EQNXTDZ($A$1,$B16,CN$1)</f>
        <v>1077.575</v>
      </c>
      <c r="CO16" s="116" cm="1">
        <f t="array" ref="CO16">_xll.EQNXTDZ($A$1,$B16,CO$1)</f>
        <v>1033.0250000000001</v>
      </c>
      <c r="CP16" s="116" cm="1">
        <f t="array" ref="CP16">_xll.EQNXTDZ($A$1,$B16,CP$1)</f>
        <v>1168.7249999999999</v>
      </c>
      <c r="CQ16" s="116" cm="1">
        <f t="array" ref="CQ16">_xll.EQNXTDZ($A$1,$B16,CQ$1)</f>
        <v>1202.9749999999999</v>
      </c>
      <c r="CR16" s="116" cm="1">
        <f t="array" ref="CR16">_xll.EQNXTDZ($A$1,$B16,CR$1)</f>
        <v>967.95</v>
      </c>
      <c r="CS16" s="116" cm="1">
        <f t="array" ref="CS16">_xll.EQNXTDZ($A$1,$B16,CS$1)</f>
        <v>1121.925</v>
      </c>
      <c r="CT16" s="116" cm="1">
        <f t="array" ref="CT16">_xll.EQNXTDZ($A$1,$B16,CT$1)</f>
        <v>1239.325</v>
      </c>
      <c r="CU16" s="116" cm="1">
        <f t="array" ref="CU16">_xll.EQNXTDZ($A$1,$B16,CU$1)</f>
        <v>1158.7249999999999</v>
      </c>
      <c r="CV16" s="116" cm="1">
        <f t="array" ref="CV16">_xll.EQNXTDZ($A$1,$B16,CV$1)</f>
        <v>1414.7750000000001</v>
      </c>
      <c r="CW16" s="116" cm="1">
        <f t="array" ref="CW16">_xll.EQNXTDZ($A$1,$B16,CW$1)</f>
        <v>1839.9</v>
      </c>
      <c r="CX16" s="116" cm="1">
        <f t="array" ref="CX16">_xll.EQNXTDZ($A$1,$B16,CX$1)</f>
        <v>2496.0250000000001</v>
      </c>
      <c r="CY16" s="116" cm="1">
        <f t="array" ref="CY16">_xll.EQNXTDZ($A$1,$B16,CY$1)</f>
        <v>2424.125</v>
      </c>
      <c r="CZ16" s="116" cm="1">
        <f t="array" ref="CZ16">_xll.EQNXTDZ($A$1,$B16,CZ$1)</f>
        <v>2535.1750000000002</v>
      </c>
      <c r="DA16" s="116" cm="1">
        <f t="array" ref="DA16">_xll.EQNXTDZ($A$1,$B16,DA$1)</f>
        <v>3202.7</v>
      </c>
      <c r="DB16" s="116" cm="1">
        <f t="array" ref="DB16">_xll.EQNXTDZ($A$1,$B16,DB$1)</f>
        <v>3900.3249999999998</v>
      </c>
      <c r="DC16" s="116" cm="1">
        <f t="array" ref="DC16">_xll.EQNXTDZ($A$1,$B16,DC$1)</f>
        <v>4298.4750000000004</v>
      </c>
      <c r="DD16" s="116" cm="1">
        <f t="array" ref="DD16">_xll.EQNXTDZ($A$1,$B16,DD$1)</f>
        <v>3866.2750000000001</v>
      </c>
      <c r="DE16" s="116" cm="1">
        <f t="array" ref="DE16">_xll.EQNXTDZ($A$1,$B16,DE$1)</f>
        <v>3965.5749999999998</v>
      </c>
      <c r="DF16" s="116" cm="1">
        <f t="array" ref="DF16">_xll.EQNXTDZ($A$1,$B16,DF$1)</f>
        <v>3678.875</v>
      </c>
      <c r="DG16" s="116" cm="1">
        <f t="array" ref="DG16">_xll.EQNXTDZ($A$1,$B16,DG$1)</f>
        <v>3494.8</v>
      </c>
      <c r="DH16" s="116" cm="1">
        <f t="array" ref="DH16">_xll.EQNXTDZ($A$1,$B16,DH$1)</f>
        <v>3572.35</v>
      </c>
      <c r="DI16" s="116" cm="1">
        <f t="array" ref="DI16">_xll.EQNXTDZ($A$1,$B16,DI$1)</f>
        <v>3916.15</v>
      </c>
      <c r="DJ16" s="116" cm="1">
        <f t="array" ref="DJ16">_xll.EQNXTDZ($A$1,$B16,DJ$1)</f>
        <v>4193.05</v>
      </c>
      <c r="DK16" s="116" cm="1">
        <f t="array" ref="DK16">_xll.EQNXTDZ($A$1,$B16,DK$1)</f>
        <v>3574.0250000000001</v>
      </c>
      <c r="DL16" s="116" cm="1">
        <f t="array" ref="DL16">_xll.EQNXTDZ($A$1,$B16,DL$1)</f>
        <v>3709.9749999999999</v>
      </c>
      <c r="DM16" s="116" cm="1">
        <f t="array" ref="DM16">_xll.EQNXTDZ($A$1,$B16,DM$1)</f>
        <v>3236.9749999999999</v>
      </c>
      <c r="DN16" s="116" cm="1">
        <f t="array" ref="DN16">_xll.EQNXTDZ($A$1,$B16,DN$1)</f>
        <v>2499.0500000000002</v>
      </c>
      <c r="DO16" s="116" cm="1">
        <f t="array" ref="DO16">_xll.EQNXTDZ($A$1,$B16,DO$1)</f>
        <v>2386.25</v>
      </c>
      <c r="DP16" s="116" cm="1">
        <f t="array" ref="DP16">_xll.EQNXTDZ($A$1,$B16,DP$1)</f>
        <v>2161.6</v>
      </c>
      <c r="DQ16" s="116" cm="1">
        <f t="array" ref="DQ16">_xll.EQNXTDZ($A$1,$B16,DQ$1)</f>
        <v>2461.0250000000001</v>
      </c>
      <c r="DR16" s="116" cm="1">
        <f t="array" ref="DR16">_xll.EQNXTDZ($A$1,$B16,DR$1)</f>
        <v>2277.0250000000001</v>
      </c>
      <c r="DS16" s="116" cm="1">
        <f t="array" ref="DS16">_xll.EQNXTDZ($A$1,$B16,DS$1)</f>
        <v>1905.85</v>
      </c>
      <c r="DT16" s="116" cm="1">
        <f t="array" ref="DT16">_xll.EQNXTDZ($A$1,$B16,DT$1)</f>
        <v>2127.3249999999998</v>
      </c>
      <c r="DU16" s="116" cm="1">
        <f t="array" ref="DU16">_xll.EQNXTDZ($A$1,$B16,DU$1)</f>
        <v>2208.9499999999998</v>
      </c>
      <c r="DV16" s="116" cm="1">
        <f t="array" ref="DV16">_xll.EQNXTDZ($A$1,$B16,DV$1)</f>
        <v>2231.25</v>
      </c>
      <c r="DW16" s="116" cm="1">
        <f t="array" ref="DW16">_xll.EQNXTDZ($A$1,$B16,DW$1)</f>
        <v>2293.9499999999998</v>
      </c>
      <c r="DX16" s="116" cm="1">
        <f t="array" ref="DX16">_xll.EQNXTDZ($A$1,$B16,DX$1)</f>
        <v>2192.1750000000002</v>
      </c>
      <c r="DY16" s="116" cm="1">
        <f t="array" ref="DY16">_xll.EQNXTDZ($A$1,$B16,DY$1)</f>
        <v>2159.25</v>
      </c>
      <c r="DZ16" s="116" cm="1">
        <f t="array" ref="DZ16">_xll.EQNXTDZ($A$1,$B16,DZ$1)</f>
        <v>2269.3249999999998</v>
      </c>
      <c r="EA16" s="116" cm="1">
        <f t="array" ref="EA16">_xll.EQNXTDZ($A$1,$B16,EA$1)</f>
        <v>2425.5749999999998</v>
      </c>
      <c r="EB16" s="116" cm="1">
        <f t="array" ref="EB16">_xll.EQNXTDZ($A$1,$B16,EB$1)</f>
        <v>2514.0749999999998</v>
      </c>
      <c r="EC16" s="116" cm="1">
        <f t="array" ref="EC16">_xll.EQNXTDZ($A$1,$B16,EC$1)</f>
        <v>2682.0749999999998</v>
      </c>
      <c r="ED16" s="116" cm="1">
        <f t="array" ref="ED16">_xll.EQNXTDZ($A$1,$B16,ED$1)</f>
        <v>2789.7</v>
      </c>
      <c r="EE16" s="116" cm="1">
        <f t="array" ref="EE16">_xll.EQNXTDZ($A$1,$B16,EE$1)</f>
        <v>2815.35</v>
      </c>
      <c r="EF16" s="116" cm="1">
        <f t="array" ref="EF16">_xll.EQNXTDZ($A$1,$B16,EF$1)</f>
        <v>3111.8</v>
      </c>
      <c r="EG16" s="116" cm="1">
        <f t="array" ref="EG16">_xll.EQNXTDZ($A$1,$B16,EG$1)</f>
        <v>3058.6</v>
      </c>
      <c r="EH16" s="116" cm="1">
        <f t="array" ref="EH16">_xll.EQNXTDZ($A$1,$B16,EH$1)</f>
        <v>2870.4</v>
      </c>
      <c r="EI16" s="116" cm="1">
        <f t="array" ref="EI16">_xll.EQNXTDZ($A$1,$B16,EI$1)</f>
        <v>2647.2</v>
      </c>
      <c r="EJ16" s="116" cm="1">
        <f t="array" ref="EJ16">_xll.EQNXTDZ($A$1,$B16,EJ$1)</f>
        <v>2602.9</v>
      </c>
      <c r="EK16" s="116" cm="1">
        <f t="array" ref="EK16">_xll.EQNXTDZ($A$1,$B16,EK$1)</f>
        <v>2721.6</v>
      </c>
      <c r="EL16" s="116" cm="1">
        <f t="array" ref="EL16">_xll.EQNXTDZ($A$1,$B16,EL$1)</f>
        <v>2518.4499999999998</v>
      </c>
      <c r="EM16" s="116" cm="1">
        <f t="array" ref="EM16">_xll.EQNXTDZ($A$1,$B16,EM$1)</f>
        <v>2652</v>
      </c>
      <c r="EN16" s="116" cm="1">
        <f t="array" ref="EN16">_xll.EQNXTDZ($A$1,$B16,EN$1)</f>
        <v>2645.75</v>
      </c>
      <c r="EO16" s="116" cm="1">
        <f t="array" ref="EO16">_xll.EQNXTDZ($A$1,$B16,EO$1)</f>
        <v>2648.2</v>
      </c>
      <c r="EP16" s="116" cm="1">
        <f t="array" ref="EP16">_xll.EQNXTDZ($A$1,$B16,EP$1)</f>
        <v>2415.85</v>
      </c>
      <c r="EQ16" s="116" cm="1">
        <f t="array" ref="EQ16">_xll.EQNXTDZ($A$1,$B16,EQ$1)</f>
        <v>2680.5</v>
      </c>
      <c r="ER16" s="116" cm="1">
        <f t="array" ref="ER16">_xll.EQNXTDZ($A$1,$B16,ER$1)</f>
        <v>2946.4</v>
      </c>
      <c r="ES16" s="116" cm="1">
        <f t="array" ref="ES16">_xll.EQNXTDZ($A$1,$B16,ES$1)</f>
        <v>2999.7</v>
      </c>
      <c r="ET16" s="116" cm="1">
        <f t="array" ref="ET16">_xll.EQNXTDZ($A$1,$B16,ET$1)</f>
        <v>2955</v>
      </c>
      <c r="EU16" s="116" cm="1">
        <f t="array" ref="EU16">_xll.EQNXTDZ($A$1,$B16,EU$1)</f>
        <v>2500.25</v>
      </c>
      <c r="EV16" s="116" cm="1">
        <f t="array" ref="EV16">_xll.EQNXTDZ($A$1,$B16,EV$1)</f>
        <v>2346.8000000000002</v>
      </c>
      <c r="EW16" s="116" cm="1">
        <f t="array" ref="EW16">_xll.EQNXTDZ($A$1,$B16,EW$1)</f>
        <v>2249.1999999999998</v>
      </c>
      <c r="EX16" s="116" cm="1">
        <f t="array" ref="EX16">_xll.EQNXTDZ($A$1,$B16,EX$1)</f>
        <v>2066.15</v>
      </c>
      <c r="EY16" s="116" cm="1">
        <f t="array" ref="EY16">_xll.EQNXTDZ($A$1,$B16,EY$1)</f>
        <v>1987.55</v>
      </c>
      <c r="EZ16" s="116" cm="1">
        <f t="array" ref="EZ16">_xll.EQNXTDZ($A$1,$B16,EZ$1)</f>
        <v>2065.4</v>
      </c>
      <c r="FA16" s="116" cm="1">
        <f t="array" ref="FA16">_xll.EQNXTDZ($A$1,$B16,FA$1)</f>
        <v>2304.35</v>
      </c>
      <c r="FB16" s="116" cm="1">
        <f t="array" ref="FB16">_xll.EQNXTDZ($A$1,$B16,FB$1)</f>
        <v>2331.75</v>
      </c>
      <c r="FC16" s="116" cm="1">
        <f t="array" ref="FC16">_xll.EQNXTDZ($A$1,$B16,FC$1)</f>
        <v>2595.1999999999998</v>
      </c>
      <c r="FD16" s="116" cm="1">
        <f t="array" ref="FD16">_xll.EQNXTDZ($A$1,$B16,FD$1)</f>
        <v>2586.9499999999998</v>
      </c>
      <c r="FE16" s="116" cm="1">
        <f t="array" ref="FE16">_xll.EQNXTDZ($A$1,$B16,FE$1)</f>
        <v>2594.3000000000002</v>
      </c>
      <c r="FF16" s="116" cm="1">
        <f t="array" ref="FF16">_xll.EQNXTDZ($A$1,$B16,FF$1)</f>
        <v>2355.4499999999998</v>
      </c>
      <c r="FG16" s="116" cm="1">
        <f t="array" ref="FG16">_xll.EQNXTDZ($A$1,$B16,FG$1)</f>
        <v>2457.15</v>
      </c>
      <c r="FH16" s="116" cm="1">
        <f t="array" ref="FH16">_xll.EQNXTDZ($A$1,$B16,FH$1)</f>
        <v>2313.5500000000002</v>
      </c>
      <c r="FI16" s="116" cm="1">
        <f t="array" ref="FI16">_xll.EQNXTDZ($A$1,$B16,FI$1)</f>
        <v>2224</v>
      </c>
      <c r="FJ16" s="116" cm="1">
        <f t="array" ref="FJ16">_xll.EQNXTDZ($A$1,$B16,FJ$1)</f>
        <v>2206.25</v>
      </c>
      <c r="FK16" s="116" cm="1">
        <f t="array" ref="FK16">_xll.EQNXTDZ($A$1,$B16,FK$1)</f>
        <v>2133.5</v>
      </c>
      <c r="FL16" s="116" cm="1">
        <f t="array" ref="FL16">_xll.EQNXTDZ($A$1,$B16,FL$1)</f>
        <v>1983.9</v>
      </c>
      <c r="FM16" s="116" cm="1">
        <f t="array" ref="FM16">_xll.EQNXTDZ($A$1,$B16,FM$1)</f>
        <v>2109</v>
      </c>
      <c r="FN16" s="116" cm="1">
        <f t="array" ref="FN16">_xll.EQNXTDZ($A$1,$B16,FN$1)</f>
        <v>2002.35</v>
      </c>
      <c r="FO16" s="116" cm="1">
        <f t="array" ref="FO16">_xll.EQNXTDZ($A$1,$B16,FO$1)</f>
        <v>2083.4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883.3</v>
      </c>
      <c r="IS16" s="116">
        <f>+CO16</f>
        <v>1033.0250000000001</v>
      </c>
      <c r="IT16" s="116">
        <f>+CR16</f>
        <v>967.95</v>
      </c>
      <c r="IU16" s="116">
        <f>+CU16</f>
        <v>1158.7249999999999</v>
      </c>
      <c r="IV16" s="116">
        <f>+CX16</f>
        <v>2496.0250000000001</v>
      </c>
      <c r="IW16" s="116">
        <f>+DA16</f>
        <v>3202.7</v>
      </c>
      <c r="IX16" s="116">
        <f>+DD16</f>
        <v>3866.2750000000001</v>
      </c>
      <c r="IY16" s="116">
        <f>+DG16</f>
        <v>3494.8</v>
      </c>
      <c r="IZ16" s="116">
        <f>+DJ16</f>
        <v>4193.05</v>
      </c>
      <c r="JA16" s="116">
        <f>+DM16</f>
        <v>3236.9749999999999</v>
      </c>
      <c r="JB16" s="116">
        <f>+DP16</f>
        <v>2161.6</v>
      </c>
      <c r="JC16" s="116">
        <f>+DS16</f>
        <v>1905.85</v>
      </c>
      <c r="JD16" s="116">
        <f>+DV16</f>
        <v>2231.25</v>
      </c>
      <c r="JE16" s="116">
        <f>+DY16</f>
        <v>2159.25</v>
      </c>
      <c r="JF16" s="116">
        <f>+EB16</f>
        <v>2514.0749999999998</v>
      </c>
      <c r="JG16" s="116">
        <f>+EE16</f>
        <v>2815.35</v>
      </c>
      <c r="JH16" s="116">
        <f>+EH16</f>
        <v>2870.4</v>
      </c>
      <c r="JI16" s="116">
        <f>+EK16</f>
        <v>2721.6</v>
      </c>
      <c r="JJ16" s="116">
        <f>+EN16</f>
        <v>2645.75</v>
      </c>
      <c r="JK16" s="116">
        <f>EQ16</f>
        <v>2680.5</v>
      </c>
      <c r="JL16" s="116">
        <f>ET16</f>
        <v>2955</v>
      </c>
      <c r="JM16" s="116">
        <f>EW16</f>
        <v>2249.1999999999998</v>
      </c>
      <c r="JN16" s="116">
        <f>EZ16</f>
        <v>2065.4</v>
      </c>
      <c r="JO16" s="116">
        <f>FC16</f>
        <v>2595.1999999999998</v>
      </c>
      <c r="JP16" s="116">
        <f>FF16</f>
        <v>2355.4499999999998</v>
      </c>
      <c r="JQ16" s="116">
        <f>FI16</f>
        <v>2224</v>
      </c>
      <c r="JR16" s="116">
        <f>FL16</f>
        <v>1983.9</v>
      </c>
      <c r="JS16" s="116">
        <f>FO16</f>
        <v>2083.4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985.35</v>
      </c>
      <c r="IS19" s="116">
        <f t="shared" si="1"/>
        <v>1155</v>
      </c>
      <c r="IT19" s="116">
        <f t="shared" si="1"/>
        <v>1431</v>
      </c>
      <c r="IU19" s="116">
        <f t="shared" si="1"/>
        <v>1293.5999999999999</v>
      </c>
      <c r="IV19" s="116">
        <f t="shared" si="1"/>
        <v>2742.5</v>
      </c>
      <c r="IW19" s="116">
        <f t="shared" si="1"/>
        <v>3231.9250000000002</v>
      </c>
      <c r="IX19" s="116">
        <f t="shared" si="1"/>
        <v>4975.9750000000004</v>
      </c>
      <c r="IY19" s="116">
        <f t="shared" si="1"/>
        <v>4463.5</v>
      </c>
      <c r="IZ19" s="116">
        <f t="shared" si="1"/>
        <v>4635</v>
      </c>
      <c r="JA19" s="116">
        <f t="shared" si="1"/>
        <v>4850</v>
      </c>
      <c r="JB19" s="116">
        <f t="shared" si="1"/>
        <v>3451</v>
      </c>
      <c r="JC19" s="116">
        <f t="shared" si="1"/>
        <v>2623.7750000000001</v>
      </c>
      <c r="JD19" s="116">
        <f t="shared" si="1"/>
        <v>2437.7249999999999</v>
      </c>
      <c r="JE19" s="116">
        <f t="shared" si="1"/>
        <v>2458.0500000000002</v>
      </c>
      <c r="JF19" s="116">
        <f t="shared" si="1"/>
        <v>2595.9</v>
      </c>
      <c r="JG19" s="116">
        <f t="shared" si="1"/>
        <v>3050.65</v>
      </c>
      <c r="JH19" s="116">
        <f t="shared" si="1"/>
        <v>3293.45</v>
      </c>
      <c r="JI19" s="116">
        <f t="shared" si="1"/>
        <v>2922.05</v>
      </c>
      <c r="JJ19" s="116">
        <f t="shared" ref="JJ19:JJ21" si="2">+IF(JJ14=0,JJ7,JJ14)</f>
        <v>2803.6</v>
      </c>
      <c r="JK19" s="116">
        <f t="shared" ref="JK19" si="3">+IF(JK14=0,JK7,JK14)</f>
        <v>2913</v>
      </c>
      <c r="JL19" s="116">
        <f t="shared" ref="JL19:JM19" si="4">+IF(JL14=0,JL7,JL14)</f>
        <v>3198.95</v>
      </c>
      <c r="JM19" s="116">
        <f t="shared" si="4"/>
        <v>3129.85</v>
      </c>
      <c r="JN19" s="116">
        <f t="shared" ref="JN19:JO19" si="5">+IF(JN14=0,JN7,JN14)</f>
        <v>2369.9</v>
      </c>
      <c r="JO19" s="116">
        <f t="shared" si="5"/>
        <v>2721.2</v>
      </c>
      <c r="JP19" s="116">
        <f t="shared" ref="JP19" si="6">+IF(JP14=0,JP7,JP14)</f>
        <v>2772</v>
      </c>
      <c r="JQ19" s="116">
        <f t="shared" ref="JQ19:KH19" si="7">+IF(JQ14=0,JQ7,JQ14)</f>
        <v>2525</v>
      </c>
      <c r="JR19" s="116">
        <f t="shared" si="7"/>
        <v>2311</v>
      </c>
      <c r="JS19" s="116">
        <f t="shared" si="7"/>
        <v>2199.5500000000002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476</v>
      </c>
      <c r="IS20" s="116">
        <f t="shared" si="1"/>
        <v>865</v>
      </c>
      <c r="IT20" s="116">
        <f t="shared" si="1"/>
        <v>820.6</v>
      </c>
      <c r="IU20" s="116">
        <f t="shared" si="1"/>
        <v>960</v>
      </c>
      <c r="IV20" s="116">
        <f t="shared" si="1"/>
        <v>1018.175</v>
      </c>
      <c r="IW20" s="116">
        <f t="shared" si="1"/>
        <v>2273.35</v>
      </c>
      <c r="IX20" s="116">
        <f t="shared" si="1"/>
        <v>3190.55</v>
      </c>
      <c r="IY20" s="116">
        <f t="shared" si="1"/>
        <v>3324.05</v>
      </c>
      <c r="IZ20" s="116">
        <f t="shared" si="1"/>
        <v>3477.15</v>
      </c>
      <c r="JA20" s="116">
        <f t="shared" si="1"/>
        <v>3146.375</v>
      </c>
      <c r="JB20" s="116">
        <f t="shared" si="1"/>
        <v>1982.675</v>
      </c>
      <c r="JC20" s="116">
        <f t="shared" si="1"/>
        <v>1895.45</v>
      </c>
      <c r="JD20" s="116">
        <f t="shared" si="1"/>
        <v>1838.0250000000001</v>
      </c>
      <c r="JE20" s="116">
        <f t="shared" si="1"/>
        <v>2043.65</v>
      </c>
      <c r="JF20" s="116">
        <f t="shared" si="1"/>
        <v>2144.15</v>
      </c>
      <c r="JG20" s="116">
        <f t="shared" si="1"/>
        <v>2468.2750000000001</v>
      </c>
      <c r="JH20" s="116">
        <f t="shared" si="1"/>
        <v>2612.65</v>
      </c>
      <c r="JI20" s="116">
        <f t="shared" si="1"/>
        <v>2533.25</v>
      </c>
      <c r="JJ20" s="116">
        <f t="shared" si="2"/>
        <v>2395</v>
      </c>
      <c r="JK20" s="116">
        <f t="shared" ref="JK20" si="9">+IF(JK15=0,JK8,JK15)</f>
        <v>2229.0500000000002</v>
      </c>
      <c r="JL20" s="116">
        <f t="shared" ref="JL20:JM20" si="10">+IF(JL15=0,JL8,JL15)</f>
        <v>2630.8</v>
      </c>
      <c r="JM20" s="116">
        <f t="shared" si="10"/>
        <v>2200</v>
      </c>
      <c r="JN20" s="116">
        <f t="shared" ref="JN20:JO20" si="11">+IF(JN15=0,JN8,JN15)</f>
        <v>1905.35</v>
      </c>
      <c r="JO20" s="116">
        <f t="shared" si="11"/>
        <v>1850</v>
      </c>
      <c r="JP20" s="116">
        <f t="shared" ref="JP20" si="12">+IF(JP15=0,JP8,JP15)</f>
        <v>2310</v>
      </c>
      <c r="JQ20" s="116">
        <f t="shared" ref="JQ20:KH20" si="13">+IF(JQ15=0,JQ8,JQ15)</f>
        <v>2191</v>
      </c>
      <c r="JR20" s="116">
        <f t="shared" si="13"/>
        <v>1925.4</v>
      </c>
      <c r="JS20" s="116">
        <f t="shared" si="13"/>
        <v>1911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883.3</v>
      </c>
      <c r="IS21" s="116">
        <f t="shared" si="1"/>
        <v>1033.0250000000001</v>
      </c>
      <c r="IT21" s="116">
        <f t="shared" si="1"/>
        <v>967.95</v>
      </c>
      <c r="IU21" s="116">
        <f t="shared" si="1"/>
        <v>1158.7249999999999</v>
      </c>
      <c r="IV21" s="116">
        <f t="shared" si="1"/>
        <v>2496.0250000000001</v>
      </c>
      <c r="IW21" s="116">
        <f t="shared" si="1"/>
        <v>3202.7</v>
      </c>
      <c r="IX21" s="116">
        <f t="shared" si="1"/>
        <v>3866.2750000000001</v>
      </c>
      <c r="IY21" s="116">
        <f t="shared" si="1"/>
        <v>3494.8</v>
      </c>
      <c r="IZ21" s="116">
        <f t="shared" si="1"/>
        <v>4193.05</v>
      </c>
      <c r="JA21" s="116">
        <f t="shared" si="1"/>
        <v>3236.9749999999999</v>
      </c>
      <c r="JB21" s="116">
        <f t="shared" si="1"/>
        <v>2161.6</v>
      </c>
      <c r="JC21" s="116">
        <f t="shared" si="1"/>
        <v>1905.85</v>
      </c>
      <c r="JD21" s="116">
        <f t="shared" si="1"/>
        <v>2231.25</v>
      </c>
      <c r="JE21" s="116">
        <f t="shared" si="1"/>
        <v>2159.25</v>
      </c>
      <c r="JF21" s="116">
        <f t="shared" si="1"/>
        <v>2514.0749999999998</v>
      </c>
      <c r="JG21" s="116">
        <f t="shared" si="1"/>
        <v>2815.35</v>
      </c>
      <c r="JH21" s="116">
        <f t="shared" si="1"/>
        <v>2870.4</v>
      </c>
      <c r="JI21" s="116">
        <f t="shared" si="1"/>
        <v>2721.6</v>
      </c>
      <c r="JJ21" s="116">
        <f t="shared" si="2"/>
        <v>2645.75</v>
      </c>
      <c r="JK21" s="116">
        <f t="shared" ref="JK21" si="14">+IF(JK16=0,JK9,JK16)</f>
        <v>2680.5</v>
      </c>
      <c r="JL21" s="116">
        <f t="shared" ref="JL21:JM21" si="15">+IF(JL16=0,JL9,JL16)</f>
        <v>2955</v>
      </c>
      <c r="JM21" s="116">
        <f t="shared" si="15"/>
        <v>2249.1999999999998</v>
      </c>
      <c r="JN21" s="116">
        <f t="shared" ref="JN21:JO21" si="16">+IF(JN16=0,JN9,JN16)</f>
        <v>2065.4</v>
      </c>
      <c r="JO21" s="116">
        <f t="shared" si="16"/>
        <v>2595.1999999999998</v>
      </c>
      <c r="JP21" s="116">
        <f t="shared" ref="JP21" si="17">+IF(JP16=0,JP9,JP16)</f>
        <v>2355.4499999999998</v>
      </c>
      <c r="JQ21" s="116">
        <f t="shared" ref="JQ21:KH21" si="18">+IF(JQ16=0,JQ9,JQ16)</f>
        <v>2224</v>
      </c>
      <c r="JR21" s="116">
        <f t="shared" si="18"/>
        <v>1983.9</v>
      </c>
      <c r="JS21" s="116">
        <f t="shared" si="18"/>
        <v>2083.4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290269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24717461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28919820</v>
      </c>
      <c r="AG6" cm="1">
        <f t="array" ref="AG6">_xll.EQNXTDZ($A$1,$B6,AG$1)</f>
        <v>28919820</v>
      </c>
      <c r="AH6" cm="1">
        <f t="array" ref="AH6">_xll.EQNXTDZ($A$1,$B6,AH$1)</f>
        <v>28919820</v>
      </c>
      <c r="AI6" cm="1">
        <f t="array" ref="AI6">_xll.EQNXTDZ($A$1,$B6,AI$1)</f>
        <v>28919820</v>
      </c>
      <c r="AJ6" cm="1">
        <f t="array" ref="AJ6">_xll.EQNXTDZ($A$1,$B6,AJ$1)</f>
        <v>29114268</v>
      </c>
      <c r="AK6" cm="1">
        <f t="array" ref="AK6">_xll.EQNXTDZ($A$1,$B6,AK$1)</f>
        <v>29121516</v>
      </c>
      <c r="AL6" cm="1">
        <f t="array" ref="AL6">_xll.EQNXTDZ($A$1,$B6,AL$1)</f>
        <v>30363728</v>
      </c>
      <c r="AM6" cm="1">
        <f t="array" ref="AM6">_xll.EQNXTDZ($A$1,$B6,AM$1)</f>
        <v>30384674</v>
      </c>
      <c r="AN6" cm="1">
        <f t="array" ref="AN6">_xll.EQNXTDZ($A$1,$B6,AN$1)</f>
        <v>30564574</v>
      </c>
      <c r="AO6" cm="1">
        <f t="array" ref="AO6">_xll.EQNXTDZ($A$1,$B6,AO$1)</f>
        <v>30564574</v>
      </c>
      <c r="AP6" cm="1">
        <f t="array" ref="AP6">_xll.EQNXTDZ($A$1,$B6,AP$1)</f>
        <v>30564574</v>
      </c>
      <c r="AQ6" cm="1">
        <f t="array" ref="AQ6">_xll.EQNXTDZ($A$1,$B6,AQ$1)</f>
        <v>30614574</v>
      </c>
      <c r="AR6" cm="1">
        <f t="array" ref="AR6">_xll.EQNXTDZ($A$1,$B6,AR$1)</f>
        <v>30614574</v>
      </c>
      <c r="AS6" cm="1">
        <f t="array" ref="AS6">_xll.EQNXTDZ($A$1,$B6,AS$1)</f>
        <v>30614574</v>
      </c>
      <c r="AT6" cm="1">
        <f t="array" ref="AT6">_xll.EQNXTDZ($A$1,$B6,AT$1)</f>
        <v>30614574</v>
      </c>
      <c r="AU6" cm="1">
        <f t="array" ref="AU6">_xll.EQNXTDZ($A$1,$B6,AU$1)</f>
        <v>61229148</v>
      </c>
      <c r="AV6" cm="1">
        <f t="array" ref="AV6">_xll.EQNXTDZ($A$1,$B6,AV$1)</f>
        <v>59979148</v>
      </c>
      <c r="AW6" cm="1">
        <f t="array" ref="AW6">_xll.EQNXTDZ($A$1,$B6,AW$1)</f>
        <v>59979148</v>
      </c>
      <c r="AX6" cm="1">
        <f t="array" ref="AX6">_xll.EQNXTDZ($A$1,$B6,AX$1)</f>
        <v>59979148</v>
      </c>
      <c r="AY6" cm="1">
        <f t="array" ref="AY6">_xll.EQNXTDZ($A$1,$B6,AY$1)</f>
        <v>59979148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2.4717460999999998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2.8919820000000001</v>
      </c>
      <c r="AG7" s="100">
        <f t="shared" si="1"/>
        <v>2.8919820000000001</v>
      </c>
      <c r="AH7" s="100">
        <f t="shared" si="1"/>
        <v>2.8919820000000001</v>
      </c>
      <c r="AI7" s="100">
        <f t="shared" si="1"/>
        <v>2.8919820000000001</v>
      </c>
      <c r="AJ7" s="100">
        <f t="shared" si="1"/>
        <v>2.9114268000000001</v>
      </c>
      <c r="AK7" s="100">
        <f t="shared" si="1"/>
        <v>2.9121516000000001</v>
      </c>
      <c r="AL7" s="100">
        <f t="shared" si="1"/>
        <v>3.0363728000000001</v>
      </c>
      <c r="AM7" s="100">
        <f t="shared" si="1"/>
        <v>3.0384674</v>
      </c>
      <c r="AN7" s="100">
        <f t="shared" si="1"/>
        <v>3.0564574000000002</v>
      </c>
      <c r="AO7" s="100">
        <f t="shared" si="1"/>
        <v>3.0564574000000002</v>
      </c>
      <c r="AP7" s="100">
        <f t="shared" si="1"/>
        <v>3.0564574000000002</v>
      </c>
      <c r="AQ7" s="100">
        <f t="shared" si="1"/>
        <v>3.0614574000000001</v>
      </c>
      <c r="AR7" s="100">
        <f t="shared" si="1"/>
        <v>3.0614574000000001</v>
      </c>
      <c r="AS7" s="100">
        <f t="shared" si="1"/>
        <v>3.0614574000000001</v>
      </c>
      <c r="AT7" s="100">
        <f t="shared" ref="AT7:AX7" si="2">+AT6/10^7</f>
        <v>3.0614574000000001</v>
      </c>
      <c r="AU7" s="100">
        <f t="shared" si="2"/>
        <v>6.1229148000000002</v>
      </c>
      <c r="AV7" s="100">
        <f t="shared" si="2"/>
        <v>5.9979148000000002</v>
      </c>
      <c r="AW7" s="100">
        <f t="shared" si="2"/>
        <v>5.9979148000000002</v>
      </c>
      <c r="AX7" s="100">
        <f t="shared" si="2"/>
        <v>5.9979148000000002</v>
      </c>
      <c r="AY7" s="100">
        <f t="shared" ref="AY7" si="3">+AY6/10^7</f>
        <v>5.9979148000000002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290269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43650</v>
      </c>
      <c r="B4" s="116">
        <v>669.5</v>
      </c>
      <c r="C4" s="116">
        <v>651.27499999999998</v>
      </c>
      <c r="D4" s="116">
        <v>590</v>
      </c>
      <c r="E4" s="116">
        <v>590</v>
      </c>
      <c r="F4" s="116">
        <v>1302.55</v>
      </c>
      <c r="G4">
        <v>689074</v>
      </c>
      <c r="H4" s="116"/>
      <c r="I4" s="116"/>
      <c r="L4" s="170">
        <v>43650</v>
      </c>
      <c r="M4" s="116">
        <v>650.97500000000002</v>
      </c>
      <c r="N4" s="116">
        <v>669</v>
      </c>
      <c r="O4" s="116">
        <v>590</v>
      </c>
      <c r="P4" s="116">
        <v>590</v>
      </c>
      <c r="Q4" s="116">
        <v>1301.95</v>
      </c>
      <c r="R4">
        <v>7561613</v>
      </c>
    </row>
    <row r="5" spans="1:18" x14ac:dyDescent="0.25">
      <c r="A5" s="170">
        <v>43651</v>
      </c>
      <c r="B5" s="116">
        <v>673.97500000000002</v>
      </c>
      <c r="C5" s="116">
        <v>663.125</v>
      </c>
      <c r="D5" s="116">
        <v>652.67499999999995</v>
      </c>
      <c r="E5" s="116">
        <v>657.5</v>
      </c>
      <c r="F5" s="116">
        <v>1326.25</v>
      </c>
      <c r="G5">
        <v>159686</v>
      </c>
      <c r="H5" s="116"/>
      <c r="I5" s="116"/>
      <c r="L5" s="170">
        <v>43651</v>
      </c>
      <c r="M5" s="116">
        <v>662.77499999999998</v>
      </c>
      <c r="N5" s="116">
        <v>673.85</v>
      </c>
      <c r="O5" s="116">
        <v>652.5</v>
      </c>
      <c r="P5" s="116">
        <v>656.85</v>
      </c>
      <c r="Q5" s="116">
        <v>1325.55</v>
      </c>
      <c r="R5">
        <v>1404682</v>
      </c>
    </row>
    <row r="6" spans="1:18" x14ac:dyDescent="0.25">
      <c r="A6" s="170">
        <v>43654</v>
      </c>
      <c r="B6" s="116">
        <v>683.5</v>
      </c>
      <c r="C6" s="116">
        <v>673.27499999999998</v>
      </c>
      <c r="D6" s="116">
        <v>650.04999999999995</v>
      </c>
      <c r="E6" s="116">
        <v>656.97500000000002</v>
      </c>
      <c r="F6" s="116">
        <v>1346.55</v>
      </c>
      <c r="G6">
        <v>59822</v>
      </c>
      <c r="H6" s="116"/>
      <c r="I6" s="116"/>
      <c r="L6" s="170">
        <v>43654</v>
      </c>
      <c r="M6" s="116">
        <v>673.72500000000002</v>
      </c>
      <c r="N6" s="116">
        <v>684.35</v>
      </c>
      <c r="O6" s="116">
        <v>649.54999999999995</v>
      </c>
      <c r="P6" s="116">
        <v>656</v>
      </c>
      <c r="Q6" s="116">
        <v>1347.45</v>
      </c>
      <c r="R6">
        <v>462941</v>
      </c>
    </row>
    <row r="7" spans="1:18" x14ac:dyDescent="0.25">
      <c r="A7" s="170">
        <v>43655</v>
      </c>
      <c r="B7" s="116">
        <v>677</v>
      </c>
      <c r="C7" s="116">
        <v>663.72500000000002</v>
      </c>
      <c r="D7" s="116">
        <v>657.5</v>
      </c>
      <c r="E7" s="116">
        <v>673.5</v>
      </c>
      <c r="F7" s="116">
        <v>1327.45</v>
      </c>
      <c r="G7">
        <v>22145</v>
      </c>
      <c r="H7" s="116"/>
      <c r="I7" s="116"/>
      <c r="L7" s="170">
        <v>43655</v>
      </c>
      <c r="M7" s="116">
        <v>663.8</v>
      </c>
      <c r="N7" s="116">
        <v>676.85</v>
      </c>
      <c r="O7" s="116">
        <v>660.85</v>
      </c>
      <c r="P7" s="116">
        <v>670</v>
      </c>
      <c r="Q7" s="116">
        <v>1327.6</v>
      </c>
      <c r="R7">
        <v>175884</v>
      </c>
    </row>
    <row r="8" spans="1:18" x14ac:dyDescent="0.25">
      <c r="A8" s="170">
        <v>43656</v>
      </c>
      <c r="B8" s="116">
        <v>669</v>
      </c>
      <c r="C8" s="116">
        <v>662.45</v>
      </c>
      <c r="D8" s="116">
        <v>656.5</v>
      </c>
      <c r="E8" s="116">
        <v>656.5</v>
      </c>
      <c r="F8" s="116">
        <v>1324.9</v>
      </c>
      <c r="G8">
        <v>8714</v>
      </c>
      <c r="H8" s="116"/>
      <c r="I8" s="116"/>
      <c r="L8" s="170">
        <v>43656</v>
      </c>
      <c r="M8" s="116">
        <v>662.625</v>
      </c>
      <c r="N8" s="116">
        <v>668.55</v>
      </c>
      <c r="O8" s="116">
        <v>660.8</v>
      </c>
      <c r="P8" s="116">
        <v>664.9</v>
      </c>
      <c r="Q8" s="116">
        <v>1325.25</v>
      </c>
      <c r="R8">
        <v>63036</v>
      </c>
    </row>
    <row r="9" spans="1:18" x14ac:dyDescent="0.25">
      <c r="A9" s="170">
        <v>43657</v>
      </c>
      <c r="B9" s="116">
        <v>668.5</v>
      </c>
      <c r="C9" s="116">
        <v>662.375</v>
      </c>
      <c r="D9" s="116">
        <v>661.92499999999995</v>
      </c>
      <c r="E9" s="116">
        <v>668.5</v>
      </c>
      <c r="F9" s="116">
        <v>1324.75</v>
      </c>
      <c r="G9">
        <v>4826</v>
      </c>
      <c r="H9" s="116"/>
      <c r="I9" s="116"/>
      <c r="L9" s="170">
        <v>43657</v>
      </c>
      <c r="M9" s="116">
        <v>662.52499999999998</v>
      </c>
      <c r="N9" s="116">
        <v>669</v>
      </c>
      <c r="O9" s="116">
        <v>661.72500000000002</v>
      </c>
      <c r="P9" s="116">
        <v>669</v>
      </c>
      <c r="Q9" s="116">
        <v>1325.05</v>
      </c>
      <c r="R9">
        <v>79357</v>
      </c>
    </row>
    <row r="10" spans="1:18" x14ac:dyDescent="0.25">
      <c r="A10" s="170">
        <v>43658</v>
      </c>
      <c r="B10" s="116">
        <v>670</v>
      </c>
      <c r="C10" s="116">
        <v>650.95000000000005</v>
      </c>
      <c r="D10" s="116">
        <v>623.20000000000005</v>
      </c>
      <c r="E10" s="116">
        <v>663.27499999999998</v>
      </c>
      <c r="F10" s="116">
        <v>1301.9000000000001</v>
      </c>
      <c r="G10">
        <v>34756</v>
      </c>
      <c r="H10" s="116"/>
      <c r="I10" s="116"/>
      <c r="L10" s="170">
        <v>43658</v>
      </c>
      <c r="M10" s="116">
        <v>651.6</v>
      </c>
      <c r="N10" s="116">
        <v>670</v>
      </c>
      <c r="O10" s="116">
        <v>622.5</v>
      </c>
      <c r="P10" s="116">
        <v>662.5</v>
      </c>
      <c r="Q10" s="116">
        <v>1303.2</v>
      </c>
      <c r="R10">
        <v>195375</v>
      </c>
    </row>
    <row r="11" spans="1:18" x14ac:dyDescent="0.25">
      <c r="A11" s="170">
        <v>43661</v>
      </c>
      <c r="B11" s="116">
        <v>661.02499999999998</v>
      </c>
      <c r="C11" s="116">
        <v>634.20000000000005</v>
      </c>
      <c r="D11" s="116">
        <v>630.6</v>
      </c>
      <c r="E11" s="116">
        <v>641</v>
      </c>
      <c r="F11" s="116">
        <v>1268.4000000000001</v>
      </c>
      <c r="G11">
        <v>8955</v>
      </c>
      <c r="H11" s="116"/>
      <c r="I11" s="116"/>
      <c r="L11" s="170">
        <v>43661</v>
      </c>
      <c r="M11" s="116">
        <v>634.5</v>
      </c>
      <c r="N11" s="116">
        <v>661.5</v>
      </c>
      <c r="O11" s="116">
        <v>630</v>
      </c>
      <c r="P11" s="116">
        <v>650</v>
      </c>
      <c r="Q11" s="116">
        <v>1269</v>
      </c>
      <c r="R11">
        <v>55983</v>
      </c>
    </row>
    <row r="12" spans="1:18" x14ac:dyDescent="0.25">
      <c r="A12" s="170">
        <v>43662</v>
      </c>
      <c r="B12" s="116">
        <v>636.97500000000002</v>
      </c>
      <c r="C12" s="116">
        <v>626.29999999999995</v>
      </c>
      <c r="D12" s="116">
        <v>624.4</v>
      </c>
      <c r="E12" s="116">
        <v>636.5</v>
      </c>
      <c r="F12" s="116">
        <v>1252.5999999999999</v>
      </c>
      <c r="G12">
        <v>3316</v>
      </c>
      <c r="H12" s="116"/>
      <c r="I12" s="116"/>
      <c r="L12" s="170">
        <v>43662</v>
      </c>
      <c r="M12" s="116">
        <v>626.22500000000002</v>
      </c>
      <c r="N12" s="116">
        <v>637.97500000000002</v>
      </c>
      <c r="O12" s="116">
        <v>625</v>
      </c>
      <c r="P12" s="116">
        <v>637.42499999999995</v>
      </c>
      <c r="Q12" s="116">
        <v>1252.45</v>
      </c>
      <c r="R12">
        <v>54954</v>
      </c>
    </row>
    <row r="13" spans="1:18" x14ac:dyDescent="0.25">
      <c r="A13" s="170">
        <v>43663</v>
      </c>
      <c r="B13" s="116">
        <v>647.45000000000005</v>
      </c>
      <c r="C13" s="116">
        <v>642.125</v>
      </c>
      <c r="D13" s="116">
        <v>624.5</v>
      </c>
      <c r="E13" s="116">
        <v>627</v>
      </c>
      <c r="F13" s="116">
        <v>1284.25</v>
      </c>
      <c r="G13">
        <v>12901</v>
      </c>
      <c r="H13" s="116"/>
      <c r="I13" s="116"/>
      <c r="L13" s="170">
        <v>43663</v>
      </c>
      <c r="M13" s="116">
        <v>642.04999999999995</v>
      </c>
      <c r="N13" s="116">
        <v>647.625</v>
      </c>
      <c r="O13" s="116">
        <v>623.17499999999995</v>
      </c>
      <c r="P13" s="116">
        <v>628.4</v>
      </c>
      <c r="Q13" s="116">
        <v>1284.0999999999999</v>
      </c>
      <c r="R13">
        <v>101349</v>
      </c>
    </row>
    <row r="14" spans="1:18" x14ac:dyDescent="0.25">
      <c r="A14" s="170">
        <v>43664</v>
      </c>
      <c r="B14" s="116">
        <v>637.5</v>
      </c>
      <c r="C14" s="116">
        <v>632.375</v>
      </c>
      <c r="D14" s="116">
        <v>630.92499999999995</v>
      </c>
      <c r="E14" s="116">
        <v>636.25</v>
      </c>
      <c r="F14" s="116">
        <v>1264.75</v>
      </c>
      <c r="G14">
        <v>1359</v>
      </c>
      <c r="H14" s="116"/>
      <c r="I14" s="116"/>
      <c r="L14" s="170">
        <v>43664</v>
      </c>
      <c r="M14" s="116">
        <v>632.5</v>
      </c>
      <c r="N14" s="116">
        <v>637.5</v>
      </c>
      <c r="O14" s="116">
        <v>631</v>
      </c>
      <c r="P14" s="116">
        <v>637.5</v>
      </c>
      <c r="Q14" s="116">
        <v>1265</v>
      </c>
      <c r="R14">
        <v>35414</v>
      </c>
    </row>
    <row r="15" spans="1:18" x14ac:dyDescent="0.25">
      <c r="A15" s="170">
        <v>43665</v>
      </c>
      <c r="B15" s="116">
        <v>639</v>
      </c>
      <c r="C15" s="116">
        <v>612.65</v>
      </c>
      <c r="D15" s="116">
        <v>611.5</v>
      </c>
      <c r="E15" s="116">
        <v>639</v>
      </c>
      <c r="F15" s="116">
        <v>1225.3</v>
      </c>
      <c r="G15">
        <v>3706</v>
      </c>
      <c r="H15" s="116"/>
      <c r="I15" s="116"/>
      <c r="L15" s="170">
        <v>43665</v>
      </c>
      <c r="M15" s="116">
        <v>612.97500000000002</v>
      </c>
      <c r="N15" s="116">
        <v>636.45000000000005</v>
      </c>
      <c r="O15" s="116">
        <v>612.5</v>
      </c>
      <c r="P15" s="116">
        <v>635.97500000000002</v>
      </c>
      <c r="Q15" s="116">
        <v>1225.95</v>
      </c>
      <c r="R15">
        <v>45659</v>
      </c>
    </row>
    <row r="16" spans="1:18" x14ac:dyDescent="0.25">
      <c r="A16" s="170">
        <v>43668</v>
      </c>
      <c r="B16" s="116">
        <v>613</v>
      </c>
      <c r="C16" s="116">
        <v>603.9</v>
      </c>
      <c r="D16" s="116">
        <v>595.35</v>
      </c>
      <c r="E16" s="116">
        <v>613</v>
      </c>
      <c r="F16" s="116">
        <v>1207.8</v>
      </c>
      <c r="G16">
        <v>2370</v>
      </c>
      <c r="H16" s="116"/>
      <c r="I16" s="116"/>
      <c r="L16" s="170">
        <v>43668</v>
      </c>
      <c r="M16" s="116">
        <v>603.97500000000002</v>
      </c>
      <c r="N16" s="116">
        <v>614.85</v>
      </c>
      <c r="O16" s="116">
        <v>595</v>
      </c>
      <c r="P16" s="116">
        <v>614.85</v>
      </c>
      <c r="Q16" s="116">
        <v>1207.95</v>
      </c>
      <c r="R16">
        <v>28299</v>
      </c>
    </row>
    <row r="17" spans="1:18" x14ac:dyDescent="0.25">
      <c r="A17" s="170">
        <v>43669</v>
      </c>
      <c r="B17" s="116">
        <v>616</v>
      </c>
      <c r="C17" s="116">
        <v>603</v>
      </c>
      <c r="D17" s="116">
        <v>602.54999999999995</v>
      </c>
      <c r="E17" s="116">
        <v>606</v>
      </c>
      <c r="F17" s="116">
        <v>1206</v>
      </c>
      <c r="G17">
        <v>1461</v>
      </c>
      <c r="H17" s="116"/>
      <c r="I17" s="116"/>
      <c r="L17" s="170">
        <v>43669</v>
      </c>
      <c r="M17" s="116">
        <v>605.25</v>
      </c>
      <c r="N17" s="116">
        <v>616.47500000000002</v>
      </c>
      <c r="O17" s="116">
        <v>601.95000000000005</v>
      </c>
      <c r="P17" s="116">
        <v>607.5</v>
      </c>
      <c r="Q17" s="116">
        <v>1210.5</v>
      </c>
      <c r="R17">
        <v>39873</v>
      </c>
    </row>
    <row r="18" spans="1:18" x14ac:dyDescent="0.25">
      <c r="A18" s="170">
        <v>43670</v>
      </c>
      <c r="B18" s="116">
        <v>612.5</v>
      </c>
      <c r="C18" s="116">
        <v>610.42499999999995</v>
      </c>
      <c r="D18" s="116">
        <v>605.02499999999998</v>
      </c>
      <c r="E18" s="116">
        <v>606</v>
      </c>
      <c r="F18" s="116">
        <v>1220.8499999999999</v>
      </c>
      <c r="G18">
        <v>1534</v>
      </c>
      <c r="H18" s="116"/>
      <c r="I18" s="116"/>
      <c r="L18" s="170">
        <v>43670</v>
      </c>
      <c r="M18" s="116">
        <v>608.77499999999998</v>
      </c>
      <c r="N18" s="116">
        <v>614.95000000000005</v>
      </c>
      <c r="O18" s="116">
        <v>605</v>
      </c>
      <c r="P18" s="116">
        <v>605.5</v>
      </c>
      <c r="Q18" s="116">
        <v>1217.55</v>
      </c>
      <c r="R18">
        <v>30270</v>
      </c>
    </row>
    <row r="19" spans="1:18" x14ac:dyDescent="0.25">
      <c r="A19" s="170">
        <v>43671</v>
      </c>
      <c r="B19" s="116">
        <v>631.5</v>
      </c>
      <c r="C19" s="116">
        <v>624.72500000000002</v>
      </c>
      <c r="D19" s="116">
        <v>607.5</v>
      </c>
      <c r="E19" s="116">
        <v>607.5</v>
      </c>
      <c r="F19" s="116">
        <v>1249.45</v>
      </c>
      <c r="G19">
        <v>4198</v>
      </c>
      <c r="H19" s="116"/>
      <c r="I19" s="116"/>
      <c r="L19" s="170">
        <v>43671</v>
      </c>
      <c r="M19" s="116">
        <v>624.82500000000005</v>
      </c>
      <c r="N19" s="116">
        <v>630.5</v>
      </c>
      <c r="O19" s="116">
        <v>605.5</v>
      </c>
      <c r="P19" s="116">
        <v>610</v>
      </c>
      <c r="Q19" s="116">
        <v>1249.6500000000001</v>
      </c>
      <c r="R19">
        <v>39772</v>
      </c>
    </row>
    <row r="20" spans="1:18" x14ac:dyDescent="0.25">
      <c r="A20" s="170">
        <v>43672</v>
      </c>
      <c r="B20" s="116">
        <v>641.5</v>
      </c>
      <c r="C20" s="116">
        <v>609.45000000000005</v>
      </c>
      <c r="D20" s="116">
        <v>602.04999999999995</v>
      </c>
      <c r="E20" s="116">
        <v>618.75</v>
      </c>
      <c r="F20" s="116">
        <v>1218.9000000000001</v>
      </c>
      <c r="G20">
        <v>1422</v>
      </c>
      <c r="H20" s="116"/>
      <c r="I20" s="116"/>
      <c r="L20" s="170">
        <v>43672</v>
      </c>
      <c r="M20" s="116">
        <v>611.4</v>
      </c>
      <c r="N20" s="116">
        <v>642.29999999999995</v>
      </c>
      <c r="O20" s="116">
        <v>602.5</v>
      </c>
      <c r="P20" s="116">
        <v>622.47500000000002</v>
      </c>
      <c r="Q20" s="116">
        <v>1222.8</v>
      </c>
      <c r="R20">
        <v>17368</v>
      </c>
    </row>
    <row r="21" spans="1:18" x14ac:dyDescent="0.25">
      <c r="A21" s="170">
        <v>43675</v>
      </c>
      <c r="B21" s="116">
        <v>612.70000000000005</v>
      </c>
      <c r="C21" s="116">
        <v>602.17499999999995</v>
      </c>
      <c r="D21" s="116">
        <v>600</v>
      </c>
      <c r="E21" s="116">
        <v>609</v>
      </c>
      <c r="F21" s="116">
        <v>1204.3499999999999</v>
      </c>
      <c r="G21">
        <v>1096</v>
      </c>
      <c r="H21" s="116"/>
      <c r="I21" s="116"/>
      <c r="L21" s="170">
        <v>43675</v>
      </c>
      <c r="M21" s="116">
        <v>602.82500000000005</v>
      </c>
      <c r="N21" s="116">
        <v>612.47500000000002</v>
      </c>
      <c r="O21" s="116">
        <v>600</v>
      </c>
      <c r="P21" s="116">
        <v>608.5</v>
      </c>
      <c r="Q21" s="116">
        <v>1205.6500000000001</v>
      </c>
      <c r="R21">
        <v>14417</v>
      </c>
    </row>
    <row r="22" spans="1:18" x14ac:dyDescent="0.25">
      <c r="A22" s="170">
        <v>43676</v>
      </c>
      <c r="B22" s="116">
        <v>620.52499999999998</v>
      </c>
      <c r="C22" s="116">
        <v>614.29999999999995</v>
      </c>
      <c r="D22" s="116">
        <v>596.15</v>
      </c>
      <c r="E22" s="116">
        <v>603.75</v>
      </c>
      <c r="F22" s="116">
        <v>1228.5999999999999</v>
      </c>
      <c r="G22">
        <v>2368</v>
      </c>
      <c r="H22" s="116"/>
      <c r="I22" s="116"/>
      <c r="L22" s="170">
        <v>43676</v>
      </c>
      <c r="M22" s="116">
        <v>612.125</v>
      </c>
      <c r="N22" s="116">
        <v>620.02499999999998</v>
      </c>
      <c r="O22" s="116">
        <v>594</v>
      </c>
      <c r="P22" s="116">
        <v>605.45000000000005</v>
      </c>
      <c r="Q22" s="116">
        <v>1224.25</v>
      </c>
      <c r="R22">
        <v>35577</v>
      </c>
    </row>
    <row r="23" spans="1:18" x14ac:dyDescent="0.25">
      <c r="A23" s="170">
        <v>43677</v>
      </c>
      <c r="B23" s="116">
        <v>620</v>
      </c>
      <c r="C23" s="116">
        <v>601.42499999999995</v>
      </c>
      <c r="D23" s="116">
        <v>586.72500000000002</v>
      </c>
      <c r="E23" s="116">
        <v>606.77499999999998</v>
      </c>
      <c r="F23" s="116">
        <v>1202.8499999999999</v>
      </c>
      <c r="G23">
        <v>2689</v>
      </c>
      <c r="H23" s="116"/>
      <c r="I23" s="116"/>
      <c r="L23" s="170">
        <v>43677</v>
      </c>
      <c r="M23" s="116">
        <v>601.85</v>
      </c>
      <c r="N23" s="116">
        <v>612</v>
      </c>
      <c r="O23" s="116">
        <v>595.5</v>
      </c>
      <c r="P23" s="116">
        <v>612</v>
      </c>
      <c r="Q23" s="116">
        <v>1203.7</v>
      </c>
      <c r="R23">
        <v>22083</v>
      </c>
    </row>
    <row r="24" spans="1:18" x14ac:dyDescent="0.25">
      <c r="A24" s="170">
        <v>43678</v>
      </c>
      <c r="B24" s="116">
        <v>636.85</v>
      </c>
      <c r="C24" s="116">
        <v>609.82500000000005</v>
      </c>
      <c r="D24" s="116">
        <v>600.47500000000002</v>
      </c>
      <c r="E24" s="116">
        <v>625</v>
      </c>
      <c r="F24" s="116">
        <v>1219.6500000000001</v>
      </c>
      <c r="G24">
        <v>5433</v>
      </c>
      <c r="H24" s="116"/>
      <c r="I24" s="116"/>
      <c r="L24" s="170">
        <v>43678</v>
      </c>
      <c r="M24" s="116">
        <v>608.67499999999995</v>
      </c>
      <c r="N24" s="116">
        <v>637.92499999999995</v>
      </c>
      <c r="O24" s="116">
        <v>600</v>
      </c>
      <c r="P24" s="116">
        <v>630</v>
      </c>
      <c r="Q24" s="116">
        <v>1217.3499999999999</v>
      </c>
      <c r="R24">
        <v>295616</v>
      </c>
    </row>
    <row r="25" spans="1:18" x14ac:dyDescent="0.25">
      <c r="A25" s="170">
        <v>43679</v>
      </c>
      <c r="B25" s="116">
        <v>620</v>
      </c>
      <c r="C25" s="116">
        <v>615.52499999999998</v>
      </c>
      <c r="D25" s="116">
        <v>596</v>
      </c>
      <c r="E25" s="116">
        <v>618</v>
      </c>
      <c r="F25" s="116">
        <v>1231.05</v>
      </c>
      <c r="G25">
        <v>88212</v>
      </c>
      <c r="H25" s="116"/>
      <c r="I25" s="116"/>
      <c r="L25" s="170">
        <v>43679</v>
      </c>
      <c r="M25" s="116">
        <v>614.75</v>
      </c>
      <c r="N25" s="116">
        <v>621</v>
      </c>
      <c r="O25" s="116">
        <v>597.02499999999998</v>
      </c>
      <c r="P25" s="116">
        <v>614.5</v>
      </c>
      <c r="Q25" s="116">
        <v>1229.5</v>
      </c>
      <c r="R25">
        <v>187393</v>
      </c>
    </row>
    <row r="26" spans="1:18" x14ac:dyDescent="0.25">
      <c r="A26" s="170">
        <v>43682</v>
      </c>
      <c r="B26" s="116">
        <v>611.375</v>
      </c>
      <c r="C26" s="116">
        <v>595.35</v>
      </c>
      <c r="D26" s="116">
        <v>593.70000000000005</v>
      </c>
      <c r="E26" s="116">
        <v>600.1</v>
      </c>
      <c r="F26" s="116">
        <v>1190.7</v>
      </c>
      <c r="G26">
        <v>1099</v>
      </c>
      <c r="H26" s="116"/>
      <c r="I26" s="116"/>
      <c r="L26" s="170">
        <v>43682</v>
      </c>
      <c r="M26" s="116">
        <v>595.04999999999995</v>
      </c>
      <c r="N26" s="116">
        <v>612.52499999999998</v>
      </c>
      <c r="O26" s="116">
        <v>592</v>
      </c>
      <c r="P26" s="116">
        <v>612.5</v>
      </c>
      <c r="Q26" s="116">
        <v>1190.0999999999999</v>
      </c>
      <c r="R26">
        <v>47072</v>
      </c>
    </row>
    <row r="27" spans="1:18" x14ac:dyDescent="0.25">
      <c r="A27" s="170">
        <v>43683</v>
      </c>
      <c r="B27" s="116">
        <v>603.875</v>
      </c>
      <c r="C27" s="116">
        <v>595.70000000000005</v>
      </c>
      <c r="D27" s="116">
        <v>592.17499999999995</v>
      </c>
      <c r="E27" s="116">
        <v>595</v>
      </c>
      <c r="F27" s="116">
        <v>1191.4000000000001</v>
      </c>
      <c r="G27">
        <v>1365</v>
      </c>
      <c r="H27" s="116"/>
      <c r="I27" s="116"/>
      <c r="L27" s="170">
        <v>43683</v>
      </c>
      <c r="M27" s="116">
        <v>596.65</v>
      </c>
      <c r="N27" s="116">
        <v>604.25</v>
      </c>
      <c r="O27" s="116">
        <v>592.75</v>
      </c>
      <c r="P27" s="116">
        <v>594</v>
      </c>
      <c r="Q27" s="116">
        <v>1193.3</v>
      </c>
      <c r="R27">
        <v>23403</v>
      </c>
    </row>
    <row r="28" spans="1:18" x14ac:dyDescent="0.25">
      <c r="A28" s="170">
        <v>43684</v>
      </c>
      <c r="B28" s="116">
        <v>600.6</v>
      </c>
      <c r="C28" s="116">
        <v>599.70000000000005</v>
      </c>
      <c r="D28" s="116">
        <v>596.45000000000005</v>
      </c>
      <c r="E28" s="116">
        <v>598</v>
      </c>
      <c r="F28" s="116">
        <v>1199.4000000000001</v>
      </c>
      <c r="G28">
        <v>835</v>
      </c>
      <c r="H28" s="116"/>
      <c r="I28" s="116"/>
      <c r="L28" s="170">
        <v>43684</v>
      </c>
      <c r="M28" s="116">
        <v>599.97500000000002</v>
      </c>
      <c r="N28" s="116">
        <v>603.5</v>
      </c>
      <c r="O28" s="116">
        <v>596</v>
      </c>
      <c r="P28" s="116">
        <v>603.5</v>
      </c>
      <c r="Q28" s="116">
        <v>1199.95</v>
      </c>
      <c r="R28">
        <v>101004</v>
      </c>
    </row>
    <row r="29" spans="1:18" x14ac:dyDescent="0.25">
      <c r="A29" s="170">
        <v>43685</v>
      </c>
      <c r="B29" s="116">
        <v>602.4</v>
      </c>
      <c r="C29" s="116">
        <v>585</v>
      </c>
      <c r="D29" s="116">
        <v>551.375</v>
      </c>
      <c r="E29" s="116">
        <v>581.5</v>
      </c>
      <c r="F29" s="116">
        <v>1170</v>
      </c>
      <c r="G29">
        <v>1738</v>
      </c>
      <c r="H29" s="116"/>
      <c r="I29" s="116"/>
      <c r="L29" s="170">
        <v>43685</v>
      </c>
      <c r="M29" s="116">
        <v>585.02499999999998</v>
      </c>
      <c r="N29" s="116">
        <v>600.97500000000002</v>
      </c>
      <c r="O29" s="116">
        <v>551.47500000000002</v>
      </c>
      <c r="P29" s="116">
        <v>598.5</v>
      </c>
      <c r="Q29" s="116">
        <v>1170.05</v>
      </c>
      <c r="R29">
        <v>42802</v>
      </c>
    </row>
    <row r="30" spans="1:18" x14ac:dyDescent="0.25">
      <c r="A30" s="170">
        <v>43686</v>
      </c>
      <c r="B30" s="116">
        <v>598</v>
      </c>
      <c r="C30" s="116">
        <v>585.77499999999998</v>
      </c>
      <c r="D30" s="116">
        <v>577.75</v>
      </c>
      <c r="E30" s="116">
        <v>588.5</v>
      </c>
      <c r="F30" s="116">
        <v>1171.55</v>
      </c>
      <c r="G30">
        <v>1588</v>
      </c>
      <c r="H30" s="116"/>
      <c r="I30" s="116"/>
      <c r="L30" s="170">
        <v>43686</v>
      </c>
      <c r="M30" s="116">
        <v>585.15</v>
      </c>
      <c r="N30" s="116">
        <v>599</v>
      </c>
      <c r="O30" s="116">
        <v>577.375</v>
      </c>
      <c r="P30" s="116">
        <v>587.5</v>
      </c>
      <c r="Q30" s="116">
        <v>1170.3</v>
      </c>
      <c r="R30">
        <v>21870</v>
      </c>
    </row>
    <row r="31" spans="1:18" x14ac:dyDescent="0.25">
      <c r="A31" s="170">
        <v>43690</v>
      </c>
      <c r="B31" s="116">
        <v>588.47500000000002</v>
      </c>
      <c r="C31" s="116">
        <v>580.54999999999995</v>
      </c>
      <c r="D31" s="116">
        <v>577.17499999999995</v>
      </c>
      <c r="E31" s="116">
        <v>587.5</v>
      </c>
      <c r="F31" s="116">
        <v>1161.0999999999999</v>
      </c>
      <c r="G31">
        <v>320</v>
      </c>
      <c r="H31" s="116"/>
      <c r="I31" s="116"/>
      <c r="L31" s="170">
        <v>43690</v>
      </c>
      <c r="M31" s="116">
        <v>580.125</v>
      </c>
      <c r="N31" s="116">
        <v>593.5</v>
      </c>
      <c r="O31" s="116">
        <v>576.02499999999998</v>
      </c>
      <c r="P31" s="116">
        <v>592</v>
      </c>
      <c r="Q31" s="116">
        <v>1160.25</v>
      </c>
      <c r="R31">
        <v>38004</v>
      </c>
    </row>
    <row r="32" spans="1:18" x14ac:dyDescent="0.25">
      <c r="A32" s="170">
        <v>43691</v>
      </c>
      <c r="B32" s="116">
        <v>585.5</v>
      </c>
      <c r="C32" s="116">
        <v>566.54999999999995</v>
      </c>
      <c r="D32" s="116">
        <v>556</v>
      </c>
      <c r="E32" s="116">
        <v>581.75</v>
      </c>
      <c r="F32" s="116">
        <v>1133.0999999999999</v>
      </c>
      <c r="G32">
        <v>753</v>
      </c>
      <c r="H32" s="116"/>
      <c r="I32" s="116"/>
      <c r="L32" s="170">
        <v>43691</v>
      </c>
      <c r="M32" s="116">
        <v>566.29999999999995</v>
      </c>
      <c r="N32" s="116">
        <v>587.375</v>
      </c>
      <c r="O32" s="116">
        <v>553.27499999999998</v>
      </c>
      <c r="P32" s="116">
        <v>587.375</v>
      </c>
      <c r="Q32" s="116">
        <v>1132.5999999999999</v>
      </c>
      <c r="R32">
        <v>18703</v>
      </c>
    </row>
    <row r="33" spans="1:18" x14ac:dyDescent="0.25">
      <c r="A33" s="170">
        <v>43693</v>
      </c>
      <c r="B33" s="116">
        <v>585</v>
      </c>
      <c r="C33" s="116">
        <v>575.6</v>
      </c>
      <c r="D33" s="116">
        <v>556.85</v>
      </c>
      <c r="E33" s="116">
        <v>562.07500000000005</v>
      </c>
      <c r="F33" s="116">
        <v>1151.2</v>
      </c>
      <c r="G33">
        <v>935</v>
      </c>
      <c r="H33" s="116"/>
      <c r="I33" s="116"/>
      <c r="L33" s="170">
        <v>43693</v>
      </c>
      <c r="M33" s="116">
        <v>574.95000000000005</v>
      </c>
      <c r="N33" s="116">
        <v>585</v>
      </c>
      <c r="O33" s="116">
        <v>557.4</v>
      </c>
      <c r="P33" s="116">
        <v>565</v>
      </c>
      <c r="Q33" s="116">
        <v>1149.9000000000001</v>
      </c>
      <c r="R33">
        <v>21968</v>
      </c>
    </row>
    <row r="34" spans="1:18" x14ac:dyDescent="0.25">
      <c r="A34" s="170">
        <v>43696</v>
      </c>
      <c r="B34" s="116">
        <v>589</v>
      </c>
      <c r="C34" s="116">
        <v>587.47500000000002</v>
      </c>
      <c r="D34" s="116">
        <v>574.02499999999998</v>
      </c>
      <c r="E34" s="116">
        <v>579.92499999999995</v>
      </c>
      <c r="F34" s="116">
        <v>1174.95</v>
      </c>
      <c r="G34">
        <v>680</v>
      </c>
      <c r="H34" s="116"/>
      <c r="I34" s="116"/>
      <c r="L34" s="170">
        <v>43696</v>
      </c>
      <c r="M34" s="116">
        <v>588.22500000000002</v>
      </c>
      <c r="N34" s="116">
        <v>590</v>
      </c>
      <c r="O34" s="116">
        <v>573.97500000000002</v>
      </c>
      <c r="P34" s="116">
        <v>575.125</v>
      </c>
      <c r="Q34" s="116">
        <v>1176.45</v>
      </c>
      <c r="R34">
        <v>27460</v>
      </c>
    </row>
    <row r="35" spans="1:18" x14ac:dyDescent="0.25">
      <c r="A35" s="170">
        <v>43697</v>
      </c>
      <c r="B35" s="116">
        <v>596.47500000000002</v>
      </c>
      <c r="C35" s="116">
        <v>583.02499999999998</v>
      </c>
      <c r="D35" s="116">
        <v>577.77499999999998</v>
      </c>
      <c r="E35" s="116">
        <v>591.15</v>
      </c>
      <c r="F35" s="116">
        <v>1166.05</v>
      </c>
      <c r="G35">
        <v>465</v>
      </c>
      <c r="H35" s="116"/>
      <c r="I35" s="116"/>
      <c r="L35" s="170">
        <v>43697</v>
      </c>
      <c r="M35" s="116">
        <v>582.75</v>
      </c>
      <c r="N35" s="116">
        <v>597.47500000000002</v>
      </c>
      <c r="O35" s="116">
        <v>577.6</v>
      </c>
      <c r="P35" s="116">
        <v>592</v>
      </c>
      <c r="Q35" s="116">
        <v>1165.5</v>
      </c>
      <c r="R35">
        <v>12324</v>
      </c>
    </row>
    <row r="36" spans="1:18" x14ac:dyDescent="0.25">
      <c r="A36" s="170">
        <v>43698</v>
      </c>
      <c r="B36" s="116">
        <v>583.4</v>
      </c>
      <c r="C36" s="116">
        <v>574.02499999999998</v>
      </c>
      <c r="D36" s="116">
        <v>571.82500000000005</v>
      </c>
      <c r="E36" s="116">
        <v>581.17499999999995</v>
      </c>
      <c r="F36" s="116">
        <v>1148.05</v>
      </c>
      <c r="G36">
        <v>505</v>
      </c>
      <c r="H36" s="116"/>
      <c r="I36" s="116"/>
      <c r="L36" s="170">
        <v>43698</v>
      </c>
      <c r="M36" s="116">
        <v>573.97500000000002</v>
      </c>
      <c r="N36" s="116">
        <v>586.97500000000002</v>
      </c>
      <c r="O36" s="116">
        <v>570</v>
      </c>
      <c r="P36" s="116">
        <v>586.97500000000002</v>
      </c>
      <c r="Q36" s="116">
        <v>1147.95</v>
      </c>
      <c r="R36">
        <v>6731</v>
      </c>
    </row>
    <row r="37" spans="1:18" x14ac:dyDescent="0.25">
      <c r="A37" s="170">
        <v>43699</v>
      </c>
      <c r="B37" s="116">
        <v>589.5</v>
      </c>
      <c r="C37" s="116">
        <v>574.79999999999995</v>
      </c>
      <c r="D37" s="116">
        <v>557.5</v>
      </c>
      <c r="E37" s="116">
        <v>589.5</v>
      </c>
      <c r="F37" s="116">
        <v>1149.5999999999999</v>
      </c>
      <c r="G37">
        <v>1022</v>
      </c>
      <c r="H37" s="116"/>
      <c r="I37" s="116"/>
      <c r="L37" s="170">
        <v>43699</v>
      </c>
      <c r="M37" s="116">
        <v>575.15</v>
      </c>
      <c r="N37" s="116">
        <v>580</v>
      </c>
      <c r="O37" s="116">
        <v>555</v>
      </c>
      <c r="P37" s="116">
        <v>573.97500000000002</v>
      </c>
      <c r="Q37" s="116">
        <v>1150.3</v>
      </c>
      <c r="R37">
        <v>16447</v>
      </c>
    </row>
    <row r="38" spans="1:18" x14ac:dyDescent="0.25">
      <c r="A38" s="170">
        <v>43700</v>
      </c>
      <c r="B38" s="116">
        <v>579.1</v>
      </c>
      <c r="C38" s="116">
        <v>575.95000000000005</v>
      </c>
      <c r="D38" s="116">
        <v>565.67499999999995</v>
      </c>
      <c r="E38" s="116">
        <v>565.67499999999995</v>
      </c>
      <c r="F38" s="116">
        <v>1151.9000000000001</v>
      </c>
      <c r="G38">
        <v>627</v>
      </c>
      <c r="H38" s="116"/>
      <c r="I38" s="116"/>
      <c r="L38" s="170">
        <v>43700</v>
      </c>
      <c r="M38" s="116">
        <v>576.35</v>
      </c>
      <c r="N38" s="116">
        <v>580</v>
      </c>
      <c r="O38" s="116">
        <v>565.02499999999998</v>
      </c>
      <c r="P38" s="116">
        <v>575</v>
      </c>
      <c r="Q38" s="116">
        <v>1152.7</v>
      </c>
      <c r="R38">
        <v>7353</v>
      </c>
    </row>
    <row r="39" spans="1:18" x14ac:dyDescent="0.25">
      <c r="A39" s="170">
        <v>43703</v>
      </c>
      <c r="B39" s="116">
        <v>587.5</v>
      </c>
      <c r="C39" s="116">
        <v>579.6</v>
      </c>
      <c r="D39" s="116">
        <v>576</v>
      </c>
      <c r="E39" s="116">
        <v>587.5</v>
      </c>
      <c r="F39" s="116">
        <v>1159.2</v>
      </c>
      <c r="G39">
        <v>711</v>
      </c>
      <c r="H39" s="116"/>
      <c r="I39" s="116"/>
      <c r="L39" s="170">
        <v>43703</v>
      </c>
      <c r="M39" s="116">
        <v>580.15</v>
      </c>
      <c r="N39" s="116">
        <v>589.95000000000005</v>
      </c>
      <c r="O39" s="116">
        <v>575</v>
      </c>
      <c r="P39" s="116">
        <v>589.95000000000005</v>
      </c>
      <c r="Q39" s="116">
        <v>1160.3</v>
      </c>
      <c r="R39">
        <v>14096</v>
      </c>
    </row>
    <row r="40" spans="1:18" x14ac:dyDescent="0.25">
      <c r="A40" s="170">
        <v>43704</v>
      </c>
      <c r="B40" s="116">
        <v>592.47500000000002</v>
      </c>
      <c r="C40" s="116">
        <v>586.79999999999995</v>
      </c>
      <c r="D40" s="116">
        <v>580.5</v>
      </c>
      <c r="E40" s="116">
        <v>583.27499999999998</v>
      </c>
      <c r="F40" s="116">
        <v>1173.5999999999999</v>
      </c>
      <c r="G40">
        <v>647</v>
      </c>
      <c r="H40" s="116"/>
      <c r="I40" s="116"/>
      <c r="L40" s="170">
        <v>43704</v>
      </c>
      <c r="M40" s="116">
        <v>587.02499999999998</v>
      </c>
      <c r="N40" s="116">
        <v>592.5</v>
      </c>
      <c r="O40" s="116">
        <v>580</v>
      </c>
      <c r="P40" s="116">
        <v>588.35</v>
      </c>
      <c r="Q40" s="116">
        <v>1174.05</v>
      </c>
      <c r="R40">
        <v>28571</v>
      </c>
    </row>
    <row r="41" spans="1:18" x14ac:dyDescent="0.25">
      <c r="A41" s="170">
        <v>43705</v>
      </c>
      <c r="B41" s="116">
        <v>589.6</v>
      </c>
      <c r="C41" s="116">
        <v>577.42499999999995</v>
      </c>
      <c r="D41" s="116">
        <v>476</v>
      </c>
      <c r="E41" s="116">
        <v>476</v>
      </c>
      <c r="F41" s="116">
        <v>1154.8499999999999</v>
      </c>
      <c r="G41">
        <v>5056</v>
      </c>
      <c r="H41" s="116"/>
      <c r="I41" s="116"/>
      <c r="L41" s="170">
        <v>43705</v>
      </c>
      <c r="M41" s="116">
        <v>579.65</v>
      </c>
      <c r="N41" s="116">
        <v>590</v>
      </c>
      <c r="O41" s="116">
        <v>574.04999999999995</v>
      </c>
      <c r="P41" s="116">
        <v>585</v>
      </c>
      <c r="Q41" s="116">
        <v>1159.3</v>
      </c>
      <c r="R41">
        <v>10213</v>
      </c>
    </row>
    <row r="42" spans="1:18" x14ac:dyDescent="0.25">
      <c r="A42" s="170">
        <v>43706</v>
      </c>
      <c r="B42" s="116">
        <v>604.04999999999995</v>
      </c>
      <c r="C42" s="116">
        <v>594.52499999999998</v>
      </c>
      <c r="D42" s="116">
        <v>577.5</v>
      </c>
      <c r="E42" s="116">
        <v>580</v>
      </c>
      <c r="F42" s="116">
        <v>1189.05</v>
      </c>
      <c r="G42">
        <v>1385</v>
      </c>
      <c r="H42" s="116"/>
      <c r="I42" s="116"/>
      <c r="L42" s="170">
        <v>43706</v>
      </c>
      <c r="M42" s="116">
        <v>593.9</v>
      </c>
      <c r="N42" s="116">
        <v>603.20000000000005</v>
      </c>
      <c r="O42" s="116">
        <v>572.625</v>
      </c>
      <c r="P42" s="116">
        <v>581.92499999999995</v>
      </c>
      <c r="Q42" s="116">
        <v>1187.8</v>
      </c>
      <c r="R42">
        <v>41111</v>
      </c>
    </row>
    <row r="43" spans="1:18" x14ac:dyDescent="0.25">
      <c r="A43" s="170">
        <v>43707</v>
      </c>
      <c r="B43" s="116">
        <v>604.75</v>
      </c>
      <c r="C43" s="116">
        <v>601.27499999999998</v>
      </c>
      <c r="D43" s="116">
        <v>579.54999999999995</v>
      </c>
      <c r="E43" s="116">
        <v>594.875</v>
      </c>
      <c r="F43" s="116">
        <v>1202.55</v>
      </c>
      <c r="G43">
        <v>2269</v>
      </c>
      <c r="H43" s="116"/>
      <c r="I43" s="116"/>
      <c r="L43" s="170">
        <v>43707</v>
      </c>
      <c r="M43" s="116">
        <v>600.02499999999998</v>
      </c>
      <c r="N43" s="116">
        <v>604.92499999999995</v>
      </c>
      <c r="O43" s="116">
        <v>565.15</v>
      </c>
      <c r="P43" s="116">
        <v>585.625</v>
      </c>
      <c r="Q43" s="116">
        <v>1200.05</v>
      </c>
      <c r="R43">
        <v>44996</v>
      </c>
    </row>
    <row r="44" spans="1:18" x14ac:dyDescent="0.25">
      <c r="A44" s="170">
        <v>43711</v>
      </c>
      <c r="B44" s="116">
        <v>602.15</v>
      </c>
      <c r="C44" s="116">
        <v>599.20000000000005</v>
      </c>
      <c r="D44" s="116">
        <v>594.6</v>
      </c>
      <c r="E44" s="116">
        <v>598.4</v>
      </c>
      <c r="F44" s="116">
        <v>1198.4000000000001</v>
      </c>
      <c r="G44">
        <v>393</v>
      </c>
      <c r="H44" s="116"/>
      <c r="I44" s="116"/>
      <c r="L44" s="170">
        <v>43711</v>
      </c>
      <c r="M44" s="116">
        <v>600.02499999999998</v>
      </c>
      <c r="N44" s="116">
        <v>605</v>
      </c>
      <c r="O44" s="116">
        <v>580</v>
      </c>
      <c r="P44" s="116">
        <v>599.97500000000002</v>
      </c>
      <c r="Q44" s="116">
        <v>1200.05</v>
      </c>
      <c r="R44">
        <v>15044</v>
      </c>
    </row>
    <row r="45" spans="1:18" x14ac:dyDescent="0.25">
      <c r="A45" s="170">
        <v>43712</v>
      </c>
      <c r="B45" s="116">
        <v>624.875</v>
      </c>
      <c r="C45" s="116">
        <v>612.1</v>
      </c>
      <c r="D45" s="116">
        <v>597.875</v>
      </c>
      <c r="E45" s="116">
        <v>599.9</v>
      </c>
      <c r="F45" s="116">
        <v>1224.2</v>
      </c>
      <c r="G45">
        <v>2235</v>
      </c>
      <c r="H45" s="116"/>
      <c r="I45" s="116"/>
      <c r="L45" s="170">
        <v>43712</v>
      </c>
      <c r="M45" s="116">
        <v>610.17499999999995</v>
      </c>
      <c r="N45" s="116">
        <v>625</v>
      </c>
      <c r="O45" s="116">
        <v>596.54999999999995</v>
      </c>
      <c r="P45" s="116">
        <v>606.95000000000005</v>
      </c>
      <c r="Q45" s="116">
        <v>1220.3499999999999</v>
      </c>
      <c r="R45">
        <v>57802</v>
      </c>
    </row>
    <row r="46" spans="1:18" x14ac:dyDescent="0.25">
      <c r="A46" s="170">
        <v>43713</v>
      </c>
      <c r="B46" s="116">
        <v>624.97500000000002</v>
      </c>
      <c r="C46" s="116">
        <v>617.6</v>
      </c>
      <c r="D46" s="116">
        <v>608.5</v>
      </c>
      <c r="E46" s="116">
        <v>613.375</v>
      </c>
      <c r="F46" s="116">
        <v>1235.2</v>
      </c>
      <c r="G46">
        <v>2012</v>
      </c>
      <c r="H46" s="116"/>
      <c r="I46" s="116"/>
      <c r="L46" s="170">
        <v>43713</v>
      </c>
      <c r="M46" s="116">
        <v>618.07500000000005</v>
      </c>
      <c r="N46" s="116">
        <v>624.95000000000005</v>
      </c>
      <c r="O46" s="116">
        <v>608.65</v>
      </c>
      <c r="P46" s="116">
        <v>617.35</v>
      </c>
      <c r="Q46" s="116">
        <v>1236.1500000000001</v>
      </c>
      <c r="R46">
        <v>123770</v>
      </c>
    </row>
    <row r="47" spans="1:18" x14ac:dyDescent="0.25">
      <c r="A47" s="170">
        <v>43714</v>
      </c>
      <c r="B47" s="116">
        <v>741.1</v>
      </c>
      <c r="C47" s="116">
        <v>722.9</v>
      </c>
      <c r="D47" s="116">
        <v>600.75</v>
      </c>
      <c r="E47" s="116">
        <v>600.75</v>
      </c>
      <c r="F47" s="116">
        <v>1445.8</v>
      </c>
      <c r="G47">
        <v>21115</v>
      </c>
      <c r="H47" s="116"/>
      <c r="I47" s="116"/>
      <c r="L47" s="170">
        <v>43714</v>
      </c>
      <c r="M47" s="116">
        <v>723.6</v>
      </c>
      <c r="N47" s="116">
        <v>741.67499999999995</v>
      </c>
      <c r="O47" s="116">
        <v>618.5</v>
      </c>
      <c r="P47" s="116">
        <v>619.97500000000002</v>
      </c>
      <c r="Q47" s="116">
        <v>1447.2</v>
      </c>
      <c r="R47">
        <v>273080</v>
      </c>
    </row>
    <row r="48" spans="1:18" x14ac:dyDescent="0.25">
      <c r="A48" s="170">
        <v>43717</v>
      </c>
      <c r="B48" s="116">
        <v>859</v>
      </c>
      <c r="C48" s="116">
        <v>804.57500000000005</v>
      </c>
      <c r="D48" s="116">
        <v>728</v>
      </c>
      <c r="E48" s="116">
        <v>730</v>
      </c>
      <c r="F48" s="116">
        <v>1609.15</v>
      </c>
      <c r="G48">
        <v>128987</v>
      </c>
      <c r="H48" s="116"/>
      <c r="I48" s="116"/>
      <c r="L48" s="170">
        <v>43717</v>
      </c>
      <c r="M48" s="116">
        <v>805.35</v>
      </c>
      <c r="N48" s="116">
        <v>857.5</v>
      </c>
      <c r="O48" s="116">
        <v>725.05</v>
      </c>
      <c r="P48" s="116">
        <v>731.67499999999995</v>
      </c>
      <c r="Q48" s="116">
        <v>1610.7</v>
      </c>
      <c r="R48">
        <v>686412</v>
      </c>
    </row>
    <row r="49" spans="1:18" x14ac:dyDescent="0.25">
      <c r="A49" s="170">
        <v>43719</v>
      </c>
      <c r="B49" s="116">
        <v>838.25</v>
      </c>
      <c r="C49" s="116">
        <v>798.82500000000005</v>
      </c>
      <c r="D49" s="116">
        <v>790.22500000000002</v>
      </c>
      <c r="E49" s="116">
        <v>805</v>
      </c>
      <c r="F49" s="116">
        <v>1597.65</v>
      </c>
      <c r="G49">
        <v>24814</v>
      </c>
      <c r="H49" s="116"/>
      <c r="I49" s="116"/>
      <c r="L49" s="170">
        <v>43719</v>
      </c>
      <c r="M49" s="116">
        <v>800.15</v>
      </c>
      <c r="N49" s="116">
        <v>835.95</v>
      </c>
      <c r="O49" s="116">
        <v>791.125</v>
      </c>
      <c r="P49" s="116">
        <v>801.5</v>
      </c>
      <c r="Q49" s="116">
        <v>1600.3</v>
      </c>
      <c r="R49">
        <v>251858</v>
      </c>
    </row>
    <row r="50" spans="1:18" x14ac:dyDescent="0.25">
      <c r="A50" s="170">
        <v>43720</v>
      </c>
      <c r="B50" s="116">
        <v>825</v>
      </c>
      <c r="C50" s="116">
        <v>811.75</v>
      </c>
      <c r="D50" s="116">
        <v>774.05</v>
      </c>
      <c r="E50" s="116">
        <v>805</v>
      </c>
      <c r="F50" s="116">
        <v>1623.5</v>
      </c>
      <c r="G50">
        <v>9217</v>
      </c>
      <c r="H50" s="116"/>
      <c r="I50" s="116"/>
      <c r="L50" s="170">
        <v>43720</v>
      </c>
      <c r="M50" s="116">
        <v>808.97500000000002</v>
      </c>
      <c r="N50" s="116">
        <v>825</v>
      </c>
      <c r="O50" s="116">
        <v>770.5</v>
      </c>
      <c r="P50" s="116">
        <v>807.5</v>
      </c>
      <c r="Q50" s="116">
        <v>1617.95</v>
      </c>
      <c r="R50">
        <v>97318</v>
      </c>
    </row>
    <row r="51" spans="1:18" x14ac:dyDescent="0.25">
      <c r="A51" s="170">
        <v>43721</v>
      </c>
      <c r="B51" s="116">
        <v>832.17499999999995</v>
      </c>
      <c r="C51" s="116">
        <v>812.65</v>
      </c>
      <c r="D51" s="116">
        <v>794.625</v>
      </c>
      <c r="E51" s="116">
        <v>811.75</v>
      </c>
      <c r="F51" s="116">
        <v>1625.3</v>
      </c>
      <c r="G51">
        <v>4020</v>
      </c>
      <c r="H51" s="116"/>
      <c r="I51" s="116"/>
      <c r="L51" s="170">
        <v>43721</v>
      </c>
      <c r="M51" s="116">
        <v>811.75</v>
      </c>
      <c r="N51" s="116">
        <v>832.5</v>
      </c>
      <c r="O51" s="116">
        <v>793.97500000000002</v>
      </c>
      <c r="P51" s="116">
        <v>814.95</v>
      </c>
      <c r="Q51" s="116">
        <v>1623.5</v>
      </c>
      <c r="R51">
        <v>100289</v>
      </c>
    </row>
    <row r="52" spans="1:18" x14ac:dyDescent="0.25">
      <c r="A52" s="170">
        <v>43724</v>
      </c>
      <c r="B52" s="116">
        <v>831.67499999999995</v>
      </c>
      <c r="C52" s="116">
        <v>826.07500000000005</v>
      </c>
      <c r="D52" s="116">
        <v>801.67499999999995</v>
      </c>
      <c r="E52" s="116">
        <v>812.5</v>
      </c>
      <c r="F52" s="116">
        <v>1652.15</v>
      </c>
      <c r="G52">
        <v>8331</v>
      </c>
      <c r="H52" s="116"/>
      <c r="I52" s="116"/>
      <c r="L52" s="170">
        <v>43724</v>
      </c>
      <c r="M52" s="116">
        <v>825.1</v>
      </c>
      <c r="N52" s="116">
        <v>832.5</v>
      </c>
      <c r="O52" s="116">
        <v>800</v>
      </c>
      <c r="P52" s="116">
        <v>811.75</v>
      </c>
      <c r="Q52" s="116">
        <v>1650.2</v>
      </c>
      <c r="R52">
        <v>49344</v>
      </c>
    </row>
    <row r="53" spans="1:18" x14ac:dyDescent="0.25">
      <c r="A53" s="170">
        <v>43725</v>
      </c>
      <c r="B53" s="116">
        <v>862.5</v>
      </c>
      <c r="C53" s="116">
        <v>846.32500000000005</v>
      </c>
      <c r="D53" s="116">
        <v>809</v>
      </c>
      <c r="E53" s="116">
        <v>824.95</v>
      </c>
      <c r="F53" s="116">
        <v>1692.65</v>
      </c>
      <c r="G53">
        <v>63028</v>
      </c>
      <c r="H53" s="116"/>
      <c r="I53" s="116"/>
      <c r="L53" s="170">
        <v>43725</v>
      </c>
      <c r="M53" s="116">
        <v>845.95</v>
      </c>
      <c r="N53" s="116">
        <v>861</v>
      </c>
      <c r="O53" s="116">
        <v>820.05</v>
      </c>
      <c r="P53" s="116">
        <v>825</v>
      </c>
      <c r="Q53" s="116">
        <v>1691.9</v>
      </c>
      <c r="R53">
        <v>129004</v>
      </c>
    </row>
    <row r="54" spans="1:18" x14ac:dyDescent="0.25">
      <c r="A54" s="170">
        <v>43726</v>
      </c>
      <c r="B54" s="116">
        <v>891</v>
      </c>
      <c r="C54" s="116">
        <v>872.7</v>
      </c>
      <c r="D54" s="116">
        <v>847.57500000000005</v>
      </c>
      <c r="E54" s="116">
        <v>859.5</v>
      </c>
      <c r="F54" s="116">
        <v>1745.4</v>
      </c>
      <c r="G54">
        <v>14029</v>
      </c>
      <c r="H54" s="116"/>
      <c r="I54" s="116"/>
      <c r="L54" s="170">
        <v>43726</v>
      </c>
      <c r="M54" s="116">
        <v>872.67499999999995</v>
      </c>
      <c r="N54" s="116">
        <v>891.7</v>
      </c>
      <c r="O54" s="116">
        <v>849.95</v>
      </c>
      <c r="P54" s="116">
        <v>853.5</v>
      </c>
      <c r="Q54" s="116">
        <v>1745.35</v>
      </c>
      <c r="R54">
        <v>131686</v>
      </c>
    </row>
    <row r="55" spans="1:18" x14ac:dyDescent="0.25">
      <c r="A55" s="170">
        <v>43727</v>
      </c>
      <c r="B55" s="116">
        <v>889.17499999999995</v>
      </c>
      <c r="C55" s="116">
        <v>813.5</v>
      </c>
      <c r="D55" s="116">
        <v>788.4</v>
      </c>
      <c r="E55" s="116">
        <v>882.45</v>
      </c>
      <c r="F55" s="116">
        <v>1627</v>
      </c>
      <c r="G55">
        <v>12196</v>
      </c>
      <c r="H55" s="116"/>
      <c r="I55" s="116"/>
      <c r="L55" s="170">
        <v>43727</v>
      </c>
      <c r="M55" s="116">
        <v>814.72500000000002</v>
      </c>
      <c r="N55" s="116">
        <v>889.65</v>
      </c>
      <c r="O55" s="116">
        <v>790.55</v>
      </c>
      <c r="P55" s="116">
        <v>875.5</v>
      </c>
      <c r="Q55" s="116">
        <v>1629.45</v>
      </c>
      <c r="R55">
        <v>145430</v>
      </c>
    </row>
    <row r="56" spans="1:18" x14ac:dyDescent="0.25">
      <c r="A56" s="170">
        <v>43728</v>
      </c>
      <c r="B56" s="116">
        <v>864.5</v>
      </c>
      <c r="C56" s="116">
        <v>842.02499999999998</v>
      </c>
      <c r="D56" s="116">
        <v>804</v>
      </c>
      <c r="E56" s="116">
        <v>824.92499999999995</v>
      </c>
      <c r="F56" s="116">
        <v>1684.05</v>
      </c>
      <c r="G56">
        <v>7315</v>
      </c>
      <c r="H56" s="116"/>
      <c r="I56" s="116"/>
      <c r="L56" s="170">
        <v>43728</v>
      </c>
      <c r="M56" s="116">
        <v>842.32500000000005</v>
      </c>
      <c r="N56" s="116">
        <v>869.95</v>
      </c>
      <c r="O56" s="116">
        <v>801.52499999999998</v>
      </c>
      <c r="P56" s="116">
        <v>824.97500000000002</v>
      </c>
      <c r="Q56" s="116">
        <v>1684.65</v>
      </c>
      <c r="R56">
        <v>103485</v>
      </c>
    </row>
    <row r="57" spans="1:18" x14ac:dyDescent="0.25">
      <c r="A57" s="170">
        <v>43731</v>
      </c>
      <c r="B57" s="116">
        <v>862.47500000000002</v>
      </c>
      <c r="C57" s="116">
        <v>848.7</v>
      </c>
      <c r="D57" s="116">
        <v>825</v>
      </c>
      <c r="E57" s="116">
        <v>850</v>
      </c>
      <c r="F57" s="116">
        <v>1697.4</v>
      </c>
      <c r="G57">
        <v>9598</v>
      </c>
      <c r="H57" s="116"/>
      <c r="I57" s="116"/>
      <c r="L57" s="170">
        <v>43731</v>
      </c>
      <c r="M57" s="116">
        <v>850.35</v>
      </c>
      <c r="N57" s="116">
        <v>861.97500000000002</v>
      </c>
      <c r="O57" s="116">
        <v>835.22500000000002</v>
      </c>
      <c r="P57" s="116">
        <v>845</v>
      </c>
      <c r="Q57" s="116">
        <v>1700.7</v>
      </c>
      <c r="R57">
        <v>98823</v>
      </c>
    </row>
    <row r="58" spans="1:18" x14ac:dyDescent="0.25">
      <c r="A58" s="170">
        <v>43732</v>
      </c>
      <c r="B58" s="116">
        <v>948.47500000000002</v>
      </c>
      <c r="C58" s="116">
        <v>933.9</v>
      </c>
      <c r="D58" s="116">
        <v>846.32500000000005</v>
      </c>
      <c r="E58" s="116">
        <v>850</v>
      </c>
      <c r="F58" s="116">
        <v>1867.8</v>
      </c>
      <c r="G58">
        <v>16473</v>
      </c>
      <c r="H58" s="116"/>
      <c r="I58" s="116"/>
      <c r="L58" s="170">
        <v>43732</v>
      </c>
      <c r="M58" s="116">
        <v>928.95</v>
      </c>
      <c r="N58" s="116">
        <v>946.1</v>
      </c>
      <c r="O58" s="116">
        <v>846</v>
      </c>
      <c r="P58" s="116">
        <v>850.97500000000002</v>
      </c>
      <c r="Q58" s="116">
        <v>1857.9</v>
      </c>
      <c r="R58">
        <v>186685</v>
      </c>
    </row>
    <row r="59" spans="1:18" x14ac:dyDescent="0.25">
      <c r="A59" s="170">
        <v>43733</v>
      </c>
      <c r="B59" s="116">
        <v>985.35</v>
      </c>
      <c r="C59" s="116">
        <v>937.15</v>
      </c>
      <c r="D59" s="116">
        <v>925</v>
      </c>
      <c r="E59" s="116">
        <v>935.5</v>
      </c>
      <c r="F59" s="116">
        <v>1874.3</v>
      </c>
      <c r="G59">
        <v>12845</v>
      </c>
      <c r="H59" s="116"/>
      <c r="I59" s="116"/>
      <c r="L59" s="170">
        <v>43733</v>
      </c>
      <c r="M59" s="116">
        <v>937.72500000000002</v>
      </c>
      <c r="N59" s="116">
        <v>985</v>
      </c>
      <c r="O59" s="116">
        <v>921.55</v>
      </c>
      <c r="P59" s="116">
        <v>940</v>
      </c>
      <c r="Q59" s="116">
        <v>1875.45</v>
      </c>
      <c r="R59">
        <v>113431</v>
      </c>
    </row>
    <row r="60" spans="1:18" x14ac:dyDescent="0.25">
      <c r="A60" s="170">
        <v>43734</v>
      </c>
      <c r="B60" s="116">
        <v>970.5</v>
      </c>
      <c r="C60" s="116">
        <v>949.85</v>
      </c>
      <c r="D60" s="116">
        <v>939.55</v>
      </c>
      <c r="E60" s="116">
        <v>949</v>
      </c>
      <c r="F60" s="116">
        <v>1899.7</v>
      </c>
      <c r="G60">
        <v>4205</v>
      </c>
      <c r="H60" s="116"/>
      <c r="I60" s="116"/>
      <c r="L60" s="170">
        <v>43734</v>
      </c>
      <c r="M60" s="116">
        <v>952.17499999999995</v>
      </c>
      <c r="N60" s="116">
        <v>972.42499999999995</v>
      </c>
      <c r="O60" s="116">
        <v>939.65</v>
      </c>
      <c r="P60" s="116">
        <v>942.5</v>
      </c>
      <c r="Q60" s="116">
        <v>1904.35</v>
      </c>
      <c r="R60">
        <v>48596</v>
      </c>
    </row>
    <row r="61" spans="1:18" x14ac:dyDescent="0.25">
      <c r="A61" s="170">
        <v>43735</v>
      </c>
      <c r="B61" s="116">
        <v>970</v>
      </c>
      <c r="C61" s="116">
        <v>946.45</v>
      </c>
      <c r="D61" s="116">
        <v>936.05</v>
      </c>
      <c r="E61" s="116">
        <v>955.5</v>
      </c>
      <c r="F61" s="116">
        <v>1892.9</v>
      </c>
      <c r="G61">
        <v>3849</v>
      </c>
      <c r="H61" s="116"/>
      <c r="I61" s="116"/>
      <c r="L61" s="170">
        <v>43735</v>
      </c>
      <c r="M61" s="116">
        <v>946.17499999999995</v>
      </c>
      <c r="N61" s="116">
        <v>970</v>
      </c>
      <c r="O61" s="116">
        <v>938.5</v>
      </c>
      <c r="P61" s="116">
        <v>962.5</v>
      </c>
      <c r="Q61" s="116">
        <v>1892.35</v>
      </c>
      <c r="R61">
        <v>40352</v>
      </c>
    </row>
    <row r="62" spans="1:18" x14ac:dyDescent="0.25">
      <c r="A62" s="170">
        <v>43738</v>
      </c>
      <c r="B62" s="116">
        <v>955.42499999999995</v>
      </c>
      <c r="C62" s="116">
        <v>883.3</v>
      </c>
      <c r="D62" s="116">
        <v>880</v>
      </c>
      <c r="E62" s="116">
        <v>945</v>
      </c>
      <c r="F62" s="116">
        <v>1766.6</v>
      </c>
      <c r="G62">
        <v>3101</v>
      </c>
      <c r="H62" s="116"/>
      <c r="I62" s="116"/>
      <c r="L62" s="170">
        <v>43738</v>
      </c>
      <c r="M62" s="116">
        <v>884.52499999999998</v>
      </c>
      <c r="N62" s="116">
        <v>958.5</v>
      </c>
      <c r="O62" s="116">
        <v>882.625</v>
      </c>
      <c r="P62" s="116">
        <v>958.5</v>
      </c>
      <c r="Q62" s="116">
        <v>1769.05</v>
      </c>
      <c r="R62">
        <v>33238</v>
      </c>
    </row>
    <row r="63" spans="1:18" x14ac:dyDescent="0.25">
      <c r="A63" s="170">
        <v>43739</v>
      </c>
      <c r="B63" s="116">
        <v>920.9</v>
      </c>
      <c r="C63" s="116">
        <v>893.55</v>
      </c>
      <c r="D63" s="116">
        <v>876.52499999999998</v>
      </c>
      <c r="E63" s="116">
        <v>896.75</v>
      </c>
      <c r="F63" s="116">
        <v>1787.1</v>
      </c>
      <c r="G63">
        <v>3105</v>
      </c>
      <c r="H63" s="116"/>
      <c r="I63" s="116"/>
      <c r="L63" s="170">
        <v>43739</v>
      </c>
      <c r="M63" s="116">
        <v>894.27499999999998</v>
      </c>
      <c r="N63" s="116">
        <v>920.7</v>
      </c>
      <c r="O63" s="116">
        <v>882.625</v>
      </c>
      <c r="P63" s="116">
        <v>890</v>
      </c>
      <c r="Q63" s="116">
        <v>1788.55</v>
      </c>
      <c r="R63">
        <v>39092</v>
      </c>
    </row>
    <row r="64" spans="1:18" x14ac:dyDescent="0.25">
      <c r="A64" s="170">
        <v>43741</v>
      </c>
      <c r="B64" s="116">
        <v>946.97500000000002</v>
      </c>
      <c r="C64" s="116">
        <v>932.55</v>
      </c>
      <c r="D64" s="116">
        <v>868.3</v>
      </c>
      <c r="E64" s="116">
        <v>890</v>
      </c>
      <c r="F64" s="116">
        <v>1865.1</v>
      </c>
      <c r="G64">
        <v>6184</v>
      </c>
      <c r="H64" s="116"/>
      <c r="I64" s="116"/>
      <c r="L64" s="170">
        <v>43741</v>
      </c>
      <c r="M64" s="116">
        <v>931.92499999999995</v>
      </c>
      <c r="N64" s="116">
        <v>946.5</v>
      </c>
      <c r="O64" s="116">
        <v>868.625</v>
      </c>
      <c r="P64" s="116">
        <v>899.75</v>
      </c>
      <c r="Q64" s="116">
        <v>1863.85</v>
      </c>
      <c r="R64">
        <v>31152</v>
      </c>
    </row>
    <row r="65" spans="1:18" x14ac:dyDescent="0.25">
      <c r="A65" s="170">
        <v>43742</v>
      </c>
      <c r="B65" s="116">
        <v>970</v>
      </c>
      <c r="C65" s="116">
        <v>949.77499999999998</v>
      </c>
      <c r="D65" s="116">
        <v>885</v>
      </c>
      <c r="E65" s="116">
        <v>950</v>
      </c>
      <c r="F65" s="116">
        <v>1899.55</v>
      </c>
      <c r="G65">
        <v>2671</v>
      </c>
      <c r="H65" s="116"/>
      <c r="I65" s="116"/>
      <c r="L65" s="170">
        <v>43742</v>
      </c>
      <c r="M65" s="116">
        <v>959.7</v>
      </c>
      <c r="N65" s="116">
        <v>969.35</v>
      </c>
      <c r="O65" s="116">
        <v>940</v>
      </c>
      <c r="P65" s="116">
        <v>951.97500000000002</v>
      </c>
      <c r="Q65" s="116">
        <v>1919.4</v>
      </c>
      <c r="R65">
        <v>34455</v>
      </c>
    </row>
    <row r="66" spans="1:18" x14ac:dyDescent="0.25">
      <c r="A66" s="170">
        <v>43745</v>
      </c>
      <c r="B66" s="116">
        <v>963.5</v>
      </c>
      <c r="C66" s="116">
        <v>960.27499999999998</v>
      </c>
      <c r="D66" s="116">
        <v>940</v>
      </c>
      <c r="E66" s="116">
        <v>952.5</v>
      </c>
      <c r="F66" s="116">
        <v>1920.55</v>
      </c>
      <c r="G66">
        <v>1433</v>
      </c>
      <c r="H66" s="116"/>
      <c r="I66" s="116"/>
      <c r="L66" s="170">
        <v>43745</v>
      </c>
      <c r="M66" s="116">
        <v>960.02499999999998</v>
      </c>
      <c r="N66" s="116">
        <v>965</v>
      </c>
      <c r="O66" s="116">
        <v>936.02499999999998</v>
      </c>
      <c r="P66" s="116">
        <v>950</v>
      </c>
      <c r="Q66" s="116">
        <v>1920.05</v>
      </c>
      <c r="R66">
        <v>15621</v>
      </c>
    </row>
    <row r="67" spans="1:18" x14ac:dyDescent="0.25">
      <c r="A67" s="170">
        <v>43747</v>
      </c>
      <c r="B67" s="116">
        <v>1152.325</v>
      </c>
      <c r="C67" s="116">
        <v>1130.7750000000001</v>
      </c>
      <c r="D67" s="116">
        <v>970</v>
      </c>
      <c r="E67" s="116">
        <v>970</v>
      </c>
      <c r="F67" s="116">
        <v>2261.5500000000002</v>
      </c>
      <c r="G67">
        <v>46775</v>
      </c>
      <c r="H67" s="116"/>
      <c r="I67" s="116"/>
      <c r="L67" s="170">
        <v>43747</v>
      </c>
      <c r="M67" s="116">
        <v>1132.0250000000001</v>
      </c>
      <c r="N67" s="116">
        <v>1152.0250000000001</v>
      </c>
      <c r="O67" s="116">
        <v>966.5</v>
      </c>
      <c r="P67" s="116">
        <v>966.5</v>
      </c>
      <c r="Q67" s="116">
        <v>2264.0500000000002</v>
      </c>
      <c r="R67">
        <v>289700</v>
      </c>
    </row>
    <row r="68" spans="1:18" x14ac:dyDescent="0.25">
      <c r="A68" s="170">
        <v>43748</v>
      </c>
      <c r="B68" s="116">
        <v>1155</v>
      </c>
      <c r="C68" s="116">
        <v>1097.4000000000001</v>
      </c>
      <c r="D68" s="116">
        <v>1075</v>
      </c>
      <c r="E68" s="116">
        <v>1119</v>
      </c>
      <c r="F68" s="116">
        <v>2194.8000000000002</v>
      </c>
      <c r="G68">
        <v>23591</v>
      </c>
      <c r="H68" s="116"/>
      <c r="I68" s="116"/>
      <c r="L68" s="170">
        <v>43748</v>
      </c>
      <c r="M68" s="116">
        <v>1098.325</v>
      </c>
      <c r="N68" s="116">
        <v>1149.5</v>
      </c>
      <c r="O68" s="116">
        <v>1000.5</v>
      </c>
      <c r="P68" s="116">
        <v>1124.9000000000001</v>
      </c>
      <c r="Q68" s="116">
        <v>2196.65</v>
      </c>
      <c r="R68">
        <v>113933</v>
      </c>
    </row>
    <row r="69" spans="1:18" x14ac:dyDescent="0.25">
      <c r="A69" s="170">
        <v>43749</v>
      </c>
      <c r="B69" s="116">
        <v>1139.375</v>
      </c>
      <c r="C69" s="116">
        <v>1081.8</v>
      </c>
      <c r="D69" s="116">
        <v>1069.8</v>
      </c>
      <c r="E69" s="116">
        <v>1111</v>
      </c>
      <c r="F69" s="116">
        <v>2163.6</v>
      </c>
      <c r="G69">
        <v>6809</v>
      </c>
      <c r="H69" s="116"/>
      <c r="I69" s="116"/>
      <c r="L69" s="170">
        <v>43749</v>
      </c>
      <c r="M69" s="116">
        <v>1082.075</v>
      </c>
      <c r="N69" s="116">
        <v>1139</v>
      </c>
      <c r="O69" s="116">
        <v>1072.575</v>
      </c>
      <c r="P69" s="116">
        <v>1114.95</v>
      </c>
      <c r="Q69" s="116">
        <v>2164.15</v>
      </c>
      <c r="R69">
        <v>49589</v>
      </c>
    </row>
    <row r="70" spans="1:18" x14ac:dyDescent="0.25">
      <c r="A70" s="170">
        <v>43752</v>
      </c>
      <c r="B70" s="116">
        <v>1120.9749999999999</v>
      </c>
      <c r="C70" s="116">
        <v>1079.7750000000001</v>
      </c>
      <c r="D70" s="116">
        <v>1070</v>
      </c>
      <c r="E70" s="116">
        <v>1087.7750000000001</v>
      </c>
      <c r="F70" s="116">
        <v>2159.5500000000002</v>
      </c>
      <c r="G70">
        <v>3305</v>
      </c>
      <c r="H70" s="116"/>
      <c r="I70" s="116"/>
      <c r="L70" s="170">
        <v>43752</v>
      </c>
      <c r="M70" s="116">
        <v>1081.575</v>
      </c>
      <c r="N70" s="116">
        <v>1120</v>
      </c>
      <c r="O70" s="116">
        <v>1066.825</v>
      </c>
      <c r="P70" s="116">
        <v>1100</v>
      </c>
      <c r="Q70" s="116">
        <v>2163.15</v>
      </c>
      <c r="R70">
        <v>36663</v>
      </c>
    </row>
    <row r="71" spans="1:18" x14ac:dyDescent="0.25">
      <c r="A71" s="170">
        <v>43753</v>
      </c>
      <c r="B71" s="116">
        <v>1105</v>
      </c>
      <c r="C71" s="116">
        <v>1045.375</v>
      </c>
      <c r="D71" s="116">
        <v>1011.875</v>
      </c>
      <c r="E71" s="116">
        <v>1080</v>
      </c>
      <c r="F71" s="116">
        <v>2090.75</v>
      </c>
      <c r="G71">
        <v>5548</v>
      </c>
      <c r="H71" s="116"/>
      <c r="I71" s="116"/>
      <c r="L71" s="170">
        <v>43753</v>
      </c>
      <c r="M71" s="116">
        <v>1046.4749999999999</v>
      </c>
      <c r="N71" s="116">
        <v>1102.5250000000001</v>
      </c>
      <c r="O71" s="116">
        <v>1012.825</v>
      </c>
      <c r="P71" s="116">
        <v>1093</v>
      </c>
      <c r="Q71" s="116">
        <v>2092.9499999999998</v>
      </c>
      <c r="R71">
        <v>71714</v>
      </c>
    </row>
    <row r="72" spans="1:18" x14ac:dyDescent="0.25">
      <c r="A72" s="170">
        <v>43754</v>
      </c>
      <c r="B72" s="116">
        <v>1050.7</v>
      </c>
      <c r="C72" s="116">
        <v>1010.775</v>
      </c>
      <c r="D72" s="116">
        <v>1004.85</v>
      </c>
      <c r="E72" s="116">
        <v>1046</v>
      </c>
      <c r="F72" s="116">
        <v>2021.55</v>
      </c>
      <c r="G72">
        <v>3396</v>
      </c>
      <c r="H72" s="116"/>
      <c r="I72" s="116"/>
      <c r="L72" s="170">
        <v>43754</v>
      </c>
      <c r="M72" s="116">
        <v>1009.5</v>
      </c>
      <c r="N72" s="116">
        <v>1049.7249999999999</v>
      </c>
      <c r="O72" s="116">
        <v>1005.5</v>
      </c>
      <c r="P72" s="116">
        <v>1049.7249999999999</v>
      </c>
      <c r="Q72" s="116">
        <v>2019</v>
      </c>
      <c r="R72">
        <v>43007</v>
      </c>
    </row>
    <row r="73" spans="1:18" x14ac:dyDescent="0.25">
      <c r="A73" s="170">
        <v>43755</v>
      </c>
      <c r="B73" s="116">
        <v>1068.75</v>
      </c>
      <c r="C73" s="116">
        <v>1006.2</v>
      </c>
      <c r="D73" s="116">
        <v>980</v>
      </c>
      <c r="E73" s="116">
        <v>1007.625</v>
      </c>
      <c r="F73" s="116">
        <v>2012.4</v>
      </c>
      <c r="G73">
        <v>13465</v>
      </c>
      <c r="H73" s="116"/>
      <c r="I73" s="116"/>
      <c r="L73" s="170">
        <v>43755</v>
      </c>
      <c r="M73" s="116">
        <v>1008.225</v>
      </c>
      <c r="N73" s="116">
        <v>1067</v>
      </c>
      <c r="O73" s="116">
        <v>980</v>
      </c>
      <c r="P73" s="116">
        <v>1019.5</v>
      </c>
      <c r="Q73" s="116">
        <v>2016.45</v>
      </c>
      <c r="R73">
        <v>133268</v>
      </c>
    </row>
    <row r="74" spans="1:18" x14ac:dyDescent="0.25">
      <c r="A74" s="170">
        <v>43756</v>
      </c>
      <c r="B74" s="116">
        <v>1037.2249999999999</v>
      </c>
      <c r="C74" s="116">
        <v>1011.075</v>
      </c>
      <c r="D74" s="116">
        <v>1003.95</v>
      </c>
      <c r="E74" s="116">
        <v>1014.225</v>
      </c>
      <c r="F74" s="116">
        <v>2022.15</v>
      </c>
      <c r="G74">
        <v>3157</v>
      </c>
      <c r="H74" s="116"/>
      <c r="I74" s="116"/>
      <c r="L74" s="170">
        <v>43756</v>
      </c>
      <c r="M74" s="116">
        <v>1010.2</v>
      </c>
      <c r="N74" s="116">
        <v>1039.75</v>
      </c>
      <c r="O74" s="116">
        <v>1000</v>
      </c>
      <c r="P74" s="116">
        <v>1013</v>
      </c>
      <c r="Q74" s="116">
        <v>2020.4</v>
      </c>
      <c r="R74">
        <v>37760</v>
      </c>
    </row>
    <row r="75" spans="1:18" x14ac:dyDescent="0.25">
      <c r="A75" s="170">
        <v>43760</v>
      </c>
      <c r="B75" s="116">
        <v>1035.125</v>
      </c>
      <c r="C75" s="116">
        <v>1015.425</v>
      </c>
      <c r="D75" s="116">
        <v>1007.5</v>
      </c>
      <c r="E75" s="116">
        <v>1022.9</v>
      </c>
      <c r="F75" s="116">
        <v>2030.85</v>
      </c>
      <c r="G75">
        <v>3548</v>
      </c>
      <c r="H75" s="116"/>
      <c r="I75" s="116"/>
      <c r="L75" s="170">
        <v>43760</v>
      </c>
      <c r="M75" s="116">
        <v>1016.025</v>
      </c>
      <c r="N75" s="116">
        <v>1035.5</v>
      </c>
      <c r="O75" s="116">
        <v>1005</v>
      </c>
      <c r="P75" s="116">
        <v>1019</v>
      </c>
      <c r="Q75" s="116">
        <v>2032.05</v>
      </c>
      <c r="R75">
        <v>55187</v>
      </c>
    </row>
    <row r="76" spans="1:18" x14ac:dyDescent="0.25">
      <c r="A76" s="170">
        <v>43761</v>
      </c>
      <c r="B76" s="116">
        <v>1047.2750000000001</v>
      </c>
      <c r="C76" s="116">
        <v>996.125</v>
      </c>
      <c r="D76" s="116">
        <v>981.5</v>
      </c>
      <c r="E76" s="116">
        <v>1037.4749999999999</v>
      </c>
      <c r="F76" s="116">
        <v>1992.25</v>
      </c>
      <c r="G76">
        <v>6668</v>
      </c>
      <c r="H76" s="116"/>
      <c r="I76" s="116"/>
      <c r="L76" s="170">
        <v>43761</v>
      </c>
      <c r="M76" s="116">
        <v>997.15</v>
      </c>
      <c r="N76" s="116">
        <v>1049</v>
      </c>
      <c r="O76" s="116">
        <v>980.65</v>
      </c>
      <c r="P76" s="116">
        <v>1040</v>
      </c>
      <c r="Q76" s="116">
        <v>1994.3</v>
      </c>
      <c r="R76">
        <v>88432</v>
      </c>
    </row>
    <row r="77" spans="1:18" x14ac:dyDescent="0.25">
      <c r="A77" s="170">
        <v>43762</v>
      </c>
      <c r="B77" s="116">
        <v>991.8</v>
      </c>
      <c r="C77" s="116">
        <v>937.52499999999998</v>
      </c>
      <c r="D77" s="116">
        <v>893.27499999999998</v>
      </c>
      <c r="E77" s="116">
        <v>989.55</v>
      </c>
      <c r="F77" s="116">
        <v>1875.05</v>
      </c>
      <c r="G77">
        <v>13504</v>
      </c>
      <c r="H77" s="116"/>
      <c r="I77" s="116"/>
      <c r="L77" s="170">
        <v>43762</v>
      </c>
      <c r="M77" s="116">
        <v>937.65</v>
      </c>
      <c r="N77" s="116">
        <v>995</v>
      </c>
      <c r="O77" s="116">
        <v>893.57500000000005</v>
      </c>
      <c r="P77" s="116">
        <v>995</v>
      </c>
      <c r="Q77" s="116">
        <v>1875.3</v>
      </c>
      <c r="R77">
        <v>150959</v>
      </c>
    </row>
    <row r="78" spans="1:18" x14ac:dyDescent="0.25">
      <c r="A78" s="170">
        <v>43763</v>
      </c>
      <c r="B78" s="116">
        <v>963.25</v>
      </c>
      <c r="C78" s="116">
        <v>911.1</v>
      </c>
      <c r="D78" s="116">
        <v>895.75</v>
      </c>
      <c r="E78" s="116">
        <v>935</v>
      </c>
      <c r="F78" s="116">
        <v>1822.2</v>
      </c>
      <c r="G78">
        <v>4964</v>
      </c>
      <c r="H78" s="116"/>
      <c r="I78" s="116"/>
      <c r="L78" s="170">
        <v>43763</v>
      </c>
      <c r="M78" s="116">
        <v>912.07500000000005</v>
      </c>
      <c r="N78" s="116">
        <v>964.3</v>
      </c>
      <c r="O78" s="116">
        <v>900.27499999999998</v>
      </c>
      <c r="P78" s="116">
        <v>937.65</v>
      </c>
      <c r="Q78" s="116">
        <v>1824.15</v>
      </c>
      <c r="R78">
        <v>56930</v>
      </c>
    </row>
    <row r="79" spans="1:18" x14ac:dyDescent="0.25">
      <c r="A79" s="170">
        <v>43765</v>
      </c>
      <c r="B79" s="116">
        <v>937.47500000000002</v>
      </c>
      <c r="C79" s="116">
        <v>931.9</v>
      </c>
      <c r="D79" s="116">
        <v>918</v>
      </c>
      <c r="E79" s="116">
        <v>922</v>
      </c>
      <c r="F79" s="116">
        <v>1863.8</v>
      </c>
      <c r="G79">
        <v>933</v>
      </c>
      <c r="H79" s="116"/>
      <c r="I79" s="116"/>
      <c r="L79" s="170">
        <v>43765</v>
      </c>
      <c r="M79" s="116">
        <v>930.6</v>
      </c>
      <c r="N79" s="116">
        <v>938.47500000000002</v>
      </c>
      <c r="O79" s="116">
        <v>915</v>
      </c>
      <c r="P79" s="116">
        <v>925</v>
      </c>
      <c r="Q79" s="116">
        <v>1861.2</v>
      </c>
      <c r="R79">
        <v>12104</v>
      </c>
    </row>
    <row r="80" spans="1:18" x14ac:dyDescent="0.25">
      <c r="A80" s="170">
        <v>43767</v>
      </c>
      <c r="B80" s="116">
        <v>948.07500000000005</v>
      </c>
      <c r="C80" s="116">
        <v>923.07500000000005</v>
      </c>
      <c r="D80" s="116">
        <v>904</v>
      </c>
      <c r="E80" s="116">
        <v>930</v>
      </c>
      <c r="F80" s="116">
        <v>1846.15</v>
      </c>
      <c r="G80">
        <v>3018</v>
      </c>
      <c r="H80" s="116"/>
      <c r="I80" s="116"/>
      <c r="L80" s="170">
        <v>43767</v>
      </c>
      <c r="M80" s="116">
        <v>920.17499999999995</v>
      </c>
      <c r="N80" s="116">
        <v>955</v>
      </c>
      <c r="O80" s="116">
        <v>912.5</v>
      </c>
      <c r="P80" s="116">
        <v>945</v>
      </c>
      <c r="Q80" s="116">
        <v>1840.35</v>
      </c>
      <c r="R80">
        <v>29806</v>
      </c>
    </row>
    <row r="81" spans="1:18" x14ac:dyDescent="0.25">
      <c r="A81" s="170">
        <v>43768</v>
      </c>
      <c r="B81" s="116">
        <v>962.5</v>
      </c>
      <c r="C81" s="116">
        <v>933.32500000000005</v>
      </c>
      <c r="D81" s="116">
        <v>917.5</v>
      </c>
      <c r="E81" s="116">
        <v>920.05</v>
      </c>
      <c r="F81" s="116">
        <v>1866.65</v>
      </c>
      <c r="G81">
        <v>5510</v>
      </c>
      <c r="H81" s="116"/>
      <c r="I81" s="116"/>
      <c r="L81" s="170">
        <v>43768</v>
      </c>
      <c r="M81" s="116">
        <v>931.55</v>
      </c>
      <c r="N81" s="116">
        <v>963.5</v>
      </c>
      <c r="O81" s="116">
        <v>915.55</v>
      </c>
      <c r="P81" s="116">
        <v>924.5</v>
      </c>
      <c r="Q81" s="116">
        <v>1863.1</v>
      </c>
      <c r="R81">
        <v>64453</v>
      </c>
    </row>
    <row r="82" spans="1:18" x14ac:dyDescent="0.25">
      <c r="A82" s="170">
        <v>43769</v>
      </c>
      <c r="B82" s="116">
        <v>960</v>
      </c>
      <c r="C82" s="116">
        <v>930.57500000000005</v>
      </c>
      <c r="D82" s="116">
        <v>926.45</v>
      </c>
      <c r="E82" s="116">
        <v>942.5</v>
      </c>
      <c r="F82" s="116">
        <v>1861.15</v>
      </c>
      <c r="G82">
        <v>2865</v>
      </c>
      <c r="H82" s="116"/>
      <c r="I82" s="116"/>
      <c r="L82" s="170">
        <v>43769</v>
      </c>
      <c r="M82" s="116">
        <v>929.32500000000005</v>
      </c>
      <c r="N82" s="116">
        <v>955.97500000000002</v>
      </c>
      <c r="O82" s="116">
        <v>925.5</v>
      </c>
      <c r="P82" s="116">
        <v>941</v>
      </c>
      <c r="Q82" s="116">
        <v>1858.65</v>
      </c>
      <c r="R82">
        <v>37892</v>
      </c>
    </row>
    <row r="83" spans="1:18" x14ac:dyDescent="0.25">
      <c r="A83" s="170">
        <v>43770</v>
      </c>
      <c r="B83" s="116">
        <v>950</v>
      </c>
      <c r="C83" s="116">
        <v>922.6</v>
      </c>
      <c r="D83" s="116">
        <v>900.5</v>
      </c>
      <c r="E83" s="116">
        <v>925.5</v>
      </c>
      <c r="F83" s="116">
        <v>1845.2</v>
      </c>
      <c r="G83">
        <v>2040</v>
      </c>
      <c r="H83" s="116"/>
      <c r="I83" s="116"/>
      <c r="L83" s="170">
        <v>43770</v>
      </c>
      <c r="M83" s="116">
        <v>921.47500000000002</v>
      </c>
      <c r="N83" s="116">
        <v>952.5</v>
      </c>
      <c r="O83" s="116">
        <v>916.42499999999995</v>
      </c>
      <c r="P83" s="116">
        <v>934.875</v>
      </c>
      <c r="Q83" s="116">
        <v>1842.95</v>
      </c>
      <c r="R83">
        <v>32627</v>
      </c>
    </row>
    <row r="84" spans="1:18" x14ac:dyDescent="0.25">
      <c r="A84" s="170">
        <v>43773</v>
      </c>
      <c r="B84" s="116">
        <v>932.47500000000002</v>
      </c>
      <c r="C84" s="116">
        <v>911.25</v>
      </c>
      <c r="D84" s="116">
        <v>907.15</v>
      </c>
      <c r="E84" s="116">
        <v>927.6</v>
      </c>
      <c r="F84" s="116">
        <v>1822.5</v>
      </c>
      <c r="G84">
        <v>1361</v>
      </c>
      <c r="H84" s="116"/>
      <c r="I84" s="116"/>
      <c r="L84" s="170">
        <v>43773</v>
      </c>
      <c r="M84" s="116">
        <v>912.65</v>
      </c>
      <c r="N84" s="116">
        <v>934.35</v>
      </c>
      <c r="O84" s="116">
        <v>906</v>
      </c>
      <c r="P84" s="116">
        <v>928.5</v>
      </c>
      <c r="Q84" s="116">
        <v>1825.3</v>
      </c>
      <c r="R84">
        <v>30047</v>
      </c>
    </row>
    <row r="85" spans="1:18" x14ac:dyDescent="0.25">
      <c r="A85" s="170">
        <v>43774</v>
      </c>
      <c r="B85" s="116">
        <v>918.125</v>
      </c>
      <c r="C85" s="116">
        <v>888.35</v>
      </c>
      <c r="D85" s="116">
        <v>885</v>
      </c>
      <c r="E85" s="116">
        <v>913.57500000000005</v>
      </c>
      <c r="F85" s="116">
        <v>1776.7</v>
      </c>
      <c r="G85">
        <v>1779</v>
      </c>
      <c r="H85" s="116"/>
      <c r="I85" s="116"/>
      <c r="L85" s="170">
        <v>43774</v>
      </c>
      <c r="M85" s="116">
        <v>892.25</v>
      </c>
      <c r="N85" s="116">
        <v>919.75</v>
      </c>
      <c r="O85" s="116">
        <v>888.02499999999998</v>
      </c>
      <c r="P85" s="116">
        <v>917.5</v>
      </c>
      <c r="Q85" s="116">
        <v>1784.5</v>
      </c>
      <c r="R85">
        <v>34593</v>
      </c>
    </row>
    <row r="86" spans="1:18" x14ac:dyDescent="0.25">
      <c r="A86" s="170">
        <v>43775</v>
      </c>
      <c r="B86" s="116">
        <v>910</v>
      </c>
      <c r="C86" s="116">
        <v>868.45</v>
      </c>
      <c r="D86" s="116">
        <v>865</v>
      </c>
      <c r="E86" s="116">
        <v>897</v>
      </c>
      <c r="F86" s="116">
        <v>1736.9</v>
      </c>
      <c r="G86">
        <v>4228</v>
      </c>
      <c r="H86" s="116"/>
      <c r="I86" s="116"/>
      <c r="L86" s="170">
        <v>43775</v>
      </c>
      <c r="M86" s="116">
        <v>867.65</v>
      </c>
      <c r="N86" s="116">
        <v>911</v>
      </c>
      <c r="O86" s="116">
        <v>864</v>
      </c>
      <c r="P86" s="116">
        <v>889.5</v>
      </c>
      <c r="Q86" s="116">
        <v>1735.3</v>
      </c>
      <c r="R86">
        <v>43537</v>
      </c>
    </row>
    <row r="87" spans="1:18" x14ac:dyDescent="0.25">
      <c r="A87" s="170">
        <v>43776</v>
      </c>
      <c r="B87" s="116">
        <v>879.2</v>
      </c>
      <c r="C87" s="116">
        <v>869.25</v>
      </c>
      <c r="D87" s="116">
        <v>866.6</v>
      </c>
      <c r="E87" s="116">
        <v>875</v>
      </c>
      <c r="F87" s="116">
        <v>1738.5</v>
      </c>
      <c r="G87">
        <v>943</v>
      </c>
      <c r="H87" s="116"/>
      <c r="I87" s="116"/>
      <c r="L87" s="170">
        <v>43776</v>
      </c>
      <c r="M87" s="116">
        <v>870</v>
      </c>
      <c r="N87" s="116">
        <v>878.6</v>
      </c>
      <c r="O87" s="116">
        <v>865</v>
      </c>
      <c r="P87" s="116">
        <v>866.5</v>
      </c>
      <c r="Q87" s="116">
        <v>1740</v>
      </c>
      <c r="R87">
        <v>70575</v>
      </c>
    </row>
    <row r="88" spans="1:18" x14ac:dyDescent="0.25">
      <c r="A88" s="170">
        <v>43777</v>
      </c>
      <c r="B88" s="116">
        <v>885.375</v>
      </c>
      <c r="C88" s="116">
        <v>874.52499999999998</v>
      </c>
      <c r="D88" s="116">
        <v>873.4</v>
      </c>
      <c r="E88" s="116">
        <v>874.45</v>
      </c>
      <c r="F88" s="116">
        <v>1749.05</v>
      </c>
      <c r="G88">
        <v>1713</v>
      </c>
      <c r="H88" s="116"/>
      <c r="I88" s="116"/>
      <c r="L88" s="170">
        <v>43777</v>
      </c>
      <c r="M88" s="116">
        <v>875.25</v>
      </c>
      <c r="N88" s="116">
        <v>887.5</v>
      </c>
      <c r="O88" s="116">
        <v>870.5</v>
      </c>
      <c r="P88" s="116">
        <v>870.5</v>
      </c>
      <c r="Q88" s="116">
        <v>1750.5</v>
      </c>
      <c r="R88">
        <v>86142</v>
      </c>
    </row>
    <row r="89" spans="1:18" x14ac:dyDescent="0.25">
      <c r="A89" s="170">
        <v>43780</v>
      </c>
      <c r="B89" s="116">
        <v>994</v>
      </c>
      <c r="C89" s="116">
        <v>974.17499999999995</v>
      </c>
      <c r="D89" s="116">
        <v>877.625</v>
      </c>
      <c r="E89" s="116">
        <v>879.4</v>
      </c>
      <c r="F89" s="116">
        <v>1948.35</v>
      </c>
      <c r="G89">
        <v>22662</v>
      </c>
      <c r="H89" s="116"/>
      <c r="I89" s="116"/>
      <c r="L89" s="170">
        <v>43780</v>
      </c>
      <c r="M89" s="116">
        <v>973.52499999999998</v>
      </c>
      <c r="N89" s="116">
        <v>994.9</v>
      </c>
      <c r="O89" s="116">
        <v>876.5</v>
      </c>
      <c r="P89" s="116">
        <v>877.5</v>
      </c>
      <c r="Q89" s="116">
        <v>1947.05</v>
      </c>
      <c r="R89">
        <v>223031</v>
      </c>
    </row>
    <row r="90" spans="1:18" x14ac:dyDescent="0.25">
      <c r="A90" s="170">
        <v>43782</v>
      </c>
      <c r="B90" s="116">
        <v>1049.95</v>
      </c>
      <c r="C90" s="116">
        <v>997.45</v>
      </c>
      <c r="D90" s="116">
        <v>987.5</v>
      </c>
      <c r="E90" s="116">
        <v>1000.5</v>
      </c>
      <c r="F90" s="116">
        <v>1994.9</v>
      </c>
      <c r="G90">
        <v>16655</v>
      </c>
      <c r="H90" s="116"/>
      <c r="I90" s="116"/>
      <c r="L90" s="170">
        <v>43782</v>
      </c>
      <c r="M90" s="116">
        <v>1000.7</v>
      </c>
      <c r="N90" s="116">
        <v>1050</v>
      </c>
      <c r="O90" s="116">
        <v>990</v>
      </c>
      <c r="P90" s="116">
        <v>1006.05</v>
      </c>
      <c r="Q90" s="116">
        <v>2001.4</v>
      </c>
      <c r="R90">
        <v>173879</v>
      </c>
    </row>
    <row r="91" spans="1:18" x14ac:dyDescent="0.25">
      <c r="A91" s="170">
        <v>43783</v>
      </c>
      <c r="B91" s="116">
        <v>1032.175</v>
      </c>
      <c r="C91" s="116">
        <v>993.875</v>
      </c>
      <c r="D91" s="116">
        <v>962.4</v>
      </c>
      <c r="E91" s="116">
        <v>1014</v>
      </c>
      <c r="F91" s="116">
        <v>1987.75</v>
      </c>
      <c r="G91">
        <v>5147</v>
      </c>
      <c r="H91" s="116"/>
      <c r="I91" s="116"/>
      <c r="L91" s="170">
        <v>43783</v>
      </c>
      <c r="M91" s="116">
        <v>992.67499999999995</v>
      </c>
      <c r="N91" s="116">
        <v>1031</v>
      </c>
      <c r="O91" s="116">
        <v>963</v>
      </c>
      <c r="P91" s="116">
        <v>1004.45</v>
      </c>
      <c r="Q91" s="116">
        <v>1985.35</v>
      </c>
      <c r="R91">
        <v>64539</v>
      </c>
    </row>
    <row r="92" spans="1:18" x14ac:dyDescent="0.25">
      <c r="A92" s="170">
        <v>43784</v>
      </c>
      <c r="B92" s="116">
        <v>1000.025</v>
      </c>
      <c r="C92" s="116">
        <v>963.15</v>
      </c>
      <c r="D92" s="116">
        <v>951</v>
      </c>
      <c r="E92" s="116">
        <v>997.52499999999998</v>
      </c>
      <c r="F92" s="116">
        <v>1926.3</v>
      </c>
      <c r="G92">
        <v>4082</v>
      </c>
      <c r="H92" s="116"/>
      <c r="I92" s="116"/>
      <c r="L92" s="170">
        <v>43784</v>
      </c>
      <c r="M92" s="116">
        <v>963.45</v>
      </c>
      <c r="N92" s="116">
        <v>1002.4</v>
      </c>
      <c r="O92" s="116">
        <v>954.5</v>
      </c>
      <c r="P92" s="116">
        <v>999.97500000000002</v>
      </c>
      <c r="Q92" s="116">
        <v>1926.9</v>
      </c>
      <c r="R92">
        <v>41437</v>
      </c>
    </row>
    <row r="93" spans="1:18" x14ac:dyDescent="0.25">
      <c r="A93" s="170">
        <v>43787</v>
      </c>
      <c r="B93" s="116">
        <v>982.1</v>
      </c>
      <c r="C93" s="116">
        <v>956.7</v>
      </c>
      <c r="D93" s="116">
        <v>949.52499999999998</v>
      </c>
      <c r="E93" s="116">
        <v>965.02499999999998</v>
      </c>
      <c r="F93" s="116">
        <v>1913.4</v>
      </c>
      <c r="G93">
        <v>1988</v>
      </c>
      <c r="H93" s="116"/>
      <c r="I93" s="116"/>
      <c r="L93" s="170">
        <v>43787</v>
      </c>
      <c r="M93" s="116">
        <v>958.02499999999998</v>
      </c>
      <c r="N93" s="116">
        <v>983</v>
      </c>
      <c r="O93" s="116">
        <v>950.125</v>
      </c>
      <c r="P93" s="116">
        <v>965</v>
      </c>
      <c r="Q93" s="116">
        <v>1916.05</v>
      </c>
      <c r="R93">
        <v>27453</v>
      </c>
    </row>
    <row r="94" spans="1:18" x14ac:dyDescent="0.25">
      <c r="A94" s="170">
        <v>43788</v>
      </c>
      <c r="B94" s="116">
        <v>1012</v>
      </c>
      <c r="C94" s="116">
        <v>1008.4</v>
      </c>
      <c r="D94" s="116">
        <v>964.52499999999998</v>
      </c>
      <c r="E94" s="116">
        <v>971.9</v>
      </c>
      <c r="F94" s="116">
        <v>2016.8</v>
      </c>
      <c r="G94">
        <v>5938</v>
      </c>
      <c r="H94" s="116"/>
      <c r="I94" s="116"/>
      <c r="L94" s="170">
        <v>43788</v>
      </c>
      <c r="M94" s="116">
        <v>1009.325</v>
      </c>
      <c r="N94" s="116">
        <v>1012.5</v>
      </c>
      <c r="O94" s="116">
        <v>962.5</v>
      </c>
      <c r="P94" s="116">
        <v>962.5</v>
      </c>
      <c r="Q94" s="116">
        <v>2018.65</v>
      </c>
      <c r="R94">
        <v>91626</v>
      </c>
    </row>
    <row r="95" spans="1:18" x14ac:dyDescent="0.25">
      <c r="A95" s="170">
        <v>43789</v>
      </c>
      <c r="B95" s="116">
        <v>1056.9000000000001</v>
      </c>
      <c r="C95" s="116">
        <v>1026.3499999999999</v>
      </c>
      <c r="D95" s="116">
        <v>1017.6</v>
      </c>
      <c r="E95" s="116">
        <v>1019</v>
      </c>
      <c r="F95" s="116">
        <v>2052.6999999999998</v>
      </c>
      <c r="G95">
        <v>4222</v>
      </c>
      <c r="H95" s="116"/>
      <c r="I95" s="116"/>
      <c r="L95" s="170">
        <v>43789</v>
      </c>
      <c r="M95" s="116">
        <v>1026.425</v>
      </c>
      <c r="N95" s="116">
        <v>1057.5</v>
      </c>
      <c r="O95" s="116">
        <v>1015.475</v>
      </c>
      <c r="P95" s="116">
        <v>1015.475</v>
      </c>
      <c r="Q95" s="116">
        <v>2052.85</v>
      </c>
      <c r="R95">
        <v>77035</v>
      </c>
    </row>
    <row r="96" spans="1:18" x14ac:dyDescent="0.25">
      <c r="A96" s="170">
        <v>43790</v>
      </c>
      <c r="B96" s="116">
        <v>1041</v>
      </c>
      <c r="C96" s="116">
        <v>1031.325</v>
      </c>
      <c r="D96" s="116">
        <v>1025.5999999999999</v>
      </c>
      <c r="E96" s="116">
        <v>1029.825</v>
      </c>
      <c r="F96" s="116">
        <v>2062.65</v>
      </c>
      <c r="G96">
        <v>4544</v>
      </c>
      <c r="H96" s="116"/>
      <c r="I96" s="116"/>
      <c r="L96" s="170">
        <v>43790</v>
      </c>
      <c r="M96" s="116">
        <v>1030.1500000000001</v>
      </c>
      <c r="N96" s="116">
        <v>1041.5</v>
      </c>
      <c r="O96" s="116">
        <v>1026</v>
      </c>
      <c r="P96" s="116">
        <v>1036.675</v>
      </c>
      <c r="Q96" s="116">
        <v>2060.3000000000002</v>
      </c>
      <c r="R96">
        <v>37995</v>
      </c>
    </row>
    <row r="97" spans="1:18" x14ac:dyDescent="0.25">
      <c r="A97" s="170">
        <v>43791</v>
      </c>
      <c r="B97" s="116">
        <v>1086.95</v>
      </c>
      <c r="C97" s="116">
        <v>1072.125</v>
      </c>
      <c r="D97" s="116">
        <v>1025.5</v>
      </c>
      <c r="E97" s="116">
        <v>1040</v>
      </c>
      <c r="F97" s="116">
        <v>2144.25</v>
      </c>
      <c r="G97">
        <v>8298</v>
      </c>
      <c r="H97" s="116"/>
      <c r="I97" s="116"/>
      <c r="L97" s="170">
        <v>43791</v>
      </c>
      <c r="M97" s="116">
        <v>1071.2</v>
      </c>
      <c r="N97" s="116">
        <v>1086.5</v>
      </c>
      <c r="O97" s="116">
        <v>1028</v>
      </c>
      <c r="P97" s="116">
        <v>1040</v>
      </c>
      <c r="Q97" s="116">
        <v>2142.4</v>
      </c>
      <c r="R97">
        <v>87331</v>
      </c>
    </row>
    <row r="98" spans="1:18" x14ac:dyDescent="0.25">
      <c r="A98" s="170">
        <v>43794</v>
      </c>
      <c r="B98" s="116">
        <v>1097.45</v>
      </c>
      <c r="C98" s="116">
        <v>1053.875</v>
      </c>
      <c r="D98" s="116">
        <v>1048.25</v>
      </c>
      <c r="E98" s="116">
        <v>1081.25</v>
      </c>
      <c r="F98" s="116">
        <v>2107.75</v>
      </c>
      <c r="G98">
        <v>5640</v>
      </c>
      <c r="H98" s="116"/>
      <c r="I98" s="116"/>
      <c r="L98" s="170">
        <v>43794</v>
      </c>
      <c r="M98" s="116">
        <v>1054.0999999999999</v>
      </c>
      <c r="N98" s="116">
        <v>1099.5</v>
      </c>
      <c r="O98" s="116">
        <v>1048</v>
      </c>
      <c r="P98" s="116">
        <v>1079.875</v>
      </c>
      <c r="Q98" s="116">
        <v>2108.1999999999998</v>
      </c>
      <c r="R98">
        <v>47436</v>
      </c>
    </row>
    <row r="99" spans="1:18" x14ac:dyDescent="0.25">
      <c r="A99" s="170">
        <v>43795</v>
      </c>
      <c r="B99" s="116">
        <v>1087.45</v>
      </c>
      <c r="C99" s="116">
        <v>1075.075</v>
      </c>
      <c r="D99" s="116">
        <v>1057.5250000000001</v>
      </c>
      <c r="E99" s="116">
        <v>1057.5250000000001</v>
      </c>
      <c r="F99" s="116">
        <v>2150.15</v>
      </c>
      <c r="G99">
        <v>3347</v>
      </c>
      <c r="H99" s="116"/>
      <c r="I99" s="116"/>
      <c r="L99" s="170">
        <v>43795</v>
      </c>
      <c r="M99" s="116">
        <v>1076.0250000000001</v>
      </c>
      <c r="N99" s="116">
        <v>1088.45</v>
      </c>
      <c r="O99" s="116">
        <v>1054.575</v>
      </c>
      <c r="P99" s="116">
        <v>1055</v>
      </c>
      <c r="Q99" s="116">
        <v>2152.0500000000002</v>
      </c>
      <c r="R99">
        <v>52343</v>
      </c>
    </row>
    <row r="100" spans="1:18" x14ac:dyDescent="0.25">
      <c r="A100" s="170">
        <v>43796</v>
      </c>
      <c r="B100" s="116">
        <v>1093</v>
      </c>
      <c r="C100" s="116">
        <v>1080.325</v>
      </c>
      <c r="D100" s="116">
        <v>1068.75</v>
      </c>
      <c r="E100" s="116">
        <v>1085</v>
      </c>
      <c r="F100" s="116">
        <v>2160.65</v>
      </c>
      <c r="G100">
        <v>1921</v>
      </c>
      <c r="H100" s="116"/>
      <c r="I100" s="116"/>
      <c r="L100" s="170">
        <v>43796</v>
      </c>
      <c r="M100" s="116">
        <v>1082.0999999999999</v>
      </c>
      <c r="N100" s="116">
        <v>1094.7</v>
      </c>
      <c r="O100" s="116">
        <v>1067.5</v>
      </c>
      <c r="P100" s="116">
        <v>1086.0999999999999</v>
      </c>
      <c r="Q100" s="116">
        <v>2164.1999999999998</v>
      </c>
      <c r="R100">
        <v>35740</v>
      </c>
    </row>
    <row r="101" spans="1:18" x14ac:dyDescent="0.25">
      <c r="A101" s="170">
        <v>43797</v>
      </c>
      <c r="B101" s="116">
        <v>1090.9000000000001</v>
      </c>
      <c r="C101" s="116">
        <v>1083.325</v>
      </c>
      <c r="D101" s="116">
        <v>1073.0999999999999</v>
      </c>
      <c r="E101" s="116">
        <v>1082.5</v>
      </c>
      <c r="F101" s="116">
        <v>2166.65</v>
      </c>
      <c r="G101">
        <v>1436</v>
      </c>
      <c r="H101" s="116"/>
      <c r="I101" s="116"/>
      <c r="L101" s="170">
        <v>43797</v>
      </c>
      <c r="M101" s="116">
        <v>1079.2249999999999</v>
      </c>
      <c r="N101" s="116">
        <v>1089.9749999999999</v>
      </c>
      <c r="O101" s="116">
        <v>1074.875</v>
      </c>
      <c r="P101" s="116">
        <v>1085</v>
      </c>
      <c r="Q101" s="116">
        <v>2158.4499999999998</v>
      </c>
      <c r="R101">
        <v>26617</v>
      </c>
    </row>
    <row r="102" spans="1:18" x14ac:dyDescent="0.25">
      <c r="A102" s="170">
        <v>43798</v>
      </c>
      <c r="B102" s="116">
        <v>1084.45</v>
      </c>
      <c r="C102" s="116">
        <v>1077.575</v>
      </c>
      <c r="D102" s="116">
        <v>1073.1500000000001</v>
      </c>
      <c r="E102" s="116">
        <v>1084.45</v>
      </c>
      <c r="F102" s="116">
        <v>2155.15</v>
      </c>
      <c r="G102">
        <v>438</v>
      </c>
      <c r="H102" s="116"/>
      <c r="I102" s="116"/>
      <c r="L102" s="170">
        <v>43798</v>
      </c>
      <c r="M102" s="116">
        <v>1077.5999999999999</v>
      </c>
      <c r="N102" s="116">
        <v>1087.5</v>
      </c>
      <c r="O102" s="116">
        <v>1071.7</v>
      </c>
      <c r="P102" s="116">
        <v>1078.3</v>
      </c>
      <c r="Q102" s="116">
        <v>2155.1999999999998</v>
      </c>
      <c r="R102">
        <v>19111</v>
      </c>
    </row>
    <row r="103" spans="1:18" x14ac:dyDescent="0.25">
      <c r="A103" s="170">
        <v>43801</v>
      </c>
      <c r="B103" s="116">
        <v>1100</v>
      </c>
      <c r="C103" s="116">
        <v>1094</v>
      </c>
      <c r="D103" s="116">
        <v>1074.5</v>
      </c>
      <c r="E103" s="116">
        <v>1078</v>
      </c>
      <c r="F103" s="116">
        <v>2188</v>
      </c>
      <c r="G103">
        <v>2028</v>
      </c>
      <c r="H103" s="116"/>
      <c r="I103" s="116"/>
      <c r="L103" s="170">
        <v>43801</v>
      </c>
      <c r="M103" s="116">
        <v>1095.55</v>
      </c>
      <c r="N103" s="116">
        <v>1100</v>
      </c>
      <c r="O103" s="116">
        <v>1075</v>
      </c>
      <c r="P103" s="116">
        <v>1080</v>
      </c>
      <c r="Q103" s="116">
        <v>2191.1</v>
      </c>
      <c r="R103">
        <v>33720</v>
      </c>
    </row>
    <row r="104" spans="1:18" x14ac:dyDescent="0.25">
      <c r="A104" s="170">
        <v>43802</v>
      </c>
      <c r="B104" s="116">
        <v>1113</v>
      </c>
      <c r="C104" s="116">
        <v>1097.5</v>
      </c>
      <c r="D104" s="116">
        <v>1075.7249999999999</v>
      </c>
      <c r="E104" s="116">
        <v>1094.25</v>
      </c>
      <c r="F104" s="116">
        <v>2195</v>
      </c>
      <c r="G104">
        <v>2476</v>
      </c>
      <c r="H104" s="116"/>
      <c r="I104" s="116"/>
      <c r="L104" s="170">
        <v>43802</v>
      </c>
      <c r="M104" s="116">
        <v>1097.8</v>
      </c>
      <c r="N104" s="116">
        <v>1112.5</v>
      </c>
      <c r="O104" s="116">
        <v>1076.6500000000001</v>
      </c>
      <c r="P104" s="116">
        <v>1094</v>
      </c>
      <c r="Q104" s="116">
        <v>2195.6</v>
      </c>
      <c r="R104">
        <v>103524</v>
      </c>
    </row>
    <row r="105" spans="1:18" x14ac:dyDescent="0.25">
      <c r="A105" s="170">
        <v>43803</v>
      </c>
      <c r="B105" s="116">
        <v>1100</v>
      </c>
      <c r="C105" s="116">
        <v>1096.0999999999999</v>
      </c>
      <c r="D105" s="116">
        <v>1065</v>
      </c>
      <c r="E105" s="116">
        <v>1085.5250000000001</v>
      </c>
      <c r="F105" s="116">
        <v>2192.1999999999998</v>
      </c>
      <c r="G105">
        <v>2922</v>
      </c>
      <c r="H105" s="116"/>
      <c r="I105" s="116"/>
      <c r="L105" s="170">
        <v>43803</v>
      </c>
      <c r="M105" s="116">
        <v>1094.2</v>
      </c>
      <c r="N105" s="116">
        <v>1100</v>
      </c>
      <c r="O105" s="116">
        <v>1062.5250000000001</v>
      </c>
      <c r="P105" s="116">
        <v>1094</v>
      </c>
      <c r="Q105" s="116">
        <v>2188.4</v>
      </c>
      <c r="R105">
        <v>25358</v>
      </c>
    </row>
    <row r="106" spans="1:18" x14ac:dyDescent="0.25">
      <c r="A106" s="170">
        <v>43804</v>
      </c>
      <c r="B106" s="116">
        <v>1096.5</v>
      </c>
      <c r="C106" s="116">
        <v>1081.5</v>
      </c>
      <c r="D106" s="116">
        <v>1076.7750000000001</v>
      </c>
      <c r="E106" s="116">
        <v>1096.5</v>
      </c>
      <c r="F106" s="116">
        <v>2163</v>
      </c>
      <c r="G106">
        <v>853</v>
      </c>
      <c r="H106" s="116"/>
      <c r="I106" s="116"/>
      <c r="L106" s="170">
        <v>43804</v>
      </c>
      <c r="M106" s="116">
        <v>1083.825</v>
      </c>
      <c r="N106" s="116">
        <v>1099.25</v>
      </c>
      <c r="O106" s="116">
        <v>1077.5</v>
      </c>
      <c r="P106" s="116">
        <v>1094.2</v>
      </c>
      <c r="Q106" s="116">
        <v>2167.65</v>
      </c>
      <c r="R106">
        <v>21297</v>
      </c>
    </row>
    <row r="107" spans="1:18" x14ac:dyDescent="0.25">
      <c r="A107" s="170">
        <v>43805</v>
      </c>
      <c r="B107" s="116">
        <v>1075.2</v>
      </c>
      <c r="C107" s="116">
        <v>1063.8499999999999</v>
      </c>
      <c r="D107" s="116">
        <v>1058.375</v>
      </c>
      <c r="E107" s="116">
        <v>1066.8</v>
      </c>
      <c r="F107" s="116">
        <v>2127.6999999999998</v>
      </c>
      <c r="G107">
        <v>1313</v>
      </c>
      <c r="H107" s="116"/>
      <c r="I107" s="116"/>
      <c r="L107" s="170">
        <v>43805</v>
      </c>
      <c r="M107" s="116">
        <v>1065.4749999999999</v>
      </c>
      <c r="N107" s="116">
        <v>1089.45</v>
      </c>
      <c r="O107" s="116">
        <v>1057.5250000000001</v>
      </c>
      <c r="P107" s="116">
        <v>1085</v>
      </c>
      <c r="Q107" s="116">
        <v>2130.9499999999998</v>
      </c>
      <c r="R107">
        <v>13654</v>
      </c>
    </row>
    <row r="108" spans="1:18" x14ac:dyDescent="0.25">
      <c r="A108" s="170">
        <v>43808</v>
      </c>
      <c r="B108" s="116">
        <v>1077.7249999999999</v>
      </c>
      <c r="C108" s="116">
        <v>1060.5250000000001</v>
      </c>
      <c r="D108" s="116">
        <v>1040</v>
      </c>
      <c r="E108" s="116">
        <v>1050</v>
      </c>
      <c r="F108" s="116">
        <v>2121.0500000000002</v>
      </c>
      <c r="G108">
        <v>1113</v>
      </c>
      <c r="H108" s="116"/>
      <c r="I108" s="116"/>
      <c r="L108" s="170">
        <v>43808</v>
      </c>
      <c r="M108" s="116">
        <v>1061.4749999999999</v>
      </c>
      <c r="N108" s="116">
        <v>1079.2750000000001</v>
      </c>
      <c r="O108" s="116">
        <v>1040</v>
      </c>
      <c r="P108" s="116">
        <v>1050.675</v>
      </c>
      <c r="Q108" s="116">
        <v>2122.9499999999998</v>
      </c>
      <c r="R108">
        <v>16220</v>
      </c>
    </row>
    <row r="109" spans="1:18" x14ac:dyDescent="0.25">
      <c r="A109" s="170">
        <v>43809</v>
      </c>
      <c r="B109" s="116">
        <v>1076</v>
      </c>
      <c r="C109" s="116">
        <v>1002.75</v>
      </c>
      <c r="D109" s="116">
        <v>997.5</v>
      </c>
      <c r="E109" s="116">
        <v>1064</v>
      </c>
      <c r="F109" s="116">
        <v>2005.5</v>
      </c>
      <c r="G109">
        <v>4121</v>
      </c>
      <c r="H109" s="116"/>
      <c r="I109" s="116"/>
      <c r="L109" s="170">
        <v>43809</v>
      </c>
      <c r="M109" s="116">
        <v>1002.1</v>
      </c>
      <c r="N109" s="116">
        <v>1081.95</v>
      </c>
      <c r="O109" s="116">
        <v>992.52499999999998</v>
      </c>
      <c r="P109" s="116">
        <v>1081.95</v>
      </c>
      <c r="Q109" s="116">
        <v>2004.2</v>
      </c>
      <c r="R109">
        <v>42794</v>
      </c>
    </row>
    <row r="110" spans="1:18" x14ac:dyDescent="0.25">
      <c r="A110" s="170">
        <v>43810</v>
      </c>
      <c r="B110" s="116">
        <v>1021.725</v>
      </c>
      <c r="C110" s="116">
        <v>1003.2</v>
      </c>
      <c r="D110" s="116">
        <v>989.9</v>
      </c>
      <c r="E110" s="116">
        <v>1004</v>
      </c>
      <c r="F110" s="116">
        <v>2006.4</v>
      </c>
      <c r="G110">
        <v>558</v>
      </c>
      <c r="H110" s="116"/>
      <c r="I110" s="116"/>
      <c r="L110" s="170">
        <v>43810</v>
      </c>
      <c r="M110" s="116">
        <v>1004.95</v>
      </c>
      <c r="N110" s="116">
        <v>1025</v>
      </c>
      <c r="O110" s="116">
        <v>990.02499999999998</v>
      </c>
      <c r="P110" s="116">
        <v>1010.6</v>
      </c>
      <c r="Q110" s="116">
        <v>2009.9</v>
      </c>
      <c r="R110">
        <v>15127</v>
      </c>
    </row>
    <row r="111" spans="1:18" x14ac:dyDescent="0.25">
      <c r="A111" s="170">
        <v>43811</v>
      </c>
      <c r="B111" s="116">
        <v>1068.5</v>
      </c>
      <c r="C111" s="116">
        <v>1043.3499999999999</v>
      </c>
      <c r="D111" s="116">
        <v>1016</v>
      </c>
      <c r="E111" s="116">
        <v>1016</v>
      </c>
      <c r="F111" s="116">
        <v>2086.6999999999998</v>
      </c>
      <c r="G111">
        <v>1857</v>
      </c>
      <c r="H111" s="116"/>
      <c r="I111" s="116"/>
      <c r="L111" s="170">
        <v>43811</v>
      </c>
      <c r="M111" s="116">
        <v>1042.425</v>
      </c>
      <c r="N111" s="116">
        <v>1068.9000000000001</v>
      </c>
      <c r="O111" s="116">
        <v>1012.775</v>
      </c>
      <c r="P111" s="116">
        <v>1025</v>
      </c>
      <c r="Q111" s="116">
        <v>2084.85</v>
      </c>
      <c r="R111">
        <v>28566</v>
      </c>
    </row>
    <row r="112" spans="1:18" x14ac:dyDescent="0.25">
      <c r="A112" s="170">
        <v>43812</v>
      </c>
      <c r="B112" s="116">
        <v>1066.3499999999999</v>
      </c>
      <c r="C112" s="116">
        <v>1055.3</v>
      </c>
      <c r="D112" s="116">
        <v>1047</v>
      </c>
      <c r="E112" s="116">
        <v>1047</v>
      </c>
      <c r="F112" s="116">
        <v>2110.6</v>
      </c>
      <c r="G112">
        <v>983</v>
      </c>
      <c r="H112" s="116"/>
      <c r="I112" s="116"/>
      <c r="L112" s="170">
        <v>43812</v>
      </c>
      <c r="M112" s="116">
        <v>1056.5</v>
      </c>
      <c r="N112" s="116">
        <v>1068.9749999999999</v>
      </c>
      <c r="O112" s="116">
        <v>1040.325</v>
      </c>
      <c r="P112" s="116">
        <v>1045</v>
      </c>
      <c r="Q112" s="116">
        <v>2113</v>
      </c>
      <c r="R112">
        <v>9962</v>
      </c>
    </row>
    <row r="113" spans="1:18" x14ac:dyDescent="0.25">
      <c r="A113" s="170">
        <v>43815</v>
      </c>
      <c r="B113" s="116">
        <v>1050</v>
      </c>
      <c r="C113" s="116">
        <v>1010.6</v>
      </c>
      <c r="D113" s="116">
        <v>998.8</v>
      </c>
      <c r="E113" s="116">
        <v>1050</v>
      </c>
      <c r="F113" s="116">
        <v>2021.2</v>
      </c>
      <c r="G113">
        <v>7448</v>
      </c>
      <c r="H113" s="116"/>
      <c r="I113" s="116"/>
      <c r="L113" s="170">
        <v>43815</v>
      </c>
      <c r="M113" s="116">
        <v>1012.7</v>
      </c>
      <c r="N113" s="116">
        <v>1054.175</v>
      </c>
      <c r="O113" s="116">
        <v>1000</v>
      </c>
      <c r="P113" s="116">
        <v>1041</v>
      </c>
      <c r="Q113" s="116">
        <v>2025.4</v>
      </c>
      <c r="R113">
        <v>20895</v>
      </c>
    </row>
    <row r="114" spans="1:18" x14ac:dyDescent="0.25">
      <c r="A114" s="170">
        <v>43816</v>
      </c>
      <c r="B114" s="116">
        <v>1025</v>
      </c>
      <c r="C114" s="116">
        <v>1008.55</v>
      </c>
      <c r="D114" s="116">
        <v>1002.6</v>
      </c>
      <c r="E114" s="116">
        <v>1020</v>
      </c>
      <c r="F114" s="116">
        <v>2017.1</v>
      </c>
      <c r="G114">
        <v>1395</v>
      </c>
      <c r="H114" s="116"/>
      <c r="I114" s="116"/>
      <c r="L114" s="170">
        <v>43816</v>
      </c>
      <c r="M114" s="116">
        <v>1010.15</v>
      </c>
      <c r="N114" s="116">
        <v>1030</v>
      </c>
      <c r="O114" s="116">
        <v>1002.8</v>
      </c>
      <c r="P114" s="116">
        <v>1019.925</v>
      </c>
      <c r="Q114" s="116">
        <v>2020.3</v>
      </c>
      <c r="R114">
        <v>12185</v>
      </c>
    </row>
    <row r="115" spans="1:18" x14ac:dyDescent="0.25">
      <c r="A115" s="170">
        <v>43817</v>
      </c>
      <c r="B115" s="116">
        <v>1023.3</v>
      </c>
      <c r="C115" s="116">
        <v>1011.6</v>
      </c>
      <c r="D115" s="116">
        <v>1008.2</v>
      </c>
      <c r="E115" s="116">
        <v>1017</v>
      </c>
      <c r="F115" s="116">
        <v>2023.2</v>
      </c>
      <c r="G115">
        <v>316</v>
      </c>
      <c r="H115" s="116"/>
      <c r="I115" s="116"/>
      <c r="L115" s="170">
        <v>43817</v>
      </c>
      <c r="M115" s="116">
        <v>1010.2</v>
      </c>
      <c r="N115" s="116">
        <v>1022.5</v>
      </c>
      <c r="O115" s="116">
        <v>1007.5</v>
      </c>
      <c r="P115" s="116">
        <v>1018.6</v>
      </c>
      <c r="Q115" s="116">
        <v>2020.4</v>
      </c>
      <c r="R115">
        <v>6981</v>
      </c>
    </row>
    <row r="116" spans="1:18" x14ac:dyDescent="0.25">
      <c r="A116" s="170">
        <v>43818</v>
      </c>
      <c r="B116" s="116">
        <v>1016.375</v>
      </c>
      <c r="C116" s="116">
        <v>996.77499999999998</v>
      </c>
      <c r="D116" s="116">
        <v>983</v>
      </c>
      <c r="E116" s="116">
        <v>1016.375</v>
      </c>
      <c r="F116" s="116">
        <v>1993.55</v>
      </c>
      <c r="G116">
        <v>993</v>
      </c>
      <c r="H116" s="116"/>
      <c r="I116" s="116"/>
      <c r="L116" s="170">
        <v>43818</v>
      </c>
      <c r="M116" s="116">
        <v>996.4</v>
      </c>
      <c r="N116" s="116">
        <v>1017.5</v>
      </c>
      <c r="O116" s="116">
        <v>980.95</v>
      </c>
      <c r="P116" s="116">
        <v>1012.275</v>
      </c>
      <c r="Q116" s="116">
        <v>1992.8</v>
      </c>
      <c r="R116">
        <v>17055</v>
      </c>
    </row>
    <row r="117" spans="1:18" x14ac:dyDescent="0.25">
      <c r="A117" s="170">
        <v>43819</v>
      </c>
      <c r="B117" s="116">
        <v>1014.75</v>
      </c>
      <c r="C117" s="116">
        <v>992.55</v>
      </c>
      <c r="D117" s="116">
        <v>985</v>
      </c>
      <c r="E117" s="116">
        <v>1008.325</v>
      </c>
      <c r="F117" s="116">
        <v>1985.1</v>
      </c>
      <c r="G117">
        <v>790</v>
      </c>
      <c r="H117" s="116"/>
      <c r="I117" s="116"/>
      <c r="L117" s="170">
        <v>43819</v>
      </c>
      <c r="M117" s="116">
        <v>992.5</v>
      </c>
      <c r="N117" s="116">
        <v>1012.525</v>
      </c>
      <c r="O117" s="116">
        <v>981</v>
      </c>
      <c r="P117" s="116">
        <v>1000</v>
      </c>
      <c r="Q117" s="116">
        <v>1985</v>
      </c>
      <c r="R117">
        <v>10967</v>
      </c>
    </row>
    <row r="118" spans="1:18" x14ac:dyDescent="0.25">
      <c r="A118" s="170">
        <v>43822</v>
      </c>
      <c r="B118" s="116">
        <v>1087.425</v>
      </c>
      <c r="C118" s="116">
        <v>1071.55</v>
      </c>
      <c r="D118" s="116">
        <v>1017.5</v>
      </c>
      <c r="E118" s="116">
        <v>1028.0250000000001</v>
      </c>
      <c r="F118" s="116">
        <v>2143.1</v>
      </c>
      <c r="G118">
        <v>14702</v>
      </c>
      <c r="H118" s="116"/>
      <c r="I118" s="116"/>
      <c r="L118" s="170">
        <v>43822</v>
      </c>
      <c r="M118" s="116">
        <v>1070.2750000000001</v>
      </c>
      <c r="N118" s="116">
        <v>1087.5</v>
      </c>
      <c r="O118" s="116">
        <v>1014</v>
      </c>
      <c r="P118" s="116">
        <v>1027.5</v>
      </c>
      <c r="Q118" s="116">
        <v>2140.5500000000002</v>
      </c>
      <c r="R118">
        <v>221410</v>
      </c>
    </row>
    <row r="119" spans="1:18" x14ac:dyDescent="0.25">
      <c r="A119" s="170">
        <v>43823</v>
      </c>
      <c r="B119" s="116">
        <v>1095</v>
      </c>
      <c r="C119" s="116">
        <v>1044.925</v>
      </c>
      <c r="D119" s="116">
        <v>1034.4000000000001</v>
      </c>
      <c r="E119" s="116">
        <v>1074.5</v>
      </c>
      <c r="F119" s="116">
        <v>2089.85</v>
      </c>
      <c r="G119">
        <v>10591</v>
      </c>
      <c r="H119" s="116"/>
      <c r="I119" s="116"/>
      <c r="L119" s="170">
        <v>43823</v>
      </c>
      <c r="M119" s="116">
        <v>1045.4749999999999</v>
      </c>
      <c r="N119" s="116">
        <v>1097.5</v>
      </c>
      <c r="O119" s="116">
        <v>1030</v>
      </c>
      <c r="P119" s="116">
        <v>1077.2</v>
      </c>
      <c r="Q119" s="116">
        <v>2090.9499999999998</v>
      </c>
      <c r="R119">
        <v>127544</v>
      </c>
    </row>
    <row r="120" spans="1:18" x14ac:dyDescent="0.25">
      <c r="A120" s="170">
        <v>43825</v>
      </c>
      <c r="B120" s="116">
        <v>1065.5</v>
      </c>
      <c r="C120" s="116">
        <v>1039.05</v>
      </c>
      <c r="D120" s="116">
        <v>1034.575</v>
      </c>
      <c r="E120" s="116">
        <v>1038.5</v>
      </c>
      <c r="F120" s="116">
        <v>2078.1</v>
      </c>
      <c r="G120">
        <v>1515</v>
      </c>
      <c r="H120" s="116"/>
      <c r="I120" s="116"/>
      <c r="L120" s="170">
        <v>43825</v>
      </c>
      <c r="M120" s="116">
        <v>1040.75</v>
      </c>
      <c r="N120" s="116">
        <v>1065.9749999999999</v>
      </c>
      <c r="O120" s="116">
        <v>1033.1500000000001</v>
      </c>
      <c r="P120" s="116">
        <v>1036</v>
      </c>
      <c r="Q120" s="116">
        <v>2081.5</v>
      </c>
      <c r="R120">
        <v>42233</v>
      </c>
    </row>
    <row r="121" spans="1:18" x14ac:dyDescent="0.25">
      <c r="A121" s="170">
        <v>43826</v>
      </c>
      <c r="B121" s="116">
        <v>1051.5</v>
      </c>
      <c r="C121" s="116">
        <v>1036.2</v>
      </c>
      <c r="D121" s="116">
        <v>1032.75</v>
      </c>
      <c r="E121" s="116">
        <v>1051.5</v>
      </c>
      <c r="F121" s="116">
        <v>2072.4</v>
      </c>
      <c r="G121">
        <v>121710</v>
      </c>
      <c r="H121" s="116"/>
      <c r="I121" s="116"/>
      <c r="L121" s="170">
        <v>43826</v>
      </c>
      <c r="M121" s="116">
        <v>1036.3499999999999</v>
      </c>
      <c r="N121" s="116">
        <v>1053.45</v>
      </c>
      <c r="O121" s="116">
        <v>1030</v>
      </c>
      <c r="P121" s="116">
        <v>1044.5</v>
      </c>
      <c r="Q121" s="116">
        <v>2072.6999999999998</v>
      </c>
      <c r="R121">
        <v>59933</v>
      </c>
    </row>
    <row r="122" spans="1:18" x14ac:dyDescent="0.25">
      <c r="A122" s="170">
        <v>43829</v>
      </c>
      <c r="B122" s="116">
        <v>1042.5250000000001</v>
      </c>
      <c r="C122" s="116">
        <v>1030.825</v>
      </c>
      <c r="D122" s="116">
        <v>1028.4000000000001</v>
      </c>
      <c r="E122" s="116">
        <v>1039.7249999999999</v>
      </c>
      <c r="F122" s="116">
        <v>2061.65</v>
      </c>
      <c r="G122">
        <v>562</v>
      </c>
      <c r="H122" s="116"/>
      <c r="I122" s="116"/>
      <c r="L122" s="170">
        <v>43829</v>
      </c>
      <c r="M122" s="116">
        <v>1029.625</v>
      </c>
      <c r="N122" s="116">
        <v>1043.9749999999999</v>
      </c>
      <c r="O122" s="116">
        <v>1025.5</v>
      </c>
      <c r="P122" s="116">
        <v>1035</v>
      </c>
      <c r="Q122" s="116">
        <v>2059.25</v>
      </c>
      <c r="R122">
        <v>11899</v>
      </c>
    </row>
    <row r="123" spans="1:18" x14ac:dyDescent="0.25">
      <c r="A123" s="170">
        <v>43830</v>
      </c>
      <c r="B123" s="116">
        <v>1041.125</v>
      </c>
      <c r="C123" s="116">
        <v>1033.0250000000001</v>
      </c>
      <c r="D123" s="116">
        <v>1030</v>
      </c>
      <c r="E123" s="116">
        <v>1031.5250000000001</v>
      </c>
      <c r="F123" s="116">
        <v>2066.0500000000002</v>
      </c>
      <c r="G123">
        <v>748</v>
      </c>
      <c r="H123" s="116"/>
      <c r="I123" s="116"/>
      <c r="L123" s="170">
        <v>43830</v>
      </c>
      <c r="M123" s="116">
        <v>1032.9749999999999</v>
      </c>
      <c r="N123" s="116">
        <v>1041.95</v>
      </c>
      <c r="O123" s="116">
        <v>1029</v>
      </c>
      <c r="P123" s="116">
        <v>1041.95</v>
      </c>
      <c r="Q123" s="116">
        <v>2065.9499999999998</v>
      </c>
      <c r="R123">
        <v>11629</v>
      </c>
    </row>
    <row r="124" spans="1:18" x14ac:dyDescent="0.25">
      <c r="A124" s="170">
        <v>43831</v>
      </c>
      <c r="B124" s="116">
        <v>1036</v>
      </c>
      <c r="C124" s="116">
        <v>1029.95</v>
      </c>
      <c r="D124" s="116">
        <v>1025.5</v>
      </c>
      <c r="E124" s="116">
        <v>1030.7750000000001</v>
      </c>
      <c r="F124" s="116">
        <v>2059.9</v>
      </c>
      <c r="G124">
        <v>312</v>
      </c>
      <c r="H124" s="116"/>
      <c r="I124" s="116"/>
      <c r="L124" s="170">
        <v>43831</v>
      </c>
      <c r="M124" s="116">
        <v>1029.325</v>
      </c>
      <c r="N124" s="116">
        <v>1040</v>
      </c>
      <c r="O124" s="116">
        <v>1022.5</v>
      </c>
      <c r="P124" s="116">
        <v>1035</v>
      </c>
      <c r="Q124" s="116">
        <v>2058.65</v>
      </c>
      <c r="R124">
        <v>6972</v>
      </c>
    </row>
    <row r="125" spans="1:18" x14ac:dyDescent="0.25">
      <c r="A125" s="170">
        <v>43832</v>
      </c>
      <c r="B125" s="116">
        <v>1027.5</v>
      </c>
      <c r="C125" s="116">
        <v>1023.2</v>
      </c>
      <c r="D125" s="116">
        <v>1020</v>
      </c>
      <c r="E125" s="116">
        <v>1025.7249999999999</v>
      </c>
      <c r="F125" s="116">
        <v>2046.4</v>
      </c>
      <c r="G125">
        <v>797</v>
      </c>
      <c r="H125" s="116"/>
      <c r="I125" s="116"/>
      <c r="L125" s="170">
        <v>43832</v>
      </c>
      <c r="M125" s="116">
        <v>1023.75</v>
      </c>
      <c r="N125" s="116">
        <v>1036.45</v>
      </c>
      <c r="O125" s="116">
        <v>1018.975</v>
      </c>
      <c r="P125" s="116">
        <v>1031.5</v>
      </c>
      <c r="Q125" s="116">
        <v>2047.5</v>
      </c>
      <c r="R125">
        <v>13594</v>
      </c>
    </row>
    <row r="126" spans="1:18" x14ac:dyDescent="0.25">
      <c r="A126" s="170">
        <v>43833</v>
      </c>
      <c r="B126" s="116">
        <v>1070.2</v>
      </c>
      <c r="C126" s="116">
        <v>1037.875</v>
      </c>
      <c r="D126" s="116">
        <v>1025</v>
      </c>
      <c r="E126" s="116">
        <v>1025</v>
      </c>
      <c r="F126" s="116">
        <v>2075.75</v>
      </c>
      <c r="G126">
        <v>2880</v>
      </c>
      <c r="H126" s="116"/>
      <c r="I126" s="116"/>
      <c r="L126" s="170">
        <v>43833</v>
      </c>
      <c r="M126" s="116">
        <v>1038.45</v>
      </c>
      <c r="N126" s="116">
        <v>1071.9749999999999</v>
      </c>
      <c r="O126" s="116">
        <v>1021.525</v>
      </c>
      <c r="P126" s="116">
        <v>1023.775</v>
      </c>
      <c r="Q126" s="116">
        <v>2076.9</v>
      </c>
      <c r="R126">
        <v>54320</v>
      </c>
    </row>
    <row r="127" spans="1:18" x14ac:dyDescent="0.25">
      <c r="A127" s="170">
        <v>43836</v>
      </c>
      <c r="B127" s="116">
        <v>1046.1500000000001</v>
      </c>
      <c r="C127" s="116">
        <v>1025.7249999999999</v>
      </c>
      <c r="D127" s="116">
        <v>1012.5</v>
      </c>
      <c r="E127" s="116">
        <v>1038.3499999999999</v>
      </c>
      <c r="F127" s="116">
        <v>2051.4499999999998</v>
      </c>
      <c r="G127">
        <v>2002</v>
      </c>
      <c r="H127" s="116"/>
      <c r="I127" s="116"/>
      <c r="L127" s="170">
        <v>43836</v>
      </c>
      <c r="M127" s="116">
        <v>1019.95</v>
      </c>
      <c r="N127" s="116">
        <v>1048</v>
      </c>
      <c r="O127" s="116">
        <v>1007.5</v>
      </c>
      <c r="P127" s="116">
        <v>1040</v>
      </c>
      <c r="Q127" s="116">
        <v>2039.9</v>
      </c>
      <c r="R127">
        <v>23094</v>
      </c>
    </row>
    <row r="128" spans="1:18" x14ac:dyDescent="0.25">
      <c r="A128" s="170">
        <v>43837</v>
      </c>
      <c r="B128" s="116">
        <v>1036</v>
      </c>
      <c r="C128" s="116">
        <v>1020.275</v>
      </c>
      <c r="D128" s="116">
        <v>1013</v>
      </c>
      <c r="E128" s="116">
        <v>1029.875</v>
      </c>
      <c r="F128" s="116">
        <v>2040.55</v>
      </c>
      <c r="G128">
        <v>562</v>
      </c>
      <c r="H128" s="116"/>
      <c r="I128" s="116"/>
      <c r="L128" s="170">
        <v>43837</v>
      </c>
      <c r="M128" s="116">
        <v>1018.95</v>
      </c>
      <c r="N128" s="116">
        <v>1037</v>
      </c>
      <c r="O128" s="116">
        <v>1013.5</v>
      </c>
      <c r="P128" s="116">
        <v>1022.5</v>
      </c>
      <c r="Q128" s="116">
        <v>2037.9</v>
      </c>
      <c r="R128">
        <v>9975</v>
      </c>
    </row>
    <row r="129" spans="1:18" x14ac:dyDescent="0.25">
      <c r="A129" s="170">
        <v>43838</v>
      </c>
      <c r="B129" s="116">
        <v>1030.75</v>
      </c>
      <c r="C129" s="116">
        <v>1008</v>
      </c>
      <c r="D129" s="116">
        <v>1001.3</v>
      </c>
      <c r="E129" s="116">
        <v>1003.15</v>
      </c>
      <c r="F129" s="116">
        <v>2016</v>
      </c>
      <c r="G129">
        <v>1273</v>
      </c>
      <c r="H129" s="116"/>
      <c r="I129" s="116"/>
      <c r="L129" s="170">
        <v>43838</v>
      </c>
      <c r="M129" s="116">
        <v>1008.45</v>
      </c>
      <c r="N129" s="116">
        <v>1032.5</v>
      </c>
      <c r="O129" s="116">
        <v>1000.5</v>
      </c>
      <c r="P129" s="116">
        <v>1015</v>
      </c>
      <c r="Q129" s="116">
        <v>2016.9</v>
      </c>
      <c r="R129">
        <v>20219</v>
      </c>
    </row>
    <row r="130" spans="1:18" x14ac:dyDescent="0.25">
      <c r="A130" s="170">
        <v>43839</v>
      </c>
      <c r="B130" s="116">
        <v>1027.8</v>
      </c>
      <c r="C130" s="116">
        <v>1001.425</v>
      </c>
      <c r="D130" s="116">
        <v>1000</v>
      </c>
      <c r="E130" s="116">
        <v>1012</v>
      </c>
      <c r="F130" s="116">
        <v>2002.85</v>
      </c>
      <c r="G130">
        <v>1433</v>
      </c>
      <c r="H130" s="116"/>
      <c r="I130" s="116"/>
      <c r="L130" s="170">
        <v>43839</v>
      </c>
      <c r="M130" s="116">
        <v>1001.7</v>
      </c>
      <c r="N130" s="116">
        <v>1030</v>
      </c>
      <c r="O130" s="116">
        <v>1000</v>
      </c>
      <c r="P130" s="116">
        <v>1017.5</v>
      </c>
      <c r="Q130" s="116">
        <v>2003.4</v>
      </c>
      <c r="R130">
        <v>21770</v>
      </c>
    </row>
    <row r="131" spans="1:18" x14ac:dyDescent="0.25">
      <c r="A131" s="170">
        <v>43840</v>
      </c>
      <c r="B131" s="116">
        <v>1045</v>
      </c>
      <c r="C131" s="116">
        <v>1022.025</v>
      </c>
      <c r="D131" s="116">
        <v>1011</v>
      </c>
      <c r="E131" s="116">
        <v>1011</v>
      </c>
      <c r="F131" s="116">
        <v>2044.05</v>
      </c>
      <c r="G131">
        <v>1162</v>
      </c>
      <c r="H131" s="116"/>
      <c r="I131" s="116"/>
      <c r="L131" s="170">
        <v>43840</v>
      </c>
      <c r="M131" s="116">
        <v>1022.225</v>
      </c>
      <c r="N131" s="116">
        <v>1044.5</v>
      </c>
      <c r="O131" s="116">
        <v>1008</v>
      </c>
      <c r="P131" s="116">
        <v>1010</v>
      </c>
      <c r="Q131" s="116">
        <v>2044.45</v>
      </c>
      <c r="R131">
        <v>25266</v>
      </c>
    </row>
    <row r="132" spans="1:18" x14ac:dyDescent="0.25">
      <c r="A132" s="170">
        <v>43843</v>
      </c>
      <c r="B132" s="116">
        <v>1041.5250000000001</v>
      </c>
      <c r="C132" s="116">
        <v>1029.95</v>
      </c>
      <c r="D132" s="116">
        <v>1022.225</v>
      </c>
      <c r="E132" s="116">
        <v>1022.225</v>
      </c>
      <c r="F132" s="116">
        <v>2059.9</v>
      </c>
      <c r="G132">
        <v>511</v>
      </c>
      <c r="H132" s="116"/>
      <c r="I132" s="116"/>
      <c r="L132" s="170">
        <v>43843</v>
      </c>
      <c r="M132" s="116">
        <v>1030.425</v>
      </c>
      <c r="N132" s="116">
        <v>1042.5</v>
      </c>
      <c r="O132" s="116">
        <v>1020.025</v>
      </c>
      <c r="P132" s="116">
        <v>1030</v>
      </c>
      <c r="Q132" s="116">
        <v>2060.85</v>
      </c>
      <c r="R132">
        <v>11629</v>
      </c>
    </row>
    <row r="133" spans="1:18" x14ac:dyDescent="0.25">
      <c r="A133" s="170">
        <v>43844</v>
      </c>
      <c r="B133" s="116">
        <v>1032.5</v>
      </c>
      <c r="C133" s="116">
        <v>1004.775</v>
      </c>
      <c r="D133" s="116">
        <v>1002.3</v>
      </c>
      <c r="E133" s="116">
        <v>1032.5</v>
      </c>
      <c r="F133" s="116">
        <v>2009.55</v>
      </c>
      <c r="G133">
        <v>808</v>
      </c>
      <c r="H133" s="116"/>
      <c r="I133" s="116"/>
      <c r="L133" s="170">
        <v>43844</v>
      </c>
      <c r="M133" s="116">
        <v>1005.15</v>
      </c>
      <c r="N133" s="116">
        <v>1038.95</v>
      </c>
      <c r="O133" s="116">
        <v>1003.55</v>
      </c>
      <c r="P133" s="116">
        <v>1031.325</v>
      </c>
      <c r="Q133" s="116">
        <v>2010.3</v>
      </c>
      <c r="R133">
        <v>24658</v>
      </c>
    </row>
    <row r="134" spans="1:18" x14ac:dyDescent="0.25">
      <c r="A134" s="170">
        <v>43845</v>
      </c>
      <c r="B134" s="116">
        <v>1021.5</v>
      </c>
      <c r="C134" s="116">
        <v>1013.775</v>
      </c>
      <c r="D134" s="116">
        <v>1004.35</v>
      </c>
      <c r="E134" s="116">
        <v>1017</v>
      </c>
      <c r="F134" s="116">
        <v>2027.55</v>
      </c>
      <c r="G134">
        <v>1179</v>
      </c>
      <c r="H134" s="116"/>
      <c r="I134" s="116"/>
      <c r="L134" s="170">
        <v>43845</v>
      </c>
      <c r="M134" s="116">
        <v>1013.65</v>
      </c>
      <c r="N134" s="116">
        <v>1022.025</v>
      </c>
      <c r="O134" s="116">
        <v>1005.025</v>
      </c>
      <c r="P134" s="116">
        <v>1009.4</v>
      </c>
      <c r="Q134" s="116">
        <v>2027.3</v>
      </c>
      <c r="R134">
        <v>10833</v>
      </c>
    </row>
    <row r="135" spans="1:18" x14ac:dyDescent="0.25">
      <c r="A135" s="170">
        <v>43846</v>
      </c>
      <c r="B135" s="116">
        <v>1013.85</v>
      </c>
      <c r="C135" s="116">
        <v>1002.025</v>
      </c>
      <c r="D135" s="116">
        <v>1000.05</v>
      </c>
      <c r="E135" s="116">
        <v>1000.5</v>
      </c>
      <c r="F135" s="116">
        <v>2004.05</v>
      </c>
      <c r="G135">
        <v>670</v>
      </c>
      <c r="H135" s="116"/>
      <c r="I135" s="116"/>
      <c r="L135" s="170">
        <v>43846</v>
      </c>
      <c r="M135" s="116">
        <v>1004.55</v>
      </c>
      <c r="N135" s="116">
        <v>1017.4</v>
      </c>
      <c r="O135" s="116">
        <v>1002.5</v>
      </c>
      <c r="P135" s="116">
        <v>1015.225</v>
      </c>
      <c r="Q135" s="116">
        <v>2009.1</v>
      </c>
      <c r="R135">
        <v>10036</v>
      </c>
    </row>
    <row r="136" spans="1:18" x14ac:dyDescent="0.25">
      <c r="A136" s="170">
        <v>43847</v>
      </c>
      <c r="B136" s="116">
        <v>1088</v>
      </c>
      <c r="C136" s="116">
        <v>1071.6500000000001</v>
      </c>
      <c r="D136" s="116">
        <v>1005</v>
      </c>
      <c r="E136" s="116">
        <v>1007.625</v>
      </c>
      <c r="F136" s="116">
        <v>2143.3000000000002</v>
      </c>
      <c r="G136">
        <v>6875</v>
      </c>
      <c r="H136" s="116"/>
      <c r="I136" s="116"/>
      <c r="L136" s="170">
        <v>43847</v>
      </c>
      <c r="M136" s="116">
        <v>1069.8499999999999</v>
      </c>
      <c r="N136" s="116">
        <v>1089.95</v>
      </c>
      <c r="O136" s="116">
        <v>1000.85</v>
      </c>
      <c r="P136" s="116">
        <v>1012.5</v>
      </c>
      <c r="Q136" s="116">
        <v>2139.6999999999998</v>
      </c>
      <c r="R136">
        <v>96945</v>
      </c>
    </row>
    <row r="137" spans="1:18" x14ac:dyDescent="0.25">
      <c r="A137" s="170">
        <v>43850</v>
      </c>
      <c r="B137" s="116">
        <v>1105</v>
      </c>
      <c r="C137" s="116">
        <v>1067</v>
      </c>
      <c r="D137" s="116">
        <v>1057.5</v>
      </c>
      <c r="E137" s="116">
        <v>1095.5</v>
      </c>
      <c r="F137" s="116">
        <v>2134</v>
      </c>
      <c r="G137">
        <v>3016</v>
      </c>
      <c r="H137" s="116"/>
      <c r="I137" s="116"/>
      <c r="L137" s="170">
        <v>43850</v>
      </c>
      <c r="M137" s="116">
        <v>1066.675</v>
      </c>
      <c r="N137" s="116">
        <v>1105</v>
      </c>
      <c r="O137" s="116">
        <v>1055.5</v>
      </c>
      <c r="P137" s="116">
        <v>1097.45</v>
      </c>
      <c r="Q137" s="116">
        <v>2133.35</v>
      </c>
      <c r="R137">
        <v>46419</v>
      </c>
    </row>
    <row r="138" spans="1:18" x14ac:dyDescent="0.25">
      <c r="A138" s="170">
        <v>43851</v>
      </c>
      <c r="B138" s="116">
        <v>1080.5</v>
      </c>
      <c r="C138" s="116">
        <v>1043.625</v>
      </c>
      <c r="D138" s="116">
        <v>1032</v>
      </c>
      <c r="E138" s="116">
        <v>1055</v>
      </c>
      <c r="F138" s="116">
        <v>2087.25</v>
      </c>
      <c r="G138">
        <v>1038</v>
      </c>
      <c r="H138" s="116"/>
      <c r="I138" s="116"/>
      <c r="L138" s="170">
        <v>43851</v>
      </c>
      <c r="M138" s="116">
        <v>1046.375</v>
      </c>
      <c r="N138" s="116">
        <v>1082.2750000000001</v>
      </c>
      <c r="O138" s="116">
        <v>1030.5999999999999</v>
      </c>
      <c r="P138" s="116">
        <v>1050</v>
      </c>
      <c r="Q138" s="116">
        <v>2092.75</v>
      </c>
      <c r="R138">
        <v>25896</v>
      </c>
    </row>
    <row r="139" spans="1:18" x14ac:dyDescent="0.25">
      <c r="A139" s="170">
        <v>43852</v>
      </c>
      <c r="B139" s="116">
        <v>1238.825</v>
      </c>
      <c r="C139" s="116">
        <v>1190.625</v>
      </c>
      <c r="D139" s="116">
        <v>1110</v>
      </c>
      <c r="E139" s="116">
        <v>1110</v>
      </c>
      <c r="F139" s="116">
        <v>2381.25</v>
      </c>
      <c r="G139">
        <v>53463</v>
      </c>
      <c r="H139" s="116"/>
      <c r="I139" s="116"/>
      <c r="L139" s="170">
        <v>43852</v>
      </c>
      <c r="M139" s="116">
        <v>1189.7</v>
      </c>
      <c r="N139" s="116">
        <v>1239</v>
      </c>
      <c r="O139" s="116">
        <v>1116.5</v>
      </c>
      <c r="P139" s="116">
        <v>1116.5</v>
      </c>
      <c r="Q139" s="116">
        <v>2379.4</v>
      </c>
      <c r="R139">
        <v>815728</v>
      </c>
    </row>
    <row r="140" spans="1:18" x14ac:dyDescent="0.25">
      <c r="A140" s="170">
        <v>43853</v>
      </c>
      <c r="B140" s="116">
        <v>1219.75</v>
      </c>
      <c r="C140" s="116">
        <v>1175</v>
      </c>
      <c r="D140" s="116">
        <v>1158.2249999999999</v>
      </c>
      <c r="E140" s="116">
        <v>1205</v>
      </c>
      <c r="F140" s="116">
        <v>2350</v>
      </c>
      <c r="G140">
        <v>14466</v>
      </c>
      <c r="H140" s="116"/>
      <c r="I140" s="116"/>
      <c r="L140" s="170">
        <v>43853</v>
      </c>
      <c r="M140" s="116">
        <v>1171.2</v>
      </c>
      <c r="N140" s="116">
        <v>1222.0999999999999</v>
      </c>
      <c r="O140" s="116">
        <v>1158.25</v>
      </c>
      <c r="P140" s="116">
        <v>1204</v>
      </c>
      <c r="Q140" s="116">
        <v>2342.4</v>
      </c>
      <c r="R140">
        <v>189035</v>
      </c>
    </row>
    <row r="141" spans="1:18" x14ac:dyDescent="0.25">
      <c r="A141" s="170">
        <v>43854</v>
      </c>
      <c r="B141" s="116">
        <v>1198.5</v>
      </c>
      <c r="C141" s="116">
        <v>1180.0999999999999</v>
      </c>
      <c r="D141" s="116">
        <v>1164</v>
      </c>
      <c r="E141" s="116">
        <v>1179.425</v>
      </c>
      <c r="F141" s="116">
        <v>2360.1999999999998</v>
      </c>
      <c r="G141">
        <v>6385</v>
      </c>
      <c r="H141" s="116"/>
      <c r="I141" s="116"/>
      <c r="L141" s="170">
        <v>43854</v>
      </c>
      <c r="M141" s="116">
        <v>1180.3</v>
      </c>
      <c r="N141" s="116">
        <v>1197.45</v>
      </c>
      <c r="O141" s="116">
        <v>1163.2750000000001</v>
      </c>
      <c r="P141" s="116">
        <v>1175</v>
      </c>
      <c r="Q141" s="116">
        <v>2360.6</v>
      </c>
      <c r="R141">
        <v>75672</v>
      </c>
    </row>
    <row r="142" spans="1:18" x14ac:dyDescent="0.25">
      <c r="A142" s="170">
        <v>43857</v>
      </c>
      <c r="B142" s="116">
        <v>1201.7</v>
      </c>
      <c r="C142" s="116">
        <v>1163.25</v>
      </c>
      <c r="D142" s="116">
        <v>1151</v>
      </c>
      <c r="E142" s="116">
        <v>1180.5</v>
      </c>
      <c r="F142" s="116">
        <v>2326.5</v>
      </c>
      <c r="G142">
        <v>5936</v>
      </c>
      <c r="H142" s="116"/>
      <c r="I142" s="116"/>
      <c r="L142" s="170">
        <v>43857</v>
      </c>
      <c r="M142" s="116">
        <v>1164.0999999999999</v>
      </c>
      <c r="N142" s="116">
        <v>1200</v>
      </c>
      <c r="O142" s="116">
        <v>1151.4000000000001</v>
      </c>
      <c r="P142" s="116">
        <v>1180.3</v>
      </c>
      <c r="Q142" s="116">
        <v>2328.1999999999998</v>
      </c>
      <c r="R142">
        <v>88530</v>
      </c>
    </row>
    <row r="143" spans="1:18" x14ac:dyDescent="0.25">
      <c r="A143" s="170">
        <v>43858</v>
      </c>
      <c r="B143" s="116">
        <v>1193.825</v>
      </c>
      <c r="C143" s="116">
        <v>1167.925</v>
      </c>
      <c r="D143" s="116">
        <v>1157.4749999999999</v>
      </c>
      <c r="E143" s="116">
        <v>1177.825</v>
      </c>
      <c r="F143" s="116">
        <v>2335.85</v>
      </c>
      <c r="G143">
        <v>1921</v>
      </c>
      <c r="H143" s="116"/>
      <c r="I143" s="116"/>
      <c r="L143" s="170">
        <v>43858</v>
      </c>
      <c r="M143" s="116">
        <v>1168.2</v>
      </c>
      <c r="N143" s="116">
        <v>1193.4749999999999</v>
      </c>
      <c r="O143" s="116">
        <v>1156</v>
      </c>
      <c r="P143" s="116">
        <v>1175</v>
      </c>
      <c r="Q143" s="116">
        <v>2336.4</v>
      </c>
      <c r="R143">
        <v>39524</v>
      </c>
    </row>
    <row r="144" spans="1:18" x14ac:dyDescent="0.25">
      <c r="A144" s="170">
        <v>43859</v>
      </c>
      <c r="B144" s="116">
        <v>1178.375</v>
      </c>
      <c r="C144" s="116">
        <v>1166.3499999999999</v>
      </c>
      <c r="D144" s="116">
        <v>1160.575</v>
      </c>
      <c r="E144" s="116">
        <v>1175.0250000000001</v>
      </c>
      <c r="F144" s="116">
        <v>2332.6999999999998</v>
      </c>
      <c r="G144">
        <v>623</v>
      </c>
      <c r="H144" s="116"/>
      <c r="I144" s="116"/>
      <c r="L144" s="170">
        <v>43859</v>
      </c>
      <c r="M144" s="116">
        <v>1169.075</v>
      </c>
      <c r="N144" s="116">
        <v>1179.2249999999999</v>
      </c>
      <c r="O144" s="116">
        <v>1160</v>
      </c>
      <c r="P144" s="116">
        <v>1175</v>
      </c>
      <c r="Q144" s="116">
        <v>2338.15</v>
      </c>
      <c r="R144">
        <v>20585</v>
      </c>
    </row>
    <row r="145" spans="1:18" x14ac:dyDescent="0.25">
      <c r="A145" s="170">
        <v>43860</v>
      </c>
      <c r="B145" s="116">
        <v>1175.375</v>
      </c>
      <c r="C145" s="116">
        <v>1158.2249999999999</v>
      </c>
      <c r="D145" s="116">
        <v>1142.5</v>
      </c>
      <c r="E145" s="116">
        <v>1167.175</v>
      </c>
      <c r="F145" s="116">
        <v>2316.4499999999998</v>
      </c>
      <c r="G145">
        <v>4411</v>
      </c>
      <c r="H145" s="116"/>
      <c r="I145" s="116"/>
      <c r="L145" s="170">
        <v>43860</v>
      </c>
      <c r="M145" s="116">
        <v>1159.55</v>
      </c>
      <c r="N145" s="116">
        <v>1175</v>
      </c>
      <c r="O145" s="116">
        <v>1141.55</v>
      </c>
      <c r="P145" s="116">
        <v>1174.5</v>
      </c>
      <c r="Q145" s="116">
        <v>2319.1</v>
      </c>
      <c r="R145">
        <v>42039</v>
      </c>
    </row>
    <row r="146" spans="1:18" x14ac:dyDescent="0.25">
      <c r="A146" s="170">
        <v>43861</v>
      </c>
      <c r="B146" s="116">
        <v>1188.2750000000001</v>
      </c>
      <c r="C146" s="116">
        <v>1168.7249999999999</v>
      </c>
      <c r="D146" s="116">
        <v>1162</v>
      </c>
      <c r="E146" s="116">
        <v>1174.125</v>
      </c>
      <c r="F146" s="116">
        <v>2337.4499999999998</v>
      </c>
      <c r="G146">
        <v>1179</v>
      </c>
      <c r="H146" s="116"/>
      <c r="I146" s="116"/>
      <c r="L146" s="170">
        <v>43861</v>
      </c>
      <c r="M146" s="116">
        <v>1167.2750000000001</v>
      </c>
      <c r="N146" s="116">
        <v>1189</v>
      </c>
      <c r="O146" s="116">
        <v>1152.5</v>
      </c>
      <c r="P146" s="116">
        <v>1174.5</v>
      </c>
      <c r="Q146" s="116">
        <v>2334.5500000000002</v>
      </c>
      <c r="R146">
        <v>47390</v>
      </c>
    </row>
    <row r="147" spans="1:18" x14ac:dyDescent="0.25">
      <c r="A147" s="170">
        <v>43862</v>
      </c>
      <c r="B147" s="116">
        <v>1175.9000000000001</v>
      </c>
      <c r="C147" s="116">
        <v>1151.625</v>
      </c>
      <c r="D147" s="116">
        <v>1136.8</v>
      </c>
      <c r="E147" s="116">
        <v>1175.9000000000001</v>
      </c>
      <c r="F147" s="116">
        <v>2303.25</v>
      </c>
      <c r="G147">
        <v>1768</v>
      </c>
      <c r="H147" s="116"/>
      <c r="I147" s="116"/>
      <c r="L147" s="170">
        <v>43862</v>
      </c>
      <c r="M147" s="116">
        <v>1153.9749999999999</v>
      </c>
      <c r="N147" s="116">
        <v>1177.7249999999999</v>
      </c>
      <c r="O147" s="116">
        <v>1135</v>
      </c>
      <c r="P147" s="116">
        <v>1177.5</v>
      </c>
      <c r="Q147" s="116">
        <v>2307.9499999999998</v>
      </c>
      <c r="R147">
        <v>35043</v>
      </c>
    </row>
    <row r="148" spans="1:18" x14ac:dyDescent="0.25">
      <c r="A148" s="170">
        <v>43864</v>
      </c>
      <c r="B148" s="116">
        <v>1174.05</v>
      </c>
      <c r="C148" s="116">
        <v>1161.3499999999999</v>
      </c>
      <c r="D148" s="116">
        <v>1110.55</v>
      </c>
      <c r="E148" s="116">
        <v>1143.8</v>
      </c>
      <c r="F148" s="116">
        <v>2322.6999999999998</v>
      </c>
      <c r="G148">
        <v>2549</v>
      </c>
      <c r="H148" s="116"/>
      <c r="I148" s="116"/>
      <c r="L148" s="170">
        <v>43864</v>
      </c>
      <c r="M148" s="116">
        <v>1161.95</v>
      </c>
      <c r="N148" s="116">
        <v>1175</v>
      </c>
      <c r="O148" s="116">
        <v>1111</v>
      </c>
      <c r="P148" s="116">
        <v>1135.5</v>
      </c>
      <c r="Q148" s="116">
        <v>2323.9</v>
      </c>
      <c r="R148">
        <v>41528</v>
      </c>
    </row>
    <row r="149" spans="1:18" x14ac:dyDescent="0.25">
      <c r="A149" s="170">
        <v>43865</v>
      </c>
      <c r="B149" s="116">
        <v>1248.875</v>
      </c>
      <c r="C149" s="116">
        <v>1180.625</v>
      </c>
      <c r="D149" s="116">
        <v>1155.5250000000001</v>
      </c>
      <c r="E149" s="116">
        <v>1163.2249999999999</v>
      </c>
      <c r="F149" s="116">
        <v>2361.25</v>
      </c>
      <c r="G149">
        <v>12016</v>
      </c>
      <c r="H149" s="116"/>
      <c r="I149" s="116"/>
      <c r="L149" s="170">
        <v>43865</v>
      </c>
      <c r="M149" s="116">
        <v>1181.875</v>
      </c>
      <c r="N149" s="116">
        <v>1249.95</v>
      </c>
      <c r="O149" s="116">
        <v>1153.25</v>
      </c>
      <c r="P149" s="116">
        <v>1159</v>
      </c>
      <c r="Q149" s="116">
        <v>2363.75</v>
      </c>
      <c r="R149">
        <v>210467</v>
      </c>
    </row>
    <row r="150" spans="1:18" x14ac:dyDescent="0.25">
      <c r="A150" s="170">
        <v>43866</v>
      </c>
      <c r="B150" s="116">
        <v>1230</v>
      </c>
      <c r="C150" s="116">
        <v>1199.5</v>
      </c>
      <c r="D150" s="116">
        <v>1195.2</v>
      </c>
      <c r="E150" s="116">
        <v>1195.2</v>
      </c>
      <c r="F150" s="116">
        <v>2399</v>
      </c>
      <c r="G150">
        <v>2516</v>
      </c>
      <c r="H150" s="116"/>
      <c r="I150" s="116"/>
      <c r="L150" s="170">
        <v>43866</v>
      </c>
      <c r="M150" s="116">
        <v>1199.325</v>
      </c>
      <c r="N150" s="116">
        <v>1229.9749999999999</v>
      </c>
      <c r="O150" s="116">
        <v>1190.0250000000001</v>
      </c>
      <c r="P150" s="116">
        <v>1193.5</v>
      </c>
      <c r="Q150" s="116">
        <v>2398.65</v>
      </c>
      <c r="R150">
        <v>48150</v>
      </c>
    </row>
    <row r="151" spans="1:18" x14ac:dyDescent="0.25">
      <c r="A151" s="170">
        <v>43867</v>
      </c>
      <c r="B151" s="116">
        <v>1226.3499999999999</v>
      </c>
      <c r="C151" s="116">
        <v>1220.7249999999999</v>
      </c>
      <c r="D151" s="116">
        <v>1197.55</v>
      </c>
      <c r="E151" s="116">
        <v>1219.75</v>
      </c>
      <c r="F151" s="116">
        <v>2441.4499999999998</v>
      </c>
      <c r="G151">
        <v>1609</v>
      </c>
      <c r="H151" s="116"/>
      <c r="I151" s="116"/>
      <c r="L151" s="170">
        <v>43867</v>
      </c>
      <c r="M151" s="116">
        <v>1220.375</v>
      </c>
      <c r="N151" s="116">
        <v>1224.95</v>
      </c>
      <c r="O151" s="116">
        <v>1197.5</v>
      </c>
      <c r="P151" s="116">
        <v>1199.325</v>
      </c>
      <c r="Q151" s="116">
        <v>2440.75</v>
      </c>
      <c r="R151">
        <v>46145</v>
      </c>
    </row>
    <row r="152" spans="1:18" x14ac:dyDescent="0.25">
      <c r="A152" s="170">
        <v>43868</v>
      </c>
      <c r="B152" s="116">
        <v>1230</v>
      </c>
      <c r="C152" s="116">
        <v>1212.4000000000001</v>
      </c>
      <c r="D152" s="116">
        <v>1205.05</v>
      </c>
      <c r="E152" s="116">
        <v>1221.325</v>
      </c>
      <c r="F152" s="116">
        <v>2424.8000000000002</v>
      </c>
      <c r="G152">
        <v>1383</v>
      </c>
      <c r="H152" s="116"/>
      <c r="I152" s="116"/>
      <c r="L152" s="170">
        <v>43868</v>
      </c>
      <c r="M152" s="116">
        <v>1211.625</v>
      </c>
      <c r="N152" s="116">
        <v>1232.4749999999999</v>
      </c>
      <c r="O152" s="116">
        <v>1202.7750000000001</v>
      </c>
      <c r="P152" s="116">
        <v>1225</v>
      </c>
      <c r="Q152" s="116">
        <v>2423.25</v>
      </c>
      <c r="R152">
        <v>38006</v>
      </c>
    </row>
    <row r="153" spans="1:18" x14ac:dyDescent="0.25">
      <c r="A153" s="170">
        <v>43871</v>
      </c>
      <c r="B153" s="116">
        <v>1222.175</v>
      </c>
      <c r="C153" s="116">
        <v>1205</v>
      </c>
      <c r="D153" s="116">
        <v>1194.9000000000001</v>
      </c>
      <c r="E153" s="116">
        <v>1214.575</v>
      </c>
      <c r="F153" s="116">
        <v>2410</v>
      </c>
      <c r="G153">
        <v>1577</v>
      </c>
      <c r="H153" s="116"/>
      <c r="I153" s="116"/>
      <c r="L153" s="170">
        <v>43871</v>
      </c>
      <c r="M153" s="116">
        <v>1205.7750000000001</v>
      </c>
      <c r="N153" s="116">
        <v>1222.5250000000001</v>
      </c>
      <c r="O153" s="116">
        <v>1195.0250000000001</v>
      </c>
      <c r="P153" s="116">
        <v>1216.5</v>
      </c>
      <c r="Q153" s="116">
        <v>2411.5500000000002</v>
      </c>
      <c r="R153">
        <v>28805</v>
      </c>
    </row>
    <row r="154" spans="1:18" x14ac:dyDescent="0.25">
      <c r="A154" s="170">
        <v>43872</v>
      </c>
      <c r="B154" s="116">
        <v>1223.0250000000001</v>
      </c>
      <c r="C154" s="116">
        <v>1181.05</v>
      </c>
      <c r="D154" s="116">
        <v>1177.0999999999999</v>
      </c>
      <c r="E154" s="116">
        <v>1219.0999999999999</v>
      </c>
      <c r="F154" s="116">
        <v>2362.1</v>
      </c>
      <c r="G154">
        <v>1661</v>
      </c>
      <c r="H154" s="116"/>
      <c r="I154" s="116"/>
      <c r="L154" s="170">
        <v>43872</v>
      </c>
      <c r="M154" s="116">
        <v>1181.25</v>
      </c>
      <c r="N154" s="116">
        <v>1222.45</v>
      </c>
      <c r="O154" s="116">
        <v>1176.3</v>
      </c>
      <c r="P154" s="116">
        <v>1207</v>
      </c>
      <c r="Q154" s="116">
        <v>2362.5</v>
      </c>
      <c r="R154">
        <v>24981</v>
      </c>
    </row>
    <row r="155" spans="1:18" x14ac:dyDescent="0.25">
      <c r="A155" s="170">
        <v>43873</v>
      </c>
      <c r="B155" s="116">
        <v>1237.5</v>
      </c>
      <c r="C155" s="116">
        <v>1211</v>
      </c>
      <c r="D155" s="116">
        <v>1172.425</v>
      </c>
      <c r="E155" s="116">
        <v>1192.6500000000001</v>
      </c>
      <c r="F155" s="116">
        <v>2422</v>
      </c>
      <c r="G155">
        <v>7407</v>
      </c>
      <c r="H155" s="116"/>
      <c r="I155" s="116"/>
      <c r="L155" s="170">
        <v>43873</v>
      </c>
      <c r="M155" s="116">
        <v>1210.7750000000001</v>
      </c>
      <c r="N155" s="116">
        <v>1237.5</v>
      </c>
      <c r="O155" s="116">
        <v>1172.5</v>
      </c>
      <c r="P155" s="116">
        <v>1182.5</v>
      </c>
      <c r="Q155" s="116">
        <v>2421.5500000000002</v>
      </c>
      <c r="R155">
        <v>144932</v>
      </c>
    </row>
    <row r="156" spans="1:18" x14ac:dyDescent="0.25">
      <c r="A156" s="170">
        <v>43874</v>
      </c>
      <c r="B156" s="116">
        <v>1224.4000000000001</v>
      </c>
      <c r="C156" s="116">
        <v>1215.0999999999999</v>
      </c>
      <c r="D156" s="116">
        <v>1200.0250000000001</v>
      </c>
      <c r="E156" s="116">
        <v>1213.875</v>
      </c>
      <c r="F156" s="116">
        <v>2430.1999999999998</v>
      </c>
      <c r="G156">
        <v>4248</v>
      </c>
      <c r="H156" s="116"/>
      <c r="I156" s="116"/>
      <c r="L156" s="170">
        <v>43874</v>
      </c>
      <c r="M156" s="116">
        <v>1215.3499999999999</v>
      </c>
      <c r="N156" s="116">
        <v>1224.925</v>
      </c>
      <c r="O156" s="116">
        <v>1200</v>
      </c>
      <c r="P156" s="116">
        <v>1218.05</v>
      </c>
      <c r="Q156" s="116">
        <v>2430.6999999999998</v>
      </c>
      <c r="R156">
        <v>44955</v>
      </c>
    </row>
    <row r="157" spans="1:18" x14ac:dyDescent="0.25">
      <c r="A157" s="170">
        <v>43875</v>
      </c>
      <c r="B157" s="116">
        <v>1263.175</v>
      </c>
      <c r="C157" s="116">
        <v>1251.075</v>
      </c>
      <c r="D157" s="116">
        <v>1221.7</v>
      </c>
      <c r="E157" s="116">
        <v>1222.825</v>
      </c>
      <c r="F157" s="116">
        <v>2502.15</v>
      </c>
      <c r="G157">
        <v>5312</v>
      </c>
      <c r="H157" s="116"/>
      <c r="I157" s="116"/>
      <c r="L157" s="170">
        <v>43875</v>
      </c>
      <c r="M157" s="116">
        <v>1250.875</v>
      </c>
      <c r="N157" s="116">
        <v>1262.5</v>
      </c>
      <c r="O157" s="116">
        <v>1216.5250000000001</v>
      </c>
      <c r="P157" s="116">
        <v>1220</v>
      </c>
      <c r="Q157" s="116">
        <v>2501.75</v>
      </c>
      <c r="R157">
        <v>161616</v>
      </c>
    </row>
    <row r="158" spans="1:18" x14ac:dyDescent="0.25">
      <c r="A158" s="170">
        <v>43878</v>
      </c>
      <c r="B158" s="116">
        <v>1295</v>
      </c>
      <c r="C158" s="116">
        <v>1228.9749999999999</v>
      </c>
      <c r="D158" s="116">
        <v>1217.5</v>
      </c>
      <c r="E158" s="116">
        <v>1262.825</v>
      </c>
      <c r="F158" s="116">
        <v>2457.9499999999998</v>
      </c>
      <c r="G158">
        <v>10089</v>
      </c>
      <c r="H158" s="116"/>
      <c r="I158" s="116"/>
      <c r="L158" s="170">
        <v>43878</v>
      </c>
      <c r="M158" s="116">
        <v>1228</v>
      </c>
      <c r="N158" s="116">
        <v>1293.3</v>
      </c>
      <c r="O158" s="116">
        <v>1215.325</v>
      </c>
      <c r="P158" s="116">
        <v>1260</v>
      </c>
      <c r="Q158" s="116">
        <v>2456</v>
      </c>
      <c r="R158">
        <v>171848</v>
      </c>
    </row>
    <row r="159" spans="1:18" x14ac:dyDescent="0.25">
      <c r="A159" s="170">
        <v>43879</v>
      </c>
      <c r="B159" s="116">
        <v>1243.5</v>
      </c>
      <c r="C159" s="116">
        <v>1233.7750000000001</v>
      </c>
      <c r="D159" s="116">
        <v>1183.0999999999999</v>
      </c>
      <c r="E159" s="116">
        <v>1215.8499999999999</v>
      </c>
      <c r="F159" s="116">
        <v>2467.5500000000002</v>
      </c>
      <c r="G159">
        <v>5552</v>
      </c>
      <c r="H159" s="116"/>
      <c r="I159" s="116"/>
      <c r="L159" s="170">
        <v>43879</v>
      </c>
      <c r="M159" s="116">
        <v>1234.0999999999999</v>
      </c>
      <c r="N159" s="116">
        <v>1244.1500000000001</v>
      </c>
      <c r="O159" s="116">
        <v>1182.375</v>
      </c>
      <c r="P159" s="116">
        <v>1225</v>
      </c>
      <c r="Q159" s="116">
        <v>2468.1999999999998</v>
      </c>
      <c r="R159">
        <v>97499</v>
      </c>
    </row>
    <row r="160" spans="1:18" x14ac:dyDescent="0.25">
      <c r="A160" s="170">
        <v>43880</v>
      </c>
      <c r="B160" s="116">
        <v>1275</v>
      </c>
      <c r="C160" s="116">
        <v>1264.325</v>
      </c>
      <c r="D160" s="116">
        <v>1230.8</v>
      </c>
      <c r="E160" s="116">
        <v>1240</v>
      </c>
      <c r="F160" s="116">
        <v>2528.65</v>
      </c>
      <c r="G160">
        <v>3472</v>
      </c>
      <c r="H160" s="116"/>
      <c r="I160" s="116"/>
      <c r="L160" s="170">
        <v>43880</v>
      </c>
      <c r="M160" s="116">
        <v>1267.9749999999999</v>
      </c>
      <c r="N160" s="116">
        <v>1275</v>
      </c>
      <c r="O160" s="116">
        <v>1230.7750000000001</v>
      </c>
      <c r="P160" s="116">
        <v>1240.1500000000001</v>
      </c>
      <c r="Q160" s="116">
        <v>2535.9499999999998</v>
      </c>
      <c r="R160">
        <v>78896</v>
      </c>
    </row>
    <row r="161" spans="1:18" x14ac:dyDescent="0.25">
      <c r="A161" s="170">
        <v>43881</v>
      </c>
      <c r="B161" s="116">
        <v>1431</v>
      </c>
      <c r="C161" s="116">
        <v>1304.7750000000001</v>
      </c>
      <c r="D161" s="116">
        <v>1285.825</v>
      </c>
      <c r="E161" s="116">
        <v>1286</v>
      </c>
      <c r="F161" s="116">
        <v>2609.5500000000002</v>
      </c>
      <c r="G161">
        <v>25405</v>
      </c>
      <c r="H161" s="116"/>
      <c r="I161" s="116"/>
      <c r="L161" s="170">
        <v>43881</v>
      </c>
      <c r="M161" s="116">
        <v>1304.675</v>
      </c>
      <c r="N161" s="116">
        <v>1431.25</v>
      </c>
      <c r="O161" s="116">
        <v>1275</v>
      </c>
      <c r="P161" s="116">
        <v>1287.45</v>
      </c>
      <c r="Q161" s="116">
        <v>2609.35</v>
      </c>
      <c r="R161">
        <v>397297</v>
      </c>
    </row>
    <row r="162" spans="1:18" x14ac:dyDescent="0.25">
      <c r="A162" s="170">
        <v>43885</v>
      </c>
      <c r="B162" s="116">
        <v>1362.5</v>
      </c>
      <c r="C162" s="116">
        <v>1329.925</v>
      </c>
      <c r="D162" s="116">
        <v>1302.5</v>
      </c>
      <c r="E162" s="116">
        <v>1302.5</v>
      </c>
      <c r="F162" s="116">
        <v>2659.85</v>
      </c>
      <c r="G162">
        <v>11889</v>
      </c>
      <c r="H162" s="116"/>
      <c r="I162" s="116"/>
      <c r="L162" s="170">
        <v>43885</v>
      </c>
      <c r="M162" s="116">
        <v>1331.425</v>
      </c>
      <c r="N162" s="116">
        <v>1363.7249999999999</v>
      </c>
      <c r="O162" s="116">
        <v>1300.0250000000001</v>
      </c>
      <c r="P162" s="116">
        <v>1308</v>
      </c>
      <c r="Q162" s="116">
        <v>2662.85</v>
      </c>
      <c r="R162">
        <v>206450</v>
      </c>
    </row>
    <row r="163" spans="1:18" x14ac:dyDescent="0.25">
      <c r="A163" s="170">
        <v>43886</v>
      </c>
      <c r="B163" s="116">
        <v>1360</v>
      </c>
      <c r="C163" s="116">
        <v>1295.5999999999999</v>
      </c>
      <c r="D163" s="116">
        <v>1276.625</v>
      </c>
      <c r="E163" s="116">
        <v>1350</v>
      </c>
      <c r="F163" s="116">
        <v>2591.1999999999998</v>
      </c>
      <c r="G163">
        <v>10181</v>
      </c>
      <c r="H163" s="116"/>
      <c r="I163" s="116"/>
      <c r="L163" s="170">
        <v>43886</v>
      </c>
      <c r="M163" s="116">
        <v>1297.125</v>
      </c>
      <c r="N163" s="116">
        <v>1362.45</v>
      </c>
      <c r="O163" s="116">
        <v>1275</v>
      </c>
      <c r="P163" s="116">
        <v>1348</v>
      </c>
      <c r="Q163" s="116">
        <v>2594.25</v>
      </c>
      <c r="R163">
        <v>136227</v>
      </c>
    </row>
    <row r="164" spans="1:18" x14ac:dyDescent="0.25">
      <c r="A164" s="170">
        <v>43887</v>
      </c>
      <c r="B164" s="116">
        <v>1320.9</v>
      </c>
      <c r="C164" s="116">
        <v>1286.2249999999999</v>
      </c>
      <c r="D164" s="116">
        <v>1265.5</v>
      </c>
      <c r="E164" s="116">
        <v>1290</v>
      </c>
      <c r="F164" s="116">
        <v>2572.4499999999998</v>
      </c>
      <c r="G164">
        <v>4595</v>
      </c>
      <c r="H164" s="116"/>
      <c r="I164" s="116"/>
      <c r="L164" s="170">
        <v>43887</v>
      </c>
      <c r="M164" s="116">
        <v>1287.05</v>
      </c>
      <c r="N164" s="116">
        <v>1323.425</v>
      </c>
      <c r="O164" s="116">
        <v>1264.425</v>
      </c>
      <c r="P164" s="116">
        <v>1294</v>
      </c>
      <c r="Q164" s="116">
        <v>2574.1</v>
      </c>
      <c r="R164">
        <v>99805</v>
      </c>
    </row>
    <row r="165" spans="1:18" x14ac:dyDescent="0.25">
      <c r="A165" s="170">
        <v>43888</v>
      </c>
      <c r="B165" s="116">
        <v>1296.1500000000001</v>
      </c>
      <c r="C165" s="116">
        <v>1231.175</v>
      </c>
      <c r="D165" s="116">
        <v>1168</v>
      </c>
      <c r="E165" s="116">
        <v>1293</v>
      </c>
      <c r="F165" s="116">
        <v>2462.35</v>
      </c>
      <c r="G165">
        <v>10782</v>
      </c>
      <c r="H165" s="116"/>
      <c r="I165" s="116"/>
      <c r="L165" s="170">
        <v>43888</v>
      </c>
      <c r="M165" s="116">
        <v>1228.7249999999999</v>
      </c>
      <c r="N165" s="116">
        <v>1299.4749999999999</v>
      </c>
      <c r="O165" s="116">
        <v>1166</v>
      </c>
      <c r="P165" s="116">
        <v>1293</v>
      </c>
      <c r="Q165" s="116">
        <v>2457.4499999999998</v>
      </c>
      <c r="R165">
        <v>207452</v>
      </c>
    </row>
    <row r="166" spans="1:18" x14ac:dyDescent="0.25">
      <c r="A166" s="170">
        <v>43889</v>
      </c>
      <c r="B166" s="116">
        <v>1239.2750000000001</v>
      </c>
      <c r="C166" s="116">
        <v>1202.9749999999999</v>
      </c>
      <c r="D166" s="116">
        <v>1158.5250000000001</v>
      </c>
      <c r="E166" s="116">
        <v>1225</v>
      </c>
      <c r="F166" s="116">
        <v>2405.9499999999998</v>
      </c>
      <c r="G166">
        <v>11442</v>
      </c>
      <c r="H166" s="116"/>
      <c r="I166" s="116"/>
      <c r="L166" s="170">
        <v>43889</v>
      </c>
      <c r="M166" s="116">
        <v>1202.9749999999999</v>
      </c>
      <c r="N166" s="116">
        <v>1239.45</v>
      </c>
      <c r="O166" s="116">
        <v>1157.7750000000001</v>
      </c>
      <c r="P166" s="116">
        <v>1177.5</v>
      </c>
      <c r="Q166" s="116">
        <v>2405.9499999999998</v>
      </c>
      <c r="R166">
        <v>138856</v>
      </c>
    </row>
    <row r="167" spans="1:18" x14ac:dyDescent="0.25">
      <c r="A167" s="170">
        <v>43892</v>
      </c>
      <c r="B167" s="116">
        <v>1272.5250000000001</v>
      </c>
      <c r="C167" s="116">
        <v>1210.6500000000001</v>
      </c>
      <c r="D167" s="116">
        <v>1187.4749999999999</v>
      </c>
      <c r="E167" s="116">
        <v>1242.5</v>
      </c>
      <c r="F167" s="116">
        <v>2421.3000000000002</v>
      </c>
      <c r="G167">
        <v>5976</v>
      </c>
      <c r="H167" s="116"/>
      <c r="I167" s="116"/>
      <c r="L167" s="170">
        <v>43892</v>
      </c>
      <c r="M167" s="116">
        <v>1218.325</v>
      </c>
      <c r="N167" s="116">
        <v>1273.9749999999999</v>
      </c>
      <c r="O167" s="116">
        <v>1185</v>
      </c>
      <c r="P167" s="116">
        <v>1249.5</v>
      </c>
      <c r="Q167" s="116">
        <v>2436.65</v>
      </c>
      <c r="R167">
        <v>89500</v>
      </c>
    </row>
    <row r="168" spans="1:18" x14ac:dyDescent="0.25">
      <c r="A168" s="170">
        <v>43893</v>
      </c>
      <c r="B168" s="116">
        <v>1313.45</v>
      </c>
      <c r="C168" s="116">
        <v>1289.875</v>
      </c>
      <c r="D168" s="116">
        <v>1225</v>
      </c>
      <c r="E168" s="116">
        <v>1265</v>
      </c>
      <c r="F168" s="116">
        <v>2579.75</v>
      </c>
      <c r="G168">
        <v>4609</v>
      </c>
      <c r="H168" s="116"/>
      <c r="I168" s="116"/>
      <c r="L168" s="170">
        <v>43893</v>
      </c>
      <c r="M168" s="116">
        <v>1289.3499999999999</v>
      </c>
      <c r="N168" s="116">
        <v>1312.5</v>
      </c>
      <c r="O168" s="116">
        <v>1235.3</v>
      </c>
      <c r="P168" s="116">
        <v>1249</v>
      </c>
      <c r="Q168" s="116">
        <v>2578.6999999999998</v>
      </c>
      <c r="R168">
        <v>54090</v>
      </c>
    </row>
    <row r="169" spans="1:18" x14ac:dyDescent="0.25">
      <c r="A169" s="170">
        <v>43894</v>
      </c>
      <c r="B169" s="116">
        <v>1310.2249999999999</v>
      </c>
      <c r="C169" s="116">
        <v>1264.6500000000001</v>
      </c>
      <c r="D169" s="116">
        <v>1220.875</v>
      </c>
      <c r="E169" s="116">
        <v>1300</v>
      </c>
      <c r="F169" s="116">
        <v>2529.3000000000002</v>
      </c>
      <c r="G169">
        <v>8191</v>
      </c>
      <c r="H169" s="116"/>
      <c r="I169" s="116"/>
      <c r="L169" s="170">
        <v>43894</v>
      </c>
      <c r="M169" s="116">
        <v>1263.5999999999999</v>
      </c>
      <c r="N169" s="116">
        <v>1310</v>
      </c>
      <c r="O169" s="116">
        <v>1217.45</v>
      </c>
      <c r="P169" s="116">
        <v>1307.5</v>
      </c>
      <c r="Q169" s="116">
        <v>2527.1999999999998</v>
      </c>
      <c r="R169">
        <v>91103</v>
      </c>
    </row>
    <row r="170" spans="1:18" x14ac:dyDescent="0.25">
      <c r="A170" s="170">
        <v>43895</v>
      </c>
      <c r="B170" s="116">
        <v>1348.175</v>
      </c>
      <c r="C170" s="116">
        <v>1311.25</v>
      </c>
      <c r="D170" s="116">
        <v>1256.425</v>
      </c>
      <c r="E170" s="116">
        <v>1284</v>
      </c>
      <c r="F170" s="116">
        <v>2622.5</v>
      </c>
      <c r="G170">
        <v>6426</v>
      </c>
      <c r="H170" s="116"/>
      <c r="I170" s="116"/>
      <c r="L170" s="170">
        <v>43895</v>
      </c>
      <c r="M170" s="116">
        <v>1311.425</v>
      </c>
      <c r="N170" s="116">
        <v>1349</v>
      </c>
      <c r="O170" s="116">
        <v>1253.1500000000001</v>
      </c>
      <c r="P170" s="116">
        <v>1263</v>
      </c>
      <c r="Q170" s="116">
        <v>2622.85</v>
      </c>
      <c r="R170">
        <v>85919</v>
      </c>
    </row>
    <row r="171" spans="1:18" x14ac:dyDescent="0.25">
      <c r="A171" s="170">
        <v>43896</v>
      </c>
      <c r="B171" s="116">
        <v>1317.5</v>
      </c>
      <c r="C171" s="116">
        <v>1275.4749999999999</v>
      </c>
      <c r="D171" s="116">
        <v>1225</v>
      </c>
      <c r="E171" s="116">
        <v>1285</v>
      </c>
      <c r="F171" s="116">
        <v>2550.9499999999998</v>
      </c>
      <c r="G171">
        <v>4232</v>
      </c>
      <c r="H171" s="116"/>
      <c r="I171" s="116"/>
      <c r="L171" s="170">
        <v>43896</v>
      </c>
      <c r="M171" s="116">
        <v>1272.5</v>
      </c>
      <c r="N171" s="116">
        <v>1320.9749999999999</v>
      </c>
      <c r="O171" s="116">
        <v>1230.8</v>
      </c>
      <c r="P171" s="116">
        <v>1255</v>
      </c>
      <c r="Q171" s="116">
        <v>2545</v>
      </c>
      <c r="R171">
        <v>96850</v>
      </c>
    </row>
    <row r="172" spans="1:18" x14ac:dyDescent="0.25">
      <c r="A172" s="170">
        <v>43899</v>
      </c>
      <c r="B172" s="116">
        <v>1269.95</v>
      </c>
      <c r="C172" s="116">
        <v>1201.625</v>
      </c>
      <c r="D172" s="116">
        <v>1158</v>
      </c>
      <c r="E172" s="116">
        <v>1257.0999999999999</v>
      </c>
      <c r="F172" s="116">
        <v>2403.25</v>
      </c>
      <c r="G172">
        <v>15066</v>
      </c>
      <c r="H172" s="116"/>
      <c r="I172" s="116"/>
      <c r="L172" s="170">
        <v>43899</v>
      </c>
      <c r="M172" s="116">
        <v>1206.675</v>
      </c>
      <c r="N172" s="116">
        <v>1273.4749999999999</v>
      </c>
      <c r="O172" s="116">
        <v>1160</v>
      </c>
      <c r="P172" s="116">
        <v>1250</v>
      </c>
      <c r="Q172" s="116">
        <v>2413.35</v>
      </c>
      <c r="R172">
        <v>100538</v>
      </c>
    </row>
    <row r="173" spans="1:18" x14ac:dyDescent="0.25">
      <c r="A173" s="170">
        <v>43901</v>
      </c>
      <c r="B173" s="116">
        <v>1262.5</v>
      </c>
      <c r="C173" s="116">
        <v>1255.5</v>
      </c>
      <c r="D173" s="116">
        <v>1175</v>
      </c>
      <c r="E173" s="116">
        <v>1239.9749999999999</v>
      </c>
      <c r="F173" s="116">
        <v>2511</v>
      </c>
      <c r="G173">
        <v>4622</v>
      </c>
      <c r="H173" s="116"/>
      <c r="I173" s="116"/>
      <c r="L173" s="170">
        <v>43901</v>
      </c>
      <c r="M173" s="116">
        <v>1253.95</v>
      </c>
      <c r="N173" s="116">
        <v>1264.95</v>
      </c>
      <c r="O173" s="116">
        <v>1176.0250000000001</v>
      </c>
      <c r="P173" s="116">
        <v>1190</v>
      </c>
      <c r="Q173" s="116">
        <v>2507.9</v>
      </c>
      <c r="R173">
        <v>62452</v>
      </c>
    </row>
    <row r="174" spans="1:18" x14ac:dyDescent="0.25">
      <c r="A174" s="170">
        <v>43902</v>
      </c>
      <c r="B174" s="116">
        <v>1205.0250000000001</v>
      </c>
      <c r="C174" s="116">
        <v>1135.825</v>
      </c>
      <c r="D174" s="116">
        <v>1114.7249999999999</v>
      </c>
      <c r="E174" s="116">
        <v>1196</v>
      </c>
      <c r="F174" s="116">
        <v>2271.65</v>
      </c>
      <c r="G174">
        <v>7566</v>
      </c>
      <c r="H174" s="116"/>
      <c r="I174" s="116"/>
      <c r="L174" s="170">
        <v>43902</v>
      </c>
      <c r="M174" s="116">
        <v>1142.9000000000001</v>
      </c>
      <c r="N174" s="116">
        <v>1219.9749999999999</v>
      </c>
      <c r="O174" s="116">
        <v>1115</v>
      </c>
      <c r="P174" s="116">
        <v>1192.5</v>
      </c>
      <c r="Q174" s="116">
        <v>2285.8000000000002</v>
      </c>
      <c r="R174">
        <v>106962</v>
      </c>
    </row>
    <row r="175" spans="1:18" x14ac:dyDescent="0.25">
      <c r="A175" s="170">
        <v>43903</v>
      </c>
      <c r="B175" s="116">
        <v>1219</v>
      </c>
      <c r="C175" s="116">
        <v>1195.125</v>
      </c>
      <c r="D175" s="116">
        <v>930.52499999999998</v>
      </c>
      <c r="E175" s="116">
        <v>1104.5</v>
      </c>
      <c r="F175" s="116">
        <v>2390.25</v>
      </c>
      <c r="G175">
        <v>9640</v>
      </c>
      <c r="H175" s="116"/>
      <c r="I175" s="116"/>
      <c r="L175" s="170">
        <v>43903</v>
      </c>
      <c r="M175" s="116">
        <v>1191.75</v>
      </c>
      <c r="N175" s="116">
        <v>1225.0999999999999</v>
      </c>
      <c r="O175" s="116">
        <v>950</v>
      </c>
      <c r="P175" s="116">
        <v>1110</v>
      </c>
      <c r="Q175" s="116">
        <v>2383.5</v>
      </c>
      <c r="R175">
        <v>83625</v>
      </c>
    </row>
    <row r="176" spans="1:18" x14ac:dyDescent="0.25">
      <c r="A176" s="170">
        <v>43906</v>
      </c>
      <c r="B176" s="116">
        <v>1159.45</v>
      </c>
      <c r="C176" s="116">
        <v>1150.7750000000001</v>
      </c>
      <c r="D176" s="116">
        <v>1074.875</v>
      </c>
      <c r="E176" s="116">
        <v>1138</v>
      </c>
      <c r="F176" s="116">
        <v>2301.5500000000002</v>
      </c>
      <c r="G176">
        <v>6643</v>
      </c>
      <c r="H176" s="116"/>
      <c r="I176" s="116"/>
      <c r="L176" s="170">
        <v>43906</v>
      </c>
      <c r="M176" s="116">
        <v>1150.25</v>
      </c>
      <c r="N176" s="116">
        <v>1175</v>
      </c>
      <c r="O176" s="116">
        <v>1072.2249999999999</v>
      </c>
      <c r="P176" s="116">
        <v>1175</v>
      </c>
      <c r="Q176" s="116">
        <v>2300.5</v>
      </c>
      <c r="R176">
        <v>104223</v>
      </c>
    </row>
    <row r="177" spans="1:18" x14ac:dyDescent="0.25">
      <c r="A177" s="170">
        <v>43907</v>
      </c>
      <c r="B177" s="116">
        <v>1162.3499999999999</v>
      </c>
      <c r="C177" s="116">
        <v>1133.5250000000001</v>
      </c>
      <c r="D177" s="116">
        <v>1111.0250000000001</v>
      </c>
      <c r="E177" s="116">
        <v>1126</v>
      </c>
      <c r="F177" s="116">
        <v>2267.0500000000002</v>
      </c>
      <c r="G177">
        <v>2522</v>
      </c>
      <c r="H177" s="116"/>
      <c r="I177" s="116"/>
      <c r="L177" s="170">
        <v>43907</v>
      </c>
      <c r="M177" s="116">
        <v>1133.1500000000001</v>
      </c>
      <c r="N177" s="116">
        <v>1165</v>
      </c>
      <c r="O177" s="116">
        <v>1111.9000000000001</v>
      </c>
      <c r="P177" s="116">
        <v>1127.5</v>
      </c>
      <c r="Q177" s="116">
        <v>2266.3000000000002</v>
      </c>
      <c r="R177">
        <v>82884</v>
      </c>
    </row>
    <row r="178" spans="1:18" x14ac:dyDescent="0.25">
      <c r="A178" s="170">
        <v>43908</v>
      </c>
      <c r="B178" s="116">
        <v>1153.0250000000001</v>
      </c>
      <c r="C178" s="116">
        <v>1051.25</v>
      </c>
      <c r="D178" s="116">
        <v>981.375</v>
      </c>
      <c r="E178" s="116">
        <v>1153.0250000000001</v>
      </c>
      <c r="F178" s="116">
        <v>2102.5</v>
      </c>
      <c r="G178">
        <v>4168</v>
      </c>
      <c r="H178" s="116"/>
      <c r="I178" s="116"/>
      <c r="L178" s="170">
        <v>43908</v>
      </c>
      <c r="M178" s="116">
        <v>1053.2</v>
      </c>
      <c r="N178" s="116">
        <v>1159.9749999999999</v>
      </c>
      <c r="O178" s="116">
        <v>980</v>
      </c>
      <c r="P178" s="116">
        <v>1157.25</v>
      </c>
      <c r="Q178" s="116">
        <v>2106.4</v>
      </c>
      <c r="R178">
        <v>88752</v>
      </c>
    </row>
    <row r="179" spans="1:18" x14ac:dyDescent="0.25">
      <c r="A179" s="170">
        <v>43909</v>
      </c>
      <c r="B179" s="116">
        <v>1052.2</v>
      </c>
      <c r="C179" s="116">
        <v>995.27499999999998</v>
      </c>
      <c r="D179" s="116">
        <v>935.27499999999998</v>
      </c>
      <c r="E179" s="116">
        <v>955.02499999999998</v>
      </c>
      <c r="F179" s="116">
        <v>1990.55</v>
      </c>
      <c r="G179">
        <v>5435</v>
      </c>
      <c r="H179" s="116"/>
      <c r="I179" s="116"/>
      <c r="L179" s="170">
        <v>43909</v>
      </c>
      <c r="M179" s="116">
        <v>996.85</v>
      </c>
      <c r="N179" s="116">
        <v>1052.5</v>
      </c>
      <c r="O179" s="116">
        <v>935</v>
      </c>
      <c r="P179" s="116">
        <v>955</v>
      </c>
      <c r="Q179" s="116">
        <v>1993.7</v>
      </c>
      <c r="R179">
        <v>74959</v>
      </c>
    </row>
    <row r="180" spans="1:18" x14ac:dyDescent="0.25">
      <c r="A180" s="170">
        <v>43910</v>
      </c>
      <c r="B180" s="116">
        <v>1117.8</v>
      </c>
      <c r="C180" s="116">
        <v>1105.4000000000001</v>
      </c>
      <c r="D180" s="116">
        <v>956.57500000000005</v>
      </c>
      <c r="E180" s="116">
        <v>980.05</v>
      </c>
      <c r="F180" s="116">
        <v>2210.8000000000002</v>
      </c>
      <c r="G180">
        <v>8018</v>
      </c>
      <c r="H180" s="116"/>
      <c r="I180" s="116"/>
      <c r="L180" s="170">
        <v>43910</v>
      </c>
      <c r="M180" s="116">
        <v>1106.575</v>
      </c>
      <c r="N180" s="116">
        <v>1119.05</v>
      </c>
      <c r="O180" s="116">
        <v>955</v>
      </c>
      <c r="P180" s="116">
        <v>975.52499999999998</v>
      </c>
      <c r="Q180" s="116">
        <v>2213.15</v>
      </c>
      <c r="R180">
        <v>55858</v>
      </c>
    </row>
    <row r="181" spans="1:18" x14ac:dyDescent="0.25">
      <c r="A181" s="170">
        <v>43913</v>
      </c>
      <c r="B181" s="116">
        <v>1190.5250000000001</v>
      </c>
      <c r="C181" s="116">
        <v>942.07500000000005</v>
      </c>
      <c r="D181" s="116">
        <v>902.5</v>
      </c>
      <c r="E181" s="116">
        <v>902.5</v>
      </c>
      <c r="F181" s="116">
        <v>1884.15</v>
      </c>
      <c r="G181">
        <v>5149</v>
      </c>
      <c r="H181" s="116"/>
      <c r="I181" s="116"/>
      <c r="L181" s="170">
        <v>43913</v>
      </c>
      <c r="M181" s="116">
        <v>941.65</v>
      </c>
      <c r="N181" s="116">
        <v>1024.4000000000001</v>
      </c>
      <c r="O181" s="116">
        <v>910</v>
      </c>
      <c r="P181" s="116">
        <v>950</v>
      </c>
      <c r="Q181" s="116">
        <v>1883.3</v>
      </c>
      <c r="R181">
        <v>56761</v>
      </c>
    </row>
    <row r="182" spans="1:18" x14ac:dyDescent="0.25">
      <c r="A182" s="170">
        <v>43914</v>
      </c>
      <c r="B182" s="116">
        <v>996.35</v>
      </c>
      <c r="C182" s="116">
        <v>946.77499999999998</v>
      </c>
      <c r="D182" s="116">
        <v>886.5</v>
      </c>
      <c r="E182" s="116">
        <v>940</v>
      </c>
      <c r="F182" s="116">
        <v>1893.55</v>
      </c>
      <c r="G182">
        <v>3721</v>
      </c>
      <c r="H182" s="116"/>
      <c r="I182" s="116"/>
      <c r="L182" s="170">
        <v>43914</v>
      </c>
      <c r="M182" s="116">
        <v>946.17499999999995</v>
      </c>
      <c r="N182" s="116">
        <v>1049.5</v>
      </c>
      <c r="O182" s="116">
        <v>890</v>
      </c>
      <c r="P182" s="116">
        <v>950</v>
      </c>
      <c r="Q182" s="116">
        <v>1892.35</v>
      </c>
      <c r="R182">
        <v>59286</v>
      </c>
    </row>
    <row r="183" spans="1:18" x14ac:dyDescent="0.25">
      <c r="A183" s="170">
        <v>43915</v>
      </c>
      <c r="B183" s="116">
        <v>962.5</v>
      </c>
      <c r="C183" s="116">
        <v>879</v>
      </c>
      <c r="D183" s="116">
        <v>820.6</v>
      </c>
      <c r="E183" s="116">
        <v>950</v>
      </c>
      <c r="F183" s="116">
        <v>1758</v>
      </c>
      <c r="G183">
        <v>2304</v>
      </c>
      <c r="H183" s="116"/>
      <c r="I183" s="116"/>
      <c r="L183" s="170">
        <v>43915</v>
      </c>
      <c r="M183" s="116">
        <v>872</v>
      </c>
      <c r="N183" s="116">
        <v>969.97500000000002</v>
      </c>
      <c r="O183" s="116">
        <v>820.52499999999998</v>
      </c>
      <c r="P183" s="116">
        <v>945</v>
      </c>
      <c r="Q183" s="116">
        <v>1744</v>
      </c>
      <c r="R183">
        <v>65953</v>
      </c>
    </row>
    <row r="184" spans="1:18" x14ac:dyDescent="0.25">
      <c r="A184" s="170">
        <v>43916</v>
      </c>
      <c r="B184" s="116">
        <v>1025</v>
      </c>
      <c r="C184" s="116">
        <v>927.52499999999998</v>
      </c>
      <c r="D184" s="116">
        <v>850.4</v>
      </c>
      <c r="E184" s="116">
        <v>879</v>
      </c>
      <c r="F184" s="116">
        <v>1855.05</v>
      </c>
      <c r="G184">
        <v>3308</v>
      </c>
      <c r="H184" s="116"/>
      <c r="I184" s="116"/>
      <c r="L184" s="170">
        <v>43916</v>
      </c>
      <c r="M184" s="116">
        <v>928.45</v>
      </c>
      <c r="N184" s="116">
        <v>985</v>
      </c>
      <c r="O184" s="116">
        <v>850</v>
      </c>
      <c r="P184" s="116">
        <v>862.5</v>
      </c>
      <c r="Q184" s="116">
        <v>1856.9</v>
      </c>
      <c r="R184">
        <v>68736</v>
      </c>
    </row>
    <row r="185" spans="1:18" x14ac:dyDescent="0.25">
      <c r="A185" s="170">
        <v>43917</v>
      </c>
      <c r="B185" s="116">
        <v>1056</v>
      </c>
      <c r="C185" s="116">
        <v>922.375</v>
      </c>
      <c r="D185" s="116">
        <v>910.5</v>
      </c>
      <c r="E185" s="116">
        <v>1056</v>
      </c>
      <c r="F185" s="116">
        <v>1844.75</v>
      </c>
      <c r="G185">
        <v>2966</v>
      </c>
      <c r="H185" s="116"/>
      <c r="I185" s="116"/>
      <c r="L185" s="170">
        <v>43917</v>
      </c>
      <c r="M185" s="116">
        <v>923.42499999999995</v>
      </c>
      <c r="N185" s="116">
        <v>992</v>
      </c>
      <c r="O185" s="116">
        <v>905.5</v>
      </c>
      <c r="P185" s="116">
        <v>985</v>
      </c>
      <c r="Q185" s="116">
        <v>1846.85</v>
      </c>
      <c r="R185">
        <v>45664</v>
      </c>
    </row>
    <row r="186" spans="1:18" x14ac:dyDescent="0.25">
      <c r="A186" s="170">
        <v>43920</v>
      </c>
      <c r="B186" s="116">
        <v>960.02499999999998</v>
      </c>
      <c r="C186" s="116">
        <v>919.5</v>
      </c>
      <c r="D186" s="116">
        <v>850</v>
      </c>
      <c r="E186" s="116">
        <v>906.47500000000002</v>
      </c>
      <c r="F186" s="116">
        <v>1839</v>
      </c>
      <c r="G186">
        <v>1270</v>
      </c>
      <c r="H186" s="116"/>
      <c r="I186" s="116"/>
      <c r="L186" s="170">
        <v>43920</v>
      </c>
      <c r="M186" s="116">
        <v>921.82500000000005</v>
      </c>
      <c r="N186" s="116">
        <v>962.25</v>
      </c>
      <c r="O186" s="116">
        <v>887.5</v>
      </c>
      <c r="P186" s="116">
        <v>901</v>
      </c>
      <c r="Q186" s="116">
        <v>1843.65</v>
      </c>
      <c r="R186">
        <v>52708</v>
      </c>
    </row>
    <row r="187" spans="1:18" x14ac:dyDescent="0.25">
      <c r="A187" s="170">
        <v>43921</v>
      </c>
      <c r="B187" s="116">
        <v>978.77499999999998</v>
      </c>
      <c r="C187" s="116">
        <v>967.95</v>
      </c>
      <c r="D187" s="116">
        <v>933.27499999999998</v>
      </c>
      <c r="E187" s="116">
        <v>949.5</v>
      </c>
      <c r="F187" s="116">
        <v>1935.9</v>
      </c>
      <c r="G187">
        <v>1274</v>
      </c>
      <c r="H187" s="116"/>
      <c r="I187" s="116"/>
      <c r="L187" s="170">
        <v>43921</v>
      </c>
      <c r="M187" s="116">
        <v>968.2</v>
      </c>
      <c r="N187" s="116">
        <v>979.5</v>
      </c>
      <c r="O187" s="116">
        <v>935</v>
      </c>
      <c r="P187" s="116">
        <v>950</v>
      </c>
      <c r="Q187" s="116">
        <v>1936.4</v>
      </c>
      <c r="R187">
        <v>30477</v>
      </c>
    </row>
    <row r="188" spans="1:18" x14ac:dyDescent="0.25">
      <c r="A188" s="170">
        <v>43922</v>
      </c>
      <c r="B188" s="116">
        <v>1031.5</v>
      </c>
      <c r="C188" s="116">
        <v>1010.95</v>
      </c>
      <c r="D188" s="116">
        <v>960</v>
      </c>
      <c r="E188" s="116">
        <v>971.625</v>
      </c>
      <c r="F188" s="116">
        <v>2021.9</v>
      </c>
      <c r="G188">
        <v>3610</v>
      </c>
      <c r="H188" s="116"/>
      <c r="I188" s="116"/>
      <c r="L188" s="170">
        <v>43922</v>
      </c>
      <c r="M188" s="116">
        <v>1012.175</v>
      </c>
      <c r="N188" s="116">
        <v>1032.875</v>
      </c>
      <c r="O188" s="116">
        <v>955</v>
      </c>
      <c r="P188" s="116">
        <v>955</v>
      </c>
      <c r="Q188" s="116">
        <v>2024.35</v>
      </c>
      <c r="R188">
        <v>84110</v>
      </c>
    </row>
    <row r="189" spans="1:18" x14ac:dyDescent="0.25">
      <c r="A189" s="170">
        <v>43924</v>
      </c>
      <c r="B189" s="116">
        <v>1026.075</v>
      </c>
      <c r="C189" s="116">
        <v>997.92499999999995</v>
      </c>
      <c r="D189" s="116">
        <v>987.5</v>
      </c>
      <c r="E189" s="116">
        <v>1016</v>
      </c>
      <c r="F189" s="116">
        <v>1995.85</v>
      </c>
      <c r="G189">
        <v>940</v>
      </c>
      <c r="H189" s="116"/>
      <c r="I189" s="116"/>
      <c r="L189" s="170">
        <v>43924</v>
      </c>
      <c r="M189" s="116">
        <v>999.92499999999995</v>
      </c>
      <c r="N189" s="116">
        <v>1032.9749999999999</v>
      </c>
      <c r="O189" s="116">
        <v>987.5</v>
      </c>
      <c r="P189" s="116">
        <v>1010</v>
      </c>
      <c r="Q189" s="116">
        <v>1999.85</v>
      </c>
      <c r="R189">
        <v>34961</v>
      </c>
    </row>
    <row r="190" spans="1:18" x14ac:dyDescent="0.25">
      <c r="A190" s="170">
        <v>43928</v>
      </c>
      <c r="B190" s="116">
        <v>1086.3499999999999</v>
      </c>
      <c r="C190" s="116">
        <v>1083.2</v>
      </c>
      <c r="D190" s="116">
        <v>1008.35</v>
      </c>
      <c r="E190" s="116">
        <v>1080</v>
      </c>
      <c r="F190" s="116">
        <v>2166.4</v>
      </c>
      <c r="G190">
        <v>1698</v>
      </c>
      <c r="H190" s="116"/>
      <c r="I190" s="116"/>
      <c r="L190" s="170">
        <v>43928</v>
      </c>
      <c r="M190" s="116">
        <v>1082.0250000000001</v>
      </c>
      <c r="N190" s="116">
        <v>1090</v>
      </c>
      <c r="O190" s="116">
        <v>1010</v>
      </c>
      <c r="P190" s="116">
        <v>1025</v>
      </c>
      <c r="Q190" s="116">
        <v>2164.0500000000002</v>
      </c>
      <c r="R190">
        <v>67630</v>
      </c>
    </row>
    <row r="191" spans="1:18" x14ac:dyDescent="0.25">
      <c r="A191" s="170">
        <v>43929</v>
      </c>
      <c r="B191" s="116">
        <v>1145</v>
      </c>
      <c r="C191" s="116">
        <v>1101.25</v>
      </c>
      <c r="D191" s="116">
        <v>1057.5</v>
      </c>
      <c r="E191" s="116">
        <v>1091.175</v>
      </c>
      <c r="F191" s="116">
        <v>2202.5</v>
      </c>
      <c r="G191">
        <v>1728</v>
      </c>
      <c r="H191" s="116"/>
      <c r="I191" s="116"/>
      <c r="L191" s="170">
        <v>43929</v>
      </c>
      <c r="M191" s="116">
        <v>1103.875</v>
      </c>
      <c r="N191" s="116">
        <v>1145</v>
      </c>
      <c r="O191" s="116">
        <v>1055</v>
      </c>
      <c r="P191" s="116">
        <v>1080</v>
      </c>
      <c r="Q191" s="116">
        <v>2207.75</v>
      </c>
      <c r="R191">
        <v>47463</v>
      </c>
    </row>
    <row r="192" spans="1:18" x14ac:dyDescent="0.25">
      <c r="A192" s="170">
        <v>43930</v>
      </c>
      <c r="B192" s="116">
        <v>1136.8499999999999</v>
      </c>
      <c r="C192" s="116">
        <v>1121.2249999999999</v>
      </c>
      <c r="D192" s="116">
        <v>1113.95</v>
      </c>
      <c r="E192" s="116">
        <v>1128.0999999999999</v>
      </c>
      <c r="F192" s="116">
        <v>2242.4499999999998</v>
      </c>
      <c r="G192">
        <v>1115</v>
      </c>
      <c r="H192" s="116"/>
      <c r="I192" s="116"/>
      <c r="L192" s="170">
        <v>43930</v>
      </c>
      <c r="M192" s="116">
        <v>1123</v>
      </c>
      <c r="N192" s="116">
        <v>1137.4749999999999</v>
      </c>
      <c r="O192" s="116">
        <v>1112.05</v>
      </c>
      <c r="P192" s="116">
        <v>1137</v>
      </c>
      <c r="Q192" s="116">
        <v>2246</v>
      </c>
      <c r="R192">
        <v>24927</v>
      </c>
    </row>
    <row r="193" spans="1:18" x14ac:dyDescent="0.25">
      <c r="A193" s="170">
        <v>43934</v>
      </c>
      <c r="B193" s="116">
        <v>1188.5</v>
      </c>
      <c r="C193" s="116">
        <v>1118.3</v>
      </c>
      <c r="D193" s="116">
        <v>1096.5250000000001</v>
      </c>
      <c r="E193" s="116">
        <v>1188.5</v>
      </c>
      <c r="F193" s="116">
        <v>2236.6</v>
      </c>
      <c r="G193">
        <v>1004</v>
      </c>
      <c r="H193" s="116"/>
      <c r="I193" s="116"/>
      <c r="L193" s="170">
        <v>43934</v>
      </c>
      <c r="M193" s="116">
        <v>1100.175</v>
      </c>
      <c r="N193" s="116">
        <v>1134.95</v>
      </c>
      <c r="O193" s="116">
        <v>1094.75</v>
      </c>
      <c r="P193" s="116">
        <v>1123</v>
      </c>
      <c r="Q193" s="116">
        <v>2200.35</v>
      </c>
      <c r="R193">
        <v>35351</v>
      </c>
    </row>
    <row r="194" spans="1:18" x14ac:dyDescent="0.25">
      <c r="A194" s="170">
        <v>43936</v>
      </c>
      <c r="B194" s="116">
        <v>1125</v>
      </c>
      <c r="C194" s="116">
        <v>1062.2</v>
      </c>
      <c r="D194" s="116">
        <v>1055.5999999999999</v>
      </c>
      <c r="E194" s="116">
        <v>1125</v>
      </c>
      <c r="F194" s="116">
        <v>2124.4</v>
      </c>
      <c r="G194">
        <v>611</v>
      </c>
      <c r="H194" s="116"/>
      <c r="I194" s="116"/>
      <c r="L194" s="170">
        <v>43936</v>
      </c>
      <c r="M194" s="116">
        <v>1059.3</v>
      </c>
      <c r="N194" s="116">
        <v>1126.45</v>
      </c>
      <c r="O194" s="116">
        <v>1054.5</v>
      </c>
      <c r="P194" s="116">
        <v>1100.5</v>
      </c>
      <c r="Q194" s="116">
        <v>2118.6</v>
      </c>
      <c r="R194">
        <v>84756</v>
      </c>
    </row>
    <row r="195" spans="1:18" x14ac:dyDescent="0.25">
      <c r="A195" s="170">
        <v>43937</v>
      </c>
      <c r="B195" s="116">
        <v>1107.625</v>
      </c>
      <c r="C195" s="116">
        <v>1092.675</v>
      </c>
      <c r="D195" s="116">
        <v>1055</v>
      </c>
      <c r="E195" s="116">
        <v>1055</v>
      </c>
      <c r="F195" s="116">
        <v>2185.35</v>
      </c>
      <c r="G195">
        <v>278</v>
      </c>
      <c r="H195" s="116"/>
      <c r="I195" s="116"/>
      <c r="L195" s="170">
        <v>43937</v>
      </c>
      <c r="M195" s="116">
        <v>1095.425</v>
      </c>
      <c r="N195" s="116">
        <v>1109.3</v>
      </c>
      <c r="O195" s="116">
        <v>1053.5250000000001</v>
      </c>
      <c r="P195" s="116">
        <v>1059.3</v>
      </c>
      <c r="Q195" s="116">
        <v>2190.85</v>
      </c>
      <c r="R195">
        <v>24278</v>
      </c>
    </row>
    <row r="196" spans="1:18" x14ac:dyDescent="0.25">
      <c r="A196" s="170">
        <v>43938</v>
      </c>
      <c r="B196" s="116">
        <v>1142</v>
      </c>
      <c r="C196" s="116">
        <v>1122.7249999999999</v>
      </c>
      <c r="D196" s="116">
        <v>1098</v>
      </c>
      <c r="E196" s="116">
        <v>1142</v>
      </c>
      <c r="F196" s="116">
        <v>2245.4499999999998</v>
      </c>
      <c r="G196">
        <v>868</v>
      </c>
      <c r="H196" s="116"/>
      <c r="I196" s="116"/>
      <c r="L196" s="170">
        <v>43938</v>
      </c>
      <c r="M196" s="116">
        <v>1119.05</v>
      </c>
      <c r="N196" s="116">
        <v>1150</v>
      </c>
      <c r="O196" s="116">
        <v>1096.7249999999999</v>
      </c>
      <c r="P196" s="116">
        <v>1147.55</v>
      </c>
      <c r="Q196" s="116">
        <v>2238.1</v>
      </c>
      <c r="R196">
        <v>33498</v>
      </c>
    </row>
    <row r="197" spans="1:18" x14ac:dyDescent="0.25">
      <c r="A197" s="170">
        <v>43941</v>
      </c>
      <c r="B197" s="116">
        <v>1131.6500000000001</v>
      </c>
      <c r="C197" s="116">
        <v>1103.7</v>
      </c>
      <c r="D197" s="116">
        <v>1076.4000000000001</v>
      </c>
      <c r="E197" s="116">
        <v>1130.9000000000001</v>
      </c>
      <c r="F197" s="116">
        <v>2207.4</v>
      </c>
      <c r="G197">
        <v>1631</v>
      </c>
      <c r="H197" s="116"/>
      <c r="I197" s="116"/>
      <c r="L197" s="170">
        <v>43941</v>
      </c>
      <c r="M197" s="116">
        <v>1107.425</v>
      </c>
      <c r="N197" s="116">
        <v>1134.9749999999999</v>
      </c>
      <c r="O197" s="116">
        <v>1075</v>
      </c>
      <c r="P197" s="116">
        <v>1120</v>
      </c>
      <c r="Q197" s="116">
        <v>2214.85</v>
      </c>
      <c r="R197">
        <v>38062</v>
      </c>
    </row>
    <row r="198" spans="1:18" x14ac:dyDescent="0.25">
      <c r="A198" s="170">
        <v>43942</v>
      </c>
      <c r="B198" s="116">
        <v>1103.45</v>
      </c>
      <c r="C198" s="116">
        <v>1098.875</v>
      </c>
      <c r="D198" s="116">
        <v>1076.5</v>
      </c>
      <c r="E198" s="116">
        <v>1084.75</v>
      </c>
      <c r="F198" s="116">
        <v>2197.75</v>
      </c>
      <c r="G198">
        <v>467</v>
      </c>
      <c r="H198" s="116"/>
      <c r="I198" s="116"/>
      <c r="L198" s="170">
        <v>43942</v>
      </c>
      <c r="M198" s="116">
        <v>1099.4000000000001</v>
      </c>
      <c r="N198" s="116">
        <v>1105</v>
      </c>
      <c r="O198" s="116">
        <v>1072.5</v>
      </c>
      <c r="P198" s="116">
        <v>1072.5</v>
      </c>
      <c r="Q198" s="116">
        <v>2198.8000000000002</v>
      </c>
      <c r="R198">
        <v>36379</v>
      </c>
    </row>
    <row r="199" spans="1:18" x14ac:dyDescent="0.25">
      <c r="A199" s="170">
        <v>43943</v>
      </c>
      <c r="B199" s="116">
        <v>1158.75</v>
      </c>
      <c r="C199" s="116">
        <v>1131.55</v>
      </c>
      <c r="D199" s="116">
        <v>1095.1500000000001</v>
      </c>
      <c r="E199" s="116">
        <v>1095.1500000000001</v>
      </c>
      <c r="F199" s="116">
        <v>2263.1</v>
      </c>
      <c r="G199">
        <v>1151</v>
      </c>
      <c r="H199" s="116"/>
      <c r="I199" s="116"/>
      <c r="L199" s="170">
        <v>43943</v>
      </c>
      <c r="M199" s="116">
        <v>1135.2249999999999</v>
      </c>
      <c r="N199" s="116">
        <v>1159.5</v>
      </c>
      <c r="O199" s="116">
        <v>1084.5</v>
      </c>
      <c r="P199" s="116">
        <v>1084.5</v>
      </c>
      <c r="Q199" s="116">
        <v>2270.4499999999998</v>
      </c>
      <c r="R199">
        <v>34837</v>
      </c>
    </row>
    <row r="200" spans="1:18" x14ac:dyDescent="0.25">
      <c r="A200" s="170">
        <v>43944</v>
      </c>
      <c r="B200" s="116">
        <v>1138.925</v>
      </c>
      <c r="C200" s="116">
        <v>1118.875</v>
      </c>
      <c r="D200" s="116">
        <v>1112.825</v>
      </c>
      <c r="E200" s="116">
        <v>1134.55</v>
      </c>
      <c r="F200" s="116">
        <v>2237.75</v>
      </c>
      <c r="G200">
        <v>202</v>
      </c>
      <c r="H200" s="116"/>
      <c r="I200" s="116"/>
      <c r="L200" s="170">
        <v>43944</v>
      </c>
      <c r="M200" s="116">
        <v>1118.9000000000001</v>
      </c>
      <c r="N200" s="116">
        <v>1142.1500000000001</v>
      </c>
      <c r="O200" s="116">
        <v>1113.0999999999999</v>
      </c>
      <c r="P200" s="116">
        <v>1135.5</v>
      </c>
      <c r="Q200" s="116">
        <v>2237.8000000000002</v>
      </c>
      <c r="R200">
        <v>11758</v>
      </c>
    </row>
    <row r="201" spans="1:18" x14ac:dyDescent="0.25">
      <c r="A201" s="170">
        <v>43945</v>
      </c>
      <c r="B201" s="116">
        <v>1130</v>
      </c>
      <c r="C201" s="116">
        <v>1092.95</v>
      </c>
      <c r="D201" s="116">
        <v>1072.575</v>
      </c>
      <c r="E201" s="116">
        <v>1107.5</v>
      </c>
      <c r="F201" s="116">
        <v>2185.9</v>
      </c>
      <c r="G201">
        <v>888</v>
      </c>
      <c r="H201" s="116"/>
      <c r="I201" s="116"/>
      <c r="L201" s="170">
        <v>43945</v>
      </c>
      <c r="M201" s="116">
        <v>1094.4000000000001</v>
      </c>
      <c r="N201" s="116">
        <v>1132</v>
      </c>
      <c r="O201" s="116">
        <v>1087.5</v>
      </c>
      <c r="P201" s="116">
        <v>1115</v>
      </c>
      <c r="Q201" s="116">
        <v>2188.8000000000002</v>
      </c>
      <c r="R201">
        <v>17131</v>
      </c>
    </row>
    <row r="202" spans="1:18" x14ac:dyDescent="0.25">
      <c r="A202" s="170">
        <v>43948</v>
      </c>
      <c r="B202" s="116">
        <v>1138.5</v>
      </c>
      <c r="C202" s="116">
        <v>1115.55</v>
      </c>
      <c r="D202" s="116">
        <v>1094.5</v>
      </c>
      <c r="E202" s="116">
        <v>1094.5</v>
      </c>
      <c r="F202" s="116">
        <v>2231.1</v>
      </c>
      <c r="G202">
        <v>991</v>
      </c>
      <c r="H202" s="116"/>
      <c r="I202" s="116"/>
      <c r="L202" s="170">
        <v>43948</v>
      </c>
      <c r="M202" s="116">
        <v>1115.25</v>
      </c>
      <c r="N202" s="116">
        <v>1137.5</v>
      </c>
      <c r="O202" s="116">
        <v>1093.5</v>
      </c>
      <c r="P202" s="116">
        <v>1093.5250000000001</v>
      </c>
      <c r="Q202" s="116">
        <v>2230.5</v>
      </c>
      <c r="R202">
        <v>42755</v>
      </c>
    </row>
    <row r="203" spans="1:18" x14ac:dyDescent="0.25">
      <c r="A203" s="170">
        <v>43949</v>
      </c>
      <c r="B203" s="116">
        <v>1129.5</v>
      </c>
      <c r="C203" s="116">
        <v>1116.175</v>
      </c>
      <c r="D203" s="116">
        <v>1077.7249999999999</v>
      </c>
      <c r="E203" s="116">
        <v>1115</v>
      </c>
      <c r="F203" s="116">
        <v>2232.35</v>
      </c>
      <c r="G203">
        <v>860</v>
      </c>
      <c r="H203" s="116"/>
      <c r="I203" s="116"/>
      <c r="L203" s="170">
        <v>43949</v>
      </c>
      <c r="M203" s="116">
        <v>1118.675</v>
      </c>
      <c r="N203" s="116">
        <v>1130</v>
      </c>
      <c r="O203" s="116">
        <v>1077.75</v>
      </c>
      <c r="P203" s="116">
        <v>1117.5</v>
      </c>
      <c r="Q203" s="116">
        <v>2237.35</v>
      </c>
      <c r="R203">
        <v>30961</v>
      </c>
    </row>
    <row r="204" spans="1:18" x14ac:dyDescent="0.25">
      <c r="A204" s="170">
        <v>43950</v>
      </c>
      <c r="B204" s="116">
        <v>1144.825</v>
      </c>
      <c r="C204" s="116">
        <v>1131.7249999999999</v>
      </c>
      <c r="D204" s="116">
        <v>1112.55</v>
      </c>
      <c r="E204" s="116">
        <v>1118.825</v>
      </c>
      <c r="F204" s="116">
        <v>2263.4499999999998</v>
      </c>
      <c r="G204">
        <v>560</v>
      </c>
      <c r="H204" s="116"/>
      <c r="I204" s="116"/>
      <c r="L204" s="170">
        <v>43950</v>
      </c>
      <c r="M204" s="116">
        <v>1130.625</v>
      </c>
      <c r="N204" s="116">
        <v>1144.5</v>
      </c>
      <c r="O204" s="116">
        <v>1108</v>
      </c>
      <c r="P204" s="116">
        <v>1108</v>
      </c>
      <c r="Q204" s="116">
        <v>2261.25</v>
      </c>
      <c r="R204">
        <v>43826</v>
      </c>
    </row>
    <row r="205" spans="1:18" x14ac:dyDescent="0.25">
      <c r="A205" s="170">
        <v>43951</v>
      </c>
      <c r="B205" s="116">
        <v>1139.4749999999999</v>
      </c>
      <c r="C205" s="116">
        <v>1121.925</v>
      </c>
      <c r="D205" s="116">
        <v>1100</v>
      </c>
      <c r="E205" s="116">
        <v>1138.4749999999999</v>
      </c>
      <c r="F205" s="116">
        <v>2243.85</v>
      </c>
      <c r="G205">
        <v>1676</v>
      </c>
      <c r="H205" s="116"/>
      <c r="I205" s="116"/>
      <c r="L205" s="170">
        <v>43951</v>
      </c>
      <c r="M205" s="116">
        <v>1123.7750000000001</v>
      </c>
      <c r="N205" s="116">
        <v>1144.5</v>
      </c>
      <c r="O205" s="116">
        <v>1099.3</v>
      </c>
      <c r="P205" s="116">
        <v>1131.55</v>
      </c>
      <c r="Q205" s="116">
        <v>2247.5500000000002</v>
      </c>
      <c r="R205">
        <v>54332</v>
      </c>
    </row>
    <row r="206" spans="1:18" x14ac:dyDescent="0.25">
      <c r="A206" s="170">
        <v>43955</v>
      </c>
      <c r="B206" s="116">
        <v>1142.5250000000001</v>
      </c>
      <c r="C206" s="116">
        <v>1132.325</v>
      </c>
      <c r="D206" s="116">
        <v>1099</v>
      </c>
      <c r="E206" s="116">
        <v>1130</v>
      </c>
      <c r="F206" s="116">
        <v>2264.65</v>
      </c>
      <c r="G206">
        <v>2364</v>
      </c>
      <c r="H206" s="116"/>
      <c r="I206" s="116"/>
      <c r="L206" s="170">
        <v>43955</v>
      </c>
      <c r="M206" s="116">
        <v>1132.2249999999999</v>
      </c>
      <c r="N206" s="116">
        <v>1142</v>
      </c>
      <c r="O206" s="116">
        <v>1095</v>
      </c>
      <c r="P206" s="116">
        <v>1095</v>
      </c>
      <c r="Q206" s="116">
        <v>2264.4499999999998</v>
      </c>
      <c r="R206">
        <v>41366</v>
      </c>
    </row>
    <row r="207" spans="1:18" x14ac:dyDescent="0.25">
      <c r="A207" s="170">
        <v>43956</v>
      </c>
      <c r="B207" s="116">
        <v>1233.875</v>
      </c>
      <c r="C207" s="116">
        <v>1180.3</v>
      </c>
      <c r="D207" s="116">
        <v>1155</v>
      </c>
      <c r="E207" s="116">
        <v>1157.25</v>
      </c>
      <c r="F207" s="116">
        <v>2360.6</v>
      </c>
      <c r="G207">
        <v>2863</v>
      </c>
      <c r="H207" s="116"/>
      <c r="I207" s="116"/>
      <c r="L207" s="170">
        <v>43956</v>
      </c>
      <c r="M207" s="116">
        <v>1184.7750000000001</v>
      </c>
      <c r="N207" s="116">
        <v>1232.7</v>
      </c>
      <c r="O207" s="116">
        <v>1150.5</v>
      </c>
      <c r="P207" s="116">
        <v>1150.5</v>
      </c>
      <c r="Q207" s="116">
        <v>2369.5500000000002</v>
      </c>
      <c r="R207">
        <v>103196</v>
      </c>
    </row>
    <row r="208" spans="1:18" x14ac:dyDescent="0.25">
      <c r="A208" s="170">
        <v>43957</v>
      </c>
      <c r="B208" s="116">
        <v>1189.425</v>
      </c>
      <c r="C208" s="116">
        <v>1170.325</v>
      </c>
      <c r="D208" s="116">
        <v>1158.075</v>
      </c>
      <c r="E208" s="116">
        <v>1185</v>
      </c>
      <c r="F208" s="116">
        <v>2340.65</v>
      </c>
      <c r="G208">
        <v>749</v>
      </c>
      <c r="H208" s="116"/>
      <c r="I208" s="116"/>
      <c r="L208" s="170">
        <v>43957</v>
      </c>
      <c r="M208" s="116">
        <v>1168.8499999999999</v>
      </c>
      <c r="N208" s="116">
        <v>1210</v>
      </c>
      <c r="O208" s="116">
        <v>1155.625</v>
      </c>
      <c r="P208" s="116">
        <v>1200</v>
      </c>
      <c r="Q208" s="116">
        <v>2337.6999999999998</v>
      </c>
      <c r="R208">
        <v>41801</v>
      </c>
    </row>
    <row r="209" spans="1:18" x14ac:dyDescent="0.25">
      <c r="A209" s="170">
        <v>43958</v>
      </c>
      <c r="B209" s="116">
        <v>1187.45</v>
      </c>
      <c r="C209" s="116">
        <v>1175.2</v>
      </c>
      <c r="D209" s="116">
        <v>1164</v>
      </c>
      <c r="E209" s="116">
        <v>1185.8</v>
      </c>
      <c r="F209" s="116">
        <v>2350.4</v>
      </c>
      <c r="G209">
        <v>111</v>
      </c>
      <c r="H209" s="116"/>
      <c r="I209" s="116"/>
      <c r="L209" s="170">
        <v>43958</v>
      </c>
      <c r="M209" s="116">
        <v>1172.7</v>
      </c>
      <c r="N209" s="116">
        <v>1190.9749999999999</v>
      </c>
      <c r="O209" s="116">
        <v>1160</v>
      </c>
      <c r="P209" s="116">
        <v>1168.8499999999999</v>
      </c>
      <c r="Q209" s="116">
        <v>2345.4</v>
      </c>
      <c r="R209">
        <v>19912</v>
      </c>
    </row>
    <row r="210" spans="1:18" x14ac:dyDescent="0.25">
      <c r="A210" s="170">
        <v>43959</v>
      </c>
      <c r="B210" s="116">
        <v>1207.8</v>
      </c>
      <c r="C210" s="116">
        <v>1181.4749999999999</v>
      </c>
      <c r="D210" s="116">
        <v>1175.625</v>
      </c>
      <c r="E210" s="116">
        <v>1195</v>
      </c>
      <c r="F210" s="116">
        <v>2362.9499999999998</v>
      </c>
      <c r="G210">
        <v>534</v>
      </c>
      <c r="H210" s="116"/>
      <c r="I210" s="116"/>
      <c r="L210" s="170">
        <v>43959</v>
      </c>
      <c r="M210" s="116">
        <v>1181.4749999999999</v>
      </c>
      <c r="N210" s="116">
        <v>1209.4000000000001</v>
      </c>
      <c r="O210" s="116">
        <v>1174.2249999999999</v>
      </c>
      <c r="P210" s="116">
        <v>1182</v>
      </c>
      <c r="Q210" s="116">
        <v>2362.9499999999998</v>
      </c>
      <c r="R210">
        <v>34846</v>
      </c>
    </row>
    <row r="211" spans="1:18" x14ac:dyDescent="0.25">
      <c r="A211" s="170">
        <v>43962</v>
      </c>
      <c r="B211" s="116">
        <v>1190</v>
      </c>
      <c r="C211" s="116">
        <v>1125.375</v>
      </c>
      <c r="D211" s="116">
        <v>1114.3</v>
      </c>
      <c r="E211" s="116">
        <v>1190</v>
      </c>
      <c r="F211" s="116">
        <v>2250.75</v>
      </c>
      <c r="G211">
        <v>905</v>
      </c>
      <c r="H211" s="116"/>
      <c r="I211" s="116"/>
      <c r="L211" s="170">
        <v>43962</v>
      </c>
      <c r="M211" s="116">
        <v>1126.5</v>
      </c>
      <c r="N211" s="116">
        <v>1210</v>
      </c>
      <c r="O211" s="116">
        <v>1115.5</v>
      </c>
      <c r="P211" s="116">
        <v>1187.45</v>
      </c>
      <c r="Q211" s="116">
        <v>2253</v>
      </c>
      <c r="R211">
        <v>56362</v>
      </c>
    </row>
    <row r="212" spans="1:18" x14ac:dyDescent="0.25">
      <c r="A212" s="170">
        <v>43963</v>
      </c>
      <c r="B212" s="116">
        <v>1138</v>
      </c>
      <c r="C212" s="116">
        <v>1096.125</v>
      </c>
      <c r="D212" s="116">
        <v>1065.8</v>
      </c>
      <c r="E212" s="116">
        <v>1138</v>
      </c>
      <c r="F212" s="116">
        <v>2192.25</v>
      </c>
      <c r="G212">
        <v>1532</v>
      </c>
      <c r="H212" s="116"/>
      <c r="I212" s="116"/>
      <c r="L212" s="170">
        <v>43963</v>
      </c>
      <c r="M212" s="116">
        <v>1097.2</v>
      </c>
      <c r="N212" s="116">
        <v>1137.4000000000001</v>
      </c>
      <c r="O212" s="116">
        <v>1063.5250000000001</v>
      </c>
      <c r="P212" s="116">
        <v>1135</v>
      </c>
      <c r="Q212" s="116">
        <v>2194.4</v>
      </c>
      <c r="R212">
        <v>47123</v>
      </c>
    </row>
    <row r="213" spans="1:18" x14ac:dyDescent="0.25">
      <c r="A213" s="170">
        <v>43964</v>
      </c>
      <c r="B213" s="116">
        <v>1210</v>
      </c>
      <c r="C213" s="116">
        <v>1099.8499999999999</v>
      </c>
      <c r="D213" s="116">
        <v>1085.825</v>
      </c>
      <c r="E213" s="116">
        <v>1200</v>
      </c>
      <c r="F213" s="116">
        <v>2199.6999999999998</v>
      </c>
      <c r="G213">
        <v>9590</v>
      </c>
      <c r="H213" s="116"/>
      <c r="I213" s="116"/>
      <c r="L213" s="170">
        <v>43964</v>
      </c>
      <c r="M213" s="116">
        <v>1100.0250000000001</v>
      </c>
      <c r="N213" s="116">
        <v>1209</v>
      </c>
      <c r="O213" s="116">
        <v>1085.5</v>
      </c>
      <c r="P213" s="116">
        <v>1208.5</v>
      </c>
      <c r="Q213" s="116">
        <v>2200.0500000000002</v>
      </c>
      <c r="R213">
        <v>201228</v>
      </c>
    </row>
    <row r="214" spans="1:18" x14ac:dyDescent="0.25">
      <c r="A214" s="170">
        <v>43965</v>
      </c>
      <c r="B214" s="116">
        <v>1112.5</v>
      </c>
      <c r="C214" s="116">
        <v>1106.3</v>
      </c>
      <c r="D214" s="116">
        <v>1060.075</v>
      </c>
      <c r="E214" s="116">
        <v>1080</v>
      </c>
      <c r="F214" s="116">
        <v>2212.6</v>
      </c>
      <c r="G214">
        <v>1588</v>
      </c>
      <c r="H214" s="116"/>
      <c r="I214" s="116"/>
      <c r="L214" s="170">
        <v>43965</v>
      </c>
      <c r="M214" s="116">
        <v>1105.8499999999999</v>
      </c>
      <c r="N214" s="116">
        <v>1110</v>
      </c>
      <c r="O214" s="116">
        <v>1050.5</v>
      </c>
      <c r="P214" s="116">
        <v>1069.9749999999999</v>
      </c>
      <c r="Q214" s="116">
        <v>2211.6999999999998</v>
      </c>
      <c r="R214">
        <v>78666</v>
      </c>
    </row>
    <row r="215" spans="1:18" x14ac:dyDescent="0.25">
      <c r="A215" s="170">
        <v>43966</v>
      </c>
      <c r="B215" s="116">
        <v>1158.5</v>
      </c>
      <c r="C215" s="116">
        <v>1148.375</v>
      </c>
      <c r="D215" s="116">
        <v>1100.7750000000001</v>
      </c>
      <c r="E215" s="116">
        <v>1100.7750000000001</v>
      </c>
      <c r="F215" s="116">
        <v>2296.75</v>
      </c>
      <c r="G215">
        <v>2647</v>
      </c>
      <c r="H215" s="116"/>
      <c r="I215" s="116"/>
      <c r="L215" s="170">
        <v>43966</v>
      </c>
      <c r="M215" s="116">
        <v>1148.675</v>
      </c>
      <c r="N215" s="116">
        <v>1159.5</v>
      </c>
      <c r="O215" s="116">
        <v>1101.125</v>
      </c>
      <c r="P215" s="116">
        <v>1116</v>
      </c>
      <c r="Q215" s="116">
        <v>2297.35</v>
      </c>
      <c r="R215">
        <v>120252</v>
      </c>
    </row>
    <row r="216" spans="1:18" x14ac:dyDescent="0.25">
      <c r="A216" s="170">
        <v>43969</v>
      </c>
      <c r="B216" s="116">
        <v>1188.5</v>
      </c>
      <c r="C216" s="116">
        <v>1142.05</v>
      </c>
      <c r="D216" s="116">
        <v>1120.5</v>
      </c>
      <c r="E216" s="116">
        <v>1152.075</v>
      </c>
      <c r="F216" s="116">
        <v>2284.1</v>
      </c>
      <c r="G216">
        <v>2572</v>
      </c>
      <c r="H216" s="116"/>
      <c r="I216" s="116"/>
      <c r="L216" s="170">
        <v>43969</v>
      </c>
      <c r="M216" s="116">
        <v>1141.3</v>
      </c>
      <c r="N216" s="116">
        <v>1187.4749999999999</v>
      </c>
      <c r="O216" s="116">
        <v>1120.5</v>
      </c>
      <c r="P216" s="116">
        <v>1159.4000000000001</v>
      </c>
      <c r="Q216" s="116">
        <v>2282.6</v>
      </c>
      <c r="R216">
        <v>145230</v>
      </c>
    </row>
    <row r="217" spans="1:18" x14ac:dyDescent="0.25">
      <c r="A217" s="170">
        <v>43970</v>
      </c>
      <c r="B217" s="116">
        <v>1189.45</v>
      </c>
      <c r="C217" s="116">
        <v>1179.0999999999999</v>
      </c>
      <c r="D217" s="116">
        <v>1141.3</v>
      </c>
      <c r="E217" s="116">
        <v>1149.8</v>
      </c>
      <c r="F217" s="116">
        <v>2358.1999999999998</v>
      </c>
      <c r="G217">
        <v>1573</v>
      </c>
      <c r="H217" s="116"/>
      <c r="I217" s="116"/>
      <c r="L217" s="170">
        <v>43970</v>
      </c>
      <c r="M217" s="116">
        <v>1178.7750000000001</v>
      </c>
      <c r="N217" s="116">
        <v>1189.5</v>
      </c>
      <c r="O217" s="116">
        <v>1141.375</v>
      </c>
      <c r="P217" s="116">
        <v>1159.8</v>
      </c>
      <c r="Q217" s="116">
        <v>2357.5500000000002</v>
      </c>
      <c r="R217">
        <v>59301</v>
      </c>
    </row>
    <row r="218" spans="1:18" x14ac:dyDescent="0.25">
      <c r="A218" s="170">
        <v>43971</v>
      </c>
      <c r="B218" s="116">
        <v>1200</v>
      </c>
      <c r="C218" s="116">
        <v>1194.3</v>
      </c>
      <c r="D218" s="116">
        <v>1175</v>
      </c>
      <c r="E218" s="116">
        <v>1189.45</v>
      </c>
      <c r="F218" s="116">
        <v>2388.6</v>
      </c>
      <c r="G218">
        <v>1124</v>
      </c>
      <c r="H218" s="116"/>
      <c r="I218" s="116"/>
      <c r="L218" s="170">
        <v>43971</v>
      </c>
      <c r="M218" s="116">
        <v>1194.4000000000001</v>
      </c>
      <c r="N218" s="116">
        <v>1202.3499999999999</v>
      </c>
      <c r="O218" s="116">
        <v>1176.325</v>
      </c>
      <c r="P218" s="116">
        <v>1187.5</v>
      </c>
      <c r="Q218" s="116">
        <v>2388.8000000000002</v>
      </c>
      <c r="R218">
        <v>48158</v>
      </c>
    </row>
    <row r="219" spans="1:18" x14ac:dyDescent="0.25">
      <c r="A219" s="170">
        <v>43972</v>
      </c>
      <c r="B219" s="116">
        <v>1270.125</v>
      </c>
      <c r="C219" s="116">
        <v>1252.55</v>
      </c>
      <c r="D219" s="116">
        <v>1207.5</v>
      </c>
      <c r="E219" s="116">
        <v>1207.5</v>
      </c>
      <c r="F219" s="116">
        <v>2505.1</v>
      </c>
      <c r="G219">
        <v>3542</v>
      </c>
      <c r="H219" s="116"/>
      <c r="I219" s="116"/>
      <c r="L219" s="170">
        <v>43972</v>
      </c>
      <c r="M219" s="116">
        <v>1253.175</v>
      </c>
      <c r="N219" s="116">
        <v>1272.2</v>
      </c>
      <c r="O219" s="116">
        <v>1200</v>
      </c>
      <c r="P219" s="116">
        <v>1204.5</v>
      </c>
      <c r="Q219" s="116">
        <v>2506.35</v>
      </c>
      <c r="R219">
        <v>171344</v>
      </c>
    </row>
    <row r="220" spans="1:18" x14ac:dyDescent="0.25">
      <c r="A220" s="170">
        <v>43973</v>
      </c>
      <c r="B220" s="116">
        <v>1281.925</v>
      </c>
      <c r="C220" s="116">
        <v>1269.175</v>
      </c>
      <c r="D220" s="116">
        <v>1223.0250000000001</v>
      </c>
      <c r="E220" s="116">
        <v>1252.55</v>
      </c>
      <c r="F220" s="116">
        <v>2538.35</v>
      </c>
      <c r="G220">
        <v>2557</v>
      </c>
      <c r="H220" s="116"/>
      <c r="I220" s="116"/>
      <c r="L220" s="170">
        <v>43973</v>
      </c>
      <c r="M220" s="116">
        <v>1269.925</v>
      </c>
      <c r="N220" s="116">
        <v>1281.7249999999999</v>
      </c>
      <c r="O220" s="116">
        <v>1221</v>
      </c>
      <c r="P220" s="116">
        <v>1262.5</v>
      </c>
      <c r="Q220" s="116">
        <v>2539.85</v>
      </c>
      <c r="R220">
        <v>91915</v>
      </c>
    </row>
    <row r="221" spans="1:18" x14ac:dyDescent="0.25">
      <c r="A221" s="170">
        <v>43977</v>
      </c>
      <c r="B221" s="116">
        <v>1274.05</v>
      </c>
      <c r="C221" s="116">
        <v>1244.175</v>
      </c>
      <c r="D221" s="116">
        <v>1230</v>
      </c>
      <c r="E221" s="116">
        <v>1272.5</v>
      </c>
      <c r="F221" s="116">
        <v>2488.35</v>
      </c>
      <c r="G221">
        <v>1031</v>
      </c>
      <c r="H221" s="116"/>
      <c r="I221" s="116"/>
      <c r="L221" s="170">
        <v>43977</v>
      </c>
      <c r="M221" s="116">
        <v>1245.5999999999999</v>
      </c>
      <c r="N221" s="116">
        <v>1281</v>
      </c>
      <c r="O221" s="116">
        <v>1227.5</v>
      </c>
      <c r="P221" s="116">
        <v>1278.5</v>
      </c>
      <c r="Q221" s="116">
        <v>2491.1999999999998</v>
      </c>
      <c r="R221">
        <v>53679</v>
      </c>
    </row>
    <row r="222" spans="1:18" x14ac:dyDescent="0.25">
      <c r="A222" s="170">
        <v>43978</v>
      </c>
      <c r="B222" s="116">
        <v>1237.5</v>
      </c>
      <c r="C222" s="116">
        <v>1209.075</v>
      </c>
      <c r="D222" s="116">
        <v>1204.5</v>
      </c>
      <c r="E222" s="116">
        <v>1230.3</v>
      </c>
      <c r="F222" s="116">
        <v>2418.15</v>
      </c>
      <c r="G222">
        <v>1470</v>
      </c>
      <c r="H222" s="116"/>
      <c r="I222" s="116"/>
      <c r="L222" s="170">
        <v>43978</v>
      </c>
      <c r="M222" s="116">
        <v>1211.2750000000001</v>
      </c>
      <c r="N222" s="116">
        <v>1245.5999999999999</v>
      </c>
      <c r="O222" s="116">
        <v>1200</v>
      </c>
      <c r="P222" s="116">
        <v>1245.5999999999999</v>
      </c>
      <c r="Q222" s="116">
        <v>2422.5500000000002</v>
      </c>
      <c r="R222">
        <v>32774</v>
      </c>
    </row>
    <row r="223" spans="1:18" x14ac:dyDescent="0.25">
      <c r="A223" s="170">
        <v>43979</v>
      </c>
      <c r="B223" s="116">
        <v>1233.4749999999999</v>
      </c>
      <c r="C223" s="116">
        <v>1179.0999999999999</v>
      </c>
      <c r="D223" s="116">
        <v>1175.0250000000001</v>
      </c>
      <c r="E223" s="116">
        <v>1228.8</v>
      </c>
      <c r="F223" s="116">
        <v>2358.1999999999998</v>
      </c>
      <c r="G223">
        <v>1154</v>
      </c>
      <c r="H223" s="116"/>
      <c r="I223" s="116"/>
      <c r="L223" s="170">
        <v>43979</v>
      </c>
      <c r="M223" s="116">
        <v>1178.9749999999999</v>
      </c>
      <c r="N223" s="116">
        <v>1237.2249999999999</v>
      </c>
      <c r="O223" s="116">
        <v>1175</v>
      </c>
      <c r="P223" s="116">
        <v>1220</v>
      </c>
      <c r="Q223" s="116">
        <v>2357.9499999999998</v>
      </c>
      <c r="R223">
        <v>124160</v>
      </c>
    </row>
    <row r="224" spans="1:18" x14ac:dyDescent="0.25">
      <c r="A224" s="170">
        <v>43980</v>
      </c>
      <c r="B224" s="116">
        <v>1268.9749999999999</v>
      </c>
      <c r="C224" s="116">
        <v>1239.325</v>
      </c>
      <c r="D224" s="116">
        <v>1159.425</v>
      </c>
      <c r="E224" s="116">
        <v>1175</v>
      </c>
      <c r="F224" s="116">
        <v>2478.65</v>
      </c>
      <c r="G224">
        <v>4348</v>
      </c>
      <c r="H224" s="116"/>
      <c r="I224" s="116"/>
      <c r="L224" s="170">
        <v>43980</v>
      </c>
      <c r="M224" s="116">
        <v>1238.7</v>
      </c>
      <c r="N224" s="116">
        <v>1249.5</v>
      </c>
      <c r="O224" s="116">
        <v>1160.375</v>
      </c>
      <c r="P224" s="116">
        <v>1183.375</v>
      </c>
      <c r="Q224" s="116">
        <v>2477.4</v>
      </c>
      <c r="R224">
        <v>186284</v>
      </c>
    </row>
    <row r="225" spans="1:18" x14ac:dyDescent="0.25">
      <c r="A225" s="170">
        <v>43983</v>
      </c>
      <c r="B225" s="116">
        <v>1287.1500000000001</v>
      </c>
      <c r="C225" s="116">
        <v>1278.45</v>
      </c>
      <c r="D225" s="116">
        <v>1252.5</v>
      </c>
      <c r="E225" s="116">
        <v>1272</v>
      </c>
      <c r="F225" s="116">
        <v>2556.9</v>
      </c>
      <c r="G225">
        <v>938</v>
      </c>
      <c r="H225" s="116"/>
      <c r="I225" s="116"/>
      <c r="L225" s="170">
        <v>43983</v>
      </c>
      <c r="M225" s="116">
        <v>1272.5</v>
      </c>
      <c r="N225" s="116">
        <v>1274.5</v>
      </c>
      <c r="O225" s="116">
        <v>1249.5</v>
      </c>
      <c r="P225" s="116">
        <v>1249.5</v>
      </c>
      <c r="Q225" s="116">
        <v>2545</v>
      </c>
      <c r="R225">
        <v>48247</v>
      </c>
    </row>
    <row r="226" spans="1:18" x14ac:dyDescent="0.25">
      <c r="A226" s="170">
        <v>43984</v>
      </c>
      <c r="B226" s="116">
        <v>1293.5999999999999</v>
      </c>
      <c r="C226" s="116">
        <v>1234.625</v>
      </c>
      <c r="D226" s="116">
        <v>1226.7750000000001</v>
      </c>
      <c r="E226" s="116">
        <v>1287.7249999999999</v>
      </c>
      <c r="F226" s="116">
        <v>2469.25</v>
      </c>
      <c r="G226">
        <v>1038</v>
      </c>
      <c r="H226" s="116"/>
      <c r="I226" s="116"/>
      <c r="L226" s="170">
        <v>43984</v>
      </c>
      <c r="M226" s="116">
        <v>1233.45</v>
      </c>
      <c r="N226" s="116">
        <v>1295.3499999999999</v>
      </c>
      <c r="O226" s="116">
        <v>1227.5</v>
      </c>
      <c r="P226" s="116">
        <v>1274.5</v>
      </c>
      <c r="Q226" s="116">
        <v>2466.9</v>
      </c>
      <c r="R226">
        <v>80741</v>
      </c>
    </row>
    <row r="227" spans="1:18" x14ac:dyDescent="0.25">
      <c r="A227" s="170">
        <v>43985</v>
      </c>
      <c r="B227" s="116">
        <v>1255</v>
      </c>
      <c r="C227" s="116">
        <v>1165.9749999999999</v>
      </c>
      <c r="D227" s="116">
        <v>1156.625</v>
      </c>
      <c r="E227" s="116">
        <v>1225</v>
      </c>
      <c r="F227" s="116">
        <v>2331.9499999999998</v>
      </c>
      <c r="G227">
        <v>123747</v>
      </c>
      <c r="H227" s="116"/>
      <c r="I227" s="116"/>
      <c r="L227" s="170">
        <v>43985</v>
      </c>
      <c r="M227" s="116">
        <v>1165.6500000000001</v>
      </c>
      <c r="N227" s="116">
        <v>1258.0250000000001</v>
      </c>
      <c r="O227" s="116">
        <v>1155.5</v>
      </c>
      <c r="P227" s="116">
        <v>1239</v>
      </c>
      <c r="Q227" s="116">
        <v>2331.3000000000002</v>
      </c>
      <c r="R227">
        <v>238066</v>
      </c>
    </row>
    <row r="228" spans="1:18" x14ac:dyDescent="0.25">
      <c r="A228" s="170">
        <v>43986</v>
      </c>
      <c r="B228" s="116">
        <v>1199.575</v>
      </c>
      <c r="C228" s="116">
        <v>1167.5250000000001</v>
      </c>
      <c r="D228" s="116">
        <v>1160.5</v>
      </c>
      <c r="E228" s="116">
        <v>1199.575</v>
      </c>
      <c r="F228" s="116">
        <v>2335.0500000000002</v>
      </c>
      <c r="G228">
        <v>1773</v>
      </c>
      <c r="H228" s="116"/>
      <c r="I228" s="116"/>
      <c r="L228" s="170">
        <v>43986</v>
      </c>
      <c r="M228" s="116">
        <v>1166.075</v>
      </c>
      <c r="N228" s="116">
        <v>1187.5</v>
      </c>
      <c r="O228" s="116">
        <v>1161</v>
      </c>
      <c r="P228" s="116">
        <v>1172</v>
      </c>
      <c r="Q228" s="116">
        <v>2332.15</v>
      </c>
      <c r="R228">
        <v>61585</v>
      </c>
    </row>
    <row r="229" spans="1:18" x14ac:dyDescent="0.25">
      <c r="A229" s="170">
        <v>43987</v>
      </c>
      <c r="B229" s="116">
        <v>1175</v>
      </c>
      <c r="C229" s="116">
        <v>1167.25</v>
      </c>
      <c r="D229" s="116">
        <v>1130.5</v>
      </c>
      <c r="E229" s="116">
        <v>1174.375</v>
      </c>
      <c r="F229" s="116">
        <v>2334.5</v>
      </c>
      <c r="G229">
        <v>1670</v>
      </c>
      <c r="H229" s="116"/>
      <c r="I229" s="116"/>
      <c r="L229" s="170">
        <v>43987</v>
      </c>
      <c r="M229" s="116">
        <v>1165.4749999999999</v>
      </c>
      <c r="N229" s="116">
        <v>1185</v>
      </c>
      <c r="O229" s="116">
        <v>1135</v>
      </c>
      <c r="P229" s="116">
        <v>1175</v>
      </c>
      <c r="Q229" s="116">
        <v>2330.9499999999998</v>
      </c>
      <c r="R229">
        <v>62296</v>
      </c>
    </row>
    <row r="230" spans="1:18" x14ac:dyDescent="0.25">
      <c r="A230" s="170">
        <v>43990</v>
      </c>
      <c r="B230" s="116">
        <v>1199</v>
      </c>
      <c r="C230" s="116">
        <v>1152.375</v>
      </c>
      <c r="D230" s="116">
        <v>1135.2</v>
      </c>
      <c r="E230" s="116">
        <v>1175.4749999999999</v>
      </c>
      <c r="F230" s="116">
        <v>2304.75</v>
      </c>
      <c r="G230">
        <v>1735</v>
      </c>
      <c r="H230" s="116"/>
      <c r="I230" s="116"/>
      <c r="L230" s="170">
        <v>43990</v>
      </c>
      <c r="M230" s="116">
        <v>1153.375</v>
      </c>
      <c r="N230" s="116">
        <v>1183.4749999999999</v>
      </c>
      <c r="O230" s="116">
        <v>1132.5</v>
      </c>
      <c r="P230" s="116">
        <v>1165.5</v>
      </c>
      <c r="Q230" s="116">
        <v>2306.75</v>
      </c>
      <c r="R230">
        <v>149622</v>
      </c>
    </row>
    <row r="231" spans="1:18" x14ac:dyDescent="0.25">
      <c r="A231" s="170">
        <v>43991</v>
      </c>
      <c r="B231" s="116">
        <v>1199</v>
      </c>
      <c r="C231" s="116">
        <v>1178.45</v>
      </c>
      <c r="D231" s="116">
        <v>1156.75</v>
      </c>
      <c r="E231" s="116">
        <v>1160</v>
      </c>
      <c r="F231" s="116">
        <v>2356.9</v>
      </c>
      <c r="G231">
        <v>2839</v>
      </c>
      <c r="H231" s="116"/>
      <c r="I231" s="116"/>
      <c r="L231" s="170">
        <v>43991</v>
      </c>
      <c r="M231" s="116">
        <v>1178.9749999999999</v>
      </c>
      <c r="N231" s="116">
        <v>1199.5</v>
      </c>
      <c r="O231" s="116">
        <v>1155</v>
      </c>
      <c r="P231" s="116">
        <v>1155</v>
      </c>
      <c r="Q231" s="116">
        <v>2357.9499999999998</v>
      </c>
      <c r="R231">
        <v>77696</v>
      </c>
    </row>
    <row r="232" spans="1:18" x14ac:dyDescent="0.25">
      <c r="A232" s="170">
        <v>43992</v>
      </c>
      <c r="B232" s="116">
        <v>1199</v>
      </c>
      <c r="C232" s="116">
        <v>1189.95</v>
      </c>
      <c r="D232" s="116">
        <v>1174.25</v>
      </c>
      <c r="E232" s="116">
        <v>1181.95</v>
      </c>
      <c r="F232" s="116">
        <v>2379.9</v>
      </c>
      <c r="G232">
        <v>141057</v>
      </c>
      <c r="H232" s="116"/>
      <c r="I232" s="116"/>
      <c r="L232" s="170">
        <v>43992</v>
      </c>
      <c r="M232" s="116">
        <v>1189.5999999999999</v>
      </c>
      <c r="N232" s="116">
        <v>1199</v>
      </c>
      <c r="O232" s="116">
        <v>1173.325</v>
      </c>
      <c r="P232" s="116">
        <v>1190</v>
      </c>
      <c r="Q232" s="116">
        <v>2379.1999999999998</v>
      </c>
      <c r="R232">
        <v>192962</v>
      </c>
    </row>
    <row r="233" spans="1:18" x14ac:dyDescent="0.25">
      <c r="A233" s="170">
        <v>43993</v>
      </c>
      <c r="B233" s="116">
        <v>1192.5</v>
      </c>
      <c r="C233" s="116">
        <v>1140.875</v>
      </c>
      <c r="D233" s="116">
        <v>1127.5</v>
      </c>
      <c r="E233" s="116">
        <v>1187.4000000000001</v>
      </c>
      <c r="F233" s="116">
        <v>2281.75</v>
      </c>
      <c r="G233">
        <v>2722</v>
      </c>
      <c r="H233" s="116"/>
      <c r="I233" s="116"/>
      <c r="L233" s="170">
        <v>43993</v>
      </c>
      <c r="M233" s="116">
        <v>1137.125</v>
      </c>
      <c r="N233" s="116">
        <v>1193.95</v>
      </c>
      <c r="O233" s="116">
        <v>1125.0250000000001</v>
      </c>
      <c r="P233" s="116">
        <v>1189.4000000000001</v>
      </c>
      <c r="Q233" s="116">
        <v>2274.25</v>
      </c>
      <c r="R233">
        <v>110700</v>
      </c>
    </row>
    <row r="234" spans="1:18" x14ac:dyDescent="0.25">
      <c r="A234" s="170">
        <v>43994</v>
      </c>
      <c r="B234" s="116">
        <v>1152.8</v>
      </c>
      <c r="C234" s="116">
        <v>1139.325</v>
      </c>
      <c r="D234" s="116">
        <v>1100.05</v>
      </c>
      <c r="E234" s="116">
        <v>1120</v>
      </c>
      <c r="F234" s="116">
        <v>2278.65</v>
      </c>
      <c r="G234">
        <v>1402</v>
      </c>
      <c r="H234" s="116"/>
      <c r="I234" s="116"/>
      <c r="L234" s="170">
        <v>43994</v>
      </c>
      <c r="M234" s="116">
        <v>1137.4000000000001</v>
      </c>
      <c r="N234" s="116">
        <v>1152.5</v>
      </c>
      <c r="O234" s="116">
        <v>1080</v>
      </c>
      <c r="P234" s="116">
        <v>1080</v>
      </c>
      <c r="Q234" s="116">
        <v>2274.8000000000002</v>
      </c>
      <c r="R234">
        <v>37180</v>
      </c>
    </row>
    <row r="235" spans="1:18" x14ac:dyDescent="0.25">
      <c r="A235" s="170">
        <v>43997</v>
      </c>
      <c r="B235" s="116">
        <v>1150.2249999999999</v>
      </c>
      <c r="C235" s="116">
        <v>1105.7750000000001</v>
      </c>
      <c r="D235" s="116">
        <v>1096</v>
      </c>
      <c r="E235" s="116">
        <v>1096</v>
      </c>
      <c r="F235" s="116">
        <v>2211.5500000000002</v>
      </c>
      <c r="G235">
        <v>1257</v>
      </c>
      <c r="H235" s="116"/>
      <c r="I235" s="116"/>
      <c r="L235" s="170">
        <v>43997</v>
      </c>
      <c r="M235" s="116">
        <v>1104.575</v>
      </c>
      <c r="N235" s="116">
        <v>1149.25</v>
      </c>
      <c r="O235" s="116">
        <v>1100</v>
      </c>
      <c r="P235" s="116">
        <v>1125</v>
      </c>
      <c r="Q235" s="116">
        <v>2209.15</v>
      </c>
      <c r="R235">
        <v>71718</v>
      </c>
    </row>
    <row r="236" spans="1:18" x14ac:dyDescent="0.25">
      <c r="A236" s="170">
        <v>43998</v>
      </c>
      <c r="B236" s="116">
        <v>1125.375</v>
      </c>
      <c r="C236" s="116">
        <v>1090.925</v>
      </c>
      <c r="D236" s="116">
        <v>1066.0250000000001</v>
      </c>
      <c r="E236" s="116">
        <v>1104.0250000000001</v>
      </c>
      <c r="F236" s="116">
        <v>2181.85</v>
      </c>
      <c r="G236">
        <v>155550</v>
      </c>
      <c r="H236" s="116"/>
      <c r="I236" s="116"/>
      <c r="L236" s="170">
        <v>43998</v>
      </c>
      <c r="M236" s="116">
        <v>1091.7249999999999</v>
      </c>
      <c r="N236" s="116">
        <v>1126.575</v>
      </c>
      <c r="O236" s="116">
        <v>1062.9749999999999</v>
      </c>
      <c r="P236" s="116">
        <v>1122.2</v>
      </c>
      <c r="Q236" s="116">
        <v>2183.4499999999998</v>
      </c>
      <c r="R236">
        <v>159921</v>
      </c>
    </row>
    <row r="237" spans="1:18" x14ac:dyDescent="0.25">
      <c r="A237" s="170">
        <v>43999</v>
      </c>
      <c r="B237" s="116">
        <v>1121</v>
      </c>
      <c r="C237" s="116">
        <v>1115.8499999999999</v>
      </c>
      <c r="D237" s="116">
        <v>1092.5</v>
      </c>
      <c r="E237" s="116">
        <v>1092.5</v>
      </c>
      <c r="F237" s="116">
        <v>2231.6999999999998</v>
      </c>
      <c r="G237">
        <v>653</v>
      </c>
      <c r="H237" s="116"/>
      <c r="I237" s="116"/>
      <c r="L237" s="170">
        <v>43999</v>
      </c>
      <c r="M237" s="116">
        <v>1115.7750000000001</v>
      </c>
      <c r="N237" s="116">
        <v>1122.5</v>
      </c>
      <c r="O237" s="116">
        <v>1089.925</v>
      </c>
      <c r="P237" s="116">
        <v>1095.7750000000001</v>
      </c>
      <c r="Q237" s="116">
        <v>2231.5500000000002</v>
      </c>
      <c r="R237">
        <v>75493</v>
      </c>
    </row>
    <row r="238" spans="1:18" x14ac:dyDescent="0.25">
      <c r="A238" s="170">
        <v>44000</v>
      </c>
      <c r="B238" s="116">
        <v>1136.0999999999999</v>
      </c>
      <c r="C238" s="116">
        <v>1127.4000000000001</v>
      </c>
      <c r="D238" s="116">
        <v>1108.8499999999999</v>
      </c>
      <c r="E238" s="116">
        <v>1134</v>
      </c>
      <c r="F238" s="116">
        <v>2254.8000000000002</v>
      </c>
      <c r="G238">
        <v>3359</v>
      </c>
      <c r="H238" s="116"/>
      <c r="I238" s="116"/>
      <c r="L238" s="170">
        <v>44000</v>
      </c>
      <c r="M238" s="116">
        <v>1126.875</v>
      </c>
      <c r="N238" s="116">
        <v>1137.5</v>
      </c>
      <c r="O238" s="116">
        <v>1103.3</v>
      </c>
      <c r="P238" s="116">
        <v>1115</v>
      </c>
      <c r="Q238" s="116">
        <v>2253.75</v>
      </c>
      <c r="R238">
        <v>61261</v>
      </c>
    </row>
    <row r="239" spans="1:18" x14ac:dyDescent="0.25">
      <c r="A239" s="170">
        <v>44001</v>
      </c>
      <c r="B239" s="116">
        <v>1172.5</v>
      </c>
      <c r="C239" s="116">
        <v>1153.4000000000001</v>
      </c>
      <c r="D239" s="116">
        <v>1122.0250000000001</v>
      </c>
      <c r="E239" s="116">
        <v>1140</v>
      </c>
      <c r="F239" s="116">
        <v>2306.8000000000002</v>
      </c>
      <c r="G239">
        <v>7201</v>
      </c>
      <c r="H239" s="116"/>
      <c r="I239" s="116"/>
      <c r="L239" s="170">
        <v>44001</v>
      </c>
      <c r="M239" s="116">
        <v>1153.9749999999999</v>
      </c>
      <c r="N239" s="116">
        <v>1173.9749999999999</v>
      </c>
      <c r="O239" s="116">
        <v>1125.3</v>
      </c>
      <c r="P239" s="116">
        <v>1140</v>
      </c>
      <c r="Q239" s="116">
        <v>2307.9499999999998</v>
      </c>
      <c r="R239">
        <v>70614</v>
      </c>
    </row>
    <row r="240" spans="1:18" x14ac:dyDescent="0.25">
      <c r="A240" s="170">
        <v>44004</v>
      </c>
      <c r="B240" s="116">
        <v>1180.7</v>
      </c>
      <c r="C240" s="116">
        <v>1177.25</v>
      </c>
      <c r="D240" s="116">
        <v>1129.2249999999999</v>
      </c>
      <c r="E240" s="116">
        <v>1143.05</v>
      </c>
      <c r="F240" s="116">
        <v>2354.5</v>
      </c>
      <c r="G240">
        <v>1093</v>
      </c>
      <c r="H240" s="116"/>
      <c r="I240" s="116"/>
      <c r="L240" s="170">
        <v>44004</v>
      </c>
      <c r="M240" s="116">
        <v>1178.4000000000001</v>
      </c>
      <c r="N240" s="116">
        <v>1182</v>
      </c>
      <c r="O240" s="116">
        <v>1130.075</v>
      </c>
      <c r="P240" s="116">
        <v>1154.125</v>
      </c>
      <c r="Q240" s="116">
        <v>2356.8000000000002</v>
      </c>
      <c r="R240">
        <v>47867</v>
      </c>
    </row>
    <row r="241" spans="1:18" x14ac:dyDescent="0.25">
      <c r="A241" s="170">
        <v>44005</v>
      </c>
      <c r="B241" s="116">
        <v>1210</v>
      </c>
      <c r="C241" s="116">
        <v>1182.825</v>
      </c>
      <c r="D241" s="116">
        <v>1177</v>
      </c>
      <c r="E241" s="116">
        <v>1182.95</v>
      </c>
      <c r="F241" s="116">
        <v>2365.65</v>
      </c>
      <c r="G241">
        <v>966</v>
      </c>
      <c r="H241" s="116"/>
      <c r="I241" s="116"/>
      <c r="L241" s="170">
        <v>44005</v>
      </c>
      <c r="M241" s="116">
        <v>1184.175</v>
      </c>
      <c r="N241" s="116">
        <v>1210</v>
      </c>
      <c r="O241" s="116">
        <v>1175</v>
      </c>
      <c r="P241" s="116">
        <v>1182.5</v>
      </c>
      <c r="Q241" s="116">
        <v>2368.35</v>
      </c>
      <c r="R241">
        <v>50912</v>
      </c>
    </row>
    <row r="242" spans="1:18" x14ac:dyDescent="0.25">
      <c r="A242" s="170">
        <v>44006</v>
      </c>
      <c r="B242" s="116">
        <v>1199.5</v>
      </c>
      <c r="C242" s="116">
        <v>1179.625</v>
      </c>
      <c r="D242" s="116">
        <v>1168.3</v>
      </c>
      <c r="E242" s="116">
        <v>1198.45</v>
      </c>
      <c r="F242" s="116">
        <v>2359.25</v>
      </c>
      <c r="G242">
        <v>940</v>
      </c>
      <c r="H242" s="116"/>
      <c r="I242" s="116"/>
      <c r="L242" s="170">
        <v>44006</v>
      </c>
      <c r="M242" s="116">
        <v>1179.2750000000001</v>
      </c>
      <c r="N242" s="116">
        <v>1199.675</v>
      </c>
      <c r="O242" s="116">
        <v>1167</v>
      </c>
      <c r="P242" s="116">
        <v>1198.7</v>
      </c>
      <c r="Q242" s="116">
        <v>2358.5500000000002</v>
      </c>
      <c r="R242">
        <v>32404</v>
      </c>
    </row>
    <row r="243" spans="1:18" x14ac:dyDescent="0.25">
      <c r="A243" s="170">
        <v>44007</v>
      </c>
      <c r="B243" s="116">
        <v>1207.5</v>
      </c>
      <c r="C243" s="116">
        <v>1193.8</v>
      </c>
      <c r="D243" s="116">
        <v>1132</v>
      </c>
      <c r="E243" s="116">
        <v>1145.0250000000001</v>
      </c>
      <c r="F243" s="116">
        <v>2387.6</v>
      </c>
      <c r="G243">
        <v>4100</v>
      </c>
      <c r="H243" s="116"/>
      <c r="I243" s="116"/>
      <c r="L243" s="170">
        <v>44007</v>
      </c>
      <c r="M243" s="116">
        <v>1195.3</v>
      </c>
      <c r="N243" s="116">
        <v>1207.5</v>
      </c>
      <c r="O243" s="116">
        <v>1148.7249999999999</v>
      </c>
      <c r="P243" s="116">
        <v>1160</v>
      </c>
      <c r="Q243" s="116">
        <v>2390.6</v>
      </c>
      <c r="R243">
        <v>29048</v>
      </c>
    </row>
    <row r="244" spans="1:18" x14ac:dyDescent="0.25">
      <c r="A244" s="170">
        <v>44008</v>
      </c>
      <c r="B244" s="116">
        <v>1215</v>
      </c>
      <c r="C244" s="116">
        <v>1199.075</v>
      </c>
      <c r="D244" s="116">
        <v>1175.5</v>
      </c>
      <c r="E244" s="116">
        <v>1175.5</v>
      </c>
      <c r="F244" s="116">
        <v>2398.15</v>
      </c>
      <c r="G244">
        <v>1047</v>
      </c>
      <c r="H244" s="116"/>
      <c r="I244" s="116"/>
      <c r="L244" s="170">
        <v>44008</v>
      </c>
      <c r="M244" s="116">
        <v>1198.9000000000001</v>
      </c>
      <c r="N244" s="116">
        <v>1215</v>
      </c>
      <c r="O244" s="116">
        <v>1185.5</v>
      </c>
      <c r="P244" s="116">
        <v>1195.3</v>
      </c>
      <c r="Q244" s="116">
        <v>2397.8000000000002</v>
      </c>
      <c r="R244">
        <v>30746</v>
      </c>
    </row>
    <row r="245" spans="1:18" x14ac:dyDescent="0.25">
      <c r="A245" s="170">
        <v>44011</v>
      </c>
      <c r="B245" s="116">
        <v>1215</v>
      </c>
      <c r="C245" s="116">
        <v>1182.6500000000001</v>
      </c>
      <c r="D245" s="116">
        <v>1162.8499999999999</v>
      </c>
      <c r="E245" s="116">
        <v>1194.0250000000001</v>
      </c>
      <c r="F245" s="116">
        <v>2365.3000000000002</v>
      </c>
      <c r="G245">
        <v>2876</v>
      </c>
      <c r="H245" s="116"/>
      <c r="I245" s="116"/>
      <c r="L245" s="170">
        <v>44011</v>
      </c>
      <c r="M245" s="116">
        <v>1183.875</v>
      </c>
      <c r="N245" s="116">
        <v>1199.425</v>
      </c>
      <c r="O245" s="116">
        <v>1162.675</v>
      </c>
      <c r="P245" s="116">
        <v>1196.5</v>
      </c>
      <c r="Q245" s="116">
        <v>2367.75</v>
      </c>
      <c r="R245">
        <v>20379</v>
      </c>
    </row>
    <row r="246" spans="1:18" x14ac:dyDescent="0.25">
      <c r="A246" s="170">
        <v>44012</v>
      </c>
      <c r="B246" s="116">
        <v>1197.375</v>
      </c>
      <c r="C246" s="116">
        <v>1158.7249999999999</v>
      </c>
      <c r="D246" s="116">
        <v>1144.075</v>
      </c>
      <c r="E246" s="116">
        <v>1197.375</v>
      </c>
      <c r="F246" s="116">
        <v>2317.4499999999998</v>
      </c>
      <c r="G246">
        <v>551</v>
      </c>
      <c r="H246" s="116"/>
      <c r="I246" s="116"/>
      <c r="L246" s="170">
        <v>44012</v>
      </c>
      <c r="M246" s="116">
        <v>1162.55</v>
      </c>
      <c r="N246" s="116">
        <v>1185</v>
      </c>
      <c r="O246" s="116">
        <v>1145.075</v>
      </c>
      <c r="P246" s="116">
        <v>1175</v>
      </c>
      <c r="Q246" s="116">
        <v>2325.1</v>
      </c>
      <c r="R246">
        <v>48727</v>
      </c>
    </row>
    <row r="247" spans="1:18" x14ac:dyDescent="0.25">
      <c r="A247" s="170">
        <v>44013</v>
      </c>
      <c r="B247" s="116">
        <v>1165.2249999999999</v>
      </c>
      <c r="C247" s="116">
        <v>1105.5999999999999</v>
      </c>
      <c r="D247" s="116">
        <v>1085</v>
      </c>
      <c r="E247" s="116">
        <v>1165.2249999999999</v>
      </c>
      <c r="F247" s="116">
        <v>2211.1999999999998</v>
      </c>
      <c r="G247">
        <v>18833</v>
      </c>
      <c r="H247" s="116"/>
      <c r="I247" s="116"/>
      <c r="L247" s="170">
        <v>44013</v>
      </c>
      <c r="M247" s="116">
        <v>1105.1500000000001</v>
      </c>
      <c r="N247" s="116">
        <v>1164.5</v>
      </c>
      <c r="O247" s="116">
        <v>1084</v>
      </c>
      <c r="P247" s="116">
        <v>1162.45</v>
      </c>
      <c r="Q247" s="116">
        <v>2210.3000000000002</v>
      </c>
      <c r="R247">
        <v>181728</v>
      </c>
    </row>
    <row r="248" spans="1:18" x14ac:dyDescent="0.25">
      <c r="A248" s="170">
        <v>44014</v>
      </c>
      <c r="B248" s="116">
        <v>1095.7</v>
      </c>
      <c r="C248" s="116">
        <v>1059.5</v>
      </c>
      <c r="D248" s="116">
        <v>1039.5</v>
      </c>
      <c r="E248" s="116">
        <v>1090</v>
      </c>
      <c r="F248" s="116">
        <v>2119</v>
      </c>
      <c r="G248">
        <v>101281</v>
      </c>
      <c r="H248" s="116"/>
      <c r="I248" s="116"/>
      <c r="L248" s="170">
        <v>44014</v>
      </c>
      <c r="M248" s="116">
        <v>1059.9749999999999</v>
      </c>
      <c r="N248" s="116">
        <v>1096.5</v>
      </c>
      <c r="O248" s="116">
        <v>1039.5</v>
      </c>
      <c r="P248" s="116">
        <v>1086.05</v>
      </c>
      <c r="Q248" s="116">
        <v>2119.9499999999998</v>
      </c>
      <c r="R248">
        <v>568286</v>
      </c>
    </row>
    <row r="249" spans="1:18" x14ac:dyDescent="0.25">
      <c r="A249" s="170">
        <v>44015</v>
      </c>
      <c r="B249" s="116">
        <v>1089.55</v>
      </c>
      <c r="C249" s="116">
        <v>1049.05</v>
      </c>
      <c r="D249" s="116">
        <v>1044.625</v>
      </c>
      <c r="E249" s="116">
        <v>1045</v>
      </c>
      <c r="F249" s="116">
        <v>2098.1</v>
      </c>
      <c r="G249">
        <v>9152</v>
      </c>
      <c r="H249" s="116"/>
      <c r="I249" s="116"/>
      <c r="L249" s="170">
        <v>44015</v>
      </c>
      <c r="M249" s="116">
        <v>1049.925</v>
      </c>
      <c r="N249" s="116">
        <v>1068.45</v>
      </c>
      <c r="O249" s="116">
        <v>1040.7750000000001</v>
      </c>
      <c r="P249" s="116">
        <v>1042.5</v>
      </c>
      <c r="Q249" s="116">
        <v>2099.85</v>
      </c>
      <c r="R249">
        <v>183196</v>
      </c>
    </row>
    <row r="250" spans="1:18" x14ac:dyDescent="0.25">
      <c r="A250" s="170">
        <v>44018</v>
      </c>
      <c r="B250" s="116">
        <v>1060</v>
      </c>
      <c r="C250" s="116">
        <v>1047.6500000000001</v>
      </c>
      <c r="D250" s="116">
        <v>1045.2249999999999</v>
      </c>
      <c r="E250" s="116">
        <v>1060</v>
      </c>
      <c r="F250" s="116">
        <v>2095.3000000000002</v>
      </c>
      <c r="G250">
        <v>2930</v>
      </c>
      <c r="H250" s="116"/>
      <c r="I250" s="116"/>
      <c r="L250" s="170">
        <v>44018</v>
      </c>
      <c r="M250" s="116">
        <v>1048.0250000000001</v>
      </c>
      <c r="N250" s="116">
        <v>1067.375</v>
      </c>
      <c r="O250" s="116">
        <v>1044.3499999999999</v>
      </c>
      <c r="P250" s="116">
        <v>1062.5</v>
      </c>
      <c r="Q250" s="116">
        <v>2096.0500000000002</v>
      </c>
      <c r="R250">
        <v>156247</v>
      </c>
    </row>
    <row r="251" spans="1:18" x14ac:dyDescent="0.25">
      <c r="A251" s="170">
        <v>44019</v>
      </c>
      <c r="B251" s="116">
        <v>1106.75</v>
      </c>
      <c r="C251" s="116">
        <v>1093.5</v>
      </c>
      <c r="D251" s="116">
        <v>1048.0250000000001</v>
      </c>
      <c r="E251" s="116">
        <v>1054.8</v>
      </c>
      <c r="F251" s="116">
        <v>2187</v>
      </c>
      <c r="G251">
        <v>6727</v>
      </c>
      <c r="H251" s="116"/>
      <c r="I251" s="116"/>
      <c r="L251" s="170">
        <v>44019</v>
      </c>
      <c r="M251" s="116">
        <v>1094.6500000000001</v>
      </c>
      <c r="N251" s="116">
        <v>1106.9749999999999</v>
      </c>
      <c r="O251" s="116">
        <v>1045.125</v>
      </c>
      <c r="P251" s="116">
        <v>1045.125</v>
      </c>
      <c r="Q251" s="116">
        <v>2189.3000000000002</v>
      </c>
      <c r="R251">
        <v>246527</v>
      </c>
    </row>
    <row r="252" spans="1:18" x14ac:dyDescent="0.25">
      <c r="A252" s="170">
        <v>44020</v>
      </c>
      <c r="B252" s="116">
        <v>1127.5</v>
      </c>
      <c r="C252" s="116">
        <v>1105.2</v>
      </c>
      <c r="D252" s="116">
        <v>1095.25</v>
      </c>
      <c r="E252" s="116">
        <v>1107.4749999999999</v>
      </c>
      <c r="F252" s="116">
        <v>2210.4</v>
      </c>
      <c r="G252">
        <v>2493</v>
      </c>
      <c r="H252" s="116"/>
      <c r="I252" s="116"/>
      <c r="L252" s="170">
        <v>44020</v>
      </c>
      <c r="M252" s="116">
        <v>1106.0250000000001</v>
      </c>
      <c r="N252" s="116">
        <v>1128.5</v>
      </c>
      <c r="O252" s="116">
        <v>1095.5</v>
      </c>
      <c r="P252" s="116">
        <v>1100</v>
      </c>
      <c r="Q252" s="116">
        <v>2212.0500000000002</v>
      </c>
      <c r="R252">
        <v>108071</v>
      </c>
    </row>
    <row r="253" spans="1:18" x14ac:dyDescent="0.25">
      <c r="A253" s="170">
        <v>44021</v>
      </c>
      <c r="B253" s="116">
        <v>1132</v>
      </c>
      <c r="C253" s="116">
        <v>1130.2</v>
      </c>
      <c r="D253" s="116">
        <v>1112.7</v>
      </c>
      <c r="E253" s="116">
        <v>1112.8</v>
      </c>
      <c r="F253" s="116">
        <v>2260.4</v>
      </c>
      <c r="G253">
        <v>2153</v>
      </c>
      <c r="H253" s="116"/>
      <c r="I253" s="116"/>
      <c r="L253" s="170">
        <v>44021</v>
      </c>
      <c r="M253" s="116">
        <v>1130.425</v>
      </c>
      <c r="N253" s="116">
        <v>1133.0999999999999</v>
      </c>
      <c r="O253" s="116">
        <v>1110</v>
      </c>
      <c r="P253" s="116">
        <v>1112</v>
      </c>
      <c r="Q253" s="116">
        <v>2260.85</v>
      </c>
      <c r="R253">
        <v>82414</v>
      </c>
    </row>
    <row r="254" spans="1:18" x14ac:dyDescent="0.25">
      <c r="A254" s="170">
        <v>44022</v>
      </c>
      <c r="B254" s="116">
        <v>1136</v>
      </c>
      <c r="C254" s="116">
        <v>1113.7750000000001</v>
      </c>
      <c r="D254" s="116">
        <v>1106.5999999999999</v>
      </c>
      <c r="E254" s="116">
        <v>1129.4000000000001</v>
      </c>
      <c r="F254" s="116">
        <v>2227.5500000000002</v>
      </c>
      <c r="G254">
        <v>1498</v>
      </c>
      <c r="H254" s="116"/>
      <c r="I254" s="116"/>
      <c r="L254" s="170">
        <v>44022</v>
      </c>
      <c r="M254" s="116">
        <v>1114.7</v>
      </c>
      <c r="N254" s="116">
        <v>1137.5</v>
      </c>
      <c r="O254" s="116">
        <v>1105</v>
      </c>
      <c r="P254" s="116">
        <v>1122</v>
      </c>
      <c r="Q254" s="116">
        <v>2229.4</v>
      </c>
      <c r="R254">
        <v>49722</v>
      </c>
    </row>
    <row r="255" spans="1:18" x14ac:dyDescent="0.25">
      <c r="A255" s="170">
        <v>44025</v>
      </c>
      <c r="B255" s="116">
        <v>1114.3499999999999</v>
      </c>
      <c r="C255" s="116">
        <v>1099.9749999999999</v>
      </c>
      <c r="D255" s="116">
        <v>1090.5</v>
      </c>
      <c r="E255" s="116">
        <v>1114.3499999999999</v>
      </c>
      <c r="F255" s="116">
        <v>2199.9499999999998</v>
      </c>
      <c r="G255">
        <v>154268</v>
      </c>
      <c r="H255" s="116"/>
      <c r="I255" s="116"/>
      <c r="L255" s="170">
        <v>44025</v>
      </c>
      <c r="M255" s="116">
        <v>1099.95</v>
      </c>
      <c r="N255" s="116">
        <v>1124</v>
      </c>
      <c r="O255" s="116">
        <v>1092.9000000000001</v>
      </c>
      <c r="P255" s="116">
        <v>1124</v>
      </c>
      <c r="Q255" s="116">
        <v>2199.9</v>
      </c>
      <c r="R255">
        <v>342301</v>
      </c>
    </row>
    <row r="256" spans="1:18" x14ac:dyDescent="0.25">
      <c r="A256" s="170">
        <v>44026</v>
      </c>
      <c r="B256" s="116">
        <v>1100</v>
      </c>
      <c r="C256" s="116">
        <v>1081.45</v>
      </c>
      <c r="D256" s="116">
        <v>1075.5</v>
      </c>
      <c r="E256" s="116">
        <v>1100</v>
      </c>
      <c r="F256" s="116">
        <v>2162.9</v>
      </c>
      <c r="G256">
        <v>3947</v>
      </c>
      <c r="H256" s="116"/>
      <c r="I256" s="116"/>
      <c r="L256" s="170">
        <v>44026</v>
      </c>
      <c r="M256" s="116">
        <v>1082.55</v>
      </c>
      <c r="N256" s="116">
        <v>1099</v>
      </c>
      <c r="O256" s="116">
        <v>1075.125</v>
      </c>
      <c r="P256" s="116">
        <v>1099</v>
      </c>
      <c r="Q256" s="116">
        <v>2165.1</v>
      </c>
      <c r="R256">
        <v>36887</v>
      </c>
    </row>
    <row r="257" spans="1:18" x14ac:dyDescent="0.25">
      <c r="A257" s="170">
        <v>44027</v>
      </c>
      <c r="B257" s="116">
        <v>1100.9749999999999</v>
      </c>
      <c r="C257" s="116">
        <v>1090.5</v>
      </c>
      <c r="D257" s="116">
        <v>1079.2249999999999</v>
      </c>
      <c r="E257" s="116">
        <v>1100</v>
      </c>
      <c r="F257" s="116">
        <v>2181</v>
      </c>
      <c r="G257">
        <v>861</v>
      </c>
      <c r="H257" s="116"/>
      <c r="I257" s="116"/>
      <c r="L257" s="170">
        <v>44027</v>
      </c>
      <c r="M257" s="116">
        <v>1088.25</v>
      </c>
      <c r="N257" s="116">
        <v>1102.55</v>
      </c>
      <c r="O257" s="116">
        <v>1080.5250000000001</v>
      </c>
      <c r="P257" s="116">
        <v>1102.55</v>
      </c>
      <c r="Q257" s="116">
        <v>2176.5</v>
      </c>
      <c r="R257">
        <v>63305</v>
      </c>
    </row>
    <row r="258" spans="1:18" x14ac:dyDescent="0.25">
      <c r="A258" s="170">
        <v>44028</v>
      </c>
      <c r="B258" s="116">
        <v>1099.0999999999999</v>
      </c>
      <c r="C258" s="116">
        <v>1053.3499999999999</v>
      </c>
      <c r="D258" s="116">
        <v>1050.5</v>
      </c>
      <c r="E258" s="116">
        <v>1099.0999999999999</v>
      </c>
      <c r="F258" s="116">
        <v>2106.6999999999998</v>
      </c>
      <c r="G258">
        <v>2718</v>
      </c>
      <c r="H258" s="116"/>
      <c r="I258" s="116"/>
      <c r="L258" s="170">
        <v>44028</v>
      </c>
      <c r="M258" s="116">
        <v>1052.9000000000001</v>
      </c>
      <c r="N258" s="116">
        <v>1094</v>
      </c>
      <c r="O258" s="116">
        <v>1050</v>
      </c>
      <c r="P258" s="116">
        <v>1094</v>
      </c>
      <c r="Q258" s="116">
        <v>2105.8000000000002</v>
      </c>
      <c r="R258">
        <v>69502</v>
      </c>
    </row>
    <row r="259" spans="1:18" x14ac:dyDescent="0.25">
      <c r="A259" s="170">
        <v>44029</v>
      </c>
      <c r="B259" s="116">
        <v>1084.5</v>
      </c>
      <c r="C259" s="116">
        <v>1028.325</v>
      </c>
      <c r="D259" s="116">
        <v>1018.175</v>
      </c>
      <c r="E259" s="116">
        <v>1065</v>
      </c>
      <c r="F259" s="116">
        <v>2056.65</v>
      </c>
      <c r="G259">
        <v>14879</v>
      </c>
      <c r="H259" s="116"/>
      <c r="I259" s="116"/>
      <c r="L259" s="170">
        <v>44029</v>
      </c>
      <c r="M259" s="116">
        <v>1025.3</v>
      </c>
      <c r="N259" s="116">
        <v>1072.9749999999999</v>
      </c>
      <c r="O259" s="116">
        <v>1017.5</v>
      </c>
      <c r="P259" s="116">
        <v>1056</v>
      </c>
      <c r="Q259" s="116">
        <v>2050.6</v>
      </c>
      <c r="R259">
        <v>490749</v>
      </c>
    </row>
    <row r="260" spans="1:18" x14ac:dyDescent="0.25">
      <c r="A260" s="170">
        <v>44032</v>
      </c>
      <c r="B260" s="116">
        <v>1062.3</v>
      </c>
      <c r="C260" s="116">
        <v>1044.9749999999999</v>
      </c>
      <c r="D260" s="116">
        <v>1020.5</v>
      </c>
      <c r="E260" s="116">
        <v>1020.5</v>
      </c>
      <c r="F260" s="116">
        <v>2089.9499999999998</v>
      </c>
      <c r="G260">
        <v>7833</v>
      </c>
      <c r="H260" s="116"/>
      <c r="I260" s="116"/>
      <c r="L260" s="170">
        <v>44032</v>
      </c>
      <c r="M260" s="116">
        <v>1045.175</v>
      </c>
      <c r="N260" s="116">
        <v>1062.5</v>
      </c>
      <c r="O260" s="116">
        <v>1030</v>
      </c>
      <c r="P260" s="116">
        <v>1035</v>
      </c>
      <c r="Q260" s="116">
        <v>2090.35</v>
      </c>
      <c r="R260">
        <v>80949</v>
      </c>
    </row>
    <row r="261" spans="1:18" x14ac:dyDescent="0.25">
      <c r="A261" s="170">
        <v>44033</v>
      </c>
      <c r="B261" s="116">
        <v>1083.675</v>
      </c>
      <c r="C261" s="116">
        <v>1076.8</v>
      </c>
      <c r="D261" s="116">
        <v>1058.7249999999999</v>
      </c>
      <c r="E261" s="116">
        <v>1058.7249999999999</v>
      </c>
      <c r="F261" s="116">
        <v>2153.6</v>
      </c>
      <c r="G261">
        <v>3383</v>
      </c>
      <c r="H261" s="116"/>
      <c r="I261" s="116"/>
      <c r="L261" s="170">
        <v>44033</v>
      </c>
      <c r="M261" s="116">
        <v>1078.575</v>
      </c>
      <c r="N261" s="116">
        <v>1084.75</v>
      </c>
      <c r="O261" s="116">
        <v>1053.8</v>
      </c>
      <c r="P261" s="116">
        <v>1053.8</v>
      </c>
      <c r="Q261" s="116">
        <v>2157.15</v>
      </c>
      <c r="R261">
        <v>82536</v>
      </c>
    </row>
    <row r="262" spans="1:18" x14ac:dyDescent="0.25">
      <c r="A262" s="170">
        <v>44034</v>
      </c>
      <c r="B262" s="116">
        <v>1228.3</v>
      </c>
      <c r="C262" s="116">
        <v>1129.0250000000001</v>
      </c>
      <c r="D262" s="116">
        <v>1108.5</v>
      </c>
      <c r="E262" s="116">
        <v>1175</v>
      </c>
      <c r="F262" s="116">
        <v>2258.0500000000002</v>
      </c>
      <c r="G262">
        <v>33484</v>
      </c>
      <c r="H262" s="116"/>
      <c r="I262" s="116"/>
      <c r="L262" s="170">
        <v>44034</v>
      </c>
      <c r="M262" s="116">
        <v>1127.2</v>
      </c>
      <c r="N262" s="116">
        <v>1227.3499999999999</v>
      </c>
      <c r="O262" s="116">
        <v>1109.7</v>
      </c>
      <c r="P262" s="116">
        <v>1175</v>
      </c>
      <c r="Q262" s="116">
        <v>2254.4</v>
      </c>
      <c r="R262">
        <v>1266658</v>
      </c>
    </row>
    <row r="263" spans="1:18" x14ac:dyDescent="0.25">
      <c r="A263" s="170">
        <v>44035</v>
      </c>
      <c r="B263" s="116">
        <v>1244.5</v>
      </c>
      <c r="C263" s="116">
        <v>1225</v>
      </c>
      <c r="D263" s="116">
        <v>1131.75</v>
      </c>
      <c r="E263" s="116">
        <v>1131.75</v>
      </c>
      <c r="F263" s="116">
        <v>2450</v>
      </c>
      <c r="G263">
        <v>465448</v>
      </c>
      <c r="H263" s="116"/>
      <c r="I263" s="116"/>
      <c r="L263" s="170">
        <v>44035</v>
      </c>
      <c r="M263" s="116">
        <v>1218.575</v>
      </c>
      <c r="N263" s="116">
        <v>1245</v>
      </c>
      <c r="O263" s="116">
        <v>1130</v>
      </c>
      <c r="P263" s="116">
        <v>1134.9000000000001</v>
      </c>
      <c r="Q263" s="116">
        <v>2437.15</v>
      </c>
      <c r="R263">
        <v>1093896</v>
      </c>
    </row>
    <row r="264" spans="1:18" x14ac:dyDescent="0.25">
      <c r="A264" s="170">
        <v>44036</v>
      </c>
      <c r="B264" s="116">
        <v>1256.5999999999999</v>
      </c>
      <c r="C264" s="116">
        <v>1228.45</v>
      </c>
      <c r="D264" s="116">
        <v>1203.5</v>
      </c>
      <c r="E264" s="116">
        <v>1239</v>
      </c>
      <c r="F264" s="116">
        <v>2456.9</v>
      </c>
      <c r="G264">
        <v>22453</v>
      </c>
      <c r="H264" s="116"/>
      <c r="I264" s="116"/>
      <c r="L264" s="170">
        <v>44036</v>
      </c>
      <c r="M264" s="116">
        <v>1227.675</v>
      </c>
      <c r="N264" s="116">
        <v>1255</v>
      </c>
      <c r="O264" s="116">
        <v>1204</v>
      </c>
      <c r="P264" s="116">
        <v>1229.95</v>
      </c>
      <c r="Q264" s="116">
        <v>2455.35</v>
      </c>
      <c r="R264">
        <v>429780</v>
      </c>
    </row>
    <row r="265" spans="1:18" x14ac:dyDescent="0.25">
      <c r="A265" s="170">
        <v>44039</v>
      </c>
      <c r="B265" s="116">
        <v>1239.625</v>
      </c>
      <c r="C265" s="116">
        <v>1221.4749999999999</v>
      </c>
      <c r="D265" s="116">
        <v>1210</v>
      </c>
      <c r="E265" s="116">
        <v>1236.9749999999999</v>
      </c>
      <c r="F265" s="116">
        <v>2442.9499999999998</v>
      </c>
      <c r="G265">
        <v>11251</v>
      </c>
      <c r="H265" s="116"/>
      <c r="I265" s="116"/>
      <c r="L265" s="170">
        <v>44039</v>
      </c>
      <c r="M265" s="116">
        <v>1221.175</v>
      </c>
      <c r="N265" s="116">
        <v>1242.4749999999999</v>
      </c>
      <c r="O265" s="116">
        <v>1210</v>
      </c>
      <c r="P265" s="116">
        <v>1237.5</v>
      </c>
      <c r="Q265" s="116">
        <v>2442.35</v>
      </c>
      <c r="R265">
        <v>187680</v>
      </c>
    </row>
    <row r="266" spans="1:18" x14ac:dyDescent="0.25">
      <c r="A266" s="170">
        <v>44040</v>
      </c>
      <c r="B266" s="116">
        <v>1227.2</v>
      </c>
      <c r="C266" s="116">
        <v>1202.625</v>
      </c>
      <c r="D266" s="116">
        <v>1195.675</v>
      </c>
      <c r="E266" s="116">
        <v>1227.2</v>
      </c>
      <c r="F266" s="116">
        <v>2405.25</v>
      </c>
      <c r="G266">
        <v>7926</v>
      </c>
      <c r="H266" s="116"/>
      <c r="I266" s="116"/>
      <c r="L266" s="170">
        <v>44040</v>
      </c>
      <c r="M266" s="116">
        <v>1203.325</v>
      </c>
      <c r="N266" s="116">
        <v>1227.5</v>
      </c>
      <c r="O266" s="116">
        <v>1195.825</v>
      </c>
      <c r="P266" s="116">
        <v>1227.375</v>
      </c>
      <c r="Q266" s="116">
        <v>2406.65</v>
      </c>
      <c r="R266">
        <v>111830</v>
      </c>
    </row>
    <row r="267" spans="1:18" x14ac:dyDescent="0.25">
      <c r="A267" s="170">
        <v>44041</v>
      </c>
      <c r="B267" s="116">
        <v>1250</v>
      </c>
      <c r="C267" s="116">
        <v>1240.825</v>
      </c>
      <c r="D267" s="116">
        <v>1172.5</v>
      </c>
      <c r="E267" s="116">
        <v>1209.9000000000001</v>
      </c>
      <c r="F267" s="116">
        <v>2481.65</v>
      </c>
      <c r="G267">
        <v>175788</v>
      </c>
      <c r="H267" s="116"/>
      <c r="I267" s="116"/>
      <c r="L267" s="170">
        <v>44041</v>
      </c>
      <c r="M267" s="116">
        <v>1239.5999999999999</v>
      </c>
      <c r="N267" s="116">
        <v>1254.5</v>
      </c>
      <c r="O267" s="116">
        <v>1170.5</v>
      </c>
      <c r="P267" s="116">
        <v>1209.9000000000001</v>
      </c>
      <c r="Q267" s="116">
        <v>2479.1999999999998</v>
      </c>
      <c r="R267">
        <v>198165</v>
      </c>
    </row>
    <row r="268" spans="1:18" x14ac:dyDescent="0.25">
      <c r="A268" s="170">
        <v>44042</v>
      </c>
      <c r="B268" s="116">
        <v>1343</v>
      </c>
      <c r="C268" s="116">
        <v>1300.375</v>
      </c>
      <c r="D268" s="116">
        <v>1259.6500000000001</v>
      </c>
      <c r="E268" s="116">
        <v>1270</v>
      </c>
      <c r="F268" s="116">
        <v>2600.75</v>
      </c>
      <c r="G268">
        <v>38235</v>
      </c>
      <c r="H268" s="116"/>
      <c r="I268" s="116"/>
      <c r="L268" s="170">
        <v>44042</v>
      </c>
      <c r="M268" s="116">
        <v>1299.175</v>
      </c>
      <c r="N268" s="116">
        <v>1344.5</v>
      </c>
      <c r="O268" s="116">
        <v>1245</v>
      </c>
      <c r="P268" s="116">
        <v>1260</v>
      </c>
      <c r="Q268" s="116">
        <v>2598.35</v>
      </c>
      <c r="R268">
        <v>547574</v>
      </c>
    </row>
    <row r="269" spans="1:18" x14ac:dyDescent="0.25">
      <c r="A269" s="170">
        <v>44043</v>
      </c>
      <c r="B269" s="116">
        <v>1436.0250000000001</v>
      </c>
      <c r="C269" s="116">
        <v>1414.7750000000001</v>
      </c>
      <c r="D269" s="116">
        <v>1305.5250000000001</v>
      </c>
      <c r="E269" s="116">
        <v>1305.5250000000001</v>
      </c>
      <c r="F269" s="116">
        <v>2829.55</v>
      </c>
      <c r="G269">
        <v>36712</v>
      </c>
      <c r="H269" s="116"/>
      <c r="I269" s="116"/>
      <c r="L269" s="170">
        <v>44043</v>
      </c>
      <c r="M269" s="116">
        <v>1414.15</v>
      </c>
      <c r="N269" s="116">
        <v>1435</v>
      </c>
      <c r="O269" s="116">
        <v>1309.95</v>
      </c>
      <c r="P269" s="116">
        <v>1309.95</v>
      </c>
      <c r="Q269" s="116">
        <v>2828.3</v>
      </c>
      <c r="R269">
        <v>516016</v>
      </c>
    </row>
    <row r="270" spans="1:18" x14ac:dyDescent="0.25">
      <c r="A270" s="170">
        <v>44046</v>
      </c>
      <c r="B270" s="116">
        <v>1530.675</v>
      </c>
      <c r="C270" s="116">
        <v>1444.875</v>
      </c>
      <c r="D270" s="116">
        <v>1400.5250000000001</v>
      </c>
      <c r="E270" s="116">
        <v>1400.5250000000001</v>
      </c>
      <c r="F270" s="116">
        <v>2889.75</v>
      </c>
      <c r="G270">
        <v>45854</v>
      </c>
      <c r="H270" s="116"/>
      <c r="I270" s="116"/>
      <c r="L270" s="170">
        <v>44046</v>
      </c>
      <c r="M270" s="116">
        <v>1446</v>
      </c>
      <c r="N270" s="116">
        <v>1532.825</v>
      </c>
      <c r="O270" s="116">
        <v>1416.0250000000001</v>
      </c>
      <c r="P270" s="116">
        <v>1423</v>
      </c>
      <c r="Q270" s="116">
        <v>2892</v>
      </c>
      <c r="R270">
        <v>699998</v>
      </c>
    </row>
    <row r="271" spans="1:18" x14ac:dyDescent="0.25">
      <c r="A271" s="170">
        <v>44047</v>
      </c>
      <c r="B271" s="116">
        <v>1473</v>
      </c>
      <c r="C271" s="116">
        <v>1451.85</v>
      </c>
      <c r="D271" s="116">
        <v>1396.5250000000001</v>
      </c>
      <c r="E271" s="116">
        <v>1468.9</v>
      </c>
      <c r="F271" s="116">
        <v>2903.7</v>
      </c>
      <c r="G271">
        <v>9983</v>
      </c>
      <c r="H271" s="116"/>
      <c r="I271" s="116"/>
      <c r="L271" s="170">
        <v>44047</v>
      </c>
      <c r="M271" s="116">
        <v>1446.2750000000001</v>
      </c>
      <c r="N271" s="116">
        <v>1475</v>
      </c>
      <c r="O271" s="116">
        <v>1394</v>
      </c>
      <c r="P271" s="116">
        <v>1464</v>
      </c>
      <c r="Q271" s="116">
        <v>2892.55</v>
      </c>
      <c r="R271">
        <v>244618</v>
      </c>
    </row>
    <row r="272" spans="1:18" x14ac:dyDescent="0.25">
      <c r="A272" s="170">
        <v>44048</v>
      </c>
      <c r="B272" s="116">
        <v>1549.925</v>
      </c>
      <c r="C272" s="116">
        <v>1523.875</v>
      </c>
      <c r="D272" s="116">
        <v>1438.8</v>
      </c>
      <c r="E272" s="116">
        <v>1452.5</v>
      </c>
      <c r="F272" s="116">
        <v>3047.75</v>
      </c>
      <c r="G272">
        <v>31251</v>
      </c>
      <c r="H272" s="116"/>
      <c r="I272" s="116"/>
      <c r="L272" s="170">
        <v>44048</v>
      </c>
      <c r="M272" s="116">
        <v>1519.125</v>
      </c>
      <c r="N272" s="116">
        <v>1547.5</v>
      </c>
      <c r="O272" s="116">
        <v>1439.425</v>
      </c>
      <c r="P272" s="116">
        <v>1457.5</v>
      </c>
      <c r="Q272" s="116">
        <v>3038.25</v>
      </c>
      <c r="R272">
        <v>519916</v>
      </c>
    </row>
    <row r="273" spans="1:18" x14ac:dyDescent="0.25">
      <c r="A273" s="170">
        <v>44049</v>
      </c>
      <c r="B273" s="116">
        <v>1561.5</v>
      </c>
      <c r="C273" s="116">
        <v>1552.1</v>
      </c>
      <c r="D273" s="116">
        <v>1512.875</v>
      </c>
      <c r="E273" s="116">
        <v>1550</v>
      </c>
      <c r="F273" s="116">
        <v>3104.2</v>
      </c>
      <c r="G273">
        <v>14739</v>
      </c>
      <c r="H273" s="116"/>
      <c r="I273" s="116"/>
      <c r="L273" s="170">
        <v>44049</v>
      </c>
      <c r="M273" s="116">
        <v>1550.1</v>
      </c>
      <c r="N273" s="116">
        <v>1559.375</v>
      </c>
      <c r="O273" s="116">
        <v>1512.6</v>
      </c>
      <c r="P273" s="116">
        <v>1549.95</v>
      </c>
      <c r="Q273" s="116">
        <v>3100.2</v>
      </c>
      <c r="R273">
        <v>269185</v>
      </c>
    </row>
    <row r="274" spans="1:18" x14ac:dyDescent="0.25">
      <c r="A274" s="170">
        <v>44050</v>
      </c>
      <c r="B274" s="116">
        <v>1573.4</v>
      </c>
      <c r="C274" s="116">
        <v>1541.7</v>
      </c>
      <c r="D274" s="116">
        <v>1510.5</v>
      </c>
      <c r="E274" s="116">
        <v>1547.5</v>
      </c>
      <c r="F274" s="116">
        <v>3083.4</v>
      </c>
      <c r="G274">
        <v>10044</v>
      </c>
      <c r="H274" s="116"/>
      <c r="I274" s="116"/>
      <c r="L274" s="170">
        <v>44050</v>
      </c>
      <c r="M274" s="116">
        <v>1542.575</v>
      </c>
      <c r="N274" s="116">
        <v>1572.5</v>
      </c>
      <c r="O274" s="116">
        <v>1510.5</v>
      </c>
      <c r="P274" s="116">
        <v>1560</v>
      </c>
      <c r="Q274" s="116">
        <v>3085.15</v>
      </c>
      <c r="R274">
        <v>182104</v>
      </c>
    </row>
    <row r="275" spans="1:18" x14ac:dyDescent="0.25">
      <c r="A275" s="170">
        <v>44053</v>
      </c>
      <c r="B275" s="116">
        <v>1559.8</v>
      </c>
      <c r="C275" s="116">
        <v>1528.75</v>
      </c>
      <c r="D275" s="116">
        <v>1511.5</v>
      </c>
      <c r="E275" s="116">
        <v>1543.2</v>
      </c>
      <c r="F275" s="116">
        <v>3057.5</v>
      </c>
      <c r="G275">
        <v>3414</v>
      </c>
      <c r="H275" s="116"/>
      <c r="I275" s="116"/>
      <c r="L275" s="170">
        <v>44053</v>
      </c>
      <c r="M275" s="116">
        <v>1533.7</v>
      </c>
      <c r="N275" s="116">
        <v>1555.675</v>
      </c>
      <c r="O275" s="116">
        <v>1510.075</v>
      </c>
      <c r="P275" s="116">
        <v>1544</v>
      </c>
      <c r="Q275" s="116">
        <v>3067.4</v>
      </c>
      <c r="R275">
        <v>71193</v>
      </c>
    </row>
    <row r="276" spans="1:18" x14ac:dyDescent="0.25">
      <c r="A276" s="170">
        <v>44054</v>
      </c>
      <c r="B276" s="116">
        <v>1549.5</v>
      </c>
      <c r="C276" s="116">
        <v>1480.5250000000001</v>
      </c>
      <c r="D276" s="116">
        <v>1475.0250000000001</v>
      </c>
      <c r="E276" s="116">
        <v>1532.5</v>
      </c>
      <c r="F276" s="116">
        <v>2961.05</v>
      </c>
      <c r="G276">
        <v>2126</v>
      </c>
      <c r="H276" s="116"/>
      <c r="I276" s="116"/>
      <c r="L276" s="170">
        <v>44054</v>
      </c>
      <c r="M276" s="116">
        <v>1479.75</v>
      </c>
      <c r="N276" s="116">
        <v>1539.9749999999999</v>
      </c>
      <c r="O276" s="116">
        <v>1475</v>
      </c>
      <c r="P276" s="116">
        <v>1539.9749999999999</v>
      </c>
      <c r="Q276" s="116">
        <v>2959.5</v>
      </c>
      <c r="R276">
        <v>61564</v>
      </c>
    </row>
    <row r="277" spans="1:18" x14ac:dyDescent="0.25">
      <c r="A277" s="170">
        <v>44055</v>
      </c>
      <c r="B277" s="116">
        <v>1484.4</v>
      </c>
      <c r="C277" s="116">
        <v>1458.65</v>
      </c>
      <c r="D277" s="116">
        <v>1410</v>
      </c>
      <c r="E277" s="116">
        <v>1480.5250000000001</v>
      </c>
      <c r="F277" s="116">
        <v>2917.3</v>
      </c>
      <c r="G277">
        <v>4797</v>
      </c>
      <c r="H277" s="116"/>
      <c r="I277" s="116"/>
      <c r="L277" s="170">
        <v>44055</v>
      </c>
      <c r="M277" s="116">
        <v>1459.45</v>
      </c>
      <c r="N277" s="116">
        <v>1487.075</v>
      </c>
      <c r="O277" s="116">
        <v>1438</v>
      </c>
      <c r="P277" s="116">
        <v>1484.4</v>
      </c>
      <c r="Q277" s="116">
        <v>2918.9</v>
      </c>
      <c r="R277">
        <v>45412</v>
      </c>
    </row>
    <row r="278" spans="1:18" x14ac:dyDescent="0.25">
      <c r="A278" s="170">
        <v>44056</v>
      </c>
      <c r="B278" s="116">
        <v>1520.4749999999999</v>
      </c>
      <c r="C278" s="116">
        <v>1483.075</v>
      </c>
      <c r="D278" s="116">
        <v>1452</v>
      </c>
      <c r="E278" s="116">
        <v>1452</v>
      </c>
      <c r="F278" s="116">
        <v>2966.15</v>
      </c>
      <c r="G278">
        <v>1968</v>
      </c>
      <c r="H278" s="116"/>
      <c r="I278" s="116"/>
      <c r="L278" s="170">
        <v>44056</v>
      </c>
      <c r="M278" s="116">
        <v>1481.175</v>
      </c>
      <c r="N278" s="116">
        <v>1525</v>
      </c>
      <c r="O278" s="116">
        <v>1455</v>
      </c>
      <c r="P278" s="116">
        <v>1464.4</v>
      </c>
      <c r="Q278" s="116">
        <v>2962.35</v>
      </c>
      <c r="R278">
        <v>60020</v>
      </c>
    </row>
    <row r="279" spans="1:18" x14ac:dyDescent="0.25">
      <c r="A279" s="170">
        <v>44057</v>
      </c>
      <c r="B279" s="116">
        <v>1496.5</v>
      </c>
      <c r="C279" s="116">
        <v>1459.875</v>
      </c>
      <c r="D279" s="116">
        <v>1445</v>
      </c>
      <c r="E279" s="116">
        <v>1487.4</v>
      </c>
      <c r="F279" s="116">
        <v>2919.75</v>
      </c>
      <c r="G279">
        <v>3260</v>
      </c>
      <c r="H279" s="116"/>
      <c r="I279" s="116"/>
      <c r="L279" s="170">
        <v>44057</v>
      </c>
      <c r="M279" s="116">
        <v>1460.8</v>
      </c>
      <c r="N279" s="116">
        <v>1494.5</v>
      </c>
      <c r="O279" s="116">
        <v>1450</v>
      </c>
      <c r="P279" s="116">
        <v>1488.5250000000001</v>
      </c>
      <c r="Q279" s="116">
        <v>2921.6</v>
      </c>
      <c r="R279">
        <v>34246</v>
      </c>
    </row>
    <row r="280" spans="1:18" x14ac:dyDescent="0.25">
      <c r="A280" s="170">
        <v>44060</v>
      </c>
      <c r="B280" s="116">
        <v>1485</v>
      </c>
      <c r="C280" s="116">
        <v>1469.6</v>
      </c>
      <c r="D280" s="116">
        <v>1455</v>
      </c>
      <c r="E280" s="116">
        <v>1461.5</v>
      </c>
      <c r="F280" s="116">
        <v>2939.2</v>
      </c>
      <c r="G280">
        <v>961</v>
      </c>
      <c r="H280" s="116"/>
      <c r="I280" s="116"/>
      <c r="L280" s="170">
        <v>44060</v>
      </c>
      <c r="M280" s="116">
        <v>1466.1</v>
      </c>
      <c r="N280" s="116">
        <v>1485.0250000000001</v>
      </c>
      <c r="O280" s="116">
        <v>1450.5</v>
      </c>
      <c r="P280" s="116">
        <v>1462.5</v>
      </c>
      <c r="Q280" s="116">
        <v>2932.2</v>
      </c>
      <c r="R280">
        <v>23451</v>
      </c>
    </row>
    <row r="281" spans="1:18" x14ac:dyDescent="0.25">
      <c r="A281" s="170">
        <v>44061</v>
      </c>
      <c r="B281" s="116">
        <v>1485</v>
      </c>
      <c r="C281" s="116">
        <v>1477.35</v>
      </c>
      <c r="D281" s="116">
        <v>1451.0250000000001</v>
      </c>
      <c r="E281" s="116">
        <v>1465</v>
      </c>
      <c r="F281" s="116">
        <v>2954.7</v>
      </c>
      <c r="G281">
        <v>2289</v>
      </c>
      <c r="H281" s="116"/>
      <c r="I281" s="116"/>
      <c r="L281" s="170">
        <v>44061</v>
      </c>
      <c r="M281" s="116">
        <v>1477.325</v>
      </c>
      <c r="N281" s="116">
        <v>1485</v>
      </c>
      <c r="O281" s="116">
        <v>1457.5</v>
      </c>
      <c r="P281" s="116">
        <v>1466.1</v>
      </c>
      <c r="Q281" s="116">
        <v>2954.65</v>
      </c>
      <c r="R281">
        <v>21321</v>
      </c>
    </row>
    <row r="282" spans="1:18" x14ac:dyDescent="0.25">
      <c r="A282" s="170">
        <v>44062</v>
      </c>
      <c r="B282" s="116">
        <v>1505</v>
      </c>
      <c r="C282" s="116">
        <v>1492.55</v>
      </c>
      <c r="D282" s="116">
        <v>1470.55</v>
      </c>
      <c r="E282" s="116">
        <v>1486</v>
      </c>
      <c r="F282" s="116">
        <v>2985.1</v>
      </c>
      <c r="G282">
        <v>3336</v>
      </c>
      <c r="H282" s="116"/>
      <c r="I282" s="116"/>
      <c r="L282" s="170">
        <v>44062</v>
      </c>
      <c r="M282" s="116">
        <v>1490.45</v>
      </c>
      <c r="N282" s="116">
        <v>1505</v>
      </c>
      <c r="O282" s="116">
        <v>1477.5250000000001</v>
      </c>
      <c r="P282" s="116">
        <v>1489.425</v>
      </c>
      <c r="Q282" s="116">
        <v>2980.9</v>
      </c>
      <c r="R282">
        <v>34796</v>
      </c>
    </row>
    <row r="283" spans="1:18" x14ac:dyDescent="0.25">
      <c r="A283" s="170">
        <v>44063</v>
      </c>
      <c r="B283" s="116">
        <v>1553.5</v>
      </c>
      <c r="C283" s="116">
        <v>1526.2750000000001</v>
      </c>
      <c r="D283" s="116">
        <v>1495.5</v>
      </c>
      <c r="E283" s="116">
        <v>1500</v>
      </c>
      <c r="F283" s="116">
        <v>3052.55</v>
      </c>
      <c r="G283">
        <v>8553</v>
      </c>
      <c r="H283" s="116"/>
      <c r="I283" s="116"/>
      <c r="L283" s="170">
        <v>44063</v>
      </c>
      <c r="M283" s="116">
        <v>1530.1</v>
      </c>
      <c r="N283" s="116">
        <v>1550</v>
      </c>
      <c r="O283" s="116">
        <v>1495.5</v>
      </c>
      <c r="P283" s="116">
        <v>1500</v>
      </c>
      <c r="Q283" s="116">
        <v>3060.2</v>
      </c>
      <c r="R283">
        <v>133590</v>
      </c>
    </row>
    <row r="284" spans="1:18" x14ac:dyDescent="0.25">
      <c r="A284" s="170">
        <v>44064</v>
      </c>
      <c r="B284" s="116">
        <v>1640</v>
      </c>
      <c r="C284" s="116">
        <v>1617.7750000000001</v>
      </c>
      <c r="D284" s="116">
        <v>1539.5</v>
      </c>
      <c r="E284" s="116">
        <v>1553.5</v>
      </c>
      <c r="F284" s="116">
        <v>3235.55</v>
      </c>
      <c r="G284">
        <v>10877</v>
      </c>
      <c r="H284" s="116"/>
      <c r="I284" s="116"/>
      <c r="L284" s="170">
        <v>44064</v>
      </c>
      <c r="M284" s="116">
        <v>1617.2750000000001</v>
      </c>
      <c r="N284" s="116">
        <v>1637.5</v>
      </c>
      <c r="O284" s="116">
        <v>1537.5</v>
      </c>
      <c r="P284" s="116">
        <v>1550</v>
      </c>
      <c r="Q284" s="116">
        <v>3234.55</v>
      </c>
      <c r="R284">
        <v>221076</v>
      </c>
    </row>
    <row r="285" spans="1:18" x14ac:dyDescent="0.25">
      <c r="A285" s="170">
        <v>44067</v>
      </c>
      <c r="B285" s="116">
        <v>1845</v>
      </c>
      <c r="C285" s="116">
        <v>1759.75</v>
      </c>
      <c r="D285" s="116">
        <v>1636</v>
      </c>
      <c r="E285" s="116">
        <v>1675</v>
      </c>
      <c r="F285" s="116">
        <v>3519.5</v>
      </c>
      <c r="G285">
        <v>20130</v>
      </c>
      <c r="H285" s="116"/>
      <c r="I285" s="116"/>
      <c r="L285" s="170">
        <v>44067</v>
      </c>
      <c r="M285" s="116">
        <v>1760.4</v>
      </c>
      <c r="N285" s="116">
        <v>1843.8</v>
      </c>
      <c r="O285" s="116">
        <v>1650</v>
      </c>
      <c r="P285" s="116">
        <v>1657.4749999999999</v>
      </c>
      <c r="Q285" s="116">
        <v>3520.8</v>
      </c>
      <c r="R285">
        <v>301034</v>
      </c>
    </row>
    <row r="286" spans="1:18" x14ac:dyDescent="0.25">
      <c r="A286" s="170">
        <v>44068</v>
      </c>
      <c r="B286" s="116">
        <v>1941.5</v>
      </c>
      <c r="C286" s="116">
        <v>1855.15</v>
      </c>
      <c r="D286" s="116">
        <v>1799.5</v>
      </c>
      <c r="E286" s="116">
        <v>1847</v>
      </c>
      <c r="F286" s="116">
        <v>3710.3</v>
      </c>
      <c r="G286">
        <v>24465</v>
      </c>
      <c r="H286" s="116"/>
      <c r="I286" s="116"/>
      <c r="L286" s="170">
        <v>44068</v>
      </c>
      <c r="M286" s="116">
        <v>1854</v>
      </c>
      <c r="N286" s="116">
        <v>1935</v>
      </c>
      <c r="O286" s="116">
        <v>1806.05</v>
      </c>
      <c r="P286" s="116">
        <v>1848.4</v>
      </c>
      <c r="Q286" s="116">
        <v>3708</v>
      </c>
      <c r="R286">
        <v>477392</v>
      </c>
    </row>
    <row r="287" spans="1:18" x14ac:dyDescent="0.25">
      <c r="A287" s="170">
        <v>44069</v>
      </c>
      <c r="B287" s="116">
        <v>1910</v>
      </c>
      <c r="C287" s="116">
        <v>1820.925</v>
      </c>
      <c r="D287" s="116">
        <v>1613</v>
      </c>
      <c r="E287" s="116">
        <v>1863</v>
      </c>
      <c r="F287" s="116">
        <v>3641.85</v>
      </c>
      <c r="G287">
        <v>13881</v>
      </c>
      <c r="H287" s="116"/>
      <c r="I287" s="116"/>
      <c r="L287" s="170">
        <v>44069</v>
      </c>
      <c r="M287" s="116">
        <v>1822.55</v>
      </c>
      <c r="N287" s="116">
        <v>1892.5</v>
      </c>
      <c r="O287" s="116">
        <v>1742.75</v>
      </c>
      <c r="P287" s="116">
        <v>1876.5</v>
      </c>
      <c r="Q287" s="116">
        <v>3645.1</v>
      </c>
      <c r="R287">
        <v>110905</v>
      </c>
    </row>
    <row r="288" spans="1:18" x14ac:dyDescent="0.25">
      <c r="A288" s="170">
        <v>44070</v>
      </c>
      <c r="B288" s="116">
        <v>1889</v>
      </c>
      <c r="C288" s="116">
        <v>1839</v>
      </c>
      <c r="D288" s="116">
        <v>1758.5</v>
      </c>
      <c r="E288" s="116">
        <v>1855.5</v>
      </c>
      <c r="F288" s="116">
        <v>3678</v>
      </c>
      <c r="G288">
        <v>5653</v>
      </c>
      <c r="H288" s="116"/>
      <c r="I288" s="116"/>
      <c r="L288" s="170">
        <v>44070</v>
      </c>
      <c r="M288" s="116">
        <v>1842.2249999999999</v>
      </c>
      <c r="N288" s="116">
        <v>1892.5</v>
      </c>
      <c r="O288" s="116">
        <v>1800</v>
      </c>
      <c r="P288" s="116">
        <v>1805</v>
      </c>
      <c r="Q288" s="116">
        <v>3684.45</v>
      </c>
      <c r="R288">
        <v>100197</v>
      </c>
    </row>
    <row r="289" spans="1:18" x14ac:dyDescent="0.25">
      <c r="A289" s="170">
        <v>44071</v>
      </c>
      <c r="B289" s="116">
        <v>1892.5</v>
      </c>
      <c r="C289" s="116">
        <v>1768</v>
      </c>
      <c r="D289" s="116">
        <v>1750</v>
      </c>
      <c r="E289" s="116">
        <v>1892.5</v>
      </c>
      <c r="F289" s="116">
        <v>3536</v>
      </c>
      <c r="G289">
        <v>6542</v>
      </c>
      <c r="H289" s="116"/>
      <c r="I289" s="116"/>
      <c r="L289" s="170">
        <v>44071</v>
      </c>
      <c r="M289" s="116">
        <v>1765.7750000000001</v>
      </c>
      <c r="N289" s="116">
        <v>1860.5</v>
      </c>
      <c r="O289" s="116">
        <v>1745</v>
      </c>
      <c r="P289" s="116">
        <v>1860</v>
      </c>
      <c r="Q289" s="116">
        <v>3531.55</v>
      </c>
      <c r="R289">
        <v>83624</v>
      </c>
    </row>
    <row r="290" spans="1:18" x14ac:dyDescent="0.25">
      <c r="A290" s="170">
        <v>44074</v>
      </c>
      <c r="B290" s="116">
        <v>1896.7750000000001</v>
      </c>
      <c r="C290" s="116">
        <v>1839.9</v>
      </c>
      <c r="D290" s="116">
        <v>1755.625</v>
      </c>
      <c r="E290" s="116">
        <v>1755.625</v>
      </c>
      <c r="F290" s="116">
        <v>3679.8</v>
      </c>
      <c r="G290">
        <v>20501</v>
      </c>
      <c r="H290" s="116"/>
      <c r="I290" s="116"/>
      <c r="L290" s="170">
        <v>44074</v>
      </c>
      <c r="M290" s="116">
        <v>1842.825</v>
      </c>
      <c r="N290" s="116">
        <v>1890</v>
      </c>
      <c r="O290" s="116">
        <v>1775.1</v>
      </c>
      <c r="P290" s="116">
        <v>1794.5</v>
      </c>
      <c r="Q290" s="116">
        <v>3685.65</v>
      </c>
      <c r="R290">
        <v>330163</v>
      </c>
    </row>
    <row r="291" spans="1:18" x14ac:dyDescent="0.25">
      <c r="A291" s="170">
        <v>44075</v>
      </c>
      <c r="B291" s="116">
        <v>1950</v>
      </c>
      <c r="C291" s="116">
        <v>1915</v>
      </c>
      <c r="D291" s="116">
        <v>1845.9749999999999</v>
      </c>
      <c r="E291" s="116">
        <v>1899.9749999999999</v>
      </c>
      <c r="F291" s="116">
        <v>3830</v>
      </c>
      <c r="G291">
        <v>9711</v>
      </c>
      <c r="H291" s="116"/>
      <c r="I291" s="116"/>
      <c r="L291" s="170">
        <v>44075</v>
      </c>
      <c r="M291" s="116">
        <v>1914.075</v>
      </c>
      <c r="N291" s="116">
        <v>1933.85</v>
      </c>
      <c r="O291" s="116">
        <v>1840.55</v>
      </c>
      <c r="P291" s="116">
        <v>1882.5</v>
      </c>
      <c r="Q291" s="116">
        <v>3828.15</v>
      </c>
      <c r="R291">
        <v>233456</v>
      </c>
    </row>
    <row r="292" spans="1:18" x14ac:dyDescent="0.25">
      <c r="A292" s="170">
        <v>44076</v>
      </c>
      <c r="B292" s="116">
        <v>2298</v>
      </c>
      <c r="C292" s="116">
        <v>2287.5250000000001</v>
      </c>
      <c r="D292" s="116">
        <v>1850.75</v>
      </c>
      <c r="E292" s="116">
        <v>1880.5</v>
      </c>
      <c r="F292" s="116">
        <v>4575.05</v>
      </c>
      <c r="G292">
        <v>170198</v>
      </c>
      <c r="H292" s="116"/>
      <c r="I292" s="116"/>
      <c r="L292" s="170">
        <v>44076</v>
      </c>
      <c r="M292" s="116">
        <v>2280.9</v>
      </c>
      <c r="N292" s="116">
        <v>2296.875</v>
      </c>
      <c r="O292" s="116">
        <v>1880</v>
      </c>
      <c r="P292" s="116">
        <v>1900</v>
      </c>
      <c r="Q292" s="116">
        <v>4561.8</v>
      </c>
      <c r="R292">
        <v>972053</v>
      </c>
    </row>
    <row r="293" spans="1:18" x14ac:dyDescent="0.25">
      <c r="A293" s="170">
        <v>44077</v>
      </c>
      <c r="B293" s="116">
        <v>2363.9749999999999</v>
      </c>
      <c r="C293" s="116">
        <v>2127.875</v>
      </c>
      <c r="D293" s="116">
        <v>2103.75</v>
      </c>
      <c r="E293" s="116">
        <v>2284.5</v>
      </c>
      <c r="F293" s="116">
        <v>4255.75</v>
      </c>
      <c r="G293">
        <v>40160</v>
      </c>
      <c r="H293" s="116"/>
      <c r="I293" s="116"/>
      <c r="L293" s="170">
        <v>44077</v>
      </c>
      <c r="M293" s="116">
        <v>2130.7249999999999</v>
      </c>
      <c r="N293" s="116">
        <v>2364</v>
      </c>
      <c r="O293" s="116">
        <v>2105.5</v>
      </c>
      <c r="P293" s="116">
        <v>2250</v>
      </c>
      <c r="Q293" s="116">
        <v>4261.45</v>
      </c>
      <c r="R293">
        <v>647811</v>
      </c>
    </row>
    <row r="294" spans="1:18" x14ac:dyDescent="0.25">
      <c r="A294" s="170">
        <v>44078</v>
      </c>
      <c r="B294" s="116">
        <v>2129.65</v>
      </c>
      <c r="C294" s="116">
        <v>2049.9749999999999</v>
      </c>
      <c r="D294" s="116">
        <v>2020.9749999999999</v>
      </c>
      <c r="E294" s="116">
        <v>2075</v>
      </c>
      <c r="F294" s="116">
        <v>4099.95</v>
      </c>
      <c r="G294">
        <v>70395</v>
      </c>
      <c r="H294" s="116"/>
      <c r="I294" s="116"/>
      <c r="L294" s="170">
        <v>44078</v>
      </c>
      <c r="M294" s="116">
        <v>2046.4</v>
      </c>
      <c r="N294" s="116">
        <v>2133.3000000000002</v>
      </c>
      <c r="O294" s="116">
        <v>2013</v>
      </c>
      <c r="P294" s="116">
        <v>2087</v>
      </c>
      <c r="Q294" s="116">
        <v>4092.8</v>
      </c>
      <c r="R294">
        <v>288602</v>
      </c>
    </row>
    <row r="295" spans="1:18" x14ac:dyDescent="0.25">
      <c r="A295" s="170">
        <v>44081</v>
      </c>
      <c r="B295" s="116">
        <v>2385</v>
      </c>
      <c r="C295" s="116">
        <v>2273.875</v>
      </c>
      <c r="D295" s="116">
        <v>2061.35</v>
      </c>
      <c r="E295" s="116">
        <v>2100</v>
      </c>
      <c r="F295" s="116">
        <v>4547.75</v>
      </c>
      <c r="G295">
        <v>43474</v>
      </c>
      <c r="H295" s="116"/>
      <c r="I295" s="116"/>
      <c r="L295" s="170">
        <v>44081</v>
      </c>
      <c r="M295" s="116">
        <v>2263.9250000000002</v>
      </c>
      <c r="N295" s="116">
        <v>2382.2750000000001</v>
      </c>
      <c r="O295" s="116">
        <v>2074</v>
      </c>
      <c r="P295" s="116">
        <v>2124.5</v>
      </c>
      <c r="Q295" s="116">
        <v>4527.8500000000004</v>
      </c>
      <c r="R295">
        <v>568757</v>
      </c>
    </row>
    <row r="296" spans="1:18" x14ac:dyDescent="0.25">
      <c r="A296" s="170">
        <v>44082</v>
      </c>
      <c r="B296" s="116">
        <v>2462</v>
      </c>
      <c r="C296" s="116">
        <v>2378.375</v>
      </c>
      <c r="D296" s="116">
        <v>2166.0500000000002</v>
      </c>
      <c r="E296" s="116">
        <v>2293.4250000000002</v>
      </c>
      <c r="F296" s="116">
        <v>4756.75</v>
      </c>
      <c r="G296">
        <v>42009</v>
      </c>
      <c r="H296" s="116"/>
      <c r="I296" s="116"/>
      <c r="L296" s="170">
        <v>44082</v>
      </c>
      <c r="M296" s="116">
        <v>2377.5250000000001</v>
      </c>
      <c r="N296" s="116">
        <v>2461.6</v>
      </c>
      <c r="O296" s="116">
        <v>2190.5</v>
      </c>
      <c r="P296" s="116">
        <v>2285</v>
      </c>
      <c r="Q296" s="116">
        <v>4755.05</v>
      </c>
      <c r="R296">
        <v>445113</v>
      </c>
    </row>
    <row r="297" spans="1:18" x14ac:dyDescent="0.25">
      <c r="A297" s="170">
        <v>44083</v>
      </c>
      <c r="B297" s="116">
        <v>2354.5</v>
      </c>
      <c r="C297" s="116">
        <v>2262.2750000000001</v>
      </c>
      <c r="D297" s="116">
        <v>2205</v>
      </c>
      <c r="E297" s="116">
        <v>2295</v>
      </c>
      <c r="F297" s="116">
        <v>4524.55</v>
      </c>
      <c r="G297">
        <v>22096</v>
      </c>
      <c r="H297" s="116"/>
      <c r="I297" s="116"/>
      <c r="L297" s="170">
        <v>44083</v>
      </c>
      <c r="M297" s="116">
        <v>2263.9499999999998</v>
      </c>
      <c r="N297" s="116">
        <v>2362.5</v>
      </c>
      <c r="O297" s="116">
        <v>2210</v>
      </c>
      <c r="P297" s="116">
        <v>2305</v>
      </c>
      <c r="Q297" s="116">
        <v>4527.8999999999996</v>
      </c>
      <c r="R297">
        <v>241796</v>
      </c>
    </row>
    <row r="298" spans="1:18" x14ac:dyDescent="0.25">
      <c r="A298" s="170">
        <v>44084</v>
      </c>
      <c r="B298" s="116">
        <v>2399</v>
      </c>
      <c r="C298" s="116">
        <v>2370.85</v>
      </c>
      <c r="D298" s="116">
        <v>2308.4</v>
      </c>
      <c r="E298" s="116">
        <v>2325</v>
      </c>
      <c r="F298" s="116">
        <v>4741.7</v>
      </c>
      <c r="G298">
        <v>9266</v>
      </c>
      <c r="H298" s="116"/>
      <c r="I298" s="116"/>
      <c r="L298" s="170">
        <v>44084</v>
      </c>
      <c r="M298" s="116">
        <v>2369.6999999999998</v>
      </c>
      <c r="N298" s="116">
        <v>2400</v>
      </c>
      <c r="O298" s="116">
        <v>2300</v>
      </c>
      <c r="P298" s="116">
        <v>2309.9749999999999</v>
      </c>
      <c r="Q298" s="116">
        <v>4739.3999999999996</v>
      </c>
      <c r="R298">
        <v>161037</v>
      </c>
    </row>
    <row r="299" spans="1:18" x14ac:dyDescent="0.25">
      <c r="A299" s="170">
        <v>44085</v>
      </c>
      <c r="B299" s="116">
        <v>2437.5</v>
      </c>
      <c r="C299" s="116">
        <v>2384.1</v>
      </c>
      <c r="D299" s="116">
        <v>2327.35</v>
      </c>
      <c r="E299" s="116">
        <v>2375</v>
      </c>
      <c r="F299" s="116">
        <v>4768.2</v>
      </c>
      <c r="G299">
        <v>12620</v>
      </c>
      <c r="H299" s="116"/>
      <c r="I299" s="116"/>
      <c r="L299" s="170">
        <v>44085</v>
      </c>
      <c r="M299" s="116">
        <v>2384</v>
      </c>
      <c r="N299" s="116">
        <v>2437.5</v>
      </c>
      <c r="O299" s="116">
        <v>2347.5</v>
      </c>
      <c r="P299" s="116">
        <v>2370.9</v>
      </c>
      <c r="Q299" s="116">
        <v>4768</v>
      </c>
      <c r="R299">
        <v>132415</v>
      </c>
    </row>
    <row r="300" spans="1:18" x14ac:dyDescent="0.25">
      <c r="A300" s="170">
        <v>44088</v>
      </c>
      <c r="B300" s="116">
        <v>2549</v>
      </c>
      <c r="C300" s="116">
        <v>2511.5749999999998</v>
      </c>
      <c r="D300" s="116">
        <v>2385.4250000000002</v>
      </c>
      <c r="E300" s="116">
        <v>2424.5</v>
      </c>
      <c r="F300" s="116">
        <v>5023.1499999999996</v>
      </c>
      <c r="G300">
        <v>23967</v>
      </c>
      <c r="H300" s="116"/>
      <c r="I300" s="116"/>
      <c r="L300" s="170">
        <v>44088</v>
      </c>
      <c r="M300" s="116">
        <v>2509.9749999999999</v>
      </c>
      <c r="N300" s="116">
        <v>2549.5</v>
      </c>
      <c r="O300" s="116">
        <v>2405.0250000000001</v>
      </c>
      <c r="P300" s="116">
        <v>2413</v>
      </c>
      <c r="Q300" s="116">
        <v>5019.95</v>
      </c>
      <c r="R300">
        <v>230405</v>
      </c>
    </row>
    <row r="301" spans="1:18" x14ac:dyDescent="0.25">
      <c r="A301" s="170">
        <v>44089</v>
      </c>
      <c r="B301" s="116">
        <v>2612.5</v>
      </c>
      <c r="C301" s="116">
        <v>2566.5250000000001</v>
      </c>
      <c r="D301" s="116">
        <v>2527.5</v>
      </c>
      <c r="E301" s="116">
        <v>2527.5</v>
      </c>
      <c r="F301" s="116">
        <v>5133.05</v>
      </c>
      <c r="G301">
        <v>12576</v>
      </c>
      <c r="H301" s="116"/>
      <c r="I301" s="116"/>
      <c r="L301" s="170">
        <v>44089</v>
      </c>
      <c r="M301" s="116">
        <v>2569.7750000000001</v>
      </c>
      <c r="N301" s="116">
        <v>2613.5</v>
      </c>
      <c r="O301" s="116">
        <v>2528.5</v>
      </c>
      <c r="P301" s="116">
        <v>2537.5</v>
      </c>
      <c r="Q301" s="116">
        <v>5139.55</v>
      </c>
      <c r="R301">
        <v>173768</v>
      </c>
    </row>
    <row r="302" spans="1:18" x14ac:dyDescent="0.25">
      <c r="A302" s="170">
        <v>44090</v>
      </c>
      <c r="B302" s="116">
        <v>2602.5</v>
      </c>
      <c r="C302" s="116">
        <v>2568.9749999999999</v>
      </c>
      <c r="D302" s="116">
        <v>2469.5500000000002</v>
      </c>
      <c r="E302" s="116">
        <v>2597.5</v>
      </c>
      <c r="F302" s="116">
        <v>5137.95</v>
      </c>
      <c r="G302">
        <v>9552</v>
      </c>
      <c r="H302" s="116"/>
      <c r="I302" s="116"/>
      <c r="L302" s="170">
        <v>44090</v>
      </c>
      <c r="M302" s="116">
        <v>2567.9</v>
      </c>
      <c r="N302" s="116">
        <v>2608.25</v>
      </c>
      <c r="O302" s="116">
        <v>2461.1750000000002</v>
      </c>
      <c r="P302" s="116">
        <v>2582.4</v>
      </c>
      <c r="Q302" s="116">
        <v>5135.8</v>
      </c>
      <c r="R302">
        <v>145738</v>
      </c>
    </row>
    <row r="303" spans="1:18" x14ac:dyDescent="0.25">
      <c r="A303" s="170">
        <v>44091</v>
      </c>
      <c r="B303" s="116">
        <v>2573.4250000000002</v>
      </c>
      <c r="C303" s="116">
        <v>2476.5749999999998</v>
      </c>
      <c r="D303" s="116">
        <v>2461</v>
      </c>
      <c r="E303" s="116">
        <v>2570</v>
      </c>
      <c r="F303" s="116">
        <v>4953.1499999999996</v>
      </c>
      <c r="G303">
        <v>13523</v>
      </c>
      <c r="H303" s="116"/>
      <c r="I303" s="116"/>
      <c r="L303" s="170">
        <v>44091</v>
      </c>
      <c r="M303" s="116">
        <v>2483</v>
      </c>
      <c r="N303" s="116">
        <v>2580.75</v>
      </c>
      <c r="O303" s="116">
        <v>2460.5</v>
      </c>
      <c r="P303" s="116">
        <v>2575</v>
      </c>
      <c r="Q303" s="116">
        <v>4966</v>
      </c>
      <c r="R303">
        <v>114199</v>
      </c>
    </row>
    <row r="304" spans="1:18" x14ac:dyDescent="0.25">
      <c r="A304" s="170">
        <v>44092</v>
      </c>
      <c r="B304" s="116">
        <v>2551.5</v>
      </c>
      <c r="C304" s="116">
        <v>2502.9499999999998</v>
      </c>
      <c r="D304" s="116">
        <v>2472.7750000000001</v>
      </c>
      <c r="E304" s="116">
        <v>2500</v>
      </c>
      <c r="F304" s="116">
        <v>5005.8999999999996</v>
      </c>
      <c r="G304">
        <v>10148</v>
      </c>
      <c r="H304" s="116"/>
      <c r="I304" s="116"/>
      <c r="L304" s="170">
        <v>44092</v>
      </c>
      <c r="M304" s="116">
        <v>2502.5</v>
      </c>
      <c r="N304" s="116">
        <v>2550</v>
      </c>
      <c r="O304" s="116">
        <v>2472.5</v>
      </c>
      <c r="P304" s="116">
        <v>2508.6999999999998</v>
      </c>
      <c r="Q304" s="116">
        <v>5005</v>
      </c>
      <c r="R304">
        <v>143606</v>
      </c>
    </row>
    <row r="305" spans="1:18" x14ac:dyDescent="0.25">
      <c r="A305" s="170">
        <v>44095</v>
      </c>
      <c r="B305" s="116">
        <v>2534.9499999999998</v>
      </c>
      <c r="C305" s="116">
        <v>2381.5250000000001</v>
      </c>
      <c r="D305" s="116">
        <v>2253</v>
      </c>
      <c r="E305" s="116">
        <v>2534.9499999999998</v>
      </c>
      <c r="F305" s="116">
        <v>4763.05</v>
      </c>
      <c r="G305">
        <v>21999</v>
      </c>
      <c r="H305" s="116"/>
      <c r="I305" s="116"/>
      <c r="L305" s="170">
        <v>44095</v>
      </c>
      <c r="M305" s="116">
        <v>2380.4250000000002</v>
      </c>
      <c r="N305" s="116">
        <v>2523.6</v>
      </c>
      <c r="O305" s="116">
        <v>2300</v>
      </c>
      <c r="P305" s="116">
        <v>2521.2750000000001</v>
      </c>
      <c r="Q305" s="116">
        <v>4760.8500000000004</v>
      </c>
      <c r="R305">
        <v>152702</v>
      </c>
    </row>
    <row r="306" spans="1:18" x14ac:dyDescent="0.25">
      <c r="A306" s="170">
        <v>44096</v>
      </c>
      <c r="B306" s="116">
        <v>2467.5</v>
      </c>
      <c r="C306" s="116">
        <v>2426.35</v>
      </c>
      <c r="D306" s="116">
        <v>2185.75</v>
      </c>
      <c r="E306" s="116">
        <v>2344.0250000000001</v>
      </c>
      <c r="F306" s="116">
        <v>4852.7</v>
      </c>
      <c r="G306">
        <v>32785</v>
      </c>
      <c r="H306" s="116"/>
      <c r="I306" s="116"/>
      <c r="L306" s="170">
        <v>44096</v>
      </c>
      <c r="M306" s="116">
        <v>2429.85</v>
      </c>
      <c r="N306" s="116">
        <v>2467.5</v>
      </c>
      <c r="O306" s="116">
        <v>2189.9499999999998</v>
      </c>
      <c r="P306" s="116">
        <v>2347.4250000000002</v>
      </c>
      <c r="Q306" s="116">
        <v>4859.7</v>
      </c>
      <c r="R306">
        <v>234982</v>
      </c>
    </row>
    <row r="307" spans="1:18" x14ac:dyDescent="0.25">
      <c r="A307" s="170">
        <v>44097</v>
      </c>
      <c r="B307" s="116">
        <v>2492.0749999999998</v>
      </c>
      <c r="C307" s="116">
        <v>2449.4</v>
      </c>
      <c r="D307" s="116">
        <v>2346.5</v>
      </c>
      <c r="E307" s="116">
        <v>2426.0250000000001</v>
      </c>
      <c r="F307" s="116">
        <v>4898.8</v>
      </c>
      <c r="G307">
        <v>7279</v>
      </c>
      <c r="H307" s="116"/>
      <c r="I307" s="116"/>
      <c r="L307" s="170">
        <v>44097</v>
      </c>
      <c r="M307" s="116">
        <v>2452.0500000000002</v>
      </c>
      <c r="N307" s="116">
        <v>2495</v>
      </c>
      <c r="O307" s="116">
        <v>2338</v>
      </c>
      <c r="P307" s="116">
        <v>2440</v>
      </c>
      <c r="Q307" s="116">
        <v>4904.1000000000004</v>
      </c>
      <c r="R307">
        <v>145547</v>
      </c>
    </row>
    <row r="308" spans="1:18" x14ac:dyDescent="0.25">
      <c r="A308" s="170">
        <v>44098</v>
      </c>
      <c r="B308" s="116">
        <v>2444.5</v>
      </c>
      <c r="C308" s="116">
        <v>2407.65</v>
      </c>
      <c r="D308" s="116">
        <v>2341.9499999999998</v>
      </c>
      <c r="E308" s="116">
        <v>2372.5</v>
      </c>
      <c r="F308" s="116">
        <v>4815.3</v>
      </c>
      <c r="G308">
        <v>6147</v>
      </c>
      <c r="H308" s="116"/>
      <c r="I308" s="116"/>
      <c r="L308" s="170">
        <v>44098</v>
      </c>
      <c r="M308" s="116">
        <v>2408.85</v>
      </c>
      <c r="N308" s="116">
        <v>2446</v>
      </c>
      <c r="O308" s="116">
        <v>2337.5</v>
      </c>
      <c r="P308" s="116">
        <v>2395</v>
      </c>
      <c r="Q308" s="116">
        <v>4817.7</v>
      </c>
      <c r="R308">
        <v>141887</v>
      </c>
    </row>
    <row r="309" spans="1:18" x14ac:dyDescent="0.25">
      <c r="A309" s="170">
        <v>44099</v>
      </c>
      <c r="B309" s="116">
        <v>2648.4</v>
      </c>
      <c r="C309" s="116">
        <v>2629</v>
      </c>
      <c r="D309" s="116">
        <v>2426.875</v>
      </c>
      <c r="E309" s="116">
        <v>2463.6999999999998</v>
      </c>
      <c r="F309" s="116">
        <v>5258</v>
      </c>
      <c r="G309">
        <v>10865</v>
      </c>
      <c r="H309" s="116"/>
      <c r="I309" s="116"/>
      <c r="L309" s="170">
        <v>44099</v>
      </c>
      <c r="M309" s="116">
        <v>2626.9749999999999</v>
      </c>
      <c r="N309" s="116">
        <v>2649.7249999999999</v>
      </c>
      <c r="O309" s="116">
        <v>2428.85</v>
      </c>
      <c r="P309" s="116">
        <v>2455.85</v>
      </c>
      <c r="Q309" s="116">
        <v>5253.95</v>
      </c>
      <c r="R309">
        <v>279378</v>
      </c>
    </row>
    <row r="310" spans="1:18" x14ac:dyDescent="0.25">
      <c r="A310" s="170">
        <v>44102</v>
      </c>
      <c r="B310" s="116">
        <v>2742.5</v>
      </c>
      <c r="C310" s="116">
        <v>2665.9250000000002</v>
      </c>
      <c r="D310" s="116">
        <v>2638.625</v>
      </c>
      <c r="E310" s="116">
        <v>2650</v>
      </c>
      <c r="F310" s="116">
        <v>5331.85</v>
      </c>
      <c r="G310">
        <v>17100</v>
      </c>
      <c r="H310" s="116"/>
      <c r="I310" s="116"/>
      <c r="L310" s="170">
        <v>44102</v>
      </c>
      <c r="M310" s="116">
        <v>2665.2249999999999</v>
      </c>
      <c r="N310" s="116">
        <v>2743.75</v>
      </c>
      <c r="O310" s="116">
        <v>2637.5</v>
      </c>
      <c r="P310" s="116">
        <v>2689.5</v>
      </c>
      <c r="Q310" s="116">
        <v>5330.45</v>
      </c>
      <c r="R310">
        <v>181264</v>
      </c>
    </row>
    <row r="311" spans="1:18" x14ac:dyDescent="0.25">
      <c r="A311" s="170">
        <v>44103</v>
      </c>
      <c r="B311" s="116">
        <v>2710</v>
      </c>
      <c r="C311" s="116">
        <v>2547.9</v>
      </c>
      <c r="D311" s="116">
        <v>2537.5</v>
      </c>
      <c r="E311" s="116">
        <v>2710</v>
      </c>
      <c r="F311" s="116">
        <v>5095.8</v>
      </c>
      <c r="G311">
        <v>13874</v>
      </c>
      <c r="H311" s="116"/>
      <c r="I311" s="116"/>
      <c r="L311" s="170">
        <v>44103</v>
      </c>
      <c r="M311" s="116">
        <v>2548.6750000000002</v>
      </c>
      <c r="N311" s="116">
        <v>2686.625</v>
      </c>
      <c r="O311" s="116">
        <v>2535.375</v>
      </c>
      <c r="P311" s="116">
        <v>2684.5</v>
      </c>
      <c r="Q311" s="116">
        <v>5097.3500000000004</v>
      </c>
      <c r="R311">
        <v>140419</v>
      </c>
    </row>
    <row r="312" spans="1:18" x14ac:dyDescent="0.25">
      <c r="A312" s="170">
        <v>44104</v>
      </c>
      <c r="B312" s="116">
        <v>2572.4</v>
      </c>
      <c r="C312" s="116">
        <v>2496.0250000000001</v>
      </c>
      <c r="D312" s="116">
        <v>2440</v>
      </c>
      <c r="E312" s="116">
        <v>2565</v>
      </c>
      <c r="F312" s="116">
        <v>4992.05</v>
      </c>
      <c r="G312">
        <v>5039</v>
      </c>
      <c r="H312" s="116"/>
      <c r="I312" s="116"/>
      <c r="L312" s="170">
        <v>44104</v>
      </c>
      <c r="M312" s="116">
        <v>2497.5250000000001</v>
      </c>
      <c r="N312" s="116">
        <v>2567.5</v>
      </c>
      <c r="O312" s="116">
        <v>2437.5</v>
      </c>
      <c r="P312" s="116">
        <v>2564.35</v>
      </c>
      <c r="Q312" s="116">
        <v>4995.05</v>
      </c>
      <c r="R312">
        <v>178454</v>
      </c>
    </row>
    <row r="313" spans="1:18" x14ac:dyDescent="0.25">
      <c r="A313" s="170">
        <v>44105</v>
      </c>
      <c r="B313" s="116">
        <v>2600</v>
      </c>
      <c r="C313" s="116">
        <v>2496.9499999999998</v>
      </c>
      <c r="D313" s="116">
        <v>2474.3249999999998</v>
      </c>
      <c r="E313" s="116">
        <v>2600</v>
      </c>
      <c r="F313" s="116">
        <v>4993.8999999999996</v>
      </c>
      <c r="G313">
        <v>3100</v>
      </c>
      <c r="H313" s="116"/>
      <c r="I313" s="116"/>
      <c r="L313" s="170">
        <v>44105</v>
      </c>
      <c r="M313" s="116">
        <v>2497.0500000000002</v>
      </c>
      <c r="N313" s="116">
        <v>2570</v>
      </c>
      <c r="O313" s="116">
        <v>2467.5749999999998</v>
      </c>
      <c r="P313" s="116">
        <v>2570</v>
      </c>
      <c r="Q313" s="116">
        <v>4994.1000000000004</v>
      </c>
      <c r="R313">
        <v>128003</v>
      </c>
    </row>
    <row r="314" spans="1:18" x14ac:dyDescent="0.25">
      <c r="A314" s="170">
        <v>44109</v>
      </c>
      <c r="B314" s="116">
        <v>2520</v>
      </c>
      <c r="C314" s="116">
        <v>2486.9250000000002</v>
      </c>
      <c r="D314" s="116">
        <v>2450</v>
      </c>
      <c r="E314" s="116">
        <v>2496.9</v>
      </c>
      <c r="F314" s="116">
        <v>4973.8500000000004</v>
      </c>
      <c r="G314">
        <v>3852</v>
      </c>
      <c r="H314" s="116"/>
      <c r="I314" s="116"/>
      <c r="L314" s="170">
        <v>44109</v>
      </c>
      <c r="M314" s="116">
        <v>2494.875</v>
      </c>
      <c r="N314" s="116">
        <v>2525</v>
      </c>
      <c r="O314" s="116">
        <v>2440</v>
      </c>
      <c r="P314" s="116">
        <v>2475</v>
      </c>
      <c r="Q314" s="116">
        <v>4989.75</v>
      </c>
      <c r="R314">
        <v>147153</v>
      </c>
    </row>
    <row r="315" spans="1:18" x14ac:dyDescent="0.25">
      <c r="A315" s="170">
        <v>44110</v>
      </c>
      <c r="B315" s="116">
        <v>2582.9</v>
      </c>
      <c r="C315" s="116">
        <v>2509.9250000000002</v>
      </c>
      <c r="D315" s="116">
        <v>2490.125</v>
      </c>
      <c r="E315" s="116">
        <v>2491.125</v>
      </c>
      <c r="F315" s="116">
        <v>5019.8500000000004</v>
      </c>
      <c r="G315">
        <v>2626</v>
      </c>
      <c r="H315" s="116"/>
      <c r="I315" s="116"/>
      <c r="L315" s="170">
        <v>44110</v>
      </c>
      <c r="M315" s="116">
        <v>2510.4</v>
      </c>
      <c r="N315" s="116">
        <v>2584</v>
      </c>
      <c r="O315" s="116">
        <v>2480.75</v>
      </c>
      <c r="P315" s="116">
        <v>2498.4250000000002</v>
      </c>
      <c r="Q315" s="116">
        <v>5020.8</v>
      </c>
      <c r="R315">
        <v>118164</v>
      </c>
    </row>
    <row r="316" spans="1:18" x14ac:dyDescent="0.25">
      <c r="A316" s="170">
        <v>44111</v>
      </c>
      <c r="B316" s="116">
        <v>2552.5</v>
      </c>
      <c r="C316" s="116">
        <v>2503.5</v>
      </c>
      <c r="D316" s="116">
        <v>2482.875</v>
      </c>
      <c r="E316" s="116">
        <v>2515.1999999999998</v>
      </c>
      <c r="F316" s="116">
        <v>5007</v>
      </c>
      <c r="G316">
        <v>1751</v>
      </c>
      <c r="H316" s="116"/>
      <c r="I316" s="116"/>
      <c r="L316" s="170">
        <v>44111</v>
      </c>
      <c r="M316" s="116">
        <v>2502.2249999999999</v>
      </c>
      <c r="N316" s="116">
        <v>2558.1750000000002</v>
      </c>
      <c r="O316" s="116">
        <v>2480</v>
      </c>
      <c r="P316" s="116">
        <v>2523.5</v>
      </c>
      <c r="Q316" s="116">
        <v>5004.45</v>
      </c>
      <c r="R316">
        <v>67053</v>
      </c>
    </row>
    <row r="317" spans="1:18" x14ac:dyDescent="0.25">
      <c r="A317" s="170">
        <v>44112</v>
      </c>
      <c r="B317" s="116">
        <v>2674.7249999999999</v>
      </c>
      <c r="C317" s="116">
        <v>2473.2750000000001</v>
      </c>
      <c r="D317" s="116">
        <v>2459.8000000000002</v>
      </c>
      <c r="E317" s="116">
        <v>2524.5</v>
      </c>
      <c r="F317" s="116">
        <v>4946.55</v>
      </c>
      <c r="G317">
        <v>22772</v>
      </c>
      <c r="H317" s="116"/>
      <c r="I317" s="116"/>
      <c r="L317" s="170">
        <v>44112</v>
      </c>
      <c r="M317" s="116">
        <v>2472.2249999999999</v>
      </c>
      <c r="N317" s="116">
        <v>2675</v>
      </c>
      <c r="O317" s="116">
        <v>2461.125</v>
      </c>
      <c r="P317" s="116">
        <v>2535</v>
      </c>
      <c r="Q317" s="116">
        <v>4944.45</v>
      </c>
      <c r="R317">
        <v>231749</v>
      </c>
    </row>
    <row r="318" spans="1:18" x14ac:dyDescent="0.25">
      <c r="A318" s="170">
        <v>44113</v>
      </c>
      <c r="B318" s="116">
        <v>2520.6999999999998</v>
      </c>
      <c r="C318" s="116">
        <v>2500.25</v>
      </c>
      <c r="D318" s="116">
        <v>2390.4499999999998</v>
      </c>
      <c r="E318" s="116">
        <v>2489</v>
      </c>
      <c r="F318" s="116">
        <v>5000.5</v>
      </c>
      <c r="G318">
        <v>10427</v>
      </c>
      <c r="H318" s="116"/>
      <c r="I318" s="116"/>
      <c r="L318" s="170">
        <v>44113</v>
      </c>
      <c r="M318" s="116">
        <v>2500.25</v>
      </c>
      <c r="N318" s="116">
        <v>2524</v>
      </c>
      <c r="O318" s="116">
        <v>2390</v>
      </c>
      <c r="P318" s="116">
        <v>2492.0250000000001</v>
      </c>
      <c r="Q318" s="116">
        <v>5000.5</v>
      </c>
      <c r="R318">
        <v>113699</v>
      </c>
    </row>
    <row r="319" spans="1:18" x14ac:dyDescent="0.25">
      <c r="A319" s="170">
        <v>44116</v>
      </c>
      <c r="B319" s="116">
        <v>2547.5</v>
      </c>
      <c r="C319" s="116">
        <v>2501.35</v>
      </c>
      <c r="D319" s="116">
        <v>2431.25</v>
      </c>
      <c r="E319" s="116">
        <v>2500.5250000000001</v>
      </c>
      <c r="F319" s="116">
        <v>5002.7</v>
      </c>
      <c r="G319">
        <v>7165</v>
      </c>
      <c r="H319" s="116"/>
      <c r="I319" s="116"/>
      <c r="L319" s="170">
        <v>44116</v>
      </c>
      <c r="M319" s="116">
        <v>2502.5250000000001</v>
      </c>
      <c r="N319" s="116">
        <v>2520</v>
      </c>
      <c r="O319" s="116">
        <v>2471.7249999999999</v>
      </c>
      <c r="P319" s="116">
        <v>2520</v>
      </c>
      <c r="Q319" s="116">
        <v>5005.05</v>
      </c>
      <c r="R319">
        <v>54727</v>
      </c>
    </row>
    <row r="320" spans="1:18" x14ac:dyDescent="0.25">
      <c r="A320" s="170">
        <v>44117</v>
      </c>
      <c r="B320" s="116">
        <v>2545.4250000000002</v>
      </c>
      <c r="C320" s="116">
        <v>2497.875</v>
      </c>
      <c r="D320" s="116">
        <v>2484</v>
      </c>
      <c r="E320" s="116">
        <v>2498.2249999999999</v>
      </c>
      <c r="F320" s="116">
        <v>4995.75</v>
      </c>
      <c r="G320">
        <v>1151</v>
      </c>
      <c r="H320" s="116"/>
      <c r="I320" s="116"/>
      <c r="L320" s="170">
        <v>44117</v>
      </c>
      <c r="M320" s="116">
        <v>2499.1750000000002</v>
      </c>
      <c r="N320" s="116">
        <v>2544</v>
      </c>
      <c r="O320" s="116">
        <v>2490</v>
      </c>
      <c r="P320" s="116">
        <v>2500.5500000000002</v>
      </c>
      <c r="Q320" s="116">
        <v>4998.3500000000004</v>
      </c>
      <c r="R320">
        <v>59102</v>
      </c>
    </row>
    <row r="321" spans="1:18" x14ac:dyDescent="0.25">
      <c r="A321" s="170">
        <v>44118</v>
      </c>
      <c r="B321" s="116">
        <v>2515</v>
      </c>
      <c r="C321" s="116">
        <v>2499.1750000000002</v>
      </c>
      <c r="D321" s="116">
        <v>2473</v>
      </c>
      <c r="E321" s="116">
        <v>2515</v>
      </c>
      <c r="F321" s="116">
        <v>4998.3500000000004</v>
      </c>
      <c r="G321">
        <v>681</v>
      </c>
      <c r="H321" s="116"/>
      <c r="I321" s="116"/>
      <c r="L321" s="170">
        <v>44118</v>
      </c>
      <c r="M321" s="116">
        <v>2499.25</v>
      </c>
      <c r="N321" s="116">
        <v>2514.875</v>
      </c>
      <c r="O321" s="116">
        <v>2471.4499999999998</v>
      </c>
      <c r="P321" s="116">
        <v>2500</v>
      </c>
      <c r="Q321" s="116">
        <v>4998.5</v>
      </c>
      <c r="R321">
        <v>51712</v>
      </c>
    </row>
    <row r="322" spans="1:18" x14ac:dyDescent="0.25">
      <c r="A322" s="170">
        <v>44119</v>
      </c>
      <c r="B322" s="116">
        <v>2575.7750000000001</v>
      </c>
      <c r="C322" s="116">
        <v>2495.1999999999998</v>
      </c>
      <c r="D322" s="116">
        <v>2445.0500000000002</v>
      </c>
      <c r="E322" s="116">
        <v>2503.5</v>
      </c>
      <c r="F322" s="116">
        <v>4990.3999999999996</v>
      </c>
      <c r="G322">
        <v>9028</v>
      </c>
      <c r="H322" s="116"/>
      <c r="I322" s="116"/>
      <c r="L322" s="170">
        <v>44119</v>
      </c>
      <c r="M322" s="116">
        <v>2495.625</v>
      </c>
      <c r="N322" s="116">
        <v>2575</v>
      </c>
      <c r="O322" s="116">
        <v>2440.5500000000002</v>
      </c>
      <c r="P322" s="116">
        <v>2500</v>
      </c>
      <c r="Q322" s="116">
        <v>4991.25</v>
      </c>
      <c r="R322">
        <v>184584</v>
      </c>
    </row>
    <row r="323" spans="1:18" x14ac:dyDescent="0.25">
      <c r="A323" s="170">
        <v>44120</v>
      </c>
      <c r="B323" s="116">
        <v>2546</v>
      </c>
      <c r="C323" s="116">
        <v>2508.9250000000002</v>
      </c>
      <c r="D323" s="116">
        <v>2472.8000000000002</v>
      </c>
      <c r="E323" s="116">
        <v>2495</v>
      </c>
      <c r="F323" s="116">
        <v>5017.8500000000004</v>
      </c>
      <c r="G323">
        <v>2165</v>
      </c>
      <c r="H323" s="116"/>
      <c r="I323" s="116"/>
      <c r="L323" s="170">
        <v>44120</v>
      </c>
      <c r="M323" s="116">
        <v>2501.0749999999998</v>
      </c>
      <c r="N323" s="116">
        <v>2507.5</v>
      </c>
      <c r="O323" s="116">
        <v>2462.5250000000001</v>
      </c>
      <c r="P323" s="116">
        <v>2480</v>
      </c>
      <c r="Q323" s="116">
        <v>5002.1499999999996</v>
      </c>
      <c r="R323">
        <v>46004</v>
      </c>
    </row>
    <row r="324" spans="1:18" x14ac:dyDescent="0.25">
      <c r="A324" s="170">
        <v>44123</v>
      </c>
      <c r="B324" s="116">
        <v>2524.7249999999999</v>
      </c>
      <c r="C324" s="116">
        <v>2422.75</v>
      </c>
      <c r="D324" s="116">
        <v>2300.4749999999999</v>
      </c>
      <c r="E324" s="116">
        <v>2524.7249999999999</v>
      </c>
      <c r="F324" s="116">
        <v>4845.5</v>
      </c>
      <c r="G324">
        <v>11160</v>
      </c>
      <c r="H324" s="116"/>
      <c r="I324" s="116"/>
      <c r="L324" s="170">
        <v>44123</v>
      </c>
      <c r="M324" s="116">
        <v>2424.6750000000002</v>
      </c>
      <c r="N324" s="116">
        <v>2525</v>
      </c>
      <c r="O324" s="116">
        <v>2302.9</v>
      </c>
      <c r="P324" s="116">
        <v>2525</v>
      </c>
      <c r="Q324" s="116">
        <v>4849.3500000000004</v>
      </c>
      <c r="R324">
        <v>126266</v>
      </c>
    </row>
    <row r="325" spans="1:18" x14ac:dyDescent="0.25">
      <c r="A325" s="170">
        <v>44124</v>
      </c>
      <c r="B325" s="116">
        <v>2476.9749999999999</v>
      </c>
      <c r="C325" s="116">
        <v>2443.75</v>
      </c>
      <c r="D325" s="116">
        <v>2422.75</v>
      </c>
      <c r="E325" s="116">
        <v>2422.75</v>
      </c>
      <c r="F325" s="116">
        <v>4887.5</v>
      </c>
      <c r="G325">
        <v>804</v>
      </c>
      <c r="H325" s="116"/>
      <c r="I325" s="116"/>
      <c r="L325" s="170">
        <v>44124</v>
      </c>
      <c r="M325" s="116">
        <v>2444.4</v>
      </c>
      <c r="N325" s="116">
        <v>2475</v>
      </c>
      <c r="O325" s="116">
        <v>2404.6750000000002</v>
      </c>
      <c r="P325" s="116">
        <v>2424.8000000000002</v>
      </c>
      <c r="Q325" s="116">
        <v>4888.8</v>
      </c>
      <c r="R325">
        <v>29262</v>
      </c>
    </row>
    <row r="326" spans="1:18" x14ac:dyDescent="0.25">
      <c r="A326" s="170">
        <v>44125</v>
      </c>
      <c r="B326" s="116">
        <v>2489.9749999999999</v>
      </c>
      <c r="C326" s="116">
        <v>2473.3249999999998</v>
      </c>
      <c r="D326" s="116">
        <v>2445</v>
      </c>
      <c r="E326" s="116">
        <v>2450</v>
      </c>
      <c r="F326" s="116">
        <v>4946.6499999999996</v>
      </c>
      <c r="G326">
        <v>901</v>
      </c>
      <c r="H326" s="116"/>
      <c r="I326" s="116"/>
      <c r="L326" s="170">
        <v>44125</v>
      </c>
      <c r="M326" s="116">
        <v>2473.9749999999999</v>
      </c>
      <c r="N326" s="116">
        <v>2494.9749999999999</v>
      </c>
      <c r="O326" s="116">
        <v>2444.5</v>
      </c>
      <c r="P326" s="116">
        <v>2450</v>
      </c>
      <c r="Q326" s="116">
        <v>4947.95</v>
      </c>
      <c r="R326">
        <v>55387</v>
      </c>
    </row>
    <row r="327" spans="1:18" x14ac:dyDescent="0.25">
      <c r="A327" s="170">
        <v>44126</v>
      </c>
      <c r="B327" s="116">
        <v>2486</v>
      </c>
      <c r="C327" s="116">
        <v>2439.9250000000002</v>
      </c>
      <c r="D327" s="116">
        <v>2402</v>
      </c>
      <c r="E327" s="116">
        <v>2484.3249999999998</v>
      </c>
      <c r="F327" s="116">
        <v>4879.8500000000004</v>
      </c>
      <c r="G327">
        <v>2600</v>
      </c>
      <c r="H327" s="116"/>
      <c r="I327" s="116"/>
      <c r="L327" s="170">
        <v>44126</v>
      </c>
      <c r="M327" s="116">
        <v>2438.5500000000002</v>
      </c>
      <c r="N327" s="116">
        <v>2499.5</v>
      </c>
      <c r="O327" s="116">
        <v>2405</v>
      </c>
      <c r="P327" s="116">
        <v>2499.5</v>
      </c>
      <c r="Q327" s="116">
        <v>4877.1000000000004</v>
      </c>
      <c r="R327">
        <v>42102</v>
      </c>
    </row>
    <row r="328" spans="1:18" x14ac:dyDescent="0.25">
      <c r="A328" s="170">
        <v>44127</v>
      </c>
      <c r="B328" s="116">
        <v>2525</v>
      </c>
      <c r="C328" s="116">
        <v>2497.9749999999999</v>
      </c>
      <c r="D328" s="116">
        <v>2405</v>
      </c>
      <c r="E328" s="116">
        <v>2405</v>
      </c>
      <c r="F328" s="116">
        <v>4995.95</v>
      </c>
      <c r="G328">
        <v>8548</v>
      </c>
      <c r="H328" s="116"/>
      <c r="I328" s="116"/>
      <c r="L328" s="170">
        <v>44127</v>
      </c>
      <c r="M328" s="116">
        <v>2499.7249999999999</v>
      </c>
      <c r="N328" s="116">
        <v>2525.4</v>
      </c>
      <c r="O328" s="116">
        <v>2443.65</v>
      </c>
      <c r="P328" s="116">
        <v>2451</v>
      </c>
      <c r="Q328" s="116">
        <v>4999.45</v>
      </c>
      <c r="R328">
        <v>53034</v>
      </c>
    </row>
    <row r="329" spans="1:18" x14ac:dyDescent="0.25">
      <c r="A329" s="170">
        <v>44130</v>
      </c>
      <c r="B329" s="116">
        <v>2537</v>
      </c>
      <c r="C329" s="116">
        <v>2498.0749999999998</v>
      </c>
      <c r="D329" s="116">
        <v>2478.625</v>
      </c>
      <c r="E329" s="116">
        <v>2537</v>
      </c>
      <c r="F329" s="116">
        <v>4996.1499999999996</v>
      </c>
      <c r="G329">
        <v>1424</v>
      </c>
      <c r="H329" s="116"/>
      <c r="I329" s="116"/>
      <c r="L329" s="170">
        <v>44130</v>
      </c>
      <c r="M329" s="116">
        <v>2499.5250000000001</v>
      </c>
      <c r="N329" s="116">
        <v>2522.2249999999999</v>
      </c>
      <c r="O329" s="116">
        <v>2481</v>
      </c>
      <c r="P329" s="116">
        <v>2513.0250000000001</v>
      </c>
      <c r="Q329" s="116">
        <v>4999.05</v>
      </c>
      <c r="R329">
        <v>30749</v>
      </c>
    </row>
    <row r="330" spans="1:18" x14ac:dyDescent="0.25">
      <c r="A330" s="170">
        <v>44131</v>
      </c>
      <c r="B330" s="116">
        <v>2512.5</v>
      </c>
      <c r="C330" s="116">
        <v>2498.8000000000002</v>
      </c>
      <c r="D330" s="116">
        <v>2474.9749999999999</v>
      </c>
      <c r="E330" s="116">
        <v>2485.5</v>
      </c>
      <c r="F330" s="116">
        <v>4997.6000000000004</v>
      </c>
      <c r="G330">
        <v>1366</v>
      </c>
      <c r="H330" s="116"/>
      <c r="I330" s="116"/>
      <c r="L330" s="170">
        <v>44131</v>
      </c>
      <c r="M330" s="116">
        <v>2499.7750000000001</v>
      </c>
      <c r="N330" s="116">
        <v>2520.0250000000001</v>
      </c>
      <c r="O330" s="116">
        <v>2462.5</v>
      </c>
      <c r="P330" s="116">
        <v>2462.5</v>
      </c>
      <c r="Q330" s="116">
        <v>4999.55</v>
      </c>
      <c r="R330">
        <v>35425</v>
      </c>
    </row>
    <row r="331" spans="1:18" x14ac:dyDescent="0.25">
      <c r="A331" s="170">
        <v>44132</v>
      </c>
      <c r="B331" s="116">
        <v>2512</v>
      </c>
      <c r="C331" s="116">
        <v>2458.4749999999999</v>
      </c>
      <c r="D331" s="116">
        <v>2428.2750000000001</v>
      </c>
      <c r="E331" s="116">
        <v>2511.6750000000002</v>
      </c>
      <c r="F331" s="116">
        <v>4916.95</v>
      </c>
      <c r="G331">
        <v>1011</v>
      </c>
      <c r="H331" s="116"/>
      <c r="I331" s="116"/>
      <c r="L331" s="170">
        <v>44132</v>
      </c>
      <c r="M331" s="116">
        <v>2473.1</v>
      </c>
      <c r="N331" s="116">
        <v>2519.9250000000002</v>
      </c>
      <c r="O331" s="116">
        <v>2440.625</v>
      </c>
      <c r="P331" s="116">
        <v>2512.5</v>
      </c>
      <c r="Q331" s="116">
        <v>4946.2</v>
      </c>
      <c r="R331">
        <v>35769</v>
      </c>
    </row>
    <row r="332" spans="1:18" x14ac:dyDescent="0.25">
      <c r="A332" s="170">
        <v>44133</v>
      </c>
      <c r="B332" s="116">
        <v>2501.9</v>
      </c>
      <c r="C332" s="116">
        <v>2482.625</v>
      </c>
      <c r="D332" s="116">
        <v>2425</v>
      </c>
      <c r="E332" s="116">
        <v>2426.5</v>
      </c>
      <c r="F332" s="116">
        <v>4965.25</v>
      </c>
      <c r="G332">
        <v>1708</v>
      </c>
      <c r="H332" s="116"/>
      <c r="I332" s="116"/>
      <c r="L332" s="170">
        <v>44133</v>
      </c>
      <c r="M332" s="116">
        <v>2480.8000000000002</v>
      </c>
      <c r="N332" s="116">
        <v>2500</v>
      </c>
      <c r="O332" s="116">
        <v>2412.5</v>
      </c>
      <c r="P332" s="116">
        <v>2412.5</v>
      </c>
      <c r="Q332" s="116">
        <v>4961.6000000000004</v>
      </c>
      <c r="R332">
        <v>34832</v>
      </c>
    </row>
    <row r="333" spans="1:18" x14ac:dyDescent="0.25">
      <c r="A333" s="170">
        <v>44134</v>
      </c>
      <c r="B333" s="116">
        <v>2500</v>
      </c>
      <c r="C333" s="116">
        <v>2424.125</v>
      </c>
      <c r="D333" s="116">
        <v>2412.75</v>
      </c>
      <c r="E333" s="116">
        <v>2500</v>
      </c>
      <c r="F333" s="116">
        <v>4848.25</v>
      </c>
      <c r="G333">
        <v>3382</v>
      </c>
      <c r="H333" s="116"/>
      <c r="I333" s="116"/>
      <c r="L333" s="170">
        <v>44134</v>
      </c>
      <c r="M333" s="116">
        <v>2423</v>
      </c>
      <c r="N333" s="116">
        <v>2499.4749999999999</v>
      </c>
      <c r="O333" s="116">
        <v>2412.5</v>
      </c>
      <c r="P333" s="116">
        <v>2499.4749999999999</v>
      </c>
      <c r="Q333" s="116">
        <v>4846</v>
      </c>
      <c r="R333">
        <v>27659</v>
      </c>
    </row>
    <row r="334" spans="1:18" x14ac:dyDescent="0.25">
      <c r="A334" s="170">
        <v>44137</v>
      </c>
      <c r="B334" s="116">
        <v>2475</v>
      </c>
      <c r="C334" s="116">
        <v>2357.875</v>
      </c>
      <c r="D334" s="116">
        <v>2333.4749999999999</v>
      </c>
      <c r="E334" s="116">
        <v>2423.1750000000002</v>
      </c>
      <c r="F334" s="116">
        <v>4715.75</v>
      </c>
      <c r="G334">
        <v>5440</v>
      </c>
      <c r="H334" s="116"/>
      <c r="I334" s="116"/>
      <c r="L334" s="170">
        <v>44137</v>
      </c>
      <c r="M334" s="116">
        <v>2362.0500000000002</v>
      </c>
      <c r="N334" s="116">
        <v>2477.5</v>
      </c>
      <c r="O334" s="116">
        <v>2335</v>
      </c>
      <c r="P334" s="116">
        <v>2423</v>
      </c>
      <c r="Q334" s="116">
        <v>4724.1000000000004</v>
      </c>
      <c r="R334">
        <v>45663</v>
      </c>
    </row>
    <row r="335" spans="1:18" x14ac:dyDescent="0.25">
      <c r="A335" s="170">
        <v>44138</v>
      </c>
      <c r="B335" s="116">
        <v>2436.875</v>
      </c>
      <c r="C335" s="116">
        <v>2362.5250000000001</v>
      </c>
      <c r="D335" s="116">
        <v>2337.5</v>
      </c>
      <c r="E335" s="116">
        <v>2400</v>
      </c>
      <c r="F335" s="116">
        <v>4725.05</v>
      </c>
      <c r="G335">
        <v>1203</v>
      </c>
      <c r="H335" s="116"/>
      <c r="I335" s="116"/>
      <c r="L335" s="170">
        <v>44138</v>
      </c>
      <c r="M335" s="116">
        <v>2365.9</v>
      </c>
      <c r="N335" s="116">
        <v>2433.0500000000002</v>
      </c>
      <c r="O335" s="116">
        <v>2345</v>
      </c>
      <c r="P335" s="116">
        <v>2384.0250000000001</v>
      </c>
      <c r="Q335" s="116">
        <v>4731.8</v>
      </c>
      <c r="R335">
        <v>21694</v>
      </c>
    </row>
    <row r="336" spans="1:18" x14ac:dyDescent="0.25">
      <c r="A336" s="170">
        <v>44139</v>
      </c>
      <c r="B336" s="116">
        <v>2433</v>
      </c>
      <c r="C336" s="116">
        <v>2423.875</v>
      </c>
      <c r="D336" s="116">
        <v>2391.85</v>
      </c>
      <c r="E336" s="116">
        <v>2394.9749999999999</v>
      </c>
      <c r="F336" s="116">
        <v>4847.75</v>
      </c>
      <c r="G336">
        <v>938</v>
      </c>
      <c r="H336" s="116"/>
      <c r="I336" s="116"/>
      <c r="L336" s="170">
        <v>44139</v>
      </c>
      <c r="M336" s="116">
        <v>2426.2249999999999</v>
      </c>
      <c r="N336" s="116">
        <v>2434.4</v>
      </c>
      <c r="O336" s="116">
        <v>2365</v>
      </c>
      <c r="P336" s="116">
        <v>2400</v>
      </c>
      <c r="Q336" s="116">
        <v>4852.45</v>
      </c>
      <c r="R336">
        <v>24946</v>
      </c>
    </row>
    <row r="337" spans="1:18" x14ac:dyDescent="0.25">
      <c r="A337" s="170">
        <v>44140</v>
      </c>
      <c r="B337" s="116">
        <v>2487.5</v>
      </c>
      <c r="C337" s="116">
        <v>2445.5749999999998</v>
      </c>
      <c r="D337" s="116">
        <v>2400</v>
      </c>
      <c r="E337" s="116">
        <v>2451.35</v>
      </c>
      <c r="F337" s="116">
        <v>4891.1499999999996</v>
      </c>
      <c r="G337">
        <v>3891</v>
      </c>
      <c r="H337" s="116"/>
      <c r="I337" s="116"/>
      <c r="L337" s="170">
        <v>44140</v>
      </c>
      <c r="M337" s="116">
        <v>2410.35</v>
      </c>
      <c r="N337" s="116">
        <v>2460</v>
      </c>
      <c r="O337" s="116">
        <v>2402.5</v>
      </c>
      <c r="P337" s="116">
        <v>2460</v>
      </c>
      <c r="Q337" s="116">
        <v>4820.7</v>
      </c>
      <c r="R337">
        <v>36754</v>
      </c>
    </row>
    <row r="338" spans="1:18" x14ac:dyDescent="0.25">
      <c r="A338" s="170">
        <v>44141</v>
      </c>
      <c r="B338" s="116">
        <v>2511.875</v>
      </c>
      <c r="C338" s="116">
        <v>2481.1999999999998</v>
      </c>
      <c r="D338" s="116">
        <v>2357.75</v>
      </c>
      <c r="E338" s="116">
        <v>2427.5</v>
      </c>
      <c r="F338" s="116">
        <v>4962.3999999999996</v>
      </c>
      <c r="G338">
        <v>8790</v>
      </c>
      <c r="H338" s="116"/>
      <c r="I338" s="116"/>
      <c r="L338" s="170">
        <v>44141</v>
      </c>
      <c r="M338" s="116">
        <v>2475.875</v>
      </c>
      <c r="N338" s="116">
        <v>2512.2249999999999</v>
      </c>
      <c r="O338" s="116">
        <v>2416.4749999999999</v>
      </c>
      <c r="P338" s="116">
        <v>2442.5</v>
      </c>
      <c r="Q338" s="116">
        <v>4951.75</v>
      </c>
      <c r="R338">
        <v>96273</v>
      </c>
    </row>
    <row r="339" spans="1:18" x14ac:dyDescent="0.25">
      <c r="A339" s="170">
        <v>44144</v>
      </c>
      <c r="B339" s="116">
        <v>2539.5</v>
      </c>
      <c r="C339" s="116">
        <v>2508.875</v>
      </c>
      <c r="D339" s="116">
        <v>2479.0500000000002</v>
      </c>
      <c r="E339" s="116">
        <v>2519</v>
      </c>
      <c r="F339" s="116">
        <v>5017.75</v>
      </c>
      <c r="G339">
        <v>3752</v>
      </c>
      <c r="H339" s="116"/>
      <c r="I339" s="116"/>
      <c r="L339" s="170">
        <v>44144</v>
      </c>
      <c r="M339" s="116">
        <v>2509.5250000000001</v>
      </c>
      <c r="N339" s="116">
        <v>2525</v>
      </c>
      <c r="O339" s="116">
        <v>2475</v>
      </c>
      <c r="P339" s="116">
        <v>2500.5</v>
      </c>
      <c r="Q339" s="116">
        <v>5019.05</v>
      </c>
      <c r="R339">
        <v>45473</v>
      </c>
    </row>
    <row r="340" spans="1:18" x14ac:dyDescent="0.25">
      <c r="A340" s="170">
        <v>44145</v>
      </c>
      <c r="B340" s="116">
        <v>2575</v>
      </c>
      <c r="C340" s="116">
        <v>2482.4499999999998</v>
      </c>
      <c r="D340" s="116">
        <v>2273.35</v>
      </c>
      <c r="E340" s="116">
        <v>2575</v>
      </c>
      <c r="F340" s="116">
        <v>4964.8999999999996</v>
      </c>
      <c r="G340">
        <v>4937</v>
      </c>
      <c r="H340" s="116"/>
      <c r="I340" s="116"/>
      <c r="L340" s="170">
        <v>44145</v>
      </c>
      <c r="M340" s="116">
        <v>2486.0749999999998</v>
      </c>
      <c r="N340" s="116">
        <v>2525</v>
      </c>
      <c r="O340" s="116">
        <v>2257.5</v>
      </c>
      <c r="P340" s="116">
        <v>2525</v>
      </c>
      <c r="Q340" s="116">
        <v>4972.1499999999996</v>
      </c>
      <c r="R340">
        <v>92809</v>
      </c>
    </row>
    <row r="341" spans="1:18" x14ac:dyDescent="0.25">
      <c r="A341" s="170">
        <v>44146</v>
      </c>
      <c r="B341" s="116">
        <v>2520.125</v>
      </c>
      <c r="C341" s="116">
        <v>2490</v>
      </c>
      <c r="D341" s="116">
        <v>2481.2750000000001</v>
      </c>
      <c r="E341" s="116">
        <v>2520.125</v>
      </c>
      <c r="F341" s="116">
        <v>4980</v>
      </c>
      <c r="G341">
        <v>651</v>
      </c>
      <c r="H341" s="116"/>
      <c r="I341" s="116"/>
      <c r="L341" s="170">
        <v>44146</v>
      </c>
      <c r="M341" s="116">
        <v>2492.9749999999999</v>
      </c>
      <c r="N341" s="116">
        <v>2505</v>
      </c>
      <c r="O341" s="116">
        <v>2475.5</v>
      </c>
      <c r="P341" s="116">
        <v>2500</v>
      </c>
      <c r="Q341" s="116">
        <v>4985.95</v>
      </c>
      <c r="R341">
        <v>77172</v>
      </c>
    </row>
    <row r="342" spans="1:18" x14ac:dyDescent="0.25">
      <c r="A342" s="170">
        <v>44147</v>
      </c>
      <c r="B342" s="116">
        <v>2500</v>
      </c>
      <c r="C342" s="116">
        <v>2481.6999999999998</v>
      </c>
      <c r="D342" s="116">
        <v>2450</v>
      </c>
      <c r="E342" s="116">
        <v>2497.5</v>
      </c>
      <c r="F342" s="116">
        <v>4963.3999999999996</v>
      </c>
      <c r="G342">
        <v>889</v>
      </c>
      <c r="H342" s="116"/>
      <c r="I342" s="116"/>
      <c r="L342" s="170">
        <v>44147</v>
      </c>
      <c r="M342" s="116">
        <v>2479.3249999999998</v>
      </c>
      <c r="N342" s="116">
        <v>2499.4749999999999</v>
      </c>
      <c r="O342" s="116">
        <v>2470</v>
      </c>
      <c r="P342" s="116">
        <v>2492.5</v>
      </c>
      <c r="Q342" s="116">
        <v>4958.6499999999996</v>
      </c>
      <c r="R342">
        <v>21903</v>
      </c>
    </row>
    <row r="343" spans="1:18" x14ac:dyDescent="0.25">
      <c r="A343" s="170">
        <v>44148</v>
      </c>
      <c r="B343" s="116">
        <v>2510.0749999999998</v>
      </c>
      <c r="C343" s="116">
        <v>2493.9</v>
      </c>
      <c r="D343" s="116">
        <v>2460</v>
      </c>
      <c r="E343" s="116">
        <v>2493.2249999999999</v>
      </c>
      <c r="F343" s="116">
        <v>4987.8</v>
      </c>
      <c r="G343">
        <v>3921</v>
      </c>
      <c r="H343" s="116"/>
      <c r="I343" s="116"/>
      <c r="L343" s="170">
        <v>44148</v>
      </c>
      <c r="M343" s="116">
        <v>2497.35</v>
      </c>
      <c r="N343" s="116">
        <v>2512.5</v>
      </c>
      <c r="O343" s="116">
        <v>2450.4</v>
      </c>
      <c r="P343" s="116">
        <v>2495</v>
      </c>
      <c r="Q343" s="116">
        <v>4994.7</v>
      </c>
      <c r="R343">
        <v>42907</v>
      </c>
    </row>
    <row r="344" spans="1:18" x14ac:dyDescent="0.25">
      <c r="A344" s="170">
        <v>44149</v>
      </c>
      <c r="B344" s="116">
        <v>2524.9</v>
      </c>
      <c r="C344" s="116">
        <v>2487.375</v>
      </c>
      <c r="D344" s="116">
        <v>2472.9499999999998</v>
      </c>
      <c r="E344" s="116">
        <v>2524.4</v>
      </c>
      <c r="F344" s="116">
        <v>4974.75</v>
      </c>
      <c r="G344">
        <v>498</v>
      </c>
      <c r="H344" s="116"/>
      <c r="I344" s="116"/>
      <c r="L344" s="170">
        <v>44149</v>
      </c>
      <c r="M344" s="116">
        <v>2489.875</v>
      </c>
      <c r="N344" s="116">
        <v>2510</v>
      </c>
      <c r="O344" s="116">
        <v>2485</v>
      </c>
      <c r="P344" s="116">
        <v>2510</v>
      </c>
      <c r="Q344" s="116">
        <v>4979.75</v>
      </c>
      <c r="R344">
        <v>5255</v>
      </c>
    </row>
    <row r="345" spans="1:18" x14ac:dyDescent="0.25">
      <c r="A345" s="170">
        <v>44152</v>
      </c>
      <c r="B345" s="116">
        <v>2488.5</v>
      </c>
      <c r="C345" s="116">
        <v>2428.8000000000002</v>
      </c>
      <c r="D345" s="116">
        <v>2381</v>
      </c>
      <c r="E345" s="116">
        <v>2482.5</v>
      </c>
      <c r="F345" s="116">
        <v>4857.6000000000004</v>
      </c>
      <c r="G345">
        <v>3273</v>
      </c>
      <c r="H345" s="116"/>
      <c r="I345" s="116"/>
      <c r="L345" s="170">
        <v>44152</v>
      </c>
      <c r="M345" s="116">
        <v>2429.75</v>
      </c>
      <c r="N345" s="116">
        <v>2494.15</v>
      </c>
      <c r="O345" s="116">
        <v>2365</v>
      </c>
      <c r="P345" s="116">
        <v>2489.875</v>
      </c>
      <c r="Q345" s="116">
        <v>4859.5</v>
      </c>
      <c r="R345">
        <v>50675</v>
      </c>
    </row>
    <row r="346" spans="1:18" x14ac:dyDescent="0.25">
      <c r="A346" s="170">
        <v>44153</v>
      </c>
      <c r="B346" s="116">
        <v>2475</v>
      </c>
      <c r="C346" s="116">
        <v>2392.2750000000001</v>
      </c>
      <c r="D346" s="116">
        <v>2370</v>
      </c>
      <c r="E346" s="116">
        <v>2475</v>
      </c>
      <c r="F346" s="116">
        <v>4784.55</v>
      </c>
      <c r="G346">
        <v>4834</v>
      </c>
      <c r="H346" s="116"/>
      <c r="I346" s="116"/>
      <c r="L346" s="170">
        <v>44153</v>
      </c>
      <c r="M346" s="116">
        <v>2392.6</v>
      </c>
      <c r="N346" s="116">
        <v>2455</v>
      </c>
      <c r="O346" s="116">
        <v>2376</v>
      </c>
      <c r="P346" s="116">
        <v>2455</v>
      </c>
      <c r="Q346" s="116">
        <v>4785.2</v>
      </c>
      <c r="R346">
        <v>74852</v>
      </c>
    </row>
    <row r="347" spans="1:18" x14ac:dyDescent="0.25">
      <c r="A347" s="170">
        <v>44154</v>
      </c>
      <c r="B347" s="116">
        <v>2437.5</v>
      </c>
      <c r="C347" s="116">
        <v>2406.9749999999999</v>
      </c>
      <c r="D347" s="116">
        <v>2392.5250000000001</v>
      </c>
      <c r="E347" s="116">
        <v>2409.3249999999998</v>
      </c>
      <c r="F347" s="116">
        <v>4813.95</v>
      </c>
      <c r="G347">
        <v>1489</v>
      </c>
      <c r="H347" s="116"/>
      <c r="I347" s="116"/>
      <c r="L347" s="170">
        <v>44154</v>
      </c>
      <c r="M347" s="116">
        <v>2406.9250000000002</v>
      </c>
      <c r="N347" s="116">
        <v>2437</v>
      </c>
      <c r="O347" s="116">
        <v>2390</v>
      </c>
      <c r="P347" s="116">
        <v>2397.5</v>
      </c>
      <c r="Q347" s="116">
        <v>4813.8500000000004</v>
      </c>
      <c r="R347">
        <v>58281</v>
      </c>
    </row>
    <row r="348" spans="1:18" x14ac:dyDescent="0.25">
      <c r="A348" s="170">
        <v>44155</v>
      </c>
      <c r="B348" s="116">
        <v>2534.5</v>
      </c>
      <c r="C348" s="116">
        <v>2498.5500000000002</v>
      </c>
      <c r="D348" s="116">
        <v>2405</v>
      </c>
      <c r="E348" s="116">
        <v>2428.7249999999999</v>
      </c>
      <c r="F348" s="116">
        <v>4997.1000000000004</v>
      </c>
      <c r="G348">
        <v>10720</v>
      </c>
      <c r="H348" s="116"/>
      <c r="I348" s="116"/>
      <c r="L348" s="170">
        <v>44155</v>
      </c>
      <c r="M348" s="116">
        <v>2497.5749999999998</v>
      </c>
      <c r="N348" s="116">
        <v>2548.85</v>
      </c>
      <c r="O348" s="116">
        <v>2412.1750000000002</v>
      </c>
      <c r="P348" s="116">
        <v>2425</v>
      </c>
      <c r="Q348" s="116">
        <v>4995.1499999999996</v>
      </c>
      <c r="R348">
        <v>115261</v>
      </c>
    </row>
    <row r="349" spans="1:18" x14ac:dyDescent="0.25">
      <c r="A349" s="170">
        <v>44158</v>
      </c>
      <c r="B349" s="116">
        <v>2550</v>
      </c>
      <c r="C349" s="116">
        <v>2479.4749999999999</v>
      </c>
      <c r="D349" s="116">
        <v>2450.5250000000001</v>
      </c>
      <c r="E349" s="116">
        <v>2498.5500000000002</v>
      </c>
      <c r="F349" s="116">
        <v>4958.95</v>
      </c>
      <c r="G349">
        <v>4423</v>
      </c>
      <c r="H349" s="116"/>
      <c r="I349" s="116"/>
      <c r="L349" s="170">
        <v>44158</v>
      </c>
      <c r="M349" s="116">
        <v>2479.0500000000002</v>
      </c>
      <c r="N349" s="116">
        <v>2558.5</v>
      </c>
      <c r="O349" s="116">
        <v>2452.5</v>
      </c>
      <c r="P349" s="116">
        <v>2512.5</v>
      </c>
      <c r="Q349" s="116">
        <v>4958.1000000000004</v>
      </c>
      <c r="R349">
        <v>53528</v>
      </c>
    </row>
    <row r="350" spans="1:18" x14ac:dyDescent="0.25">
      <c r="A350" s="170">
        <v>44159</v>
      </c>
      <c r="B350" s="116">
        <v>2512.5</v>
      </c>
      <c r="C350" s="116">
        <v>2408.2249999999999</v>
      </c>
      <c r="D350" s="116">
        <v>2400</v>
      </c>
      <c r="E350" s="116">
        <v>2512.5</v>
      </c>
      <c r="F350" s="116">
        <v>4816.45</v>
      </c>
      <c r="G350">
        <v>4651</v>
      </c>
      <c r="H350" s="116"/>
      <c r="I350" s="116"/>
      <c r="L350" s="170">
        <v>44159</v>
      </c>
      <c r="M350" s="116">
        <v>2406.9499999999998</v>
      </c>
      <c r="N350" s="116">
        <v>2498.9</v>
      </c>
      <c r="O350" s="116">
        <v>2400</v>
      </c>
      <c r="P350" s="116">
        <v>2498.9</v>
      </c>
      <c r="Q350" s="116">
        <v>4813.8999999999996</v>
      </c>
      <c r="R350">
        <v>72863</v>
      </c>
    </row>
    <row r="351" spans="1:18" x14ac:dyDescent="0.25">
      <c r="A351" s="170">
        <v>44160</v>
      </c>
      <c r="B351" s="116">
        <v>2434.4499999999998</v>
      </c>
      <c r="C351" s="116">
        <v>2380.5749999999998</v>
      </c>
      <c r="D351" s="116">
        <v>2376</v>
      </c>
      <c r="E351" s="116">
        <v>2427.2249999999999</v>
      </c>
      <c r="F351" s="116">
        <v>4761.1499999999996</v>
      </c>
      <c r="G351">
        <v>4913</v>
      </c>
      <c r="H351" s="116"/>
      <c r="I351" s="116"/>
      <c r="L351" s="170">
        <v>44160</v>
      </c>
      <c r="M351" s="116">
        <v>2379.9749999999999</v>
      </c>
      <c r="N351" s="116">
        <v>2434.9250000000002</v>
      </c>
      <c r="O351" s="116">
        <v>2377.5</v>
      </c>
      <c r="P351" s="116">
        <v>2434</v>
      </c>
      <c r="Q351" s="116">
        <v>4759.95</v>
      </c>
      <c r="R351">
        <v>30707</v>
      </c>
    </row>
    <row r="352" spans="1:18" x14ac:dyDescent="0.25">
      <c r="A352" s="170">
        <v>44161</v>
      </c>
      <c r="B352" s="116">
        <v>2397.4749999999999</v>
      </c>
      <c r="C352" s="116">
        <v>2349.5250000000001</v>
      </c>
      <c r="D352" s="116">
        <v>2315</v>
      </c>
      <c r="E352" s="116">
        <v>2379</v>
      </c>
      <c r="F352" s="116">
        <v>4699.05</v>
      </c>
      <c r="G352">
        <v>6393</v>
      </c>
      <c r="H352" s="116"/>
      <c r="I352" s="116"/>
      <c r="L352" s="170">
        <v>44161</v>
      </c>
      <c r="M352" s="116">
        <v>2348.9749999999999</v>
      </c>
      <c r="N352" s="116">
        <v>2392.0749999999998</v>
      </c>
      <c r="O352" s="116">
        <v>2315.4</v>
      </c>
      <c r="P352" s="116">
        <v>2387.5</v>
      </c>
      <c r="Q352" s="116">
        <v>4697.95</v>
      </c>
      <c r="R352">
        <v>59771</v>
      </c>
    </row>
    <row r="353" spans="1:18" x14ac:dyDescent="0.25">
      <c r="A353" s="170">
        <v>44162</v>
      </c>
      <c r="B353" s="116">
        <v>2599.9499999999998</v>
      </c>
      <c r="C353" s="116">
        <v>2535.1750000000002</v>
      </c>
      <c r="D353" s="116">
        <v>2351.4250000000002</v>
      </c>
      <c r="E353" s="116">
        <v>2400</v>
      </c>
      <c r="F353" s="116">
        <v>5070.3500000000004</v>
      </c>
      <c r="G353">
        <v>27869</v>
      </c>
      <c r="H353" s="116"/>
      <c r="I353" s="116"/>
      <c r="L353" s="170">
        <v>44162</v>
      </c>
      <c r="M353" s="116">
        <v>2546.1999999999998</v>
      </c>
      <c r="N353" s="116">
        <v>2619.3000000000002</v>
      </c>
      <c r="O353" s="116">
        <v>2355.5</v>
      </c>
      <c r="P353" s="116">
        <v>2375</v>
      </c>
      <c r="Q353" s="116">
        <v>5092.3999999999996</v>
      </c>
      <c r="R353">
        <v>244598</v>
      </c>
    </row>
    <row r="354" spans="1:18" x14ac:dyDescent="0.25">
      <c r="A354" s="170">
        <v>44166</v>
      </c>
      <c r="B354" s="116">
        <v>2600</v>
      </c>
      <c r="C354" s="116">
        <v>2556.5250000000001</v>
      </c>
      <c r="D354" s="116">
        <v>2526.125</v>
      </c>
      <c r="E354" s="116">
        <v>2570</v>
      </c>
      <c r="F354" s="116">
        <v>5113.05</v>
      </c>
      <c r="G354">
        <v>3949</v>
      </c>
      <c r="H354" s="116"/>
      <c r="I354" s="116"/>
      <c r="L354" s="170">
        <v>44166</v>
      </c>
      <c r="M354" s="116">
        <v>2572.625</v>
      </c>
      <c r="N354" s="116">
        <v>2600.15</v>
      </c>
      <c r="O354" s="116">
        <v>2525</v>
      </c>
      <c r="P354" s="116">
        <v>2567.5500000000002</v>
      </c>
      <c r="Q354" s="116">
        <v>5145.25</v>
      </c>
      <c r="R354">
        <v>164082</v>
      </c>
    </row>
    <row r="355" spans="1:18" x14ac:dyDescent="0.25">
      <c r="A355" s="170">
        <v>44167</v>
      </c>
      <c r="B355" s="116">
        <v>2599</v>
      </c>
      <c r="C355" s="116">
        <v>2529.9749999999999</v>
      </c>
      <c r="D355" s="116">
        <v>2501.0500000000002</v>
      </c>
      <c r="E355" s="116">
        <v>2560</v>
      </c>
      <c r="F355" s="116">
        <v>5059.95</v>
      </c>
      <c r="G355">
        <v>2051</v>
      </c>
      <c r="H355" s="116"/>
      <c r="I355" s="116"/>
      <c r="L355" s="170">
        <v>44167</v>
      </c>
      <c r="M355" s="116">
        <v>2526.5749999999998</v>
      </c>
      <c r="N355" s="116">
        <v>2599.4749999999999</v>
      </c>
      <c r="O355" s="116">
        <v>2499.5</v>
      </c>
      <c r="P355" s="116">
        <v>2569.9499999999998</v>
      </c>
      <c r="Q355" s="116">
        <v>5053.1499999999996</v>
      </c>
      <c r="R355">
        <v>67938</v>
      </c>
    </row>
    <row r="356" spans="1:18" x14ac:dyDescent="0.25">
      <c r="A356" s="170">
        <v>44168</v>
      </c>
      <c r="B356" s="116">
        <v>2575</v>
      </c>
      <c r="C356" s="116">
        <v>2506.9</v>
      </c>
      <c r="D356" s="116">
        <v>2498.4250000000002</v>
      </c>
      <c r="E356" s="116">
        <v>2558.5</v>
      </c>
      <c r="F356" s="116">
        <v>5013.8</v>
      </c>
      <c r="G356">
        <v>3830</v>
      </c>
      <c r="H356" s="116"/>
      <c r="I356" s="116"/>
      <c r="L356" s="170">
        <v>44168</v>
      </c>
      <c r="M356" s="116">
        <v>2506.2750000000001</v>
      </c>
      <c r="N356" s="116">
        <v>2579.15</v>
      </c>
      <c r="O356" s="116">
        <v>2500.125</v>
      </c>
      <c r="P356" s="116">
        <v>2546.875</v>
      </c>
      <c r="Q356" s="116">
        <v>5012.55</v>
      </c>
      <c r="R356">
        <v>48779</v>
      </c>
    </row>
    <row r="357" spans="1:18" x14ac:dyDescent="0.25">
      <c r="A357" s="170">
        <v>44169</v>
      </c>
      <c r="B357" s="116">
        <v>2586.4749999999999</v>
      </c>
      <c r="C357" s="116">
        <v>2558.5749999999998</v>
      </c>
      <c r="D357" s="116">
        <v>2508.5250000000001</v>
      </c>
      <c r="E357" s="116">
        <v>2517.4749999999999</v>
      </c>
      <c r="F357" s="116">
        <v>5117.1499999999996</v>
      </c>
      <c r="G357">
        <v>4421</v>
      </c>
      <c r="H357" s="116"/>
      <c r="I357" s="116"/>
      <c r="L357" s="170">
        <v>44169</v>
      </c>
      <c r="M357" s="116">
        <v>2560.6</v>
      </c>
      <c r="N357" s="116">
        <v>2600</v>
      </c>
      <c r="O357" s="116">
        <v>2510.0250000000001</v>
      </c>
      <c r="P357" s="116">
        <v>2516</v>
      </c>
      <c r="Q357" s="116">
        <v>5121.2</v>
      </c>
      <c r="R357">
        <v>39053</v>
      </c>
    </row>
    <row r="358" spans="1:18" x14ac:dyDescent="0.25">
      <c r="A358" s="170">
        <v>44172</v>
      </c>
      <c r="B358" s="116">
        <v>2592.5</v>
      </c>
      <c r="C358" s="116">
        <v>2559.25</v>
      </c>
      <c r="D358" s="116">
        <v>2542.85</v>
      </c>
      <c r="E358" s="116">
        <v>2592.5</v>
      </c>
      <c r="F358" s="116">
        <v>5118.5</v>
      </c>
      <c r="G358">
        <v>774</v>
      </c>
      <c r="H358" s="116"/>
      <c r="I358" s="116"/>
      <c r="L358" s="170">
        <v>44172</v>
      </c>
      <c r="M358" s="116">
        <v>2554.4749999999999</v>
      </c>
      <c r="N358" s="116">
        <v>2582</v>
      </c>
      <c r="O358" s="116">
        <v>2541.125</v>
      </c>
      <c r="P358" s="116">
        <v>2582</v>
      </c>
      <c r="Q358" s="116">
        <v>5108.95</v>
      </c>
      <c r="R358">
        <v>41694</v>
      </c>
    </row>
    <row r="359" spans="1:18" x14ac:dyDescent="0.25">
      <c r="A359" s="170">
        <v>44173</v>
      </c>
      <c r="B359" s="116">
        <v>2666.875</v>
      </c>
      <c r="C359" s="116">
        <v>2617.85</v>
      </c>
      <c r="D359" s="116">
        <v>2525</v>
      </c>
      <c r="E359" s="116">
        <v>2530</v>
      </c>
      <c r="F359" s="116">
        <v>5235.7</v>
      </c>
      <c r="G359">
        <v>11116</v>
      </c>
      <c r="H359" s="116"/>
      <c r="I359" s="116"/>
      <c r="L359" s="170">
        <v>44173</v>
      </c>
      <c r="M359" s="116">
        <v>2625.55</v>
      </c>
      <c r="N359" s="116">
        <v>2665.4749999999999</v>
      </c>
      <c r="O359" s="116">
        <v>2530</v>
      </c>
      <c r="P359" s="116">
        <v>2568.1</v>
      </c>
      <c r="Q359" s="116">
        <v>5251.1</v>
      </c>
      <c r="R359">
        <v>124633</v>
      </c>
    </row>
    <row r="360" spans="1:18" x14ac:dyDescent="0.25">
      <c r="A360" s="170">
        <v>44174</v>
      </c>
      <c r="B360" s="116">
        <v>2704.5</v>
      </c>
      <c r="C360" s="116">
        <v>2649.85</v>
      </c>
      <c r="D360" s="116">
        <v>2595</v>
      </c>
      <c r="E360" s="116">
        <v>2650</v>
      </c>
      <c r="F360" s="116">
        <v>5299.7</v>
      </c>
      <c r="G360">
        <v>3351</v>
      </c>
      <c r="H360" s="116"/>
      <c r="I360" s="116"/>
      <c r="L360" s="170">
        <v>44174</v>
      </c>
      <c r="M360" s="116">
        <v>2654.2249999999999</v>
      </c>
      <c r="N360" s="116">
        <v>2710</v>
      </c>
      <c r="O360" s="116">
        <v>2505.5</v>
      </c>
      <c r="P360" s="116">
        <v>2649</v>
      </c>
      <c r="Q360" s="116">
        <v>5308.45</v>
      </c>
      <c r="R360">
        <v>86602</v>
      </c>
    </row>
    <row r="361" spans="1:18" x14ac:dyDescent="0.25">
      <c r="A361" s="170">
        <v>44175</v>
      </c>
      <c r="B361" s="116">
        <v>2665.5250000000001</v>
      </c>
      <c r="C361" s="116">
        <v>2648.3249999999998</v>
      </c>
      <c r="D361" s="116">
        <v>2575.75</v>
      </c>
      <c r="E361" s="116">
        <v>2649.85</v>
      </c>
      <c r="F361" s="116">
        <v>5296.65</v>
      </c>
      <c r="G361">
        <v>834</v>
      </c>
      <c r="H361" s="116"/>
      <c r="I361" s="116"/>
      <c r="L361" s="170">
        <v>44175</v>
      </c>
      <c r="M361" s="116">
        <v>2649.4</v>
      </c>
      <c r="N361" s="116">
        <v>2670.5</v>
      </c>
      <c r="O361" s="116">
        <v>2582.8000000000002</v>
      </c>
      <c r="P361" s="116">
        <v>2648</v>
      </c>
      <c r="Q361" s="116">
        <v>5298.8</v>
      </c>
      <c r="R361">
        <v>89043</v>
      </c>
    </row>
    <row r="362" spans="1:18" x14ac:dyDescent="0.25">
      <c r="A362" s="170">
        <v>44176</v>
      </c>
      <c r="B362" s="116">
        <v>2697.5</v>
      </c>
      <c r="C362" s="116">
        <v>2678.25</v>
      </c>
      <c r="D362" s="116">
        <v>2652</v>
      </c>
      <c r="E362" s="116">
        <v>2653.5</v>
      </c>
      <c r="F362" s="116">
        <v>5356.5</v>
      </c>
      <c r="G362">
        <v>1088</v>
      </c>
      <c r="H362" s="116"/>
      <c r="I362" s="116"/>
      <c r="L362" s="170">
        <v>44176</v>
      </c>
      <c r="M362" s="116">
        <v>2678.9749999999999</v>
      </c>
      <c r="N362" s="116">
        <v>2700</v>
      </c>
      <c r="O362" s="116">
        <v>2650.5</v>
      </c>
      <c r="P362" s="116">
        <v>2657.2</v>
      </c>
      <c r="Q362" s="116">
        <v>5357.95</v>
      </c>
      <c r="R362">
        <v>62128</v>
      </c>
    </row>
    <row r="363" spans="1:18" x14ac:dyDescent="0.25">
      <c r="A363" s="170">
        <v>44179</v>
      </c>
      <c r="B363" s="116">
        <v>2704.45</v>
      </c>
      <c r="C363" s="116">
        <v>2691.6</v>
      </c>
      <c r="D363" s="116">
        <v>2665</v>
      </c>
      <c r="E363" s="116">
        <v>2698.4749999999999</v>
      </c>
      <c r="F363" s="116">
        <v>5383.2</v>
      </c>
      <c r="G363">
        <v>898</v>
      </c>
      <c r="H363" s="116"/>
      <c r="I363" s="116"/>
      <c r="L363" s="170">
        <v>44179</v>
      </c>
      <c r="M363" s="116">
        <v>2693.9250000000002</v>
      </c>
      <c r="N363" s="116">
        <v>2699.9749999999999</v>
      </c>
      <c r="O363" s="116">
        <v>2665</v>
      </c>
      <c r="P363" s="116">
        <v>2699.5</v>
      </c>
      <c r="Q363" s="116">
        <v>5387.85</v>
      </c>
      <c r="R363">
        <v>41060</v>
      </c>
    </row>
    <row r="364" spans="1:18" x14ac:dyDescent="0.25">
      <c r="A364" s="170">
        <v>44180</v>
      </c>
      <c r="B364" s="116">
        <v>2700</v>
      </c>
      <c r="C364" s="116">
        <v>2692.5749999999998</v>
      </c>
      <c r="D364" s="116">
        <v>2642.3249999999998</v>
      </c>
      <c r="E364" s="116">
        <v>2696.5</v>
      </c>
      <c r="F364" s="116">
        <v>5385.15</v>
      </c>
      <c r="G364">
        <v>616</v>
      </c>
      <c r="H364" s="116"/>
      <c r="I364" s="116"/>
      <c r="L364" s="170">
        <v>44180</v>
      </c>
      <c r="M364" s="116">
        <v>2693.7750000000001</v>
      </c>
      <c r="N364" s="116">
        <v>2700</v>
      </c>
      <c r="O364" s="116">
        <v>2640.0250000000001</v>
      </c>
      <c r="P364" s="116">
        <v>2700</v>
      </c>
      <c r="Q364" s="116">
        <v>5387.55</v>
      </c>
      <c r="R364">
        <v>65403</v>
      </c>
    </row>
    <row r="365" spans="1:18" x14ac:dyDescent="0.25">
      <c r="A365" s="170">
        <v>44181</v>
      </c>
      <c r="B365" s="116">
        <v>2775.0250000000001</v>
      </c>
      <c r="C365" s="116">
        <v>2748.6</v>
      </c>
      <c r="D365" s="116">
        <v>2711.5</v>
      </c>
      <c r="E365" s="116">
        <v>2711.5</v>
      </c>
      <c r="F365" s="116">
        <v>5497.2</v>
      </c>
      <c r="G365">
        <v>2986</v>
      </c>
      <c r="H365" s="116"/>
      <c r="I365" s="116"/>
      <c r="L365" s="170">
        <v>44181</v>
      </c>
      <c r="M365" s="116">
        <v>2751.7750000000001</v>
      </c>
      <c r="N365" s="116">
        <v>2775</v>
      </c>
      <c r="O365" s="116">
        <v>2710</v>
      </c>
      <c r="P365" s="116">
        <v>2710</v>
      </c>
      <c r="Q365" s="116">
        <v>5503.55</v>
      </c>
      <c r="R365">
        <v>135595</v>
      </c>
    </row>
    <row r="366" spans="1:18" x14ac:dyDescent="0.25">
      <c r="A366" s="170">
        <v>44182</v>
      </c>
      <c r="B366" s="116">
        <v>2895</v>
      </c>
      <c r="C366" s="116">
        <v>2867.4</v>
      </c>
      <c r="D366" s="116">
        <v>2763.45</v>
      </c>
      <c r="E366" s="116">
        <v>2763.45</v>
      </c>
      <c r="F366" s="116">
        <v>5734.8</v>
      </c>
      <c r="G366">
        <v>3998</v>
      </c>
      <c r="H366" s="116"/>
      <c r="I366" s="116"/>
      <c r="L366" s="170">
        <v>44182</v>
      </c>
      <c r="M366" s="116">
        <v>2868.15</v>
      </c>
      <c r="N366" s="116">
        <v>2890</v>
      </c>
      <c r="O366" s="116">
        <v>2752.5</v>
      </c>
      <c r="P366" s="116">
        <v>2766.6750000000002</v>
      </c>
      <c r="Q366" s="116">
        <v>5736.3</v>
      </c>
      <c r="R366">
        <v>169397</v>
      </c>
    </row>
    <row r="367" spans="1:18" x14ac:dyDescent="0.25">
      <c r="A367" s="170">
        <v>44183</v>
      </c>
      <c r="B367" s="116">
        <v>3075.5</v>
      </c>
      <c r="C367" s="116">
        <v>3047.5250000000001</v>
      </c>
      <c r="D367" s="116">
        <v>2908.8</v>
      </c>
      <c r="E367" s="116">
        <v>2940</v>
      </c>
      <c r="F367" s="116">
        <v>6095.05</v>
      </c>
      <c r="G367">
        <v>8559</v>
      </c>
      <c r="H367" s="116"/>
      <c r="I367" s="116"/>
      <c r="L367" s="170">
        <v>44183</v>
      </c>
      <c r="M367" s="116">
        <v>3039.2</v>
      </c>
      <c r="N367" s="116">
        <v>3074.5</v>
      </c>
      <c r="O367" s="116">
        <v>2905</v>
      </c>
      <c r="P367" s="116">
        <v>2914.95</v>
      </c>
      <c r="Q367" s="116">
        <v>6078.4</v>
      </c>
      <c r="R367">
        <v>275028</v>
      </c>
    </row>
    <row r="368" spans="1:18" x14ac:dyDescent="0.25">
      <c r="A368" s="170">
        <v>44186</v>
      </c>
      <c r="B368" s="116">
        <v>3145.375</v>
      </c>
      <c r="C368" s="116">
        <v>2847.375</v>
      </c>
      <c r="D368" s="116">
        <v>2438.5</v>
      </c>
      <c r="E368" s="116">
        <v>3082.1</v>
      </c>
      <c r="F368" s="116">
        <v>5694.75</v>
      </c>
      <c r="G368">
        <v>28609</v>
      </c>
      <c r="H368" s="116"/>
      <c r="I368" s="116"/>
      <c r="L368" s="170">
        <v>44186</v>
      </c>
      <c r="M368" s="116">
        <v>2846.35</v>
      </c>
      <c r="N368" s="116">
        <v>3175</v>
      </c>
      <c r="O368" s="116">
        <v>2455.5</v>
      </c>
      <c r="P368" s="116">
        <v>3094</v>
      </c>
      <c r="Q368" s="116">
        <v>5692.7</v>
      </c>
      <c r="R368">
        <v>223387</v>
      </c>
    </row>
    <row r="369" spans="1:18" x14ac:dyDescent="0.25">
      <c r="A369" s="170">
        <v>44187</v>
      </c>
      <c r="B369" s="116">
        <v>3050</v>
      </c>
      <c r="C369" s="116">
        <v>3000.15</v>
      </c>
      <c r="D369" s="116">
        <v>2731.0250000000001</v>
      </c>
      <c r="E369" s="116">
        <v>2855.5</v>
      </c>
      <c r="F369" s="116">
        <v>6000.3</v>
      </c>
      <c r="G369">
        <v>18058</v>
      </c>
      <c r="H369" s="116"/>
      <c r="I369" s="116"/>
      <c r="L369" s="170">
        <v>44187</v>
      </c>
      <c r="M369" s="116">
        <v>2997.95</v>
      </c>
      <c r="N369" s="116">
        <v>3047.5</v>
      </c>
      <c r="O369" s="116">
        <v>2725.15</v>
      </c>
      <c r="P369" s="116">
        <v>2925</v>
      </c>
      <c r="Q369" s="116">
        <v>5995.9</v>
      </c>
      <c r="R369">
        <v>169226</v>
      </c>
    </row>
    <row r="370" spans="1:18" x14ac:dyDescent="0.25">
      <c r="A370" s="170">
        <v>44188</v>
      </c>
      <c r="B370" s="116">
        <v>3042</v>
      </c>
      <c r="C370" s="116">
        <v>3013.2</v>
      </c>
      <c r="D370" s="116">
        <v>2919.15</v>
      </c>
      <c r="E370" s="116">
        <v>3040</v>
      </c>
      <c r="F370" s="116">
        <v>6026.4</v>
      </c>
      <c r="G370">
        <v>5662</v>
      </c>
      <c r="H370" s="116"/>
      <c r="I370" s="116"/>
      <c r="L370" s="170">
        <v>44188</v>
      </c>
      <c r="M370" s="116">
        <v>3013.9</v>
      </c>
      <c r="N370" s="116">
        <v>3047.4749999999999</v>
      </c>
      <c r="O370" s="116">
        <v>2961.8249999999998</v>
      </c>
      <c r="P370" s="116">
        <v>3020.1750000000002</v>
      </c>
      <c r="Q370" s="116">
        <v>6027.8</v>
      </c>
      <c r="R370">
        <v>68252</v>
      </c>
    </row>
    <row r="371" spans="1:18" x14ac:dyDescent="0.25">
      <c r="A371" s="170">
        <v>44189</v>
      </c>
      <c r="B371" s="116">
        <v>3135</v>
      </c>
      <c r="C371" s="116">
        <v>3115.1</v>
      </c>
      <c r="D371" s="116">
        <v>2998.125</v>
      </c>
      <c r="E371" s="116">
        <v>3025</v>
      </c>
      <c r="F371" s="116">
        <v>6230.2</v>
      </c>
      <c r="G371">
        <v>6032</v>
      </c>
      <c r="H371" s="116"/>
      <c r="I371" s="116"/>
      <c r="L371" s="170">
        <v>44189</v>
      </c>
      <c r="M371" s="116">
        <v>3105.8249999999998</v>
      </c>
      <c r="N371" s="116">
        <v>3137.4250000000002</v>
      </c>
      <c r="O371" s="116">
        <v>2997.5</v>
      </c>
      <c r="P371" s="116">
        <v>3025</v>
      </c>
      <c r="Q371" s="116">
        <v>6211.65</v>
      </c>
      <c r="R371">
        <v>101942</v>
      </c>
    </row>
    <row r="372" spans="1:18" x14ac:dyDescent="0.25">
      <c r="A372" s="170">
        <v>44193</v>
      </c>
      <c r="B372" s="116">
        <v>3163.9250000000002</v>
      </c>
      <c r="C372" s="116">
        <v>3133.7249999999999</v>
      </c>
      <c r="D372" s="116">
        <v>3094.625</v>
      </c>
      <c r="E372" s="116">
        <v>3140</v>
      </c>
      <c r="F372" s="116">
        <v>6267.45</v>
      </c>
      <c r="G372">
        <v>6653</v>
      </c>
      <c r="H372" s="116"/>
      <c r="I372" s="116"/>
      <c r="L372" s="170">
        <v>44193</v>
      </c>
      <c r="M372" s="116">
        <v>3134.2</v>
      </c>
      <c r="N372" s="116">
        <v>3164.9749999999999</v>
      </c>
      <c r="O372" s="116">
        <v>3097.5</v>
      </c>
      <c r="P372" s="116">
        <v>3129.9749999999999</v>
      </c>
      <c r="Q372" s="116">
        <v>6268.4</v>
      </c>
      <c r="R372">
        <v>61137</v>
      </c>
    </row>
    <row r="373" spans="1:18" x14ac:dyDescent="0.25">
      <c r="A373" s="170">
        <v>44194</v>
      </c>
      <c r="B373" s="116">
        <v>3150</v>
      </c>
      <c r="C373" s="116">
        <v>3111.5</v>
      </c>
      <c r="D373" s="116">
        <v>3085.5250000000001</v>
      </c>
      <c r="E373" s="116">
        <v>3144.9</v>
      </c>
      <c r="F373" s="116">
        <v>6223</v>
      </c>
      <c r="G373">
        <v>2229</v>
      </c>
      <c r="H373" s="116"/>
      <c r="I373" s="116"/>
      <c r="L373" s="170">
        <v>44194</v>
      </c>
      <c r="M373" s="116">
        <v>3117.95</v>
      </c>
      <c r="N373" s="116">
        <v>3150</v>
      </c>
      <c r="O373" s="116">
        <v>3087.5</v>
      </c>
      <c r="P373" s="116">
        <v>3125</v>
      </c>
      <c r="Q373" s="116">
        <v>6235.9</v>
      </c>
      <c r="R373">
        <v>48819</v>
      </c>
    </row>
    <row r="374" spans="1:18" x14ac:dyDescent="0.25">
      <c r="A374" s="170">
        <v>44195</v>
      </c>
      <c r="B374" s="116">
        <v>3141.8</v>
      </c>
      <c r="C374" s="116">
        <v>3122.8</v>
      </c>
      <c r="D374" s="116">
        <v>3102.5</v>
      </c>
      <c r="E374" s="116">
        <v>3118.0250000000001</v>
      </c>
      <c r="F374" s="116">
        <v>6245.6</v>
      </c>
      <c r="G374">
        <v>1014</v>
      </c>
      <c r="H374" s="116"/>
      <c r="I374" s="116"/>
      <c r="L374" s="170">
        <v>44195</v>
      </c>
      <c r="M374" s="116">
        <v>3125.5250000000001</v>
      </c>
      <c r="N374" s="116">
        <v>3141.5250000000001</v>
      </c>
      <c r="O374" s="116">
        <v>3100</v>
      </c>
      <c r="P374" s="116">
        <v>3125</v>
      </c>
      <c r="Q374" s="116">
        <v>6251.05</v>
      </c>
      <c r="R374">
        <v>37478</v>
      </c>
    </row>
    <row r="375" spans="1:18" x14ac:dyDescent="0.25">
      <c r="A375" s="170">
        <v>44196</v>
      </c>
      <c r="B375" s="116">
        <v>3231.9250000000002</v>
      </c>
      <c r="C375" s="116">
        <v>3202.7</v>
      </c>
      <c r="D375" s="116">
        <v>3115.15</v>
      </c>
      <c r="E375" s="116">
        <v>3125</v>
      </c>
      <c r="F375" s="116">
        <v>6405.4</v>
      </c>
      <c r="G375">
        <v>2386</v>
      </c>
      <c r="H375" s="116"/>
      <c r="I375" s="116"/>
      <c r="L375" s="170">
        <v>44196</v>
      </c>
      <c r="M375" s="116">
        <v>3203.6</v>
      </c>
      <c r="N375" s="116">
        <v>3232.0250000000001</v>
      </c>
      <c r="O375" s="116">
        <v>3111.5</v>
      </c>
      <c r="P375" s="116">
        <v>3141.75</v>
      </c>
      <c r="Q375" s="116">
        <v>6407.2</v>
      </c>
      <c r="R375">
        <v>72477</v>
      </c>
    </row>
    <row r="376" spans="1:18" x14ac:dyDescent="0.25">
      <c r="A376" s="170">
        <v>44197</v>
      </c>
      <c r="B376" s="116">
        <v>3831.7750000000001</v>
      </c>
      <c r="C376" s="116">
        <v>3520.65</v>
      </c>
      <c r="D376" s="116">
        <v>3190.55</v>
      </c>
      <c r="E376" s="116">
        <v>3209.1</v>
      </c>
      <c r="F376" s="116">
        <v>7041.3</v>
      </c>
      <c r="G376">
        <v>19844</v>
      </c>
      <c r="H376" s="116"/>
      <c r="I376" s="116"/>
      <c r="L376" s="170">
        <v>44197</v>
      </c>
      <c r="M376" s="116">
        <v>3519.15</v>
      </c>
      <c r="N376" s="116">
        <v>3827.5</v>
      </c>
      <c r="O376" s="116">
        <v>3191.125</v>
      </c>
      <c r="P376" s="116">
        <v>3205.5</v>
      </c>
      <c r="Q376" s="116">
        <v>7038.3</v>
      </c>
      <c r="R376">
        <v>525320</v>
      </c>
    </row>
    <row r="377" spans="1:18" x14ac:dyDescent="0.25">
      <c r="A377" s="170">
        <v>44200</v>
      </c>
      <c r="B377" s="116">
        <v>3745.0749999999998</v>
      </c>
      <c r="C377" s="116">
        <v>3645.2</v>
      </c>
      <c r="D377" s="116">
        <v>3589.0250000000001</v>
      </c>
      <c r="E377" s="116">
        <v>3599</v>
      </c>
      <c r="F377" s="116">
        <v>7290.4</v>
      </c>
      <c r="G377">
        <v>22187</v>
      </c>
      <c r="H377" s="116"/>
      <c r="I377" s="116"/>
      <c r="L377" s="170">
        <v>44200</v>
      </c>
      <c r="M377" s="116">
        <v>3643.85</v>
      </c>
      <c r="N377" s="116">
        <v>3744.9</v>
      </c>
      <c r="O377" s="116">
        <v>3592</v>
      </c>
      <c r="P377" s="116">
        <v>3592</v>
      </c>
      <c r="Q377" s="116">
        <v>7287.7</v>
      </c>
      <c r="R377">
        <v>262020</v>
      </c>
    </row>
    <row r="378" spans="1:18" x14ac:dyDescent="0.25">
      <c r="A378" s="170">
        <v>44201</v>
      </c>
      <c r="B378" s="116">
        <v>3644.7249999999999</v>
      </c>
      <c r="C378" s="116">
        <v>3596.7249999999999</v>
      </c>
      <c r="D378" s="116">
        <v>3500</v>
      </c>
      <c r="E378" s="116">
        <v>3533</v>
      </c>
      <c r="F378" s="116">
        <v>7193.45</v>
      </c>
      <c r="G378">
        <v>11989</v>
      </c>
      <c r="H378" s="116"/>
      <c r="I378" s="116"/>
      <c r="L378" s="170">
        <v>44201</v>
      </c>
      <c r="M378" s="116">
        <v>3594.85</v>
      </c>
      <c r="N378" s="116">
        <v>3642</v>
      </c>
      <c r="O378" s="116">
        <v>3498.1</v>
      </c>
      <c r="P378" s="116">
        <v>3630</v>
      </c>
      <c r="Q378" s="116">
        <v>7189.7</v>
      </c>
      <c r="R378">
        <v>126100</v>
      </c>
    </row>
    <row r="379" spans="1:18" x14ac:dyDescent="0.25">
      <c r="A379" s="170">
        <v>44202</v>
      </c>
      <c r="B379" s="116">
        <v>3794.5</v>
      </c>
      <c r="C379" s="116">
        <v>3543.9250000000002</v>
      </c>
      <c r="D379" s="116">
        <v>3507.5</v>
      </c>
      <c r="E379" s="116">
        <v>3618.2249999999999</v>
      </c>
      <c r="F379" s="116">
        <v>7087.85</v>
      </c>
      <c r="G379">
        <v>18652</v>
      </c>
      <c r="H379" s="116"/>
      <c r="I379" s="116"/>
      <c r="L379" s="170">
        <v>44202</v>
      </c>
      <c r="M379" s="116">
        <v>3542.2750000000001</v>
      </c>
      <c r="N379" s="116">
        <v>3799.5</v>
      </c>
      <c r="O379" s="116">
        <v>3505</v>
      </c>
      <c r="P379" s="116">
        <v>3625.2</v>
      </c>
      <c r="Q379" s="116">
        <v>7084.55</v>
      </c>
      <c r="R379">
        <v>222682</v>
      </c>
    </row>
    <row r="380" spans="1:18" x14ac:dyDescent="0.25">
      <c r="A380" s="170">
        <v>44203</v>
      </c>
      <c r="B380" s="116">
        <v>3800.4749999999999</v>
      </c>
      <c r="C380" s="116">
        <v>3713.4250000000002</v>
      </c>
      <c r="D380" s="116">
        <v>3604.5250000000001</v>
      </c>
      <c r="E380" s="116">
        <v>3619.5</v>
      </c>
      <c r="F380" s="116">
        <v>7426.85</v>
      </c>
      <c r="G380">
        <v>15248</v>
      </c>
      <c r="H380" s="116"/>
      <c r="I380" s="116"/>
      <c r="L380" s="170">
        <v>44203</v>
      </c>
      <c r="M380" s="116">
        <v>3711.65</v>
      </c>
      <c r="N380" s="116">
        <v>3807.5</v>
      </c>
      <c r="O380" s="116">
        <v>3599.9749999999999</v>
      </c>
      <c r="P380" s="116">
        <v>3599.9749999999999</v>
      </c>
      <c r="Q380" s="116">
        <v>7423.3</v>
      </c>
      <c r="R380">
        <v>138122</v>
      </c>
    </row>
    <row r="381" spans="1:18" x14ac:dyDescent="0.25">
      <c r="A381" s="170">
        <v>44204</v>
      </c>
      <c r="B381" s="116">
        <v>3850.0250000000001</v>
      </c>
      <c r="C381" s="116">
        <v>3744.8</v>
      </c>
      <c r="D381" s="116">
        <v>3722</v>
      </c>
      <c r="E381" s="116">
        <v>3722</v>
      </c>
      <c r="F381" s="116">
        <v>7489.6</v>
      </c>
      <c r="G381">
        <v>9329</v>
      </c>
      <c r="H381" s="116"/>
      <c r="I381" s="116"/>
      <c r="L381" s="170">
        <v>44204</v>
      </c>
      <c r="M381" s="116">
        <v>3745.6750000000002</v>
      </c>
      <c r="N381" s="116">
        <v>3799</v>
      </c>
      <c r="O381" s="116">
        <v>3711.65</v>
      </c>
      <c r="P381" s="116">
        <v>3782.5</v>
      </c>
      <c r="Q381" s="116">
        <v>7491.35</v>
      </c>
      <c r="R381">
        <v>86630</v>
      </c>
    </row>
    <row r="382" spans="1:18" x14ac:dyDescent="0.25">
      <c r="A382" s="170">
        <v>44207</v>
      </c>
      <c r="B382" s="116">
        <v>4095.45</v>
      </c>
      <c r="C382" s="116">
        <v>3995.5749999999998</v>
      </c>
      <c r="D382" s="116">
        <v>3754</v>
      </c>
      <c r="E382" s="116">
        <v>3754</v>
      </c>
      <c r="F382" s="116">
        <v>7991.15</v>
      </c>
      <c r="G382">
        <v>22701</v>
      </c>
      <c r="H382" s="116"/>
      <c r="I382" s="116"/>
      <c r="L382" s="170">
        <v>44207</v>
      </c>
      <c r="M382" s="116">
        <v>3989.0250000000001</v>
      </c>
      <c r="N382" s="116">
        <v>4100</v>
      </c>
      <c r="O382" s="116">
        <v>3755.1</v>
      </c>
      <c r="P382" s="116">
        <v>3773.0749999999998</v>
      </c>
      <c r="Q382" s="116">
        <v>7978.05</v>
      </c>
      <c r="R382">
        <v>471812</v>
      </c>
    </row>
    <row r="383" spans="1:18" x14ac:dyDescent="0.25">
      <c r="A383" s="170">
        <v>44208</v>
      </c>
      <c r="B383" s="116">
        <v>4135</v>
      </c>
      <c r="C383" s="116">
        <v>4108.5749999999998</v>
      </c>
      <c r="D383" s="116">
        <v>4008.75</v>
      </c>
      <c r="E383" s="116">
        <v>4020</v>
      </c>
      <c r="F383" s="116">
        <v>8217.15</v>
      </c>
      <c r="G383">
        <v>21124</v>
      </c>
      <c r="H383" s="116"/>
      <c r="I383" s="116"/>
      <c r="L383" s="170">
        <v>44208</v>
      </c>
      <c r="M383" s="116">
        <v>4108.7250000000004</v>
      </c>
      <c r="N383" s="116">
        <v>4136.9750000000004</v>
      </c>
      <c r="O383" s="116">
        <v>4009.6750000000002</v>
      </c>
      <c r="P383" s="116">
        <v>4010.7249999999999</v>
      </c>
      <c r="Q383" s="116">
        <v>8217.4500000000007</v>
      </c>
      <c r="R383">
        <v>244208</v>
      </c>
    </row>
    <row r="384" spans="1:18" x14ac:dyDescent="0.25">
      <c r="A384" s="170">
        <v>44209</v>
      </c>
      <c r="B384" s="116">
        <v>4185</v>
      </c>
      <c r="C384" s="116">
        <v>4065.8249999999998</v>
      </c>
      <c r="D384" s="116">
        <v>3810.65</v>
      </c>
      <c r="E384" s="116">
        <v>4142</v>
      </c>
      <c r="F384" s="116">
        <v>8131.65</v>
      </c>
      <c r="G384">
        <v>16743</v>
      </c>
      <c r="H384" s="116"/>
      <c r="I384" s="116"/>
      <c r="L384" s="170">
        <v>44209</v>
      </c>
      <c r="M384" s="116">
        <v>4057.7</v>
      </c>
      <c r="N384" s="116">
        <v>4187.3500000000004</v>
      </c>
      <c r="O384" s="116">
        <v>3809.15</v>
      </c>
      <c r="P384" s="116">
        <v>4150</v>
      </c>
      <c r="Q384" s="116">
        <v>8115.4</v>
      </c>
      <c r="R384">
        <v>368875</v>
      </c>
    </row>
    <row r="385" spans="1:18" x14ac:dyDescent="0.25">
      <c r="A385" s="170">
        <v>44210</v>
      </c>
      <c r="B385" s="116">
        <v>4130</v>
      </c>
      <c r="C385" s="116">
        <v>4098.8999999999996</v>
      </c>
      <c r="D385" s="116">
        <v>3956.05</v>
      </c>
      <c r="E385" s="116">
        <v>4099</v>
      </c>
      <c r="F385" s="116">
        <v>8197.7999999999993</v>
      </c>
      <c r="G385">
        <v>16540</v>
      </c>
      <c r="H385" s="116"/>
      <c r="I385" s="116"/>
      <c r="L385" s="170">
        <v>44210</v>
      </c>
      <c r="M385" s="116">
        <v>4098.0249999999996</v>
      </c>
      <c r="N385" s="116">
        <v>4132.5</v>
      </c>
      <c r="O385" s="116">
        <v>3950</v>
      </c>
      <c r="P385" s="116">
        <v>4090.2</v>
      </c>
      <c r="Q385" s="116">
        <v>8196.0499999999993</v>
      </c>
      <c r="R385">
        <v>196707</v>
      </c>
    </row>
    <row r="386" spans="1:18" x14ac:dyDescent="0.25">
      <c r="A386" s="170">
        <v>44211</v>
      </c>
      <c r="B386" s="116">
        <v>4148.9750000000004</v>
      </c>
      <c r="C386" s="116">
        <v>3883.5250000000001</v>
      </c>
      <c r="D386" s="116">
        <v>3830.5</v>
      </c>
      <c r="E386" s="116">
        <v>4130</v>
      </c>
      <c r="F386" s="116">
        <v>7767.05</v>
      </c>
      <c r="G386">
        <v>18269</v>
      </c>
      <c r="H386" s="116"/>
      <c r="I386" s="116"/>
      <c r="L386" s="170">
        <v>44211</v>
      </c>
      <c r="M386" s="116">
        <v>3892.6750000000002</v>
      </c>
      <c r="N386" s="116">
        <v>4149.5</v>
      </c>
      <c r="O386" s="116">
        <v>3826</v>
      </c>
      <c r="P386" s="116">
        <v>4125</v>
      </c>
      <c r="Q386" s="116">
        <v>7785.35</v>
      </c>
      <c r="R386">
        <v>234234</v>
      </c>
    </row>
    <row r="387" spans="1:18" x14ac:dyDescent="0.25">
      <c r="A387" s="170">
        <v>44214</v>
      </c>
      <c r="B387" s="116">
        <v>4040</v>
      </c>
      <c r="C387" s="116">
        <v>3729.4749999999999</v>
      </c>
      <c r="D387" s="116">
        <v>3685.1</v>
      </c>
      <c r="E387" s="116">
        <v>4040</v>
      </c>
      <c r="F387" s="116">
        <v>7458.95</v>
      </c>
      <c r="G387">
        <v>10156</v>
      </c>
      <c r="H387" s="116"/>
      <c r="I387" s="116"/>
      <c r="L387" s="170">
        <v>44214</v>
      </c>
      <c r="M387" s="116">
        <v>3732.7249999999999</v>
      </c>
      <c r="N387" s="116">
        <v>3989.35</v>
      </c>
      <c r="O387" s="116">
        <v>3680.55</v>
      </c>
      <c r="P387" s="116">
        <v>3925.1750000000002</v>
      </c>
      <c r="Q387" s="116">
        <v>7465.45</v>
      </c>
      <c r="R387">
        <v>195308</v>
      </c>
    </row>
    <row r="388" spans="1:18" x14ac:dyDescent="0.25">
      <c r="A388" s="170">
        <v>44215</v>
      </c>
      <c r="B388" s="116">
        <v>3853.45</v>
      </c>
      <c r="C388" s="116">
        <v>3703.1</v>
      </c>
      <c r="D388" s="116">
        <v>3690.05</v>
      </c>
      <c r="E388" s="116">
        <v>3785</v>
      </c>
      <c r="F388" s="116">
        <v>7406.2</v>
      </c>
      <c r="G388">
        <v>9928</v>
      </c>
      <c r="H388" s="116"/>
      <c r="I388" s="116"/>
      <c r="L388" s="170">
        <v>44215</v>
      </c>
      <c r="M388" s="116">
        <v>3702.3</v>
      </c>
      <c r="N388" s="116">
        <v>3862.4250000000002</v>
      </c>
      <c r="O388" s="116">
        <v>3688.4749999999999</v>
      </c>
      <c r="P388" s="116">
        <v>3779.5</v>
      </c>
      <c r="Q388" s="116">
        <v>7404.6</v>
      </c>
      <c r="R388">
        <v>267901</v>
      </c>
    </row>
    <row r="389" spans="1:18" x14ac:dyDescent="0.25">
      <c r="A389" s="170">
        <v>44216</v>
      </c>
      <c r="B389" s="116">
        <v>3771.1</v>
      </c>
      <c r="C389" s="116">
        <v>3661.5749999999998</v>
      </c>
      <c r="D389" s="116">
        <v>3644.2</v>
      </c>
      <c r="E389" s="116">
        <v>3740</v>
      </c>
      <c r="F389" s="116">
        <v>7323.15</v>
      </c>
      <c r="G389">
        <v>12251</v>
      </c>
      <c r="H389" s="116"/>
      <c r="I389" s="116"/>
      <c r="L389" s="170">
        <v>44216</v>
      </c>
      <c r="M389" s="116">
        <v>3660.0749999999998</v>
      </c>
      <c r="N389" s="116">
        <v>3769.3</v>
      </c>
      <c r="O389" s="116">
        <v>3642.5</v>
      </c>
      <c r="P389" s="116">
        <v>3736.35</v>
      </c>
      <c r="Q389" s="116">
        <v>7320.15</v>
      </c>
      <c r="R389">
        <v>114163</v>
      </c>
    </row>
    <row r="390" spans="1:18" x14ac:dyDescent="0.25">
      <c r="A390" s="170">
        <v>44217</v>
      </c>
      <c r="B390" s="116">
        <v>4044.9</v>
      </c>
      <c r="C390" s="116">
        <v>3860.95</v>
      </c>
      <c r="D390" s="116">
        <v>3695</v>
      </c>
      <c r="E390" s="116">
        <v>3695</v>
      </c>
      <c r="F390" s="116">
        <v>7721.9</v>
      </c>
      <c r="G390">
        <v>45400</v>
      </c>
      <c r="H390" s="116"/>
      <c r="I390" s="116"/>
      <c r="L390" s="170">
        <v>44217</v>
      </c>
      <c r="M390" s="116">
        <v>3864.35</v>
      </c>
      <c r="N390" s="116">
        <v>4045.0250000000001</v>
      </c>
      <c r="O390" s="116">
        <v>3711.3249999999998</v>
      </c>
      <c r="P390" s="116">
        <v>3711.3249999999998</v>
      </c>
      <c r="Q390" s="116">
        <v>7728.7</v>
      </c>
      <c r="R390">
        <v>511704</v>
      </c>
    </row>
    <row r="391" spans="1:18" x14ac:dyDescent="0.25">
      <c r="A391" s="170">
        <v>44218</v>
      </c>
      <c r="B391" s="116">
        <v>4000</v>
      </c>
      <c r="C391" s="116">
        <v>3958.7750000000001</v>
      </c>
      <c r="D391" s="116">
        <v>3902.5</v>
      </c>
      <c r="E391" s="116">
        <v>3949.95</v>
      </c>
      <c r="F391" s="116">
        <v>7917.55</v>
      </c>
      <c r="G391">
        <v>12572</v>
      </c>
      <c r="H391" s="116"/>
      <c r="I391" s="116"/>
      <c r="L391" s="170">
        <v>44218</v>
      </c>
      <c r="M391" s="116">
        <v>3946.75</v>
      </c>
      <c r="N391" s="116">
        <v>3995</v>
      </c>
      <c r="O391" s="116">
        <v>3902</v>
      </c>
      <c r="P391" s="116">
        <v>3960.375</v>
      </c>
      <c r="Q391" s="116">
        <v>7893.5</v>
      </c>
      <c r="R391">
        <v>196504</v>
      </c>
    </row>
    <row r="392" spans="1:18" x14ac:dyDescent="0.25">
      <c r="A392" s="170">
        <v>44221</v>
      </c>
      <c r="B392" s="116">
        <v>4014.2750000000001</v>
      </c>
      <c r="C392" s="116">
        <v>3899.3249999999998</v>
      </c>
      <c r="D392" s="116">
        <v>3768.7249999999999</v>
      </c>
      <c r="E392" s="116">
        <v>3995</v>
      </c>
      <c r="F392" s="116">
        <v>7798.65</v>
      </c>
      <c r="G392">
        <v>17230</v>
      </c>
      <c r="H392" s="116"/>
      <c r="I392" s="116"/>
      <c r="L392" s="170">
        <v>44221</v>
      </c>
      <c r="M392" s="116">
        <v>3900.35</v>
      </c>
      <c r="N392" s="116">
        <v>4021.9250000000002</v>
      </c>
      <c r="O392" s="116">
        <v>3775</v>
      </c>
      <c r="P392" s="116">
        <v>3990</v>
      </c>
      <c r="Q392" s="116">
        <v>7800.7</v>
      </c>
      <c r="R392">
        <v>111652</v>
      </c>
    </row>
    <row r="393" spans="1:18" x14ac:dyDescent="0.25">
      <c r="A393" s="170">
        <v>44223</v>
      </c>
      <c r="B393" s="116">
        <v>4002.5</v>
      </c>
      <c r="C393" s="116">
        <v>3973.1750000000002</v>
      </c>
      <c r="D393" s="116">
        <v>3822.3249999999998</v>
      </c>
      <c r="E393" s="116">
        <v>3899.3249999999998</v>
      </c>
      <c r="F393" s="116">
        <v>7946.35</v>
      </c>
      <c r="G393">
        <v>6179</v>
      </c>
      <c r="H393" s="116"/>
      <c r="I393" s="116"/>
      <c r="L393" s="170">
        <v>44223</v>
      </c>
      <c r="M393" s="116">
        <v>3976.35</v>
      </c>
      <c r="N393" s="116">
        <v>4007.3</v>
      </c>
      <c r="O393" s="116">
        <v>3820</v>
      </c>
      <c r="P393" s="116">
        <v>3885</v>
      </c>
      <c r="Q393" s="116">
        <v>7952.7</v>
      </c>
      <c r="R393">
        <v>123428</v>
      </c>
    </row>
    <row r="394" spans="1:18" x14ac:dyDescent="0.25">
      <c r="A394" s="170">
        <v>44224</v>
      </c>
      <c r="B394" s="116">
        <v>3994.5</v>
      </c>
      <c r="C394" s="116">
        <v>3979.3249999999998</v>
      </c>
      <c r="D394" s="116">
        <v>3918.3</v>
      </c>
      <c r="E394" s="116">
        <v>3969</v>
      </c>
      <c r="F394" s="116">
        <v>7958.65</v>
      </c>
      <c r="G394">
        <v>2849</v>
      </c>
      <c r="H394" s="116"/>
      <c r="I394" s="116"/>
      <c r="L394" s="170">
        <v>44224</v>
      </c>
      <c r="M394" s="116">
        <v>3976.8</v>
      </c>
      <c r="N394" s="116">
        <v>3997.5</v>
      </c>
      <c r="O394" s="116">
        <v>3916.3249999999998</v>
      </c>
      <c r="P394" s="116">
        <v>3925</v>
      </c>
      <c r="Q394" s="116">
        <v>7953.6</v>
      </c>
      <c r="R394">
        <v>106562</v>
      </c>
    </row>
    <row r="395" spans="1:18" x14ac:dyDescent="0.25">
      <c r="A395" s="170">
        <v>44225</v>
      </c>
      <c r="B395" s="116">
        <v>4042.5</v>
      </c>
      <c r="C395" s="116">
        <v>3900.3249999999998</v>
      </c>
      <c r="D395" s="116">
        <v>3855</v>
      </c>
      <c r="E395" s="116">
        <v>3977.5</v>
      </c>
      <c r="F395" s="116">
        <v>7800.65</v>
      </c>
      <c r="G395">
        <v>8618</v>
      </c>
      <c r="H395" s="116"/>
      <c r="I395" s="116"/>
      <c r="L395" s="170">
        <v>44225</v>
      </c>
      <c r="M395" s="116">
        <v>3901.2750000000001</v>
      </c>
      <c r="N395" s="116">
        <v>4042.5749999999998</v>
      </c>
      <c r="O395" s="116">
        <v>3857.5</v>
      </c>
      <c r="P395" s="116">
        <v>4000</v>
      </c>
      <c r="Q395" s="116">
        <v>7802.55</v>
      </c>
      <c r="R395">
        <v>94696</v>
      </c>
    </row>
    <row r="396" spans="1:18" x14ac:dyDescent="0.25">
      <c r="A396" s="170">
        <v>44228</v>
      </c>
      <c r="B396" s="116">
        <v>3926.95</v>
      </c>
      <c r="C396" s="116">
        <v>3889.25</v>
      </c>
      <c r="D396" s="116">
        <v>3716.625</v>
      </c>
      <c r="E396" s="116">
        <v>3925</v>
      </c>
      <c r="F396" s="116">
        <v>7778.5</v>
      </c>
      <c r="G396">
        <v>4780</v>
      </c>
      <c r="H396" s="116"/>
      <c r="I396" s="116"/>
      <c r="L396" s="170">
        <v>44228</v>
      </c>
      <c r="M396" s="116">
        <v>3890.9250000000002</v>
      </c>
      <c r="N396" s="116">
        <v>3929.0749999999998</v>
      </c>
      <c r="O396" s="116">
        <v>3705.5</v>
      </c>
      <c r="P396" s="116">
        <v>3929.0749999999998</v>
      </c>
      <c r="Q396" s="116">
        <v>7781.85</v>
      </c>
      <c r="R396">
        <v>74204</v>
      </c>
    </row>
    <row r="397" spans="1:18" x14ac:dyDescent="0.25">
      <c r="A397" s="170">
        <v>44229</v>
      </c>
      <c r="B397" s="116">
        <v>4141.4750000000004</v>
      </c>
      <c r="C397" s="116">
        <v>4003.5749999999998</v>
      </c>
      <c r="D397" s="116">
        <v>3898.95</v>
      </c>
      <c r="E397" s="116">
        <v>3950</v>
      </c>
      <c r="F397" s="116">
        <v>8007.15</v>
      </c>
      <c r="G397">
        <v>9852</v>
      </c>
      <c r="H397" s="116"/>
      <c r="I397" s="116"/>
      <c r="L397" s="170">
        <v>44229</v>
      </c>
      <c r="M397" s="116">
        <v>4003.4749999999999</v>
      </c>
      <c r="N397" s="116">
        <v>4141</v>
      </c>
      <c r="O397" s="116">
        <v>3892.7750000000001</v>
      </c>
      <c r="P397" s="116">
        <v>3920</v>
      </c>
      <c r="Q397" s="116">
        <v>8006.95</v>
      </c>
      <c r="R397">
        <v>161543</v>
      </c>
    </row>
    <row r="398" spans="1:18" x14ac:dyDescent="0.25">
      <c r="A398" s="170">
        <v>44230</v>
      </c>
      <c r="B398" s="116">
        <v>4171.4250000000002</v>
      </c>
      <c r="C398" s="116">
        <v>4136.5249999999996</v>
      </c>
      <c r="D398" s="116">
        <v>3986.875</v>
      </c>
      <c r="E398" s="116">
        <v>4044.85</v>
      </c>
      <c r="F398" s="116">
        <v>8273.0499999999993</v>
      </c>
      <c r="G398">
        <v>13674</v>
      </c>
      <c r="H398" s="116"/>
      <c r="I398" s="116"/>
      <c r="L398" s="170">
        <v>44230</v>
      </c>
      <c r="M398" s="116">
        <v>4127.95</v>
      </c>
      <c r="N398" s="116">
        <v>4167.5</v>
      </c>
      <c r="O398" s="116">
        <v>3987.4749999999999</v>
      </c>
      <c r="P398" s="116">
        <v>4017.5</v>
      </c>
      <c r="Q398" s="116">
        <v>8255.9</v>
      </c>
      <c r="R398">
        <v>136352</v>
      </c>
    </row>
    <row r="399" spans="1:18" x14ac:dyDescent="0.25">
      <c r="A399" s="170">
        <v>44231</v>
      </c>
      <c r="B399" s="116">
        <v>4695.3249999999998</v>
      </c>
      <c r="C399" s="116">
        <v>4608.9250000000002</v>
      </c>
      <c r="D399" s="116">
        <v>4134.0249999999996</v>
      </c>
      <c r="E399" s="116">
        <v>4136.5</v>
      </c>
      <c r="F399" s="116">
        <v>9217.85</v>
      </c>
      <c r="G399">
        <v>38771</v>
      </c>
      <c r="H399" s="116"/>
      <c r="I399" s="116"/>
      <c r="L399" s="170">
        <v>44231</v>
      </c>
      <c r="M399" s="116">
        <v>4599.8999999999996</v>
      </c>
      <c r="N399" s="116">
        <v>4700</v>
      </c>
      <c r="O399" s="116">
        <v>4137.5</v>
      </c>
      <c r="P399" s="116">
        <v>4165.125</v>
      </c>
      <c r="Q399" s="116">
        <v>9199.7999999999993</v>
      </c>
      <c r="R399">
        <v>461437</v>
      </c>
    </row>
    <row r="400" spans="1:18" x14ac:dyDescent="0.25">
      <c r="A400" s="170">
        <v>44232</v>
      </c>
      <c r="B400" s="116">
        <v>4975.9750000000004</v>
      </c>
      <c r="C400" s="116">
        <v>4893.125</v>
      </c>
      <c r="D400" s="116">
        <v>4675</v>
      </c>
      <c r="E400" s="116">
        <v>4675</v>
      </c>
      <c r="F400" s="116">
        <v>9786.25</v>
      </c>
      <c r="G400">
        <v>46278</v>
      </c>
      <c r="H400" s="116"/>
      <c r="I400" s="116"/>
      <c r="L400" s="170">
        <v>44232</v>
      </c>
      <c r="M400" s="116">
        <v>4890.45</v>
      </c>
      <c r="N400" s="116">
        <v>4975</v>
      </c>
      <c r="O400" s="116">
        <v>4675</v>
      </c>
      <c r="P400" s="116">
        <v>4675</v>
      </c>
      <c r="Q400" s="116">
        <v>9780.9</v>
      </c>
      <c r="R400">
        <v>528242</v>
      </c>
    </row>
    <row r="401" spans="1:18" x14ac:dyDescent="0.25">
      <c r="A401" s="170">
        <v>44235</v>
      </c>
      <c r="B401" s="116">
        <v>4965</v>
      </c>
      <c r="C401" s="116">
        <v>4588.8999999999996</v>
      </c>
      <c r="D401" s="116">
        <v>4515.3500000000004</v>
      </c>
      <c r="E401" s="116">
        <v>4965</v>
      </c>
      <c r="F401" s="116">
        <v>9177.7999999999993</v>
      </c>
      <c r="G401">
        <v>27339</v>
      </c>
      <c r="H401" s="116"/>
      <c r="I401" s="116"/>
      <c r="L401" s="170">
        <v>44235</v>
      </c>
      <c r="M401" s="116">
        <v>4591.1499999999996</v>
      </c>
      <c r="N401" s="116">
        <v>4955.3</v>
      </c>
      <c r="O401" s="116">
        <v>4513.3249999999998</v>
      </c>
      <c r="P401" s="116">
        <v>4935.9750000000004</v>
      </c>
      <c r="Q401" s="116">
        <v>9182.2999999999993</v>
      </c>
      <c r="R401">
        <v>243707</v>
      </c>
    </row>
    <row r="402" spans="1:18" x14ac:dyDescent="0.25">
      <c r="A402" s="170">
        <v>44236</v>
      </c>
      <c r="B402" s="116">
        <v>4672.9750000000004</v>
      </c>
      <c r="C402" s="116">
        <v>4551.8999999999996</v>
      </c>
      <c r="D402" s="116">
        <v>4351.95</v>
      </c>
      <c r="E402" s="116">
        <v>4515.5</v>
      </c>
      <c r="F402" s="116">
        <v>9103.7999999999993</v>
      </c>
      <c r="G402">
        <v>15502</v>
      </c>
      <c r="H402" s="116"/>
      <c r="I402" s="116"/>
      <c r="L402" s="170">
        <v>44236</v>
      </c>
      <c r="M402" s="116">
        <v>4545.05</v>
      </c>
      <c r="N402" s="116">
        <v>4669.9750000000004</v>
      </c>
      <c r="O402" s="116">
        <v>4355</v>
      </c>
      <c r="P402" s="116">
        <v>4500</v>
      </c>
      <c r="Q402" s="116">
        <v>9090.1</v>
      </c>
      <c r="R402">
        <v>206597</v>
      </c>
    </row>
    <row r="403" spans="1:18" x14ac:dyDescent="0.25">
      <c r="A403" s="170">
        <v>44237</v>
      </c>
      <c r="B403" s="116">
        <v>4769.9750000000004</v>
      </c>
      <c r="C403" s="116">
        <v>4666.6499999999996</v>
      </c>
      <c r="D403" s="116">
        <v>4555</v>
      </c>
      <c r="E403" s="116">
        <v>4555</v>
      </c>
      <c r="F403" s="116">
        <v>9333.2999999999993</v>
      </c>
      <c r="G403">
        <v>21636</v>
      </c>
      <c r="H403" s="116"/>
      <c r="I403" s="116"/>
      <c r="L403" s="170">
        <v>44237</v>
      </c>
      <c r="M403" s="116">
        <v>4663</v>
      </c>
      <c r="N403" s="116">
        <v>4770</v>
      </c>
      <c r="O403" s="116">
        <v>4568.5749999999998</v>
      </c>
      <c r="P403" s="116">
        <v>4585.9750000000004</v>
      </c>
      <c r="Q403" s="116">
        <v>9326</v>
      </c>
      <c r="R403">
        <v>155503</v>
      </c>
    </row>
    <row r="404" spans="1:18" x14ac:dyDescent="0.25">
      <c r="A404" s="170">
        <v>44238</v>
      </c>
      <c r="B404" s="116">
        <v>4760</v>
      </c>
      <c r="C404" s="116">
        <v>4691</v>
      </c>
      <c r="D404" s="116">
        <v>4665.8249999999998</v>
      </c>
      <c r="E404" s="116">
        <v>4704.9750000000004</v>
      </c>
      <c r="F404" s="116">
        <v>9382</v>
      </c>
      <c r="G404">
        <v>14026</v>
      </c>
      <c r="H404" s="116"/>
      <c r="I404" s="116"/>
      <c r="L404" s="170">
        <v>44238</v>
      </c>
      <c r="M404" s="116">
        <v>4684.8999999999996</v>
      </c>
      <c r="N404" s="116">
        <v>4762.5</v>
      </c>
      <c r="O404" s="116">
        <v>4665</v>
      </c>
      <c r="P404" s="116">
        <v>4694.45</v>
      </c>
      <c r="Q404" s="116">
        <v>9369.7999999999993</v>
      </c>
      <c r="R404">
        <v>111035</v>
      </c>
    </row>
    <row r="405" spans="1:18" x14ac:dyDescent="0.25">
      <c r="A405" s="170">
        <v>44239</v>
      </c>
      <c r="B405" s="116">
        <v>4708.5249999999996</v>
      </c>
      <c r="C405" s="116">
        <v>4605.8249999999998</v>
      </c>
      <c r="D405" s="116">
        <v>4575.7250000000004</v>
      </c>
      <c r="E405" s="116">
        <v>4691</v>
      </c>
      <c r="F405" s="116">
        <v>9211.65</v>
      </c>
      <c r="G405">
        <v>7594</v>
      </c>
      <c r="H405" s="116"/>
      <c r="I405" s="116"/>
      <c r="L405" s="170">
        <v>44239</v>
      </c>
      <c r="M405" s="116">
        <v>4605.2749999999996</v>
      </c>
      <c r="N405" s="116">
        <v>4715</v>
      </c>
      <c r="O405" s="116">
        <v>4575</v>
      </c>
      <c r="P405" s="116">
        <v>4713.125</v>
      </c>
      <c r="Q405" s="116">
        <v>9210.5499999999993</v>
      </c>
      <c r="R405">
        <v>64421</v>
      </c>
    </row>
    <row r="406" spans="1:18" x14ac:dyDescent="0.25">
      <c r="A406" s="170">
        <v>44242</v>
      </c>
      <c r="B406" s="116">
        <v>4648.4250000000002</v>
      </c>
      <c r="C406" s="116">
        <v>4541.1000000000004</v>
      </c>
      <c r="D406" s="116">
        <v>4510.5</v>
      </c>
      <c r="E406" s="116">
        <v>4607.5</v>
      </c>
      <c r="F406" s="116">
        <v>9082.2000000000007</v>
      </c>
      <c r="G406">
        <v>9862</v>
      </c>
      <c r="H406" s="116"/>
      <c r="I406" s="116"/>
      <c r="L406" s="170">
        <v>44242</v>
      </c>
      <c r="M406" s="116">
        <v>4544.0749999999998</v>
      </c>
      <c r="N406" s="116">
        <v>4646.75</v>
      </c>
      <c r="O406" s="116">
        <v>4506.8999999999996</v>
      </c>
      <c r="P406" s="116">
        <v>4634.3</v>
      </c>
      <c r="Q406" s="116">
        <v>9088.15</v>
      </c>
      <c r="R406">
        <v>75157</v>
      </c>
    </row>
    <row r="407" spans="1:18" x14ac:dyDescent="0.25">
      <c r="A407" s="170">
        <v>44243</v>
      </c>
      <c r="B407" s="116">
        <v>4618.6750000000002</v>
      </c>
      <c r="C407" s="116">
        <v>4428.4750000000004</v>
      </c>
      <c r="D407" s="116">
        <v>4404.8500000000004</v>
      </c>
      <c r="E407" s="116">
        <v>4542.5</v>
      </c>
      <c r="F407" s="116">
        <v>8856.9500000000007</v>
      </c>
      <c r="G407">
        <v>4528</v>
      </c>
      <c r="H407" s="116"/>
      <c r="I407" s="116"/>
      <c r="L407" s="170">
        <v>44243</v>
      </c>
      <c r="M407" s="116">
        <v>4427.9250000000002</v>
      </c>
      <c r="N407" s="116">
        <v>4612.25</v>
      </c>
      <c r="O407" s="116">
        <v>4401</v>
      </c>
      <c r="P407" s="116">
        <v>4560</v>
      </c>
      <c r="Q407" s="116">
        <v>8855.85</v>
      </c>
      <c r="R407">
        <v>94314</v>
      </c>
    </row>
    <row r="408" spans="1:18" x14ac:dyDescent="0.25">
      <c r="A408" s="170">
        <v>44244</v>
      </c>
      <c r="B408" s="116">
        <v>4524.5</v>
      </c>
      <c r="C408" s="116">
        <v>4279.2</v>
      </c>
      <c r="D408" s="116">
        <v>4185.5</v>
      </c>
      <c r="E408" s="116">
        <v>4425</v>
      </c>
      <c r="F408" s="116">
        <v>8558.4</v>
      </c>
      <c r="G408">
        <v>18525</v>
      </c>
      <c r="H408" s="116"/>
      <c r="I408" s="116"/>
      <c r="L408" s="170">
        <v>44244</v>
      </c>
      <c r="M408" s="116">
        <v>4278.9250000000002</v>
      </c>
      <c r="N408" s="116">
        <v>4525</v>
      </c>
      <c r="O408" s="116">
        <v>4186.05</v>
      </c>
      <c r="P408" s="116">
        <v>4442</v>
      </c>
      <c r="Q408" s="116">
        <v>8557.85</v>
      </c>
      <c r="R408">
        <v>151831</v>
      </c>
    </row>
    <row r="409" spans="1:18" x14ac:dyDescent="0.25">
      <c r="A409" s="170">
        <v>44245</v>
      </c>
      <c r="B409" s="116">
        <v>4655.375</v>
      </c>
      <c r="C409" s="116">
        <v>4525.75</v>
      </c>
      <c r="D409" s="116">
        <v>4375</v>
      </c>
      <c r="E409" s="116">
        <v>4375</v>
      </c>
      <c r="F409" s="116">
        <v>9051.5</v>
      </c>
      <c r="G409">
        <v>26022</v>
      </c>
      <c r="H409" s="116"/>
      <c r="I409" s="116"/>
      <c r="L409" s="170">
        <v>44245</v>
      </c>
      <c r="M409" s="116">
        <v>4529.2</v>
      </c>
      <c r="N409" s="116">
        <v>4660</v>
      </c>
      <c r="O409" s="116">
        <v>4364.55</v>
      </c>
      <c r="P409" s="116">
        <v>4374.4750000000004</v>
      </c>
      <c r="Q409" s="116">
        <v>9058.4</v>
      </c>
      <c r="R409">
        <v>231515</v>
      </c>
    </row>
    <row r="410" spans="1:18" x14ac:dyDescent="0.25">
      <c r="A410" s="170">
        <v>44246</v>
      </c>
      <c r="B410" s="116">
        <v>4558.45</v>
      </c>
      <c r="C410" s="116">
        <v>4420.95</v>
      </c>
      <c r="D410" s="116">
        <v>4375.75</v>
      </c>
      <c r="E410" s="116">
        <v>4528.5</v>
      </c>
      <c r="F410" s="116">
        <v>8841.9</v>
      </c>
      <c r="G410">
        <v>3583</v>
      </c>
      <c r="H410" s="116"/>
      <c r="I410" s="116"/>
      <c r="L410" s="170">
        <v>44246</v>
      </c>
      <c r="M410" s="116">
        <v>4418.3999999999996</v>
      </c>
      <c r="N410" s="116">
        <v>4569.9750000000004</v>
      </c>
      <c r="O410" s="116">
        <v>4375.5</v>
      </c>
      <c r="P410" s="116">
        <v>4559.4250000000002</v>
      </c>
      <c r="Q410" s="116">
        <v>8836.7999999999993</v>
      </c>
      <c r="R410">
        <v>97522</v>
      </c>
    </row>
    <row r="411" spans="1:18" x14ac:dyDescent="0.25">
      <c r="A411" s="170">
        <v>44249</v>
      </c>
      <c r="B411" s="116">
        <v>4521.7749999999996</v>
      </c>
      <c r="C411" s="116">
        <v>4408.1000000000004</v>
      </c>
      <c r="D411" s="116">
        <v>4325</v>
      </c>
      <c r="E411" s="116">
        <v>4405.1000000000004</v>
      </c>
      <c r="F411" s="116">
        <v>8816.2000000000007</v>
      </c>
      <c r="G411">
        <v>9344</v>
      </c>
      <c r="H411" s="116"/>
      <c r="I411" s="116"/>
      <c r="L411" s="170">
        <v>44249</v>
      </c>
      <c r="M411" s="116">
        <v>4410.125</v>
      </c>
      <c r="N411" s="116">
        <v>4524.45</v>
      </c>
      <c r="O411" s="116">
        <v>4325.25</v>
      </c>
      <c r="P411" s="116">
        <v>4425</v>
      </c>
      <c r="Q411" s="116">
        <v>8820.25</v>
      </c>
      <c r="R411">
        <v>102576</v>
      </c>
    </row>
    <row r="412" spans="1:18" x14ac:dyDescent="0.25">
      <c r="A412" s="170">
        <v>44250</v>
      </c>
      <c r="B412" s="116">
        <v>4730.55</v>
      </c>
      <c r="C412" s="116">
        <v>4599.05</v>
      </c>
      <c r="D412" s="116">
        <v>4377.45</v>
      </c>
      <c r="E412" s="116">
        <v>4515</v>
      </c>
      <c r="F412" s="116">
        <v>9198.1</v>
      </c>
      <c r="G412">
        <v>6890</v>
      </c>
      <c r="H412" s="116"/>
      <c r="I412" s="116"/>
      <c r="L412" s="170">
        <v>44250</v>
      </c>
      <c r="M412" s="116">
        <v>4604.3</v>
      </c>
      <c r="N412" s="116">
        <v>4731.8999999999996</v>
      </c>
      <c r="O412" s="116">
        <v>4372.5</v>
      </c>
      <c r="P412" s="116">
        <v>4499.5</v>
      </c>
      <c r="Q412" s="116">
        <v>9208.6</v>
      </c>
      <c r="R412">
        <v>203146</v>
      </c>
    </row>
    <row r="413" spans="1:18" x14ac:dyDescent="0.25">
      <c r="A413" s="170">
        <v>44251</v>
      </c>
      <c r="B413" s="116">
        <v>4700</v>
      </c>
      <c r="C413" s="116">
        <v>4447.45</v>
      </c>
      <c r="D413" s="116">
        <v>4250.0249999999996</v>
      </c>
      <c r="E413" s="116">
        <v>4607.5</v>
      </c>
      <c r="F413" s="116">
        <v>8894.9</v>
      </c>
      <c r="G413">
        <v>38138</v>
      </c>
      <c r="H413" s="116"/>
      <c r="I413" s="116"/>
      <c r="L413" s="170">
        <v>44251</v>
      </c>
      <c r="M413" s="116">
        <v>4446.2749999999996</v>
      </c>
      <c r="N413" s="116">
        <v>4705</v>
      </c>
      <c r="O413" s="116">
        <v>4375</v>
      </c>
      <c r="P413" s="116">
        <v>4610.3</v>
      </c>
      <c r="Q413" s="116">
        <v>8892.5499999999993</v>
      </c>
      <c r="R413">
        <v>147683</v>
      </c>
    </row>
    <row r="414" spans="1:18" x14ac:dyDescent="0.25">
      <c r="A414" s="170">
        <v>44252</v>
      </c>
      <c r="B414" s="116">
        <v>4499.9750000000004</v>
      </c>
      <c r="C414" s="116">
        <v>4345.2250000000004</v>
      </c>
      <c r="D414" s="116">
        <v>4303.7</v>
      </c>
      <c r="E414" s="116">
        <v>4487.5</v>
      </c>
      <c r="F414" s="116">
        <v>8690.4500000000007</v>
      </c>
      <c r="G414">
        <v>14289</v>
      </c>
      <c r="H414" s="116"/>
      <c r="I414" s="116"/>
      <c r="L414" s="170">
        <v>44252</v>
      </c>
      <c r="M414" s="116">
        <v>4346.7749999999996</v>
      </c>
      <c r="N414" s="116">
        <v>4495.9750000000004</v>
      </c>
      <c r="O414" s="116">
        <v>4300.5249999999996</v>
      </c>
      <c r="P414" s="116">
        <v>4475</v>
      </c>
      <c r="Q414" s="116">
        <v>8693.5499999999993</v>
      </c>
      <c r="R414">
        <v>172317</v>
      </c>
    </row>
    <row r="415" spans="1:18" x14ac:dyDescent="0.25">
      <c r="A415" s="170">
        <v>44253</v>
      </c>
      <c r="B415" s="116">
        <v>4340.2250000000004</v>
      </c>
      <c r="C415" s="116">
        <v>4298.4750000000004</v>
      </c>
      <c r="D415" s="116">
        <v>4250</v>
      </c>
      <c r="E415" s="116">
        <v>4340.2250000000004</v>
      </c>
      <c r="F415" s="116">
        <v>8596.9500000000007</v>
      </c>
      <c r="G415">
        <v>4407</v>
      </c>
      <c r="H415" s="116"/>
      <c r="I415" s="116"/>
      <c r="L415" s="170">
        <v>44253</v>
      </c>
      <c r="M415" s="116">
        <v>4297.875</v>
      </c>
      <c r="N415" s="116">
        <v>4343.625</v>
      </c>
      <c r="O415" s="116">
        <v>4250.05</v>
      </c>
      <c r="P415" s="116">
        <v>4275</v>
      </c>
      <c r="Q415" s="116">
        <v>8595.75</v>
      </c>
      <c r="R415">
        <v>110984</v>
      </c>
    </row>
    <row r="416" spans="1:18" x14ac:dyDescent="0.25">
      <c r="A416" s="170">
        <v>44256</v>
      </c>
      <c r="B416" s="116">
        <v>4399.7250000000004</v>
      </c>
      <c r="C416" s="116">
        <v>4286.8</v>
      </c>
      <c r="D416" s="116">
        <v>4275.3</v>
      </c>
      <c r="E416" s="116">
        <v>4327.5</v>
      </c>
      <c r="F416" s="116">
        <v>8573.6</v>
      </c>
      <c r="G416">
        <v>9750</v>
      </c>
      <c r="H416" s="116"/>
      <c r="I416" s="116"/>
      <c r="L416" s="170">
        <v>44256</v>
      </c>
      <c r="M416" s="116">
        <v>4290.4250000000002</v>
      </c>
      <c r="N416" s="116">
        <v>4403.95</v>
      </c>
      <c r="O416" s="116">
        <v>4275</v>
      </c>
      <c r="P416" s="116">
        <v>4350</v>
      </c>
      <c r="Q416" s="116">
        <v>8580.85</v>
      </c>
      <c r="R416">
        <v>83294</v>
      </c>
    </row>
    <row r="417" spans="1:18" x14ac:dyDescent="0.25">
      <c r="A417" s="170">
        <v>44257</v>
      </c>
      <c r="B417" s="116">
        <v>4343.4750000000004</v>
      </c>
      <c r="C417" s="116">
        <v>4151.6000000000004</v>
      </c>
      <c r="D417" s="116">
        <v>4059.1750000000002</v>
      </c>
      <c r="E417" s="116">
        <v>4291</v>
      </c>
      <c r="F417" s="116">
        <v>8303.2000000000007</v>
      </c>
      <c r="G417">
        <v>9947</v>
      </c>
      <c r="H417" s="116"/>
      <c r="I417" s="116"/>
      <c r="L417" s="170">
        <v>44257</v>
      </c>
      <c r="M417" s="116">
        <v>4152.3</v>
      </c>
      <c r="N417" s="116">
        <v>4342.5</v>
      </c>
      <c r="O417" s="116">
        <v>4057.65</v>
      </c>
      <c r="P417" s="116">
        <v>4326.2250000000004</v>
      </c>
      <c r="Q417" s="116">
        <v>8304.6</v>
      </c>
      <c r="R417">
        <v>177607</v>
      </c>
    </row>
    <row r="418" spans="1:18" x14ac:dyDescent="0.25">
      <c r="A418" s="170">
        <v>44258</v>
      </c>
      <c r="B418" s="116">
        <v>4275</v>
      </c>
      <c r="C418" s="116">
        <v>4085.1</v>
      </c>
      <c r="D418" s="116">
        <v>4061</v>
      </c>
      <c r="E418" s="116">
        <v>4200</v>
      </c>
      <c r="F418" s="116">
        <v>8170.2</v>
      </c>
      <c r="G418">
        <v>6635</v>
      </c>
      <c r="H418" s="116"/>
      <c r="I418" s="116"/>
      <c r="L418" s="170">
        <v>44258</v>
      </c>
      <c r="M418" s="116">
        <v>4085.65</v>
      </c>
      <c r="N418" s="116">
        <v>4275</v>
      </c>
      <c r="O418" s="116">
        <v>4060</v>
      </c>
      <c r="P418" s="116">
        <v>4189.6750000000002</v>
      </c>
      <c r="Q418" s="116">
        <v>8171.3</v>
      </c>
      <c r="R418">
        <v>164966</v>
      </c>
    </row>
    <row r="419" spans="1:18" x14ac:dyDescent="0.25">
      <c r="A419" s="170">
        <v>44259</v>
      </c>
      <c r="B419" s="116">
        <v>4170.5</v>
      </c>
      <c r="C419" s="116">
        <v>4098.75</v>
      </c>
      <c r="D419" s="116">
        <v>4010</v>
      </c>
      <c r="E419" s="116">
        <v>4092</v>
      </c>
      <c r="F419" s="116">
        <v>8197.5</v>
      </c>
      <c r="G419">
        <v>5173</v>
      </c>
      <c r="H419" s="116"/>
      <c r="I419" s="116"/>
      <c r="L419" s="170">
        <v>44259</v>
      </c>
      <c r="M419" s="116">
        <v>4093.55</v>
      </c>
      <c r="N419" s="116">
        <v>4170</v>
      </c>
      <c r="O419" s="116">
        <v>4003</v>
      </c>
      <c r="P419" s="116">
        <v>4062.5</v>
      </c>
      <c r="Q419" s="116">
        <v>8187.1</v>
      </c>
      <c r="R419">
        <v>128499</v>
      </c>
    </row>
    <row r="420" spans="1:18" x14ac:dyDescent="0.25">
      <c r="A420" s="170">
        <v>44260</v>
      </c>
      <c r="B420" s="116">
        <v>4142.0249999999996</v>
      </c>
      <c r="C420" s="116">
        <v>4030.1750000000002</v>
      </c>
      <c r="D420" s="116">
        <v>4010.6</v>
      </c>
      <c r="E420" s="116">
        <v>4075</v>
      </c>
      <c r="F420" s="116">
        <v>8060.35</v>
      </c>
      <c r="G420">
        <v>12476</v>
      </c>
      <c r="H420" s="116"/>
      <c r="I420" s="116"/>
      <c r="L420" s="170">
        <v>44260</v>
      </c>
      <c r="M420" s="116">
        <v>4033.2249999999999</v>
      </c>
      <c r="N420" s="116">
        <v>4145.6000000000004</v>
      </c>
      <c r="O420" s="116">
        <v>4017.5</v>
      </c>
      <c r="P420" s="116">
        <v>4093.55</v>
      </c>
      <c r="Q420" s="116">
        <v>8066.45</v>
      </c>
      <c r="R420">
        <v>84122</v>
      </c>
    </row>
    <row r="421" spans="1:18" x14ac:dyDescent="0.25">
      <c r="A421" s="170">
        <v>44263</v>
      </c>
      <c r="B421" s="116">
        <v>4098.9750000000004</v>
      </c>
      <c r="C421" s="116">
        <v>4047.625</v>
      </c>
      <c r="D421" s="116">
        <v>4034.125</v>
      </c>
      <c r="E421" s="116">
        <v>4080</v>
      </c>
      <c r="F421" s="116">
        <v>8095.25</v>
      </c>
      <c r="G421">
        <v>3044</v>
      </c>
      <c r="H421" s="116"/>
      <c r="I421" s="116"/>
      <c r="L421" s="170">
        <v>44263</v>
      </c>
      <c r="M421" s="116">
        <v>4049.6750000000002</v>
      </c>
      <c r="N421" s="116">
        <v>4099.9250000000002</v>
      </c>
      <c r="O421" s="116">
        <v>4036</v>
      </c>
      <c r="P421" s="116">
        <v>4072.6</v>
      </c>
      <c r="Q421" s="116">
        <v>8099.35</v>
      </c>
      <c r="R421">
        <v>78666</v>
      </c>
    </row>
    <row r="422" spans="1:18" x14ac:dyDescent="0.25">
      <c r="A422" s="170">
        <v>44264</v>
      </c>
      <c r="B422" s="116">
        <v>4100</v>
      </c>
      <c r="C422" s="116">
        <v>3878.15</v>
      </c>
      <c r="D422" s="116">
        <v>3804.8</v>
      </c>
      <c r="E422" s="116">
        <v>4100</v>
      </c>
      <c r="F422" s="116">
        <v>7756.3</v>
      </c>
      <c r="G422">
        <v>7803</v>
      </c>
      <c r="H422" s="116"/>
      <c r="I422" s="116"/>
      <c r="L422" s="170">
        <v>44264</v>
      </c>
      <c r="M422" s="116">
        <v>3875.5749999999998</v>
      </c>
      <c r="N422" s="116">
        <v>4107.45</v>
      </c>
      <c r="O422" s="116">
        <v>3802.7750000000001</v>
      </c>
      <c r="P422" s="116">
        <v>4087.8</v>
      </c>
      <c r="Q422" s="116">
        <v>7751.15</v>
      </c>
      <c r="R422">
        <v>185104</v>
      </c>
    </row>
    <row r="423" spans="1:18" x14ac:dyDescent="0.25">
      <c r="A423" s="170">
        <v>44265</v>
      </c>
      <c r="B423" s="116">
        <v>4222.5</v>
      </c>
      <c r="C423" s="116">
        <v>4199.6499999999996</v>
      </c>
      <c r="D423" s="116">
        <v>3900</v>
      </c>
      <c r="E423" s="116">
        <v>3924</v>
      </c>
      <c r="F423" s="116">
        <v>8399.2999999999993</v>
      </c>
      <c r="G423">
        <v>43144</v>
      </c>
      <c r="H423" s="116"/>
      <c r="I423" s="116"/>
      <c r="L423" s="170">
        <v>44265</v>
      </c>
      <c r="M423" s="116">
        <v>4200.5249999999996</v>
      </c>
      <c r="N423" s="116">
        <v>4225</v>
      </c>
      <c r="O423" s="116">
        <v>3900</v>
      </c>
      <c r="P423" s="116">
        <v>3910</v>
      </c>
      <c r="Q423" s="116">
        <v>8401.0499999999993</v>
      </c>
      <c r="R423">
        <v>389886</v>
      </c>
    </row>
    <row r="424" spans="1:18" x14ac:dyDescent="0.25">
      <c r="A424" s="170">
        <v>44267</v>
      </c>
      <c r="B424" s="116">
        <v>4299.5</v>
      </c>
      <c r="C424" s="116">
        <v>4239.95</v>
      </c>
      <c r="D424" s="116">
        <v>4166.5</v>
      </c>
      <c r="E424" s="116">
        <v>4247.5</v>
      </c>
      <c r="F424" s="116">
        <v>8479.9</v>
      </c>
      <c r="G424">
        <v>8050</v>
      </c>
      <c r="H424" s="116"/>
      <c r="I424" s="116"/>
      <c r="L424" s="170">
        <v>44267</v>
      </c>
      <c r="M424" s="116">
        <v>4244.3500000000004</v>
      </c>
      <c r="N424" s="116">
        <v>4297.5</v>
      </c>
      <c r="O424" s="116">
        <v>4165.2</v>
      </c>
      <c r="P424" s="116">
        <v>4249.9750000000004</v>
      </c>
      <c r="Q424" s="116">
        <v>8488.7000000000007</v>
      </c>
      <c r="R424">
        <v>238804</v>
      </c>
    </row>
    <row r="425" spans="1:18" x14ac:dyDescent="0.25">
      <c r="A425" s="170">
        <v>44270</v>
      </c>
      <c r="B425" s="116">
        <v>4274</v>
      </c>
      <c r="C425" s="116">
        <v>4174.0249999999996</v>
      </c>
      <c r="D425" s="116">
        <v>4100.05</v>
      </c>
      <c r="E425" s="116">
        <v>4274</v>
      </c>
      <c r="F425" s="116">
        <v>8348.0499999999993</v>
      </c>
      <c r="G425">
        <v>3395</v>
      </c>
      <c r="H425" s="116"/>
      <c r="I425" s="116"/>
      <c r="L425" s="170">
        <v>44270</v>
      </c>
      <c r="M425" s="116">
        <v>4171.8249999999998</v>
      </c>
      <c r="N425" s="116">
        <v>4249.5</v>
      </c>
      <c r="O425" s="116">
        <v>4100.25</v>
      </c>
      <c r="P425" s="116">
        <v>4249.5</v>
      </c>
      <c r="Q425" s="116">
        <v>8343.65</v>
      </c>
      <c r="R425">
        <v>140526</v>
      </c>
    </row>
    <row r="426" spans="1:18" x14ac:dyDescent="0.25">
      <c r="A426" s="170">
        <v>44271</v>
      </c>
      <c r="B426" s="116">
        <v>4236.3500000000004</v>
      </c>
      <c r="C426" s="116">
        <v>4207.5749999999998</v>
      </c>
      <c r="D426" s="116">
        <v>4125</v>
      </c>
      <c r="E426" s="116">
        <v>4209.5</v>
      </c>
      <c r="F426" s="116">
        <v>8415.15</v>
      </c>
      <c r="G426">
        <v>7460</v>
      </c>
      <c r="H426" s="116"/>
      <c r="I426" s="116"/>
      <c r="L426" s="170">
        <v>44271</v>
      </c>
      <c r="M426" s="116">
        <v>4210.9250000000002</v>
      </c>
      <c r="N426" s="116">
        <v>4234.2250000000004</v>
      </c>
      <c r="O426" s="116">
        <v>4130.0249999999996</v>
      </c>
      <c r="P426" s="116">
        <v>4190</v>
      </c>
      <c r="Q426" s="116">
        <v>8421.85</v>
      </c>
      <c r="R426">
        <v>102430</v>
      </c>
    </row>
    <row r="427" spans="1:18" x14ac:dyDescent="0.25">
      <c r="A427" s="170">
        <v>44272</v>
      </c>
      <c r="B427" s="116">
        <v>4207.5749999999998</v>
      </c>
      <c r="C427" s="116">
        <v>4052.9</v>
      </c>
      <c r="D427" s="116">
        <v>4014.25</v>
      </c>
      <c r="E427" s="116">
        <v>4207.5749999999998</v>
      </c>
      <c r="F427" s="116">
        <v>8105.8</v>
      </c>
      <c r="G427">
        <v>3660</v>
      </c>
      <c r="H427" s="116"/>
      <c r="I427" s="116"/>
      <c r="L427" s="170">
        <v>44272</v>
      </c>
      <c r="M427" s="116">
        <v>4063.5749999999998</v>
      </c>
      <c r="N427" s="116">
        <v>4212.6750000000002</v>
      </c>
      <c r="O427" s="116">
        <v>4012.7750000000001</v>
      </c>
      <c r="P427" s="116">
        <v>4212.4750000000004</v>
      </c>
      <c r="Q427" s="116">
        <v>8127.15</v>
      </c>
      <c r="R427">
        <v>79449</v>
      </c>
    </row>
    <row r="428" spans="1:18" x14ac:dyDescent="0.25">
      <c r="A428" s="170">
        <v>44273</v>
      </c>
      <c r="B428" s="116">
        <v>4187.4250000000002</v>
      </c>
      <c r="C428" s="116">
        <v>4137.125</v>
      </c>
      <c r="D428" s="116">
        <v>3990.05</v>
      </c>
      <c r="E428" s="116">
        <v>4101.5</v>
      </c>
      <c r="F428" s="116">
        <v>8274.25</v>
      </c>
      <c r="G428">
        <v>10814</v>
      </c>
      <c r="H428" s="116"/>
      <c r="I428" s="116"/>
      <c r="L428" s="170">
        <v>44273</v>
      </c>
      <c r="M428" s="116">
        <v>4132.8500000000004</v>
      </c>
      <c r="N428" s="116">
        <v>4186</v>
      </c>
      <c r="O428" s="116">
        <v>3990</v>
      </c>
      <c r="P428" s="116">
        <v>4127.2</v>
      </c>
      <c r="Q428" s="116">
        <v>8265.7000000000007</v>
      </c>
      <c r="R428">
        <v>188872</v>
      </c>
    </row>
    <row r="429" spans="1:18" x14ac:dyDescent="0.25">
      <c r="A429" s="170">
        <v>44274</v>
      </c>
      <c r="B429" s="116">
        <v>4141.1499999999996</v>
      </c>
      <c r="C429" s="116">
        <v>4058.5749999999998</v>
      </c>
      <c r="D429" s="116">
        <v>3990.5250000000001</v>
      </c>
      <c r="E429" s="116">
        <v>4050.5250000000001</v>
      </c>
      <c r="F429" s="116">
        <v>8117.15</v>
      </c>
      <c r="G429">
        <v>13584</v>
      </c>
      <c r="H429" s="116"/>
      <c r="I429" s="116"/>
      <c r="L429" s="170">
        <v>44274</v>
      </c>
      <c r="M429" s="116">
        <v>4069.5</v>
      </c>
      <c r="N429" s="116">
        <v>4143.3</v>
      </c>
      <c r="O429" s="116">
        <v>3994.35</v>
      </c>
      <c r="P429" s="116">
        <v>4062.85</v>
      </c>
      <c r="Q429" s="116">
        <v>8139</v>
      </c>
      <c r="R429">
        <v>337700</v>
      </c>
    </row>
    <row r="430" spans="1:18" x14ac:dyDescent="0.25">
      <c r="A430" s="170">
        <v>44277</v>
      </c>
      <c r="B430" s="116">
        <v>4135.3249999999998</v>
      </c>
      <c r="C430" s="116">
        <v>3995.8249999999998</v>
      </c>
      <c r="D430" s="116">
        <v>3952.5250000000001</v>
      </c>
      <c r="E430" s="116">
        <v>4070</v>
      </c>
      <c r="F430" s="116">
        <v>7991.65</v>
      </c>
      <c r="G430">
        <v>5337</v>
      </c>
      <c r="H430" s="116"/>
      <c r="I430" s="116"/>
      <c r="L430" s="170">
        <v>44277</v>
      </c>
      <c r="M430" s="116">
        <v>3996.6</v>
      </c>
      <c r="N430" s="116">
        <v>4132</v>
      </c>
      <c r="O430" s="116">
        <v>3950.0749999999998</v>
      </c>
      <c r="P430" s="116">
        <v>4095</v>
      </c>
      <c r="Q430" s="116">
        <v>7993.2</v>
      </c>
      <c r="R430">
        <v>104348</v>
      </c>
    </row>
    <row r="431" spans="1:18" x14ac:dyDescent="0.25">
      <c r="A431" s="170">
        <v>44278</v>
      </c>
      <c r="B431" s="116">
        <v>4045</v>
      </c>
      <c r="C431" s="116">
        <v>3961.2750000000001</v>
      </c>
      <c r="D431" s="116">
        <v>3916.5</v>
      </c>
      <c r="E431" s="116">
        <v>4045</v>
      </c>
      <c r="F431" s="116">
        <v>7922.55</v>
      </c>
      <c r="G431">
        <v>2978</v>
      </c>
      <c r="H431" s="116"/>
      <c r="I431" s="116"/>
      <c r="L431" s="170">
        <v>44278</v>
      </c>
      <c r="M431" s="116">
        <v>3959.7</v>
      </c>
      <c r="N431" s="116">
        <v>4038.95</v>
      </c>
      <c r="O431" s="116">
        <v>3905.5749999999998</v>
      </c>
      <c r="P431" s="116">
        <v>4020</v>
      </c>
      <c r="Q431" s="116">
        <v>7919.4</v>
      </c>
      <c r="R431">
        <v>108016</v>
      </c>
    </row>
    <row r="432" spans="1:18" x14ac:dyDescent="0.25">
      <c r="A432" s="170">
        <v>44279</v>
      </c>
      <c r="B432" s="116">
        <v>4045</v>
      </c>
      <c r="C432" s="116">
        <v>3905.0749999999998</v>
      </c>
      <c r="D432" s="116">
        <v>3890.9749999999999</v>
      </c>
      <c r="E432" s="116">
        <v>3955</v>
      </c>
      <c r="F432" s="116">
        <v>7810.15</v>
      </c>
      <c r="G432">
        <v>8568</v>
      </c>
      <c r="H432" s="116"/>
      <c r="I432" s="116"/>
      <c r="L432" s="170">
        <v>44279</v>
      </c>
      <c r="M432" s="116">
        <v>3906.35</v>
      </c>
      <c r="N432" s="116">
        <v>4047.5</v>
      </c>
      <c r="O432" s="116">
        <v>3890.5250000000001</v>
      </c>
      <c r="P432" s="116">
        <v>3962.5</v>
      </c>
      <c r="Q432" s="116">
        <v>7812.7</v>
      </c>
      <c r="R432">
        <v>80499</v>
      </c>
    </row>
    <row r="433" spans="1:18" x14ac:dyDescent="0.25">
      <c r="A433" s="170">
        <v>44280</v>
      </c>
      <c r="B433" s="116">
        <v>3981.875</v>
      </c>
      <c r="C433" s="116">
        <v>3899.5250000000001</v>
      </c>
      <c r="D433" s="116">
        <v>3815.05</v>
      </c>
      <c r="E433" s="116">
        <v>3950</v>
      </c>
      <c r="F433" s="116">
        <v>7799.05</v>
      </c>
      <c r="G433">
        <v>5322</v>
      </c>
      <c r="H433" s="116"/>
      <c r="I433" s="116"/>
      <c r="L433" s="170">
        <v>44280</v>
      </c>
      <c r="M433" s="116">
        <v>3893.7249999999999</v>
      </c>
      <c r="N433" s="116">
        <v>3990</v>
      </c>
      <c r="O433" s="116">
        <v>3812.5</v>
      </c>
      <c r="P433" s="116">
        <v>3932.5250000000001</v>
      </c>
      <c r="Q433" s="116">
        <v>7787.45</v>
      </c>
      <c r="R433">
        <v>130461</v>
      </c>
    </row>
    <row r="434" spans="1:18" x14ac:dyDescent="0.25">
      <c r="A434" s="170">
        <v>44281</v>
      </c>
      <c r="B434" s="116">
        <v>3968.45</v>
      </c>
      <c r="C434" s="116">
        <v>3891.125</v>
      </c>
      <c r="D434" s="116">
        <v>3857.0250000000001</v>
      </c>
      <c r="E434" s="116">
        <v>3918</v>
      </c>
      <c r="F434" s="116">
        <v>7782.25</v>
      </c>
      <c r="G434">
        <v>7647</v>
      </c>
      <c r="H434" s="116"/>
      <c r="I434" s="116"/>
      <c r="L434" s="170">
        <v>44281</v>
      </c>
      <c r="M434" s="116">
        <v>3898.4</v>
      </c>
      <c r="N434" s="116">
        <v>3971.8249999999998</v>
      </c>
      <c r="O434" s="116">
        <v>3852.5</v>
      </c>
      <c r="P434" s="116">
        <v>3935</v>
      </c>
      <c r="Q434" s="116">
        <v>7796.8</v>
      </c>
      <c r="R434">
        <v>96362</v>
      </c>
    </row>
    <row r="435" spans="1:18" x14ac:dyDescent="0.25">
      <c r="A435" s="170">
        <v>44285</v>
      </c>
      <c r="B435" s="116">
        <v>3955.8249999999998</v>
      </c>
      <c r="C435" s="116">
        <v>3911.5749999999998</v>
      </c>
      <c r="D435" s="116">
        <v>3863.2</v>
      </c>
      <c r="E435" s="116">
        <v>3928.45</v>
      </c>
      <c r="F435" s="116">
        <v>7823.15</v>
      </c>
      <c r="G435">
        <v>4047</v>
      </c>
      <c r="H435" s="116"/>
      <c r="I435" s="116"/>
      <c r="L435" s="170">
        <v>44285</v>
      </c>
      <c r="M435" s="116">
        <v>3910.4</v>
      </c>
      <c r="N435" s="116">
        <v>3954.95</v>
      </c>
      <c r="O435" s="116">
        <v>3860</v>
      </c>
      <c r="P435" s="116">
        <v>3924.5</v>
      </c>
      <c r="Q435" s="116">
        <v>7820.8</v>
      </c>
      <c r="R435">
        <v>137919</v>
      </c>
    </row>
    <row r="436" spans="1:18" x14ac:dyDescent="0.25">
      <c r="A436" s="170">
        <v>44286</v>
      </c>
      <c r="B436" s="116">
        <v>3915.5</v>
      </c>
      <c r="C436" s="116">
        <v>3866.2750000000001</v>
      </c>
      <c r="D436" s="116">
        <v>3851.0250000000001</v>
      </c>
      <c r="E436" s="116">
        <v>3911.5749999999998</v>
      </c>
      <c r="F436" s="116">
        <v>7732.55</v>
      </c>
      <c r="G436">
        <v>5562</v>
      </c>
      <c r="H436" s="116"/>
      <c r="I436" s="116"/>
      <c r="L436" s="170">
        <v>44286</v>
      </c>
      <c r="M436" s="116">
        <v>3868.9749999999999</v>
      </c>
      <c r="N436" s="116">
        <v>3915</v>
      </c>
      <c r="O436" s="116">
        <v>3851</v>
      </c>
      <c r="P436" s="116">
        <v>3900</v>
      </c>
      <c r="Q436" s="116">
        <v>7737.95</v>
      </c>
      <c r="R436">
        <v>62902</v>
      </c>
    </row>
    <row r="437" spans="1:18" x14ac:dyDescent="0.25">
      <c r="A437" s="170">
        <v>44287</v>
      </c>
      <c r="B437" s="116">
        <v>4009.4749999999999</v>
      </c>
      <c r="C437" s="116">
        <v>3989.1</v>
      </c>
      <c r="D437" s="116">
        <v>3885</v>
      </c>
      <c r="E437" s="116">
        <v>3885</v>
      </c>
      <c r="F437" s="116">
        <v>7978.2</v>
      </c>
      <c r="G437">
        <v>5651</v>
      </c>
      <c r="H437" s="116"/>
      <c r="I437" s="116"/>
      <c r="L437" s="170">
        <v>44287</v>
      </c>
      <c r="M437" s="116">
        <v>3986.2750000000001</v>
      </c>
      <c r="N437" s="116">
        <v>4018.85</v>
      </c>
      <c r="O437" s="116">
        <v>3880.5</v>
      </c>
      <c r="P437" s="116">
        <v>3880.5</v>
      </c>
      <c r="Q437" s="116">
        <v>7972.55</v>
      </c>
      <c r="R437">
        <v>115414</v>
      </c>
    </row>
    <row r="438" spans="1:18" x14ac:dyDescent="0.25">
      <c r="A438" s="170">
        <v>44291</v>
      </c>
      <c r="B438" s="116">
        <v>4035.5</v>
      </c>
      <c r="C438" s="116">
        <v>4002.3249999999998</v>
      </c>
      <c r="D438" s="116">
        <v>3775</v>
      </c>
      <c r="E438" s="116">
        <v>3937.5</v>
      </c>
      <c r="F438" s="116">
        <v>8004.65</v>
      </c>
      <c r="G438">
        <v>13455</v>
      </c>
      <c r="H438" s="116"/>
      <c r="I438" s="116"/>
      <c r="L438" s="170">
        <v>44291</v>
      </c>
      <c r="M438" s="116">
        <v>4002.2750000000001</v>
      </c>
      <c r="N438" s="116">
        <v>4039</v>
      </c>
      <c r="O438" s="116">
        <v>3868.0250000000001</v>
      </c>
      <c r="P438" s="116">
        <v>3960</v>
      </c>
      <c r="Q438" s="116">
        <v>8004.55</v>
      </c>
      <c r="R438">
        <v>98752</v>
      </c>
    </row>
    <row r="439" spans="1:18" x14ac:dyDescent="0.25">
      <c r="A439" s="170">
        <v>44292</v>
      </c>
      <c r="B439" s="116">
        <v>4033.95</v>
      </c>
      <c r="C439" s="116">
        <v>3976.125</v>
      </c>
      <c r="D439" s="116">
        <v>3896</v>
      </c>
      <c r="E439" s="116">
        <v>3896</v>
      </c>
      <c r="F439" s="116">
        <v>7952.25</v>
      </c>
      <c r="G439">
        <v>4681</v>
      </c>
      <c r="H439" s="116"/>
      <c r="I439" s="116"/>
      <c r="L439" s="170">
        <v>44292</v>
      </c>
      <c r="M439" s="116">
        <v>3976.8249999999998</v>
      </c>
      <c r="N439" s="116">
        <v>4033.65</v>
      </c>
      <c r="O439" s="116">
        <v>3931.5</v>
      </c>
      <c r="P439" s="116">
        <v>4010</v>
      </c>
      <c r="Q439" s="116">
        <v>7953.65</v>
      </c>
      <c r="R439">
        <v>47504</v>
      </c>
    </row>
    <row r="440" spans="1:18" x14ac:dyDescent="0.25">
      <c r="A440" s="170">
        <v>44293</v>
      </c>
      <c r="B440" s="116">
        <v>4107.8</v>
      </c>
      <c r="C440" s="116">
        <v>4019.125</v>
      </c>
      <c r="D440" s="116">
        <v>3892.6750000000002</v>
      </c>
      <c r="E440" s="116">
        <v>3976.5250000000001</v>
      </c>
      <c r="F440" s="116">
        <v>8038.25</v>
      </c>
      <c r="G440">
        <v>4108</v>
      </c>
      <c r="H440" s="116"/>
      <c r="I440" s="116"/>
      <c r="L440" s="170">
        <v>44293</v>
      </c>
      <c r="M440" s="116">
        <v>4021.7249999999999</v>
      </c>
      <c r="N440" s="116">
        <v>4113.5</v>
      </c>
      <c r="O440" s="116">
        <v>3965.5</v>
      </c>
      <c r="P440" s="116">
        <v>3992.5</v>
      </c>
      <c r="Q440" s="116">
        <v>8043.45</v>
      </c>
      <c r="R440">
        <v>97822</v>
      </c>
    </row>
    <row r="441" spans="1:18" x14ac:dyDescent="0.25">
      <c r="A441" s="170">
        <v>44294</v>
      </c>
      <c r="B441" s="116">
        <v>4132.5249999999996</v>
      </c>
      <c r="C441" s="116">
        <v>4107.1499999999996</v>
      </c>
      <c r="D441" s="116">
        <v>4047.875</v>
      </c>
      <c r="E441" s="116">
        <v>4049</v>
      </c>
      <c r="F441" s="116">
        <v>8214.2999999999993</v>
      </c>
      <c r="G441">
        <v>3737</v>
      </c>
      <c r="H441" s="116"/>
      <c r="I441" s="116"/>
      <c r="L441" s="170">
        <v>44294</v>
      </c>
      <c r="M441" s="116">
        <v>4108.375</v>
      </c>
      <c r="N441" s="116">
        <v>4137.5</v>
      </c>
      <c r="O441" s="116">
        <v>4034.125</v>
      </c>
      <c r="P441" s="116">
        <v>4053.9749999999999</v>
      </c>
      <c r="Q441" s="116">
        <v>8216.75</v>
      </c>
      <c r="R441">
        <v>72048</v>
      </c>
    </row>
    <row r="442" spans="1:18" x14ac:dyDescent="0.25">
      <c r="A442" s="170">
        <v>44295</v>
      </c>
      <c r="B442" s="116">
        <v>4224</v>
      </c>
      <c r="C442" s="116">
        <v>4196.875</v>
      </c>
      <c r="D442" s="116">
        <v>4135</v>
      </c>
      <c r="E442" s="116">
        <v>4147.5</v>
      </c>
      <c r="F442" s="116">
        <v>8393.75</v>
      </c>
      <c r="G442">
        <v>3464</v>
      </c>
      <c r="H442" s="116"/>
      <c r="I442" s="116"/>
      <c r="L442" s="170">
        <v>44295</v>
      </c>
      <c r="M442" s="116">
        <v>4198.3</v>
      </c>
      <c r="N442" s="116">
        <v>4224.5</v>
      </c>
      <c r="O442" s="116">
        <v>4115</v>
      </c>
      <c r="P442" s="116">
        <v>4146.8999999999996</v>
      </c>
      <c r="Q442" s="116">
        <v>8396.6</v>
      </c>
      <c r="R442">
        <v>99298</v>
      </c>
    </row>
    <row r="443" spans="1:18" x14ac:dyDescent="0.25">
      <c r="A443" s="170">
        <v>44298</v>
      </c>
      <c r="B443" s="116">
        <v>4190</v>
      </c>
      <c r="C443" s="116">
        <v>3945.0749999999998</v>
      </c>
      <c r="D443" s="116">
        <v>3903.3249999999998</v>
      </c>
      <c r="E443" s="116">
        <v>4190</v>
      </c>
      <c r="F443" s="116">
        <v>7890.15</v>
      </c>
      <c r="G443">
        <v>4758</v>
      </c>
      <c r="H443" s="116"/>
      <c r="I443" s="116"/>
      <c r="L443" s="170">
        <v>44298</v>
      </c>
      <c r="M443" s="116">
        <v>3942.5250000000001</v>
      </c>
      <c r="N443" s="116">
        <v>4149.9250000000002</v>
      </c>
      <c r="O443" s="116">
        <v>3900</v>
      </c>
      <c r="P443" s="116">
        <v>4110.0249999999996</v>
      </c>
      <c r="Q443" s="116">
        <v>7885.05</v>
      </c>
      <c r="R443">
        <v>115446</v>
      </c>
    </row>
    <row r="444" spans="1:18" x14ac:dyDescent="0.25">
      <c r="A444" s="170">
        <v>44299</v>
      </c>
      <c r="B444" s="116">
        <v>4042.8</v>
      </c>
      <c r="C444" s="116">
        <v>3972.9</v>
      </c>
      <c r="D444" s="116">
        <v>3931</v>
      </c>
      <c r="E444" s="116">
        <v>3931</v>
      </c>
      <c r="F444" s="116">
        <v>7945.8</v>
      </c>
      <c r="G444">
        <v>5027</v>
      </c>
      <c r="H444" s="116"/>
      <c r="I444" s="116"/>
      <c r="L444" s="170">
        <v>44299</v>
      </c>
      <c r="M444" s="116">
        <v>3973.2</v>
      </c>
      <c r="N444" s="116">
        <v>4039.875</v>
      </c>
      <c r="O444" s="116">
        <v>3929.6750000000002</v>
      </c>
      <c r="P444" s="116">
        <v>3962</v>
      </c>
      <c r="Q444" s="116">
        <v>7946.4</v>
      </c>
      <c r="R444">
        <v>63698</v>
      </c>
    </row>
    <row r="445" spans="1:18" x14ac:dyDescent="0.25">
      <c r="A445" s="170">
        <v>44301</v>
      </c>
      <c r="B445" s="116">
        <v>4100</v>
      </c>
      <c r="C445" s="116">
        <v>4014.9250000000002</v>
      </c>
      <c r="D445" s="116">
        <v>3947.7750000000001</v>
      </c>
      <c r="E445" s="116">
        <v>3999.9749999999999</v>
      </c>
      <c r="F445" s="116">
        <v>8029.85</v>
      </c>
      <c r="G445">
        <v>2897</v>
      </c>
      <c r="H445" s="116"/>
      <c r="I445" s="116"/>
      <c r="L445" s="170">
        <v>44301</v>
      </c>
      <c r="M445" s="116">
        <v>4021.7249999999999</v>
      </c>
      <c r="N445" s="116">
        <v>4075</v>
      </c>
      <c r="O445" s="116">
        <v>3945</v>
      </c>
      <c r="P445" s="116">
        <v>3945</v>
      </c>
      <c r="Q445" s="116">
        <v>8043.45</v>
      </c>
      <c r="R445">
        <v>74392</v>
      </c>
    </row>
    <row r="446" spans="1:18" x14ac:dyDescent="0.25">
      <c r="A446" s="170">
        <v>44302</v>
      </c>
      <c r="B446" s="116">
        <v>4045</v>
      </c>
      <c r="C446" s="116">
        <v>3989.2249999999999</v>
      </c>
      <c r="D446" s="116">
        <v>3975.85</v>
      </c>
      <c r="E446" s="116">
        <v>4045</v>
      </c>
      <c r="F446" s="116">
        <v>7978.45</v>
      </c>
      <c r="G446">
        <v>1072</v>
      </c>
      <c r="H446" s="116"/>
      <c r="I446" s="116"/>
      <c r="L446" s="170">
        <v>44302</v>
      </c>
      <c r="M446" s="116">
        <v>3989.375</v>
      </c>
      <c r="N446" s="116">
        <v>4045</v>
      </c>
      <c r="O446" s="116">
        <v>3975.05</v>
      </c>
      <c r="P446" s="116">
        <v>4015</v>
      </c>
      <c r="Q446" s="116">
        <v>7978.75</v>
      </c>
      <c r="R446">
        <v>43017</v>
      </c>
    </row>
    <row r="447" spans="1:18" x14ac:dyDescent="0.25">
      <c r="A447" s="170">
        <v>44305</v>
      </c>
      <c r="B447" s="116">
        <v>3989.2249999999999</v>
      </c>
      <c r="C447" s="116">
        <v>3875.4</v>
      </c>
      <c r="D447" s="116">
        <v>3760.75</v>
      </c>
      <c r="E447" s="116">
        <v>3989.2249999999999</v>
      </c>
      <c r="F447" s="116">
        <v>7750.8</v>
      </c>
      <c r="G447">
        <v>3221</v>
      </c>
      <c r="H447" s="116"/>
      <c r="I447" s="116"/>
      <c r="L447" s="170">
        <v>44305</v>
      </c>
      <c r="M447" s="116">
        <v>3873.4</v>
      </c>
      <c r="N447" s="116">
        <v>3945</v>
      </c>
      <c r="O447" s="116">
        <v>3830</v>
      </c>
      <c r="P447" s="116">
        <v>3924.5</v>
      </c>
      <c r="Q447" s="116">
        <v>7746.8</v>
      </c>
      <c r="R447">
        <v>93675</v>
      </c>
    </row>
    <row r="448" spans="1:18" x14ac:dyDescent="0.25">
      <c r="A448" s="170">
        <v>44306</v>
      </c>
      <c r="B448" s="116">
        <v>3941.25</v>
      </c>
      <c r="C448" s="116">
        <v>3882.7</v>
      </c>
      <c r="D448" s="116">
        <v>3860.9250000000002</v>
      </c>
      <c r="E448" s="116">
        <v>3937.5</v>
      </c>
      <c r="F448" s="116">
        <v>7765.4</v>
      </c>
      <c r="G448">
        <v>6031</v>
      </c>
      <c r="H448" s="116"/>
      <c r="I448" s="116"/>
      <c r="L448" s="170">
        <v>44306</v>
      </c>
      <c r="M448" s="116">
        <v>3882.2</v>
      </c>
      <c r="N448" s="116">
        <v>3944.25</v>
      </c>
      <c r="O448" s="116">
        <v>3857.85</v>
      </c>
      <c r="P448" s="116">
        <v>3937.5</v>
      </c>
      <c r="Q448" s="116">
        <v>7764.4</v>
      </c>
      <c r="R448">
        <v>104167</v>
      </c>
    </row>
    <row r="449" spans="1:18" x14ac:dyDescent="0.25">
      <c r="A449" s="170">
        <v>44308</v>
      </c>
      <c r="B449" s="116">
        <v>4055.5</v>
      </c>
      <c r="C449" s="116">
        <v>3993.2</v>
      </c>
      <c r="D449" s="116">
        <v>3882.7</v>
      </c>
      <c r="E449" s="116">
        <v>3882.7</v>
      </c>
      <c r="F449" s="116">
        <v>7986.4</v>
      </c>
      <c r="G449">
        <v>10619</v>
      </c>
      <c r="H449" s="116"/>
      <c r="I449" s="116"/>
      <c r="L449" s="170">
        <v>44308</v>
      </c>
      <c r="M449" s="116">
        <v>3995.7249999999999</v>
      </c>
      <c r="N449" s="116">
        <v>4055.5</v>
      </c>
      <c r="O449" s="116">
        <v>3877.5</v>
      </c>
      <c r="P449" s="116">
        <v>3882</v>
      </c>
      <c r="Q449" s="116">
        <v>7991.45</v>
      </c>
      <c r="R449">
        <v>148331</v>
      </c>
    </row>
    <row r="450" spans="1:18" x14ac:dyDescent="0.25">
      <c r="A450" s="170">
        <v>44309</v>
      </c>
      <c r="B450" s="116">
        <v>4189.9750000000004</v>
      </c>
      <c r="C450" s="116">
        <v>4125.625</v>
      </c>
      <c r="D450" s="116">
        <v>4000.55</v>
      </c>
      <c r="E450" s="116">
        <v>4024.5</v>
      </c>
      <c r="F450" s="116">
        <v>8251.25</v>
      </c>
      <c r="G450">
        <v>6559</v>
      </c>
      <c r="H450" s="116"/>
      <c r="I450" s="116"/>
      <c r="L450" s="170">
        <v>44309</v>
      </c>
      <c r="M450" s="116">
        <v>4126.875</v>
      </c>
      <c r="N450" s="116">
        <v>4191.6499999999996</v>
      </c>
      <c r="O450" s="116">
        <v>3990.0250000000001</v>
      </c>
      <c r="P450" s="116">
        <v>3995.7249999999999</v>
      </c>
      <c r="Q450" s="116">
        <v>8253.75</v>
      </c>
      <c r="R450">
        <v>167833</v>
      </c>
    </row>
    <row r="451" spans="1:18" x14ac:dyDescent="0.25">
      <c r="A451" s="170">
        <v>44312</v>
      </c>
      <c r="B451" s="116">
        <v>4318.9250000000002</v>
      </c>
      <c r="C451" s="116">
        <v>4173.9250000000002</v>
      </c>
      <c r="D451" s="116">
        <v>4151.2749999999996</v>
      </c>
      <c r="E451" s="116">
        <v>4225</v>
      </c>
      <c r="F451" s="116">
        <v>8347.85</v>
      </c>
      <c r="G451">
        <v>6980</v>
      </c>
      <c r="H451" s="116"/>
      <c r="I451" s="116"/>
      <c r="L451" s="170">
        <v>44312</v>
      </c>
      <c r="M451" s="116">
        <v>4178.1750000000002</v>
      </c>
      <c r="N451" s="116">
        <v>4319.3999999999996</v>
      </c>
      <c r="O451" s="116">
        <v>4150</v>
      </c>
      <c r="P451" s="116">
        <v>4191</v>
      </c>
      <c r="Q451" s="116">
        <v>8356.35</v>
      </c>
      <c r="R451">
        <v>174997</v>
      </c>
    </row>
    <row r="452" spans="1:18" x14ac:dyDescent="0.25">
      <c r="A452" s="170">
        <v>44313</v>
      </c>
      <c r="B452" s="116">
        <v>4265</v>
      </c>
      <c r="C452" s="116">
        <v>4246.9250000000002</v>
      </c>
      <c r="D452" s="116">
        <v>4174.5</v>
      </c>
      <c r="E452" s="116">
        <v>4250</v>
      </c>
      <c r="F452" s="116">
        <v>8493.85</v>
      </c>
      <c r="G452">
        <v>4291</v>
      </c>
      <c r="H452" s="116"/>
      <c r="I452" s="116"/>
      <c r="L452" s="170">
        <v>44313</v>
      </c>
      <c r="M452" s="116">
        <v>4229.1000000000004</v>
      </c>
      <c r="N452" s="116">
        <v>4260</v>
      </c>
      <c r="O452" s="116">
        <v>4176.3500000000004</v>
      </c>
      <c r="P452" s="116">
        <v>4215.6750000000002</v>
      </c>
      <c r="Q452" s="116">
        <v>8458.2000000000007</v>
      </c>
      <c r="R452">
        <v>76017</v>
      </c>
    </row>
    <row r="453" spans="1:18" x14ac:dyDescent="0.25">
      <c r="A453" s="170">
        <v>44314</v>
      </c>
      <c r="B453" s="116">
        <v>4396.45</v>
      </c>
      <c r="C453" s="116">
        <v>4360.2</v>
      </c>
      <c r="D453" s="116">
        <v>4254.95</v>
      </c>
      <c r="E453" s="116">
        <v>4265</v>
      </c>
      <c r="F453" s="116">
        <v>8720.4</v>
      </c>
      <c r="G453">
        <v>17135</v>
      </c>
      <c r="H453" s="116"/>
      <c r="I453" s="116"/>
      <c r="L453" s="170">
        <v>44314</v>
      </c>
      <c r="M453" s="116">
        <v>4353.5749999999998</v>
      </c>
      <c r="N453" s="116">
        <v>4397.5249999999996</v>
      </c>
      <c r="O453" s="116">
        <v>4251.4750000000004</v>
      </c>
      <c r="P453" s="116">
        <v>4275</v>
      </c>
      <c r="Q453" s="116">
        <v>8707.15</v>
      </c>
      <c r="R453">
        <v>130482</v>
      </c>
    </row>
    <row r="454" spans="1:18" x14ac:dyDescent="0.25">
      <c r="A454" s="170">
        <v>44315</v>
      </c>
      <c r="B454" s="116">
        <v>4463.5</v>
      </c>
      <c r="C454" s="116">
        <v>4397.2250000000004</v>
      </c>
      <c r="D454" s="116">
        <v>4275.7</v>
      </c>
      <c r="E454" s="116">
        <v>4432.5</v>
      </c>
      <c r="F454" s="116">
        <v>8794.4500000000007</v>
      </c>
      <c r="G454">
        <v>22250</v>
      </c>
      <c r="H454" s="116"/>
      <c r="I454" s="116"/>
      <c r="L454" s="170">
        <v>44315</v>
      </c>
      <c r="M454" s="116">
        <v>4407.7</v>
      </c>
      <c r="N454" s="116">
        <v>4462.45</v>
      </c>
      <c r="O454" s="116">
        <v>4278.55</v>
      </c>
      <c r="P454" s="116">
        <v>4440</v>
      </c>
      <c r="Q454" s="116">
        <v>8815.4</v>
      </c>
      <c r="R454">
        <v>172162</v>
      </c>
    </row>
    <row r="455" spans="1:18" x14ac:dyDescent="0.25">
      <c r="A455" s="170">
        <v>44316</v>
      </c>
      <c r="B455" s="116">
        <v>4275</v>
      </c>
      <c r="C455" s="116">
        <v>3965.5749999999998</v>
      </c>
      <c r="D455" s="116">
        <v>3908.9</v>
      </c>
      <c r="E455" s="116">
        <v>4247</v>
      </c>
      <c r="F455" s="116">
        <v>7931.15</v>
      </c>
      <c r="G455">
        <v>21270</v>
      </c>
      <c r="H455" s="116"/>
      <c r="I455" s="116"/>
      <c r="L455" s="170">
        <v>44316</v>
      </c>
      <c r="M455" s="116">
        <v>3974.3249999999998</v>
      </c>
      <c r="N455" s="116">
        <v>4290</v>
      </c>
      <c r="O455" s="116">
        <v>3944.4250000000002</v>
      </c>
      <c r="P455" s="116">
        <v>4200</v>
      </c>
      <c r="Q455" s="116">
        <v>7948.65</v>
      </c>
      <c r="R455">
        <v>571964</v>
      </c>
    </row>
    <row r="456" spans="1:18" x14ac:dyDescent="0.25">
      <c r="A456" s="170">
        <v>44319</v>
      </c>
      <c r="B456" s="116">
        <v>3960.5250000000001</v>
      </c>
      <c r="C456" s="116">
        <v>3863.7</v>
      </c>
      <c r="D456" s="116">
        <v>3847.5250000000001</v>
      </c>
      <c r="E456" s="116">
        <v>3925</v>
      </c>
      <c r="F456" s="116">
        <v>7727.4</v>
      </c>
      <c r="G456">
        <v>9914</v>
      </c>
      <c r="H456" s="116"/>
      <c r="I456" s="116"/>
      <c r="L456" s="170">
        <v>44319</v>
      </c>
      <c r="M456" s="116">
        <v>3866.7249999999999</v>
      </c>
      <c r="N456" s="116">
        <v>3960</v>
      </c>
      <c r="O456" s="116">
        <v>3855</v>
      </c>
      <c r="P456" s="116">
        <v>3924.3249999999998</v>
      </c>
      <c r="Q456" s="116">
        <v>7733.45</v>
      </c>
      <c r="R456">
        <v>232566</v>
      </c>
    </row>
    <row r="457" spans="1:18" x14ac:dyDescent="0.25">
      <c r="A457" s="170">
        <v>44320</v>
      </c>
      <c r="B457" s="116">
        <v>3974.5</v>
      </c>
      <c r="C457" s="116">
        <v>3708.9</v>
      </c>
      <c r="D457" s="116">
        <v>3610</v>
      </c>
      <c r="E457" s="116">
        <v>3924.5</v>
      </c>
      <c r="F457" s="116">
        <v>7417.8</v>
      </c>
      <c r="G457">
        <v>20498</v>
      </c>
      <c r="H457" s="116"/>
      <c r="I457" s="116"/>
      <c r="L457" s="170">
        <v>44320</v>
      </c>
      <c r="M457" s="116">
        <v>3713.05</v>
      </c>
      <c r="N457" s="116">
        <v>3969.7</v>
      </c>
      <c r="O457" s="116">
        <v>3607.5</v>
      </c>
      <c r="P457" s="116">
        <v>3919.7</v>
      </c>
      <c r="Q457" s="116">
        <v>7426.1</v>
      </c>
      <c r="R457">
        <v>434179</v>
      </c>
    </row>
    <row r="458" spans="1:18" x14ac:dyDescent="0.25">
      <c r="A458" s="170">
        <v>44321</v>
      </c>
      <c r="B458" s="116">
        <v>3824.7</v>
      </c>
      <c r="C458" s="116">
        <v>3734.5</v>
      </c>
      <c r="D458" s="116">
        <v>3685</v>
      </c>
      <c r="E458" s="116">
        <v>3715.0250000000001</v>
      </c>
      <c r="F458" s="116">
        <v>7469</v>
      </c>
      <c r="G458">
        <v>8750</v>
      </c>
      <c r="H458" s="116"/>
      <c r="I458" s="116"/>
      <c r="L458" s="170">
        <v>44321</v>
      </c>
      <c r="M458" s="116">
        <v>3738.4250000000002</v>
      </c>
      <c r="N458" s="116">
        <v>3797.35</v>
      </c>
      <c r="O458" s="116">
        <v>3683.9</v>
      </c>
      <c r="P458" s="116">
        <v>3715.05</v>
      </c>
      <c r="Q458" s="116">
        <v>7476.85</v>
      </c>
      <c r="R458">
        <v>218352</v>
      </c>
    </row>
    <row r="459" spans="1:18" x14ac:dyDescent="0.25">
      <c r="A459" s="170">
        <v>44322</v>
      </c>
      <c r="B459" s="116">
        <v>3870.4250000000002</v>
      </c>
      <c r="C459" s="116">
        <v>3841.3</v>
      </c>
      <c r="D459" s="116">
        <v>3743</v>
      </c>
      <c r="E459" s="116">
        <v>3800</v>
      </c>
      <c r="F459" s="116">
        <v>7682.6</v>
      </c>
      <c r="G459">
        <v>6184</v>
      </c>
      <c r="H459" s="116"/>
      <c r="I459" s="116"/>
      <c r="L459" s="170">
        <v>44322</v>
      </c>
      <c r="M459" s="116">
        <v>3843.5250000000001</v>
      </c>
      <c r="N459" s="116">
        <v>3874.7</v>
      </c>
      <c r="O459" s="116">
        <v>3738.4250000000002</v>
      </c>
      <c r="P459" s="116">
        <v>3780</v>
      </c>
      <c r="Q459" s="116">
        <v>7687.05</v>
      </c>
      <c r="R459">
        <v>159389</v>
      </c>
    </row>
    <row r="460" spans="1:18" x14ac:dyDescent="0.25">
      <c r="A460" s="170">
        <v>44323</v>
      </c>
      <c r="B460" s="116">
        <v>3852.1750000000002</v>
      </c>
      <c r="C460" s="116">
        <v>3727.55</v>
      </c>
      <c r="D460" s="116">
        <v>3711</v>
      </c>
      <c r="E460" s="116">
        <v>3847.5</v>
      </c>
      <c r="F460" s="116">
        <v>7455.1</v>
      </c>
      <c r="G460">
        <v>6122</v>
      </c>
      <c r="H460" s="116"/>
      <c r="I460" s="116"/>
      <c r="L460" s="170">
        <v>44323</v>
      </c>
      <c r="M460" s="116">
        <v>3728.6750000000002</v>
      </c>
      <c r="N460" s="116">
        <v>3851</v>
      </c>
      <c r="O460" s="116">
        <v>3711</v>
      </c>
      <c r="P460" s="116">
        <v>3850</v>
      </c>
      <c r="Q460" s="116">
        <v>7457.35</v>
      </c>
      <c r="R460">
        <v>161757</v>
      </c>
    </row>
    <row r="461" spans="1:18" x14ac:dyDescent="0.25">
      <c r="A461" s="170">
        <v>44326</v>
      </c>
      <c r="B461" s="116">
        <v>3765</v>
      </c>
      <c r="C461" s="116">
        <v>3672.1750000000002</v>
      </c>
      <c r="D461" s="116">
        <v>3657.5</v>
      </c>
      <c r="E461" s="116">
        <v>3765</v>
      </c>
      <c r="F461" s="116">
        <v>7344.35</v>
      </c>
      <c r="G461">
        <v>6294</v>
      </c>
      <c r="H461" s="116"/>
      <c r="I461" s="116"/>
      <c r="L461" s="170">
        <v>44326</v>
      </c>
      <c r="M461" s="116">
        <v>3672.8249999999998</v>
      </c>
      <c r="N461" s="116">
        <v>3752.5</v>
      </c>
      <c r="O461" s="116">
        <v>3658</v>
      </c>
      <c r="P461" s="116">
        <v>3740</v>
      </c>
      <c r="Q461" s="116">
        <v>7345.65</v>
      </c>
      <c r="R461">
        <v>113524</v>
      </c>
    </row>
    <row r="462" spans="1:18" x14ac:dyDescent="0.25">
      <c r="A462" s="170">
        <v>44327</v>
      </c>
      <c r="B462" s="116">
        <v>3710.3</v>
      </c>
      <c r="C462" s="116">
        <v>3481.65</v>
      </c>
      <c r="D462" s="116">
        <v>3454.9749999999999</v>
      </c>
      <c r="E462" s="116">
        <v>3665</v>
      </c>
      <c r="F462" s="116">
        <v>6963.3</v>
      </c>
      <c r="G462">
        <v>17179</v>
      </c>
      <c r="H462" s="116"/>
      <c r="I462" s="116"/>
      <c r="L462" s="170">
        <v>44327</v>
      </c>
      <c r="M462" s="116">
        <v>3481.45</v>
      </c>
      <c r="N462" s="116">
        <v>3714.85</v>
      </c>
      <c r="O462" s="116">
        <v>3462.5</v>
      </c>
      <c r="P462" s="116">
        <v>3670.0749999999998</v>
      </c>
      <c r="Q462" s="116">
        <v>6962.9</v>
      </c>
      <c r="R462">
        <v>400454</v>
      </c>
    </row>
    <row r="463" spans="1:18" x14ac:dyDescent="0.25">
      <c r="A463" s="170">
        <v>44328</v>
      </c>
      <c r="B463" s="116">
        <v>3550</v>
      </c>
      <c r="C463" s="116">
        <v>3341.7249999999999</v>
      </c>
      <c r="D463" s="116">
        <v>3325.5</v>
      </c>
      <c r="E463" s="116">
        <v>3487.5</v>
      </c>
      <c r="F463" s="116">
        <v>6683.45</v>
      </c>
      <c r="G463">
        <v>37810</v>
      </c>
      <c r="H463" s="116"/>
      <c r="I463" s="116"/>
      <c r="L463" s="170">
        <v>44328</v>
      </c>
      <c r="M463" s="116">
        <v>3340.625</v>
      </c>
      <c r="N463" s="116">
        <v>3534.4</v>
      </c>
      <c r="O463" s="116">
        <v>3325.0250000000001</v>
      </c>
      <c r="P463" s="116">
        <v>3500</v>
      </c>
      <c r="Q463" s="116">
        <v>6681.25</v>
      </c>
      <c r="R463">
        <v>351013</v>
      </c>
    </row>
    <row r="464" spans="1:18" x14ac:dyDescent="0.25">
      <c r="A464" s="170">
        <v>44330</v>
      </c>
      <c r="B464" s="116">
        <v>3478.9749999999999</v>
      </c>
      <c r="C464" s="116">
        <v>3405.15</v>
      </c>
      <c r="D464" s="116">
        <v>3327.5</v>
      </c>
      <c r="E464" s="116">
        <v>3351.5749999999998</v>
      </c>
      <c r="F464" s="116">
        <v>6810.3</v>
      </c>
      <c r="G464">
        <v>35970</v>
      </c>
      <c r="H464" s="116"/>
      <c r="I464" s="116"/>
      <c r="L464" s="170">
        <v>44330</v>
      </c>
      <c r="M464" s="116">
        <v>3404.45</v>
      </c>
      <c r="N464" s="116">
        <v>3477</v>
      </c>
      <c r="O464" s="116">
        <v>3327</v>
      </c>
      <c r="P464" s="116">
        <v>3370</v>
      </c>
      <c r="Q464" s="116">
        <v>6808.9</v>
      </c>
      <c r="R464">
        <v>346404</v>
      </c>
    </row>
    <row r="465" spans="1:18" x14ac:dyDescent="0.25">
      <c r="A465" s="170">
        <v>44333</v>
      </c>
      <c r="B465" s="116">
        <v>3545</v>
      </c>
      <c r="C465" s="116">
        <v>3519.3</v>
      </c>
      <c r="D465" s="116">
        <v>3324.05</v>
      </c>
      <c r="E465" s="116">
        <v>3450</v>
      </c>
      <c r="F465" s="116">
        <v>7038.6</v>
      </c>
      <c r="G465">
        <v>21168</v>
      </c>
      <c r="H465" s="116"/>
      <c r="I465" s="116"/>
      <c r="L465" s="170">
        <v>44333</v>
      </c>
      <c r="M465" s="116">
        <v>3519.9250000000002</v>
      </c>
      <c r="N465" s="116">
        <v>3535</v>
      </c>
      <c r="O465" s="116">
        <v>3403</v>
      </c>
      <c r="P465" s="116">
        <v>3455</v>
      </c>
      <c r="Q465" s="116">
        <v>7039.85</v>
      </c>
      <c r="R465">
        <v>141740</v>
      </c>
    </row>
    <row r="466" spans="1:18" x14ac:dyDescent="0.25">
      <c r="A466" s="170">
        <v>44334</v>
      </c>
      <c r="B466" s="116">
        <v>3900</v>
      </c>
      <c r="C466" s="116">
        <v>3834.875</v>
      </c>
      <c r="D466" s="116">
        <v>3530.0250000000001</v>
      </c>
      <c r="E466" s="116">
        <v>3599.9</v>
      </c>
      <c r="F466" s="116">
        <v>7669.75</v>
      </c>
      <c r="G466">
        <v>20781</v>
      </c>
      <c r="H466" s="116"/>
      <c r="I466" s="116"/>
      <c r="L466" s="170">
        <v>44334</v>
      </c>
      <c r="M466" s="116">
        <v>3828.3</v>
      </c>
      <c r="N466" s="116">
        <v>3874.5</v>
      </c>
      <c r="O466" s="116">
        <v>3531.5250000000001</v>
      </c>
      <c r="P466" s="116">
        <v>3569.5</v>
      </c>
      <c r="Q466" s="116">
        <v>7656.6</v>
      </c>
      <c r="R466">
        <v>484294</v>
      </c>
    </row>
    <row r="467" spans="1:18" x14ac:dyDescent="0.25">
      <c r="A467" s="170">
        <v>44335</v>
      </c>
      <c r="B467" s="116">
        <v>3922</v>
      </c>
      <c r="C467" s="116">
        <v>3685.3</v>
      </c>
      <c r="D467" s="116">
        <v>3639.9</v>
      </c>
      <c r="E467" s="116">
        <v>3840</v>
      </c>
      <c r="F467" s="116">
        <v>7370.6</v>
      </c>
      <c r="G467">
        <v>43980</v>
      </c>
      <c r="H467" s="116"/>
      <c r="I467" s="116"/>
      <c r="L467" s="170">
        <v>44335</v>
      </c>
      <c r="M467" s="116">
        <v>3683.1750000000002</v>
      </c>
      <c r="N467" s="116">
        <v>3922</v>
      </c>
      <c r="O467" s="116">
        <v>3653.5</v>
      </c>
      <c r="P467" s="116">
        <v>3850</v>
      </c>
      <c r="Q467" s="116">
        <v>7366.35</v>
      </c>
      <c r="R467">
        <v>356808</v>
      </c>
    </row>
    <row r="468" spans="1:18" x14ac:dyDescent="0.25">
      <c r="A468" s="170">
        <v>44336</v>
      </c>
      <c r="B468" s="116">
        <v>3798.4</v>
      </c>
      <c r="C468" s="116">
        <v>3765.65</v>
      </c>
      <c r="D468" s="116">
        <v>3610.0749999999998</v>
      </c>
      <c r="E468" s="116">
        <v>3699.5</v>
      </c>
      <c r="F468" s="116">
        <v>7531.3</v>
      </c>
      <c r="G468">
        <v>29522</v>
      </c>
      <c r="H468" s="116"/>
      <c r="I468" s="116"/>
      <c r="L468" s="170">
        <v>44336</v>
      </c>
      <c r="M468" s="116">
        <v>3768</v>
      </c>
      <c r="N468" s="116">
        <v>3797.35</v>
      </c>
      <c r="O468" s="116">
        <v>3610.5</v>
      </c>
      <c r="P468" s="116">
        <v>3720</v>
      </c>
      <c r="Q468" s="116">
        <v>7536</v>
      </c>
      <c r="R468">
        <v>238098</v>
      </c>
    </row>
    <row r="469" spans="1:18" x14ac:dyDescent="0.25">
      <c r="A469" s="170">
        <v>44337</v>
      </c>
      <c r="B469" s="116">
        <v>3882.5</v>
      </c>
      <c r="C469" s="116">
        <v>3835.9749999999999</v>
      </c>
      <c r="D469" s="116">
        <v>3765.65</v>
      </c>
      <c r="E469" s="116">
        <v>3775</v>
      </c>
      <c r="F469" s="116">
        <v>7671.95</v>
      </c>
      <c r="G469">
        <v>8199</v>
      </c>
      <c r="H469" s="116"/>
      <c r="I469" s="116"/>
      <c r="L469" s="170">
        <v>44337</v>
      </c>
      <c r="M469" s="116">
        <v>3837.4250000000002</v>
      </c>
      <c r="N469" s="116">
        <v>3882.75</v>
      </c>
      <c r="O469" s="116">
        <v>3749.5</v>
      </c>
      <c r="P469" s="116">
        <v>3749.5</v>
      </c>
      <c r="Q469" s="116">
        <v>7674.85</v>
      </c>
      <c r="R469">
        <v>172065</v>
      </c>
    </row>
    <row r="470" spans="1:18" x14ac:dyDescent="0.25">
      <c r="A470" s="170">
        <v>44340</v>
      </c>
      <c r="B470" s="116">
        <v>3878.4749999999999</v>
      </c>
      <c r="C470" s="116">
        <v>3791.45</v>
      </c>
      <c r="D470" s="116">
        <v>3727.4749999999999</v>
      </c>
      <c r="E470" s="116">
        <v>3864.5</v>
      </c>
      <c r="F470" s="116">
        <v>7582.9</v>
      </c>
      <c r="G470">
        <v>5591</v>
      </c>
      <c r="H470" s="116"/>
      <c r="I470" s="116"/>
      <c r="L470" s="170">
        <v>44340</v>
      </c>
      <c r="M470" s="116">
        <v>3792.625</v>
      </c>
      <c r="N470" s="116">
        <v>3879.9</v>
      </c>
      <c r="O470" s="116">
        <v>3710</v>
      </c>
      <c r="P470" s="116">
        <v>3835</v>
      </c>
      <c r="Q470" s="116">
        <v>7585.25</v>
      </c>
      <c r="R470">
        <v>101294</v>
      </c>
    </row>
    <row r="471" spans="1:18" x14ac:dyDescent="0.25">
      <c r="A471" s="170">
        <v>44341</v>
      </c>
      <c r="B471" s="116">
        <v>3864.9749999999999</v>
      </c>
      <c r="C471" s="116">
        <v>3825.8249999999998</v>
      </c>
      <c r="D471" s="116">
        <v>3800.0250000000001</v>
      </c>
      <c r="E471" s="116">
        <v>3810</v>
      </c>
      <c r="F471" s="116">
        <v>7651.65</v>
      </c>
      <c r="G471">
        <v>5567</v>
      </c>
      <c r="H471" s="116"/>
      <c r="I471" s="116"/>
      <c r="L471" s="170">
        <v>44341</v>
      </c>
      <c r="M471" s="116">
        <v>3827.55</v>
      </c>
      <c r="N471" s="116">
        <v>3864.125</v>
      </c>
      <c r="O471" s="116">
        <v>3800</v>
      </c>
      <c r="P471" s="116">
        <v>3825</v>
      </c>
      <c r="Q471" s="116">
        <v>7655.1</v>
      </c>
      <c r="R471">
        <v>84920</v>
      </c>
    </row>
    <row r="472" spans="1:18" x14ac:dyDescent="0.25">
      <c r="A472" s="170">
        <v>44342</v>
      </c>
      <c r="B472" s="116">
        <v>3850</v>
      </c>
      <c r="C472" s="116">
        <v>3777.45</v>
      </c>
      <c r="D472" s="116">
        <v>3750</v>
      </c>
      <c r="E472" s="116">
        <v>3850</v>
      </c>
      <c r="F472" s="116">
        <v>7554.9</v>
      </c>
      <c r="G472">
        <v>3297</v>
      </c>
      <c r="H472" s="116"/>
      <c r="I472" s="116"/>
      <c r="L472" s="170">
        <v>44342</v>
      </c>
      <c r="M472" s="116">
        <v>3770.9</v>
      </c>
      <c r="N472" s="116">
        <v>3847.5</v>
      </c>
      <c r="O472" s="116">
        <v>3750</v>
      </c>
      <c r="P472" s="116">
        <v>3837</v>
      </c>
      <c r="Q472" s="116">
        <v>7541.8</v>
      </c>
      <c r="R472">
        <v>80069</v>
      </c>
    </row>
    <row r="473" spans="1:18" x14ac:dyDescent="0.25">
      <c r="A473" s="170">
        <v>44343</v>
      </c>
      <c r="B473" s="116">
        <v>3820.6750000000002</v>
      </c>
      <c r="C473" s="116">
        <v>3777.2</v>
      </c>
      <c r="D473" s="116">
        <v>3731.4250000000002</v>
      </c>
      <c r="E473" s="116">
        <v>3812.5</v>
      </c>
      <c r="F473" s="116">
        <v>7554.4</v>
      </c>
      <c r="G473">
        <v>11880</v>
      </c>
      <c r="H473" s="116"/>
      <c r="I473" s="116"/>
      <c r="L473" s="170">
        <v>44343</v>
      </c>
      <c r="M473" s="116">
        <v>3778.8249999999998</v>
      </c>
      <c r="N473" s="116">
        <v>3823.55</v>
      </c>
      <c r="O473" s="116">
        <v>3730</v>
      </c>
      <c r="P473" s="116">
        <v>3784.2</v>
      </c>
      <c r="Q473" s="116">
        <v>7557.65</v>
      </c>
      <c r="R473">
        <v>86473</v>
      </c>
    </row>
    <row r="474" spans="1:18" x14ac:dyDescent="0.25">
      <c r="A474" s="170">
        <v>44344</v>
      </c>
      <c r="B474" s="116">
        <v>3797.375</v>
      </c>
      <c r="C474" s="116">
        <v>3717.2750000000001</v>
      </c>
      <c r="D474" s="116">
        <v>3698.2249999999999</v>
      </c>
      <c r="E474" s="116">
        <v>3779.25</v>
      </c>
      <c r="F474" s="116">
        <v>7434.55</v>
      </c>
      <c r="G474">
        <v>4223</v>
      </c>
      <c r="H474" s="116"/>
      <c r="I474" s="116"/>
      <c r="L474" s="170">
        <v>44344</v>
      </c>
      <c r="M474" s="116">
        <v>3717.7750000000001</v>
      </c>
      <c r="N474" s="116">
        <v>3799.2750000000001</v>
      </c>
      <c r="O474" s="116">
        <v>3695.5</v>
      </c>
      <c r="P474" s="116">
        <v>3755.05</v>
      </c>
      <c r="Q474" s="116">
        <v>7435.55</v>
      </c>
      <c r="R474">
        <v>82295</v>
      </c>
    </row>
    <row r="475" spans="1:18" x14ac:dyDescent="0.25">
      <c r="A475" s="170">
        <v>44347</v>
      </c>
      <c r="B475" s="116">
        <v>3761.05</v>
      </c>
      <c r="C475" s="116">
        <v>3678.875</v>
      </c>
      <c r="D475" s="116">
        <v>3670</v>
      </c>
      <c r="E475" s="116">
        <v>3721.5250000000001</v>
      </c>
      <c r="F475" s="116">
        <v>7357.75</v>
      </c>
      <c r="G475">
        <v>2676</v>
      </c>
      <c r="H475" s="116"/>
      <c r="I475" s="116"/>
      <c r="L475" s="170">
        <v>44347</v>
      </c>
      <c r="M475" s="116">
        <v>3684.8249999999998</v>
      </c>
      <c r="N475" s="116">
        <v>3760</v>
      </c>
      <c r="O475" s="116">
        <v>3667</v>
      </c>
      <c r="P475" s="116">
        <v>3734.5</v>
      </c>
      <c r="Q475" s="116">
        <v>7369.65</v>
      </c>
      <c r="R475">
        <v>73640</v>
      </c>
    </row>
    <row r="476" spans="1:18" x14ac:dyDescent="0.25">
      <c r="A476" s="170">
        <v>44348</v>
      </c>
      <c r="B476" s="116">
        <v>3703.5</v>
      </c>
      <c r="C476" s="116">
        <v>3617.35</v>
      </c>
      <c r="D476" s="116">
        <v>3589</v>
      </c>
      <c r="E476" s="116">
        <v>3700.9</v>
      </c>
      <c r="F476" s="116">
        <v>7234.7</v>
      </c>
      <c r="G476">
        <v>11776</v>
      </c>
      <c r="H476" s="116"/>
      <c r="I476" s="116"/>
      <c r="L476" s="170">
        <v>44348</v>
      </c>
      <c r="M476" s="116">
        <v>3617.7</v>
      </c>
      <c r="N476" s="116">
        <v>3703.4749999999999</v>
      </c>
      <c r="O476" s="116">
        <v>3585.5</v>
      </c>
      <c r="P476" s="116">
        <v>3686.75</v>
      </c>
      <c r="Q476" s="116">
        <v>7235.4</v>
      </c>
      <c r="R476">
        <v>109295</v>
      </c>
    </row>
    <row r="477" spans="1:18" x14ac:dyDescent="0.25">
      <c r="A477" s="170">
        <v>44349</v>
      </c>
      <c r="B477" s="116">
        <v>3637.5</v>
      </c>
      <c r="C477" s="116">
        <v>3534.625</v>
      </c>
      <c r="D477" s="116">
        <v>3525</v>
      </c>
      <c r="E477" s="116">
        <v>3637.5</v>
      </c>
      <c r="F477" s="116">
        <v>7069.25</v>
      </c>
      <c r="G477">
        <v>4770</v>
      </c>
      <c r="H477" s="116"/>
      <c r="I477" s="116"/>
      <c r="L477" s="170">
        <v>44349</v>
      </c>
      <c r="M477" s="116">
        <v>3533.45</v>
      </c>
      <c r="N477" s="116">
        <v>3617.7</v>
      </c>
      <c r="O477" s="116">
        <v>3525</v>
      </c>
      <c r="P477" s="116">
        <v>3617.7</v>
      </c>
      <c r="Q477" s="116">
        <v>7066.9</v>
      </c>
      <c r="R477">
        <v>134782</v>
      </c>
    </row>
    <row r="478" spans="1:18" x14ac:dyDescent="0.25">
      <c r="A478" s="170">
        <v>44350</v>
      </c>
      <c r="B478" s="116">
        <v>3570</v>
      </c>
      <c r="C478" s="116">
        <v>3448.2</v>
      </c>
      <c r="D478" s="116">
        <v>3430.0250000000001</v>
      </c>
      <c r="E478" s="116">
        <v>3569.95</v>
      </c>
      <c r="F478" s="116">
        <v>6896.4</v>
      </c>
      <c r="G478">
        <v>31381</v>
      </c>
      <c r="H478" s="116"/>
      <c r="I478" s="116"/>
      <c r="L478" s="170">
        <v>44350</v>
      </c>
      <c r="M478" s="116">
        <v>3447.625</v>
      </c>
      <c r="N478" s="116">
        <v>3575</v>
      </c>
      <c r="O478" s="116">
        <v>3430.75</v>
      </c>
      <c r="P478" s="116">
        <v>3565</v>
      </c>
      <c r="Q478" s="116">
        <v>6895.25</v>
      </c>
      <c r="R478">
        <v>321507</v>
      </c>
    </row>
    <row r="479" spans="1:18" x14ac:dyDescent="0.25">
      <c r="A479" s="170">
        <v>44351</v>
      </c>
      <c r="B479" s="116">
        <v>3549.5</v>
      </c>
      <c r="C479" s="116">
        <v>3465.3</v>
      </c>
      <c r="D479" s="116">
        <v>3401</v>
      </c>
      <c r="E479" s="116">
        <v>3468</v>
      </c>
      <c r="F479" s="116">
        <v>6930.6</v>
      </c>
      <c r="G479">
        <v>26215</v>
      </c>
      <c r="H479" s="116"/>
      <c r="I479" s="116"/>
      <c r="L479" s="170">
        <v>44351</v>
      </c>
      <c r="M479" s="116">
        <v>3465.125</v>
      </c>
      <c r="N479" s="116">
        <v>3549.5</v>
      </c>
      <c r="O479" s="116">
        <v>3439.0749999999998</v>
      </c>
      <c r="P479" s="116">
        <v>3479.5</v>
      </c>
      <c r="Q479" s="116">
        <v>6930.25</v>
      </c>
      <c r="R479">
        <v>212185</v>
      </c>
    </row>
    <row r="480" spans="1:18" x14ac:dyDescent="0.25">
      <c r="A480" s="170">
        <v>44354</v>
      </c>
      <c r="B480" s="116">
        <v>3573.8249999999998</v>
      </c>
      <c r="C480" s="116">
        <v>3558.85</v>
      </c>
      <c r="D480" s="116">
        <v>3482.625</v>
      </c>
      <c r="E480" s="116">
        <v>3490</v>
      </c>
      <c r="F480" s="116">
        <v>7117.7</v>
      </c>
      <c r="G480">
        <v>23432</v>
      </c>
      <c r="H480" s="116"/>
      <c r="I480" s="116"/>
      <c r="L480" s="170">
        <v>44354</v>
      </c>
      <c r="M480" s="116">
        <v>3559.95</v>
      </c>
      <c r="N480" s="116">
        <v>3575</v>
      </c>
      <c r="O480" s="116">
        <v>3483.4</v>
      </c>
      <c r="P480" s="116">
        <v>3494.9749999999999</v>
      </c>
      <c r="Q480" s="116">
        <v>7119.9</v>
      </c>
      <c r="R480">
        <v>149649</v>
      </c>
    </row>
    <row r="481" spans="1:18" x14ac:dyDescent="0.25">
      <c r="A481" s="170">
        <v>44355</v>
      </c>
      <c r="B481" s="116">
        <v>3635</v>
      </c>
      <c r="C481" s="116">
        <v>3616.1</v>
      </c>
      <c r="D481" s="116">
        <v>3566.2</v>
      </c>
      <c r="E481" s="116">
        <v>3595</v>
      </c>
      <c r="F481" s="116">
        <v>7232.2</v>
      </c>
      <c r="G481">
        <v>6275</v>
      </c>
      <c r="H481" s="116"/>
      <c r="I481" s="116"/>
      <c r="L481" s="170">
        <v>44355</v>
      </c>
      <c r="M481" s="116">
        <v>3620.4</v>
      </c>
      <c r="N481" s="116">
        <v>3635</v>
      </c>
      <c r="O481" s="116">
        <v>3565</v>
      </c>
      <c r="P481" s="116">
        <v>3580</v>
      </c>
      <c r="Q481" s="116">
        <v>7240.8</v>
      </c>
      <c r="R481">
        <v>108416</v>
      </c>
    </row>
    <row r="482" spans="1:18" x14ac:dyDescent="0.25">
      <c r="A482" s="170">
        <v>44356</v>
      </c>
      <c r="B482" s="116">
        <v>3669</v>
      </c>
      <c r="C482" s="116">
        <v>3578.9250000000002</v>
      </c>
      <c r="D482" s="116">
        <v>3541.375</v>
      </c>
      <c r="E482" s="116">
        <v>3656.5</v>
      </c>
      <c r="F482" s="116">
        <v>7157.85</v>
      </c>
      <c r="G482">
        <v>7384</v>
      </c>
      <c r="H482" s="116"/>
      <c r="I482" s="116"/>
      <c r="L482" s="170">
        <v>44356</v>
      </c>
      <c r="M482" s="116">
        <v>3581.75</v>
      </c>
      <c r="N482" s="116">
        <v>3669.9749999999999</v>
      </c>
      <c r="O482" s="116">
        <v>3537.5</v>
      </c>
      <c r="P482" s="116">
        <v>3650</v>
      </c>
      <c r="Q482" s="116">
        <v>7163.5</v>
      </c>
      <c r="R482">
        <v>133318</v>
      </c>
    </row>
    <row r="483" spans="1:18" x14ac:dyDescent="0.25">
      <c r="A483" s="170">
        <v>44357</v>
      </c>
      <c r="B483" s="116">
        <v>3633.45</v>
      </c>
      <c r="C483" s="116">
        <v>3610.9250000000002</v>
      </c>
      <c r="D483" s="116">
        <v>3570.6</v>
      </c>
      <c r="E483" s="116">
        <v>3600</v>
      </c>
      <c r="F483" s="116">
        <v>7221.85</v>
      </c>
      <c r="G483">
        <v>3775</v>
      </c>
      <c r="H483" s="116"/>
      <c r="I483" s="116"/>
      <c r="L483" s="170">
        <v>44357</v>
      </c>
      <c r="M483" s="116">
        <v>3614.3</v>
      </c>
      <c r="N483" s="116">
        <v>3634.5</v>
      </c>
      <c r="O483" s="116">
        <v>3570</v>
      </c>
      <c r="P483" s="116">
        <v>3614.5</v>
      </c>
      <c r="Q483" s="116">
        <v>7228.6</v>
      </c>
      <c r="R483">
        <v>95298</v>
      </c>
    </row>
    <row r="484" spans="1:18" x14ac:dyDescent="0.25">
      <c r="A484" s="170">
        <v>44358</v>
      </c>
      <c r="B484" s="116">
        <v>3650</v>
      </c>
      <c r="C484" s="116">
        <v>3634.3</v>
      </c>
      <c r="D484" s="116">
        <v>3600.625</v>
      </c>
      <c r="E484" s="116">
        <v>3650</v>
      </c>
      <c r="F484" s="116">
        <v>7268.6</v>
      </c>
      <c r="G484">
        <v>2236</v>
      </c>
      <c r="H484" s="116"/>
      <c r="I484" s="116"/>
      <c r="L484" s="170">
        <v>44358</v>
      </c>
      <c r="M484" s="116">
        <v>3633.75</v>
      </c>
      <c r="N484" s="116">
        <v>3649.0250000000001</v>
      </c>
      <c r="O484" s="116">
        <v>3601.5</v>
      </c>
      <c r="P484" s="116">
        <v>3634.5</v>
      </c>
      <c r="Q484" s="116">
        <v>7267.5</v>
      </c>
      <c r="R484">
        <v>62385</v>
      </c>
    </row>
    <row r="485" spans="1:18" x14ac:dyDescent="0.25">
      <c r="A485" s="170">
        <v>44361</v>
      </c>
      <c r="B485" s="116">
        <v>3647.25</v>
      </c>
      <c r="C485" s="116">
        <v>3601.45</v>
      </c>
      <c r="D485" s="116">
        <v>3557.4</v>
      </c>
      <c r="E485" s="116">
        <v>3645</v>
      </c>
      <c r="F485" s="116">
        <v>7202.9</v>
      </c>
      <c r="G485">
        <v>8809</v>
      </c>
      <c r="H485" s="116"/>
      <c r="I485" s="116"/>
      <c r="L485" s="170">
        <v>44361</v>
      </c>
      <c r="M485" s="116">
        <v>3604.2750000000001</v>
      </c>
      <c r="N485" s="116">
        <v>3660.5</v>
      </c>
      <c r="O485" s="116">
        <v>3560.0250000000001</v>
      </c>
      <c r="P485" s="116">
        <v>3660.5</v>
      </c>
      <c r="Q485" s="116">
        <v>7208.55</v>
      </c>
      <c r="R485">
        <v>51478</v>
      </c>
    </row>
    <row r="486" spans="1:18" x14ac:dyDescent="0.25">
      <c r="A486" s="170">
        <v>44362</v>
      </c>
      <c r="B486" s="116">
        <v>3707.625</v>
      </c>
      <c r="C486" s="116">
        <v>3693.6</v>
      </c>
      <c r="D486" s="116">
        <v>3604.9749999999999</v>
      </c>
      <c r="E486" s="116">
        <v>3629.9749999999999</v>
      </c>
      <c r="F486" s="116">
        <v>7387.2</v>
      </c>
      <c r="G486">
        <v>5627</v>
      </c>
      <c r="H486" s="116"/>
      <c r="I486" s="116"/>
      <c r="L486" s="170">
        <v>44362</v>
      </c>
      <c r="M486" s="116">
        <v>3694.55</v>
      </c>
      <c r="N486" s="116">
        <v>3709.7249999999999</v>
      </c>
      <c r="O486" s="116">
        <v>3598.15</v>
      </c>
      <c r="P486" s="116">
        <v>3628</v>
      </c>
      <c r="Q486" s="116">
        <v>7389.1</v>
      </c>
      <c r="R486">
        <v>148918</v>
      </c>
    </row>
    <row r="487" spans="1:18" x14ac:dyDescent="0.25">
      <c r="A487" s="170">
        <v>44363</v>
      </c>
      <c r="B487" s="116">
        <v>3715.7750000000001</v>
      </c>
      <c r="C487" s="116">
        <v>3645.4</v>
      </c>
      <c r="D487" s="116">
        <v>3625</v>
      </c>
      <c r="E487" s="116">
        <v>3693.5</v>
      </c>
      <c r="F487" s="116">
        <v>7290.8</v>
      </c>
      <c r="G487">
        <v>3786</v>
      </c>
      <c r="H487" s="116"/>
      <c r="I487" s="116"/>
      <c r="L487" s="170">
        <v>44363</v>
      </c>
      <c r="M487" s="116">
        <v>3650.625</v>
      </c>
      <c r="N487" s="116">
        <v>3709</v>
      </c>
      <c r="O487" s="116">
        <v>3633.5</v>
      </c>
      <c r="P487" s="116">
        <v>3702.5</v>
      </c>
      <c r="Q487" s="116">
        <v>7301.25</v>
      </c>
      <c r="R487">
        <v>71644</v>
      </c>
    </row>
    <row r="488" spans="1:18" x14ac:dyDescent="0.25">
      <c r="A488" s="170">
        <v>44364</v>
      </c>
      <c r="B488" s="116">
        <v>3663.6</v>
      </c>
      <c r="C488" s="116">
        <v>3603.2249999999999</v>
      </c>
      <c r="D488" s="116">
        <v>3591.0250000000001</v>
      </c>
      <c r="E488" s="116">
        <v>3640</v>
      </c>
      <c r="F488" s="116">
        <v>7206.45</v>
      </c>
      <c r="G488">
        <v>2929</v>
      </c>
      <c r="H488" s="116"/>
      <c r="I488" s="116"/>
      <c r="L488" s="170">
        <v>44364</v>
      </c>
      <c r="M488" s="116">
        <v>3605.9749999999999</v>
      </c>
      <c r="N488" s="116">
        <v>3662.5</v>
      </c>
      <c r="O488" s="116">
        <v>3590</v>
      </c>
      <c r="P488" s="116">
        <v>3644.5</v>
      </c>
      <c r="Q488" s="116">
        <v>7211.95</v>
      </c>
      <c r="R488">
        <v>94001</v>
      </c>
    </row>
    <row r="489" spans="1:18" x14ac:dyDescent="0.25">
      <c r="A489" s="170">
        <v>44365</v>
      </c>
      <c r="B489" s="116">
        <v>3660</v>
      </c>
      <c r="C489" s="116">
        <v>3636.875</v>
      </c>
      <c r="D489" s="116">
        <v>3486.9749999999999</v>
      </c>
      <c r="E489" s="116">
        <v>3660</v>
      </c>
      <c r="F489" s="116">
        <v>7273.75</v>
      </c>
      <c r="G489">
        <v>5681</v>
      </c>
      <c r="H489" s="116"/>
      <c r="I489" s="116"/>
      <c r="L489" s="170">
        <v>44365</v>
      </c>
      <c r="M489" s="116">
        <v>3640.2750000000001</v>
      </c>
      <c r="N489" s="116">
        <v>3660</v>
      </c>
      <c r="O489" s="116">
        <v>3389.6</v>
      </c>
      <c r="P489" s="116">
        <v>3600</v>
      </c>
      <c r="Q489" s="116">
        <v>7280.55</v>
      </c>
      <c r="R489">
        <v>128408</v>
      </c>
    </row>
    <row r="490" spans="1:18" x14ac:dyDescent="0.25">
      <c r="A490" s="170">
        <v>44368</v>
      </c>
      <c r="B490" s="116">
        <v>3632</v>
      </c>
      <c r="C490" s="116">
        <v>3604.95</v>
      </c>
      <c r="D490" s="116">
        <v>3539.5250000000001</v>
      </c>
      <c r="E490" s="116">
        <v>3632</v>
      </c>
      <c r="F490" s="116">
        <v>7209.9</v>
      </c>
      <c r="G490">
        <v>2277</v>
      </c>
      <c r="H490" s="116"/>
      <c r="I490" s="116"/>
      <c r="L490" s="170">
        <v>44368</v>
      </c>
      <c r="M490" s="116">
        <v>3610.8</v>
      </c>
      <c r="N490" s="116">
        <v>3633.3249999999998</v>
      </c>
      <c r="O490" s="116">
        <v>3533</v>
      </c>
      <c r="P490" s="116">
        <v>3582</v>
      </c>
      <c r="Q490" s="116">
        <v>7221.6</v>
      </c>
      <c r="R490">
        <v>51633</v>
      </c>
    </row>
    <row r="491" spans="1:18" x14ac:dyDescent="0.25">
      <c r="A491" s="170">
        <v>44369</v>
      </c>
      <c r="B491" s="116">
        <v>3649.9250000000002</v>
      </c>
      <c r="C491" s="116">
        <v>3583.7</v>
      </c>
      <c r="D491" s="116">
        <v>3570</v>
      </c>
      <c r="E491" s="116">
        <v>3649.9250000000002</v>
      </c>
      <c r="F491" s="116">
        <v>7167.4</v>
      </c>
      <c r="G491">
        <v>2022</v>
      </c>
      <c r="H491" s="116"/>
      <c r="I491" s="116"/>
      <c r="L491" s="170">
        <v>44369</v>
      </c>
      <c r="M491" s="116">
        <v>3580.75</v>
      </c>
      <c r="N491" s="116">
        <v>3645.05</v>
      </c>
      <c r="O491" s="116">
        <v>3565.4250000000002</v>
      </c>
      <c r="P491" s="116">
        <v>3633</v>
      </c>
      <c r="Q491" s="116">
        <v>7161.5</v>
      </c>
      <c r="R491">
        <v>47007</v>
      </c>
    </row>
    <row r="492" spans="1:18" x14ac:dyDescent="0.25">
      <c r="A492" s="170">
        <v>44370</v>
      </c>
      <c r="B492" s="116">
        <v>3614.95</v>
      </c>
      <c r="C492" s="116">
        <v>3570.5</v>
      </c>
      <c r="D492" s="116">
        <v>3558.95</v>
      </c>
      <c r="E492" s="116">
        <v>3604.5</v>
      </c>
      <c r="F492" s="116">
        <v>7141</v>
      </c>
      <c r="G492">
        <v>4133</v>
      </c>
      <c r="H492" s="116"/>
      <c r="I492" s="116"/>
      <c r="L492" s="170">
        <v>44370</v>
      </c>
      <c r="M492" s="116">
        <v>3571.35</v>
      </c>
      <c r="N492" s="116">
        <v>3624.5</v>
      </c>
      <c r="O492" s="116">
        <v>3560.4749999999999</v>
      </c>
      <c r="P492" s="116">
        <v>3624.5</v>
      </c>
      <c r="Q492" s="116">
        <v>7142.7</v>
      </c>
      <c r="R492">
        <v>39690</v>
      </c>
    </row>
    <row r="493" spans="1:18" x14ac:dyDescent="0.25">
      <c r="A493" s="170">
        <v>44371</v>
      </c>
      <c r="B493" s="116">
        <v>3585.2249999999999</v>
      </c>
      <c r="C493" s="116">
        <v>3539.875</v>
      </c>
      <c r="D493" s="116">
        <v>3527</v>
      </c>
      <c r="E493" s="116">
        <v>3582.4749999999999</v>
      </c>
      <c r="F493" s="116">
        <v>7079.75</v>
      </c>
      <c r="G493">
        <v>2668</v>
      </c>
      <c r="H493" s="116"/>
      <c r="I493" s="116"/>
      <c r="L493" s="170">
        <v>44371</v>
      </c>
      <c r="M493" s="116">
        <v>3540.875</v>
      </c>
      <c r="N493" s="116">
        <v>3587.9</v>
      </c>
      <c r="O493" s="116">
        <v>3525.125</v>
      </c>
      <c r="P493" s="116">
        <v>3575</v>
      </c>
      <c r="Q493" s="116">
        <v>7081.75</v>
      </c>
      <c r="R493">
        <v>59254</v>
      </c>
    </row>
    <row r="494" spans="1:18" x14ac:dyDescent="0.25">
      <c r="A494" s="170">
        <v>44372</v>
      </c>
      <c r="B494" s="116">
        <v>3595</v>
      </c>
      <c r="C494" s="116">
        <v>3500.15</v>
      </c>
      <c r="D494" s="116">
        <v>3470</v>
      </c>
      <c r="E494" s="116">
        <v>3595</v>
      </c>
      <c r="F494" s="116">
        <v>7000.3</v>
      </c>
      <c r="G494">
        <v>2896</v>
      </c>
      <c r="H494" s="116"/>
      <c r="I494" s="116"/>
      <c r="L494" s="170">
        <v>44372</v>
      </c>
      <c r="M494" s="116">
        <v>3501.8</v>
      </c>
      <c r="N494" s="116">
        <v>3560.5</v>
      </c>
      <c r="O494" s="116">
        <v>3492.5</v>
      </c>
      <c r="P494" s="116">
        <v>3554.2</v>
      </c>
      <c r="Q494" s="116">
        <v>7003.6</v>
      </c>
      <c r="R494">
        <v>69645</v>
      </c>
    </row>
    <row r="495" spans="1:18" x14ac:dyDescent="0.25">
      <c r="A495" s="170">
        <v>44375</v>
      </c>
      <c r="B495" s="116">
        <v>3574.9749999999999</v>
      </c>
      <c r="C495" s="116">
        <v>3518.45</v>
      </c>
      <c r="D495" s="116">
        <v>3502.55</v>
      </c>
      <c r="E495" s="116">
        <v>3520</v>
      </c>
      <c r="F495" s="116">
        <v>7036.9</v>
      </c>
      <c r="G495">
        <v>2696</v>
      </c>
      <c r="H495" s="116"/>
      <c r="I495" s="116"/>
      <c r="L495" s="170">
        <v>44375</v>
      </c>
      <c r="M495" s="116">
        <v>3515.125</v>
      </c>
      <c r="N495" s="116">
        <v>3573.375</v>
      </c>
      <c r="O495" s="116">
        <v>3503.5749999999998</v>
      </c>
      <c r="P495" s="116">
        <v>3550</v>
      </c>
      <c r="Q495" s="116">
        <v>7030.25</v>
      </c>
      <c r="R495">
        <v>71136</v>
      </c>
    </row>
    <row r="496" spans="1:18" x14ac:dyDescent="0.25">
      <c r="A496" s="170">
        <v>44376</v>
      </c>
      <c r="B496" s="116">
        <v>3538.9749999999999</v>
      </c>
      <c r="C496" s="116">
        <v>3498.4749999999999</v>
      </c>
      <c r="D496" s="116">
        <v>3491.15</v>
      </c>
      <c r="E496" s="116">
        <v>3538.9749999999999</v>
      </c>
      <c r="F496" s="116">
        <v>6996.95</v>
      </c>
      <c r="G496">
        <v>4619</v>
      </c>
      <c r="H496" s="116"/>
      <c r="I496" s="116"/>
      <c r="L496" s="170">
        <v>44376</v>
      </c>
      <c r="M496" s="116">
        <v>3496.95</v>
      </c>
      <c r="N496" s="116">
        <v>3539.5</v>
      </c>
      <c r="O496" s="116">
        <v>3490</v>
      </c>
      <c r="P496" s="116">
        <v>3520.2750000000001</v>
      </c>
      <c r="Q496" s="116">
        <v>6993.9</v>
      </c>
      <c r="R496">
        <v>40890</v>
      </c>
    </row>
    <row r="497" spans="1:18" x14ac:dyDescent="0.25">
      <c r="A497" s="170">
        <v>44377</v>
      </c>
      <c r="B497" s="116">
        <v>3528.125</v>
      </c>
      <c r="C497" s="116">
        <v>3494.8</v>
      </c>
      <c r="D497" s="116">
        <v>3484.5</v>
      </c>
      <c r="E497" s="116">
        <v>3498.4749999999999</v>
      </c>
      <c r="F497" s="116">
        <v>6989.6</v>
      </c>
      <c r="G497">
        <v>5186</v>
      </c>
      <c r="H497" s="116"/>
      <c r="I497" s="116"/>
      <c r="L497" s="170">
        <v>44377</v>
      </c>
      <c r="M497" s="116">
        <v>3496.0749999999998</v>
      </c>
      <c r="N497" s="116">
        <v>3524.9250000000002</v>
      </c>
      <c r="O497" s="116">
        <v>3480.5</v>
      </c>
      <c r="P497" s="116">
        <v>3497.05</v>
      </c>
      <c r="Q497" s="116">
        <v>6992.15</v>
      </c>
      <c r="R497">
        <v>43987</v>
      </c>
    </row>
    <row r="498" spans="1:18" x14ac:dyDescent="0.25">
      <c r="A498" s="170">
        <v>44378</v>
      </c>
      <c r="B498" s="116">
        <v>3587.4250000000002</v>
      </c>
      <c r="C498" s="116">
        <v>3570.95</v>
      </c>
      <c r="D498" s="116">
        <v>3497.4250000000002</v>
      </c>
      <c r="E498" s="116">
        <v>3508</v>
      </c>
      <c r="F498" s="116">
        <v>7141.9</v>
      </c>
      <c r="G498">
        <v>4873</v>
      </c>
      <c r="H498" s="116"/>
      <c r="I498" s="116"/>
      <c r="L498" s="170">
        <v>44378</v>
      </c>
      <c r="M498" s="116">
        <v>3570.55</v>
      </c>
      <c r="N498" s="116">
        <v>3585.5</v>
      </c>
      <c r="O498" s="116">
        <v>3500.45</v>
      </c>
      <c r="P498" s="116">
        <v>3539.5</v>
      </c>
      <c r="Q498" s="116">
        <v>7141.1</v>
      </c>
      <c r="R498">
        <v>97091</v>
      </c>
    </row>
    <row r="499" spans="1:18" x14ac:dyDescent="0.25">
      <c r="A499" s="170">
        <v>44379</v>
      </c>
      <c r="B499" s="116">
        <v>3670</v>
      </c>
      <c r="C499" s="116">
        <v>3632.8</v>
      </c>
      <c r="D499" s="116">
        <v>3577.55</v>
      </c>
      <c r="E499" s="116">
        <v>3577.55</v>
      </c>
      <c r="F499" s="116">
        <v>7265.6</v>
      </c>
      <c r="G499">
        <v>14147</v>
      </c>
      <c r="H499" s="116"/>
      <c r="I499" s="116"/>
      <c r="L499" s="170">
        <v>44379</v>
      </c>
      <c r="M499" s="116">
        <v>3632.9749999999999</v>
      </c>
      <c r="N499" s="116">
        <v>3674.45</v>
      </c>
      <c r="O499" s="116">
        <v>3590</v>
      </c>
      <c r="P499" s="116">
        <v>3590</v>
      </c>
      <c r="Q499" s="116">
        <v>7265.95</v>
      </c>
      <c r="R499">
        <v>112556</v>
      </c>
    </row>
    <row r="500" spans="1:18" x14ac:dyDescent="0.25">
      <c r="A500" s="170">
        <v>44382</v>
      </c>
      <c r="B500" s="116">
        <v>3713</v>
      </c>
      <c r="C500" s="116">
        <v>3623.2</v>
      </c>
      <c r="D500" s="116">
        <v>3597.2249999999999</v>
      </c>
      <c r="E500" s="116">
        <v>3679.9749999999999</v>
      </c>
      <c r="F500" s="116">
        <v>7246.4</v>
      </c>
      <c r="G500">
        <v>3837</v>
      </c>
      <c r="H500" s="116"/>
      <c r="I500" s="116"/>
      <c r="L500" s="170">
        <v>44382</v>
      </c>
      <c r="M500" s="116">
        <v>3625.7750000000001</v>
      </c>
      <c r="N500" s="116">
        <v>3688.4749999999999</v>
      </c>
      <c r="O500" s="116">
        <v>3595</v>
      </c>
      <c r="P500" s="116">
        <v>3668.8249999999998</v>
      </c>
      <c r="Q500" s="116">
        <v>7251.55</v>
      </c>
      <c r="R500">
        <v>65677</v>
      </c>
    </row>
    <row r="501" spans="1:18" x14ac:dyDescent="0.25">
      <c r="A501" s="170">
        <v>44383</v>
      </c>
      <c r="B501" s="116">
        <v>3663.2249999999999</v>
      </c>
      <c r="C501" s="116">
        <v>3651.9749999999999</v>
      </c>
      <c r="D501" s="116">
        <v>3608.85</v>
      </c>
      <c r="E501" s="116">
        <v>3647.25</v>
      </c>
      <c r="F501" s="116">
        <v>7303.95</v>
      </c>
      <c r="G501">
        <v>2550</v>
      </c>
      <c r="H501" s="116"/>
      <c r="I501" s="116"/>
      <c r="L501" s="170">
        <v>44383</v>
      </c>
      <c r="M501" s="116">
        <v>3652.0250000000001</v>
      </c>
      <c r="N501" s="116">
        <v>3667.5</v>
      </c>
      <c r="O501" s="116">
        <v>3607.8</v>
      </c>
      <c r="P501" s="116">
        <v>3650</v>
      </c>
      <c r="Q501" s="116">
        <v>7304.05</v>
      </c>
      <c r="R501">
        <v>56346</v>
      </c>
    </row>
    <row r="502" spans="1:18" x14ac:dyDescent="0.25">
      <c r="A502" s="170">
        <v>44384</v>
      </c>
      <c r="B502" s="116">
        <v>3674.5</v>
      </c>
      <c r="C502" s="116">
        <v>3625.125</v>
      </c>
      <c r="D502" s="116">
        <v>3609.7249999999999</v>
      </c>
      <c r="E502" s="116">
        <v>3674.5</v>
      </c>
      <c r="F502" s="116">
        <v>7250.25</v>
      </c>
      <c r="G502">
        <v>1776</v>
      </c>
      <c r="H502" s="116"/>
      <c r="I502" s="116"/>
      <c r="L502" s="170">
        <v>44384</v>
      </c>
      <c r="M502" s="116">
        <v>3625.375</v>
      </c>
      <c r="N502" s="116">
        <v>3674.5</v>
      </c>
      <c r="O502" s="116">
        <v>3607.65</v>
      </c>
      <c r="P502" s="116">
        <v>3652.05</v>
      </c>
      <c r="Q502" s="116">
        <v>7250.75</v>
      </c>
      <c r="R502">
        <v>40629</v>
      </c>
    </row>
    <row r="503" spans="1:18" x14ac:dyDescent="0.25">
      <c r="A503" s="170">
        <v>44385</v>
      </c>
      <c r="B503" s="116">
        <v>3685.3249999999998</v>
      </c>
      <c r="C503" s="116">
        <v>3655.8</v>
      </c>
      <c r="D503" s="116">
        <v>3613.2750000000001</v>
      </c>
      <c r="E503" s="116">
        <v>3632.5749999999998</v>
      </c>
      <c r="F503" s="116">
        <v>7311.6</v>
      </c>
      <c r="G503">
        <v>2664</v>
      </c>
      <c r="H503" s="116"/>
      <c r="I503" s="116"/>
      <c r="L503" s="170">
        <v>44385</v>
      </c>
      <c r="M503" s="116">
        <v>3660.5</v>
      </c>
      <c r="N503" s="116">
        <v>3685.75</v>
      </c>
      <c r="O503" s="116">
        <v>3615</v>
      </c>
      <c r="P503" s="116">
        <v>3645</v>
      </c>
      <c r="Q503" s="116">
        <v>7321</v>
      </c>
      <c r="R503">
        <v>50164</v>
      </c>
    </row>
    <row r="504" spans="1:18" x14ac:dyDescent="0.25">
      <c r="A504" s="170">
        <v>44386</v>
      </c>
      <c r="B504" s="116">
        <v>3747.6</v>
      </c>
      <c r="C504" s="116">
        <v>3690.9749999999999</v>
      </c>
      <c r="D504" s="116">
        <v>3628.8</v>
      </c>
      <c r="E504" s="116">
        <v>3661</v>
      </c>
      <c r="F504" s="116">
        <v>7381.95</v>
      </c>
      <c r="G504">
        <v>2725</v>
      </c>
      <c r="H504" s="116"/>
      <c r="I504" s="116"/>
      <c r="L504" s="170">
        <v>44386</v>
      </c>
      <c r="M504" s="116">
        <v>3689.6</v>
      </c>
      <c r="N504" s="116">
        <v>3749</v>
      </c>
      <c r="O504" s="116">
        <v>3622.6</v>
      </c>
      <c r="P504" s="116">
        <v>3660.5</v>
      </c>
      <c r="Q504" s="116">
        <v>7379.2</v>
      </c>
      <c r="R504">
        <v>98790</v>
      </c>
    </row>
    <row r="505" spans="1:18" x14ac:dyDescent="0.25">
      <c r="A505" s="170">
        <v>44389</v>
      </c>
      <c r="B505" s="116">
        <v>3721.4749999999999</v>
      </c>
      <c r="C505" s="116">
        <v>3669.4</v>
      </c>
      <c r="D505" s="116">
        <v>3655</v>
      </c>
      <c r="E505" s="116">
        <v>3697</v>
      </c>
      <c r="F505" s="116">
        <v>7338.8</v>
      </c>
      <c r="G505">
        <v>5035</v>
      </c>
      <c r="H505" s="116"/>
      <c r="I505" s="116"/>
      <c r="L505" s="170">
        <v>44389</v>
      </c>
      <c r="M505" s="116">
        <v>3671.0749999999998</v>
      </c>
      <c r="N505" s="116">
        <v>3726.2750000000001</v>
      </c>
      <c r="O505" s="116">
        <v>3660</v>
      </c>
      <c r="P505" s="116">
        <v>3726.2750000000001</v>
      </c>
      <c r="Q505" s="116">
        <v>7342.15</v>
      </c>
      <c r="R505">
        <v>43866</v>
      </c>
    </row>
    <row r="506" spans="1:18" x14ac:dyDescent="0.25">
      <c r="A506" s="170">
        <v>44390</v>
      </c>
      <c r="B506" s="116">
        <v>3659.85</v>
      </c>
      <c r="C506" s="116">
        <v>3610.15</v>
      </c>
      <c r="D506" s="116">
        <v>3596.1</v>
      </c>
      <c r="E506" s="116">
        <v>3659.85</v>
      </c>
      <c r="F506" s="116">
        <v>7220.3</v>
      </c>
      <c r="G506">
        <v>2347</v>
      </c>
      <c r="H506" s="116"/>
      <c r="I506" s="116"/>
      <c r="L506" s="170">
        <v>44390</v>
      </c>
      <c r="M506" s="116">
        <v>3613.35</v>
      </c>
      <c r="N506" s="116">
        <v>3675</v>
      </c>
      <c r="O506" s="116">
        <v>3605</v>
      </c>
      <c r="P506" s="116">
        <v>3668.05</v>
      </c>
      <c r="Q506" s="116">
        <v>7226.7</v>
      </c>
      <c r="R506">
        <v>46282</v>
      </c>
    </row>
    <row r="507" spans="1:18" x14ac:dyDescent="0.25">
      <c r="A507" s="170">
        <v>44391</v>
      </c>
      <c r="B507" s="116">
        <v>3735</v>
      </c>
      <c r="C507" s="116">
        <v>3698.1</v>
      </c>
      <c r="D507" s="116">
        <v>3600.65</v>
      </c>
      <c r="E507" s="116">
        <v>3615.05</v>
      </c>
      <c r="F507" s="116">
        <v>7396.2</v>
      </c>
      <c r="G507">
        <v>5698</v>
      </c>
      <c r="H507" s="116"/>
      <c r="I507" s="116"/>
      <c r="L507" s="170">
        <v>44391</v>
      </c>
      <c r="M507" s="116">
        <v>3698.85</v>
      </c>
      <c r="N507" s="116">
        <v>3737</v>
      </c>
      <c r="O507" s="116">
        <v>3600</v>
      </c>
      <c r="P507" s="116">
        <v>3600</v>
      </c>
      <c r="Q507" s="116">
        <v>7397.7</v>
      </c>
      <c r="R507">
        <v>111517</v>
      </c>
    </row>
    <row r="508" spans="1:18" x14ac:dyDescent="0.25">
      <c r="A508" s="170">
        <v>44392</v>
      </c>
      <c r="B508" s="116">
        <v>3700</v>
      </c>
      <c r="C508" s="116">
        <v>3651.2249999999999</v>
      </c>
      <c r="D508" s="116">
        <v>3640.0749999999998</v>
      </c>
      <c r="E508" s="116">
        <v>3690</v>
      </c>
      <c r="F508" s="116">
        <v>7302.45</v>
      </c>
      <c r="G508">
        <v>3111</v>
      </c>
      <c r="H508" s="116"/>
      <c r="I508" s="116"/>
      <c r="L508" s="170">
        <v>44392</v>
      </c>
      <c r="M508" s="116">
        <v>3648.9749999999999</v>
      </c>
      <c r="N508" s="116">
        <v>3715</v>
      </c>
      <c r="O508" s="116">
        <v>3642</v>
      </c>
      <c r="P508" s="116">
        <v>3715</v>
      </c>
      <c r="Q508" s="116">
        <v>7297.95</v>
      </c>
      <c r="R508">
        <v>73561</v>
      </c>
    </row>
    <row r="509" spans="1:18" x14ac:dyDescent="0.25">
      <c r="A509" s="170">
        <v>44393</v>
      </c>
      <c r="B509" s="116">
        <v>3695</v>
      </c>
      <c r="C509" s="116">
        <v>3613.7249999999999</v>
      </c>
      <c r="D509" s="116">
        <v>3608.85</v>
      </c>
      <c r="E509" s="116">
        <v>3631.5</v>
      </c>
      <c r="F509" s="116">
        <v>7227.45</v>
      </c>
      <c r="G509">
        <v>47554</v>
      </c>
      <c r="H509" s="116"/>
      <c r="I509" s="116"/>
      <c r="L509" s="170">
        <v>44393</v>
      </c>
      <c r="M509" s="116">
        <v>3614.4749999999999</v>
      </c>
      <c r="N509" s="116">
        <v>3696.35</v>
      </c>
      <c r="O509" s="116">
        <v>3608.6</v>
      </c>
      <c r="P509" s="116">
        <v>3630.05</v>
      </c>
      <c r="Q509" s="116">
        <v>7228.95</v>
      </c>
      <c r="R509">
        <v>44856</v>
      </c>
    </row>
    <row r="510" spans="1:18" x14ac:dyDescent="0.25">
      <c r="A510" s="170">
        <v>44396</v>
      </c>
      <c r="B510" s="116">
        <v>3582.5</v>
      </c>
      <c r="C510" s="116">
        <v>3527.6</v>
      </c>
      <c r="D510" s="116">
        <v>3503.3</v>
      </c>
      <c r="E510" s="116">
        <v>3582.5</v>
      </c>
      <c r="F510" s="116">
        <v>7055.2</v>
      </c>
      <c r="G510">
        <v>4609</v>
      </c>
      <c r="H510" s="116"/>
      <c r="I510" s="116"/>
      <c r="L510" s="170">
        <v>44396</v>
      </c>
      <c r="M510" s="116">
        <v>3527.15</v>
      </c>
      <c r="N510" s="116">
        <v>3582.5</v>
      </c>
      <c r="O510" s="116">
        <v>3502.65</v>
      </c>
      <c r="P510" s="116">
        <v>3582.5</v>
      </c>
      <c r="Q510" s="116">
        <v>7054.3</v>
      </c>
      <c r="R510">
        <v>166630</v>
      </c>
    </row>
    <row r="511" spans="1:18" x14ac:dyDescent="0.25">
      <c r="A511" s="170">
        <v>44397</v>
      </c>
      <c r="B511" s="116">
        <v>3528.875</v>
      </c>
      <c r="C511" s="116">
        <v>3520.5749999999998</v>
      </c>
      <c r="D511" s="116">
        <v>3499.15</v>
      </c>
      <c r="E511" s="116">
        <v>3500</v>
      </c>
      <c r="F511" s="116">
        <v>7041.15</v>
      </c>
      <c r="G511">
        <v>7247</v>
      </c>
      <c r="H511" s="116"/>
      <c r="I511" s="116"/>
      <c r="L511" s="170">
        <v>44397</v>
      </c>
      <c r="M511" s="116">
        <v>3521.25</v>
      </c>
      <c r="N511" s="116">
        <v>3529.5</v>
      </c>
      <c r="O511" s="116">
        <v>3498</v>
      </c>
      <c r="P511" s="116">
        <v>3512.15</v>
      </c>
      <c r="Q511" s="116">
        <v>7042.5</v>
      </c>
      <c r="R511">
        <v>69601</v>
      </c>
    </row>
    <row r="512" spans="1:18" x14ac:dyDescent="0.25">
      <c r="A512" s="170">
        <v>44399</v>
      </c>
      <c r="B512" s="116">
        <v>3580.125</v>
      </c>
      <c r="C512" s="116">
        <v>3505.35</v>
      </c>
      <c r="D512" s="116">
        <v>3477.15</v>
      </c>
      <c r="E512" s="116">
        <v>3525</v>
      </c>
      <c r="F512" s="116">
        <v>7010.7</v>
      </c>
      <c r="G512">
        <v>5233</v>
      </c>
      <c r="H512" s="116"/>
      <c r="I512" s="116"/>
      <c r="L512" s="170">
        <v>44399</v>
      </c>
      <c r="M512" s="116">
        <v>3506</v>
      </c>
      <c r="N512" s="116">
        <v>3584.5</v>
      </c>
      <c r="O512" s="116">
        <v>3475</v>
      </c>
      <c r="P512" s="116">
        <v>3521.25</v>
      </c>
      <c r="Q512" s="116">
        <v>7012</v>
      </c>
      <c r="R512">
        <v>140900</v>
      </c>
    </row>
    <row r="513" spans="1:18" x14ac:dyDescent="0.25">
      <c r="A513" s="170">
        <v>44400</v>
      </c>
      <c r="B513" s="116">
        <v>3679.9</v>
      </c>
      <c r="C513" s="116">
        <v>3625.5749999999998</v>
      </c>
      <c r="D513" s="116">
        <v>3550.05</v>
      </c>
      <c r="E513" s="116">
        <v>3650</v>
      </c>
      <c r="F513" s="116">
        <v>7251.15</v>
      </c>
      <c r="G513">
        <v>8072</v>
      </c>
      <c r="H513" s="116"/>
      <c r="I513" s="116"/>
      <c r="L513" s="170">
        <v>44400</v>
      </c>
      <c r="M513" s="116">
        <v>3625.25</v>
      </c>
      <c r="N513" s="116">
        <v>3692.25</v>
      </c>
      <c r="O513" s="116">
        <v>3553.0250000000001</v>
      </c>
      <c r="P513" s="116">
        <v>3630</v>
      </c>
      <c r="Q513" s="116">
        <v>7250.5</v>
      </c>
      <c r="R513">
        <v>218030</v>
      </c>
    </row>
    <row r="514" spans="1:18" x14ac:dyDescent="0.25">
      <c r="A514" s="170">
        <v>44403</v>
      </c>
      <c r="B514" s="116">
        <v>3660.5</v>
      </c>
      <c r="C514" s="116">
        <v>3643.2</v>
      </c>
      <c r="D514" s="116">
        <v>3597.875</v>
      </c>
      <c r="E514" s="116">
        <v>3625</v>
      </c>
      <c r="F514" s="116">
        <v>7286.4</v>
      </c>
      <c r="G514">
        <v>9834</v>
      </c>
      <c r="H514" s="116"/>
      <c r="I514" s="116"/>
      <c r="L514" s="170">
        <v>44403</v>
      </c>
      <c r="M514" s="116">
        <v>3643.4250000000002</v>
      </c>
      <c r="N514" s="116">
        <v>3663.7</v>
      </c>
      <c r="O514" s="116">
        <v>3604</v>
      </c>
      <c r="P514" s="116">
        <v>3610</v>
      </c>
      <c r="Q514" s="116">
        <v>7286.85</v>
      </c>
      <c r="R514">
        <v>94344</v>
      </c>
    </row>
    <row r="515" spans="1:18" x14ac:dyDescent="0.25">
      <c r="A515" s="170">
        <v>44404</v>
      </c>
      <c r="B515" s="116">
        <v>3674.4749999999999</v>
      </c>
      <c r="C515" s="116">
        <v>3590.1750000000002</v>
      </c>
      <c r="D515" s="116">
        <v>3582.5250000000001</v>
      </c>
      <c r="E515" s="116">
        <v>3674.4749999999999</v>
      </c>
      <c r="F515" s="116">
        <v>7180.35</v>
      </c>
      <c r="G515">
        <v>1341</v>
      </c>
      <c r="H515" s="116"/>
      <c r="I515" s="116"/>
      <c r="L515" s="170">
        <v>44404</v>
      </c>
      <c r="M515" s="116">
        <v>3589.9749999999999</v>
      </c>
      <c r="N515" s="116">
        <v>3662.5</v>
      </c>
      <c r="O515" s="116">
        <v>3583</v>
      </c>
      <c r="P515" s="116">
        <v>3662.5</v>
      </c>
      <c r="Q515" s="116">
        <v>7179.95</v>
      </c>
      <c r="R515">
        <v>61792</v>
      </c>
    </row>
    <row r="516" spans="1:18" x14ac:dyDescent="0.25">
      <c r="A516" s="170">
        <v>44405</v>
      </c>
      <c r="B516" s="116">
        <v>3603.1750000000002</v>
      </c>
      <c r="C516" s="116">
        <v>3540.95</v>
      </c>
      <c r="D516" s="116">
        <v>3503.85</v>
      </c>
      <c r="E516" s="116">
        <v>3590</v>
      </c>
      <c r="F516" s="116">
        <v>7081.9</v>
      </c>
      <c r="G516">
        <v>6543</v>
      </c>
      <c r="H516" s="116"/>
      <c r="I516" s="116"/>
      <c r="L516" s="170">
        <v>44405</v>
      </c>
      <c r="M516" s="116">
        <v>3542.15</v>
      </c>
      <c r="N516" s="116">
        <v>3607.5</v>
      </c>
      <c r="O516" s="116">
        <v>3504.25</v>
      </c>
      <c r="P516" s="116">
        <v>3607.5</v>
      </c>
      <c r="Q516" s="116">
        <v>7084.3</v>
      </c>
      <c r="R516">
        <v>124888</v>
      </c>
    </row>
    <row r="517" spans="1:18" x14ac:dyDescent="0.25">
      <c r="A517" s="170">
        <v>44406</v>
      </c>
      <c r="B517" s="116">
        <v>3582.65</v>
      </c>
      <c r="C517" s="116">
        <v>3569.5250000000001</v>
      </c>
      <c r="D517" s="116">
        <v>3550</v>
      </c>
      <c r="E517" s="116">
        <v>3550</v>
      </c>
      <c r="F517" s="116">
        <v>7139.05</v>
      </c>
      <c r="G517">
        <v>1209</v>
      </c>
      <c r="H517" s="116"/>
      <c r="I517" s="116"/>
      <c r="L517" s="170">
        <v>44406</v>
      </c>
      <c r="M517" s="116">
        <v>3572.9</v>
      </c>
      <c r="N517" s="116">
        <v>3584.5</v>
      </c>
      <c r="O517" s="116">
        <v>3542.125</v>
      </c>
      <c r="P517" s="116">
        <v>3542.15</v>
      </c>
      <c r="Q517" s="116">
        <v>7145.8</v>
      </c>
      <c r="R517">
        <v>45551</v>
      </c>
    </row>
    <row r="518" spans="1:18" x14ac:dyDescent="0.25">
      <c r="A518" s="170">
        <v>44407</v>
      </c>
      <c r="B518" s="116">
        <v>3605.05</v>
      </c>
      <c r="C518" s="116">
        <v>3572.35</v>
      </c>
      <c r="D518" s="116">
        <v>3550.5250000000001</v>
      </c>
      <c r="E518" s="116">
        <v>3569.5</v>
      </c>
      <c r="F518" s="116">
        <v>7144.7</v>
      </c>
      <c r="G518">
        <v>1452</v>
      </c>
      <c r="H518" s="116"/>
      <c r="I518" s="116"/>
      <c r="L518" s="170">
        <v>44407</v>
      </c>
      <c r="M518" s="116">
        <v>3572.625</v>
      </c>
      <c r="N518" s="116">
        <v>3604.45</v>
      </c>
      <c r="O518" s="116">
        <v>3550.5</v>
      </c>
      <c r="P518" s="116">
        <v>3577.5</v>
      </c>
      <c r="Q518" s="116">
        <v>7145.25</v>
      </c>
      <c r="R518">
        <v>48525</v>
      </c>
    </row>
    <row r="519" spans="1:18" x14ac:dyDescent="0.25">
      <c r="A519" s="170">
        <v>44410</v>
      </c>
      <c r="B519" s="116">
        <v>3653.5749999999998</v>
      </c>
      <c r="C519" s="116">
        <v>3632.9749999999999</v>
      </c>
      <c r="D519" s="116">
        <v>3575.0250000000001</v>
      </c>
      <c r="E519" s="116">
        <v>3597.8249999999998</v>
      </c>
      <c r="F519" s="116">
        <v>7265.95</v>
      </c>
      <c r="G519">
        <v>2546</v>
      </c>
      <c r="H519" s="116"/>
      <c r="I519" s="116"/>
      <c r="L519" s="170">
        <v>44410</v>
      </c>
      <c r="M519" s="116">
        <v>3634.0749999999998</v>
      </c>
      <c r="N519" s="116">
        <v>3654.5</v>
      </c>
      <c r="O519" s="116">
        <v>3555.5</v>
      </c>
      <c r="P519" s="116">
        <v>3555.5</v>
      </c>
      <c r="Q519" s="116">
        <v>7268.15</v>
      </c>
      <c r="R519">
        <v>54780</v>
      </c>
    </row>
    <row r="520" spans="1:18" x14ac:dyDescent="0.25">
      <c r="A520" s="170">
        <v>44411</v>
      </c>
      <c r="B520" s="116">
        <v>3711.45</v>
      </c>
      <c r="C520" s="116">
        <v>3677.8249999999998</v>
      </c>
      <c r="D520" s="116">
        <v>3627.375</v>
      </c>
      <c r="E520" s="116">
        <v>3660.5</v>
      </c>
      <c r="F520" s="116">
        <v>7355.65</v>
      </c>
      <c r="G520">
        <v>3730</v>
      </c>
      <c r="H520" s="116"/>
      <c r="I520" s="116"/>
      <c r="L520" s="170">
        <v>44411</v>
      </c>
      <c r="M520" s="116">
        <v>3676.1</v>
      </c>
      <c r="N520" s="116">
        <v>3711.625</v>
      </c>
      <c r="O520" s="116">
        <v>3626</v>
      </c>
      <c r="P520" s="116">
        <v>3650</v>
      </c>
      <c r="Q520" s="116">
        <v>7352.2</v>
      </c>
      <c r="R520">
        <v>101262</v>
      </c>
    </row>
    <row r="521" spans="1:18" x14ac:dyDescent="0.25">
      <c r="A521" s="170">
        <v>44412</v>
      </c>
      <c r="B521" s="116">
        <v>3747.5</v>
      </c>
      <c r="C521" s="116">
        <v>3714.95</v>
      </c>
      <c r="D521" s="116">
        <v>3675.75</v>
      </c>
      <c r="E521" s="116">
        <v>3675.75</v>
      </c>
      <c r="F521" s="116">
        <v>7429.9</v>
      </c>
      <c r="G521">
        <v>16396</v>
      </c>
      <c r="H521" s="116"/>
      <c r="I521" s="116"/>
      <c r="L521" s="170">
        <v>44412</v>
      </c>
      <c r="M521" s="116">
        <v>3716.2249999999999</v>
      </c>
      <c r="N521" s="116">
        <v>3748.5</v>
      </c>
      <c r="O521" s="116">
        <v>3670</v>
      </c>
      <c r="P521" s="116">
        <v>3676.1</v>
      </c>
      <c r="Q521" s="116">
        <v>7432.45</v>
      </c>
      <c r="R521">
        <v>96058</v>
      </c>
    </row>
    <row r="522" spans="1:18" x14ac:dyDescent="0.25">
      <c r="A522" s="170">
        <v>44413</v>
      </c>
      <c r="B522" s="116">
        <v>3750</v>
      </c>
      <c r="C522" s="116">
        <v>3690.95</v>
      </c>
      <c r="D522" s="116">
        <v>3679.5749999999998</v>
      </c>
      <c r="E522" s="116">
        <v>3750</v>
      </c>
      <c r="F522" s="116">
        <v>7381.9</v>
      </c>
      <c r="G522">
        <v>1818</v>
      </c>
      <c r="H522" s="116"/>
      <c r="I522" s="116"/>
      <c r="L522" s="170">
        <v>44413</v>
      </c>
      <c r="M522" s="116">
        <v>3690.7750000000001</v>
      </c>
      <c r="N522" s="116">
        <v>3745</v>
      </c>
      <c r="O522" s="116">
        <v>3675</v>
      </c>
      <c r="P522" s="116">
        <v>3742.5</v>
      </c>
      <c r="Q522" s="116">
        <v>7381.55</v>
      </c>
      <c r="R522">
        <v>34139</v>
      </c>
    </row>
    <row r="523" spans="1:18" x14ac:dyDescent="0.25">
      <c r="A523" s="170">
        <v>44414</v>
      </c>
      <c r="B523" s="116">
        <v>3717.7249999999999</v>
      </c>
      <c r="C523" s="116">
        <v>3674.4</v>
      </c>
      <c r="D523" s="116">
        <v>3647.4250000000002</v>
      </c>
      <c r="E523" s="116">
        <v>3685</v>
      </c>
      <c r="F523" s="116">
        <v>7348.8</v>
      </c>
      <c r="G523">
        <v>3692</v>
      </c>
      <c r="H523" s="116"/>
      <c r="I523" s="116"/>
      <c r="L523" s="170">
        <v>44414</v>
      </c>
      <c r="M523" s="116">
        <v>3676.95</v>
      </c>
      <c r="N523" s="116">
        <v>3718.7249999999999</v>
      </c>
      <c r="O523" s="116">
        <v>3645</v>
      </c>
      <c r="P523" s="116">
        <v>3690.5</v>
      </c>
      <c r="Q523" s="116">
        <v>7353.9</v>
      </c>
      <c r="R523">
        <v>25734</v>
      </c>
    </row>
    <row r="524" spans="1:18" x14ac:dyDescent="0.25">
      <c r="A524" s="170">
        <v>44417</v>
      </c>
      <c r="B524" s="116">
        <v>3680.75</v>
      </c>
      <c r="C524" s="116">
        <v>3619.9250000000002</v>
      </c>
      <c r="D524" s="116">
        <v>3605</v>
      </c>
      <c r="E524" s="116">
        <v>3667.7</v>
      </c>
      <c r="F524" s="116">
        <v>7239.85</v>
      </c>
      <c r="G524">
        <v>2031</v>
      </c>
      <c r="H524" s="116"/>
      <c r="I524" s="116"/>
      <c r="L524" s="170">
        <v>44417</v>
      </c>
      <c r="M524" s="116">
        <v>3618.4749999999999</v>
      </c>
      <c r="N524" s="116">
        <v>3698.9749999999999</v>
      </c>
      <c r="O524" s="116">
        <v>3605</v>
      </c>
      <c r="P524" s="116">
        <v>3677.5</v>
      </c>
      <c r="Q524" s="116">
        <v>7236.95</v>
      </c>
      <c r="R524">
        <v>33736</v>
      </c>
    </row>
    <row r="525" spans="1:18" x14ac:dyDescent="0.25">
      <c r="A525" s="170">
        <v>44418</v>
      </c>
      <c r="B525" s="116">
        <v>3708.8249999999998</v>
      </c>
      <c r="C525" s="116">
        <v>3675.3249999999998</v>
      </c>
      <c r="D525" s="116">
        <v>3635.7</v>
      </c>
      <c r="E525" s="116">
        <v>3669.95</v>
      </c>
      <c r="F525" s="116">
        <v>7350.65</v>
      </c>
      <c r="G525">
        <v>8420</v>
      </c>
      <c r="H525" s="116"/>
      <c r="I525" s="116"/>
      <c r="L525" s="170">
        <v>44418</v>
      </c>
      <c r="M525" s="116">
        <v>3677.125</v>
      </c>
      <c r="N525" s="116">
        <v>3709.5</v>
      </c>
      <c r="O525" s="116">
        <v>3650</v>
      </c>
      <c r="P525" s="116">
        <v>3650</v>
      </c>
      <c r="Q525" s="116">
        <v>7354.25</v>
      </c>
      <c r="R525">
        <v>67144</v>
      </c>
    </row>
    <row r="526" spans="1:18" x14ac:dyDescent="0.25">
      <c r="A526" s="170">
        <v>44419</v>
      </c>
      <c r="B526" s="116">
        <v>3691.2</v>
      </c>
      <c r="C526" s="116">
        <v>3575.4749999999999</v>
      </c>
      <c r="D526" s="116">
        <v>3545.125</v>
      </c>
      <c r="E526" s="116">
        <v>3651</v>
      </c>
      <c r="F526" s="116">
        <v>7150.95</v>
      </c>
      <c r="G526">
        <v>2427</v>
      </c>
      <c r="H526" s="116"/>
      <c r="I526" s="116"/>
      <c r="L526" s="170">
        <v>44419</v>
      </c>
      <c r="M526" s="116">
        <v>3574.45</v>
      </c>
      <c r="N526" s="116">
        <v>3700</v>
      </c>
      <c r="O526" s="116">
        <v>3540</v>
      </c>
      <c r="P526" s="116">
        <v>3700</v>
      </c>
      <c r="Q526" s="116">
        <v>7148.9</v>
      </c>
      <c r="R526">
        <v>53053</v>
      </c>
    </row>
    <row r="527" spans="1:18" x14ac:dyDescent="0.25">
      <c r="A527" s="170">
        <v>44420</v>
      </c>
      <c r="B527" s="116">
        <v>3632.5</v>
      </c>
      <c r="C527" s="116">
        <v>3581.4250000000002</v>
      </c>
      <c r="D527" s="116">
        <v>3573.0749999999998</v>
      </c>
      <c r="E527" s="116">
        <v>3605</v>
      </c>
      <c r="F527" s="116">
        <v>7162.85</v>
      </c>
      <c r="G527">
        <v>3737</v>
      </c>
      <c r="H527" s="116"/>
      <c r="I527" s="116"/>
      <c r="L527" s="170">
        <v>44420</v>
      </c>
      <c r="M527" s="116">
        <v>3583.4250000000002</v>
      </c>
      <c r="N527" s="116">
        <v>3633.9749999999999</v>
      </c>
      <c r="O527" s="116">
        <v>3575</v>
      </c>
      <c r="P527" s="116">
        <v>3600</v>
      </c>
      <c r="Q527" s="116">
        <v>7166.85</v>
      </c>
      <c r="R527">
        <v>20792</v>
      </c>
    </row>
    <row r="528" spans="1:18" x14ac:dyDescent="0.25">
      <c r="A528" s="170">
        <v>44421</v>
      </c>
      <c r="B528" s="116">
        <v>3658.7750000000001</v>
      </c>
      <c r="C528" s="116">
        <v>3619.95</v>
      </c>
      <c r="D528" s="116">
        <v>3581</v>
      </c>
      <c r="E528" s="116">
        <v>3581</v>
      </c>
      <c r="F528" s="116">
        <v>7239.9</v>
      </c>
      <c r="G528">
        <v>1816</v>
      </c>
      <c r="H528" s="116"/>
      <c r="I528" s="116"/>
      <c r="L528" s="170">
        <v>44421</v>
      </c>
      <c r="M528" s="116">
        <v>3621.1</v>
      </c>
      <c r="N528" s="116">
        <v>3658.5749999999998</v>
      </c>
      <c r="O528" s="116">
        <v>3593.5</v>
      </c>
      <c r="P528" s="116">
        <v>3593.5</v>
      </c>
      <c r="Q528" s="116">
        <v>7242.2</v>
      </c>
      <c r="R528">
        <v>22674</v>
      </c>
    </row>
    <row r="529" spans="1:18" x14ac:dyDescent="0.25">
      <c r="A529" s="170">
        <v>44424</v>
      </c>
      <c r="B529" s="116">
        <v>3639.4250000000002</v>
      </c>
      <c r="C529" s="116">
        <v>3583.4250000000002</v>
      </c>
      <c r="D529" s="116">
        <v>3568.5250000000001</v>
      </c>
      <c r="E529" s="116">
        <v>3626.6</v>
      </c>
      <c r="F529" s="116">
        <v>7166.85</v>
      </c>
      <c r="G529">
        <v>1703</v>
      </c>
      <c r="H529" s="116"/>
      <c r="I529" s="116"/>
      <c r="L529" s="170">
        <v>44424</v>
      </c>
      <c r="M529" s="116">
        <v>3585.05</v>
      </c>
      <c r="N529" s="116">
        <v>3644.9749999999999</v>
      </c>
      <c r="O529" s="116">
        <v>3565.5</v>
      </c>
      <c r="P529" s="116">
        <v>3620</v>
      </c>
      <c r="Q529" s="116">
        <v>7170.1</v>
      </c>
      <c r="R529">
        <v>22000</v>
      </c>
    </row>
    <row r="530" spans="1:18" x14ac:dyDescent="0.25">
      <c r="A530" s="170">
        <v>44425</v>
      </c>
      <c r="B530" s="116">
        <v>3624.0250000000001</v>
      </c>
      <c r="C530" s="116">
        <v>3567.75</v>
      </c>
      <c r="D530" s="116">
        <v>3559</v>
      </c>
      <c r="E530" s="116">
        <v>3590.5</v>
      </c>
      <c r="F530" s="116">
        <v>7135.5</v>
      </c>
      <c r="G530">
        <v>1223</v>
      </c>
      <c r="H530" s="116"/>
      <c r="I530" s="116"/>
      <c r="L530" s="170">
        <v>44425</v>
      </c>
      <c r="M530" s="116">
        <v>3568.5250000000001</v>
      </c>
      <c r="N530" s="116">
        <v>3625.8</v>
      </c>
      <c r="O530" s="116">
        <v>3557.5</v>
      </c>
      <c r="P530" s="116">
        <v>3580.5</v>
      </c>
      <c r="Q530" s="116">
        <v>7137.05</v>
      </c>
      <c r="R530">
        <v>36184</v>
      </c>
    </row>
    <row r="531" spans="1:18" x14ac:dyDescent="0.25">
      <c r="A531" s="170">
        <v>44426</v>
      </c>
      <c r="B531" s="116">
        <v>3600</v>
      </c>
      <c r="C531" s="116">
        <v>3554</v>
      </c>
      <c r="D531" s="116">
        <v>3531.5</v>
      </c>
      <c r="E531" s="116">
        <v>3600</v>
      </c>
      <c r="F531" s="116">
        <v>7108</v>
      </c>
      <c r="G531">
        <v>1615</v>
      </c>
      <c r="H531" s="116"/>
      <c r="I531" s="116"/>
      <c r="L531" s="170">
        <v>44426</v>
      </c>
      <c r="M531" s="116">
        <v>3557</v>
      </c>
      <c r="N531" s="116">
        <v>3595</v>
      </c>
      <c r="O531" s="116">
        <v>3530</v>
      </c>
      <c r="P531" s="116">
        <v>3594.9250000000002</v>
      </c>
      <c r="Q531" s="116">
        <v>7114</v>
      </c>
      <c r="R531">
        <v>37114</v>
      </c>
    </row>
    <row r="532" spans="1:18" x14ac:dyDescent="0.25">
      <c r="A532" s="170">
        <v>44428</v>
      </c>
      <c r="B532" s="116">
        <v>3573.55</v>
      </c>
      <c r="C532" s="116">
        <v>3556.2</v>
      </c>
      <c r="D532" s="116">
        <v>3527.6750000000002</v>
      </c>
      <c r="E532" s="116">
        <v>3549</v>
      </c>
      <c r="F532" s="116">
        <v>7112.4</v>
      </c>
      <c r="G532">
        <v>1218</v>
      </c>
      <c r="H532" s="116"/>
      <c r="I532" s="116"/>
      <c r="L532" s="170">
        <v>44428</v>
      </c>
      <c r="M532" s="116">
        <v>3554.9749999999999</v>
      </c>
      <c r="N532" s="116">
        <v>3575.5</v>
      </c>
      <c r="O532" s="116">
        <v>3520</v>
      </c>
      <c r="P532" s="116">
        <v>3520</v>
      </c>
      <c r="Q532" s="116">
        <v>7109.95</v>
      </c>
      <c r="R532">
        <v>49380</v>
      </c>
    </row>
    <row r="533" spans="1:18" x14ac:dyDescent="0.25">
      <c r="A533" s="170">
        <v>44431</v>
      </c>
      <c r="B533" s="116">
        <v>3594.5</v>
      </c>
      <c r="C533" s="116">
        <v>3520.6</v>
      </c>
      <c r="D533" s="116">
        <v>3498</v>
      </c>
      <c r="E533" s="116">
        <v>3556.2</v>
      </c>
      <c r="F533" s="116">
        <v>7041.2</v>
      </c>
      <c r="G533">
        <v>4874</v>
      </c>
      <c r="H533" s="116"/>
      <c r="I533" s="116"/>
      <c r="L533" s="170">
        <v>44431</v>
      </c>
      <c r="M533" s="116">
        <v>3528.45</v>
      </c>
      <c r="N533" s="116">
        <v>3584.9250000000002</v>
      </c>
      <c r="O533" s="116">
        <v>3496</v>
      </c>
      <c r="P533" s="116">
        <v>3550</v>
      </c>
      <c r="Q533" s="116">
        <v>7056.9</v>
      </c>
      <c r="R533">
        <v>51408</v>
      </c>
    </row>
    <row r="534" spans="1:18" x14ac:dyDescent="0.25">
      <c r="A534" s="170">
        <v>44432</v>
      </c>
      <c r="B534" s="116">
        <v>3555.7249999999999</v>
      </c>
      <c r="C534" s="116">
        <v>3509.3</v>
      </c>
      <c r="D534" s="116">
        <v>3498.625</v>
      </c>
      <c r="E534" s="116">
        <v>3505</v>
      </c>
      <c r="F534" s="116">
        <v>7018.6</v>
      </c>
      <c r="G534">
        <v>1170</v>
      </c>
      <c r="H534" s="116"/>
      <c r="I534" s="116"/>
      <c r="L534" s="170">
        <v>44432</v>
      </c>
      <c r="M534" s="116">
        <v>3511.3249999999998</v>
      </c>
      <c r="N534" s="116">
        <v>3562</v>
      </c>
      <c r="O534" s="116">
        <v>3500</v>
      </c>
      <c r="P534" s="116">
        <v>3525</v>
      </c>
      <c r="Q534" s="116">
        <v>7022.65</v>
      </c>
      <c r="R534">
        <v>23616</v>
      </c>
    </row>
    <row r="535" spans="1:18" x14ac:dyDescent="0.25">
      <c r="A535" s="170">
        <v>44433</v>
      </c>
      <c r="B535" s="116">
        <v>3558.2750000000001</v>
      </c>
      <c r="C535" s="116">
        <v>3511.9250000000002</v>
      </c>
      <c r="D535" s="116">
        <v>3500</v>
      </c>
      <c r="E535" s="116">
        <v>3535.7750000000001</v>
      </c>
      <c r="F535" s="116">
        <v>7023.85</v>
      </c>
      <c r="G535">
        <v>981</v>
      </c>
      <c r="H535" s="116"/>
      <c r="I535" s="116"/>
      <c r="L535" s="170">
        <v>44433</v>
      </c>
      <c r="M535" s="116">
        <v>3508.125</v>
      </c>
      <c r="N535" s="116">
        <v>3557.45</v>
      </c>
      <c r="O535" s="116">
        <v>3500</v>
      </c>
      <c r="P535" s="116">
        <v>3511.5</v>
      </c>
      <c r="Q535" s="116">
        <v>7016.25</v>
      </c>
      <c r="R535">
        <v>44997</v>
      </c>
    </row>
    <row r="536" spans="1:18" x14ac:dyDescent="0.25">
      <c r="A536" s="170">
        <v>44434</v>
      </c>
      <c r="B536" s="116">
        <v>3568</v>
      </c>
      <c r="C536" s="116">
        <v>3539.1</v>
      </c>
      <c r="D536" s="116">
        <v>3511.375</v>
      </c>
      <c r="E536" s="116">
        <v>3533.9250000000002</v>
      </c>
      <c r="F536" s="116">
        <v>7078.2</v>
      </c>
      <c r="G536">
        <v>3140</v>
      </c>
      <c r="H536" s="116"/>
      <c r="I536" s="116"/>
      <c r="L536" s="170">
        <v>44434</v>
      </c>
      <c r="M536" s="116">
        <v>3538.9749999999999</v>
      </c>
      <c r="N536" s="116">
        <v>3570</v>
      </c>
      <c r="O536" s="116">
        <v>3510.1</v>
      </c>
      <c r="P536" s="116">
        <v>3531</v>
      </c>
      <c r="Q536" s="116">
        <v>7077.95</v>
      </c>
      <c r="R536">
        <v>32923</v>
      </c>
    </row>
    <row r="537" spans="1:18" x14ac:dyDescent="0.25">
      <c r="A537" s="170">
        <v>44435</v>
      </c>
      <c r="B537" s="116">
        <v>3614.35</v>
      </c>
      <c r="C537" s="116">
        <v>3572.45</v>
      </c>
      <c r="D537" s="116">
        <v>3535</v>
      </c>
      <c r="E537" s="116">
        <v>3567.5</v>
      </c>
      <c r="F537" s="116">
        <v>7144.9</v>
      </c>
      <c r="G537">
        <v>4835</v>
      </c>
      <c r="H537" s="116"/>
      <c r="I537" s="116"/>
      <c r="L537" s="170">
        <v>44435</v>
      </c>
      <c r="M537" s="116">
        <v>3571.7249999999999</v>
      </c>
      <c r="N537" s="116">
        <v>3617.4749999999999</v>
      </c>
      <c r="O537" s="116">
        <v>3538.5</v>
      </c>
      <c r="P537" s="116">
        <v>3550</v>
      </c>
      <c r="Q537" s="116">
        <v>7143.45</v>
      </c>
      <c r="R537">
        <v>61992</v>
      </c>
    </row>
    <row r="538" spans="1:18" x14ac:dyDescent="0.25">
      <c r="A538" s="170">
        <v>44438</v>
      </c>
      <c r="B538" s="116">
        <v>3910</v>
      </c>
      <c r="C538" s="116">
        <v>3890.7249999999999</v>
      </c>
      <c r="D538" s="116">
        <v>3583.7750000000001</v>
      </c>
      <c r="E538" s="116">
        <v>3590</v>
      </c>
      <c r="F538" s="116">
        <v>7781.45</v>
      </c>
      <c r="G538">
        <v>49954</v>
      </c>
      <c r="H538" s="116"/>
      <c r="I538" s="116"/>
      <c r="L538" s="170">
        <v>44438</v>
      </c>
      <c r="M538" s="116">
        <v>3893.45</v>
      </c>
      <c r="N538" s="116">
        <v>3912.5</v>
      </c>
      <c r="O538" s="116">
        <v>3582.5</v>
      </c>
      <c r="P538" s="116">
        <v>3600</v>
      </c>
      <c r="Q538" s="116">
        <v>7786.9</v>
      </c>
      <c r="R538">
        <v>541032</v>
      </c>
    </row>
    <row r="539" spans="1:18" x14ac:dyDescent="0.25">
      <c r="A539" s="170">
        <v>44439</v>
      </c>
      <c r="B539" s="116">
        <v>3999.5</v>
      </c>
      <c r="C539" s="116">
        <v>3916.15</v>
      </c>
      <c r="D539" s="116">
        <v>3800</v>
      </c>
      <c r="E539" s="116">
        <v>3909.5</v>
      </c>
      <c r="F539" s="116">
        <v>7832.3</v>
      </c>
      <c r="G539">
        <v>16202</v>
      </c>
      <c r="H539" s="116"/>
      <c r="I539" s="116"/>
      <c r="L539" s="170">
        <v>44439</v>
      </c>
      <c r="M539" s="116">
        <v>3924.1</v>
      </c>
      <c r="N539" s="116">
        <v>3999.5</v>
      </c>
      <c r="O539" s="116">
        <v>3875</v>
      </c>
      <c r="P539" s="116">
        <v>3900</v>
      </c>
      <c r="Q539" s="116">
        <v>7848.2</v>
      </c>
      <c r="R539">
        <v>318931</v>
      </c>
    </row>
    <row r="540" spans="1:18" x14ac:dyDescent="0.25">
      <c r="A540" s="170">
        <v>44440</v>
      </c>
      <c r="B540" s="116">
        <v>3973.5</v>
      </c>
      <c r="C540" s="116">
        <v>3833.8</v>
      </c>
      <c r="D540" s="116">
        <v>3825</v>
      </c>
      <c r="E540" s="116">
        <v>3920</v>
      </c>
      <c r="F540" s="116">
        <v>7667.6</v>
      </c>
      <c r="G540">
        <v>5566</v>
      </c>
      <c r="H540" s="116"/>
      <c r="I540" s="116"/>
      <c r="L540" s="170">
        <v>44440</v>
      </c>
      <c r="M540" s="116">
        <v>3834.2249999999999</v>
      </c>
      <c r="N540" s="116">
        <v>3978.35</v>
      </c>
      <c r="O540" s="116">
        <v>3827.5</v>
      </c>
      <c r="P540" s="116">
        <v>3943.45</v>
      </c>
      <c r="Q540" s="116">
        <v>7668.45</v>
      </c>
      <c r="R540">
        <v>109464</v>
      </c>
    </row>
    <row r="541" spans="1:18" x14ac:dyDescent="0.25">
      <c r="A541" s="170">
        <v>44441</v>
      </c>
      <c r="B541" s="116">
        <v>4100</v>
      </c>
      <c r="C541" s="116">
        <v>4074.4749999999999</v>
      </c>
      <c r="D541" s="116">
        <v>3792.5</v>
      </c>
      <c r="E541" s="116">
        <v>3855</v>
      </c>
      <c r="F541" s="116">
        <v>8148.95</v>
      </c>
      <c r="G541">
        <v>13229</v>
      </c>
      <c r="H541" s="116"/>
      <c r="I541" s="116"/>
      <c r="L541" s="170">
        <v>44441</v>
      </c>
      <c r="M541" s="116">
        <v>4076.45</v>
      </c>
      <c r="N541" s="116">
        <v>4099.5</v>
      </c>
      <c r="O541" s="116">
        <v>3790</v>
      </c>
      <c r="P541" s="116">
        <v>3825</v>
      </c>
      <c r="Q541" s="116">
        <v>8152.9</v>
      </c>
      <c r="R541">
        <v>404029</v>
      </c>
    </row>
    <row r="542" spans="1:18" x14ac:dyDescent="0.25">
      <c r="A542" s="170">
        <v>44442</v>
      </c>
      <c r="B542" s="116">
        <v>4122.5</v>
      </c>
      <c r="C542" s="116">
        <v>4070.1</v>
      </c>
      <c r="D542" s="116">
        <v>4001.75</v>
      </c>
      <c r="E542" s="116">
        <v>4087.5</v>
      </c>
      <c r="F542" s="116">
        <v>8140.2</v>
      </c>
      <c r="G542">
        <v>12945</v>
      </c>
      <c r="H542" s="116"/>
      <c r="I542" s="116"/>
      <c r="L542" s="170">
        <v>44442</v>
      </c>
      <c r="M542" s="116">
        <v>4068.75</v>
      </c>
      <c r="N542" s="116">
        <v>4124.5</v>
      </c>
      <c r="O542" s="116">
        <v>4005.5749999999998</v>
      </c>
      <c r="P542" s="116">
        <v>4089.5</v>
      </c>
      <c r="Q542" s="116">
        <v>8137.5</v>
      </c>
      <c r="R542">
        <v>194741</v>
      </c>
    </row>
    <row r="543" spans="1:18" x14ac:dyDescent="0.25">
      <c r="A543" s="170">
        <v>44445</v>
      </c>
      <c r="B543" s="116">
        <v>4525</v>
      </c>
      <c r="C543" s="116">
        <v>4461.5749999999998</v>
      </c>
      <c r="D543" s="116">
        <v>4070.75</v>
      </c>
      <c r="E543" s="116">
        <v>4077.5</v>
      </c>
      <c r="F543" s="116">
        <v>8923.15</v>
      </c>
      <c r="G543">
        <v>61168</v>
      </c>
      <c r="H543" s="116"/>
      <c r="I543" s="116"/>
      <c r="L543" s="170">
        <v>44445</v>
      </c>
      <c r="M543" s="116">
        <v>4460.1000000000004</v>
      </c>
      <c r="N543" s="116">
        <v>4565.1499999999996</v>
      </c>
      <c r="O543" s="116">
        <v>4083.375</v>
      </c>
      <c r="P543" s="116">
        <v>4091</v>
      </c>
      <c r="Q543" s="116">
        <v>8920.2000000000007</v>
      </c>
      <c r="R543">
        <v>782161</v>
      </c>
    </row>
    <row r="544" spans="1:18" x14ac:dyDescent="0.25">
      <c r="A544" s="170">
        <v>44446</v>
      </c>
      <c r="B544" s="116">
        <v>4525</v>
      </c>
      <c r="C544" s="116">
        <v>4374.3249999999998</v>
      </c>
      <c r="D544" s="116">
        <v>4300</v>
      </c>
      <c r="E544" s="116">
        <v>4476.5</v>
      </c>
      <c r="F544" s="116">
        <v>8748.65</v>
      </c>
      <c r="G544">
        <v>27161</v>
      </c>
      <c r="H544" s="116"/>
      <c r="I544" s="116"/>
      <c r="L544" s="170">
        <v>44446</v>
      </c>
      <c r="M544" s="116">
        <v>4376.3249999999998</v>
      </c>
      <c r="N544" s="116">
        <v>4537.9750000000004</v>
      </c>
      <c r="O544" s="116">
        <v>4300</v>
      </c>
      <c r="P544" s="116">
        <v>4505</v>
      </c>
      <c r="Q544" s="116">
        <v>8752.65</v>
      </c>
      <c r="R544">
        <v>474896</v>
      </c>
    </row>
    <row r="545" spans="1:18" x14ac:dyDescent="0.25">
      <c r="A545" s="170">
        <v>44447</v>
      </c>
      <c r="B545" s="116">
        <v>4635</v>
      </c>
      <c r="C545" s="116">
        <v>4496.0249999999996</v>
      </c>
      <c r="D545" s="116">
        <v>4363</v>
      </c>
      <c r="E545" s="116">
        <v>4363</v>
      </c>
      <c r="F545" s="116">
        <v>8992.0499999999993</v>
      </c>
      <c r="G545">
        <v>18946</v>
      </c>
      <c r="H545" s="116"/>
      <c r="I545" s="116"/>
      <c r="L545" s="170">
        <v>44447</v>
      </c>
      <c r="M545" s="116">
        <v>4499.8</v>
      </c>
      <c r="N545" s="116">
        <v>4635</v>
      </c>
      <c r="O545" s="116">
        <v>4367</v>
      </c>
      <c r="P545" s="116">
        <v>4383.5</v>
      </c>
      <c r="Q545" s="116">
        <v>8999.6</v>
      </c>
      <c r="R545">
        <v>671313</v>
      </c>
    </row>
    <row r="546" spans="1:18" x14ac:dyDescent="0.25">
      <c r="A546" s="170">
        <v>44448</v>
      </c>
      <c r="B546" s="116">
        <v>4545</v>
      </c>
      <c r="C546" s="116">
        <v>4443.8999999999996</v>
      </c>
      <c r="D546" s="116">
        <v>4418.0749999999998</v>
      </c>
      <c r="E546" s="116">
        <v>4495</v>
      </c>
      <c r="F546" s="116">
        <v>8887.7999999999993</v>
      </c>
      <c r="G546">
        <v>21757</v>
      </c>
      <c r="H546" s="116"/>
      <c r="I546" s="116"/>
      <c r="L546" s="170">
        <v>44448</v>
      </c>
      <c r="M546" s="116">
        <v>4440.625</v>
      </c>
      <c r="N546" s="116">
        <v>4546.3999999999996</v>
      </c>
      <c r="O546" s="116">
        <v>4416</v>
      </c>
      <c r="P546" s="116">
        <v>4474.9750000000004</v>
      </c>
      <c r="Q546" s="116">
        <v>8881.25</v>
      </c>
      <c r="R546">
        <v>182362</v>
      </c>
    </row>
    <row r="547" spans="1:18" x14ac:dyDescent="0.25">
      <c r="A547" s="170">
        <v>44452</v>
      </c>
      <c r="B547" s="116">
        <v>4455.7250000000004</v>
      </c>
      <c r="C547" s="116">
        <v>4351.1000000000004</v>
      </c>
      <c r="D547" s="116">
        <v>4263.7749999999996</v>
      </c>
      <c r="E547" s="116">
        <v>4415</v>
      </c>
      <c r="F547" s="116">
        <v>8702.2000000000007</v>
      </c>
      <c r="G547">
        <v>15932</v>
      </c>
      <c r="H547" s="116"/>
      <c r="I547" s="116"/>
      <c r="L547" s="170">
        <v>44452</v>
      </c>
      <c r="M547" s="116">
        <v>4352.95</v>
      </c>
      <c r="N547" s="116">
        <v>4451.75</v>
      </c>
      <c r="O547" s="116">
        <v>4263.7749999999996</v>
      </c>
      <c r="P547" s="116">
        <v>4451.75</v>
      </c>
      <c r="Q547" s="116">
        <v>8705.9</v>
      </c>
      <c r="R547">
        <v>190423</v>
      </c>
    </row>
    <row r="548" spans="1:18" x14ac:dyDescent="0.25">
      <c r="A548" s="170">
        <v>44453</v>
      </c>
      <c r="B548" s="116">
        <v>4451.7</v>
      </c>
      <c r="C548" s="116">
        <v>4389.3500000000004</v>
      </c>
      <c r="D548" s="116">
        <v>4352.8999999999996</v>
      </c>
      <c r="E548" s="116">
        <v>4352.95</v>
      </c>
      <c r="F548" s="116">
        <v>8778.7000000000007</v>
      </c>
      <c r="G548">
        <v>5243</v>
      </c>
      <c r="H548" s="116"/>
      <c r="I548" s="116"/>
      <c r="L548" s="170">
        <v>44453</v>
      </c>
      <c r="M548" s="116">
        <v>4388.25</v>
      </c>
      <c r="N548" s="116">
        <v>4450.5</v>
      </c>
      <c r="O548" s="116">
        <v>4360</v>
      </c>
      <c r="P548" s="116">
        <v>4387.5</v>
      </c>
      <c r="Q548" s="116">
        <v>8776.5</v>
      </c>
      <c r="R548">
        <v>157515</v>
      </c>
    </row>
    <row r="549" spans="1:18" x14ac:dyDescent="0.25">
      <c r="A549" s="170">
        <v>44454</v>
      </c>
      <c r="B549" s="116">
        <v>4524.875</v>
      </c>
      <c r="C549" s="116">
        <v>4440.3500000000004</v>
      </c>
      <c r="D549" s="116">
        <v>4360.625</v>
      </c>
      <c r="E549" s="116">
        <v>4429.9750000000004</v>
      </c>
      <c r="F549" s="116">
        <v>8880.7000000000007</v>
      </c>
      <c r="G549">
        <v>11479</v>
      </c>
      <c r="H549" s="116"/>
      <c r="I549" s="116"/>
      <c r="L549" s="170">
        <v>44454</v>
      </c>
      <c r="M549" s="116">
        <v>4445.4250000000002</v>
      </c>
      <c r="N549" s="116">
        <v>4530.6499999999996</v>
      </c>
      <c r="O549" s="116">
        <v>4359.875</v>
      </c>
      <c r="P549" s="116">
        <v>4410</v>
      </c>
      <c r="Q549" s="116">
        <v>8890.85</v>
      </c>
      <c r="R549">
        <v>188956</v>
      </c>
    </row>
    <row r="550" spans="1:18" x14ac:dyDescent="0.25">
      <c r="A550" s="170">
        <v>44455</v>
      </c>
      <c r="B550" s="116">
        <v>4469.3999999999996</v>
      </c>
      <c r="C550" s="116">
        <v>4371.2</v>
      </c>
      <c r="D550" s="116">
        <v>4331.7749999999996</v>
      </c>
      <c r="E550" s="116">
        <v>4468.9250000000002</v>
      </c>
      <c r="F550" s="116">
        <v>8742.4</v>
      </c>
      <c r="G550">
        <v>4103</v>
      </c>
      <c r="H550" s="116"/>
      <c r="I550" s="116"/>
      <c r="L550" s="170">
        <v>44455</v>
      </c>
      <c r="M550" s="116">
        <v>4374</v>
      </c>
      <c r="N550" s="116">
        <v>4471.0249999999996</v>
      </c>
      <c r="O550" s="116">
        <v>4326.3249999999998</v>
      </c>
      <c r="P550" s="116">
        <v>4469.5</v>
      </c>
      <c r="Q550" s="116">
        <v>8748</v>
      </c>
      <c r="R550">
        <v>129338</v>
      </c>
    </row>
    <row r="551" spans="1:18" x14ac:dyDescent="0.25">
      <c r="A551" s="170">
        <v>44456</v>
      </c>
      <c r="B551" s="116">
        <v>4431.9750000000004</v>
      </c>
      <c r="C551" s="116">
        <v>4301.5249999999996</v>
      </c>
      <c r="D551" s="116">
        <v>4297</v>
      </c>
      <c r="E551" s="116">
        <v>4400</v>
      </c>
      <c r="F551" s="116">
        <v>8603.0499999999993</v>
      </c>
      <c r="G551">
        <v>6326</v>
      </c>
      <c r="H551" s="116"/>
      <c r="I551" s="116"/>
      <c r="L551" s="170">
        <v>44456</v>
      </c>
      <c r="M551" s="116">
        <v>4304.375</v>
      </c>
      <c r="N551" s="116">
        <v>4433.5</v>
      </c>
      <c r="O551" s="116">
        <v>4299.5249999999996</v>
      </c>
      <c r="P551" s="116">
        <v>4392</v>
      </c>
      <c r="Q551" s="116">
        <v>8608.75</v>
      </c>
      <c r="R551">
        <v>206364</v>
      </c>
    </row>
    <row r="552" spans="1:18" x14ac:dyDescent="0.25">
      <c r="A552" s="170">
        <v>44459</v>
      </c>
      <c r="B552" s="116">
        <v>4312.5</v>
      </c>
      <c r="C552" s="116">
        <v>4047.65</v>
      </c>
      <c r="D552" s="116">
        <v>4030</v>
      </c>
      <c r="E552" s="116">
        <v>4312.5</v>
      </c>
      <c r="F552" s="116">
        <v>8095.3</v>
      </c>
      <c r="G552">
        <v>6815</v>
      </c>
      <c r="H552" s="116"/>
      <c r="I552" s="116"/>
      <c r="L552" s="170">
        <v>44459</v>
      </c>
      <c r="M552" s="116">
        <v>4049.9250000000002</v>
      </c>
      <c r="N552" s="116">
        <v>4294.5</v>
      </c>
      <c r="O552" s="116">
        <v>4025</v>
      </c>
      <c r="P552" s="116">
        <v>4294.5</v>
      </c>
      <c r="Q552" s="116">
        <v>8099.85</v>
      </c>
      <c r="R552">
        <v>239521</v>
      </c>
    </row>
    <row r="553" spans="1:18" x14ac:dyDescent="0.25">
      <c r="A553" s="170">
        <v>44460</v>
      </c>
      <c r="B553" s="116">
        <v>4127.1000000000004</v>
      </c>
      <c r="C553" s="116">
        <v>4110.8</v>
      </c>
      <c r="D553" s="116">
        <v>3987.25</v>
      </c>
      <c r="E553" s="116">
        <v>4025</v>
      </c>
      <c r="F553" s="116">
        <v>8221.6</v>
      </c>
      <c r="G553">
        <v>6118</v>
      </c>
      <c r="H553" s="116"/>
      <c r="I553" s="116"/>
      <c r="L553" s="170">
        <v>44460</v>
      </c>
      <c r="M553" s="116">
        <v>4112.3</v>
      </c>
      <c r="N553" s="116">
        <v>4128.125</v>
      </c>
      <c r="O553" s="116">
        <v>3986.0749999999998</v>
      </c>
      <c r="P553" s="116">
        <v>4038.95</v>
      </c>
      <c r="Q553" s="116">
        <v>8224.6</v>
      </c>
      <c r="R553">
        <v>205936</v>
      </c>
    </row>
    <row r="554" spans="1:18" x14ac:dyDescent="0.25">
      <c r="A554" s="170">
        <v>44461</v>
      </c>
      <c r="B554" s="116">
        <v>4397.5749999999998</v>
      </c>
      <c r="C554" s="116">
        <v>4307</v>
      </c>
      <c r="D554" s="116">
        <v>4111</v>
      </c>
      <c r="E554" s="116">
        <v>4144</v>
      </c>
      <c r="F554" s="116">
        <v>8614</v>
      </c>
      <c r="G554">
        <v>11429</v>
      </c>
      <c r="H554" s="116"/>
      <c r="I554" s="116"/>
      <c r="L554" s="170">
        <v>44461</v>
      </c>
      <c r="M554" s="116">
        <v>4307</v>
      </c>
      <c r="N554" s="116">
        <v>4400</v>
      </c>
      <c r="O554" s="116">
        <v>4100.25</v>
      </c>
      <c r="P554" s="116">
        <v>4112</v>
      </c>
      <c r="Q554" s="116">
        <v>8614</v>
      </c>
      <c r="R554">
        <v>362230</v>
      </c>
    </row>
    <row r="555" spans="1:18" x14ac:dyDescent="0.25">
      <c r="A555" s="170">
        <v>44462</v>
      </c>
      <c r="B555" s="116">
        <v>4400</v>
      </c>
      <c r="C555" s="116">
        <v>4277.1499999999996</v>
      </c>
      <c r="D555" s="116">
        <v>4265.05</v>
      </c>
      <c r="E555" s="116">
        <v>4309.5749999999998</v>
      </c>
      <c r="F555" s="116">
        <v>8554.2999999999993</v>
      </c>
      <c r="G555">
        <v>10468</v>
      </c>
      <c r="H555" s="116"/>
      <c r="I555" s="116"/>
      <c r="L555" s="170">
        <v>44462</v>
      </c>
      <c r="M555" s="116">
        <v>4281.2749999999996</v>
      </c>
      <c r="N555" s="116">
        <v>4399</v>
      </c>
      <c r="O555" s="116">
        <v>4265.0249999999996</v>
      </c>
      <c r="P555" s="116">
        <v>4339.95</v>
      </c>
      <c r="Q555" s="116">
        <v>8562.5499999999993</v>
      </c>
      <c r="R555">
        <v>118209</v>
      </c>
    </row>
    <row r="556" spans="1:18" x14ac:dyDescent="0.25">
      <c r="A556" s="170">
        <v>44463</v>
      </c>
      <c r="B556" s="116">
        <v>4356.75</v>
      </c>
      <c r="C556" s="116">
        <v>4251.7749999999996</v>
      </c>
      <c r="D556" s="116">
        <v>4232.125</v>
      </c>
      <c r="E556" s="116">
        <v>4337.6499999999996</v>
      </c>
      <c r="F556" s="116">
        <v>8503.5499999999993</v>
      </c>
      <c r="G556">
        <v>4492</v>
      </c>
      <c r="H556" s="116"/>
      <c r="I556" s="116"/>
      <c r="L556" s="170">
        <v>44463</v>
      </c>
      <c r="M556" s="116">
        <v>4252.8999999999996</v>
      </c>
      <c r="N556" s="116">
        <v>4365</v>
      </c>
      <c r="O556" s="116">
        <v>4231.05</v>
      </c>
      <c r="P556" s="116">
        <v>4314.6000000000004</v>
      </c>
      <c r="Q556" s="116">
        <v>8505.7999999999993</v>
      </c>
      <c r="R556">
        <v>131928</v>
      </c>
    </row>
    <row r="557" spans="1:18" x14ac:dyDescent="0.25">
      <c r="A557" s="170">
        <v>44466</v>
      </c>
      <c r="B557" s="116">
        <v>4372.5749999999998</v>
      </c>
      <c r="C557" s="116">
        <v>4311.9750000000004</v>
      </c>
      <c r="D557" s="116">
        <v>4271.45</v>
      </c>
      <c r="E557" s="116">
        <v>4299.5</v>
      </c>
      <c r="F557" s="116">
        <v>8623.9500000000007</v>
      </c>
      <c r="G557">
        <v>3094</v>
      </c>
      <c r="H557" s="116"/>
      <c r="I557" s="116"/>
      <c r="L557" s="170">
        <v>44466</v>
      </c>
      <c r="M557" s="116">
        <v>4313.5249999999996</v>
      </c>
      <c r="N557" s="116">
        <v>4375</v>
      </c>
      <c r="O557" s="116">
        <v>4268.2</v>
      </c>
      <c r="P557" s="116">
        <v>4270</v>
      </c>
      <c r="Q557" s="116">
        <v>8627.0499999999993</v>
      </c>
      <c r="R557">
        <v>112808</v>
      </c>
    </row>
    <row r="558" spans="1:18" x14ac:dyDescent="0.25">
      <c r="A558" s="170">
        <v>44467</v>
      </c>
      <c r="B558" s="116">
        <v>4348.6000000000004</v>
      </c>
      <c r="C558" s="116">
        <v>4192.3500000000004</v>
      </c>
      <c r="D558" s="116">
        <v>4159.3999999999996</v>
      </c>
      <c r="E558" s="116">
        <v>4348.6000000000004</v>
      </c>
      <c r="F558" s="116">
        <v>8384.7000000000007</v>
      </c>
      <c r="G558">
        <v>23771</v>
      </c>
      <c r="H558" s="116"/>
      <c r="I558" s="116"/>
      <c r="L558" s="170">
        <v>44467</v>
      </c>
      <c r="M558" s="116">
        <v>4193.2</v>
      </c>
      <c r="N558" s="116">
        <v>4334.5749999999998</v>
      </c>
      <c r="O558" s="116">
        <v>4157.5249999999996</v>
      </c>
      <c r="P558" s="116">
        <v>4319.45</v>
      </c>
      <c r="Q558" s="116">
        <v>8386.4</v>
      </c>
      <c r="R558">
        <v>160613</v>
      </c>
    </row>
    <row r="559" spans="1:18" x14ac:dyDescent="0.25">
      <c r="A559" s="170">
        <v>44468</v>
      </c>
      <c r="B559" s="116">
        <v>4186.6000000000004</v>
      </c>
      <c r="C559" s="116">
        <v>4126.1499999999996</v>
      </c>
      <c r="D559" s="116">
        <v>4087.8249999999998</v>
      </c>
      <c r="E559" s="116">
        <v>4186.6000000000004</v>
      </c>
      <c r="F559" s="116">
        <v>8252.2999999999993</v>
      </c>
      <c r="G559">
        <v>2016</v>
      </c>
      <c r="H559" s="116"/>
      <c r="I559" s="116"/>
      <c r="L559" s="170">
        <v>44468</v>
      </c>
      <c r="M559" s="116">
        <v>4124.8</v>
      </c>
      <c r="N559" s="116">
        <v>4172.5</v>
      </c>
      <c r="O559" s="116">
        <v>4087.7750000000001</v>
      </c>
      <c r="P559" s="116">
        <v>4157.5</v>
      </c>
      <c r="Q559" s="116">
        <v>8249.6</v>
      </c>
      <c r="R559">
        <v>73859</v>
      </c>
    </row>
    <row r="560" spans="1:18" x14ac:dyDescent="0.25">
      <c r="A560" s="170">
        <v>44469</v>
      </c>
      <c r="B560" s="116">
        <v>4286.9250000000002</v>
      </c>
      <c r="C560" s="116">
        <v>4193.05</v>
      </c>
      <c r="D560" s="116">
        <v>4111.6000000000004</v>
      </c>
      <c r="E560" s="116">
        <v>4150</v>
      </c>
      <c r="F560" s="116">
        <v>8386.1</v>
      </c>
      <c r="G560">
        <v>8123</v>
      </c>
      <c r="H560" s="116"/>
      <c r="I560" s="116"/>
      <c r="L560" s="170">
        <v>44469</v>
      </c>
      <c r="M560" s="116">
        <v>4189.45</v>
      </c>
      <c r="N560" s="116">
        <v>4288.3249999999998</v>
      </c>
      <c r="O560" s="116">
        <v>4111.2749999999996</v>
      </c>
      <c r="P560" s="116">
        <v>4150</v>
      </c>
      <c r="Q560" s="116">
        <v>8378.9</v>
      </c>
      <c r="R560">
        <v>163393</v>
      </c>
    </row>
    <row r="561" spans="1:18" x14ac:dyDescent="0.25">
      <c r="A561" s="170">
        <v>44470</v>
      </c>
      <c r="B561" s="116">
        <v>4234.75</v>
      </c>
      <c r="C561" s="116">
        <v>4155.0749999999998</v>
      </c>
      <c r="D561" s="116">
        <v>4150</v>
      </c>
      <c r="E561" s="116">
        <v>4190.1750000000002</v>
      </c>
      <c r="F561" s="116">
        <v>8310.15</v>
      </c>
      <c r="G561">
        <v>4699</v>
      </c>
      <c r="H561" s="116"/>
      <c r="I561" s="116"/>
      <c r="L561" s="170">
        <v>44470</v>
      </c>
      <c r="M561" s="116">
        <v>4155.3</v>
      </c>
      <c r="N561" s="116">
        <v>4235</v>
      </c>
      <c r="O561" s="116">
        <v>4147.5</v>
      </c>
      <c r="P561" s="116">
        <v>4197</v>
      </c>
      <c r="Q561" s="116">
        <v>8310.6</v>
      </c>
      <c r="R561">
        <v>54701</v>
      </c>
    </row>
    <row r="562" spans="1:18" x14ac:dyDescent="0.25">
      <c r="A562" s="170">
        <v>44473</v>
      </c>
      <c r="B562" s="116">
        <v>4307.0749999999998</v>
      </c>
      <c r="C562" s="116">
        <v>4273.45</v>
      </c>
      <c r="D562" s="116">
        <v>4161.75</v>
      </c>
      <c r="E562" s="116">
        <v>4161.75</v>
      </c>
      <c r="F562" s="116">
        <v>8546.9</v>
      </c>
      <c r="G562">
        <v>3349</v>
      </c>
      <c r="H562" s="116"/>
      <c r="I562" s="116"/>
      <c r="L562" s="170">
        <v>44473</v>
      </c>
      <c r="M562" s="116">
        <v>4273</v>
      </c>
      <c r="N562" s="116">
        <v>4310</v>
      </c>
      <c r="O562" s="116">
        <v>4169.625</v>
      </c>
      <c r="P562" s="116">
        <v>4184</v>
      </c>
      <c r="Q562" s="116">
        <v>8546</v>
      </c>
      <c r="R562">
        <v>89700</v>
      </c>
    </row>
    <row r="563" spans="1:18" x14ac:dyDescent="0.25">
      <c r="A563" s="170">
        <v>44474</v>
      </c>
      <c r="B563" s="116">
        <v>4266</v>
      </c>
      <c r="C563" s="116">
        <v>4209.2749999999996</v>
      </c>
      <c r="D563" s="116">
        <v>4178.2749999999996</v>
      </c>
      <c r="E563" s="116">
        <v>4266</v>
      </c>
      <c r="F563" s="116">
        <v>8418.5499999999993</v>
      </c>
      <c r="G563">
        <v>4357</v>
      </c>
      <c r="H563" s="116"/>
      <c r="I563" s="116"/>
      <c r="L563" s="170">
        <v>44474</v>
      </c>
      <c r="M563" s="116">
        <v>4210.0749999999998</v>
      </c>
      <c r="N563" s="116">
        <v>4259.8500000000004</v>
      </c>
      <c r="O563" s="116">
        <v>4180</v>
      </c>
      <c r="P563" s="116">
        <v>4259.8500000000004</v>
      </c>
      <c r="Q563" s="116">
        <v>8420.15</v>
      </c>
      <c r="R563">
        <v>67908</v>
      </c>
    </row>
    <row r="564" spans="1:18" x14ac:dyDescent="0.25">
      <c r="A564" s="170">
        <v>44475</v>
      </c>
      <c r="B564" s="116">
        <v>4240.2749999999996</v>
      </c>
      <c r="C564" s="116">
        <v>4101.9750000000004</v>
      </c>
      <c r="D564" s="116">
        <v>4087.5</v>
      </c>
      <c r="E564" s="116">
        <v>4209.2749999999996</v>
      </c>
      <c r="F564" s="116">
        <v>8203.9500000000007</v>
      </c>
      <c r="G564">
        <v>4156</v>
      </c>
      <c r="H564" s="116"/>
      <c r="I564" s="116"/>
      <c r="L564" s="170">
        <v>44475</v>
      </c>
      <c r="M564" s="116">
        <v>4098.8</v>
      </c>
      <c r="N564" s="116">
        <v>4244.4750000000004</v>
      </c>
      <c r="O564" s="116">
        <v>4085</v>
      </c>
      <c r="P564" s="116">
        <v>4225</v>
      </c>
      <c r="Q564" s="116">
        <v>8197.6</v>
      </c>
      <c r="R564">
        <v>98571</v>
      </c>
    </row>
    <row r="565" spans="1:18" x14ac:dyDescent="0.25">
      <c r="A565" s="170">
        <v>44476</v>
      </c>
      <c r="B565" s="116">
        <v>4219.9750000000004</v>
      </c>
      <c r="C565" s="116">
        <v>4165.125</v>
      </c>
      <c r="D565" s="116">
        <v>4130.1000000000004</v>
      </c>
      <c r="E565" s="116">
        <v>4169.95</v>
      </c>
      <c r="F565" s="116">
        <v>8330.25</v>
      </c>
      <c r="G565">
        <v>8246</v>
      </c>
      <c r="H565" s="116"/>
      <c r="I565" s="116"/>
      <c r="L565" s="170">
        <v>44476</v>
      </c>
      <c r="M565" s="116">
        <v>4172.875</v>
      </c>
      <c r="N565" s="116">
        <v>4221.5</v>
      </c>
      <c r="O565" s="116">
        <v>4131.625</v>
      </c>
      <c r="P565" s="116">
        <v>4141.9750000000004</v>
      </c>
      <c r="Q565" s="116">
        <v>8345.75</v>
      </c>
      <c r="R565">
        <v>68709</v>
      </c>
    </row>
    <row r="566" spans="1:18" x14ac:dyDescent="0.25">
      <c r="A566" s="170">
        <v>44477</v>
      </c>
      <c r="B566" s="116">
        <v>4426.3999999999996</v>
      </c>
      <c r="C566" s="116">
        <v>4409.55</v>
      </c>
      <c r="D566" s="116">
        <v>4177.5</v>
      </c>
      <c r="E566" s="116">
        <v>4177.5</v>
      </c>
      <c r="F566" s="116">
        <v>8819.1</v>
      </c>
      <c r="G566">
        <v>30415</v>
      </c>
      <c r="H566" s="116"/>
      <c r="I566" s="116"/>
      <c r="L566" s="170">
        <v>44477</v>
      </c>
      <c r="M566" s="116">
        <v>4402.875</v>
      </c>
      <c r="N566" s="116">
        <v>4425</v>
      </c>
      <c r="O566" s="116">
        <v>4173.125</v>
      </c>
      <c r="P566" s="116">
        <v>4194</v>
      </c>
      <c r="Q566" s="116">
        <v>8805.75</v>
      </c>
      <c r="R566">
        <v>391685</v>
      </c>
    </row>
    <row r="567" spans="1:18" x14ac:dyDescent="0.25">
      <c r="A567" s="170">
        <v>44480</v>
      </c>
      <c r="B567" s="116">
        <v>4548.3999999999996</v>
      </c>
      <c r="C567" s="116">
        <v>4403.3</v>
      </c>
      <c r="D567" s="116">
        <v>4390</v>
      </c>
      <c r="E567" s="116">
        <v>4444.8999999999996</v>
      </c>
      <c r="F567" s="116">
        <v>8806.6</v>
      </c>
      <c r="G567">
        <v>19554</v>
      </c>
      <c r="H567" s="116"/>
      <c r="I567" s="116"/>
      <c r="L567" s="170">
        <v>44480</v>
      </c>
      <c r="M567" s="116">
        <v>4403.3249999999998</v>
      </c>
      <c r="N567" s="116">
        <v>4549.75</v>
      </c>
      <c r="O567" s="116">
        <v>4390.8</v>
      </c>
      <c r="P567" s="116">
        <v>4425</v>
      </c>
      <c r="Q567" s="116">
        <v>8806.65</v>
      </c>
      <c r="R567">
        <v>217071</v>
      </c>
    </row>
    <row r="568" spans="1:18" x14ac:dyDescent="0.25">
      <c r="A568" s="170">
        <v>44481</v>
      </c>
      <c r="B568" s="116">
        <v>4499.5</v>
      </c>
      <c r="C568" s="116">
        <v>4371.8</v>
      </c>
      <c r="D568" s="116">
        <v>4352.6499999999996</v>
      </c>
      <c r="E568" s="116">
        <v>4403.5</v>
      </c>
      <c r="F568" s="116">
        <v>8743.6</v>
      </c>
      <c r="G568">
        <v>13940</v>
      </c>
      <c r="H568" s="116"/>
      <c r="I568" s="116"/>
      <c r="L568" s="170">
        <v>44481</v>
      </c>
      <c r="M568" s="116">
        <v>4369.1750000000002</v>
      </c>
      <c r="N568" s="116">
        <v>4499.9750000000004</v>
      </c>
      <c r="O568" s="116">
        <v>4350.3</v>
      </c>
      <c r="P568" s="116">
        <v>4399.9750000000004</v>
      </c>
      <c r="Q568" s="116">
        <v>8738.35</v>
      </c>
      <c r="R568">
        <v>134219</v>
      </c>
    </row>
    <row r="569" spans="1:18" x14ac:dyDescent="0.25">
      <c r="A569" s="170">
        <v>44482</v>
      </c>
      <c r="B569" s="116">
        <v>4775</v>
      </c>
      <c r="C569" s="116">
        <v>4741.6499999999996</v>
      </c>
      <c r="D569" s="116">
        <v>4371.9250000000002</v>
      </c>
      <c r="E569" s="116">
        <v>4395</v>
      </c>
      <c r="F569" s="116">
        <v>9483.2999999999993</v>
      </c>
      <c r="G569">
        <v>39480</v>
      </c>
      <c r="H569" s="116"/>
      <c r="I569" s="116"/>
      <c r="L569" s="170">
        <v>44482</v>
      </c>
      <c r="M569" s="116">
        <v>4740.05</v>
      </c>
      <c r="N569" s="116">
        <v>4777.5</v>
      </c>
      <c r="O569" s="116">
        <v>4372.5</v>
      </c>
      <c r="P569" s="116">
        <v>4414.7749999999996</v>
      </c>
      <c r="Q569" s="116">
        <v>9480.1</v>
      </c>
      <c r="R569">
        <v>580592</v>
      </c>
    </row>
    <row r="570" spans="1:18" x14ac:dyDescent="0.25">
      <c r="A570" s="170">
        <v>44483</v>
      </c>
      <c r="B570" s="116">
        <v>4832.9750000000004</v>
      </c>
      <c r="C570" s="116">
        <v>4712</v>
      </c>
      <c r="D570" s="116">
        <v>4661.5</v>
      </c>
      <c r="E570" s="116">
        <v>4750</v>
      </c>
      <c r="F570" s="116">
        <v>9424</v>
      </c>
      <c r="G570">
        <v>13049</v>
      </c>
      <c r="H570" s="116"/>
      <c r="I570" s="116"/>
      <c r="L570" s="170">
        <v>44483</v>
      </c>
      <c r="M570" s="116">
        <v>4714.45</v>
      </c>
      <c r="N570" s="116">
        <v>4838.1000000000004</v>
      </c>
      <c r="O570" s="116">
        <v>4657.5</v>
      </c>
      <c r="P570" s="116">
        <v>4749.9750000000004</v>
      </c>
      <c r="Q570" s="116">
        <v>9428.9</v>
      </c>
      <c r="R570">
        <v>210290</v>
      </c>
    </row>
    <row r="571" spans="1:18" x14ac:dyDescent="0.25">
      <c r="A571" s="170">
        <v>44487</v>
      </c>
      <c r="B571" s="116">
        <v>4850</v>
      </c>
      <c r="C571" s="116">
        <v>4600.8999999999996</v>
      </c>
      <c r="D571" s="116">
        <v>4574</v>
      </c>
      <c r="E571" s="116">
        <v>4716</v>
      </c>
      <c r="F571" s="116">
        <v>9201.7999999999993</v>
      </c>
      <c r="G571">
        <v>5263</v>
      </c>
      <c r="H571" s="116"/>
      <c r="I571" s="116"/>
      <c r="L571" s="170">
        <v>44487</v>
      </c>
      <c r="M571" s="116">
        <v>4608.0249999999996</v>
      </c>
      <c r="N571" s="116">
        <v>4855.3500000000004</v>
      </c>
      <c r="O571" s="116">
        <v>4591.5</v>
      </c>
      <c r="P571" s="116">
        <v>4751.4250000000002</v>
      </c>
      <c r="Q571" s="116">
        <v>9216.0499999999993</v>
      </c>
      <c r="R571">
        <v>183408</v>
      </c>
    </row>
    <row r="572" spans="1:18" x14ac:dyDescent="0.25">
      <c r="A572" s="170">
        <v>44488</v>
      </c>
      <c r="B572" s="116">
        <v>4720.2749999999996</v>
      </c>
      <c r="C572" s="116">
        <v>4312.6750000000002</v>
      </c>
      <c r="D572" s="116">
        <v>4150</v>
      </c>
      <c r="E572" s="116">
        <v>4605</v>
      </c>
      <c r="F572" s="116">
        <v>8625.35</v>
      </c>
      <c r="G572">
        <v>8756</v>
      </c>
      <c r="H572" s="116"/>
      <c r="I572" s="116"/>
      <c r="L572" s="170">
        <v>44488</v>
      </c>
      <c r="M572" s="116">
        <v>4340.8500000000004</v>
      </c>
      <c r="N572" s="116">
        <v>4724.8500000000004</v>
      </c>
      <c r="O572" s="116">
        <v>4150</v>
      </c>
      <c r="P572" s="116">
        <v>4637.5</v>
      </c>
      <c r="Q572" s="116">
        <v>8681.7000000000007</v>
      </c>
      <c r="R572">
        <v>195350</v>
      </c>
    </row>
    <row r="573" spans="1:18" x14ac:dyDescent="0.25">
      <c r="A573" s="170">
        <v>44489</v>
      </c>
      <c r="B573" s="116">
        <v>4537.0749999999998</v>
      </c>
      <c r="C573" s="116">
        <v>4242.375</v>
      </c>
      <c r="D573" s="116">
        <v>4180.2250000000004</v>
      </c>
      <c r="E573" s="116">
        <v>4442</v>
      </c>
      <c r="F573" s="116">
        <v>8484.75</v>
      </c>
      <c r="G573">
        <v>7477</v>
      </c>
      <c r="H573" s="116"/>
      <c r="I573" s="116"/>
      <c r="L573" s="170">
        <v>44489</v>
      </c>
      <c r="M573" s="116">
        <v>4241.1499999999996</v>
      </c>
      <c r="N573" s="116">
        <v>4543.9750000000004</v>
      </c>
      <c r="O573" s="116">
        <v>4180.0249999999996</v>
      </c>
      <c r="P573" s="116">
        <v>4420</v>
      </c>
      <c r="Q573" s="116">
        <v>8482.2999999999993</v>
      </c>
      <c r="R573">
        <v>186052</v>
      </c>
    </row>
    <row r="574" spans="1:18" x14ac:dyDescent="0.25">
      <c r="A574" s="170">
        <v>44490</v>
      </c>
      <c r="B574" s="116">
        <v>4317.4250000000002</v>
      </c>
      <c r="C574" s="116">
        <v>4282.45</v>
      </c>
      <c r="D574" s="116">
        <v>4116.1750000000002</v>
      </c>
      <c r="E574" s="116">
        <v>4230</v>
      </c>
      <c r="F574" s="116">
        <v>8564.9</v>
      </c>
      <c r="G574">
        <v>8078</v>
      </c>
      <c r="H574" s="116"/>
      <c r="I574" s="116"/>
      <c r="L574" s="170">
        <v>44490</v>
      </c>
      <c r="M574" s="116">
        <v>4286.9250000000002</v>
      </c>
      <c r="N574" s="116">
        <v>4323.7250000000004</v>
      </c>
      <c r="O574" s="116">
        <v>4116.5749999999998</v>
      </c>
      <c r="P574" s="116">
        <v>4250</v>
      </c>
      <c r="Q574" s="116">
        <v>8573.85</v>
      </c>
      <c r="R574">
        <v>175762</v>
      </c>
    </row>
    <row r="575" spans="1:18" x14ac:dyDescent="0.25">
      <c r="A575" s="170">
        <v>44491</v>
      </c>
      <c r="B575" s="116">
        <v>4145</v>
      </c>
      <c r="C575" s="116">
        <v>3969.1750000000002</v>
      </c>
      <c r="D575" s="116">
        <v>3907</v>
      </c>
      <c r="E575" s="116">
        <v>4045</v>
      </c>
      <c r="F575" s="116">
        <v>7938.35</v>
      </c>
      <c r="G575">
        <v>11385</v>
      </c>
      <c r="H575" s="116"/>
      <c r="I575" s="116"/>
      <c r="L575" s="170">
        <v>44491</v>
      </c>
      <c r="M575" s="116">
        <v>3955.875</v>
      </c>
      <c r="N575" s="116">
        <v>4149.9750000000004</v>
      </c>
      <c r="O575" s="116">
        <v>3900</v>
      </c>
      <c r="P575" s="116">
        <v>4011.5</v>
      </c>
      <c r="Q575" s="116">
        <v>7911.75</v>
      </c>
      <c r="R575">
        <v>433979</v>
      </c>
    </row>
    <row r="576" spans="1:18" x14ac:dyDescent="0.25">
      <c r="A576" s="170">
        <v>44494</v>
      </c>
      <c r="B576" s="116">
        <v>3950</v>
      </c>
      <c r="C576" s="116">
        <v>3662.5</v>
      </c>
      <c r="D576" s="116">
        <v>3633.0250000000001</v>
      </c>
      <c r="E576" s="116">
        <v>3950</v>
      </c>
      <c r="F576" s="116">
        <v>7325</v>
      </c>
      <c r="G576">
        <v>33439</v>
      </c>
      <c r="H576" s="116"/>
      <c r="I576" s="116"/>
      <c r="L576" s="170">
        <v>44494</v>
      </c>
      <c r="M576" s="116">
        <v>3661.9749999999999</v>
      </c>
      <c r="N576" s="116">
        <v>3957.5</v>
      </c>
      <c r="O576" s="116">
        <v>3631.85</v>
      </c>
      <c r="P576" s="116">
        <v>3955.875</v>
      </c>
      <c r="Q576" s="116">
        <v>7323.95</v>
      </c>
      <c r="R576">
        <v>302086</v>
      </c>
    </row>
    <row r="577" spans="1:18" x14ac:dyDescent="0.25">
      <c r="A577" s="170">
        <v>44495</v>
      </c>
      <c r="B577" s="116">
        <v>3746.9250000000002</v>
      </c>
      <c r="C577" s="116">
        <v>3621.9250000000002</v>
      </c>
      <c r="D577" s="116">
        <v>3582.5</v>
      </c>
      <c r="E577" s="116">
        <v>3662.5</v>
      </c>
      <c r="F577" s="116">
        <v>7243.85</v>
      </c>
      <c r="G577">
        <v>14692</v>
      </c>
      <c r="H577" s="116"/>
      <c r="I577" s="116"/>
      <c r="L577" s="170">
        <v>44495</v>
      </c>
      <c r="M577" s="116">
        <v>3622.2750000000001</v>
      </c>
      <c r="N577" s="116">
        <v>3744.4250000000002</v>
      </c>
      <c r="O577" s="116">
        <v>3582.5</v>
      </c>
      <c r="P577" s="116">
        <v>3684.5</v>
      </c>
      <c r="Q577" s="116">
        <v>7244.55</v>
      </c>
      <c r="R577">
        <v>290566</v>
      </c>
    </row>
    <row r="578" spans="1:18" x14ac:dyDescent="0.25">
      <c r="A578" s="170">
        <v>44496</v>
      </c>
      <c r="B578" s="116">
        <v>3774.6</v>
      </c>
      <c r="C578" s="116">
        <v>3675.0250000000001</v>
      </c>
      <c r="D578" s="116">
        <v>3625</v>
      </c>
      <c r="E578" s="116">
        <v>3652.5</v>
      </c>
      <c r="F578" s="116">
        <v>7350.05</v>
      </c>
      <c r="G578">
        <v>5919</v>
      </c>
      <c r="H578" s="116"/>
      <c r="I578" s="116"/>
      <c r="L578" s="170">
        <v>44496</v>
      </c>
      <c r="M578" s="116">
        <v>3678.35</v>
      </c>
      <c r="N578" s="116">
        <v>3770</v>
      </c>
      <c r="O578" s="116">
        <v>3622.5</v>
      </c>
      <c r="P578" s="116">
        <v>3665</v>
      </c>
      <c r="Q578" s="116">
        <v>7356.7</v>
      </c>
      <c r="R578">
        <v>215926</v>
      </c>
    </row>
    <row r="579" spans="1:18" x14ac:dyDescent="0.25">
      <c r="A579" s="170">
        <v>44497</v>
      </c>
      <c r="B579" s="116">
        <v>3722.8</v>
      </c>
      <c r="C579" s="116">
        <v>3565.9250000000002</v>
      </c>
      <c r="D579" s="116">
        <v>3550.3</v>
      </c>
      <c r="E579" s="116">
        <v>3722.8</v>
      </c>
      <c r="F579" s="116">
        <v>7131.85</v>
      </c>
      <c r="G579">
        <v>5306</v>
      </c>
      <c r="H579" s="116"/>
      <c r="I579" s="116"/>
      <c r="L579" s="170">
        <v>44497</v>
      </c>
      <c r="M579" s="116">
        <v>3561.9</v>
      </c>
      <c r="N579" s="116">
        <v>3706</v>
      </c>
      <c r="O579" s="116">
        <v>3550</v>
      </c>
      <c r="P579" s="116">
        <v>3702.5</v>
      </c>
      <c r="Q579" s="116">
        <v>7123.8</v>
      </c>
      <c r="R579">
        <v>197885</v>
      </c>
    </row>
    <row r="580" spans="1:18" x14ac:dyDescent="0.25">
      <c r="A580" s="170">
        <v>44498</v>
      </c>
      <c r="B580" s="116">
        <v>3648.4</v>
      </c>
      <c r="C580" s="116">
        <v>3574.0250000000001</v>
      </c>
      <c r="D580" s="116">
        <v>3437.5</v>
      </c>
      <c r="E580" s="116">
        <v>3576</v>
      </c>
      <c r="F580" s="116">
        <v>7148.05</v>
      </c>
      <c r="G580">
        <v>13106</v>
      </c>
      <c r="H580" s="116"/>
      <c r="I580" s="116"/>
      <c r="L580" s="170">
        <v>44498</v>
      </c>
      <c r="M580" s="116">
        <v>3573.25</v>
      </c>
      <c r="N580" s="116">
        <v>3649.5</v>
      </c>
      <c r="O580" s="116">
        <v>3436.45</v>
      </c>
      <c r="P580" s="116">
        <v>3587.5</v>
      </c>
      <c r="Q580" s="116">
        <v>7146.5</v>
      </c>
      <c r="R580">
        <v>139765</v>
      </c>
    </row>
    <row r="581" spans="1:18" x14ac:dyDescent="0.25">
      <c r="A581" s="170">
        <v>44501</v>
      </c>
      <c r="B581" s="116">
        <v>3621.4250000000002</v>
      </c>
      <c r="C581" s="116">
        <v>3593.95</v>
      </c>
      <c r="D581" s="116">
        <v>3559.35</v>
      </c>
      <c r="E581" s="116">
        <v>3620</v>
      </c>
      <c r="F581" s="116">
        <v>7187.9</v>
      </c>
      <c r="G581">
        <v>6306</v>
      </c>
      <c r="H581" s="116"/>
      <c r="I581" s="116"/>
      <c r="L581" s="170">
        <v>44501</v>
      </c>
      <c r="M581" s="116">
        <v>3595.35</v>
      </c>
      <c r="N581" s="116">
        <v>3624.45</v>
      </c>
      <c r="O581" s="116">
        <v>3554.9250000000002</v>
      </c>
      <c r="P581" s="116">
        <v>3624.45</v>
      </c>
      <c r="Q581" s="116">
        <v>7190.7</v>
      </c>
      <c r="R581">
        <v>85996</v>
      </c>
    </row>
    <row r="582" spans="1:18" x14ac:dyDescent="0.25">
      <c r="A582" s="170">
        <v>44502</v>
      </c>
      <c r="B582" s="116">
        <v>3644.8249999999998</v>
      </c>
      <c r="C582" s="116">
        <v>3593.15</v>
      </c>
      <c r="D582" s="116">
        <v>3578.125</v>
      </c>
      <c r="E582" s="116">
        <v>3619.875</v>
      </c>
      <c r="F582" s="116">
        <v>7186.3</v>
      </c>
      <c r="G582">
        <v>17496</v>
      </c>
      <c r="H582" s="116"/>
      <c r="I582" s="116"/>
      <c r="L582" s="170">
        <v>44502</v>
      </c>
      <c r="M582" s="116">
        <v>3594.375</v>
      </c>
      <c r="N582" s="116">
        <v>3645.3</v>
      </c>
      <c r="O582" s="116">
        <v>3578.35</v>
      </c>
      <c r="P582" s="116">
        <v>3625</v>
      </c>
      <c r="Q582" s="116">
        <v>7188.75</v>
      </c>
      <c r="R582">
        <v>97522</v>
      </c>
    </row>
    <row r="583" spans="1:18" x14ac:dyDescent="0.25">
      <c r="A583" s="170">
        <v>44503</v>
      </c>
      <c r="B583" s="116">
        <v>3728.3</v>
      </c>
      <c r="C583" s="116">
        <v>3662.3</v>
      </c>
      <c r="D583" s="116">
        <v>3605.65</v>
      </c>
      <c r="E583" s="116">
        <v>3624</v>
      </c>
      <c r="F583" s="116">
        <v>7324.6</v>
      </c>
      <c r="G583">
        <v>4435</v>
      </c>
      <c r="H583" s="116"/>
      <c r="I583" s="116"/>
      <c r="L583" s="170">
        <v>44503</v>
      </c>
      <c r="M583" s="116">
        <v>3665.45</v>
      </c>
      <c r="N583" s="116">
        <v>3728</v>
      </c>
      <c r="O583" s="116">
        <v>3600.1</v>
      </c>
      <c r="P583" s="116">
        <v>3610</v>
      </c>
      <c r="Q583" s="116">
        <v>7330.9</v>
      </c>
      <c r="R583">
        <v>161403</v>
      </c>
    </row>
    <row r="584" spans="1:18" x14ac:dyDescent="0.25">
      <c r="A584" s="170">
        <v>44504</v>
      </c>
      <c r="B584" s="116">
        <v>3716.7249999999999</v>
      </c>
      <c r="C584" s="116">
        <v>3695.85</v>
      </c>
      <c r="D584" s="116">
        <v>3658.9</v>
      </c>
      <c r="E584" s="116">
        <v>3709.95</v>
      </c>
      <c r="F584" s="116">
        <v>7391.7</v>
      </c>
      <c r="G584">
        <v>725</v>
      </c>
      <c r="H584" s="116"/>
      <c r="I584" s="116"/>
      <c r="L584" s="170">
        <v>44504</v>
      </c>
      <c r="M584" s="116">
        <v>3695.9</v>
      </c>
      <c r="N584" s="116">
        <v>3723.75</v>
      </c>
      <c r="O584" s="116">
        <v>3655</v>
      </c>
      <c r="P584" s="116">
        <v>3694.35</v>
      </c>
      <c r="Q584" s="116">
        <v>7391.8</v>
      </c>
      <c r="R584">
        <v>20707</v>
      </c>
    </row>
    <row r="585" spans="1:18" x14ac:dyDescent="0.25">
      <c r="A585" s="170">
        <v>44508</v>
      </c>
      <c r="B585" s="116">
        <v>3724.75</v>
      </c>
      <c r="C585" s="116">
        <v>3591.95</v>
      </c>
      <c r="D585" s="116">
        <v>3566.3</v>
      </c>
      <c r="E585" s="116">
        <v>3700</v>
      </c>
      <c r="F585" s="116">
        <v>7183.9</v>
      </c>
      <c r="G585">
        <v>3526</v>
      </c>
      <c r="H585" s="116"/>
      <c r="I585" s="116"/>
      <c r="L585" s="170">
        <v>44508</v>
      </c>
      <c r="M585" s="116">
        <v>3591.1</v>
      </c>
      <c r="N585" s="116">
        <v>3725</v>
      </c>
      <c r="O585" s="116">
        <v>3563.15</v>
      </c>
      <c r="P585" s="116">
        <v>3705.5</v>
      </c>
      <c r="Q585" s="116">
        <v>7182.2</v>
      </c>
      <c r="R585">
        <v>176361</v>
      </c>
    </row>
    <row r="586" spans="1:18" x14ac:dyDescent="0.25">
      <c r="A586" s="170">
        <v>44509</v>
      </c>
      <c r="B586" s="116">
        <v>3649.9749999999999</v>
      </c>
      <c r="C586" s="116">
        <v>3604.0250000000001</v>
      </c>
      <c r="D586" s="116">
        <v>3550.5</v>
      </c>
      <c r="E586" s="116">
        <v>3595</v>
      </c>
      <c r="F586" s="116">
        <v>7208.05</v>
      </c>
      <c r="G586">
        <v>19418</v>
      </c>
      <c r="H586" s="116"/>
      <c r="I586" s="116"/>
      <c r="L586" s="170">
        <v>44509</v>
      </c>
      <c r="M586" s="116">
        <v>3606.3</v>
      </c>
      <c r="N586" s="116">
        <v>3649.4</v>
      </c>
      <c r="O586" s="116">
        <v>3550</v>
      </c>
      <c r="P586" s="116">
        <v>3590</v>
      </c>
      <c r="Q586" s="116">
        <v>7212.6</v>
      </c>
      <c r="R586">
        <v>274823</v>
      </c>
    </row>
    <row r="587" spans="1:18" x14ac:dyDescent="0.25">
      <c r="A587" s="170">
        <v>44510</v>
      </c>
      <c r="B587" s="116">
        <v>3837.7750000000001</v>
      </c>
      <c r="C587" s="116">
        <v>3800.875</v>
      </c>
      <c r="D587" s="116">
        <v>3597.5250000000001</v>
      </c>
      <c r="E587" s="116">
        <v>3604</v>
      </c>
      <c r="F587" s="116">
        <v>7601.75</v>
      </c>
      <c r="G587">
        <v>41931</v>
      </c>
      <c r="H587" s="116"/>
      <c r="I587" s="116"/>
      <c r="L587" s="170">
        <v>44510</v>
      </c>
      <c r="M587" s="116">
        <v>3798.6750000000002</v>
      </c>
      <c r="N587" s="116">
        <v>3839.45</v>
      </c>
      <c r="O587" s="116">
        <v>3597.5749999999998</v>
      </c>
      <c r="P587" s="116">
        <v>3605</v>
      </c>
      <c r="Q587" s="116">
        <v>7597.35</v>
      </c>
      <c r="R587">
        <v>514053</v>
      </c>
    </row>
    <row r="588" spans="1:18" x14ac:dyDescent="0.25">
      <c r="A588" s="170">
        <v>44511</v>
      </c>
      <c r="B588" s="116">
        <v>3815.9749999999999</v>
      </c>
      <c r="C588" s="116">
        <v>3754.625</v>
      </c>
      <c r="D588" s="116">
        <v>3736.8249999999998</v>
      </c>
      <c r="E588" s="116">
        <v>3800</v>
      </c>
      <c r="F588" s="116">
        <v>7509.25</v>
      </c>
      <c r="G588">
        <v>7790</v>
      </c>
      <c r="H588" s="116"/>
      <c r="I588" s="116"/>
      <c r="L588" s="170">
        <v>44511</v>
      </c>
      <c r="M588" s="116">
        <v>3755.8249999999998</v>
      </c>
      <c r="N588" s="116">
        <v>3820</v>
      </c>
      <c r="O588" s="116">
        <v>3737.55</v>
      </c>
      <c r="P588" s="116">
        <v>3812.5</v>
      </c>
      <c r="Q588" s="116">
        <v>7511.65</v>
      </c>
      <c r="R588">
        <v>98007</v>
      </c>
    </row>
    <row r="589" spans="1:18" x14ac:dyDescent="0.25">
      <c r="A589" s="170">
        <v>44512</v>
      </c>
      <c r="B589" s="116">
        <v>3878.7249999999999</v>
      </c>
      <c r="C589" s="116">
        <v>3774.25</v>
      </c>
      <c r="D589" s="116">
        <v>3750.5</v>
      </c>
      <c r="E589" s="116">
        <v>3801.4250000000002</v>
      </c>
      <c r="F589" s="116">
        <v>7548.5</v>
      </c>
      <c r="G589">
        <v>22321</v>
      </c>
      <c r="H589" s="116"/>
      <c r="I589" s="116"/>
      <c r="L589" s="170">
        <v>44512</v>
      </c>
      <c r="M589" s="116">
        <v>3772.05</v>
      </c>
      <c r="N589" s="116">
        <v>3881.4749999999999</v>
      </c>
      <c r="O589" s="116">
        <v>3751</v>
      </c>
      <c r="P589" s="116">
        <v>3775.5</v>
      </c>
      <c r="Q589" s="116">
        <v>7544.1</v>
      </c>
      <c r="R589">
        <v>202449</v>
      </c>
    </row>
    <row r="590" spans="1:18" x14ac:dyDescent="0.25">
      <c r="A590" s="170">
        <v>44515</v>
      </c>
      <c r="B590" s="116">
        <v>3849.625</v>
      </c>
      <c r="C590" s="116">
        <v>3831.375</v>
      </c>
      <c r="D590" s="116">
        <v>3739.5250000000001</v>
      </c>
      <c r="E590" s="116">
        <v>3774.5</v>
      </c>
      <c r="F590" s="116">
        <v>7662.75</v>
      </c>
      <c r="G590">
        <v>35830</v>
      </c>
      <c r="H590" s="116"/>
      <c r="I590" s="116"/>
      <c r="L590" s="170">
        <v>44515</v>
      </c>
      <c r="M590" s="116">
        <v>3833.45</v>
      </c>
      <c r="N590" s="116">
        <v>3849.5</v>
      </c>
      <c r="O590" s="116">
        <v>3748.4250000000002</v>
      </c>
      <c r="P590" s="116">
        <v>3775</v>
      </c>
      <c r="Q590" s="116">
        <v>7666.9</v>
      </c>
      <c r="R590">
        <v>138425</v>
      </c>
    </row>
    <row r="591" spans="1:18" x14ac:dyDescent="0.25">
      <c r="A591" s="170">
        <v>44516</v>
      </c>
      <c r="B591" s="116">
        <v>3936</v>
      </c>
      <c r="C591" s="116">
        <v>3882.35</v>
      </c>
      <c r="D591" s="116">
        <v>3803.5</v>
      </c>
      <c r="E591" s="116">
        <v>3850</v>
      </c>
      <c r="F591" s="116">
        <v>7764.7</v>
      </c>
      <c r="G591">
        <v>31072</v>
      </c>
      <c r="H591" s="116"/>
      <c r="I591" s="116"/>
      <c r="L591" s="170">
        <v>44516</v>
      </c>
      <c r="M591" s="116">
        <v>3881.65</v>
      </c>
      <c r="N591" s="116">
        <v>3937.2249999999999</v>
      </c>
      <c r="O591" s="116">
        <v>3802.5</v>
      </c>
      <c r="P591" s="116">
        <v>3845.5</v>
      </c>
      <c r="Q591" s="116">
        <v>7763.3</v>
      </c>
      <c r="R591">
        <v>254312</v>
      </c>
    </row>
    <row r="592" spans="1:18" x14ac:dyDescent="0.25">
      <c r="A592" s="170">
        <v>44517</v>
      </c>
      <c r="B592" s="116">
        <v>3962.6</v>
      </c>
      <c r="C592" s="116">
        <v>3906.9749999999999</v>
      </c>
      <c r="D592" s="116">
        <v>3861.375</v>
      </c>
      <c r="E592" s="116">
        <v>3875</v>
      </c>
      <c r="F592" s="116">
        <v>7813.95</v>
      </c>
      <c r="G592">
        <v>18437</v>
      </c>
      <c r="H592" s="116"/>
      <c r="I592" s="116"/>
      <c r="L592" s="170">
        <v>44517</v>
      </c>
      <c r="M592" s="116">
        <v>3905.0250000000001</v>
      </c>
      <c r="N592" s="116">
        <v>3964.4</v>
      </c>
      <c r="O592" s="116">
        <v>3861.9</v>
      </c>
      <c r="P592" s="116">
        <v>3884</v>
      </c>
      <c r="Q592" s="116">
        <v>7810.05</v>
      </c>
      <c r="R592">
        <v>142069</v>
      </c>
    </row>
    <row r="593" spans="1:18" x14ac:dyDescent="0.25">
      <c r="A593" s="170">
        <v>44518</v>
      </c>
      <c r="B593" s="116">
        <v>3947.7750000000001</v>
      </c>
      <c r="C593" s="116">
        <v>3812.3</v>
      </c>
      <c r="D593" s="116">
        <v>3773.95</v>
      </c>
      <c r="E593" s="116">
        <v>3907.5250000000001</v>
      </c>
      <c r="F593" s="116">
        <v>7624.6</v>
      </c>
      <c r="G593">
        <v>13763</v>
      </c>
      <c r="H593" s="116"/>
      <c r="I593" s="116"/>
      <c r="L593" s="170">
        <v>44518</v>
      </c>
      <c r="M593" s="116">
        <v>3812.7</v>
      </c>
      <c r="N593" s="116">
        <v>3949.2</v>
      </c>
      <c r="O593" s="116">
        <v>3778</v>
      </c>
      <c r="P593" s="116">
        <v>3920</v>
      </c>
      <c r="Q593" s="116">
        <v>7625.4</v>
      </c>
      <c r="R593">
        <v>102788</v>
      </c>
    </row>
    <row r="594" spans="1:18" x14ac:dyDescent="0.25">
      <c r="A594" s="170">
        <v>44522</v>
      </c>
      <c r="B594" s="116">
        <v>3865.6750000000002</v>
      </c>
      <c r="C594" s="116">
        <v>3765.4250000000002</v>
      </c>
      <c r="D594" s="116">
        <v>3573.7249999999999</v>
      </c>
      <c r="E594" s="116">
        <v>3786</v>
      </c>
      <c r="F594" s="116">
        <v>7530.85</v>
      </c>
      <c r="G594">
        <v>15042</v>
      </c>
      <c r="H594" s="116"/>
      <c r="I594" s="116"/>
      <c r="L594" s="170">
        <v>44522</v>
      </c>
      <c r="M594" s="116">
        <v>3760.1750000000002</v>
      </c>
      <c r="N594" s="116">
        <v>3875</v>
      </c>
      <c r="O594" s="116">
        <v>3568.2249999999999</v>
      </c>
      <c r="P594" s="116">
        <v>3812.7</v>
      </c>
      <c r="Q594" s="116">
        <v>7520.35</v>
      </c>
      <c r="R594">
        <v>206082</v>
      </c>
    </row>
    <row r="595" spans="1:18" x14ac:dyDescent="0.25">
      <c r="A595" s="170">
        <v>44523</v>
      </c>
      <c r="B595" s="116">
        <v>3790.7750000000001</v>
      </c>
      <c r="C595" s="116">
        <v>3746.5749999999998</v>
      </c>
      <c r="D595" s="116">
        <v>3706.05</v>
      </c>
      <c r="E595" s="116">
        <v>3750</v>
      </c>
      <c r="F595" s="116">
        <v>7493.15</v>
      </c>
      <c r="G595">
        <v>16612</v>
      </c>
      <c r="H595" s="116"/>
      <c r="I595" s="116"/>
      <c r="L595" s="170">
        <v>44523</v>
      </c>
      <c r="M595" s="116">
        <v>3751.6</v>
      </c>
      <c r="N595" s="116">
        <v>3799.5</v>
      </c>
      <c r="O595" s="116">
        <v>3702.0749999999998</v>
      </c>
      <c r="P595" s="116">
        <v>3756.1750000000002</v>
      </c>
      <c r="Q595" s="116">
        <v>7503.2</v>
      </c>
      <c r="R595">
        <v>143189</v>
      </c>
    </row>
    <row r="596" spans="1:18" x14ac:dyDescent="0.25">
      <c r="A596" s="170">
        <v>44524</v>
      </c>
      <c r="B596" s="116">
        <v>3790.4749999999999</v>
      </c>
      <c r="C596" s="116">
        <v>3670.7750000000001</v>
      </c>
      <c r="D596" s="116">
        <v>3650</v>
      </c>
      <c r="E596" s="116">
        <v>3751.6</v>
      </c>
      <c r="F596" s="116">
        <v>7341.55</v>
      </c>
      <c r="G596">
        <v>2543</v>
      </c>
      <c r="H596" s="116"/>
      <c r="I596" s="116"/>
      <c r="L596" s="170">
        <v>44524</v>
      </c>
      <c r="M596" s="116">
        <v>3671.6</v>
      </c>
      <c r="N596" s="116">
        <v>3799.375</v>
      </c>
      <c r="O596" s="116">
        <v>3645.5</v>
      </c>
      <c r="P596" s="116">
        <v>3742</v>
      </c>
      <c r="Q596" s="116">
        <v>7343.2</v>
      </c>
      <c r="R596">
        <v>70165</v>
      </c>
    </row>
    <row r="597" spans="1:18" x14ac:dyDescent="0.25">
      <c r="A597" s="170">
        <v>44525</v>
      </c>
      <c r="B597" s="116">
        <v>3690</v>
      </c>
      <c r="C597" s="116">
        <v>3631.95</v>
      </c>
      <c r="D597" s="116">
        <v>3601.9</v>
      </c>
      <c r="E597" s="116">
        <v>3690</v>
      </c>
      <c r="F597" s="116">
        <v>7263.9</v>
      </c>
      <c r="G597">
        <v>4191</v>
      </c>
      <c r="H597" s="116"/>
      <c r="I597" s="116"/>
      <c r="L597" s="170">
        <v>44525</v>
      </c>
      <c r="M597" s="116">
        <v>3629.0250000000001</v>
      </c>
      <c r="N597" s="116">
        <v>3690.4749999999999</v>
      </c>
      <c r="O597" s="116">
        <v>3601.0250000000001</v>
      </c>
      <c r="P597" s="116">
        <v>3669.9749999999999</v>
      </c>
      <c r="Q597" s="116">
        <v>7258.05</v>
      </c>
      <c r="R597">
        <v>87421</v>
      </c>
    </row>
    <row r="598" spans="1:18" x14ac:dyDescent="0.25">
      <c r="A598" s="170">
        <v>44526</v>
      </c>
      <c r="B598" s="116">
        <v>3691</v>
      </c>
      <c r="C598" s="116">
        <v>3644.85</v>
      </c>
      <c r="D598" s="116">
        <v>3585.05</v>
      </c>
      <c r="E598" s="116">
        <v>3614.4749999999999</v>
      </c>
      <c r="F598" s="116">
        <v>7289.7</v>
      </c>
      <c r="G598">
        <v>10896</v>
      </c>
      <c r="H598" s="116"/>
      <c r="I598" s="116"/>
      <c r="L598" s="170">
        <v>44526</v>
      </c>
      <c r="M598" s="116">
        <v>3648.5250000000001</v>
      </c>
      <c r="N598" s="116">
        <v>3690</v>
      </c>
      <c r="O598" s="116">
        <v>3588.5</v>
      </c>
      <c r="P598" s="116">
        <v>3639.95</v>
      </c>
      <c r="Q598" s="116">
        <v>7297.05</v>
      </c>
      <c r="R598">
        <v>100244</v>
      </c>
    </row>
    <row r="599" spans="1:18" x14ac:dyDescent="0.25">
      <c r="A599" s="170">
        <v>44529</v>
      </c>
      <c r="B599" s="116">
        <v>3720.75</v>
      </c>
      <c r="C599" s="116">
        <v>3673.2</v>
      </c>
      <c r="D599" s="116">
        <v>3489.3</v>
      </c>
      <c r="E599" s="116">
        <v>3550</v>
      </c>
      <c r="F599" s="116">
        <v>7346.4</v>
      </c>
      <c r="G599">
        <v>5208</v>
      </c>
      <c r="H599" s="116"/>
      <c r="I599" s="116"/>
      <c r="L599" s="170">
        <v>44529</v>
      </c>
      <c r="M599" s="116">
        <v>3677.7750000000001</v>
      </c>
      <c r="N599" s="116">
        <v>3724.75</v>
      </c>
      <c r="O599" s="116">
        <v>3488.0749999999998</v>
      </c>
      <c r="P599" s="116">
        <v>3540</v>
      </c>
      <c r="Q599" s="116">
        <v>7355.55</v>
      </c>
      <c r="R599">
        <v>106707</v>
      </c>
    </row>
    <row r="600" spans="1:18" x14ac:dyDescent="0.25">
      <c r="A600" s="170">
        <v>44530</v>
      </c>
      <c r="B600" s="116">
        <v>3749.5</v>
      </c>
      <c r="C600" s="116">
        <v>3709.9749999999999</v>
      </c>
      <c r="D600" s="116">
        <v>3672.125</v>
      </c>
      <c r="E600" s="116">
        <v>3705.75</v>
      </c>
      <c r="F600" s="116">
        <v>7419.95</v>
      </c>
      <c r="G600">
        <v>2922</v>
      </c>
      <c r="H600" s="116"/>
      <c r="I600" s="116"/>
      <c r="L600" s="170">
        <v>44530</v>
      </c>
      <c r="M600" s="116">
        <v>3729.95</v>
      </c>
      <c r="N600" s="116">
        <v>3750</v>
      </c>
      <c r="O600" s="116">
        <v>3670</v>
      </c>
      <c r="P600" s="116">
        <v>3680</v>
      </c>
      <c r="Q600" s="116">
        <v>7459.9</v>
      </c>
      <c r="R600">
        <v>99600</v>
      </c>
    </row>
    <row r="601" spans="1:18" x14ac:dyDescent="0.25">
      <c r="A601" s="170">
        <v>44531</v>
      </c>
      <c r="B601" s="116">
        <v>3744.3249999999998</v>
      </c>
      <c r="C601" s="116">
        <v>3708.2750000000001</v>
      </c>
      <c r="D601" s="116">
        <v>3693.7750000000001</v>
      </c>
      <c r="E601" s="116">
        <v>3723.5</v>
      </c>
      <c r="F601" s="116">
        <v>7416.55</v>
      </c>
      <c r="G601">
        <v>2578</v>
      </c>
      <c r="H601" s="116"/>
      <c r="I601" s="116"/>
      <c r="L601" s="170">
        <v>44531</v>
      </c>
      <c r="M601" s="116">
        <v>3707.75</v>
      </c>
      <c r="N601" s="116">
        <v>3748.2</v>
      </c>
      <c r="O601" s="116">
        <v>3691</v>
      </c>
      <c r="P601" s="116">
        <v>3715.05</v>
      </c>
      <c r="Q601" s="116">
        <v>7415.5</v>
      </c>
      <c r="R601">
        <v>53300</v>
      </c>
    </row>
    <row r="602" spans="1:18" x14ac:dyDescent="0.25">
      <c r="A602" s="170">
        <v>44532</v>
      </c>
      <c r="B602" s="116">
        <v>3720.75</v>
      </c>
      <c r="C602" s="116">
        <v>3682.65</v>
      </c>
      <c r="D602" s="116">
        <v>3665.65</v>
      </c>
      <c r="E602" s="116">
        <v>3708.2750000000001</v>
      </c>
      <c r="F602" s="116">
        <v>7365.3</v>
      </c>
      <c r="G602">
        <v>3309</v>
      </c>
      <c r="H602" s="116"/>
      <c r="I602" s="116"/>
      <c r="L602" s="170">
        <v>44532</v>
      </c>
      <c r="M602" s="116">
        <v>3683.8</v>
      </c>
      <c r="N602" s="116">
        <v>3719.3</v>
      </c>
      <c r="O602" s="116">
        <v>3667.5</v>
      </c>
      <c r="P602" s="116">
        <v>3699.5</v>
      </c>
      <c r="Q602" s="116">
        <v>7367.6</v>
      </c>
      <c r="R602">
        <v>40110</v>
      </c>
    </row>
    <row r="603" spans="1:18" x14ac:dyDescent="0.25">
      <c r="A603" s="170">
        <v>44533</v>
      </c>
      <c r="B603" s="116">
        <v>3718.9</v>
      </c>
      <c r="C603" s="116">
        <v>3594</v>
      </c>
      <c r="D603" s="116">
        <v>3575.5250000000001</v>
      </c>
      <c r="E603" s="116">
        <v>3689.85</v>
      </c>
      <c r="F603" s="116">
        <v>7188</v>
      </c>
      <c r="G603">
        <v>3365</v>
      </c>
      <c r="H603" s="116"/>
      <c r="I603" s="116"/>
      <c r="L603" s="170">
        <v>44533</v>
      </c>
      <c r="M603" s="116">
        <v>3581.9250000000002</v>
      </c>
      <c r="N603" s="116">
        <v>3725</v>
      </c>
      <c r="O603" s="116">
        <v>3575.0749999999998</v>
      </c>
      <c r="P603" s="116">
        <v>3699.6</v>
      </c>
      <c r="Q603" s="116">
        <v>7163.85</v>
      </c>
      <c r="R603">
        <v>110731</v>
      </c>
    </row>
    <row r="604" spans="1:18" x14ac:dyDescent="0.25">
      <c r="A604" s="170">
        <v>44536</v>
      </c>
      <c r="B604" s="116">
        <v>3602.5</v>
      </c>
      <c r="C604" s="116">
        <v>3543.9749999999999</v>
      </c>
      <c r="D604" s="116">
        <v>3517.1</v>
      </c>
      <c r="E604" s="116">
        <v>3594</v>
      </c>
      <c r="F604" s="116">
        <v>7087.95</v>
      </c>
      <c r="G604">
        <v>6120</v>
      </c>
      <c r="H604" s="116"/>
      <c r="I604" s="116"/>
      <c r="L604" s="170">
        <v>44536</v>
      </c>
      <c r="M604" s="116">
        <v>3540.7249999999999</v>
      </c>
      <c r="N604" s="116">
        <v>3610</v>
      </c>
      <c r="O604" s="116">
        <v>3515</v>
      </c>
      <c r="P604" s="116">
        <v>3610</v>
      </c>
      <c r="Q604" s="116">
        <v>7081.45</v>
      </c>
      <c r="R604">
        <v>69244</v>
      </c>
    </row>
    <row r="605" spans="1:18" x14ac:dyDescent="0.25">
      <c r="A605" s="170">
        <v>44537</v>
      </c>
      <c r="B605" s="116">
        <v>3599.875</v>
      </c>
      <c r="C605" s="116">
        <v>3570.7249999999999</v>
      </c>
      <c r="D605" s="116">
        <v>3537.5</v>
      </c>
      <c r="E605" s="116">
        <v>3578</v>
      </c>
      <c r="F605" s="116">
        <v>7141.45</v>
      </c>
      <c r="G605">
        <v>4438</v>
      </c>
      <c r="H605" s="116"/>
      <c r="I605" s="116"/>
      <c r="L605" s="170">
        <v>44537</v>
      </c>
      <c r="M605" s="116">
        <v>3572.5</v>
      </c>
      <c r="N605" s="116">
        <v>3600</v>
      </c>
      <c r="O605" s="116">
        <v>3537.5</v>
      </c>
      <c r="P605" s="116">
        <v>3567.45</v>
      </c>
      <c r="Q605" s="116">
        <v>7145</v>
      </c>
      <c r="R605">
        <v>57195</v>
      </c>
    </row>
    <row r="606" spans="1:18" x14ac:dyDescent="0.25">
      <c r="A606" s="170">
        <v>44538</v>
      </c>
      <c r="B606" s="116">
        <v>3700.5</v>
      </c>
      <c r="C606" s="116">
        <v>3643.85</v>
      </c>
      <c r="D606" s="116">
        <v>3587.2</v>
      </c>
      <c r="E606" s="116">
        <v>3645</v>
      </c>
      <c r="F606" s="116">
        <v>7287.7</v>
      </c>
      <c r="G606">
        <v>11754</v>
      </c>
      <c r="H606" s="116"/>
      <c r="I606" s="116"/>
      <c r="L606" s="170">
        <v>44538</v>
      </c>
      <c r="M606" s="116">
        <v>3653.4</v>
      </c>
      <c r="N606" s="116">
        <v>3700.2</v>
      </c>
      <c r="O606" s="116">
        <v>3585</v>
      </c>
      <c r="P606" s="116">
        <v>3620.6</v>
      </c>
      <c r="Q606" s="116">
        <v>7306.8</v>
      </c>
      <c r="R606">
        <v>173819</v>
      </c>
    </row>
    <row r="607" spans="1:18" x14ac:dyDescent="0.25">
      <c r="A607" s="170">
        <v>44539</v>
      </c>
      <c r="B607" s="116">
        <v>3670.7249999999999</v>
      </c>
      <c r="C607" s="116">
        <v>3642.8</v>
      </c>
      <c r="D607" s="116">
        <v>3606.625</v>
      </c>
      <c r="E607" s="116">
        <v>3670.7249999999999</v>
      </c>
      <c r="F607" s="116">
        <v>7285.6</v>
      </c>
      <c r="G607">
        <v>1779</v>
      </c>
      <c r="H607" s="116"/>
      <c r="I607" s="116"/>
      <c r="L607" s="170">
        <v>44539</v>
      </c>
      <c r="M607" s="116">
        <v>3644.35</v>
      </c>
      <c r="N607" s="116">
        <v>3671.85</v>
      </c>
      <c r="O607" s="116">
        <v>3606.2750000000001</v>
      </c>
      <c r="P607" s="116">
        <v>3671.85</v>
      </c>
      <c r="Q607" s="116">
        <v>7288.7</v>
      </c>
      <c r="R607">
        <v>56481</v>
      </c>
    </row>
    <row r="608" spans="1:18" x14ac:dyDescent="0.25">
      <c r="A608" s="170">
        <v>44540</v>
      </c>
      <c r="B608" s="116">
        <v>3715.8249999999998</v>
      </c>
      <c r="C608" s="116">
        <v>3643.6750000000002</v>
      </c>
      <c r="D608" s="116">
        <v>3615.5</v>
      </c>
      <c r="E608" s="116">
        <v>3615.5</v>
      </c>
      <c r="F608" s="116">
        <v>7287.35</v>
      </c>
      <c r="G608">
        <v>4092</v>
      </c>
      <c r="H608" s="116"/>
      <c r="I608" s="116"/>
      <c r="L608" s="170">
        <v>44540</v>
      </c>
      <c r="M608" s="116">
        <v>3644.875</v>
      </c>
      <c r="N608" s="116">
        <v>3720</v>
      </c>
      <c r="O608" s="116">
        <v>3632.5250000000001</v>
      </c>
      <c r="P608" s="116">
        <v>3660</v>
      </c>
      <c r="Q608" s="116">
        <v>7289.75</v>
      </c>
      <c r="R608">
        <v>91541</v>
      </c>
    </row>
    <row r="609" spans="1:18" x14ac:dyDescent="0.25">
      <c r="A609" s="170">
        <v>44543</v>
      </c>
      <c r="B609" s="116">
        <v>3672.4749999999999</v>
      </c>
      <c r="C609" s="116">
        <v>3588.15</v>
      </c>
      <c r="D609" s="116">
        <v>3575</v>
      </c>
      <c r="E609" s="116">
        <v>3649.5</v>
      </c>
      <c r="F609" s="116">
        <v>7176.3</v>
      </c>
      <c r="G609">
        <v>3493</v>
      </c>
      <c r="H609" s="116"/>
      <c r="I609" s="116"/>
      <c r="L609" s="170">
        <v>44543</v>
      </c>
      <c r="M609" s="116">
        <v>3582.6750000000002</v>
      </c>
      <c r="N609" s="116">
        <v>3679.5</v>
      </c>
      <c r="O609" s="116">
        <v>3575</v>
      </c>
      <c r="P609" s="116">
        <v>3650</v>
      </c>
      <c r="Q609" s="116">
        <v>7165.35</v>
      </c>
      <c r="R609">
        <v>91407</v>
      </c>
    </row>
    <row r="610" spans="1:18" x14ac:dyDescent="0.25">
      <c r="A610" s="170">
        <v>44544</v>
      </c>
      <c r="B610" s="116">
        <v>3599.9749999999999</v>
      </c>
      <c r="C610" s="116">
        <v>3560.0749999999998</v>
      </c>
      <c r="D610" s="116">
        <v>3547.75</v>
      </c>
      <c r="E610" s="116">
        <v>3582.6</v>
      </c>
      <c r="F610" s="116">
        <v>7120.15</v>
      </c>
      <c r="G610">
        <v>2945</v>
      </c>
      <c r="H610" s="116"/>
      <c r="I610" s="116"/>
      <c r="L610" s="170">
        <v>44544</v>
      </c>
      <c r="M610" s="116">
        <v>3559.0749999999998</v>
      </c>
      <c r="N610" s="116">
        <v>3600</v>
      </c>
      <c r="O610" s="116">
        <v>3550.5</v>
      </c>
      <c r="P610" s="116">
        <v>3582.5</v>
      </c>
      <c r="Q610" s="116">
        <v>7118.15</v>
      </c>
      <c r="R610">
        <v>33989</v>
      </c>
    </row>
    <row r="611" spans="1:18" x14ac:dyDescent="0.25">
      <c r="A611" s="170">
        <v>44545</v>
      </c>
      <c r="B611" s="116">
        <v>3606.15</v>
      </c>
      <c r="C611" s="116">
        <v>3575.4</v>
      </c>
      <c r="D611" s="116">
        <v>3550</v>
      </c>
      <c r="E611" s="116">
        <v>3550</v>
      </c>
      <c r="F611" s="116">
        <v>7150.8</v>
      </c>
      <c r="G611">
        <v>3633</v>
      </c>
      <c r="H611" s="116"/>
      <c r="I611" s="116"/>
      <c r="L611" s="170">
        <v>44545</v>
      </c>
      <c r="M611" s="116">
        <v>3573.9749999999999</v>
      </c>
      <c r="N611" s="116">
        <v>3610</v>
      </c>
      <c r="O611" s="116">
        <v>3560</v>
      </c>
      <c r="P611" s="116">
        <v>3560.5</v>
      </c>
      <c r="Q611" s="116">
        <v>7147.95</v>
      </c>
      <c r="R611">
        <v>59495</v>
      </c>
    </row>
    <row r="612" spans="1:18" x14ac:dyDescent="0.25">
      <c r="A612" s="170">
        <v>44546</v>
      </c>
      <c r="B612" s="116">
        <v>3600.5749999999998</v>
      </c>
      <c r="C612" s="116">
        <v>3563.85</v>
      </c>
      <c r="D612" s="116">
        <v>3550.0250000000001</v>
      </c>
      <c r="E612" s="116">
        <v>3583</v>
      </c>
      <c r="F612" s="116">
        <v>7127.7</v>
      </c>
      <c r="G612">
        <v>2609</v>
      </c>
      <c r="H612" s="116"/>
      <c r="I612" s="116"/>
      <c r="L612" s="170">
        <v>44546</v>
      </c>
      <c r="M612" s="116">
        <v>3565.2249999999999</v>
      </c>
      <c r="N612" s="116">
        <v>3610</v>
      </c>
      <c r="O612" s="116">
        <v>3551</v>
      </c>
      <c r="P612" s="116">
        <v>3610</v>
      </c>
      <c r="Q612" s="116">
        <v>7130.45</v>
      </c>
      <c r="R612">
        <v>31121</v>
      </c>
    </row>
    <row r="613" spans="1:18" x14ac:dyDescent="0.25">
      <c r="A613" s="170">
        <v>44547</v>
      </c>
      <c r="B613" s="116">
        <v>3576.9749999999999</v>
      </c>
      <c r="C613" s="116">
        <v>3482.05</v>
      </c>
      <c r="D613" s="116">
        <v>3475</v>
      </c>
      <c r="E613" s="116">
        <v>3552.5</v>
      </c>
      <c r="F613" s="116">
        <v>6964.1</v>
      </c>
      <c r="G613">
        <v>5586</v>
      </c>
      <c r="H613" s="116"/>
      <c r="I613" s="116"/>
      <c r="L613" s="170">
        <v>44547</v>
      </c>
      <c r="M613" s="116">
        <v>3483.55</v>
      </c>
      <c r="N613" s="116">
        <v>3575.35</v>
      </c>
      <c r="O613" s="116">
        <v>3474.2</v>
      </c>
      <c r="P613" s="116">
        <v>3555</v>
      </c>
      <c r="Q613" s="116">
        <v>6967.1</v>
      </c>
      <c r="R613">
        <v>136174</v>
      </c>
    </row>
    <row r="614" spans="1:18" x14ac:dyDescent="0.25">
      <c r="A614" s="170">
        <v>44550</v>
      </c>
      <c r="B614" s="116">
        <v>3483.5</v>
      </c>
      <c r="C614" s="116">
        <v>3283.05</v>
      </c>
      <c r="D614" s="116">
        <v>3237.85</v>
      </c>
      <c r="E614" s="116">
        <v>3483.5</v>
      </c>
      <c r="F614" s="116">
        <v>6566.1</v>
      </c>
      <c r="G614">
        <v>9232</v>
      </c>
      <c r="H614" s="116"/>
      <c r="I614" s="116"/>
      <c r="L614" s="170">
        <v>44550</v>
      </c>
      <c r="M614" s="116">
        <v>3283.95</v>
      </c>
      <c r="N614" s="116">
        <v>3471.95</v>
      </c>
      <c r="O614" s="116">
        <v>3236.15</v>
      </c>
      <c r="P614" s="116">
        <v>3469.5</v>
      </c>
      <c r="Q614" s="116">
        <v>6567.9</v>
      </c>
      <c r="R614">
        <v>143063</v>
      </c>
    </row>
    <row r="615" spans="1:18" x14ac:dyDescent="0.25">
      <c r="A615" s="170">
        <v>44551</v>
      </c>
      <c r="B615" s="116">
        <v>3366.85</v>
      </c>
      <c r="C615" s="116">
        <v>3254.2750000000001</v>
      </c>
      <c r="D615" s="116">
        <v>3191.4250000000002</v>
      </c>
      <c r="E615" s="116">
        <v>3344</v>
      </c>
      <c r="F615" s="116">
        <v>6508.55</v>
      </c>
      <c r="G615">
        <v>5524</v>
      </c>
      <c r="H615" s="116"/>
      <c r="I615" s="116"/>
      <c r="L615" s="170">
        <v>44551</v>
      </c>
      <c r="M615" s="116">
        <v>3252.5250000000001</v>
      </c>
      <c r="N615" s="116">
        <v>3366.5</v>
      </c>
      <c r="O615" s="116">
        <v>3191.5</v>
      </c>
      <c r="P615" s="116">
        <v>3330</v>
      </c>
      <c r="Q615" s="116">
        <v>6505.05</v>
      </c>
      <c r="R615">
        <v>150466</v>
      </c>
    </row>
    <row r="616" spans="1:18" x14ac:dyDescent="0.25">
      <c r="A616" s="170">
        <v>44552</v>
      </c>
      <c r="B616" s="116">
        <v>3340</v>
      </c>
      <c r="C616" s="116">
        <v>3298.55</v>
      </c>
      <c r="D616" s="116">
        <v>3262.5</v>
      </c>
      <c r="E616" s="116">
        <v>3285</v>
      </c>
      <c r="F616" s="116">
        <v>6597.1</v>
      </c>
      <c r="G616">
        <v>5187</v>
      </c>
      <c r="H616" s="116"/>
      <c r="I616" s="116"/>
      <c r="L616" s="170">
        <v>44552</v>
      </c>
      <c r="M616" s="116">
        <v>3298.5250000000001</v>
      </c>
      <c r="N616" s="116">
        <v>3342.4749999999999</v>
      </c>
      <c r="O616" s="116">
        <v>3262.5</v>
      </c>
      <c r="P616" s="116">
        <v>3299.75</v>
      </c>
      <c r="Q616" s="116">
        <v>6597.05</v>
      </c>
      <c r="R616">
        <v>83880</v>
      </c>
    </row>
    <row r="617" spans="1:18" x14ac:dyDescent="0.25">
      <c r="A617" s="170">
        <v>44553</v>
      </c>
      <c r="B617" s="116">
        <v>3368.875</v>
      </c>
      <c r="C617" s="116">
        <v>3285.8249999999998</v>
      </c>
      <c r="D617" s="116">
        <v>3281.5</v>
      </c>
      <c r="E617" s="116">
        <v>3320</v>
      </c>
      <c r="F617" s="116">
        <v>6571.65</v>
      </c>
      <c r="G617">
        <v>6669</v>
      </c>
      <c r="H617" s="116"/>
      <c r="I617" s="116"/>
      <c r="L617" s="170">
        <v>44553</v>
      </c>
      <c r="M617" s="116">
        <v>3284.25</v>
      </c>
      <c r="N617" s="116">
        <v>3370.7</v>
      </c>
      <c r="O617" s="116">
        <v>3280.9</v>
      </c>
      <c r="P617" s="116">
        <v>3327.5</v>
      </c>
      <c r="Q617" s="116">
        <v>6568.5</v>
      </c>
      <c r="R617">
        <v>88468</v>
      </c>
    </row>
    <row r="618" spans="1:18" x14ac:dyDescent="0.25">
      <c r="A618" s="170">
        <v>44554</v>
      </c>
      <c r="B618" s="116">
        <v>3353.625</v>
      </c>
      <c r="C618" s="116">
        <v>3226.95</v>
      </c>
      <c r="D618" s="116">
        <v>3218</v>
      </c>
      <c r="E618" s="116">
        <v>3315</v>
      </c>
      <c r="F618" s="116">
        <v>6453.9</v>
      </c>
      <c r="G618">
        <v>8765</v>
      </c>
      <c r="H618" s="116"/>
      <c r="I618" s="116"/>
      <c r="L618" s="170">
        <v>44554</v>
      </c>
      <c r="M618" s="116">
        <v>3224.4250000000002</v>
      </c>
      <c r="N618" s="116">
        <v>3348.5</v>
      </c>
      <c r="O618" s="116">
        <v>3217.5</v>
      </c>
      <c r="P618" s="116">
        <v>3310</v>
      </c>
      <c r="Q618" s="116">
        <v>6448.85</v>
      </c>
      <c r="R618">
        <v>80424</v>
      </c>
    </row>
    <row r="619" spans="1:18" x14ac:dyDescent="0.25">
      <c r="A619" s="170">
        <v>44557</v>
      </c>
      <c r="B619" s="116">
        <v>3278.4250000000002</v>
      </c>
      <c r="C619" s="116">
        <v>3244.4749999999999</v>
      </c>
      <c r="D619" s="116">
        <v>3170.6</v>
      </c>
      <c r="E619" s="116">
        <v>3215</v>
      </c>
      <c r="F619" s="116">
        <v>6488.95</v>
      </c>
      <c r="G619">
        <v>7912</v>
      </c>
      <c r="H619" s="116"/>
      <c r="I619" s="116"/>
      <c r="L619" s="170">
        <v>44557</v>
      </c>
      <c r="M619" s="116">
        <v>3245.7750000000001</v>
      </c>
      <c r="N619" s="116">
        <v>3279.6</v>
      </c>
      <c r="O619" s="116">
        <v>3169.65</v>
      </c>
      <c r="P619" s="116">
        <v>3224.4250000000002</v>
      </c>
      <c r="Q619" s="116">
        <v>6491.55</v>
      </c>
      <c r="R619">
        <v>91193</v>
      </c>
    </row>
    <row r="620" spans="1:18" x14ac:dyDescent="0.25">
      <c r="A620" s="170">
        <v>44558</v>
      </c>
      <c r="B620" s="116">
        <v>3274.5</v>
      </c>
      <c r="C620" s="116">
        <v>3214.7750000000001</v>
      </c>
      <c r="D620" s="116">
        <v>3200</v>
      </c>
      <c r="E620" s="116">
        <v>3274.5</v>
      </c>
      <c r="F620" s="116">
        <v>6429.55</v>
      </c>
      <c r="G620">
        <v>3382</v>
      </c>
      <c r="H620" s="116"/>
      <c r="I620" s="116"/>
      <c r="L620" s="170">
        <v>44558</v>
      </c>
      <c r="M620" s="116">
        <v>3215.6750000000002</v>
      </c>
      <c r="N620" s="116">
        <v>3269.9749999999999</v>
      </c>
      <c r="O620" s="116">
        <v>3210</v>
      </c>
      <c r="P620" s="116">
        <v>3264.5</v>
      </c>
      <c r="Q620" s="116">
        <v>6431.35</v>
      </c>
      <c r="R620">
        <v>84345</v>
      </c>
    </row>
    <row r="621" spans="1:18" x14ac:dyDescent="0.25">
      <c r="A621" s="170">
        <v>44559</v>
      </c>
      <c r="B621" s="116">
        <v>3225.5749999999998</v>
      </c>
      <c r="C621" s="116">
        <v>3166.9749999999999</v>
      </c>
      <c r="D621" s="116">
        <v>3146.7249999999999</v>
      </c>
      <c r="E621" s="116">
        <v>3220.0250000000001</v>
      </c>
      <c r="F621" s="116">
        <v>6333.95</v>
      </c>
      <c r="G621">
        <v>6641</v>
      </c>
      <c r="H621" s="116"/>
      <c r="I621" s="116"/>
      <c r="L621" s="170">
        <v>44559</v>
      </c>
      <c r="M621" s="116">
        <v>3168.15</v>
      </c>
      <c r="N621" s="116">
        <v>3224</v>
      </c>
      <c r="O621" s="116">
        <v>3145</v>
      </c>
      <c r="P621" s="116">
        <v>3224</v>
      </c>
      <c r="Q621" s="116">
        <v>6336.3</v>
      </c>
      <c r="R621">
        <v>188996</v>
      </c>
    </row>
    <row r="622" spans="1:18" x14ac:dyDescent="0.25">
      <c r="A622" s="170">
        <v>44560</v>
      </c>
      <c r="B622" s="116">
        <v>3199.3249999999998</v>
      </c>
      <c r="C622" s="116">
        <v>3154.15</v>
      </c>
      <c r="D622" s="116">
        <v>3146.375</v>
      </c>
      <c r="E622" s="116">
        <v>3187.5</v>
      </c>
      <c r="F622" s="116">
        <v>6308.3</v>
      </c>
      <c r="G622">
        <v>2861</v>
      </c>
      <c r="H622" s="116"/>
      <c r="I622" s="116"/>
      <c r="L622" s="170">
        <v>44560</v>
      </c>
      <c r="M622" s="116">
        <v>3153.5</v>
      </c>
      <c r="N622" s="116">
        <v>3199.45</v>
      </c>
      <c r="O622" s="116">
        <v>3145.5</v>
      </c>
      <c r="P622" s="116">
        <v>3174</v>
      </c>
      <c r="Q622" s="116">
        <v>6307</v>
      </c>
      <c r="R622">
        <v>103155</v>
      </c>
    </row>
    <row r="623" spans="1:18" x14ac:dyDescent="0.25">
      <c r="A623" s="170">
        <v>44561</v>
      </c>
      <c r="B623" s="116">
        <v>3270.2750000000001</v>
      </c>
      <c r="C623" s="116">
        <v>3236.9749999999999</v>
      </c>
      <c r="D623" s="116">
        <v>3148.2</v>
      </c>
      <c r="E623" s="116">
        <v>3199</v>
      </c>
      <c r="F623" s="116">
        <v>6473.95</v>
      </c>
      <c r="G623">
        <v>15624</v>
      </c>
      <c r="H623" s="116"/>
      <c r="I623" s="116"/>
      <c r="L623" s="170">
        <v>44561</v>
      </c>
      <c r="M623" s="116">
        <v>3238.2</v>
      </c>
      <c r="N623" s="116">
        <v>3270</v>
      </c>
      <c r="O623" s="116">
        <v>3145.5</v>
      </c>
      <c r="P623" s="116">
        <v>3175.35</v>
      </c>
      <c r="Q623" s="116">
        <v>6476.4</v>
      </c>
      <c r="R623">
        <v>168537</v>
      </c>
    </row>
    <row r="624" spans="1:18" x14ac:dyDescent="0.25">
      <c r="A624" s="170">
        <v>44564</v>
      </c>
      <c r="B624" s="116">
        <v>3306.2249999999999</v>
      </c>
      <c r="C624" s="116">
        <v>3283.2249999999999</v>
      </c>
      <c r="D624" s="116">
        <v>3216.1</v>
      </c>
      <c r="E624" s="116">
        <v>3247.5</v>
      </c>
      <c r="F624" s="116">
        <v>6566.45</v>
      </c>
      <c r="G624">
        <v>4810</v>
      </c>
      <c r="H624" s="116"/>
      <c r="I624" s="116"/>
      <c r="L624" s="170">
        <v>44564</v>
      </c>
      <c r="M624" s="116">
        <v>3287.0749999999998</v>
      </c>
      <c r="N624" s="116">
        <v>3307</v>
      </c>
      <c r="O624" s="116">
        <v>3215</v>
      </c>
      <c r="P624" s="116">
        <v>3235</v>
      </c>
      <c r="Q624" s="116">
        <v>6574.15</v>
      </c>
      <c r="R624">
        <v>121756</v>
      </c>
    </row>
    <row r="625" spans="1:18" x14ac:dyDescent="0.25">
      <c r="A625" s="170">
        <v>44565</v>
      </c>
      <c r="B625" s="116">
        <v>3347.625</v>
      </c>
      <c r="C625" s="116">
        <v>3305.9250000000002</v>
      </c>
      <c r="D625" s="116">
        <v>3247.6750000000002</v>
      </c>
      <c r="E625" s="116">
        <v>3310</v>
      </c>
      <c r="F625" s="116">
        <v>6611.85</v>
      </c>
      <c r="G625">
        <v>21066</v>
      </c>
      <c r="H625" s="116"/>
      <c r="I625" s="116"/>
      <c r="L625" s="170">
        <v>44565</v>
      </c>
      <c r="M625" s="116">
        <v>3306.35</v>
      </c>
      <c r="N625" s="116">
        <v>3347</v>
      </c>
      <c r="O625" s="116">
        <v>3245.625</v>
      </c>
      <c r="P625" s="116">
        <v>3314.5</v>
      </c>
      <c r="Q625" s="116">
        <v>6612.7</v>
      </c>
      <c r="R625">
        <v>126776</v>
      </c>
    </row>
    <row r="626" spans="1:18" x14ac:dyDescent="0.25">
      <c r="A626" s="170">
        <v>44566</v>
      </c>
      <c r="B626" s="116">
        <v>3335.7</v>
      </c>
      <c r="C626" s="116">
        <v>3291.25</v>
      </c>
      <c r="D626" s="116">
        <v>3264.2750000000001</v>
      </c>
      <c r="E626" s="116">
        <v>3335.7</v>
      </c>
      <c r="F626" s="116">
        <v>6582.5</v>
      </c>
      <c r="G626">
        <v>3880</v>
      </c>
      <c r="H626" s="116"/>
      <c r="I626" s="116"/>
      <c r="L626" s="170">
        <v>44566</v>
      </c>
      <c r="M626" s="116">
        <v>3291.1</v>
      </c>
      <c r="N626" s="116">
        <v>3313.2</v>
      </c>
      <c r="O626" s="116">
        <v>3260.5</v>
      </c>
      <c r="P626" s="116">
        <v>3312.5</v>
      </c>
      <c r="Q626" s="116">
        <v>6582.2</v>
      </c>
      <c r="R626">
        <v>72496</v>
      </c>
    </row>
    <row r="627" spans="1:18" x14ac:dyDescent="0.25">
      <c r="A627" s="170">
        <v>44567</v>
      </c>
      <c r="B627" s="116">
        <v>3322.3249999999998</v>
      </c>
      <c r="C627" s="116">
        <v>3284.85</v>
      </c>
      <c r="D627" s="116">
        <v>3220.5</v>
      </c>
      <c r="E627" s="116">
        <v>3270</v>
      </c>
      <c r="F627" s="116">
        <v>6569.7</v>
      </c>
      <c r="G627">
        <v>9153</v>
      </c>
      <c r="H627" s="116"/>
      <c r="I627" s="116"/>
      <c r="L627" s="170">
        <v>44567</v>
      </c>
      <c r="M627" s="116">
        <v>3284.6</v>
      </c>
      <c r="N627" s="116">
        <v>3321.2</v>
      </c>
      <c r="O627" s="116">
        <v>3220</v>
      </c>
      <c r="P627" s="116">
        <v>3268</v>
      </c>
      <c r="Q627" s="116">
        <v>6569.2</v>
      </c>
      <c r="R627">
        <v>104420</v>
      </c>
    </row>
    <row r="628" spans="1:18" x14ac:dyDescent="0.25">
      <c r="A628" s="170">
        <v>44568</v>
      </c>
      <c r="B628" s="116">
        <v>3346.5</v>
      </c>
      <c r="C628" s="116">
        <v>3335.45</v>
      </c>
      <c r="D628" s="116">
        <v>3283.15</v>
      </c>
      <c r="E628" s="116">
        <v>3283.625</v>
      </c>
      <c r="F628" s="116">
        <v>6670.9</v>
      </c>
      <c r="G628">
        <v>9553</v>
      </c>
      <c r="H628" s="116"/>
      <c r="I628" s="116"/>
      <c r="L628" s="170">
        <v>44568</v>
      </c>
      <c r="M628" s="116">
        <v>3335.95</v>
      </c>
      <c r="N628" s="116">
        <v>3349.4749999999999</v>
      </c>
      <c r="O628" s="116">
        <v>3285.0250000000001</v>
      </c>
      <c r="P628" s="116">
        <v>3309.5</v>
      </c>
      <c r="Q628" s="116">
        <v>6671.9</v>
      </c>
      <c r="R628">
        <v>102113</v>
      </c>
    </row>
    <row r="629" spans="1:18" x14ac:dyDescent="0.25">
      <c r="A629" s="170">
        <v>44571</v>
      </c>
      <c r="B629" s="116">
        <v>3368.1750000000002</v>
      </c>
      <c r="C629" s="116">
        <v>3303.9749999999999</v>
      </c>
      <c r="D629" s="116">
        <v>3295.5</v>
      </c>
      <c r="E629" s="116">
        <v>3345</v>
      </c>
      <c r="F629" s="116">
        <v>6607.95</v>
      </c>
      <c r="G629">
        <v>4812</v>
      </c>
      <c r="H629" s="116"/>
      <c r="I629" s="116"/>
      <c r="L629" s="170">
        <v>44571</v>
      </c>
      <c r="M629" s="116">
        <v>3301.35</v>
      </c>
      <c r="N629" s="116">
        <v>3368.4</v>
      </c>
      <c r="O629" s="116">
        <v>3292.5</v>
      </c>
      <c r="P629" s="116">
        <v>3350</v>
      </c>
      <c r="Q629" s="116">
        <v>6602.7</v>
      </c>
      <c r="R629">
        <v>91050</v>
      </c>
    </row>
    <row r="630" spans="1:18" x14ac:dyDescent="0.25">
      <c r="A630" s="170">
        <v>44572</v>
      </c>
      <c r="B630" s="116">
        <v>3315</v>
      </c>
      <c r="C630" s="116">
        <v>3252.2750000000001</v>
      </c>
      <c r="D630" s="116">
        <v>3242.85</v>
      </c>
      <c r="E630" s="116">
        <v>3315</v>
      </c>
      <c r="F630" s="116">
        <v>6504.55</v>
      </c>
      <c r="G630">
        <v>8289</v>
      </c>
      <c r="H630" s="116"/>
      <c r="I630" s="116"/>
      <c r="L630" s="170">
        <v>44572</v>
      </c>
      <c r="M630" s="116">
        <v>3252.05</v>
      </c>
      <c r="N630" s="116">
        <v>3319.9749999999999</v>
      </c>
      <c r="O630" s="116">
        <v>3242.5</v>
      </c>
      <c r="P630" s="116">
        <v>3319.9749999999999</v>
      </c>
      <c r="Q630" s="116">
        <v>6504.1</v>
      </c>
      <c r="R630">
        <v>124478</v>
      </c>
    </row>
    <row r="631" spans="1:18" x14ac:dyDescent="0.25">
      <c r="A631" s="170">
        <v>44573</v>
      </c>
      <c r="B631" s="116">
        <v>3451</v>
      </c>
      <c r="C631" s="116">
        <v>3425.05</v>
      </c>
      <c r="D631" s="116">
        <v>3254.5250000000001</v>
      </c>
      <c r="E631" s="116">
        <v>3260.5250000000001</v>
      </c>
      <c r="F631" s="116">
        <v>6850.1</v>
      </c>
      <c r="G631">
        <v>29731</v>
      </c>
      <c r="H631" s="116"/>
      <c r="I631" s="116"/>
      <c r="L631" s="170">
        <v>44573</v>
      </c>
      <c r="M631" s="116">
        <v>3425.125</v>
      </c>
      <c r="N631" s="116">
        <v>3453.5</v>
      </c>
      <c r="O631" s="116">
        <v>3254</v>
      </c>
      <c r="P631" s="116">
        <v>3280</v>
      </c>
      <c r="Q631" s="116">
        <v>6850.25</v>
      </c>
      <c r="R631">
        <v>311975</v>
      </c>
    </row>
    <row r="632" spans="1:18" x14ac:dyDescent="0.25">
      <c r="A632" s="170">
        <v>44574</v>
      </c>
      <c r="B632" s="116">
        <v>3443.9749999999999</v>
      </c>
      <c r="C632" s="116">
        <v>3368.8</v>
      </c>
      <c r="D632" s="116">
        <v>3357.5</v>
      </c>
      <c r="E632" s="116">
        <v>3440</v>
      </c>
      <c r="F632" s="116">
        <v>6737.6</v>
      </c>
      <c r="G632">
        <v>4549</v>
      </c>
      <c r="H632" s="116"/>
      <c r="I632" s="116"/>
      <c r="L632" s="170">
        <v>44574</v>
      </c>
      <c r="M632" s="116">
        <v>3368.375</v>
      </c>
      <c r="N632" s="116">
        <v>3449.375</v>
      </c>
      <c r="O632" s="116">
        <v>3355.5</v>
      </c>
      <c r="P632" s="116">
        <v>3435</v>
      </c>
      <c r="Q632" s="116">
        <v>6736.75</v>
      </c>
      <c r="R632">
        <v>123071</v>
      </c>
    </row>
    <row r="633" spans="1:18" x14ac:dyDescent="0.25">
      <c r="A633" s="170">
        <v>44575</v>
      </c>
      <c r="B633" s="116">
        <v>3417.7249999999999</v>
      </c>
      <c r="C633" s="116">
        <v>3381.9250000000002</v>
      </c>
      <c r="D633" s="116">
        <v>3327.875</v>
      </c>
      <c r="E633" s="116">
        <v>3360</v>
      </c>
      <c r="F633" s="116">
        <v>6763.85</v>
      </c>
      <c r="G633">
        <v>9119</v>
      </c>
      <c r="H633" s="116"/>
      <c r="I633" s="116"/>
      <c r="L633" s="170">
        <v>44575</v>
      </c>
      <c r="M633" s="116">
        <v>3384.95</v>
      </c>
      <c r="N633" s="116">
        <v>3435</v>
      </c>
      <c r="O633" s="116">
        <v>3325</v>
      </c>
      <c r="P633" s="116">
        <v>3378.2249999999999</v>
      </c>
      <c r="Q633" s="116">
        <v>6769.9</v>
      </c>
      <c r="R633">
        <v>108380</v>
      </c>
    </row>
    <row r="634" spans="1:18" x14ac:dyDescent="0.25">
      <c r="A634" s="170">
        <v>44578</v>
      </c>
      <c r="B634" s="116">
        <v>3423.7</v>
      </c>
      <c r="C634" s="116">
        <v>3351.7750000000001</v>
      </c>
      <c r="D634" s="116">
        <v>3326.3249999999998</v>
      </c>
      <c r="E634" s="116">
        <v>3382.5</v>
      </c>
      <c r="F634" s="116">
        <v>6703.55</v>
      </c>
      <c r="G634">
        <v>4657</v>
      </c>
      <c r="H634" s="116"/>
      <c r="I634" s="116"/>
      <c r="L634" s="170">
        <v>44578</v>
      </c>
      <c r="M634" s="116">
        <v>3351.7750000000001</v>
      </c>
      <c r="N634" s="116">
        <v>3425</v>
      </c>
      <c r="O634" s="116">
        <v>3322.3249999999998</v>
      </c>
      <c r="P634" s="116">
        <v>3381.15</v>
      </c>
      <c r="Q634" s="116">
        <v>6703.55</v>
      </c>
      <c r="R634">
        <v>62385</v>
      </c>
    </row>
    <row r="635" spans="1:18" x14ac:dyDescent="0.25">
      <c r="A635" s="170">
        <v>44579</v>
      </c>
      <c r="B635" s="116">
        <v>3367.5</v>
      </c>
      <c r="C635" s="116">
        <v>3251.5</v>
      </c>
      <c r="D635" s="116">
        <v>3229</v>
      </c>
      <c r="E635" s="116">
        <v>3367.5</v>
      </c>
      <c r="F635" s="116">
        <v>6503</v>
      </c>
      <c r="G635">
        <v>8433</v>
      </c>
      <c r="H635" s="116"/>
      <c r="I635" s="116"/>
      <c r="L635" s="170">
        <v>44579</v>
      </c>
      <c r="M635" s="116">
        <v>3251.375</v>
      </c>
      <c r="N635" s="116">
        <v>3366.65</v>
      </c>
      <c r="O635" s="116">
        <v>3225.6750000000002</v>
      </c>
      <c r="P635" s="116">
        <v>3354.9749999999999</v>
      </c>
      <c r="Q635" s="116">
        <v>6502.75</v>
      </c>
      <c r="R635">
        <v>91903</v>
      </c>
    </row>
    <row r="636" spans="1:18" x14ac:dyDescent="0.25">
      <c r="A636" s="170">
        <v>44580</v>
      </c>
      <c r="B636" s="116">
        <v>3264.4250000000002</v>
      </c>
      <c r="C636" s="116">
        <v>3205.4749999999999</v>
      </c>
      <c r="D636" s="116">
        <v>3185</v>
      </c>
      <c r="E636" s="116">
        <v>3255</v>
      </c>
      <c r="F636" s="116">
        <v>6410.95</v>
      </c>
      <c r="G636">
        <v>11159</v>
      </c>
      <c r="H636" s="116"/>
      <c r="I636" s="116"/>
      <c r="L636" s="170">
        <v>44580</v>
      </c>
      <c r="M636" s="116">
        <v>3206</v>
      </c>
      <c r="N636" s="116">
        <v>3269.5</v>
      </c>
      <c r="O636" s="116">
        <v>3187.5</v>
      </c>
      <c r="P636" s="116">
        <v>3269.5</v>
      </c>
      <c r="Q636" s="116">
        <v>6412</v>
      </c>
      <c r="R636">
        <v>83628</v>
      </c>
    </row>
    <row r="637" spans="1:18" x14ac:dyDescent="0.25">
      <c r="A637" s="170">
        <v>44581</v>
      </c>
      <c r="B637" s="116">
        <v>3225</v>
      </c>
      <c r="C637" s="116">
        <v>3177.05</v>
      </c>
      <c r="D637" s="116">
        <v>3170</v>
      </c>
      <c r="E637" s="116">
        <v>3225</v>
      </c>
      <c r="F637" s="116">
        <v>6354.1</v>
      </c>
      <c r="G637">
        <v>3579</v>
      </c>
      <c r="H637" s="116"/>
      <c r="I637" s="116"/>
      <c r="L637" s="170">
        <v>44581</v>
      </c>
      <c r="M637" s="116">
        <v>3176.9749999999999</v>
      </c>
      <c r="N637" s="116">
        <v>3220</v>
      </c>
      <c r="O637" s="116">
        <v>3168</v>
      </c>
      <c r="P637" s="116">
        <v>3220</v>
      </c>
      <c r="Q637" s="116">
        <v>6353.95</v>
      </c>
      <c r="R637">
        <v>66064</v>
      </c>
    </row>
    <row r="638" spans="1:18" x14ac:dyDescent="0.25">
      <c r="A638" s="170">
        <v>44582</v>
      </c>
      <c r="B638" s="116">
        <v>3189.5749999999998</v>
      </c>
      <c r="C638" s="116">
        <v>3061.1750000000002</v>
      </c>
      <c r="D638" s="116">
        <v>3033.0250000000001</v>
      </c>
      <c r="E638" s="116">
        <v>3177.5</v>
      </c>
      <c r="F638" s="116">
        <v>6122.35</v>
      </c>
      <c r="G638">
        <v>19238</v>
      </c>
      <c r="H638" s="116"/>
      <c r="I638" s="116"/>
      <c r="L638" s="170">
        <v>44582</v>
      </c>
      <c r="M638" s="116">
        <v>3060.15</v>
      </c>
      <c r="N638" s="116">
        <v>3192.5</v>
      </c>
      <c r="O638" s="116">
        <v>3033.0250000000001</v>
      </c>
      <c r="P638" s="116">
        <v>3164.9749999999999</v>
      </c>
      <c r="Q638" s="116">
        <v>6120.3</v>
      </c>
      <c r="R638">
        <v>166841</v>
      </c>
    </row>
    <row r="639" spans="1:18" x14ac:dyDescent="0.25">
      <c r="A639" s="170">
        <v>44585</v>
      </c>
      <c r="B639" s="116">
        <v>3086.15</v>
      </c>
      <c r="C639" s="116">
        <v>2921.3</v>
      </c>
      <c r="D639" s="116">
        <v>2860</v>
      </c>
      <c r="E639" s="116">
        <v>3059</v>
      </c>
      <c r="F639" s="116">
        <v>5842.6</v>
      </c>
      <c r="G639">
        <v>24536</v>
      </c>
      <c r="H639" s="116"/>
      <c r="I639" s="116"/>
      <c r="L639" s="170">
        <v>44585</v>
      </c>
      <c r="M639" s="116">
        <v>2918.9749999999999</v>
      </c>
      <c r="N639" s="116">
        <v>3087.4749999999999</v>
      </c>
      <c r="O639" s="116">
        <v>2860</v>
      </c>
      <c r="P639" s="116">
        <v>3062.5</v>
      </c>
      <c r="Q639" s="116">
        <v>5837.95</v>
      </c>
      <c r="R639">
        <v>182809</v>
      </c>
    </row>
    <row r="640" spans="1:18" x14ac:dyDescent="0.25">
      <c r="A640" s="170">
        <v>44586</v>
      </c>
      <c r="B640" s="116">
        <v>2776</v>
      </c>
      <c r="C640" s="116">
        <v>2500.7750000000001</v>
      </c>
      <c r="D640" s="116">
        <v>2485</v>
      </c>
      <c r="E640" s="116">
        <v>2747.5</v>
      </c>
      <c r="F640" s="116">
        <v>5001.55</v>
      </c>
      <c r="G640">
        <v>95403</v>
      </c>
      <c r="H640" s="116"/>
      <c r="I640" s="116"/>
      <c r="L640" s="170">
        <v>44586</v>
      </c>
      <c r="M640" s="116">
        <v>2502.5</v>
      </c>
      <c r="N640" s="116">
        <v>2843.3249999999998</v>
      </c>
      <c r="O640" s="116">
        <v>2485</v>
      </c>
      <c r="P640" s="116">
        <v>2740</v>
      </c>
      <c r="Q640" s="116">
        <v>5005</v>
      </c>
      <c r="R640">
        <v>938662</v>
      </c>
    </row>
    <row r="641" spans="1:18" x14ac:dyDescent="0.25">
      <c r="A641" s="170">
        <v>44588</v>
      </c>
      <c r="B641" s="116">
        <v>2517.5</v>
      </c>
      <c r="C641" s="116">
        <v>2280.0250000000001</v>
      </c>
      <c r="D641" s="116">
        <v>2175</v>
      </c>
      <c r="E641" s="116">
        <v>2517.5</v>
      </c>
      <c r="F641" s="116">
        <v>4560.05</v>
      </c>
      <c r="G641">
        <v>73662</v>
      </c>
      <c r="H641" s="116"/>
      <c r="I641" s="116"/>
      <c r="L641" s="170">
        <v>44588</v>
      </c>
      <c r="M641" s="116">
        <v>2282.125</v>
      </c>
      <c r="N641" s="116">
        <v>2495</v>
      </c>
      <c r="O641" s="116">
        <v>2150.5500000000002</v>
      </c>
      <c r="P641" s="116">
        <v>2495</v>
      </c>
      <c r="Q641" s="116">
        <v>4564.25</v>
      </c>
      <c r="R641">
        <v>1481806</v>
      </c>
    </row>
    <row r="642" spans="1:18" x14ac:dyDescent="0.25">
      <c r="A642" s="170">
        <v>44589</v>
      </c>
      <c r="B642" s="116">
        <v>2448.0250000000001</v>
      </c>
      <c r="C642" s="116">
        <v>2413.875</v>
      </c>
      <c r="D642" s="116">
        <v>2290.875</v>
      </c>
      <c r="E642" s="116">
        <v>2315</v>
      </c>
      <c r="F642" s="116">
        <v>4827.75</v>
      </c>
      <c r="G642">
        <v>26243</v>
      </c>
      <c r="H642" s="116"/>
      <c r="I642" s="116"/>
      <c r="L642" s="170">
        <v>44589</v>
      </c>
      <c r="M642" s="116">
        <v>2412.8000000000002</v>
      </c>
      <c r="N642" s="116">
        <v>2449.2249999999999</v>
      </c>
      <c r="O642" s="116">
        <v>2290.25</v>
      </c>
      <c r="P642" s="116">
        <v>2302.875</v>
      </c>
      <c r="Q642" s="116">
        <v>4825.6000000000004</v>
      </c>
      <c r="R642">
        <v>674072</v>
      </c>
    </row>
    <row r="643" spans="1:18" x14ac:dyDescent="0.25">
      <c r="A643" s="170">
        <v>44592</v>
      </c>
      <c r="B643" s="116">
        <v>2532.8000000000002</v>
      </c>
      <c r="C643" s="116">
        <v>2499.0500000000002</v>
      </c>
      <c r="D643" s="116">
        <v>2437.9250000000002</v>
      </c>
      <c r="E643" s="116">
        <v>2465</v>
      </c>
      <c r="F643" s="116">
        <v>4998.1000000000004</v>
      </c>
      <c r="G643">
        <v>30000</v>
      </c>
      <c r="H643" s="116"/>
      <c r="I643" s="116"/>
      <c r="L643" s="170">
        <v>44592</v>
      </c>
      <c r="M643" s="116">
        <v>2494.35</v>
      </c>
      <c r="N643" s="116">
        <v>2535</v>
      </c>
      <c r="O643" s="116">
        <v>2445.25</v>
      </c>
      <c r="P643" s="116">
        <v>2473.5</v>
      </c>
      <c r="Q643" s="116">
        <v>4988.7</v>
      </c>
      <c r="R643">
        <v>457459</v>
      </c>
    </row>
    <row r="644" spans="1:18" x14ac:dyDescent="0.25">
      <c r="A644" s="170">
        <v>44593</v>
      </c>
      <c r="B644" s="116">
        <v>2614.9749999999999</v>
      </c>
      <c r="C644" s="116">
        <v>2582.2249999999999</v>
      </c>
      <c r="D644" s="116">
        <v>2480</v>
      </c>
      <c r="E644" s="116">
        <v>2549</v>
      </c>
      <c r="F644" s="116">
        <v>5164.45</v>
      </c>
      <c r="G644">
        <v>38116</v>
      </c>
      <c r="H644" s="116"/>
      <c r="I644" s="116"/>
      <c r="L644" s="170">
        <v>44593</v>
      </c>
      <c r="M644" s="116">
        <v>2586.3000000000002</v>
      </c>
      <c r="N644" s="116">
        <v>2617.4499999999998</v>
      </c>
      <c r="O644" s="116">
        <v>2477.5</v>
      </c>
      <c r="P644" s="116">
        <v>2535</v>
      </c>
      <c r="Q644" s="116">
        <v>5172.6000000000004</v>
      </c>
      <c r="R644">
        <v>374240</v>
      </c>
    </row>
    <row r="645" spans="1:18" x14ac:dyDescent="0.25">
      <c r="A645" s="170">
        <v>44594</v>
      </c>
      <c r="B645" s="116">
        <v>2689.95</v>
      </c>
      <c r="C645" s="116">
        <v>2637.9250000000002</v>
      </c>
      <c r="D645" s="116">
        <v>2595.7750000000001</v>
      </c>
      <c r="E645" s="116">
        <v>2628.5</v>
      </c>
      <c r="F645" s="116">
        <v>5275.85</v>
      </c>
      <c r="G645">
        <v>13677</v>
      </c>
      <c r="H645" s="116"/>
      <c r="I645" s="116"/>
      <c r="L645" s="170">
        <v>44594</v>
      </c>
      <c r="M645" s="116">
        <v>2636.625</v>
      </c>
      <c r="N645" s="116">
        <v>2691</v>
      </c>
      <c r="O645" s="116">
        <v>2591</v>
      </c>
      <c r="P645" s="116">
        <v>2619.5</v>
      </c>
      <c r="Q645" s="116">
        <v>5273.25</v>
      </c>
      <c r="R645">
        <v>250626</v>
      </c>
    </row>
    <row r="646" spans="1:18" x14ac:dyDescent="0.25">
      <c r="A646" s="170">
        <v>44595</v>
      </c>
      <c r="B646" s="116">
        <v>2637.5</v>
      </c>
      <c r="C646" s="116">
        <v>2591.75</v>
      </c>
      <c r="D646" s="116">
        <v>2560</v>
      </c>
      <c r="E646" s="116">
        <v>2637.5</v>
      </c>
      <c r="F646" s="116">
        <v>5183.5</v>
      </c>
      <c r="G646">
        <v>21767</v>
      </c>
      <c r="H646" s="116"/>
      <c r="I646" s="116"/>
      <c r="L646" s="170">
        <v>44595</v>
      </c>
      <c r="M646" s="116">
        <v>2591.4499999999998</v>
      </c>
      <c r="N646" s="116">
        <v>2636.625</v>
      </c>
      <c r="O646" s="116">
        <v>2557.5</v>
      </c>
      <c r="P646" s="116">
        <v>2636.625</v>
      </c>
      <c r="Q646" s="116">
        <v>5182.8999999999996</v>
      </c>
      <c r="R646">
        <v>155302</v>
      </c>
    </row>
    <row r="647" spans="1:18" x14ac:dyDescent="0.25">
      <c r="A647" s="170">
        <v>44596</v>
      </c>
      <c r="B647" s="116">
        <v>2594.15</v>
      </c>
      <c r="C647" s="116">
        <v>2541.3000000000002</v>
      </c>
      <c r="D647" s="116">
        <v>2530.2750000000001</v>
      </c>
      <c r="E647" s="116">
        <v>2587.5</v>
      </c>
      <c r="F647" s="116">
        <v>5082.6000000000004</v>
      </c>
      <c r="G647">
        <v>15640</v>
      </c>
      <c r="H647" s="116"/>
      <c r="I647" s="116"/>
      <c r="L647" s="170">
        <v>44596</v>
      </c>
      <c r="M647" s="116">
        <v>2540.0749999999998</v>
      </c>
      <c r="N647" s="116">
        <v>2597.5</v>
      </c>
      <c r="O647" s="116">
        <v>2530</v>
      </c>
      <c r="P647" s="116">
        <v>2582.4499999999998</v>
      </c>
      <c r="Q647" s="116">
        <v>5080.1499999999996</v>
      </c>
      <c r="R647">
        <v>117853</v>
      </c>
    </row>
    <row r="648" spans="1:18" x14ac:dyDescent="0.25">
      <c r="A648" s="170">
        <v>44599</v>
      </c>
      <c r="B648" s="116">
        <v>2576.1</v>
      </c>
      <c r="C648" s="116">
        <v>2519.5500000000002</v>
      </c>
      <c r="D648" s="116">
        <v>2497.5250000000001</v>
      </c>
      <c r="E648" s="116">
        <v>2542.5</v>
      </c>
      <c r="F648" s="116">
        <v>5039.1000000000004</v>
      </c>
      <c r="G648">
        <v>28449</v>
      </c>
      <c r="H648" s="116"/>
      <c r="I648" s="116"/>
      <c r="L648" s="170">
        <v>44599</v>
      </c>
      <c r="M648" s="116">
        <v>2518.6750000000002</v>
      </c>
      <c r="N648" s="116">
        <v>2569.9749999999999</v>
      </c>
      <c r="O648" s="116">
        <v>2495</v>
      </c>
      <c r="P648" s="116">
        <v>2548.5</v>
      </c>
      <c r="Q648" s="116">
        <v>5037.3500000000004</v>
      </c>
      <c r="R648">
        <v>134552</v>
      </c>
    </row>
    <row r="649" spans="1:18" x14ac:dyDescent="0.25">
      <c r="A649" s="170">
        <v>44600</v>
      </c>
      <c r="B649" s="116">
        <v>2559.5</v>
      </c>
      <c r="C649" s="116">
        <v>2502</v>
      </c>
      <c r="D649" s="116">
        <v>2495.6750000000002</v>
      </c>
      <c r="E649" s="116">
        <v>2522.5</v>
      </c>
      <c r="F649" s="116">
        <v>5004</v>
      </c>
      <c r="G649">
        <v>17466</v>
      </c>
      <c r="H649" s="116"/>
      <c r="I649" s="116"/>
      <c r="L649" s="170">
        <v>44600</v>
      </c>
      <c r="M649" s="116">
        <v>2501.3000000000002</v>
      </c>
      <c r="N649" s="116">
        <v>2562.5</v>
      </c>
      <c r="O649" s="116">
        <v>2495.8249999999998</v>
      </c>
      <c r="P649" s="116">
        <v>2527</v>
      </c>
      <c r="Q649" s="116">
        <v>5002.6000000000004</v>
      </c>
      <c r="R649">
        <v>122836</v>
      </c>
    </row>
    <row r="650" spans="1:18" x14ac:dyDescent="0.25">
      <c r="A650" s="170">
        <v>44601</v>
      </c>
      <c r="B650" s="116">
        <v>2625.625</v>
      </c>
      <c r="C650" s="116">
        <v>2561.3000000000002</v>
      </c>
      <c r="D650" s="116">
        <v>2503</v>
      </c>
      <c r="E650" s="116">
        <v>2503</v>
      </c>
      <c r="F650" s="116">
        <v>5122.6000000000004</v>
      </c>
      <c r="G650">
        <v>22505</v>
      </c>
      <c r="H650" s="116"/>
      <c r="I650" s="116"/>
      <c r="L650" s="170">
        <v>44601</v>
      </c>
      <c r="M650" s="116">
        <v>2562.4250000000002</v>
      </c>
      <c r="N650" s="116">
        <v>2626.3249999999998</v>
      </c>
      <c r="O650" s="116">
        <v>2516.2750000000001</v>
      </c>
      <c r="P650" s="116">
        <v>2524.1999999999998</v>
      </c>
      <c r="Q650" s="116">
        <v>5124.8500000000004</v>
      </c>
      <c r="R650">
        <v>195175</v>
      </c>
    </row>
    <row r="651" spans="1:18" x14ac:dyDescent="0.25">
      <c r="A651" s="170">
        <v>44602</v>
      </c>
      <c r="B651" s="116">
        <v>2618.5250000000001</v>
      </c>
      <c r="C651" s="116">
        <v>2572.0250000000001</v>
      </c>
      <c r="D651" s="116">
        <v>2518.5749999999998</v>
      </c>
      <c r="E651" s="116">
        <v>2587.4499999999998</v>
      </c>
      <c r="F651" s="116">
        <v>5144.05</v>
      </c>
      <c r="G651">
        <v>13196</v>
      </c>
      <c r="H651" s="116"/>
      <c r="I651" s="116"/>
      <c r="L651" s="170">
        <v>44602</v>
      </c>
      <c r="M651" s="116">
        <v>2569.5</v>
      </c>
      <c r="N651" s="116">
        <v>2624.95</v>
      </c>
      <c r="O651" s="116">
        <v>2517.6999999999998</v>
      </c>
      <c r="P651" s="116">
        <v>2565</v>
      </c>
      <c r="Q651" s="116">
        <v>5139</v>
      </c>
      <c r="R651">
        <v>109870</v>
      </c>
    </row>
    <row r="652" spans="1:18" x14ac:dyDescent="0.25">
      <c r="A652" s="170">
        <v>44603</v>
      </c>
      <c r="B652" s="116">
        <v>2549.85</v>
      </c>
      <c r="C652" s="116">
        <v>2521.875</v>
      </c>
      <c r="D652" s="116">
        <v>2497.5</v>
      </c>
      <c r="E652" s="116">
        <v>2536</v>
      </c>
      <c r="F652" s="116">
        <v>5043.75</v>
      </c>
      <c r="G652">
        <v>14976</v>
      </c>
      <c r="H652" s="116"/>
      <c r="I652" s="116"/>
      <c r="L652" s="170">
        <v>44603</v>
      </c>
      <c r="M652" s="116">
        <v>2523</v>
      </c>
      <c r="N652" s="116">
        <v>2549.9499999999998</v>
      </c>
      <c r="O652" s="116">
        <v>2496.4499999999998</v>
      </c>
      <c r="P652" s="116">
        <v>2530.0250000000001</v>
      </c>
      <c r="Q652" s="116">
        <v>5046</v>
      </c>
      <c r="R652">
        <v>146303</v>
      </c>
    </row>
    <row r="653" spans="1:18" x14ac:dyDescent="0.25">
      <c r="A653" s="170">
        <v>44606</v>
      </c>
      <c r="B653" s="116">
        <v>2547.15</v>
      </c>
      <c r="C653" s="116">
        <v>2504.85</v>
      </c>
      <c r="D653" s="116">
        <v>2399.9749999999999</v>
      </c>
      <c r="E653" s="116">
        <v>2400</v>
      </c>
      <c r="F653" s="116">
        <v>5009.7</v>
      </c>
      <c r="G653">
        <v>12375</v>
      </c>
      <c r="H653" s="116"/>
      <c r="I653" s="116"/>
      <c r="L653" s="170">
        <v>44606</v>
      </c>
      <c r="M653" s="116">
        <v>2511.85</v>
      </c>
      <c r="N653" s="116">
        <v>2548.85</v>
      </c>
      <c r="O653" s="116">
        <v>2402.5</v>
      </c>
      <c r="P653" s="116">
        <v>2402.5</v>
      </c>
      <c r="Q653" s="116">
        <v>5023.7</v>
      </c>
      <c r="R653">
        <v>157808</v>
      </c>
    </row>
    <row r="654" spans="1:18" x14ac:dyDescent="0.25">
      <c r="A654" s="170">
        <v>44607</v>
      </c>
      <c r="B654" s="116">
        <v>2614.9749999999999</v>
      </c>
      <c r="C654" s="116">
        <v>2584.9749999999999</v>
      </c>
      <c r="D654" s="116">
        <v>2490.9250000000002</v>
      </c>
      <c r="E654" s="116">
        <v>2545</v>
      </c>
      <c r="F654" s="116">
        <v>5169.95</v>
      </c>
      <c r="G654">
        <v>10655</v>
      </c>
      <c r="H654" s="116"/>
      <c r="I654" s="116"/>
      <c r="L654" s="170">
        <v>44607</v>
      </c>
      <c r="M654" s="116">
        <v>2583.4499999999998</v>
      </c>
      <c r="N654" s="116">
        <v>2615</v>
      </c>
      <c r="O654" s="116">
        <v>2492.3000000000002</v>
      </c>
      <c r="P654" s="116">
        <v>2539</v>
      </c>
      <c r="Q654" s="116">
        <v>5166.8999999999996</v>
      </c>
      <c r="R654">
        <v>171040</v>
      </c>
    </row>
    <row r="655" spans="1:18" x14ac:dyDescent="0.25">
      <c r="A655" s="170">
        <v>44608</v>
      </c>
      <c r="B655" s="116">
        <v>2622.5</v>
      </c>
      <c r="C655" s="116">
        <v>2571.65</v>
      </c>
      <c r="D655" s="116">
        <v>2556.2249999999999</v>
      </c>
      <c r="E655" s="116">
        <v>2610.4</v>
      </c>
      <c r="F655" s="116">
        <v>5143.3</v>
      </c>
      <c r="G655">
        <v>7826</v>
      </c>
      <c r="H655" s="116"/>
      <c r="I655" s="116"/>
      <c r="L655" s="170">
        <v>44608</v>
      </c>
      <c r="M655" s="116">
        <v>2567.4499999999998</v>
      </c>
      <c r="N655" s="116">
        <v>2624.4</v>
      </c>
      <c r="O655" s="116">
        <v>2557.2750000000001</v>
      </c>
      <c r="P655" s="116">
        <v>2610</v>
      </c>
      <c r="Q655" s="116">
        <v>5134.8999999999996</v>
      </c>
      <c r="R655">
        <v>68329</v>
      </c>
    </row>
    <row r="656" spans="1:18" x14ac:dyDescent="0.25">
      <c r="A656" s="170">
        <v>44609</v>
      </c>
      <c r="B656" s="116">
        <v>2607.5</v>
      </c>
      <c r="C656" s="116">
        <v>2505.6999999999998</v>
      </c>
      <c r="D656" s="116">
        <v>2500</v>
      </c>
      <c r="E656" s="116">
        <v>2574.5</v>
      </c>
      <c r="F656" s="116">
        <v>5011.3999999999996</v>
      </c>
      <c r="G656">
        <v>10026</v>
      </c>
      <c r="H656" s="116"/>
      <c r="I656" s="116"/>
      <c r="L656" s="170">
        <v>44609</v>
      </c>
      <c r="M656" s="116">
        <v>2504.1750000000002</v>
      </c>
      <c r="N656" s="116">
        <v>2609</v>
      </c>
      <c r="O656" s="116">
        <v>2499.0749999999998</v>
      </c>
      <c r="P656" s="116">
        <v>2582.5</v>
      </c>
      <c r="Q656" s="116">
        <v>5008.3500000000004</v>
      </c>
      <c r="R656">
        <v>88561</v>
      </c>
    </row>
    <row r="657" spans="1:18" x14ac:dyDescent="0.25">
      <c r="A657" s="170">
        <v>44610</v>
      </c>
      <c r="B657" s="116">
        <v>2519.9499999999998</v>
      </c>
      <c r="C657" s="116">
        <v>2418.15</v>
      </c>
      <c r="D657" s="116">
        <v>2405.5500000000002</v>
      </c>
      <c r="E657" s="116">
        <v>2505</v>
      </c>
      <c r="F657" s="116">
        <v>4836.3</v>
      </c>
      <c r="G657">
        <v>14890</v>
      </c>
      <c r="H657" s="116"/>
      <c r="I657" s="116"/>
      <c r="L657" s="170">
        <v>44610</v>
      </c>
      <c r="M657" s="116">
        <v>2417.5250000000001</v>
      </c>
      <c r="N657" s="116">
        <v>2525</v>
      </c>
      <c r="O657" s="116">
        <v>2405.0749999999998</v>
      </c>
      <c r="P657" s="116">
        <v>2481.4</v>
      </c>
      <c r="Q657" s="116">
        <v>4835.05</v>
      </c>
      <c r="R657">
        <v>236144</v>
      </c>
    </row>
    <row r="658" spans="1:18" x14ac:dyDescent="0.25">
      <c r="A658" s="170">
        <v>44613</v>
      </c>
      <c r="B658" s="116">
        <v>2488.15</v>
      </c>
      <c r="C658" s="116">
        <v>2383.1999999999998</v>
      </c>
      <c r="D658" s="116">
        <v>2320</v>
      </c>
      <c r="E658" s="116">
        <v>2400.5</v>
      </c>
      <c r="F658" s="116">
        <v>4766.3999999999996</v>
      </c>
      <c r="G658">
        <v>39760</v>
      </c>
      <c r="H658" s="116"/>
      <c r="I658" s="116"/>
      <c r="L658" s="170">
        <v>44613</v>
      </c>
      <c r="M658" s="116">
        <v>2378.35</v>
      </c>
      <c r="N658" s="116">
        <v>2489.4250000000002</v>
      </c>
      <c r="O658" s="116">
        <v>2320</v>
      </c>
      <c r="P658" s="116">
        <v>2400</v>
      </c>
      <c r="Q658" s="116">
        <v>4756.7</v>
      </c>
      <c r="R658">
        <v>268716</v>
      </c>
    </row>
    <row r="659" spans="1:18" x14ac:dyDescent="0.25">
      <c r="A659" s="170">
        <v>44614</v>
      </c>
      <c r="B659" s="116">
        <v>2420</v>
      </c>
      <c r="C659" s="116">
        <v>2394.9</v>
      </c>
      <c r="D659" s="116">
        <v>2275.6</v>
      </c>
      <c r="E659" s="116">
        <v>2372.5</v>
      </c>
      <c r="F659" s="116">
        <v>4789.8</v>
      </c>
      <c r="G659">
        <v>25832</v>
      </c>
      <c r="H659" s="116"/>
      <c r="I659" s="116"/>
      <c r="L659" s="170">
        <v>44614</v>
      </c>
      <c r="M659" s="116">
        <v>2395.3249999999998</v>
      </c>
      <c r="N659" s="116">
        <v>2422</v>
      </c>
      <c r="O659" s="116">
        <v>2277.5</v>
      </c>
      <c r="P659" s="116">
        <v>2340</v>
      </c>
      <c r="Q659" s="116">
        <v>4790.6499999999996</v>
      </c>
      <c r="R659">
        <v>151483</v>
      </c>
    </row>
    <row r="660" spans="1:18" x14ac:dyDescent="0.25">
      <c r="A660" s="170">
        <v>44615</v>
      </c>
      <c r="B660" s="116">
        <v>2488.9250000000002</v>
      </c>
      <c r="C660" s="116">
        <v>2410.2750000000001</v>
      </c>
      <c r="D660" s="116">
        <v>2396.375</v>
      </c>
      <c r="E660" s="116">
        <v>2402.5</v>
      </c>
      <c r="F660" s="116">
        <v>4820.55</v>
      </c>
      <c r="G660">
        <v>8869</v>
      </c>
      <c r="H660" s="116"/>
      <c r="I660" s="116"/>
      <c r="L660" s="170">
        <v>44615</v>
      </c>
      <c r="M660" s="116">
        <v>2411.0500000000002</v>
      </c>
      <c r="N660" s="116">
        <v>2489</v>
      </c>
      <c r="O660" s="116">
        <v>2395.5250000000001</v>
      </c>
      <c r="P660" s="116">
        <v>2433.85</v>
      </c>
      <c r="Q660" s="116">
        <v>4822.1000000000004</v>
      </c>
      <c r="R660">
        <v>154752</v>
      </c>
    </row>
    <row r="661" spans="1:18" x14ac:dyDescent="0.25">
      <c r="A661" s="170">
        <v>44616</v>
      </c>
      <c r="B661" s="116">
        <v>2475</v>
      </c>
      <c r="C661" s="116">
        <v>2387.6</v>
      </c>
      <c r="D661" s="116">
        <v>2301.875</v>
      </c>
      <c r="E661" s="116">
        <v>2350.0250000000001</v>
      </c>
      <c r="F661" s="116">
        <v>4775.2</v>
      </c>
      <c r="G661">
        <v>14730</v>
      </c>
      <c r="H661" s="116"/>
      <c r="I661" s="116"/>
      <c r="L661" s="170">
        <v>44616</v>
      </c>
      <c r="M661" s="116">
        <v>2397.3000000000002</v>
      </c>
      <c r="N661" s="116">
        <v>2475</v>
      </c>
      <c r="O661" s="116">
        <v>2302.5</v>
      </c>
      <c r="P661" s="116">
        <v>2349.9749999999999</v>
      </c>
      <c r="Q661" s="116">
        <v>4794.6000000000004</v>
      </c>
      <c r="R661">
        <v>199016</v>
      </c>
    </row>
    <row r="662" spans="1:18" x14ac:dyDescent="0.25">
      <c r="A662" s="170">
        <v>44617</v>
      </c>
      <c r="B662" s="116">
        <v>2455</v>
      </c>
      <c r="C662" s="116">
        <v>2428.75</v>
      </c>
      <c r="D662" s="116">
        <v>2384.1</v>
      </c>
      <c r="E662" s="116">
        <v>2450</v>
      </c>
      <c r="F662" s="116">
        <v>4857.5</v>
      </c>
      <c r="G662">
        <v>12083</v>
      </c>
      <c r="H662" s="116"/>
      <c r="I662" s="116"/>
      <c r="L662" s="170">
        <v>44617</v>
      </c>
      <c r="M662" s="116">
        <v>2432.65</v>
      </c>
      <c r="N662" s="116">
        <v>2459.75</v>
      </c>
      <c r="O662" s="116">
        <v>2382</v>
      </c>
      <c r="P662" s="116">
        <v>2436.7249999999999</v>
      </c>
      <c r="Q662" s="116">
        <v>4865.3</v>
      </c>
      <c r="R662">
        <v>231258</v>
      </c>
    </row>
    <row r="663" spans="1:18" x14ac:dyDescent="0.25">
      <c r="A663" s="170">
        <v>44620</v>
      </c>
      <c r="B663" s="116">
        <v>2428.75</v>
      </c>
      <c r="C663" s="116">
        <v>2386.25</v>
      </c>
      <c r="D663" s="116">
        <v>2371.6</v>
      </c>
      <c r="E663" s="116">
        <v>2428.75</v>
      </c>
      <c r="F663" s="116">
        <v>4772.5</v>
      </c>
      <c r="G663">
        <v>5004</v>
      </c>
      <c r="H663" s="116"/>
      <c r="I663" s="116"/>
      <c r="L663" s="170">
        <v>44620</v>
      </c>
      <c r="M663" s="116">
        <v>2387.0250000000001</v>
      </c>
      <c r="N663" s="116">
        <v>2424.5</v>
      </c>
      <c r="O663" s="116">
        <v>2370.0500000000002</v>
      </c>
      <c r="P663" s="116">
        <v>2423</v>
      </c>
      <c r="Q663" s="116">
        <v>4774.05</v>
      </c>
      <c r="R663">
        <v>123299</v>
      </c>
    </row>
    <row r="664" spans="1:18" x14ac:dyDescent="0.25">
      <c r="A664" s="170">
        <v>44622</v>
      </c>
      <c r="B664" s="116">
        <v>2439.875</v>
      </c>
      <c r="C664" s="116">
        <v>2373.625</v>
      </c>
      <c r="D664" s="116">
        <v>2345</v>
      </c>
      <c r="E664" s="116">
        <v>2386.9499999999998</v>
      </c>
      <c r="F664" s="116">
        <v>4747.25</v>
      </c>
      <c r="G664">
        <v>10631</v>
      </c>
      <c r="H664" s="116"/>
      <c r="I664" s="116"/>
      <c r="L664" s="170">
        <v>44622</v>
      </c>
      <c r="M664" s="116">
        <v>2370.7750000000001</v>
      </c>
      <c r="N664" s="116">
        <v>2440</v>
      </c>
      <c r="O664" s="116">
        <v>2343.0749999999998</v>
      </c>
      <c r="P664" s="116">
        <v>2374.5</v>
      </c>
      <c r="Q664" s="116">
        <v>4741.55</v>
      </c>
      <c r="R664">
        <v>122816</v>
      </c>
    </row>
    <row r="665" spans="1:18" x14ac:dyDescent="0.25">
      <c r="A665" s="170">
        <v>44623</v>
      </c>
      <c r="B665" s="116">
        <v>2414.9749999999999</v>
      </c>
      <c r="C665" s="116">
        <v>2279.0749999999998</v>
      </c>
      <c r="D665" s="116">
        <v>2251.85</v>
      </c>
      <c r="E665" s="116">
        <v>2408.65</v>
      </c>
      <c r="F665" s="116">
        <v>4558.1499999999996</v>
      </c>
      <c r="G665">
        <v>10118</v>
      </c>
      <c r="H665" s="116"/>
      <c r="I665" s="116"/>
      <c r="L665" s="170">
        <v>44623</v>
      </c>
      <c r="M665" s="116">
        <v>2273.5250000000001</v>
      </c>
      <c r="N665" s="116">
        <v>2415</v>
      </c>
      <c r="O665" s="116">
        <v>2250.5749999999998</v>
      </c>
      <c r="P665" s="116">
        <v>2407.4499999999998</v>
      </c>
      <c r="Q665" s="116">
        <v>4547.05</v>
      </c>
      <c r="R665">
        <v>146651</v>
      </c>
    </row>
    <row r="666" spans="1:18" x14ac:dyDescent="0.25">
      <c r="A666" s="170">
        <v>44624</v>
      </c>
      <c r="B666" s="116">
        <v>2260.4499999999998</v>
      </c>
      <c r="C666" s="116">
        <v>2201.375</v>
      </c>
      <c r="D666" s="116">
        <v>2190.0250000000001</v>
      </c>
      <c r="E666" s="116">
        <v>2250</v>
      </c>
      <c r="F666" s="116">
        <v>4402.75</v>
      </c>
      <c r="G666">
        <v>16762</v>
      </c>
      <c r="H666" s="116"/>
      <c r="I666" s="116"/>
      <c r="L666" s="170">
        <v>44624</v>
      </c>
      <c r="M666" s="116">
        <v>2203.25</v>
      </c>
      <c r="N666" s="116">
        <v>2264.125</v>
      </c>
      <c r="O666" s="116">
        <v>2190</v>
      </c>
      <c r="P666" s="116">
        <v>2248.4499999999998</v>
      </c>
      <c r="Q666" s="116">
        <v>4406.5</v>
      </c>
      <c r="R666">
        <v>154141</v>
      </c>
    </row>
    <row r="667" spans="1:18" x14ac:dyDescent="0.25">
      <c r="A667" s="170">
        <v>44627</v>
      </c>
      <c r="B667" s="116">
        <v>2189.4499999999998</v>
      </c>
      <c r="C667" s="116">
        <v>2015.875</v>
      </c>
      <c r="D667" s="116">
        <v>2005</v>
      </c>
      <c r="E667" s="116">
        <v>2189.4499999999998</v>
      </c>
      <c r="F667" s="116">
        <v>4031.75</v>
      </c>
      <c r="G667">
        <v>18244</v>
      </c>
      <c r="H667" s="116"/>
      <c r="I667" s="116"/>
      <c r="L667" s="170">
        <v>44627</v>
      </c>
      <c r="M667" s="116">
        <v>2016.9</v>
      </c>
      <c r="N667" s="116">
        <v>2160</v>
      </c>
      <c r="O667" s="116">
        <v>2003.95</v>
      </c>
      <c r="P667" s="116">
        <v>2160</v>
      </c>
      <c r="Q667" s="116">
        <v>4033.8</v>
      </c>
      <c r="R667">
        <v>276327</v>
      </c>
    </row>
    <row r="668" spans="1:18" x14ac:dyDescent="0.25">
      <c r="A668" s="170">
        <v>44628</v>
      </c>
      <c r="B668" s="116">
        <v>2093.1999999999998</v>
      </c>
      <c r="C668" s="116">
        <v>2039.7</v>
      </c>
      <c r="D668" s="116">
        <v>1982.675</v>
      </c>
      <c r="E668" s="116">
        <v>2045</v>
      </c>
      <c r="F668" s="116">
        <v>4079.4</v>
      </c>
      <c r="G668">
        <v>16117</v>
      </c>
      <c r="H668" s="116"/>
      <c r="I668" s="116"/>
      <c r="L668" s="170">
        <v>44628</v>
      </c>
      <c r="M668" s="116">
        <v>2040.875</v>
      </c>
      <c r="N668" s="116">
        <v>2094.5</v>
      </c>
      <c r="O668" s="116">
        <v>1980</v>
      </c>
      <c r="P668" s="116">
        <v>2040</v>
      </c>
      <c r="Q668" s="116">
        <v>4081.75</v>
      </c>
      <c r="R668">
        <v>267610</v>
      </c>
    </row>
    <row r="669" spans="1:18" x14ac:dyDescent="0.25">
      <c r="A669" s="170">
        <v>44629</v>
      </c>
      <c r="B669" s="116">
        <v>2155.9499999999998</v>
      </c>
      <c r="C669" s="116">
        <v>2144.5500000000002</v>
      </c>
      <c r="D669" s="116">
        <v>2055</v>
      </c>
      <c r="E669" s="116">
        <v>2084</v>
      </c>
      <c r="F669" s="116">
        <v>4289.1000000000004</v>
      </c>
      <c r="G669">
        <v>13478</v>
      </c>
      <c r="H669" s="116"/>
      <c r="I669" s="116"/>
      <c r="L669" s="170">
        <v>44629</v>
      </c>
      <c r="M669" s="116">
        <v>2143.2249999999999</v>
      </c>
      <c r="N669" s="116">
        <v>2157.5</v>
      </c>
      <c r="O669" s="116">
        <v>2052</v>
      </c>
      <c r="P669" s="116">
        <v>2079.1999999999998</v>
      </c>
      <c r="Q669" s="116">
        <v>4286.45</v>
      </c>
      <c r="R669">
        <v>269091</v>
      </c>
    </row>
    <row r="670" spans="1:18" x14ac:dyDescent="0.25">
      <c r="A670" s="170">
        <v>44630</v>
      </c>
      <c r="B670" s="116">
        <v>2260.5</v>
      </c>
      <c r="C670" s="116">
        <v>2251.0749999999998</v>
      </c>
      <c r="D670" s="116">
        <v>2210.4499999999998</v>
      </c>
      <c r="E670" s="116">
        <v>2244.5</v>
      </c>
      <c r="F670" s="116">
        <v>4502.1499999999996</v>
      </c>
      <c r="G670">
        <v>17799</v>
      </c>
      <c r="H670" s="116"/>
      <c r="I670" s="116"/>
      <c r="L670" s="170">
        <v>44630</v>
      </c>
      <c r="M670" s="116">
        <v>2250.4</v>
      </c>
      <c r="N670" s="116">
        <v>2260.5</v>
      </c>
      <c r="O670" s="116">
        <v>2200.0250000000001</v>
      </c>
      <c r="P670" s="116">
        <v>2229.4250000000002</v>
      </c>
      <c r="Q670" s="116">
        <v>4500.8</v>
      </c>
      <c r="R670">
        <v>216674</v>
      </c>
    </row>
    <row r="671" spans="1:18" x14ac:dyDescent="0.25">
      <c r="A671" s="170">
        <v>44631</v>
      </c>
      <c r="B671" s="116">
        <v>2294.25</v>
      </c>
      <c r="C671" s="116">
        <v>2237.3000000000002</v>
      </c>
      <c r="D671" s="116">
        <v>2200.0500000000002</v>
      </c>
      <c r="E671" s="116">
        <v>2235.5</v>
      </c>
      <c r="F671" s="116">
        <v>4474.6000000000004</v>
      </c>
      <c r="G671">
        <v>11199</v>
      </c>
      <c r="H671" s="116"/>
      <c r="I671" s="116"/>
      <c r="L671" s="170">
        <v>44631</v>
      </c>
      <c r="M671" s="116">
        <v>2238.6999999999998</v>
      </c>
      <c r="N671" s="116">
        <v>2294.35</v>
      </c>
      <c r="O671" s="116">
        <v>2225</v>
      </c>
      <c r="P671" s="116">
        <v>2250</v>
      </c>
      <c r="Q671" s="116">
        <v>4477.3999999999996</v>
      </c>
      <c r="R671">
        <v>150349</v>
      </c>
    </row>
    <row r="672" spans="1:18" x14ac:dyDescent="0.25">
      <c r="A672" s="170">
        <v>44634</v>
      </c>
      <c r="B672" s="116">
        <v>2267.0250000000001</v>
      </c>
      <c r="C672" s="116">
        <v>2207.125</v>
      </c>
      <c r="D672" s="116">
        <v>2200.5500000000002</v>
      </c>
      <c r="E672" s="116">
        <v>2225</v>
      </c>
      <c r="F672" s="116">
        <v>4414.25</v>
      </c>
      <c r="G672">
        <v>5424</v>
      </c>
      <c r="H672" s="116"/>
      <c r="I672" s="116"/>
      <c r="L672" s="170">
        <v>44634</v>
      </c>
      <c r="M672" s="116">
        <v>2206.7750000000001</v>
      </c>
      <c r="N672" s="116">
        <v>2274.9250000000002</v>
      </c>
      <c r="O672" s="116">
        <v>2200</v>
      </c>
      <c r="P672" s="116">
        <v>2238.5</v>
      </c>
      <c r="Q672" s="116">
        <v>4413.55</v>
      </c>
      <c r="R672">
        <v>119317</v>
      </c>
    </row>
    <row r="673" spans="1:18" x14ac:dyDescent="0.25">
      <c r="A673" s="170">
        <v>44635</v>
      </c>
      <c r="B673" s="116">
        <v>2274.625</v>
      </c>
      <c r="C673" s="116">
        <v>2176.5749999999998</v>
      </c>
      <c r="D673" s="116">
        <v>2163.2750000000001</v>
      </c>
      <c r="E673" s="116">
        <v>2237.5</v>
      </c>
      <c r="F673" s="116">
        <v>4353.1499999999996</v>
      </c>
      <c r="G673">
        <v>14219</v>
      </c>
      <c r="H673" s="116"/>
      <c r="I673" s="116"/>
      <c r="L673" s="170">
        <v>44635</v>
      </c>
      <c r="M673" s="116">
        <v>2175.9250000000002</v>
      </c>
      <c r="N673" s="116">
        <v>2275</v>
      </c>
      <c r="O673" s="116">
        <v>2167.875</v>
      </c>
      <c r="P673" s="116">
        <v>2222.0500000000002</v>
      </c>
      <c r="Q673" s="116">
        <v>4351.8500000000004</v>
      </c>
      <c r="R673">
        <v>129780</v>
      </c>
    </row>
    <row r="674" spans="1:18" x14ac:dyDescent="0.25">
      <c r="A674" s="170">
        <v>44636</v>
      </c>
      <c r="B674" s="116">
        <v>2260.5</v>
      </c>
      <c r="C674" s="116">
        <v>2232.1750000000002</v>
      </c>
      <c r="D674" s="116">
        <v>2184.875</v>
      </c>
      <c r="E674" s="116">
        <v>2200</v>
      </c>
      <c r="F674" s="116">
        <v>4464.3500000000004</v>
      </c>
      <c r="G674">
        <v>13033</v>
      </c>
      <c r="H674" s="116"/>
      <c r="I674" s="116"/>
      <c r="L674" s="170">
        <v>44636</v>
      </c>
      <c r="M674" s="116">
        <v>2232.3000000000002</v>
      </c>
      <c r="N674" s="116">
        <v>2261.8000000000002</v>
      </c>
      <c r="O674" s="116">
        <v>2183.0250000000001</v>
      </c>
      <c r="P674" s="116">
        <v>2207.1999999999998</v>
      </c>
      <c r="Q674" s="116">
        <v>4464.6000000000004</v>
      </c>
      <c r="R674">
        <v>123918</v>
      </c>
    </row>
    <row r="675" spans="1:18" x14ac:dyDescent="0.25">
      <c r="A675" s="170">
        <v>44637</v>
      </c>
      <c r="B675" s="116">
        <v>2307.4250000000002</v>
      </c>
      <c r="C675" s="116">
        <v>2247.1750000000002</v>
      </c>
      <c r="D675" s="116">
        <v>2231.6750000000002</v>
      </c>
      <c r="E675" s="116">
        <v>2252.6</v>
      </c>
      <c r="F675" s="116">
        <v>4494.3500000000004</v>
      </c>
      <c r="G675">
        <v>6617</v>
      </c>
      <c r="H675" s="116"/>
      <c r="I675" s="116"/>
      <c r="L675" s="170">
        <v>44637</v>
      </c>
      <c r="M675" s="116">
        <v>2247.3000000000002</v>
      </c>
      <c r="N675" s="116">
        <v>2307.5</v>
      </c>
      <c r="O675" s="116">
        <v>2232.5500000000002</v>
      </c>
      <c r="P675" s="116">
        <v>2275.0250000000001</v>
      </c>
      <c r="Q675" s="116">
        <v>4494.6000000000004</v>
      </c>
      <c r="R675">
        <v>141303</v>
      </c>
    </row>
    <row r="676" spans="1:18" x14ac:dyDescent="0.25">
      <c r="A676" s="170">
        <v>44641</v>
      </c>
      <c r="B676" s="116">
        <v>2290.9250000000002</v>
      </c>
      <c r="C676" s="116">
        <v>2215.65</v>
      </c>
      <c r="D676" s="116">
        <v>2204.9499999999998</v>
      </c>
      <c r="E676" s="116">
        <v>2262.5</v>
      </c>
      <c r="F676" s="116">
        <v>4431.3</v>
      </c>
      <c r="G676">
        <v>4534</v>
      </c>
      <c r="H676" s="116"/>
      <c r="I676" s="116"/>
      <c r="L676" s="170">
        <v>44641</v>
      </c>
      <c r="M676" s="116">
        <v>2215.5</v>
      </c>
      <c r="N676" s="116">
        <v>2292.0250000000001</v>
      </c>
      <c r="O676" s="116">
        <v>2203.5250000000001</v>
      </c>
      <c r="P676" s="116">
        <v>2275</v>
      </c>
      <c r="Q676" s="116">
        <v>4431</v>
      </c>
      <c r="R676">
        <v>96471</v>
      </c>
    </row>
    <row r="677" spans="1:18" x14ac:dyDescent="0.25">
      <c r="A677" s="170">
        <v>44642</v>
      </c>
      <c r="B677" s="116">
        <v>2255.15</v>
      </c>
      <c r="C677" s="116">
        <v>2240.9</v>
      </c>
      <c r="D677" s="116">
        <v>2175</v>
      </c>
      <c r="E677" s="116">
        <v>2215.5</v>
      </c>
      <c r="F677" s="116">
        <v>4481.8</v>
      </c>
      <c r="G677">
        <v>10550</v>
      </c>
      <c r="H677" s="116"/>
      <c r="I677" s="116"/>
      <c r="L677" s="170">
        <v>44642</v>
      </c>
      <c r="M677" s="116">
        <v>2242.5</v>
      </c>
      <c r="N677" s="116">
        <v>2255</v>
      </c>
      <c r="O677" s="116">
        <v>2175</v>
      </c>
      <c r="P677" s="116">
        <v>2219.9499999999998</v>
      </c>
      <c r="Q677" s="116">
        <v>4485</v>
      </c>
      <c r="R677">
        <v>96545</v>
      </c>
    </row>
    <row r="678" spans="1:18" x14ac:dyDescent="0.25">
      <c r="A678" s="170">
        <v>44643</v>
      </c>
      <c r="B678" s="116">
        <v>2291.7249999999999</v>
      </c>
      <c r="C678" s="116">
        <v>2244.9</v>
      </c>
      <c r="D678" s="116">
        <v>2236.85</v>
      </c>
      <c r="E678" s="116">
        <v>2246.5</v>
      </c>
      <c r="F678" s="116">
        <v>4489.8</v>
      </c>
      <c r="G678">
        <v>4503</v>
      </c>
      <c r="H678" s="116"/>
      <c r="I678" s="116"/>
      <c r="L678" s="170">
        <v>44643</v>
      </c>
      <c r="M678" s="116">
        <v>2243.875</v>
      </c>
      <c r="N678" s="116">
        <v>2292.5</v>
      </c>
      <c r="O678" s="116">
        <v>2225</v>
      </c>
      <c r="P678" s="116">
        <v>2251</v>
      </c>
      <c r="Q678" s="116">
        <v>4487.75</v>
      </c>
      <c r="R678">
        <v>99209</v>
      </c>
    </row>
    <row r="679" spans="1:18" x14ac:dyDescent="0.25">
      <c r="A679" s="170">
        <v>44644</v>
      </c>
      <c r="B679" s="116">
        <v>2269.4749999999999</v>
      </c>
      <c r="C679" s="116">
        <v>2252.25</v>
      </c>
      <c r="D679" s="116">
        <v>2225</v>
      </c>
      <c r="E679" s="116">
        <v>2225</v>
      </c>
      <c r="F679" s="116">
        <v>4504.5</v>
      </c>
      <c r="G679">
        <v>9014</v>
      </c>
      <c r="H679" s="116"/>
      <c r="I679" s="116"/>
      <c r="L679" s="170">
        <v>44644</v>
      </c>
      <c r="M679" s="116">
        <v>2254</v>
      </c>
      <c r="N679" s="116">
        <v>2271</v>
      </c>
      <c r="O679" s="116">
        <v>2228.0250000000001</v>
      </c>
      <c r="P679" s="116">
        <v>2232.5</v>
      </c>
      <c r="Q679" s="116">
        <v>4508</v>
      </c>
      <c r="R679">
        <v>59943</v>
      </c>
    </row>
    <row r="680" spans="1:18" x14ac:dyDescent="0.25">
      <c r="A680" s="170">
        <v>44645</v>
      </c>
      <c r="B680" s="116">
        <v>2320</v>
      </c>
      <c r="C680" s="116">
        <v>2228.0749999999998</v>
      </c>
      <c r="D680" s="116">
        <v>2217.5</v>
      </c>
      <c r="E680" s="116">
        <v>2252.25</v>
      </c>
      <c r="F680" s="116">
        <v>4456.1499999999996</v>
      </c>
      <c r="G680">
        <v>6771</v>
      </c>
      <c r="H680" s="116"/>
      <c r="I680" s="116"/>
      <c r="L680" s="170">
        <v>44645</v>
      </c>
      <c r="M680" s="116">
        <v>2226.6999999999998</v>
      </c>
      <c r="N680" s="116">
        <v>2321.4749999999999</v>
      </c>
      <c r="O680" s="116">
        <v>2215.1</v>
      </c>
      <c r="P680" s="116">
        <v>2272.5</v>
      </c>
      <c r="Q680" s="116">
        <v>4453.3999999999996</v>
      </c>
      <c r="R680">
        <v>147180</v>
      </c>
    </row>
    <row r="681" spans="1:18" x14ac:dyDescent="0.25">
      <c r="A681" s="170">
        <v>44648</v>
      </c>
      <c r="B681" s="116">
        <v>2250.35</v>
      </c>
      <c r="C681" s="116">
        <v>2186.625</v>
      </c>
      <c r="D681" s="116">
        <v>2167.8249999999998</v>
      </c>
      <c r="E681" s="116">
        <v>2233.5</v>
      </c>
      <c r="F681" s="116">
        <v>4373.25</v>
      </c>
      <c r="G681">
        <v>17266</v>
      </c>
      <c r="H681" s="116"/>
      <c r="I681" s="116"/>
      <c r="L681" s="170">
        <v>44648</v>
      </c>
      <c r="M681" s="116">
        <v>2186.7249999999999</v>
      </c>
      <c r="N681" s="116">
        <v>2250.9250000000002</v>
      </c>
      <c r="O681" s="116">
        <v>2166.1</v>
      </c>
      <c r="P681" s="116">
        <v>2244.9499999999998</v>
      </c>
      <c r="Q681" s="116">
        <v>4373.45</v>
      </c>
      <c r="R681">
        <v>82742</v>
      </c>
    </row>
    <row r="682" spans="1:18" x14ac:dyDescent="0.25">
      <c r="A682" s="170">
        <v>44649</v>
      </c>
      <c r="B682" s="116">
        <v>2206.6999999999998</v>
      </c>
      <c r="C682" s="116">
        <v>2151.35</v>
      </c>
      <c r="D682" s="116">
        <v>2141.4250000000002</v>
      </c>
      <c r="E682" s="116">
        <v>2179.5</v>
      </c>
      <c r="F682" s="116">
        <v>4302.7</v>
      </c>
      <c r="G682">
        <v>7506</v>
      </c>
      <c r="H682" s="116"/>
      <c r="I682" s="116"/>
      <c r="L682" s="170">
        <v>44649</v>
      </c>
      <c r="M682" s="116">
        <v>2151.1999999999998</v>
      </c>
      <c r="N682" s="116">
        <v>2203.75</v>
      </c>
      <c r="O682" s="116">
        <v>2142.5</v>
      </c>
      <c r="P682" s="116">
        <v>2177.5</v>
      </c>
      <c r="Q682" s="116">
        <v>4302.3999999999996</v>
      </c>
      <c r="R682">
        <v>112978</v>
      </c>
    </row>
    <row r="683" spans="1:18" x14ac:dyDescent="0.25">
      <c r="A683" s="170">
        <v>44650</v>
      </c>
      <c r="B683" s="116">
        <v>2224.65</v>
      </c>
      <c r="C683" s="116">
        <v>2208.2750000000001</v>
      </c>
      <c r="D683" s="116">
        <v>2155</v>
      </c>
      <c r="E683" s="116">
        <v>2155</v>
      </c>
      <c r="F683" s="116">
        <v>4416.55</v>
      </c>
      <c r="G683">
        <v>14963</v>
      </c>
      <c r="H683" s="116"/>
      <c r="I683" s="116"/>
      <c r="L683" s="170">
        <v>44650</v>
      </c>
      <c r="M683" s="116">
        <v>2208.1750000000002</v>
      </c>
      <c r="N683" s="116">
        <v>2224.75</v>
      </c>
      <c r="O683" s="116">
        <v>2160</v>
      </c>
      <c r="P683" s="116">
        <v>2164.4499999999998</v>
      </c>
      <c r="Q683" s="116">
        <v>4416.3500000000004</v>
      </c>
      <c r="R683">
        <v>123084</v>
      </c>
    </row>
    <row r="684" spans="1:18" x14ac:dyDescent="0.25">
      <c r="A684" s="170">
        <v>44651</v>
      </c>
      <c r="B684" s="116">
        <v>2245</v>
      </c>
      <c r="C684" s="116">
        <v>2161.6</v>
      </c>
      <c r="D684" s="116">
        <v>2154.4749999999999</v>
      </c>
      <c r="E684" s="116">
        <v>2220</v>
      </c>
      <c r="F684" s="116">
        <v>4323.2</v>
      </c>
      <c r="G684">
        <v>12620</v>
      </c>
      <c r="H684" s="116"/>
      <c r="I684" s="116"/>
      <c r="L684" s="170">
        <v>44651</v>
      </c>
      <c r="M684" s="116">
        <v>2161.3249999999998</v>
      </c>
      <c r="N684" s="116">
        <v>2244.9749999999999</v>
      </c>
      <c r="O684" s="116">
        <v>2155</v>
      </c>
      <c r="P684" s="116">
        <v>2220.0500000000002</v>
      </c>
      <c r="Q684" s="116">
        <v>4322.6499999999996</v>
      </c>
      <c r="R684">
        <v>97083</v>
      </c>
    </row>
    <row r="685" spans="1:18" x14ac:dyDescent="0.25">
      <c r="A685" s="170">
        <v>44652</v>
      </c>
      <c r="B685" s="116">
        <v>2250</v>
      </c>
      <c r="C685" s="116">
        <v>2233.5</v>
      </c>
      <c r="D685" s="116">
        <v>2164</v>
      </c>
      <c r="E685" s="116">
        <v>2175</v>
      </c>
      <c r="F685" s="116">
        <v>4467</v>
      </c>
      <c r="G685">
        <v>12631</v>
      </c>
      <c r="H685" s="116"/>
      <c r="I685" s="116"/>
      <c r="L685" s="170">
        <v>44652</v>
      </c>
      <c r="M685" s="116">
        <v>2225.625</v>
      </c>
      <c r="N685" s="116">
        <v>2249.5</v>
      </c>
      <c r="O685" s="116">
        <v>2165.625</v>
      </c>
      <c r="P685" s="116">
        <v>2178.4</v>
      </c>
      <c r="Q685" s="116">
        <v>4451.25</v>
      </c>
      <c r="R685">
        <v>107839</v>
      </c>
    </row>
    <row r="686" spans="1:18" x14ac:dyDescent="0.25">
      <c r="A686" s="170">
        <v>44655</v>
      </c>
      <c r="B686" s="116">
        <v>2445.75</v>
      </c>
      <c r="C686" s="116">
        <v>2414.4749999999999</v>
      </c>
      <c r="D686" s="116">
        <v>2234</v>
      </c>
      <c r="E686" s="116">
        <v>2234</v>
      </c>
      <c r="F686" s="116">
        <v>4828.95</v>
      </c>
      <c r="G686">
        <v>32271</v>
      </c>
      <c r="H686" s="116"/>
      <c r="I686" s="116"/>
      <c r="L686" s="170">
        <v>44655</v>
      </c>
      <c r="M686" s="116">
        <v>2410.9499999999998</v>
      </c>
      <c r="N686" s="116">
        <v>2445</v>
      </c>
      <c r="O686" s="116">
        <v>2240</v>
      </c>
      <c r="P686" s="116">
        <v>2249.5</v>
      </c>
      <c r="Q686" s="116">
        <v>4821.8999999999996</v>
      </c>
      <c r="R686">
        <v>331533</v>
      </c>
    </row>
    <row r="687" spans="1:18" x14ac:dyDescent="0.25">
      <c r="A687" s="170">
        <v>44656</v>
      </c>
      <c r="B687" s="116">
        <v>2569.3249999999998</v>
      </c>
      <c r="C687" s="116">
        <v>2537.15</v>
      </c>
      <c r="D687" s="116">
        <v>2442.5250000000001</v>
      </c>
      <c r="E687" s="116">
        <v>2442.5250000000001</v>
      </c>
      <c r="F687" s="116">
        <v>5074.3</v>
      </c>
      <c r="G687">
        <v>52325</v>
      </c>
      <c r="H687" s="116"/>
      <c r="I687" s="116"/>
      <c r="L687" s="170">
        <v>44656</v>
      </c>
      <c r="M687" s="116">
        <v>2534.6750000000002</v>
      </c>
      <c r="N687" s="116">
        <v>2570</v>
      </c>
      <c r="O687" s="116">
        <v>2446.2750000000001</v>
      </c>
      <c r="P687" s="116">
        <v>2479.5</v>
      </c>
      <c r="Q687" s="116">
        <v>5069.3500000000004</v>
      </c>
      <c r="R687">
        <v>687530</v>
      </c>
    </row>
    <row r="688" spans="1:18" x14ac:dyDescent="0.25">
      <c r="A688" s="170">
        <v>44657</v>
      </c>
      <c r="B688" s="116">
        <v>2596.4749999999999</v>
      </c>
      <c r="C688" s="116">
        <v>2499.35</v>
      </c>
      <c r="D688" s="116">
        <v>2487.1750000000002</v>
      </c>
      <c r="E688" s="116">
        <v>2537.5</v>
      </c>
      <c r="F688" s="116">
        <v>4998.7</v>
      </c>
      <c r="G688">
        <v>23723</v>
      </c>
      <c r="H688" s="116"/>
      <c r="I688" s="116"/>
      <c r="L688" s="170">
        <v>44657</v>
      </c>
      <c r="M688" s="116">
        <v>2498.25</v>
      </c>
      <c r="N688" s="116">
        <v>2597.8249999999998</v>
      </c>
      <c r="O688" s="116">
        <v>2484.5250000000001</v>
      </c>
      <c r="P688" s="116">
        <v>2534.9</v>
      </c>
      <c r="Q688" s="116">
        <v>4996.5</v>
      </c>
      <c r="R688">
        <v>318343</v>
      </c>
    </row>
    <row r="689" spans="1:18" x14ac:dyDescent="0.25">
      <c r="A689" s="170">
        <v>44658</v>
      </c>
      <c r="B689" s="116">
        <v>2517.7750000000001</v>
      </c>
      <c r="C689" s="116">
        <v>2426.5500000000002</v>
      </c>
      <c r="D689" s="116">
        <v>2416.0250000000001</v>
      </c>
      <c r="E689" s="116">
        <v>2495</v>
      </c>
      <c r="F689" s="116">
        <v>4853.1000000000004</v>
      </c>
      <c r="G689">
        <v>12501</v>
      </c>
      <c r="H689" s="116"/>
      <c r="I689" s="116"/>
      <c r="L689" s="170">
        <v>44658</v>
      </c>
      <c r="M689" s="116">
        <v>2426.0500000000002</v>
      </c>
      <c r="N689" s="116">
        <v>2517.9250000000002</v>
      </c>
      <c r="O689" s="116">
        <v>2414.1</v>
      </c>
      <c r="P689" s="116">
        <v>2495</v>
      </c>
      <c r="Q689" s="116">
        <v>4852.1000000000004</v>
      </c>
      <c r="R689">
        <v>168564</v>
      </c>
    </row>
    <row r="690" spans="1:18" x14ac:dyDescent="0.25">
      <c r="A690" s="170">
        <v>44659</v>
      </c>
      <c r="B690" s="116">
        <v>2480</v>
      </c>
      <c r="C690" s="116">
        <v>2463.4749999999999</v>
      </c>
      <c r="D690" s="116">
        <v>2427.5500000000002</v>
      </c>
      <c r="E690" s="116">
        <v>2427.5500000000002</v>
      </c>
      <c r="F690" s="116">
        <v>4926.95</v>
      </c>
      <c r="G690">
        <v>7749</v>
      </c>
      <c r="H690" s="116"/>
      <c r="I690" s="116"/>
      <c r="L690" s="170">
        <v>44659</v>
      </c>
      <c r="M690" s="116">
        <v>2462.25</v>
      </c>
      <c r="N690" s="116">
        <v>2481.9</v>
      </c>
      <c r="O690" s="116">
        <v>2432.6</v>
      </c>
      <c r="P690" s="116">
        <v>2446.0250000000001</v>
      </c>
      <c r="Q690" s="116">
        <v>4924.5</v>
      </c>
      <c r="R690">
        <v>99556</v>
      </c>
    </row>
    <row r="691" spans="1:18" x14ac:dyDescent="0.25">
      <c r="A691" s="170">
        <v>44662</v>
      </c>
      <c r="B691" s="116">
        <v>2623.7750000000001</v>
      </c>
      <c r="C691" s="116">
        <v>2536.0250000000001</v>
      </c>
      <c r="D691" s="116">
        <v>2466.9250000000002</v>
      </c>
      <c r="E691" s="116">
        <v>2495</v>
      </c>
      <c r="F691" s="116">
        <v>5072.05</v>
      </c>
      <c r="G691">
        <v>32028</v>
      </c>
      <c r="H691" s="116"/>
      <c r="I691" s="116"/>
      <c r="L691" s="170">
        <v>44662</v>
      </c>
      <c r="M691" s="116">
        <v>2533.0749999999998</v>
      </c>
      <c r="N691" s="116">
        <v>2624</v>
      </c>
      <c r="O691" s="116">
        <v>2468.6750000000002</v>
      </c>
      <c r="P691" s="116">
        <v>2484.4</v>
      </c>
      <c r="Q691" s="116">
        <v>5066.1499999999996</v>
      </c>
      <c r="R691">
        <v>491774</v>
      </c>
    </row>
    <row r="692" spans="1:18" x14ac:dyDescent="0.25">
      <c r="A692" s="170">
        <v>44663</v>
      </c>
      <c r="B692" s="116">
        <v>2553.2750000000001</v>
      </c>
      <c r="C692" s="116">
        <v>2505</v>
      </c>
      <c r="D692" s="116">
        <v>2452.75</v>
      </c>
      <c r="E692" s="116">
        <v>2549.9499999999998</v>
      </c>
      <c r="F692" s="116">
        <v>5010</v>
      </c>
      <c r="G692">
        <v>13583</v>
      </c>
      <c r="H692" s="116"/>
      <c r="I692" s="116"/>
      <c r="L692" s="170">
        <v>44663</v>
      </c>
      <c r="M692" s="116">
        <v>2504.7249999999999</v>
      </c>
      <c r="N692" s="116">
        <v>2542.5</v>
      </c>
      <c r="O692" s="116">
        <v>2452.5</v>
      </c>
      <c r="P692" s="116">
        <v>2542.5</v>
      </c>
      <c r="Q692" s="116">
        <v>5009.45</v>
      </c>
      <c r="R692">
        <v>164034</v>
      </c>
    </row>
    <row r="693" spans="1:18" x14ac:dyDescent="0.25">
      <c r="A693" s="170">
        <v>44664</v>
      </c>
      <c r="B693" s="116">
        <v>2547.6750000000002</v>
      </c>
      <c r="C693" s="116">
        <v>2447.8249999999998</v>
      </c>
      <c r="D693" s="116">
        <v>2426.6</v>
      </c>
      <c r="E693" s="116">
        <v>2510</v>
      </c>
      <c r="F693" s="116">
        <v>4895.6499999999996</v>
      </c>
      <c r="G693">
        <v>8239</v>
      </c>
      <c r="H693" s="116"/>
      <c r="I693" s="116"/>
      <c r="L693" s="170">
        <v>44664</v>
      </c>
      <c r="M693" s="116">
        <v>2448.15</v>
      </c>
      <c r="N693" s="116">
        <v>2552.4499999999998</v>
      </c>
      <c r="O693" s="116">
        <v>2427.6</v>
      </c>
      <c r="P693" s="116">
        <v>2528.5</v>
      </c>
      <c r="Q693" s="116">
        <v>4896.3</v>
      </c>
      <c r="R693">
        <v>116341</v>
      </c>
    </row>
    <row r="694" spans="1:18" x14ac:dyDescent="0.25">
      <c r="A694" s="170">
        <v>44669</v>
      </c>
      <c r="B694" s="116">
        <v>2449.0749999999998</v>
      </c>
      <c r="C694" s="116">
        <v>2426.1</v>
      </c>
      <c r="D694" s="116">
        <v>2376.4</v>
      </c>
      <c r="E694" s="116">
        <v>2440</v>
      </c>
      <c r="F694" s="116">
        <v>4852.2</v>
      </c>
      <c r="G694">
        <v>2631</v>
      </c>
      <c r="H694" s="116"/>
      <c r="I694" s="116"/>
      <c r="L694" s="170">
        <v>44669</v>
      </c>
      <c r="M694" s="116">
        <v>2428.0749999999998</v>
      </c>
      <c r="N694" s="116">
        <v>2450</v>
      </c>
      <c r="O694" s="116">
        <v>2375</v>
      </c>
      <c r="P694" s="116">
        <v>2424.9499999999998</v>
      </c>
      <c r="Q694" s="116">
        <v>4856.1499999999996</v>
      </c>
      <c r="R694">
        <v>85896</v>
      </c>
    </row>
    <row r="695" spans="1:18" x14ac:dyDescent="0.25">
      <c r="A695" s="170">
        <v>44670</v>
      </c>
      <c r="B695" s="116">
        <v>2486.7249999999999</v>
      </c>
      <c r="C695" s="116">
        <v>2376.9</v>
      </c>
      <c r="D695" s="116">
        <v>2331.4749999999999</v>
      </c>
      <c r="E695" s="116">
        <v>2437.4250000000002</v>
      </c>
      <c r="F695" s="116">
        <v>4753.8</v>
      </c>
      <c r="G695">
        <v>3936</v>
      </c>
      <c r="H695" s="116"/>
      <c r="I695" s="116"/>
      <c r="L695" s="170">
        <v>44670</v>
      </c>
      <c r="M695" s="116">
        <v>2373.0250000000001</v>
      </c>
      <c r="N695" s="116">
        <v>2487.5</v>
      </c>
      <c r="O695" s="116">
        <v>2325.0250000000001</v>
      </c>
      <c r="P695" s="116">
        <v>2449.9749999999999</v>
      </c>
      <c r="Q695" s="116">
        <v>4746.05</v>
      </c>
      <c r="R695">
        <v>105553</v>
      </c>
    </row>
    <row r="696" spans="1:18" x14ac:dyDescent="0.25">
      <c r="A696" s="170">
        <v>44671</v>
      </c>
      <c r="B696" s="116">
        <v>2439</v>
      </c>
      <c r="C696" s="116">
        <v>2355.5749999999998</v>
      </c>
      <c r="D696" s="116">
        <v>2343.625</v>
      </c>
      <c r="E696" s="116">
        <v>2376.9</v>
      </c>
      <c r="F696" s="116">
        <v>4711.1499999999996</v>
      </c>
      <c r="G696">
        <v>6615</v>
      </c>
      <c r="H696" s="116"/>
      <c r="I696" s="116"/>
      <c r="L696" s="170">
        <v>44671</v>
      </c>
      <c r="M696" s="116">
        <v>2356.1</v>
      </c>
      <c r="N696" s="116">
        <v>2449.5</v>
      </c>
      <c r="O696" s="116">
        <v>2342</v>
      </c>
      <c r="P696" s="116">
        <v>2389.9499999999998</v>
      </c>
      <c r="Q696" s="116">
        <v>4712.2</v>
      </c>
      <c r="R696">
        <v>83840</v>
      </c>
    </row>
    <row r="697" spans="1:18" x14ac:dyDescent="0.25">
      <c r="A697" s="170">
        <v>44672</v>
      </c>
      <c r="B697" s="116">
        <v>2456.8249999999998</v>
      </c>
      <c r="C697" s="116">
        <v>2398.9</v>
      </c>
      <c r="D697" s="116">
        <v>2381.6</v>
      </c>
      <c r="E697" s="116">
        <v>2399.6</v>
      </c>
      <c r="F697" s="116">
        <v>4797.8</v>
      </c>
      <c r="G697">
        <v>9991</v>
      </c>
      <c r="H697" s="116"/>
      <c r="I697" s="116"/>
      <c r="L697" s="170">
        <v>44672</v>
      </c>
      <c r="M697" s="116">
        <v>2397.2249999999999</v>
      </c>
      <c r="N697" s="116">
        <v>2457.5</v>
      </c>
      <c r="O697" s="116">
        <v>2375.3249999999998</v>
      </c>
      <c r="P697" s="116">
        <v>2382.1750000000002</v>
      </c>
      <c r="Q697" s="116">
        <v>4794.45</v>
      </c>
      <c r="R697">
        <v>168003</v>
      </c>
    </row>
    <row r="698" spans="1:18" x14ac:dyDescent="0.25">
      <c r="A698" s="170">
        <v>44673</v>
      </c>
      <c r="B698" s="116">
        <v>2430</v>
      </c>
      <c r="C698" s="116">
        <v>2410.4749999999999</v>
      </c>
      <c r="D698" s="116">
        <v>2370.3000000000002</v>
      </c>
      <c r="E698" s="116">
        <v>2392.5</v>
      </c>
      <c r="F698" s="116">
        <v>4820.95</v>
      </c>
      <c r="G698">
        <v>6768</v>
      </c>
      <c r="H698" s="116"/>
      <c r="I698" s="116"/>
      <c r="L698" s="170">
        <v>44673</v>
      </c>
      <c r="M698" s="116">
        <v>2411.6</v>
      </c>
      <c r="N698" s="116">
        <v>2432.5</v>
      </c>
      <c r="O698" s="116">
        <v>2370.0250000000001</v>
      </c>
      <c r="P698" s="116">
        <v>2389.875</v>
      </c>
      <c r="Q698" s="116">
        <v>4823.2</v>
      </c>
      <c r="R698">
        <v>66419</v>
      </c>
    </row>
    <row r="699" spans="1:18" x14ac:dyDescent="0.25">
      <c r="A699" s="170">
        <v>44676</v>
      </c>
      <c r="B699" s="116">
        <v>2422.25</v>
      </c>
      <c r="C699" s="116">
        <v>2404.6</v>
      </c>
      <c r="D699" s="116">
        <v>2371.15</v>
      </c>
      <c r="E699" s="116">
        <v>2380</v>
      </c>
      <c r="F699" s="116">
        <v>4809.2</v>
      </c>
      <c r="G699">
        <v>3110</v>
      </c>
      <c r="H699" s="116"/>
      <c r="I699" s="116"/>
      <c r="L699" s="170">
        <v>44676</v>
      </c>
      <c r="M699" s="116">
        <v>2406.8249999999998</v>
      </c>
      <c r="N699" s="116">
        <v>2425</v>
      </c>
      <c r="O699" s="116">
        <v>2363</v>
      </c>
      <c r="P699" s="116">
        <v>2363</v>
      </c>
      <c r="Q699" s="116">
        <v>4813.6499999999996</v>
      </c>
      <c r="R699">
        <v>77139</v>
      </c>
    </row>
    <row r="700" spans="1:18" x14ac:dyDescent="0.25">
      <c r="A700" s="170">
        <v>44677</v>
      </c>
      <c r="B700" s="116">
        <v>2572.4749999999999</v>
      </c>
      <c r="C700" s="116">
        <v>2491.125</v>
      </c>
      <c r="D700" s="116">
        <v>2452.5</v>
      </c>
      <c r="E700" s="116">
        <v>2452.5</v>
      </c>
      <c r="F700" s="116">
        <v>4982.25</v>
      </c>
      <c r="G700">
        <v>10891</v>
      </c>
      <c r="H700" s="116"/>
      <c r="I700" s="116"/>
      <c r="L700" s="170">
        <v>44677</v>
      </c>
      <c r="M700" s="116">
        <v>2495.1750000000002</v>
      </c>
      <c r="N700" s="116">
        <v>2574.9499999999998</v>
      </c>
      <c r="O700" s="116">
        <v>2452.5500000000002</v>
      </c>
      <c r="P700" s="116">
        <v>2461</v>
      </c>
      <c r="Q700" s="116">
        <v>4990.3500000000004</v>
      </c>
      <c r="R700">
        <v>392575</v>
      </c>
    </row>
    <row r="701" spans="1:18" x14ac:dyDescent="0.25">
      <c r="A701" s="170">
        <v>44678</v>
      </c>
      <c r="B701" s="116">
        <v>2522</v>
      </c>
      <c r="C701" s="116">
        <v>2418.65</v>
      </c>
      <c r="D701" s="116">
        <v>2407.85</v>
      </c>
      <c r="E701" s="116">
        <v>2489.9499999999998</v>
      </c>
      <c r="F701" s="116">
        <v>4837.3</v>
      </c>
      <c r="G701">
        <v>7122</v>
      </c>
      <c r="H701" s="116"/>
      <c r="I701" s="116"/>
      <c r="L701" s="170">
        <v>44678</v>
      </c>
      <c r="M701" s="116">
        <v>2419.6999999999998</v>
      </c>
      <c r="N701" s="116">
        <v>2520</v>
      </c>
      <c r="O701" s="116">
        <v>2405.5250000000001</v>
      </c>
      <c r="P701" s="116">
        <v>2493</v>
      </c>
      <c r="Q701" s="116">
        <v>4839.3999999999996</v>
      </c>
      <c r="R701">
        <v>158485</v>
      </c>
    </row>
    <row r="702" spans="1:18" x14ac:dyDescent="0.25">
      <c r="A702" s="170">
        <v>44679</v>
      </c>
      <c r="B702" s="116">
        <v>2489.1999999999998</v>
      </c>
      <c r="C702" s="116">
        <v>2445.0250000000001</v>
      </c>
      <c r="D702" s="116">
        <v>2394.3000000000002</v>
      </c>
      <c r="E702" s="116">
        <v>2470.5</v>
      </c>
      <c r="F702" s="116">
        <v>4890.05</v>
      </c>
      <c r="G702">
        <v>6160</v>
      </c>
      <c r="H702" s="116"/>
      <c r="I702" s="116"/>
      <c r="L702" s="170">
        <v>44679</v>
      </c>
      <c r="M702" s="116">
        <v>2445.7249999999999</v>
      </c>
      <c r="N702" s="116">
        <v>2492.7249999999999</v>
      </c>
      <c r="O702" s="116">
        <v>2393.65</v>
      </c>
      <c r="P702" s="116">
        <v>2452.5</v>
      </c>
      <c r="Q702" s="116">
        <v>4891.45</v>
      </c>
      <c r="R702">
        <v>198881</v>
      </c>
    </row>
    <row r="703" spans="1:18" x14ac:dyDescent="0.25">
      <c r="A703" s="170">
        <v>44680</v>
      </c>
      <c r="B703" s="116">
        <v>2521.5250000000001</v>
      </c>
      <c r="C703" s="116">
        <v>2461.0250000000001</v>
      </c>
      <c r="D703" s="116">
        <v>2322</v>
      </c>
      <c r="E703" s="116">
        <v>2375</v>
      </c>
      <c r="F703" s="116">
        <v>4922.05</v>
      </c>
      <c r="G703">
        <v>18026</v>
      </c>
      <c r="H703" s="116"/>
      <c r="I703" s="116"/>
      <c r="L703" s="170">
        <v>44680</v>
      </c>
      <c r="M703" s="116">
        <v>2457.375</v>
      </c>
      <c r="N703" s="116">
        <v>2522</v>
      </c>
      <c r="O703" s="116">
        <v>2319.8000000000002</v>
      </c>
      <c r="P703" s="116">
        <v>2369.5</v>
      </c>
      <c r="Q703" s="116">
        <v>4914.75</v>
      </c>
      <c r="R703">
        <v>657812</v>
      </c>
    </row>
    <row r="704" spans="1:18" x14ac:dyDescent="0.25">
      <c r="A704" s="170">
        <v>44683</v>
      </c>
      <c r="B704" s="116">
        <v>2461.0250000000001</v>
      </c>
      <c r="C704" s="116">
        <v>2439.35</v>
      </c>
      <c r="D704" s="116">
        <v>2401.5</v>
      </c>
      <c r="E704" s="116">
        <v>2461.0250000000001</v>
      </c>
      <c r="F704" s="116">
        <v>4878.7</v>
      </c>
      <c r="G704">
        <v>6396</v>
      </c>
      <c r="H704" s="116"/>
      <c r="I704" s="116"/>
      <c r="L704" s="170">
        <v>44683</v>
      </c>
      <c r="M704" s="116">
        <v>2438.625</v>
      </c>
      <c r="N704" s="116">
        <v>2460</v>
      </c>
      <c r="O704" s="116">
        <v>2400.0250000000001</v>
      </c>
      <c r="P704" s="116">
        <v>2444.9499999999998</v>
      </c>
      <c r="Q704" s="116">
        <v>4877.25</v>
      </c>
      <c r="R704">
        <v>100824</v>
      </c>
    </row>
    <row r="705" spans="1:18" x14ac:dyDescent="0.25">
      <c r="A705" s="170">
        <v>44685</v>
      </c>
      <c r="B705" s="116">
        <v>2468.6</v>
      </c>
      <c r="C705" s="116">
        <v>2414.375</v>
      </c>
      <c r="D705" s="116">
        <v>2387.5</v>
      </c>
      <c r="E705" s="116">
        <v>2450</v>
      </c>
      <c r="F705" s="116">
        <v>4828.75</v>
      </c>
      <c r="G705">
        <v>32398</v>
      </c>
      <c r="H705" s="116"/>
      <c r="I705" s="116"/>
      <c r="L705" s="170">
        <v>44685</v>
      </c>
      <c r="M705" s="116">
        <v>2413.9749999999999</v>
      </c>
      <c r="N705" s="116">
        <v>2474.4250000000002</v>
      </c>
      <c r="O705" s="116">
        <v>2385</v>
      </c>
      <c r="P705" s="116">
        <v>2444</v>
      </c>
      <c r="Q705" s="116">
        <v>4827.95</v>
      </c>
      <c r="R705">
        <v>117665</v>
      </c>
    </row>
    <row r="706" spans="1:18" x14ac:dyDescent="0.25">
      <c r="A706" s="170">
        <v>44686</v>
      </c>
      <c r="B706" s="116">
        <v>2452</v>
      </c>
      <c r="C706" s="116">
        <v>2292.6999999999998</v>
      </c>
      <c r="D706" s="116">
        <v>2282.5</v>
      </c>
      <c r="E706" s="116">
        <v>2425</v>
      </c>
      <c r="F706" s="116">
        <v>4585.3999999999996</v>
      </c>
      <c r="G706">
        <v>15800</v>
      </c>
      <c r="H706" s="116"/>
      <c r="I706" s="116"/>
      <c r="L706" s="170">
        <v>44686</v>
      </c>
      <c r="M706" s="116">
        <v>2293.7249999999999</v>
      </c>
      <c r="N706" s="116">
        <v>2454.4</v>
      </c>
      <c r="O706" s="116">
        <v>2282.9250000000002</v>
      </c>
      <c r="P706" s="116">
        <v>2423.375</v>
      </c>
      <c r="Q706" s="116">
        <v>4587.45</v>
      </c>
      <c r="R706">
        <v>223091</v>
      </c>
    </row>
    <row r="707" spans="1:18" x14ac:dyDescent="0.25">
      <c r="A707" s="170">
        <v>44687</v>
      </c>
      <c r="B707" s="116">
        <v>2291</v>
      </c>
      <c r="C707" s="116">
        <v>2206.4250000000002</v>
      </c>
      <c r="D707" s="116">
        <v>2197.85</v>
      </c>
      <c r="E707" s="116">
        <v>2291</v>
      </c>
      <c r="F707" s="116">
        <v>4412.8500000000004</v>
      </c>
      <c r="G707">
        <v>4935</v>
      </c>
      <c r="H707" s="116"/>
      <c r="I707" s="116"/>
      <c r="L707" s="170">
        <v>44687</v>
      </c>
      <c r="M707" s="116">
        <v>2209.35</v>
      </c>
      <c r="N707" s="116">
        <v>2270</v>
      </c>
      <c r="O707" s="116">
        <v>2195.5250000000001</v>
      </c>
      <c r="P707" s="116">
        <v>2249</v>
      </c>
      <c r="Q707" s="116">
        <v>4418.7</v>
      </c>
      <c r="R707">
        <v>139137</v>
      </c>
    </row>
    <row r="708" spans="1:18" x14ac:dyDescent="0.25">
      <c r="A708" s="170">
        <v>44690</v>
      </c>
      <c r="B708" s="116">
        <v>2293.4749999999999</v>
      </c>
      <c r="C708" s="116">
        <v>2206.125</v>
      </c>
      <c r="D708" s="116">
        <v>2147.25</v>
      </c>
      <c r="E708" s="116">
        <v>2207.5</v>
      </c>
      <c r="F708" s="116">
        <v>4412.25</v>
      </c>
      <c r="G708">
        <v>6030</v>
      </c>
      <c r="H708" s="116"/>
      <c r="I708" s="116"/>
      <c r="L708" s="170">
        <v>44690</v>
      </c>
      <c r="M708" s="116">
        <v>2205.6</v>
      </c>
      <c r="N708" s="116">
        <v>2294.9499999999998</v>
      </c>
      <c r="O708" s="116">
        <v>2145.6</v>
      </c>
      <c r="P708" s="116">
        <v>2190</v>
      </c>
      <c r="Q708" s="116">
        <v>4411.2</v>
      </c>
      <c r="R708">
        <v>247426</v>
      </c>
    </row>
    <row r="709" spans="1:18" x14ac:dyDescent="0.25">
      <c r="A709" s="170">
        <v>44691</v>
      </c>
      <c r="B709" s="116">
        <v>2239.3249999999998</v>
      </c>
      <c r="C709" s="116">
        <v>2191.25</v>
      </c>
      <c r="D709" s="116">
        <v>2180</v>
      </c>
      <c r="E709" s="116">
        <v>2187.6999999999998</v>
      </c>
      <c r="F709" s="116">
        <v>4382.5</v>
      </c>
      <c r="G709">
        <v>5210</v>
      </c>
      <c r="H709" s="116"/>
      <c r="I709" s="116"/>
      <c r="L709" s="170">
        <v>44691</v>
      </c>
      <c r="M709" s="116">
        <v>2194.3249999999998</v>
      </c>
      <c r="N709" s="116">
        <v>2242</v>
      </c>
      <c r="O709" s="116">
        <v>2181.65</v>
      </c>
      <c r="P709" s="116">
        <v>2200</v>
      </c>
      <c r="Q709" s="116">
        <v>4388.6499999999996</v>
      </c>
      <c r="R709">
        <v>89589</v>
      </c>
    </row>
    <row r="710" spans="1:18" x14ac:dyDescent="0.25">
      <c r="A710" s="170">
        <v>44692</v>
      </c>
      <c r="B710" s="116">
        <v>2228.4250000000002</v>
      </c>
      <c r="C710" s="116">
        <v>2165.1750000000002</v>
      </c>
      <c r="D710" s="116">
        <v>2136.4499999999998</v>
      </c>
      <c r="E710" s="116">
        <v>2180.5</v>
      </c>
      <c r="F710" s="116">
        <v>4330.3500000000004</v>
      </c>
      <c r="G710">
        <v>2931</v>
      </c>
      <c r="H710" s="116"/>
      <c r="I710" s="116"/>
      <c r="L710" s="170">
        <v>44692</v>
      </c>
      <c r="M710" s="116">
        <v>2159.7750000000001</v>
      </c>
      <c r="N710" s="116">
        <v>2227.5</v>
      </c>
      <c r="O710" s="116">
        <v>2136.5</v>
      </c>
      <c r="P710" s="116">
        <v>2196.5</v>
      </c>
      <c r="Q710" s="116">
        <v>4319.55</v>
      </c>
      <c r="R710">
        <v>92950</v>
      </c>
    </row>
    <row r="711" spans="1:18" x14ac:dyDescent="0.25">
      <c r="A711" s="170">
        <v>44693</v>
      </c>
      <c r="B711" s="116">
        <v>2157.5</v>
      </c>
      <c r="C711" s="116">
        <v>2108.7750000000001</v>
      </c>
      <c r="D711" s="116">
        <v>2077.5500000000002</v>
      </c>
      <c r="E711" s="116">
        <v>2137.5</v>
      </c>
      <c r="F711" s="116">
        <v>4217.55</v>
      </c>
      <c r="G711">
        <v>8614</v>
      </c>
      <c r="H711" s="116"/>
      <c r="I711" s="116"/>
      <c r="L711" s="170">
        <v>44693</v>
      </c>
      <c r="M711" s="116">
        <v>2109.5</v>
      </c>
      <c r="N711" s="116">
        <v>2159.5</v>
      </c>
      <c r="O711" s="116">
        <v>2075</v>
      </c>
      <c r="P711" s="116">
        <v>2145</v>
      </c>
      <c r="Q711" s="116">
        <v>4219</v>
      </c>
      <c r="R711">
        <v>94513</v>
      </c>
    </row>
    <row r="712" spans="1:18" x14ac:dyDescent="0.25">
      <c r="A712" s="170">
        <v>44694</v>
      </c>
      <c r="B712" s="116">
        <v>2183</v>
      </c>
      <c r="C712" s="116">
        <v>2097.6999999999998</v>
      </c>
      <c r="D712" s="116">
        <v>2084.9749999999999</v>
      </c>
      <c r="E712" s="116">
        <v>2145</v>
      </c>
      <c r="F712" s="116">
        <v>4195.3999999999996</v>
      </c>
      <c r="G712">
        <v>3151</v>
      </c>
      <c r="H712" s="116"/>
      <c r="I712" s="116"/>
      <c r="L712" s="170">
        <v>44694</v>
      </c>
      <c r="M712" s="116">
        <v>2093.9</v>
      </c>
      <c r="N712" s="116">
        <v>2187.4</v>
      </c>
      <c r="O712" s="116">
        <v>2082.35</v>
      </c>
      <c r="P712" s="116">
        <v>2127.5</v>
      </c>
      <c r="Q712" s="116">
        <v>4187.8</v>
      </c>
      <c r="R712">
        <v>76235</v>
      </c>
    </row>
    <row r="713" spans="1:18" x14ac:dyDescent="0.25">
      <c r="A713" s="170">
        <v>44697</v>
      </c>
      <c r="B713" s="116">
        <v>2150</v>
      </c>
      <c r="C713" s="116">
        <v>2099.6750000000002</v>
      </c>
      <c r="D713" s="116">
        <v>2065.2249999999999</v>
      </c>
      <c r="E713" s="116">
        <v>2115.5</v>
      </c>
      <c r="F713" s="116">
        <v>4199.3500000000004</v>
      </c>
      <c r="G713">
        <v>6042</v>
      </c>
      <c r="H713" s="116"/>
      <c r="I713" s="116"/>
      <c r="L713" s="170">
        <v>44697</v>
      </c>
      <c r="M713" s="116">
        <v>2100.0250000000001</v>
      </c>
      <c r="N713" s="116">
        <v>2150</v>
      </c>
      <c r="O713" s="116">
        <v>2065.2750000000001</v>
      </c>
      <c r="P713" s="116">
        <v>2132.75</v>
      </c>
      <c r="Q713" s="116">
        <v>4200.05</v>
      </c>
      <c r="R713">
        <v>60964</v>
      </c>
    </row>
    <row r="714" spans="1:18" x14ac:dyDescent="0.25">
      <c r="A714" s="170">
        <v>44698</v>
      </c>
      <c r="B714" s="116">
        <v>2157.1999999999998</v>
      </c>
      <c r="C714" s="116">
        <v>2140.0749999999998</v>
      </c>
      <c r="D714" s="116">
        <v>2091.625</v>
      </c>
      <c r="E714" s="116">
        <v>2142</v>
      </c>
      <c r="F714" s="116">
        <v>4280.1499999999996</v>
      </c>
      <c r="G714">
        <v>6237</v>
      </c>
      <c r="H714" s="116"/>
      <c r="I714" s="116"/>
      <c r="L714" s="170">
        <v>44698</v>
      </c>
      <c r="M714" s="116">
        <v>2135.6750000000002</v>
      </c>
      <c r="N714" s="116">
        <v>2155.1</v>
      </c>
      <c r="O714" s="116">
        <v>2089.7750000000001</v>
      </c>
      <c r="P714" s="116">
        <v>2137.4499999999998</v>
      </c>
      <c r="Q714" s="116">
        <v>4271.3500000000004</v>
      </c>
      <c r="R714">
        <v>123976</v>
      </c>
    </row>
    <row r="715" spans="1:18" x14ac:dyDescent="0.25">
      <c r="A715" s="170">
        <v>44699</v>
      </c>
      <c r="B715" s="116">
        <v>2194.375</v>
      </c>
      <c r="C715" s="116">
        <v>2128.8000000000002</v>
      </c>
      <c r="D715" s="116">
        <v>2119.2249999999999</v>
      </c>
      <c r="E715" s="116">
        <v>2147.5</v>
      </c>
      <c r="F715" s="116">
        <v>4257.6000000000004</v>
      </c>
      <c r="G715">
        <v>9652</v>
      </c>
      <c r="H715" s="116"/>
      <c r="I715" s="116"/>
      <c r="L715" s="170">
        <v>44699</v>
      </c>
      <c r="M715" s="116">
        <v>2129.375</v>
      </c>
      <c r="N715" s="116">
        <v>2195</v>
      </c>
      <c r="O715" s="116">
        <v>2121.2750000000001</v>
      </c>
      <c r="P715" s="116">
        <v>2142.5</v>
      </c>
      <c r="Q715" s="116">
        <v>4258.75</v>
      </c>
      <c r="R715">
        <v>94845</v>
      </c>
    </row>
    <row r="716" spans="1:18" x14ac:dyDescent="0.25">
      <c r="A716" s="170">
        <v>44700</v>
      </c>
      <c r="B716" s="116">
        <v>2136.5250000000001</v>
      </c>
      <c r="C716" s="116">
        <v>2073.1750000000002</v>
      </c>
      <c r="D716" s="116">
        <v>2050.5</v>
      </c>
      <c r="E716" s="116">
        <v>2095</v>
      </c>
      <c r="F716" s="116">
        <v>4146.3500000000004</v>
      </c>
      <c r="G716">
        <v>6813</v>
      </c>
      <c r="H716" s="116"/>
      <c r="I716" s="116"/>
      <c r="L716" s="170">
        <v>44700</v>
      </c>
      <c r="M716" s="116">
        <v>2074.6750000000002</v>
      </c>
      <c r="N716" s="116">
        <v>2136.7249999999999</v>
      </c>
      <c r="O716" s="116">
        <v>2050.5</v>
      </c>
      <c r="P716" s="116">
        <v>2076.375</v>
      </c>
      <c r="Q716" s="116">
        <v>4149.3500000000004</v>
      </c>
      <c r="R716">
        <v>95706</v>
      </c>
    </row>
    <row r="717" spans="1:18" x14ac:dyDescent="0.25">
      <c r="A717" s="170">
        <v>44701</v>
      </c>
      <c r="B717" s="116">
        <v>2156.4499999999998</v>
      </c>
      <c r="C717" s="116">
        <v>2139.7750000000001</v>
      </c>
      <c r="D717" s="116">
        <v>2085</v>
      </c>
      <c r="E717" s="116">
        <v>2125</v>
      </c>
      <c r="F717" s="116">
        <v>4279.55</v>
      </c>
      <c r="G717">
        <v>5916</v>
      </c>
      <c r="H717" s="116"/>
      <c r="I717" s="116"/>
      <c r="L717" s="170">
        <v>44701</v>
      </c>
      <c r="M717" s="116">
        <v>2138.125</v>
      </c>
      <c r="N717" s="116">
        <v>2148</v>
      </c>
      <c r="O717" s="116">
        <v>2082.5</v>
      </c>
      <c r="P717" s="116">
        <v>2129.2750000000001</v>
      </c>
      <c r="Q717" s="116">
        <v>4276.25</v>
      </c>
      <c r="R717">
        <v>106148</v>
      </c>
    </row>
    <row r="718" spans="1:18" x14ac:dyDescent="0.25">
      <c r="A718" s="170">
        <v>44704</v>
      </c>
      <c r="B718" s="116">
        <v>2234.4499999999998</v>
      </c>
      <c r="C718" s="116">
        <v>2139.1750000000002</v>
      </c>
      <c r="D718" s="116">
        <v>2131</v>
      </c>
      <c r="E718" s="116">
        <v>2139</v>
      </c>
      <c r="F718" s="116">
        <v>4278.3500000000004</v>
      </c>
      <c r="G718">
        <v>17486</v>
      </c>
      <c r="H718" s="116"/>
      <c r="I718" s="116"/>
      <c r="L718" s="170">
        <v>44704</v>
      </c>
      <c r="M718" s="116">
        <v>2139.5749999999998</v>
      </c>
      <c r="N718" s="116">
        <v>2215</v>
      </c>
      <c r="O718" s="116">
        <v>2123.5</v>
      </c>
      <c r="P718" s="116">
        <v>2148</v>
      </c>
      <c r="Q718" s="116">
        <v>4279.1499999999996</v>
      </c>
      <c r="R718">
        <v>108910</v>
      </c>
    </row>
    <row r="719" spans="1:18" x14ac:dyDescent="0.25">
      <c r="A719" s="170">
        <v>44705</v>
      </c>
      <c r="B719" s="116">
        <v>2162.3000000000002</v>
      </c>
      <c r="C719" s="116">
        <v>2129.6</v>
      </c>
      <c r="D719" s="116">
        <v>2109.25</v>
      </c>
      <c r="E719" s="116">
        <v>2149</v>
      </c>
      <c r="F719" s="116">
        <v>4259.2</v>
      </c>
      <c r="G719">
        <v>3120</v>
      </c>
      <c r="H719" s="116"/>
      <c r="I719" s="116"/>
      <c r="L719" s="170">
        <v>44705</v>
      </c>
      <c r="M719" s="116">
        <v>2128.875</v>
      </c>
      <c r="N719" s="116">
        <v>2162.4749999999999</v>
      </c>
      <c r="O719" s="116">
        <v>2107.8249999999998</v>
      </c>
      <c r="P719" s="116">
        <v>2162.4749999999999</v>
      </c>
      <c r="Q719" s="116">
        <v>4257.75</v>
      </c>
      <c r="R719">
        <v>77707</v>
      </c>
    </row>
    <row r="720" spans="1:18" x14ac:dyDescent="0.25">
      <c r="A720" s="170">
        <v>44706</v>
      </c>
      <c r="B720" s="116">
        <v>2168.0500000000002</v>
      </c>
      <c r="C720" s="116">
        <v>2064.0500000000002</v>
      </c>
      <c r="D720" s="116">
        <v>2050</v>
      </c>
      <c r="E720" s="116">
        <v>2130.5</v>
      </c>
      <c r="F720" s="116">
        <v>4128.1000000000004</v>
      </c>
      <c r="G720">
        <v>9001</v>
      </c>
      <c r="H720" s="116"/>
      <c r="I720" s="116"/>
      <c r="L720" s="170">
        <v>44706</v>
      </c>
      <c r="M720" s="116">
        <v>2062.625</v>
      </c>
      <c r="N720" s="116">
        <v>2169.0500000000002</v>
      </c>
      <c r="O720" s="116">
        <v>2046.7249999999999</v>
      </c>
      <c r="P720" s="116">
        <v>2137.5</v>
      </c>
      <c r="Q720" s="116">
        <v>4125.25</v>
      </c>
      <c r="R720">
        <v>79927</v>
      </c>
    </row>
    <row r="721" spans="1:18" x14ac:dyDescent="0.25">
      <c r="A721" s="170">
        <v>44707</v>
      </c>
      <c r="B721" s="116">
        <v>2134.1</v>
      </c>
      <c r="C721" s="116">
        <v>2094.375</v>
      </c>
      <c r="D721" s="116">
        <v>2025</v>
      </c>
      <c r="E721" s="116">
        <v>2094.4</v>
      </c>
      <c r="F721" s="116">
        <v>4188.75</v>
      </c>
      <c r="G721">
        <v>10618</v>
      </c>
      <c r="H721" s="116"/>
      <c r="I721" s="116"/>
      <c r="L721" s="170">
        <v>44707</v>
      </c>
      <c r="M721" s="116">
        <v>2087.3000000000002</v>
      </c>
      <c r="N721" s="116">
        <v>2133.4250000000002</v>
      </c>
      <c r="O721" s="116">
        <v>2025.125</v>
      </c>
      <c r="P721" s="116">
        <v>2072</v>
      </c>
      <c r="Q721" s="116">
        <v>4174.6000000000004</v>
      </c>
      <c r="R721">
        <v>142230</v>
      </c>
    </row>
    <row r="722" spans="1:18" x14ac:dyDescent="0.25">
      <c r="A722" s="170">
        <v>44708</v>
      </c>
      <c r="B722" s="116">
        <v>2284.5749999999998</v>
      </c>
      <c r="C722" s="116">
        <v>2258.4</v>
      </c>
      <c r="D722" s="116">
        <v>2120</v>
      </c>
      <c r="E722" s="116">
        <v>2120</v>
      </c>
      <c r="F722" s="116">
        <v>4516.8</v>
      </c>
      <c r="G722">
        <v>26518</v>
      </c>
      <c r="H722" s="116"/>
      <c r="I722" s="116"/>
      <c r="L722" s="170">
        <v>44708</v>
      </c>
      <c r="M722" s="116">
        <v>2257.65</v>
      </c>
      <c r="N722" s="116">
        <v>2289.5</v>
      </c>
      <c r="O722" s="116">
        <v>2114.9</v>
      </c>
      <c r="P722" s="116">
        <v>2115</v>
      </c>
      <c r="Q722" s="116">
        <v>4515.3</v>
      </c>
      <c r="R722">
        <v>417020</v>
      </c>
    </row>
    <row r="723" spans="1:18" x14ac:dyDescent="0.25">
      <c r="A723" s="170">
        <v>44711</v>
      </c>
      <c r="B723" s="116">
        <v>2337.5</v>
      </c>
      <c r="C723" s="116">
        <v>2272.1999999999998</v>
      </c>
      <c r="D723" s="116">
        <v>2262.5</v>
      </c>
      <c r="E723" s="116">
        <v>2277.5</v>
      </c>
      <c r="F723" s="116">
        <v>4544.3999999999996</v>
      </c>
      <c r="G723">
        <v>11967</v>
      </c>
      <c r="H723" s="116"/>
      <c r="I723" s="116"/>
      <c r="L723" s="170">
        <v>44711</v>
      </c>
      <c r="M723" s="116">
        <v>2273.2249999999999</v>
      </c>
      <c r="N723" s="116">
        <v>2341.0500000000002</v>
      </c>
      <c r="O723" s="116">
        <v>2261.6750000000002</v>
      </c>
      <c r="P723" s="116">
        <v>2284.1999999999998</v>
      </c>
      <c r="Q723" s="116">
        <v>4546.45</v>
      </c>
      <c r="R723">
        <v>173313</v>
      </c>
    </row>
    <row r="724" spans="1:18" x14ac:dyDescent="0.25">
      <c r="A724" s="170">
        <v>44712</v>
      </c>
      <c r="B724" s="116">
        <v>2345</v>
      </c>
      <c r="C724" s="116">
        <v>2277.0250000000001</v>
      </c>
      <c r="D724" s="116">
        <v>2267.1999999999998</v>
      </c>
      <c r="E724" s="116">
        <v>2303.5</v>
      </c>
      <c r="F724" s="116">
        <v>4554.05</v>
      </c>
      <c r="G724">
        <v>4722</v>
      </c>
      <c r="H724" s="116"/>
      <c r="I724" s="116"/>
      <c r="L724" s="170">
        <v>44712</v>
      </c>
      <c r="M724" s="116">
        <v>2277.25</v>
      </c>
      <c r="N724" s="116">
        <v>2346.85</v>
      </c>
      <c r="O724" s="116">
        <v>2266.5</v>
      </c>
      <c r="P724" s="116">
        <v>2287</v>
      </c>
      <c r="Q724" s="116">
        <v>4554.5</v>
      </c>
      <c r="R724">
        <v>152283</v>
      </c>
    </row>
    <row r="725" spans="1:18" x14ac:dyDescent="0.25">
      <c r="A725" s="170">
        <v>44713</v>
      </c>
      <c r="B725" s="116">
        <v>2360</v>
      </c>
      <c r="C725" s="116">
        <v>2284.75</v>
      </c>
      <c r="D725" s="116">
        <v>2255.4749999999999</v>
      </c>
      <c r="E725" s="116">
        <v>2315</v>
      </c>
      <c r="F725" s="116">
        <v>4569.5</v>
      </c>
      <c r="G725">
        <v>6170</v>
      </c>
      <c r="H725" s="116"/>
      <c r="I725" s="116"/>
      <c r="L725" s="170">
        <v>44713</v>
      </c>
      <c r="M725" s="116">
        <v>2284.625</v>
      </c>
      <c r="N725" s="116">
        <v>2362.5</v>
      </c>
      <c r="O725" s="116">
        <v>2252.5</v>
      </c>
      <c r="P725" s="116">
        <v>2287.9250000000002</v>
      </c>
      <c r="Q725" s="116">
        <v>4569.25</v>
      </c>
      <c r="R725">
        <v>161162</v>
      </c>
    </row>
    <row r="726" spans="1:18" x14ac:dyDescent="0.25">
      <c r="A726" s="170">
        <v>44714</v>
      </c>
      <c r="B726" s="116">
        <v>2316.5</v>
      </c>
      <c r="C726" s="116">
        <v>2293</v>
      </c>
      <c r="D726" s="116">
        <v>2250.1999999999998</v>
      </c>
      <c r="E726" s="116">
        <v>2277.5</v>
      </c>
      <c r="F726" s="116">
        <v>4586</v>
      </c>
      <c r="G726">
        <v>5244</v>
      </c>
      <c r="H726" s="116"/>
      <c r="I726" s="116"/>
      <c r="L726" s="170">
        <v>44714</v>
      </c>
      <c r="M726" s="116">
        <v>2293.6999999999998</v>
      </c>
      <c r="N726" s="116">
        <v>2318.7249999999999</v>
      </c>
      <c r="O726" s="116">
        <v>2250.3249999999998</v>
      </c>
      <c r="P726" s="116">
        <v>2296.8249999999998</v>
      </c>
      <c r="Q726" s="116">
        <v>4587.3999999999996</v>
      </c>
      <c r="R726">
        <v>81954</v>
      </c>
    </row>
    <row r="727" spans="1:18" x14ac:dyDescent="0.25">
      <c r="A727" s="170">
        <v>44715</v>
      </c>
      <c r="B727" s="116">
        <v>2330</v>
      </c>
      <c r="C727" s="116">
        <v>2253.9749999999999</v>
      </c>
      <c r="D727" s="116">
        <v>2248.9250000000002</v>
      </c>
      <c r="E727" s="116">
        <v>2330</v>
      </c>
      <c r="F727" s="116">
        <v>4507.95</v>
      </c>
      <c r="G727">
        <v>2743</v>
      </c>
      <c r="H727" s="116"/>
      <c r="I727" s="116"/>
      <c r="L727" s="170">
        <v>44715</v>
      </c>
      <c r="M727" s="116">
        <v>2254.4250000000002</v>
      </c>
      <c r="N727" s="116">
        <v>2325</v>
      </c>
      <c r="O727" s="116">
        <v>2246.3000000000002</v>
      </c>
      <c r="P727" s="116">
        <v>2319.5</v>
      </c>
      <c r="Q727" s="116">
        <v>4508.8500000000004</v>
      </c>
      <c r="R727">
        <v>76328</v>
      </c>
    </row>
    <row r="728" spans="1:18" x14ac:dyDescent="0.25">
      <c r="A728" s="170">
        <v>44718</v>
      </c>
      <c r="B728" s="116">
        <v>2255</v>
      </c>
      <c r="C728" s="116">
        <v>2212.625</v>
      </c>
      <c r="D728" s="116">
        <v>2181.3000000000002</v>
      </c>
      <c r="E728" s="116">
        <v>2245</v>
      </c>
      <c r="F728" s="116">
        <v>4425.25</v>
      </c>
      <c r="G728">
        <v>2629</v>
      </c>
      <c r="H728" s="116"/>
      <c r="I728" s="116"/>
      <c r="L728" s="170">
        <v>44718</v>
      </c>
      <c r="M728" s="116">
        <v>2212.75</v>
      </c>
      <c r="N728" s="116">
        <v>2269.5</v>
      </c>
      <c r="O728" s="116">
        <v>2182.5</v>
      </c>
      <c r="P728" s="116">
        <v>2262.5</v>
      </c>
      <c r="Q728" s="116">
        <v>4425.5</v>
      </c>
      <c r="R728">
        <v>88566</v>
      </c>
    </row>
    <row r="729" spans="1:18" x14ac:dyDescent="0.25">
      <c r="A729" s="170">
        <v>44719</v>
      </c>
      <c r="B729" s="116">
        <v>2209.1999999999998</v>
      </c>
      <c r="C729" s="116">
        <v>2172.8000000000002</v>
      </c>
      <c r="D729" s="116">
        <v>2161.9</v>
      </c>
      <c r="E729" s="116">
        <v>2202.5</v>
      </c>
      <c r="F729" s="116">
        <v>4345.6000000000004</v>
      </c>
      <c r="G729">
        <v>1320</v>
      </c>
      <c r="H729" s="116"/>
      <c r="I729" s="116"/>
      <c r="L729" s="170">
        <v>44719</v>
      </c>
      <c r="M729" s="116">
        <v>2173.6</v>
      </c>
      <c r="N729" s="116">
        <v>2213.1999999999998</v>
      </c>
      <c r="O729" s="116">
        <v>2160</v>
      </c>
      <c r="P729" s="116">
        <v>2209.5</v>
      </c>
      <c r="Q729" s="116">
        <v>4347.2</v>
      </c>
      <c r="R729">
        <v>56726</v>
      </c>
    </row>
    <row r="730" spans="1:18" x14ac:dyDescent="0.25">
      <c r="A730" s="170">
        <v>44720</v>
      </c>
      <c r="B730" s="116">
        <v>2208.125</v>
      </c>
      <c r="C730" s="116">
        <v>2168.875</v>
      </c>
      <c r="D730" s="116">
        <v>2150.8249999999998</v>
      </c>
      <c r="E730" s="116">
        <v>2176.5</v>
      </c>
      <c r="F730" s="116">
        <v>4337.75</v>
      </c>
      <c r="G730">
        <v>2397</v>
      </c>
      <c r="H730" s="116"/>
      <c r="I730" s="116"/>
      <c r="L730" s="170">
        <v>44720</v>
      </c>
      <c r="M730" s="116">
        <v>2167.375</v>
      </c>
      <c r="N730" s="116">
        <v>2210.5</v>
      </c>
      <c r="O730" s="116">
        <v>2151.0250000000001</v>
      </c>
      <c r="P730" s="116">
        <v>2197</v>
      </c>
      <c r="Q730" s="116">
        <v>4334.75</v>
      </c>
      <c r="R730">
        <v>62566</v>
      </c>
    </row>
    <row r="731" spans="1:18" x14ac:dyDescent="0.25">
      <c r="A731" s="170">
        <v>44721</v>
      </c>
      <c r="B731" s="116">
        <v>2199.9749999999999</v>
      </c>
      <c r="C731" s="116">
        <v>2178.0500000000002</v>
      </c>
      <c r="D731" s="116">
        <v>2142.4</v>
      </c>
      <c r="E731" s="116">
        <v>2142.4</v>
      </c>
      <c r="F731" s="116">
        <v>4356.1000000000004</v>
      </c>
      <c r="G731">
        <v>3951</v>
      </c>
      <c r="H731" s="116"/>
      <c r="I731" s="116"/>
      <c r="L731" s="170">
        <v>44721</v>
      </c>
      <c r="M731" s="116">
        <v>2177.6999999999998</v>
      </c>
      <c r="N731" s="116">
        <v>2199.5</v>
      </c>
      <c r="O731" s="116">
        <v>2138.8000000000002</v>
      </c>
      <c r="P731" s="116">
        <v>2157.5</v>
      </c>
      <c r="Q731" s="116">
        <v>4355.3999999999996</v>
      </c>
      <c r="R731">
        <v>38450</v>
      </c>
    </row>
    <row r="732" spans="1:18" x14ac:dyDescent="0.25">
      <c r="A732" s="170">
        <v>44722</v>
      </c>
      <c r="B732" s="116">
        <v>2177.5</v>
      </c>
      <c r="C732" s="116">
        <v>2114.4749999999999</v>
      </c>
      <c r="D732" s="116">
        <v>2102.5</v>
      </c>
      <c r="E732" s="116">
        <v>2177.5</v>
      </c>
      <c r="F732" s="116">
        <v>4228.95</v>
      </c>
      <c r="G732">
        <v>5054</v>
      </c>
      <c r="H732" s="116"/>
      <c r="I732" s="116"/>
      <c r="L732" s="170">
        <v>44722</v>
      </c>
      <c r="M732" s="116">
        <v>2115.6999999999998</v>
      </c>
      <c r="N732" s="116">
        <v>2188</v>
      </c>
      <c r="O732" s="116">
        <v>2100.5</v>
      </c>
      <c r="P732" s="116">
        <v>2164.0500000000002</v>
      </c>
      <c r="Q732" s="116">
        <v>4231.3999999999996</v>
      </c>
      <c r="R732">
        <v>75188</v>
      </c>
    </row>
    <row r="733" spans="1:18" x14ac:dyDescent="0.25">
      <c r="A733" s="170">
        <v>44725</v>
      </c>
      <c r="B733" s="116">
        <v>2099.5</v>
      </c>
      <c r="C733" s="116">
        <v>2043.8</v>
      </c>
      <c r="D733" s="116">
        <v>2040.1</v>
      </c>
      <c r="E733" s="116">
        <v>2099.5</v>
      </c>
      <c r="F733" s="116">
        <v>4087.6</v>
      </c>
      <c r="G733">
        <v>2437</v>
      </c>
      <c r="H733" s="116"/>
      <c r="I733" s="116"/>
      <c r="L733" s="170">
        <v>44725</v>
      </c>
      <c r="M733" s="116">
        <v>2044.375</v>
      </c>
      <c r="N733" s="116">
        <v>2082.0749999999998</v>
      </c>
      <c r="O733" s="116">
        <v>2040</v>
      </c>
      <c r="P733" s="116">
        <v>2081</v>
      </c>
      <c r="Q733" s="116">
        <v>4088.75</v>
      </c>
      <c r="R733">
        <v>68538</v>
      </c>
    </row>
    <row r="734" spans="1:18" x14ac:dyDescent="0.25">
      <c r="A734" s="170">
        <v>44726</v>
      </c>
      <c r="B734" s="116">
        <v>2108.6750000000002</v>
      </c>
      <c r="C734" s="116">
        <v>2064.6999999999998</v>
      </c>
      <c r="D734" s="116">
        <v>2043.2249999999999</v>
      </c>
      <c r="E734" s="116">
        <v>2043.8</v>
      </c>
      <c r="F734" s="116">
        <v>4129.3999999999996</v>
      </c>
      <c r="G734">
        <v>5076</v>
      </c>
      <c r="H734" s="116"/>
      <c r="I734" s="116"/>
      <c r="L734" s="170">
        <v>44726</v>
      </c>
      <c r="M734" s="116">
        <v>2059.4499999999998</v>
      </c>
      <c r="N734" s="116">
        <v>2108.5</v>
      </c>
      <c r="O734" s="116">
        <v>2030</v>
      </c>
      <c r="P734" s="116">
        <v>2030</v>
      </c>
      <c r="Q734" s="116">
        <v>4118.8999999999996</v>
      </c>
      <c r="R734">
        <v>92472</v>
      </c>
    </row>
    <row r="735" spans="1:18" x14ac:dyDescent="0.25">
      <c r="A735" s="170">
        <v>44727</v>
      </c>
      <c r="B735" s="116">
        <v>2098</v>
      </c>
      <c r="C735" s="116">
        <v>2085.3249999999998</v>
      </c>
      <c r="D735" s="116">
        <v>2055.4</v>
      </c>
      <c r="E735" s="116">
        <v>2073.4499999999998</v>
      </c>
      <c r="F735" s="116">
        <v>4170.6499999999996</v>
      </c>
      <c r="G735">
        <v>4535</v>
      </c>
      <c r="H735" s="116"/>
      <c r="I735" s="116"/>
      <c r="L735" s="170">
        <v>44727</v>
      </c>
      <c r="M735" s="116">
        <v>2087.1999999999998</v>
      </c>
      <c r="N735" s="116">
        <v>2105</v>
      </c>
      <c r="O735" s="116">
        <v>2055.3249999999998</v>
      </c>
      <c r="P735" s="116">
        <v>2087.1999999999998</v>
      </c>
      <c r="Q735" s="116">
        <v>4174.3999999999996</v>
      </c>
      <c r="R735">
        <v>45203</v>
      </c>
    </row>
    <row r="736" spans="1:18" x14ac:dyDescent="0.25">
      <c r="A736" s="170">
        <v>44728</v>
      </c>
      <c r="B736" s="116">
        <v>2137.5</v>
      </c>
      <c r="C736" s="116">
        <v>2044.375</v>
      </c>
      <c r="D736" s="116">
        <v>2028.9749999999999</v>
      </c>
      <c r="E736" s="116">
        <v>2106.0500000000002</v>
      </c>
      <c r="F736" s="116">
        <v>4088.75</v>
      </c>
      <c r="G736">
        <v>4027</v>
      </c>
      <c r="H736" s="116"/>
      <c r="I736" s="116"/>
      <c r="L736" s="170">
        <v>44728</v>
      </c>
      <c r="M736" s="116">
        <v>2043.45</v>
      </c>
      <c r="N736" s="116">
        <v>2140</v>
      </c>
      <c r="O736" s="116">
        <v>2030</v>
      </c>
      <c r="P736" s="116">
        <v>2120.9</v>
      </c>
      <c r="Q736" s="116">
        <v>4086.9</v>
      </c>
      <c r="R736">
        <v>86692</v>
      </c>
    </row>
    <row r="737" spans="1:18" x14ac:dyDescent="0.25">
      <c r="A737" s="170">
        <v>44729</v>
      </c>
      <c r="B737" s="116">
        <v>2051.35</v>
      </c>
      <c r="C737" s="116">
        <v>1988.4</v>
      </c>
      <c r="D737" s="116">
        <v>1910.875</v>
      </c>
      <c r="E737" s="116">
        <v>2045</v>
      </c>
      <c r="F737" s="116">
        <v>3976.8</v>
      </c>
      <c r="G737">
        <v>15560</v>
      </c>
      <c r="H737" s="116"/>
      <c r="I737" s="116"/>
      <c r="L737" s="170">
        <v>44729</v>
      </c>
      <c r="M737" s="116">
        <v>1987.875</v>
      </c>
      <c r="N737" s="116">
        <v>2050</v>
      </c>
      <c r="O737" s="116">
        <v>1910.7249999999999</v>
      </c>
      <c r="P737" s="116">
        <v>2046.35</v>
      </c>
      <c r="Q737" s="116">
        <v>3975.75</v>
      </c>
      <c r="R737">
        <v>194231</v>
      </c>
    </row>
    <row r="738" spans="1:18" x14ac:dyDescent="0.25">
      <c r="A738" s="170">
        <v>44732</v>
      </c>
      <c r="B738" s="116">
        <v>2013.7249999999999</v>
      </c>
      <c r="C738" s="116">
        <v>1907.2750000000001</v>
      </c>
      <c r="D738" s="116">
        <v>1897</v>
      </c>
      <c r="E738" s="116">
        <v>2000</v>
      </c>
      <c r="F738" s="116">
        <v>3814.55</v>
      </c>
      <c r="G738">
        <v>9007</v>
      </c>
      <c r="H738" s="116"/>
      <c r="I738" s="116"/>
      <c r="L738" s="170">
        <v>44732</v>
      </c>
      <c r="M738" s="116">
        <v>1906.4</v>
      </c>
      <c r="N738" s="116">
        <v>2016.4</v>
      </c>
      <c r="O738" s="116">
        <v>1892.55</v>
      </c>
      <c r="P738" s="116">
        <v>1990</v>
      </c>
      <c r="Q738" s="116">
        <v>3812.8</v>
      </c>
      <c r="R738">
        <v>116242</v>
      </c>
    </row>
    <row r="739" spans="1:18" x14ac:dyDescent="0.25">
      <c r="A739" s="170">
        <v>44733</v>
      </c>
      <c r="B739" s="116">
        <v>2098</v>
      </c>
      <c r="C739" s="116">
        <v>2094.0749999999998</v>
      </c>
      <c r="D739" s="116">
        <v>1922.9</v>
      </c>
      <c r="E739" s="116">
        <v>1925</v>
      </c>
      <c r="F739" s="116">
        <v>4188.1499999999996</v>
      </c>
      <c r="G739">
        <v>24790</v>
      </c>
      <c r="H739" s="116"/>
      <c r="I739" s="116"/>
      <c r="L739" s="170">
        <v>44733</v>
      </c>
      <c r="M739" s="116">
        <v>2092.125</v>
      </c>
      <c r="N739" s="116">
        <v>2097.0250000000001</v>
      </c>
      <c r="O739" s="116">
        <v>1909.9749999999999</v>
      </c>
      <c r="P739" s="116">
        <v>1910</v>
      </c>
      <c r="Q739" s="116">
        <v>4184.25</v>
      </c>
      <c r="R739">
        <v>429774</v>
      </c>
    </row>
    <row r="740" spans="1:18" x14ac:dyDescent="0.25">
      <c r="A740" s="170">
        <v>44734</v>
      </c>
      <c r="B740" s="116">
        <v>2096.375</v>
      </c>
      <c r="C740" s="116">
        <v>2045.825</v>
      </c>
      <c r="D740" s="116">
        <v>2035</v>
      </c>
      <c r="E740" s="116">
        <v>2082.5</v>
      </c>
      <c r="F740" s="116">
        <v>4091.65</v>
      </c>
      <c r="G740">
        <v>9391</v>
      </c>
      <c r="H740" s="116"/>
      <c r="I740" s="116"/>
      <c r="L740" s="170">
        <v>44734</v>
      </c>
      <c r="M740" s="116">
        <v>2047.75</v>
      </c>
      <c r="N740" s="116">
        <v>2099.25</v>
      </c>
      <c r="O740" s="116">
        <v>2035</v>
      </c>
      <c r="P740" s="116">
        <v>2072.4499999999998</v>
      </c>
      <c r="Q740" s="116">
        <v>4095.5</v>
      </c>
      <c r="R740">
        <v>180993</v>
      </c>
    </row>
    <row r="741" spans="1:18" x14ac:dyDescent="0.25">
      <c r="A741" s="170">
        <v>44735</v>
      </c>
      <c r="B741" s="116">
        <v>2092.75</v>
      </c>
      <c r="C741" s="116">
        <v>2054.5749999999998</v>
      </c>
      <c r="D741" s="116">
        <v>2035</v>
      </c>
      <c r="E741" s="116">
        <v>2092.75</v>
      </c>
      <c r="F741" s="116">
        <v>4109.1499999999996</v>
      </c>
      <c r="G741">
        <v>4974</v>
      </c>
      <c r="H741" s="116"/>
      <c r="I741" s="116"/>
      <c r="L741" s="170">
        <v>44735</v>
      </c>
      <c r="M741" s="116">
        <v>2057.625</v>
      </c>
      <c r="N741" s="116">
        <v>2087.5</v>
      </c>
      <c r="O741" s="116">
        <v>2030.4749999999999</v>
      </c>
      <c r="P741" s="116">
        <v>2047.7750000000001</v>
      </c>
      <c r="Q741" s="116">
        <v>4115.25</v>
      </c>
      <c r="R741">
        <v>104562</v>
      </c>
    </row>
    <row r="742" spans="1:18" x14ac:dyDescent="0.25">
      <c r="A742" s="170">
        <v>44736</v>
      </c>
      <c r="B742" s="116">
        <v>2157.0250000000001</v>
      </c>
      <c r="C742" s="116">
        <v>2068.875</v>
      </c>
      <c r="D742" s="116">
        <v>2057.8249999999998</v>
      </c>
      <c r="E742" s="116">
        <v>2080</v>
      </c>
      <c r="F742" s="116">
        <v>4137.75</v>
      </c>
      <c r="G742">
        <v>6125</v>
      </c>
      <c r="H742" s="116"/>
      <c r="I742" s="116"/>
      <c r="L742" s="170">
        <v>44736</v>
      </c>
      <c r="M742" s="116">
        <v>2070.3000000000002</v>
      </c>
      <c r="N742" s="116">
        <v>2159.5</v>
      </c>
      <c r="O742" s="116">
        <v>2057.5500000000002</v>
      </c>
      <c r="P742" s="116">
        <v>2072.5</v>
      </c>
      <c r="Q742" s="116">
        <v>4140.6000000000004</v>
      </c>
      <c r="R742">
        <v>201988</v>
      </c>
    </row>
    <row r="743" spans="1:18" x14ac:dyDescent="0.25">
      <c r="A743" s="170">
        <v>44739</v>
      </c>
      <c r="B743" s="116">
        <v>2125</v>
      </c>
      <c r="C743" s="116">
        <v>2071.5250000000001</v>
      </c>
      <c r="D743" s="116">
        <v>2065.5</v>
      </c>
      <c r="E743" s="116">
        <v>2125</v>
      </c>
      <c r="F743" s="116">
        <v>4143.05</v>
      </c>
      <c r="G743">
        <v>8345</v>
      </c>
      <c r="H743" s="116"/>
      <c r="I743" s="116"/>
      <c r="L743" s="170">
        <v>44739</v>
      </c>
      <c r="M743" s="116">
        <v>2073.1999999999998</v>
      </c>
      <c r="N743" s="116">
        <v>2118.625</v>
      </c>
      <c r="O743" s="116">
        <v>2062.6999999999998</v>
      </c>
      <c r="P743" s="116">
        <v>2100</v>
      </c>
      <c r="Q743" s="116">
        <v>4146.3999999999996</v>
      </c>
      <c r="R743">
        <v>126766</v>
      </c>
    </row>
    <row r="744" spans="1:18" x14ac:dyDescent="0.25">
      <c r="A744" s="170">
        <v>44740</v>
      </c>
      <c r="B744" s="116">
        <v>2072.5</v>
      </c>
      <c r="C744" s="116">
        <v>2035.9749999999999</v>
      </c>
      <c r="D744" s="116">
        <v>2005.4</v>
      </c>
      <c r="E744" s="116">
        <v>2072.5</v>
      </c>
      <c r="F744" s="116">
        <v>4071.95</v>
      </c>
      <c r="G744">
        <v>5094</v>
      </c>
      <c r="H744" s="116"/>
      <c r="I744" s="116"/>
      <c r="L744" s="170">
        <v>44740</v>
      </c>
      <c r="M744" s="116">
        <v>2036.7</v>
      </c>
      <c r="N744" s="116">
        <v>2074.5</v>
      </c>
      <c r="O744" s="116">
        <v>2005</v>
      </c>
      <c r="P744" s="116">
        <v>2074.5</v>
      </c>
      <c r="Q744" s="116">
        <v>4073.4</v>
      </c>
      <c r="R744">
        <v>134607</v>
      </c>
    </row>
    <row r="745" spans="1:18" x14ac:dyDescent="0.25">
      <c r="A745" s="170">
        <v>44741</v>
      </c>
      <c r="B745" s="116">
        <v>2031</v>
      </c>
      <c r="C745" s="116">
        <v>1952.9749999999999</v>
      </c>
      <c r="D745" s="116">
        <v>1947.5</v>
      </c>
      <c r="E745" s="116">
        <v>2031</v>
      </c>
      <c r="F745" s="116">
        <v>3905.95</v>
      </c>
      <c r="G745">
        <v>9188</v>
      </c>
      <c r="H745" s="116"/>
      <c r="I745" s="116"/>
      <c r="L745" s="170">
        <v>44741</v>
      </c>
      <c r="M745" s="116">
        <v>1955.075</v>
      </c>
      <c r="N745" s="116">
        <v>2012.5</v>
      </c>
      <c r="O745" s="116">
        <v>1945.075</v>
      </c>
      <c r="P745" s="116">
        <v>2012.5</v>
      </c>
      <c r="Q745" s="116">
        <v>3910.15</v>
      </c>
      <c r="R745">
        <v>273226</v>
      </c>
    </row>
    <row r="746" spans="1:18" x14ac:dyDescent="0.25">
      <c r="A746" s="170">
        <v>44742</v>
      </c>
      <c r="B746" s="116">
        <v>1997.5</v>
      </c>
      <c r="C746" s="116">
        <v>1905.85</v>
      </c>
      <c r="D746" s="116">
        <v>1895.45</v>
      </c>
      <c r="E746" s="116">
        <v>1957.5250000000001</v>
      </c>
      <c r="F746" s="116">
        <v>3811.7</v>
      </c>
      <c r="G746">
        <v>7744</v>
      </c>
      <c r="H746" s="116"/>
      <c r="I746" s="116"/>
      <c r="L746" s="170">
        <v>44742</v>
      </c>
      <c r="M746" s="116">
        <v>1904.6</v>
      </c>
      <c r="N746" s="116">
        <v>1997.5</v>
      </c>
      <c r="O746" s="116">
        <v>1894</v>
      </c>
      <c r="P746" s="116">
        <v>1967.425</v>
      </c>
      <c r="Q746" s="116">
        <v>3809.2</v>
      </c>
      <c r="R746">
        <v>203347</v>
      </c>
    </row>
    <row r="747" spans="1:18" x14ac:dyDescent="0.25">
      <c r="A747" s="170">
        <v>44743</v>
      </c>
      <c r="B747" s="116">
        <v>1937</v>
      </c>
      <c r="C747" s="116">
        <v>1909.6</v>
      </c>
      <c r="D747" s="116">
        <v>1896.3</v>
      </c>
      <c r="E747" s="116">
        <v>1915.85</v>
      </c>
      <c r="F747" s="116">
        <v>3819.2</v>
      </c>
      <c r="G747">
        <v>9260</v>
      </c>
      <c r="H747" s="116"/>
      <c r="I747" s="116"/>
      <c r="L747" s="170">
        <v>44743</v>
      </c>
      <c r="M747" s="116">
        <v>1909.25</v>
      </c>
      <c r="N747" s="116">
        <v>1938.7</v>
      </c>
      <c r="O747" s="116">
        <v>1895.5250000000001</v>
      </c>
      <c r="P747" s="116">
        <v>1911.25</v>
      </c>
      <c r="Q747" s="116">
        <v>3818.5</v>
      </c>
      <c r="R747">
        <v>98110</v>
      </c>
    </row>
    <row r="748" spans="1:18" x14ac:dyDescent="0.25">
      <c r="A748" s="170">
        <v>44746</v>
      </c>
      <c r="B748" s="116">
        <v>1934.25</v>
      </c>
      <c r="C748" s="116">
        <v>1882.075</v>
      </c>
      <c r="D748" s="116">
        <v>1875.75</v>
      </c>
      <c r="E748" s="116">
        <v>1909.6</v>
      </c>
      <c r="F748" s="116">
        <v>3764.15</v>
      </c>
      <c r="G748">
        <v>10301</v>
      </c>
      <c r="H748" s="116"/>
      <c r="I748" s="116"/>
      <c r="L748" s="170">
        <v>44746</v>
      </c>
      <c r="M748" s="116">
        <v>1882.7750000000001</v>
      </c>
      <c r="N748" s="116">
        <v>1933.825</v>
      </c>
      <c r="O748" s="116">
        <v>1875.5</v>
      </c>
      <c r="P748" s="116">
        <v>1922.5250000000001</v>
      </c>
      <c r="Q748" s="116">
        <v>3765.55</v>
      </c>
      <c r="R748">
        <v>116963</v>
      </c>
    </row>
    <row r="749" spans="1:18" x14ac:dyDescent="0.25">
      <c r="A749" s="170">
        <v>44747</v>
      </c>
      <c r="B749" s="116">
        <v>1912.45</v>
      </c>
      <c r="C749" s="116">
        <v>1854.7</v>
      </c>
      <c r="D749" s="116">
        <v>1850.5</v>
      </c>
      <c r="E749" s="116">
        <v>1912.45</v>
      </c>
      <c r="F749" s="116">
        <v>3709.4</v>
      </c>
      <c r="G749">
        <v>5667</v>
      </c>
      <c r="H749" s="116"/>
      <c r="I749" s="116"/>
      <c r="L749" s="170">
        <v>44747</v>
      </c>
      <c r="M749" s="116">
        <v>1854.825</v>
      </c>
      <c r="N749" s="116">
        <v>1915.35</v>
      </c>
      <c r="O749" s="116">
        <v>1850.125</v>
      </c>
      <c r="P749" s="116">
        <v>1900.5</v>
      </c>
      <c r="Q749" s="116">
        <v>3709.65</v>
      </c>
      <c r="R749">
        <v>165441</v>
      </c>
    </row>
    <row r="750" spans="1:18" x14ac:dyDescent="0.25">
      <c r="A750" s="170">
        <v>44748</v>
      </c>
      <c r="B750" s="116">
        <v>1890</v>
      </c>
      <c r="C750" s="116">
        <v>1874.5250000000001</v>
      </c>
      <c r="D750" s="116">
        <v>1838.0250000000001</v>
      </c>
      <c r="E750" s="116">
        <v>1875</v>
      </c>
      <c r="F750" s="116">
        <v>3749.05</v>
      </c>
      <c r="G750">
        <v>5391</v>
      </c>
      <c r="H750" s="116"/>
      <c r="I750" s="116"/>
      <c r="L750" s="170">
        <v>44748</v>
      </c>
      <c r="M750" s="116">
        <v>1867.575</v>
      </c>
      <c r="N750" s="116">
        <v>1890</v>
      </c>
      <c r="O750" s="116">
        <v>1838</v>
      </c>
      <c r="P750" s="116">
        <v>1862.5</v>
      </c>
      <c r="Q750" s="116">
        <v>3735.15</v>
      </c>
      <c r="R750">
        <v>215465</v>
      </c>
    </row>
    <row r="751" spans="1:18" x14ac:dyDescent="0.25">
      <c r="A751" s="170">
        <v>44749</v>
      </c>
      <c r="B751" s="116">
        <v>1961</v>
      </c>
      <c r="C751" s="116">
        <v>1956.2</v>
      </c>
      <c r="D751" s="116">
        <v>1889.45</v>
      </c>
      <c r="E751" s="116">
        <v>1909</v>
      </c>
      <c r="F751" s="116">
        <v>3912.4</v>
      </c>
      <c r="G751">
        <v>18487</v>
      </c>
      <c r="H751" s="116"/>
      <c r="I751" s="116"/>
      <c r="L751" s="170">
        <v>44749</v>
      </c>
      <c r="M751" s="116">
        <v>1955.875</v>
      </c>
      <c r="N751" s="116">
        <v>1962.5</v>
      </c>
      <c r="O751" s="116">
        <v>1890</v>
      </c>
      <c r="P751" s="116">
        <v>1900.075</v>
      </c>
      <c r="Q751" s="116">
        <v>3911.75</v>
      </c>
      <c r="R751">
        <v>301819</v>
      </c>
    </row>
    <row r="752" spans="1:18" x14ac:dyDescent="0.25">
      <c r="A752" s="170">
        <v>44750</v>
      </c>
      <c r="B752" s="116">
        <v>1985</v>
      </c>
      <c r="C752" s="116">
        <v>1952.15</v>
      </c>
      <c r="D752" s="116">
        <v>1937.5</v>
      </c>
      <c r="E752" s="116">
        <v>1985</v>
      </c>
      <c r="F752" s="116">
        <v>3904.3</v>
      </c>
      <c r="G752">
        <v>7291</v>
      </c>
      <c r="H752" s="116"/>
      <c r="I752" s="116"/>
      <c r="L752" s="170">
        <v>44750</v>
      </c>
      <c r="M752" s="116">
        <v>1954.2249999999999</v>
      </c>
      <c r="N752" s="116">
        <v>1979.9749999999999</v>
      </c>
      <c r="O752" s="116">
        <v>1936</v>
      </c>
      <c r="P752" s="116">
        <v>1979.75</v>
      </c>
      <c r="Q752" s="116">
        <v>3908.45</v>
      </c>
      <c r="R752">
        <v>106534</v>
      </c>
    </row>
    <row r="753" spans="1:18" x14ac:dyDescent="0.25">
      <c r="A753" s="170">
        <v>44753</v>
      </c>
      <c r="B753" s="116">
        <v>1970</v>
      </c>
      <c r="C753" s="116">
        <v>1944.175</v>
      </c>
      <c r="D753" s="116">
        <v>1938</v>
      </c>
      <c r="E753" s="116">
        <v>1957.5</v>
      </c>
      <c r="F753" s="116">
        <v>3888.35</v>
      </c>
      <c r="G753">
        <v>2499</v>
      </c>
      <c r="H753" s="116"/>
      <c r="I753" s="116"/>
      <c r="L753" s="170">
        <v>44753</v>
      </c>
      <c r="M753" s="116">
        <v>1943.2750000000001</v>
      </c>
      <c r="N753" s="116">
        <v>1973.95</v>
      </c>
      <c r="O753" s="116">
        <v>1937.7</v>
      </c>
      <c r="P753" s="116">
        <v>1973.95</v>
      </c>
      <c r="Q753" s="116">
        <v>3886.55</v>
      </c>
      <c r="R753">
        <v>82410</v>
      </c>
    </row>
    <row r="754" spans="1:18" x14ac:dyDescent="0.25">
      <c r="A754" s="170">
        <v>44754</v>
      </c>
      <c r="B754" s="116">
        <v>1961.9749999999999</v>
      </c>
      <c r="C754" s="116">
        <v>1923.4</v>
      </c>
      <c r="D754" s="116">
        <v>1916.375</v>
      </c>
      <c r="E754" s="116">
        <v>1959.9749999999999</v>
      </c>
      <c r="F754" s="116">
        <v>3846.8</v>
      </c>
      <c r="G754">
        <v>9100</v>
      </c>
      <c r="H754" s="116"/>
      <c r="I754" s="116"/>
      <c r="L754" s="170">
        <v>44754</v>
      </c>
      <c r="M754" s="116">
        <v>1924.05</v>
      </c>
      <c r="N754" s="116">
        <v>1961.5</v>
      </c>
      <c r="O754" s="116">
        <v>1917.5250000000001</v>
      </c>
      <c r="P754" s="116">
        <v>1944.5</v>
      </c>
      <c r="Q754" s="116">
        <v>3848.1</v>
      </c>
      <c r="R754">
        <v>76206</v>
      </c>
    </row>
    <row r="755" spans="1:18" x14ac:dyDescent="0.25">
      <c r="A755" s="170">
        <v>44755</v>
      </c>
      <c r="B755" s="116">
        <v>1965.95</v>
      </c>
      <c r="C755" s="116">
        <v>1954.625</v>
      </c>
      <c r="D755" s="116">
        <v>1935.45</v>
      </c>
      <c r="E755" s="116">
        <v>1938.9749999999999</v>
      </c>
      <c r="F755" s="116">
        <v>3909.25</v>
      </c>
      <c r="G755">
        <v>2059</v>
      </c>
      <c r="H755" s="116"/>
      <c r="I755" s="116"/>
      <c r="L755" s="170">
        <v>44755</v>
      </c>
      <c r="M755" s="116">
        <v>1955.65</v>
      </c>
      <c r="N755" s="116">
        <v>1967.5</v>
      </c>
      <c r="O755" s="116">
        <v>1929.6</v>
      </c>
      <c r="P755" s="116">
        <v>1945.5</v>
      </c>
      <c r="Q755" s="116">
        <v>3911.3</v>
      </c>
      <c r="R755">
        <v>81089</v>
      </c>
    </row>
    <row r="756" spans="1:18" x14ac:dyDescent="0.25">
      <c r="A756" s="170">
        <v>44756</v>
      </c>
      <c r="B756" s="116">
        <v>1984.875</v>
      </c>
      <c r="C756" s="116">
        <v>1959.25</v>
      </c>
      <c r="D756" s="116">
        <v>1944</v>
      </c>
      <c r="E756" s="116">
        <v>1954.625</v>
      </c>
      <c r="F756" s="116">
        <v>3918.5</v>
      </c>
      <c r="G756">
        <v>2475</v>
      </c>
      <c r="H756" s="116"/>
      <c r="I756" s="116"/>
      <c r="L756" s="170">
        <v>44756</v>
      </c>
      <c r="M756" s="116">
        <v>1960.125</v>
      </c>
      <c r="N756" s="116">
        <v>1984.5</v>
      </c>
      <c r="O756" s="116">
        <v>1941.4749999999999</v>
      </c>
      <c r="P756" s="116">
        <v>1956.55</v>
      </c>
      <c r="Q756" s="116">
        <v>3920.25</v>
      </c>
      <c r="R756">
        <v>101612</v>
      </c>
    </row>
    <row r="757" spans="1:18" x14ac:dyDescent="0.25">
      <c r="A757" s="170">
        <v>44757</v>
      </c>
      <c r="B757" s="116">
        <v>1995</v>
      </c>
      <c r="C757" s="116">
        <v>1987.875</v>
      </c>
      <c r="D757" s="116">
        <v>1947.5</v>
      </c>
      <c r="E757" s="116">
        <v>1960.675</v>
      </c>
      <c r="F757" s="116">
        <v>3975.75</v>
      </c>
      <c r="G757">
        <v>3269</v>
      </c>
      <c r="H757" s="116"/>
      <c r="I757" s="116"/>
      <c r="L757" s="170">
        <v>44757</v>
      </c>
      <c r="M757" s="116">
        <v>1988</v>
      </c>
      <c r="N757" s="116">
        <v>1994.5</v>
      </c>
      <c r="O757" s="116">
        <v>1946.35</v>
      </c>
      <c r="P757" s="116">
        <v>1974.5</v>
      </c>
      <c r="Q757" s="116">
        <v>3976</v>
      </c>
      <c r="R757">
        <v>115843</v>
      </c>
    </row>
    <row r="758" spans="1:18" x14ac:dyDescent="0.25">
      <c r="A758" s="170">
        <v>44760</v>
      </c>
      <c r="B758" s="116">
        <v>2067.5</v>
      </c>
      <c r="C758" s="116">
        <v>2036.35</v>
      </c>
      <c r="D758" s="116">
        <v>1987.5</v>
      </c>
      <c r="E758" s="116">
        <v>1987.5</v>
      </c>
      <c r="F758" s="116">
        <v>4072.7</v>
      </c>
      <c r="G758">
        <v>4597</v>
      </c>
      <c r="H758" s="116"/>
      <c r="I758" s="116"/>
      <c r="L758" s="170">
        <v>44760</v>
      </c>
      <c r="M758" s="116">
        <v>2034.175</v>
      </c>
      <c r="N758" s="116">
        <v>2068.9499999999998</v>
      </c>
      <c r="O758" s="116">
        <v>1993.2750000000001</v>
      </c>
      <c r="P758" s="116">
        <v>1999.5</v>
      </c>
      <c r="Q758" s="116">
        <v>4068.35</v>
      </c>
      <c r="R758">
        <v>157441</v>
      </c>
    </row>
    <row r="759" spans="1:18" x14ac:dyDescent="0.25">
      <c r="A759" s="170">
        <v>44761</v>
      </c>
      <c r="B759" s="116">
        <v>2062.1</v>
      </c>
      <c r="C759" s="116">
        <v>2054.4499999999998</v>
      </c>
      <c r="D759" s="116">
        <v>2018.6</v>
      </c>
      <c r="E759" s="116">
        <v>2030</v>
      </c>
      <c r="F759" s="116">
        <v>4108.8999999999996</v>
      </c>
      <c r="G759">
        <v>5633</v>
      </c>
      <c r="H759" s="116"/>
      <c r="I759" s="116"/>
      <c r="L759" s="170">
        <v>44761</v>
      </c>
      <c r="M759" s="116">
        <v>2054</v>
      </c>
      <c r="N759" s="116">
        <v>2062.2750000000001</v>
      </c>
      <c r="O759" s="116">
        <v>2020</v>
      </c>
      <c r="P759" s="116">
        <v>2032.5</v>
      </c>
      <c r="Q759" s="116">
        <v>4108</v>
      </c>
      <c r="R759">
        <v>102132</v>
      </c>
    </row>
    <row r="760" spans="1:18" x14ac:dyDescent="0.25">
      <c r="A760" s="170">
        <v>44762</v>
      </c>
      <c r="B760" s="116">
        <v>2119.5749999999998</v>
      </c>
      <c r="C760" s="116">
        <v>2079.9250000000002</v>
      </c>
      <c r="D760" s="116">
        <v>2064.9250000000002</v>
      </c>
      <c r="E760" s="116">
        <v>2064.9250000000002</v>
      </c>
      <c r="F760" s="116">
        <v>4159.8500000000004</v>
      </c>
      <c r="G760">
        <v>8952</v>
      </c>
      <c r="H760" s="116"/>
      <c r="I760" s="116"/>
      <c r="L760" s="170">
        <v>44762</v>
      </c>
      <c r="M760" s="116">
        <v>2081.4250000000002</v>
      </c>
      <c r="N760" s="116">
        <v>2119.9499999999998</v>
      </c>
      <c r="O760" s="116">
        <v>2067.5</v>
      </c>
      <c r="P760" s="116">
        <v>2070</v>
      </c>
      <c r="Q760" s="116">
        <v>4162.8500000000004</v>
      </c>
      <c r="R760">
        <v>148718</v>
      </c>
    </row>
    <row r="761" spans="1:18" x14ac:dyDescent="0.25">
      <c r="A761" s="170">
        <v>44763</v>
      </c>
      <c r="B761" s="116">
        <v>2136</v>
      </c>
      <c r="C761" s="116">
        <v>2127.35</v>
      </c>
      <c r="D761" s="116">
        <v>2071.6999999999998</v>
      </c>
      <c r="E761" s="116">
        <v>2097</v>
      </c>
      <c r="F761" s="116">
        <v>4254.7</v>
      </c>
      <c r="G761">
        <v>6058</v>
      </c>
      <c r="H761" s="116"/>
      <c r="I761" s="116"/>
      <c r="L761" s="170">
        <v>44763</v>
      </c>
      <c r="M761" s="116">
        <v>2128.15</v>
      </c>
      <c r="N761" s="116">
        <v>2137.5</v>
      </c>
      <c r="O761" s="116">
        <v>2069.5500000000002</v>
      </c>
      <c r="P761" s="116">
        <v>2081.4250000000002</v>
      </c>
      <c r="Q761" s="116">
        <v>4256.3</v>
      </c>
      <c r="R761">
        <v>151518</v>
      </c>
    </row>
    <row r="762" spans="1:18" x14ac:dyDescent="0.25">
      <c r="A762" s="170">
        <v>44764</v>
      </c>
      <c r="B762" s="116">
        <v>2087.25</v>
      </c>
      <c r="C762" s="116">
        <v>2038.55</v>
      </c>
      <c r="D762" s="116">
        <v>2025.5</v>
      </c>
      <c r="E762" s="116">
        <v>2070</v>
      </c>
      <c r="F762" s="116">
        <v>4077.1</v>
      </c>
      <c r="G762">
        <v>11698</v>
      </c>
      <c r="H762" s="116"/>
      <c r="I762" s="116"/>
      <c r="L762" s="170">
        <v>44764</v>
      </c>
      <c r="M762" s="116">
        <v>2037.2249999999999</v>
      </c>
      <c r="N762" s="116">
        <v>2090.7249999999999</v>
      </c>
      <c r="O762" s="116">
        <v>2025</v>
      </c>
      <c r="P762" s="116">
        <v>2057.5</v>
      </c>
      <c r="Q762" s="116">
        <v>4074.45</v>
      </c>
      <c r="R762">
        <v>481727</v>
      </c>
    </row>
    <row r="763" spans="1:18" x14ac:dyDescent="0.25">
      <c r="A763" s="170">
        <v>44767</v>
      </c>
      <c r="B763" s="116">
        <v>2032.75</v>
      </c>
      <c r="C763" s="116">
        <v>1992.7</v>
      </c>
      <c r="D763" s="116">
        <v>1965</v>
      </c>
      <c r="E763" s="116">
        <v>2025</v>
      </c>
      <c r="F763" s="116">
        <v>3985.4</v>
      </c>
      <c r="G763">
        <v>12623</v>
      </c>
      <c r="H763" s="116"/>
      <c r="I763" s="116"/>
      <c r="L763" s="170">
        <v>44767</v>
      </c>
      <c r="M763" s="116">
        <v>1993.3</v>
      </c>
      <c r="N763" s="116">
        <v>2036.8</v>
      </c>
      <c r="O763" s="116">
        <v>1963.6</v>
      </c>
      <c r="P763" s="116">
        <v>2031</v>
      </c>
      <c r="Q763" s="116">
        <v>3986.6</v>
      </c>
      <c r="R763">
        <v>199856</v>
      </c>
    </row>
    <row r="764" spans="1:18" x14ac:dyDescent="0.25">
      <c r="A764" s="170">
        <v>44768</v>
      </c>
      <c r="B764" s="116">
        <v>2043.625</v>
      </c>
      <c r="C764" s="116">
        <v>2010.175</v>
      </c>
      <c r="D764" s="116">
        <v>1984.7</v>
      </c>
      <c r="E764" s="116">
        <v>1984.7</v>
      </c>
      <c r="F764" s="116">
        <v>4020.35</v>
      </c>
      <c r="G764">
        <v>4085</v>
      </c>
      <c r="H764" s="116"/>
      <c r="I764" s="116"/>
      <c r="L764" s="170">
        <v>44768</v>
      </c>
      <c r="M764" s="116">
        <v>2008.5250000000001</v>
      </c>
      <c r="N764" s="116">
        <v>2044.4</v>
      </c>
      <c r="O764" s="116">
        <v>1987.325</v>
      </c>
      <c r="P764" s="116">
        <v>2000.5</v>
      </c>
      <c r="Q764" s="116">
        <v>4017.05</v>
      </c>
      <c r="R764">
        <v>171095</v>
      </c>
    </row>
    <row r="765" spans="1:18" x14ac:dyDescent="0.25">
      <c r="A765" s="170">
        <v>44769</v>
      </c>
      <c r="B765" s="116">
        <v>2065</v>
      </c>
      <c r="C765" s="116">
        <v>2051.9250000000002</v>
      </c>
      <c r="D765" s="116">
        <v>2015.05</v>
      </c>
      <c r="E765" s="116">
        <v>2017.5</v>
      </c>
      <c r="F765" s="116">
        <v>4103.8500000000004</v>
      </c>
      <c r="G765">
        <v>16508</v>
      </c>
      <c r="H765" s="116"/>
      <c r="I765" s="116"/>
      <c r="L765" s="170">
        <v>44769</v>
      </c>
      <c r="M765" s="116">
        <v>2049.3000000000002</v>
      </c>
      <c r="N765" s="116">
        <v>2065</v>
      </c>
      <c r="O765" s="116">
        <v>2014.95</v>
      </c>
      <c r="P765" s="116">
        <v>2014.9749999999999</v>
      </c>
      <c r="Q765" s="116">
        <v>4098.6000000000004</v>
      </c>
      <c r="R765">
        <v>224084</v>
      </c>
    </row>
    <row r="766" spans="1:18" x14ac:dyDescent="0.25">
      <c r="A766" s="170">
        <v>44770</v>
      </c>
      <c r="B766" s="116">
        <v>2089.0500000000002</v>
      </c>
      <c r="C766" s="116">
        <v>2078.4</v>
      </c>
      <c r="D766" s="116">
        <v>2055</v>
      </c>
      <c r="E766" s="116">
        <v>2074.9749999999999</v>
      </c>
      <c r="F766" s="116">
        <v>4156.8</v>
      </c>
      <c r="G766">
        <v>8407</v>
      </c>
      <c r="H766" s="116"/>
      <c r="I766" s="116"/>
      <c r="L766" s="170">
        <v>44770</v>
      </c>
      <c r="M766" s="116">
        <v>2079.1</v>
      </c>
      <c r="N766" s="116">
        <v>2088.5</v>
      </c>
      <c r="O766" s="116">
        <v>2053.5</v>
      </c>
      <c r="P766" s="116">
        <v>2066</v>
      </c>
      <c r="Q766" s="116">
        <v>4158.2</v>
      </c>
      <c r="R766">
        <v>139188</v>
      </c>
    </row>
    <row r="767" spans="1:18" x14ac:dyDescent="0.25">
      <c r="A767" s="170">
        <v>44771</v>
      </c>
      <c r="B767" s="116">
        <v>2154.65</v>
      </c>
      <c r="C767" s="116">
        <v>2127.3249999999998</v>
      </c>
      <c r="D767" s="116">
        <v>2080</v>
      </c>
      <c r="E767" s="116">
        <v>2080</v>
      </c>
      <c r="F767" s="116">
        <v>4254.6499999999996</v>
      </c>
      <c r="G767">
        <v>3975</v>
      </c>
      <c r="H767" s="116"/>
      <c r="I767" s="116"/>
      <c r="L767" s="170">
        <v>44771</v>
      </c>
      <c r="M767" s="116">
        <v>2127.0749999999998</v>
      </c>
      <c r="N767" s="116">
        <v>2155</v>
      </c>
      <c r="O767" s="116">
        <v>2089.6750000000002</v>
      </c>
      <c r="P767" s="116">
        <v>2092.5</v>
      </c>
      <c r="Q767" s="116">
        <v>4254.1499999999996</v>
      </c>
      <c r="R767">
        <v>130438</v>
      </c>
    </row>
    <row r="768" spans="1:18" x14ac:dyDescent="0.25">
      <c r="A768" s="170">
        <v>44774</v>
      </c>
      <c r="B768" s="116">
        <v>2164.2750000000001</v>
      </c>
      <c r="C768" s="116">
        <v>2149.2750000000001</v>
      </c>
      <c r="D768" s="116">
        <v>2116.8249999999998</v>
      </c>
      <c r="E768" s="116">
        <v>2145</v>
      </c>
      <c r="F768" s="116">
        <v>4298.55</v>
      </c>
      <c r="G768">
        <v>6660</v>
      </c>
      <c r="H768" s="116"/>
      <c r="I768" s="116"/>
      <c r="L768" s="170">
        <v>44774</v>
      </c>
      <c r="M768" s="116">
        <v>2150.0250000000001</v>
      </c>
      <c r="N768" s="116">
        <v>2165</v>
      </c>
      <c r="O768" s="116">
        <v>2117.5</v>
      </c>
      <c r="P768" s="116">
        <v>2144.9499999999998</v>
      </c>
      <c r="Q768" s="116">
        <v>4300.05</v>
      </c>
      <c r="R768">
        <v>87907</v>
      </c>
    </row>
    <row r="769" spans="1:18" x14ac:dyDescent="0.25">
      <c r="A769" s="170">
        <v>44775</v>
      </c>
      <c r="B769" s="116">
        <v>2166.375</v>
      </c>
      <c r="C769" s="116">
        <v>2157.5</v>
      </c>
      <c r="D769" s="116">
        <v>2114.2249999999999</v>
      </c>
      <c r="E769" s="116">
        <v>2165.5</v>
      </c>
      <c r="F769" s="116">
        <v>4315</v>
      </c>
      <c r="G769">
        <v>5278</v>
      </c>
      <c r="H769" s="116"/>
      <c r="I769" s="116"/>
      <c r="L769" s="170">
        <v>44775</v>
      </c>
      <c r="M769" s="116">
        <v>2157.4749999999999</v>
      </c>
      <c r="N769" s="116">
        <v>2167.0250000000001</v>
      </c>
      <c r="O769" s="116">
        <v>2114</v>
      </c>
      <c r="P769" s="116">
        <v>2152.5</v>
      </c>
      <c r="Q769" s="116">
        <v>4314.95</v>
      </c>
      <c r="R769">
        <v>79026</v>
      </c>
    </row>
    <row r="770" spans="1:18" x14ac:dyDescent="0.25">
      <c r="A770" s="170">
        <v>44776</v>
      </c>
      <c r="B770" s="116">
        <v>2177.5</v>
      </c>
      <c r="C770" s="116">
        <v>2144.2249999999999</v>
      </c>
      <c r="D770" s="116">
        <v>2120</v>
      </c>
      <c r="E770" s="116">
        <v>2140.0500000000002</v>
      </c>
      <c r="F770" s="116">
        <v>4288.45</v>
      </c>
      <c r="G770">
        <v>5664</v>
      </c>
      <c r="H770" s="116"/>
      <c r="I770" s="116"/>
      <c r="L770" s="170">
        <v>44776</v>
      </c>
      <c r="M770" s="116">
        <v>2144.85</v>
      </c>
      <c r="N770" s="116">
        <v>2179.25</v>
      </c>
      <c r="O770" s="116">
        <v>2120</v>
      </c>
      <c r="P770" s="116">
        <v>2150.4749999999999</v>
      </c>
      <c r="Q770" s="116">
        <v>4289.7</v>
      </c>
      <c r="R770">
        <v>67250</v>
      </c>
    </row>
    <row r="771" spans="1:18" x14ac:dyDescent="0.25">
      <c r="A771" s="170">
        <v>44777</v>
      </c>
      <c r="B771" s="116">
        <v>2282.5</v>
      </c>
      <c r="C771" s="116">
        <v>2244.7750000000001</v>
      </c>
      <c r="D771" s="116">
        <v>2154.875</v>
      </c>
      <c r="E771" s="116">
        <v>2155</v>
      </c>
      <c r="F771" s="116">
        <v>4489.55</v>
      </c>
      <c r="G771">
        <v>14178</v>
      </c>
      <c r="H771" s="116"/>
      <c r="I771" s="116"/>
      <c r="L771" s="170">
        <v>44777</v>
      </c>
      <c r="M771" s="116">
        <v>2243.25</v>
      </c>
      <c r="N771" s="116">
        <v>2283.9250000000002</v>
      </c>
      <c r="O771" s="116">
        <v>2151.5</v>
      </c>
      <c r="P771" s="116">
        <v>2161.9749999999999</v>
      </c>
      <c r="Q771" s="116">
        <v>4486.5</v>
      </c>
      <c r="R771">
        <v>502987</v>
      </c>
    </row>
    <row r="772" spans="1:18" x14ac:dyDescent="0.25">
      <c r="A772" s="170">
        <v>44778</v>
      </c>
      <c r="B772" s="116">
        <v>2299.4</v>
      </c>
      <c r="C772" s="116">
        <v>2287.35</v>
      </c>
      <c r="D772" s="116">
        <v>2220</v>
      </c>
      <c r="E772" s="116">
        <v>2250</v>
      </c>
      <c r="F772" s="116">
        <v>4574.7</v>
      </c>
      <c r="G772">
        <v>14093</v>
      </c>
      <c r="H772" s="116"/>
      <c r="I772" s="116"/>
      <c r="L772" s="170">
        <v>44778</v>
      </c>
      <c r="M772" s="116">
        <v>2286.8000000000002</v>
      </c>
      <c r="N772" s="116">
        <v>2300.2750000000001</v>
      </c>
      <c r="O772" s="116">
        <v>2219.6750000000002</v>
      </c>
      <c r="P772" s="116">
        <v>2252</v>
      </c>
      <c r="Q772" s="116">
        <v>4573.6000000000004</v>
      </c>
      <c r="R772">
        <v>167497</v>
      </c>
    </row>
    <row r="773" spans="1:18" x14ac:dyDescent="0.25">
      <c r="A773" s="170">
        <v>44781</v>
      </c>
      <c r="B773" s="116">
        <v>2315</v>
      </c>
      <c r="C773" s="116">
        <v>2243.35</v>
      </c>
      <c r="D773" s="116">
        <v>2238</v>
      </c>
      <c r="E773" s="116">
        <v>2260.0749999999998</v>
      </c>
      <c r="F773" s="116">
        <v>4486.7</v>
      </c>
      <c r="G773">
        <v>19069</v>
      </c>
      <c r="H773" s="116"/>
      <c r="I773" s="116"/>
      <c r="L773" s="170">
        <v>44781</v>
      </c>
      <c r="M773" s="116">
        <v>2244.85</v>
      </c>
      <c r="N773" s="116">
        <v>2316</v>
      </c>
      <c r="O773" s="116">
        <v>2236.5</v>
      </c>
      <c r="P773" s="116">
        <v>2274.9749999999999</v>
      </c>
      <c r="Q773" s="116">
        <v>4489.7</v>
      </c>
      <c r="R773">
        <v>230516</v>
      </c>
    </row>
    <row r="774" spans="1:18" x14ac:dyDescent="0.25">
      <c r="A774" s="170">
        <v>44783</v>
      </c>
      <c r="B774" s="116">
        <v>2242</v>
      </c>
      <c r="C774" s="116">
        <v>2193.2249999999999</v>
      </c>
      <c r="D774" s="116">
        <v>2183.5</v>
      </c>
      <c r="E774" s="116">
        <v>2241.4250000000002</v>
      </c>
      <c r="F774" s="116">
        <v>4386.45</v>
      </c>
      <c r="G774">
        <v>6239</v>
      </c>
      <c r="H774" s="116"/>
      <c r="I774" s="116"/>
      <c r="L774" s="170">
        <v>44783</v>
      </c>
      <c r="M774" s="116">
        <v>2194.875</v>
      </c>
      <c r="N774" s="116">
        <v>2242.5</v>
      </c>
      <c r="O774" s="116">
        <v>2181</v>
      </c>
      <c r="P774" s="116">
        <v>2242.5</v>
      </c>
      <c r="Q774" s="116">
        <v>4389.75</v>
      </c>
      <c r="R774">
        <v>115183</v>
      </c>
    </row>
    <row r="775" spans="1:18" x14ac:dyDescent="0.25">
      <c r="A775" s="170">
        <v>44784</v>
      </c>
      <c r="B775" s="116">
        <v>2226.7750000000001</v>
      </c>
      <c r="C775" s="116">
        <v>2185.1750000000002</v>
      </c>
      <c r="D775" s="116">
        <v>2176.5</v>
      </c>
      <c r="E775" s="116">
        <v>2222</v>
      </c>
      <c r="F775" s="116">
        <v>4370.3500000000004</v>
      </c>
      <c r="G775">
        <v>2187</v>
      </c>
      <c r="H775" s="116"/>
      <c r="I775" s="116"/>
      <c r="L775" s="170">
        <v>44784</v>
      </c>
      <c r="M775" s="116">
        <v>2187.3249999999998</v>
      </c>
      <c r="N775" s="116">
        <v>2228.35</v>
      </c>
      <c r="O775" s="116">
        <v>2175.25</v>
      </c>
      <c r="P775" s="116">
        <v>2213.1999999999998</v>
      </c>
      <c r="Q775" s="116">
        <v>4374.6499999999996</v>
      </c>
      <c r="R775">
        <v>72667</v>
      </c>
    </row>
    <row r="776" spans="1:18" x14ac:dyDescent="0.25">
      <c r="A776" s="170">
        <v>44785</v>
      </c>
      <c r="B776" s="116">
        <v>2187.9250000000002</v>
      </c>
      <c r="C776" s="116">
        <v>2130.375</v>
      </c>
      <c r="D776" s="116">
        <v>2122.8249999999998</v>
      </c>
      <c r="E776" s="116">
        <v>2175.5</v>
      </c>
      <c r="F776" s="116">
        <v>4260.75</v>
      </c>
      <c r="G776">
        <v>4749</v>
      </c>
      <c r="H776" s="116"/>
      <c r="I776" s="116"/>
      <c r="L776" s="170">
        <v>44785</v>
      </c>
      <c r="M776" s="116">
        <v>2136</v>
      </c>
      <c r="N776" s="116">
        <v>2188.85</v>
      </c>
      <c r="O776" s="116">
        <v>2129.0500000000002</v>
      </c>
      <c r="P776" s="116">
        <v>2185</v>
      </c>
      <c r="Q776" s="116">
        <v>4272</v>
      </c>
      <c r="R776">
        <v>107343</v>
      </c>
    </row>
    <row r="777" spans="1:18" x14ac:dyDescent="0.25">
      <c r="A777" s="170">
        <v>44789</v>
      </c>
      <c r="B777" s="116">
        <v>2198.5</v>
      </c>
      <c r="C777" s="116">
        <v>2190.9250000000002</v>
      </c>
      <c r="D777" s="116">
        <v>2130.5500000000002</v>
      </c>
      <c r="E777" s="116">
        <v>2130.5500000000002</v>
      </c>
      <c r="F777" s="116">
        <v>4381.8500000000004</v>
      </c>
      <c r="G777">
        <v>6921</v>
      </c>
      <c r="H777" s="116"/>
      <c r="I777" s="116"/>
      <c r="L777" s="170">
        <v>44789</v>
      </c>
      <c r="M777" s="116">
        <v>2190.9749999999999</v>
      </c>
      <c r="N777" s="116">
        <v>2199.85</v>
      </c>
      <c r="O777" s="116">
        <v>2133.4499999999998</v>
      </c>
      <c r="P777" s="116">
        <v>2147.5</v>
      </c>
      <c r="Q777" s="116">
        <v>4381.95</v>
      </c>
      <c r="R777">
        <v>182939</v>
      </c>
    </row>
    <row r="778" spans="1:18" x14ac:dyDescent="0.25">
      <c r="A778" s="170">
        <v>44790</v>
      </c>
      <c r="B778" s="116">
        <v>2216.375</v>
      </c>
      <c r="C778" s="116">
        <v>2186.1</v>
      </c>
      <c r="D778" s="116">
        <v>2159.4</v>
      </c>
      <c r="E778" s="116">
        <v>2195.15</v>
      </c>
      <c r="F778" s="116">
        <v>4372.2</v>
      </c>
      <c r="G778">
        <v>6348</v>
      </c>
      <c r="H778" s="116"/>
      <c r="I778" s="116"/>
      <c r="L778" s="170">
        <v>44790</v>
      </c>
      <c r="M778" s="116">
        <v>2190.0749999999998</v>
      </c>
      <c r="N778" s="116">
        <v>2217.5</v>
      </c>
      <c r="O778" s="116">
        <v>2160.25</v>
      </c>
      <c r="P778" s="116">
        <v>2202.65</v>
      </c>
      <c r="Q778" s="116">
        <v>4380.1499999999996</v>
      </c>
      <c r="R778">
        <v>187490</v>
      </c>
    </row>
    <row r="779" spans="1:18" x14ac:dyDescent="0.25">
      <c r="A779" s="170">
        <v>44791</v>
      </c>
      <c r="B779" s="116">
        <v>2254.9749999999999</v>
      </c>
      <c r="C779" s="116">
        <v>2219.3249999999998</v>
      </c>
      <c r="D779" s="116">
        <v>2190.4749999999999</v>
      </c>
      <c r="E779" s="116">
        <v>2195.5250000000001</v>
      </c>
      <c r="F779" s="116">
        <v>4438.6499999999996</v>
      </c>
      <c r="G779">
        <v>4134</v>
      </c>
      <c r="H779" s="116"/>
      <c r="I779" s="116"/>
      <c r="L779" s="170">
        <v>44791</v>
      </c>
      <c r="M779" s="116">
        <v>2217.35</v>
      </c>
      <c r="N779" s="116">
        <v>2255</v>
      </c>
      <c r="O779" s="116">
        <v>2190</v>
      </c>
      <c r="P779" s="116">
        <v>2192.5</v>
      </c>
      <c r="Q779" s="116">
        <v>4434.7</v>
      </c>
      <c r="R779">
        <v>198389</v>
      </c>
    </row>
    <row r="780" spans="1:18" x14ac:dyDescent="0.25">
      <c r="A780" s="170">
        <v>44792</v>
      </c>
      <c r="B780" s="116">
        <v>2240</v>
      </c>
      <c r="C780" s="116">
        <v>2146.4</v>
      </c>
      <c r="D780" s="116">
        <v>2130</v>
      </c>
      <c r="E780" s="116">
        <v>2240</v>
      </c>
      <c r="F780" s="116">
        <v>4292.8</v>
      </c>
      <c r="G780">
        <v>10654</v>
      </c>
      <c r="H780" s="116"/>
      <c r="I780" s="116"/>
      <c r="L780" s="170">
        <v>44792</v>
      </c>
      <c r="M780" s="116">
        <v>2148.85</v>
      </c>
      <c r="N780" s="116">
        <v>2249.5</v>
      </c>
      <c r="O780" s="116">
        <v>2131.5250000000001</v>
      </c>
      <c r="P780" s="116">
        <v>2232.5</v>
      </c>
      <c r="Q780" s="116">
        <v>4297.7</v>
      </c>
      <c r="R780">
        <v>100523</v>
      </c>
    </row>
    <row r="781" spans="1:18" x14ac:dyDescent="0.25">
      <c r="A781" s="170">
        <v>44795</v>
      </c>
      <c r="B781" s="116">
        <v>2150</v>
      </c>
      <c r="C781" s="116">
        <v>2056.5500000000002</v>
      </c>
      <c r="D781" s="116">
        <v>2050.6750000000002</v>
      </c>
      <c r="E781" s="116">
        <v>2146.4</v>
      </c>
      <c r="F781" s="116">
        <v>4113.1000000000004</v>
      </c>
      <c r="G781">
        <v>24752</v>
      </c>
      <c r="H781" s="116"/>
      <c r="I781" s="116"/>
      <c r="L781" s="170">
        <v>44795</v>
      </c>
      <c r="M781" s="116">
        <v>2054.9499999999998</v>
      </c>
      <c r="N781" s="116">
        <v>2162.4749999999999</v>
      </c>
      <c r="O781" s="116">
        <v>2050</v>
      </c>
      <c r="P781" s="116">
        <v>2149.5</v>
      </c>
      <c r="Q781" s="116">
        <v>4109.8999999999996</v>
      </c>
      <c r="R781">
        <v>347374</v>
      </c>
    </row>
    <row r="782" spans="1:18" x14ac:dyDescent="0.25">
      <c r="A782" s="170">
        <v>44796</v>
      </c>
      <c r="B782" s="116">
        <v>2080</v>
      </c>
      <c r="C782" s="116">
        <v>2063.1999999999998</v>
      </c>
      <c r="D782" s="116">
        <v>2020.15</v>
      </c>
      <c r="E782" s="116">
        <v>2028</v>
      </c>
      <c r="F782" s="116">
        <v>4126.3999999999996</v>
      </c>
      <c r="G782">
        <v>8642</v>
      </c>
      <c r="H782" s="116"/>
      <c r="I782" s="116"/>
      <c r="L782" s="170">
        <v>44796</v>
      </c>
      <c r="M782" s="116">
        <v>2062.875</v>
      </c>
      <c r="N782" s="116">
        <v>2080.625</v>
      </c>
      <c r="O782" s="116">
        <v>2018.75</v>
      </c>
      <c r="P782" s="116">
        <v>2030</v>
      </c>
      <c r="Q782" s="116">
        <v>4125.75</v>
      </c>
      <c r="R782">
        <v>108148</v>
      </c>
    </row>
    <row r="783" spans="1:18" x14ac:dyDescent="0.25">
      <c r="A783" s="170">
        <v>44797</v>
      </c>
      <c r="B783" s="116">
        <v>2086.4499999999998</v>
      </c>
      <c r="C783" s="116">
        <v>2045.7</v>
      </c>
      <c r="D783" s="116">
        <v>2040.9749999999999</v>
      </c>
      <c r="E783" s="116">
        <v>2057.5250000000001</v>
      </c>
      <c r="F783" s="116">
        <v>4091.4</v>
      </c>
      <c r="G783">
        <v>14030</v>
      </c>
      <c r="H783" s="116"/>
      <c r="I783" s="116"/>
      <c r="L783" s="170">
        <v>44797</v>
      </c>
      <c r="M783" s="116">
        <v>2045.7249999999999</v>
      </c>
      <c r="N783" s="116">
        <v>2088.7249999999999</v>
      </c>
      <c r="O783" s="116">
        <v>2040.425</v>
      </c>
      <c r="P783" s="116">
        <v>2069.5</v>
      </c>
      <c r="Q783" s="116">
        <v>4091.45</v>
      </c>
      <c r="R783">
        <v>172204</v>
      </c>
    </row>
    <row r="784" spans="1:18" x14ac:dyDescent="0.25">
      <c r="A784" s="170">
        <v>44798</v>
      </c>
      <c r="B784" s="116">
        <v>2172.2249999999999</v>
      </c>
      <c r="C784" s="116">
        <v>2144.6999999999998</v>
      </c>
      <c r="D784" s="116">
        <v>2057.5250000000001</v>
      </c>
      <c r="E784" s="116">
        <v>2057.5250000000001</v>
      </c>
      <c r="F784" s="116">
        <v>4289.3999999999996</v>
      </c>
      <c r="G784">
        <v>10605</v>
      </c>
      <c r="H784" s="116"/>
      <c r="I784" s="116"/>
      <c r="L784" s="170">
        <v>44798</v>
      </c>
      <c r="M784" s="116">
        <v>2143.5250000000001</v>
      </c>
      <c r="N784" s="116">
        <v>2174.5500000000002</v>
      </c>
      <c r="O784" s="116">
        <v>2061.8249999999998</v>
      </c>
      <c r="P784" s="116">
        <v>2072.1</v>
      </c>
      <c r="Q784" s="116">
        <v>4287.05</v>
      </c>
      <c r="R784">
        <v>354080</v>
      </c>
    </row>
    <row r="785" spans="1:18" x14ac:dyDescent="0.25">
      <c r="A785" s="170">
        <v>44799</v>
      </c>
      <c r="B785" s="116">
        <v>2208</v>
      </c>
      <c r="C785" s="116">
        <v>2188.9499999999998</v>
      </c>
      <c r="D785" s="116">
        <v>2149.4499999999998</v>
      </c>
      <c r="E785" s="116">
        <v>2156.2750000000001</v>
      </c>
      <c r="F785" s="116">
        <v>4377.8999999999996</v>
      </c>
      <c r="G785">
        <v>10269</v>
      </c>
      <c r="H785" s="116"/>
      <c r="I785" s="116"/>
      <c r="L785" s="170">
        <v>44799</v>
      </c>
      <c r="M785" s="116">
        <v>2188.1999999999998</v>
      </c>
      <c r="N785" s="116">
        <v>2210</v>
      </c>
      <c r="O785" s="116">
        <v>2147.5</v>
      </c>
      <c r="P785" s="116">
        <v>2174</v>
      </c>
      <c r="Q785" s="116">
        <v>4376.3999999999996</v>
      </c>
      <c r="R785">
        <v>121411</v>
      </c>
    </row>
    <row r="786" spans="1:18" x14ac:dyDescent="0.25">
      <c r="A786" s="170">
        <v>44802</v>
      </c>
      <c r="B786" s="116">
        <v>2222.1999999999998</v>
      </c>
      <c r="C786" s="116">
        <v>2200.65</v>
      </c>
      <c r="D786" s="116">
        <v>2070</v>
      </c>
      <c r="E786" s="116">
        <v>2070</v>
      </c>
      <c r="F786" s="116">
        <v>4401.3</v>
      </c>
      <c r="G786">
        <v>11073</v>
      </c>
      <c r="H786" s="116"/>
      <c r="I786" s="116"/>
      <c r="L786" s="170">
        <v>44802</v>
      </c>
      <c r="M786" s="116">
        <v>2204.4499999999998</v>
      </c>
      <c r="N786" s="116">
        <v>2224.5250000000001</v>
      </c>
      <c r="O786" s="116">
        <v>2100</v>
      </c>
      <c r="P786" s="116">
        <v>2100</v>
      </c>
      <c r="Q786" s="116">
        <v>4408.8999999999996</v>
      </c>
      <c r="R786">
        <v>111122</v>
      </c>
    </row>
    <row r="787" spans="1:18" x14ac:dyDescent="0.25">
      <c r="A787" s="170">
        <v>44803</v>
      </c>
      <c r="B787" s="116">
        <v>2242</v>
      </c>
      <c r="C787" s="116">
        <v>2208.9499999999998</v>
      </c>
      <c r="D787" s="116">
        <v>2176.1999999999998</v>
      </c>
      <c r="E787" s="116">
        <v>2192.5250000000001</v>
      </c>
      <c r="F787" s="116">
        <v>4417.8999999999996</v>
      </c>
      <c r="G787">
        <v>12632</v>
      </c>
      <c r="H787" s="116"/>
      <c r="I787" s="116"/>
      <c r="L787" s="170">
        <v>44803</v>
      </c>
      <c r="M787" s="116">
        <v>2205.0250000000001</v>
      </c>
      <c r="N787" s="116">
        <v>2242.0500000000002</v>
      </c>
      <c r="O787" s="116">
        <v>2175.0250000000001</v>
      </c>
      <c r="P787" s="116">
        <v>2209</v>
      </c>
      <c r="Q787" s="116">
        <v>4410.05</v>
      </c>
      <c r="R787">
        <v>199524</v>
      </c>
    </row>
    <row r="788" spans="1:18" x14ac:dyDescent="0.25">
      <c r="A788" s="170">
        <v>44805</v>
      </c>
      <c r="B788" s="116">
        <v>2244.625</v>
      </c>
      <c r="C788" s="116">
        <v>2241.6</v>
      </c>
      <c r="D788" s="116">
        <v>2179.625</v>
      </c>
      <c r="E788" s="116">
        <v>2200</v>
      </c>
      <c r="F788" s="116">
        <v>4483.2</v>
      </c>
      <c r="G788">
        <v>11666</v>
      </c>
      <c r="H788" s="116"/>
      <c r="I788" s="116"/>
      <c r="L788" s="170">
        <v>44805</v>
      </c>
      <c r="M788" s="116">
        <v>2241.65</v>
      </c>
      <c r="N788" s="116">
        <v>2244.5250000000001</v>
      </c>
      <c r="O788" s="116">
        <v>2179.9499999999998</v>
      </c>
      <c r="P788" s="116">
        <v>2199</v>
      </c>
      <c r="Q788" s="116">
        <v>4483.3</v>
      </c>
      <c r="R788">
        <v>108636</v>
      </c>
    </row>
    <row r="789" spans="1:18" x14ac:dyDescent="0.25">
      <c r="A789" s="170">
        <v>44806</v>
      </c>
      <c r="B789" s="116">
        <v>2437.7249999999999</v>
      </c>
      <c r="C789" s="116">
        <v>2378.1</v>
      </c>
      <c r="D789" s="116">
        <v>2231.5</v>
      </c>
      <c r="E789" s="116">
        <v>2235</v>
      </c>
      <c r="F789" s="116">
        <v>4756.2</v>
      </c>
      <c r="G789">
        <v>24784</v>
      </c>
      <c r="H789" s="116"/>
      <c r="I789" s="116"/>
      <c r="L789" s="170">
        <v>44806</v>
      </c>
      <c r="M789" s="116">
        <v>2376.15</v>
      </c>
      <c r="N789" s="116">
        <v>2440</v>
      </c>
      <c r="O789" s="116">
        <v>2225.5250000000001</v>
      </c>
      <c r="P789" s="116">
        <v>2242.5</v>
      </c>
      <c r="Q789" s="116">
        <v>4752.3</v>
      </c>
      <c r="R789">
        <v>595254</v>
      </c>
    </row>
    <row r="790" spans="1:18" x14ac:dyDescent="0.25">
      <c r="A790" s="170">
        <v>44809</v>
      </c>
      <c r="B790" s="116">
        <v>2400</v>
      </c>
      <c r="C790" s="116">
        <v>2327.25</v>
      </c>
      <c r="D790" s="116">
        <v>2320</v>
      </c>
      <c r="E790" s="116">
        <v>2400</v>
      </c>
      <c r="F790" s="116">
        <v>4654.5</v>
      </c>
      <c r="G790">
        <v>14878</v>
      </c>
      <c r="H790" s="116"/>
      <c r="I790" s="116"/>
      <c r="L790" s="170">
        <v>44809</v>
      </c>
      <c r="M790" s="116">
        <v>2330.375</v>
      </c>
      <c r="N790" s="116">
        <v>2397.5</v>
      </c>
      <c r="O790" s="116">
        <v>2320.8249999999998</v>
      </c>
      <c r="P790" s="116">
        <v>2392.5</v>
      </c>
      <c r="Q790" s="116">
        <v>4660.75</v>
      </c>
      <c r="R790">
        <v>194922</v>
      </c>
    </row>
    <row r="791" spans="1:18" x14ac:dyDescent="0.25">
      <c r="A791" s="170">
        <v>44810</v>
      </c>
      <c r="B791" s="116">
        <v>2373.7249999999999</v>
      </c>
      <c r="C791" s="116">
        <v>2342.8249999999998</v>
      </c>
      <c r="D791" s="116">
        <v>2300</v>
      </c>
      <c r="E791" s="116">
        <v>2326.0250000000001</v>
      </c>
      <c r="F791" s="116">
        <v>4685.6499999999996</v>
      </c>
      <c r="G791">
        <v>6384</v>
      </c>
      <c r="H791" s="116"/>
      <c r="I791" s="116"/>
      <c r="L791" s="170">
        <v>44810</v>
      </c>
      <c r="M791" s="116">
        <v>2344.2249999999999</v>
      </c>
      <c r="N791" s="116">
        <v>2374.9499999999998</v>
      </c>
      <c r="O791" s="116">
        <v>2300</v>
      </c>
      <c r="P791" s="116">
        <v>2342.0500000000002</v>
      </c>
      <c r="Q791" s="116">
        <v>4688.45</v>
      </c>
      <c r="R791">
        <v>176057</v>
      </c>
    </row>
    <row r="792" spans="1:18" x14ac:dyDescent="0.25">
      <c r="A792" s="170">
        <v>44811</v>
      </c>
      <c r="B792" s="116">
        <v>2407.4</v>
      </c>
      <c r="C792" s="116">
        <v>2371.3249999999998</v>
      </c>
      <c r="D792" s="116">
        <v>2333.4749999999999</v>
      </c>
      <c r="E792" s="116">
        <v>2342.9749999999999</v>
      </c>
      <c r="F792" s="116">
        <v>4742.6499999999996</v>
      </c>
      <c r="G792">
        <v>7292</v>
      </c>
      <c r="H792" s="116"/>
      <c r="I792" s="116"/>
      <c r="L792" s="170">
        <v>44811</v>
      </c>
      <c r="M792" s="116">
        <v>2371.875</v>
      </c>
      <c r="N792" s="116">
        <v>2408.2750000000001</v>
      </c>
      <c r="O792" s="116">
        <v>2329</v>
      </c>
      <c r="P792" s="116">
        <v>2334</v>
      </c>
      <c r="Q792" s="116">
        <v>4743.75</v>
      </c>
      <c r="R792">
        <v>221567</v>
      </c>
    </row>
    <row r="793" spans="1:18" x14ac:dyDescent="0.25">
      <c r="A793" s="170">
        <v>44812</v>
      </c>
      <c r="B793" s="116">
        <v>2414.8249999999998</v>
      </c>
      <c r="C793" s="116">
        <v>2374.1</v>
      </c>
      <c r="D793" s="116">
        <v>2367.5</v>
      </c>
      <c r="E793" s="116">
        <v>2387.5</v>
      </c>
      <c r="F793" s="116">
        <v>4748.2</v>
      </c>
      <c r="G793">
        <v>3295</v>
      </c>
      <c r="H793" s="116"/>
      <c r="I793" s="116"/>
      <c r="L793" s="170">
        <v>44812</v>
      </c>
      <c r="M793" s="116">
        <v>2373.4</v>
      </c>
      <c r="N793" s="116">
        <v>2415.85</v>
      </c>
      <c r="O793" s="116">
        <v>2365.7249999999999</v>
      </c>
      <c r="P793" s="116">
        <v>2395</v>
      </c>
      <c r="Q793" s="116">
        <v>4746.8</v>
      </c>
      <c r="R793">
        <v>100825</v>
      </c>
    </row>
    <row r="794" spans="1:18" x14ac:dyDescent="0.25">
      <c r="A794" s="170">
        <v>44813</v>
      </c>
      <c r="B794" s="116">
        <v>2414.5</v>
      </c>
      <c r="C794" s="116">
        <v>2382.5749999999998</v>
      </c>
      <c r="D794" s="116">
        <v>2370.5500000000002</v>
      </c>
      <c r="E794" s="116">
        <v>2370.5500000000002</v>
      </c>
      <c r="F794" s="116">
        <v>4765.1499999999996</v>
      </c>
      <c r="G794">
        <v>9536</v>
      </c>
      <c r="H794" s="116"/>
      <c r="I794" s="116"/>
      <c r="L794" s="170">
        <v>44813</v>
      </c>
      <c r="M794" s="116">
        <v>2383.9</v>
      </c>
      <c r="N794" s="116">
        <v>2415</v>
      </c>
      <c r="O794" s="116">
        <v>2373.5</v>
      </c>
      <c r="P794" s="116">
        <v>2389.4</v>
      </c>
      <c r="Q794" s="116">
        <v>4767.8</v>
      </c>
      <c r="R794">
        <v>98101</v>
      </c>
    </row>
    <row r="795" spans="1:18" x14ac:dyDescent="0.25">
      <c r="A795" s="170">
        <v>44816</v>
      </c>
      <c r="B795" s="116">
        <v>2410.375</v>
      </c>
      <c r="C795" s="116">
        <v>2381.5</v>
      </c>
      <c r="D795" s="116">
        <v>2375</v>
      </c>
      <c r="E795" s="116">
        <v>2385</v>
      </c>
      <c r="F795" s="116">
        <v>4763</v>
      </c>
      <c r="G795">
        <v>3820</v>
      </c>
      <c r="H795" s="116"/>
      <c r="I795" s="116"/>
      <c r="L795" s="170">
        <v>44816</v>
      </c>
      <c r="M795" s="116">
        <v>2382.4250000000002</v>
      </c>
      <c r="N795" s="116">
        <v>2410.15</v>
      </c>
      <c r="O795" s="116">
        <v>2375.5</v>
      </c>
      <c r="P795" s="116">
        <v>2387.5</v>
      </c>
      <c r="Q795" s="116">
        <v>4764.8500000000004</v>
      </c>
      <c r="R795">
        <v>57125</v>
      </c>
    </row>
    <row r="796" spans="1:18" x14ac:dyDescent="0.25">
      <c r="A796" s="170">
        <v>44817</v>
      </c>
      <c r="B796" s="116">
        <v>2412.6</v>
      </c>
      <c r="C796" s="116">
        <v>2381.7750000000001</v>
      </c>
      <c r="D796" s="116">
        <v>2363</v>
      </c>
      <c r="E796" s="116">
        <v>2405</v>
      </c>
      <c r="F796" s="116">
        <v>4763.55</v>
      </c>
      <c r="G796">
        <v>2302</v>
      </c>
      <c r="H796" s="116"/>
      <c r="I796" s="116"/>
      <c r="L796" s="170">
        <v>44817</v>
      </c>
      <c r="M796" s="116">
        <v>2383.3000000000002</v>
      </c>
      <c r="N796" s="116">
        <v>2414</v>
      </c>
      <c r="O796" s="116">
        <v>2360</v>
      </c>
      <c r="P796" s="116">
        <v>2400</v>
      </c>
      <c r="Q796" s="116">
        <v>4766.6000000000004</v>
      </c>
      <c r="R796">
        <v>68739</v>
      </c>
    </row>
    <row r="797" spans="1:18" x14ac:dyDescent="0.25">
      <c r="A797" s="170">
        <v>44818</v>
      </c>
      <c r="B797" s="116">
        <v>2367.0250000000001</v>
      </c>
      <c r="C797" s="116">
        <v>2358.0250000000001</v>
      </c>
      <c r="D797" s="116">
        <v>2315.5250000000001</v>
      </c>
      <c r="E797" s="116">
        <v>2315.5250000000001</v>
      </c>
      <c r="F797" s="116">
        <v>4716.05</v>
      </c>
      <c r="G797">
        <v>3861</v>
      </c>
      <c r="H797" s="116"/>
      <c r="I797" s="116"/>
      <c r="L797" s="170">
        <v>44818</v>
      </c>
      <c r="M797" s="116">
        <v>2356.7750000000001</v>
      </c>
      <c r="N797" s="116">
        <v>2369.1750000000002</v>
      </c>
      <c r="O797" s="116">
        <v>2314.4</v>
      </c>
      <c r="P797" s="116">
        <v>2345</v>
      </c>
      <c r="Q797" s="116">
        <v>4713.55</v>
      </c>
      <c r="R797">
        <v>80414</v>
      </c>
    </row>
    <row r="798" spans="1:18" x14ac:dyDescent="0.25">
      <c r="A798" s="170">
        <v>44819</v>
      </c>
      <c r="B798" s="116">
        <v>2382.7750000000001</v>
      </c>
      <c r="C798" s="116">
        <v>2348.1</v>
      </c>
      <c r="D798" s="116">
        <v>2326.15</v>
      </c>
      <c r="E798" s="116">
        <v>2370.5</v>
      </c>
      <c r="F798" s="116">
        <v>4696.2</v>
      </c>
      <c r="G798">
        <v>5032</v>
      </c>
      <c r="H798" s="116"/>
      <c r="I798" s="116"/>
      <c r="L798" s="170">
        <v>44819</v>
      </c>
      <c r="M798" s="116">
        <v>2348.5500000000002</v>
      </c>
      <c r="N798" s="116">
        <v>2382.5</v>
      </c>
      <c r="O798" s="116">
        <v>2325</v>
      </c>
      <c r="P798" s="116">
        <v>2368.5749999999998</v>
      </c>
      <c r="Q798" s="116">
        <v>4697.1000000000004</v>
      </c>
      <c r="R798">
        <v>59168</v>
      </c>
    </row>
    <row r="799" spans="1:18" x14ac:dyDescent="0.25">
      <c r="A799" s="170">
        <v>44820</v>
      </c>
      <c r="B799" s="116">
        <v>2364.2249999999999</v>
      </c>
      <c r="C799" s="116">
        <v>2248.3000000000002</v>
      </c>
      <c r="D799" s="116">
        <v>2220</v>
      </c>
      <c r="E799" s="116">
        <v>2345.0250000000001</v>
      </c>
      <c r="F799" s="116">
        <v>4496.6000000000004</v>
      </c>
      <c r="G799">
        <v>6941</v>
      </c>
      <c r="H799" s="116"/>
      <c r="I799" s="116"/>
      <c r="L799" s="170">
        <v>44820</v>
      </c>
      <c r="M799" s="116">
        <v>2243.2249999999999</v>
      </c>
      <c r="N799" s="116">
        <v>2363.9499999999998</v>
      </c>
      <c r="O799" s="116">
        <v>2217.5</v>
      </c>
      <c r="P799" s="116">
        <v>2354.65</v>
      </c>
      <c r="Q799" s="116">
        <v>4486.45</v>
      </c>
      <c r="R799">
        <v>149546</v>
      </c>
    </row>
    <row r="800" spans="1:18" x14ac:dyDescent="0.25">
      <c r="A800" s="170">
        <v>44823</v>
      </c>
      <c r="B800" s="116">
        <v>2250</v>
      </c>
      <c r="C800" s="116">
        <v>2203.0250000000001</v>
      </c>
      <c r="D800" s="116">
        <v>2190.1</v>
      </c>
      <c r="E800" s="116">
        <v>2236.75</v>
      </c>
      <c r="F800" s="116">
        <v>4406.05</v>
      </c>
      <c r="G800">
        <v>34238</v>
      </c>
      <c r="H800" s="116"/>
      <c r="I800" s="116"/>
      <c r="L800" s="170">
        <v>44823</v>
      </c>
      <c r="M800" s="116">
        <v>2203.9250000000002</v>
      </c>
      <c r="N800" s="116">
        <v>2258</v>
      </c>
      <c r="O800" s="116">
        <v>2188.375</v>
      </c>
      <c r="P800" s="116">
        <v>2252.5</v>
      </c>
      <c r="Q800" s="116">
        <v>4407.8500000000004</v>
      </c>
      <c r="R800">
        <v>68187</v>
      </c>
    </row>
    <row r="801" spans="1:18" x14ac:dyDescent="0.25">
      <c r="A801" s="170">
        <v>44824</v>
      </c>
      <c r="B801" s="116">
        <v>2252.6750000000002</v>
      </c>
      <c r="C801" s="116">
        <v>2215.8249999999998</v>
      </c>
      <c r="D801" s="116">
        <v>2200.7249999999999</v>
      </c>
      <c r="E801" s="116">
        <v>2200.7249999999999</v>
      </c>
      <c r="F801" s="116">
        <v>4431.6499999999996</v>
      </c>
      <c r="G801">
        <v>3240</v>
      </c>
      <c r="H801" s="116"/>
      <c r="I801" s="116"/>
      <c r="L801" s="170">
        <v>44824</v>
      </c>
      <c r="M801" s="116">
        <v>2218.125</v>
      </c>
      <c r="N801" s="116">
        <v>2254.9250000000002</v>
      </c>
      <c r="O801" s="116">
        <v>2200.6750000000002</v>
      </c>
      <c r="P801" s="116">
        <v>2214.9499999999998</v>
      </c>
      <c r="Q801" s="116">
        <v>4436.25</v>
      </c>
      <c r="R801">
        <v>84256</v>
      </c>
    </row>
    <row r="802" spans="1:18" x14ac:dyDescent="0.25">
      <c r="A802" s="170">
        <v>44825</v>
      </c>
      <c r="B802" s="116">
        <v>2243.6</v>
      </c>
      <c r="C802" s="116">
        <v>2201.9499999999998</v>
      </c>
      <c r="D802" s="116">
        <v>2196.85</v>
      </c>
      <c r="E802" s="116">
        <v>2222.5250000000001</v>
      </c>
      <c r="F802" s="116">
        <v>4403.8999999999996</v>
      </c>
      <c r="G802">
        <v>2318</v>
      </c>
      <c r="H802" s="116"/>
      <c r="I802" s="116"/>
      <c r="L802" s="170">
        <v>44825</v>
      </c>
      <c r="M802" s="116">
        <v>2201.375</v>
      </c>
      <c r="N802" s="116">
        <v>2248.2249999999999</v>
      </c>
      <c r="O802" s="116">
        <v>2195.0749999999998</v>
      </c>
      <c r="P802" s="116">
        <v>2212.5</v>
      </c>
      <c r="Q802" s="116">
        <v>4402.75</v>
      </c>
      <c r="R802">
        <v>69367</v>
      </c>
    </row>
    <row r="803" spans="1:18" x14ac:dyDescent="0.25">
      <c r="A803" s="170">
        <v>44826</v>
      </c>
      <c r="B803" s="116">
        <v>2222.5</v>
      </c>
      <c r="C803" s="116">
        <v>2204.6750000000002</v>
      </c>
      <c r="D803" s="116">
        <v>2161.5</v>
      </c>
      <c r="E803" s="116">
        <v>2190</v>
      </c>
      <c r="F803" s="116">
        <v>4409.3500000000004</v>
      </c>
      <c r="G803">
        <v>6328</v>
      </c>
      <c r="H803" s="116"/>
      <c r="I803" s="116"/>
      <c r="L803" s="170">
        <v>44826</v>
      </c>
      <c r="M803" s="116">
        <v>2203.3249999999998</v>
      </c>
      <c r="N803" s="116">
        <v>2224.2750000000001</v>
      </c>
      <c r="O803" s="116">
        <v>2160.5</v>
      </c>
      <c r="P803" s="116">
        <v>2200</v>
      </c>
      <c r="Q803" s="116">
        <v>4406.6499999999996</v>
      </c>
      <c r="R803">
        <v>114015</v>
      </c>
    </row>
    <row r="804" spans="1:18" x14ac:dyDescent="0.25">
      <c r="A804" s="170">
        <v>44827</v>
      </c>
      <c r="B804" s="116">
        <v>2223.5749999999998</v>
      </c>
      <c r="C804" s="116">
        <v>2202.5500000000002</v>
      </c>
      <c r="D804" s="116">
        <v>2181.625</v>
      </c>
      <c r="E804" s="116">
        <v>2200.0250000000001</v>
      </c>
      <c r="F804" s="116">
        <v>4405.1000000000004</v>
      </c>
      <c r="G804">
        <v>6911</v>
      </c>
      <c r="H804" s="116"/>
      <c r="I804" s="116"/>
      <c r="L804" s="170">
        <v>44827</v>
      </c>
      <c r="M804" s="116">
        <v>2201.125</v>
      </c>
      <c r="N804" s="116">
        <v>2222.5</v>
      </c>
      <c r="O804" s="116">
        <v>2182.5250000000001</v>
      </c>
      <c r="P804" s="116">
        <v>2203</v>
      </c>
      <c r="Q804" s="116">
        <v>4402.25</v>
      </c>
      <c r="R804">
        <v>95806</v>
      </c>
    </row>
    <row r="805" spans="1:18" x14ac:dyDescent="0.25">
      <c r="A805" s="170">
        <v>44830</v>
      </c>
      <c r="B805" s="116">
        <v>2202</v>
      </c>
      <c r="C805" s="116">
        <v>2179.3000000000002</v>
      </c>
      <c r="D805" s="116">
        <v>2115.0250000000001</v>
      </c>
      <c r="E805" s="116">
        <v>2160.625</v>
      </c>
      <c r="F805" s="116">
        <v>4358.6000000000004</v>
      </c>
      <c r="G805">
        <v>8659</v>
      </c>
      <c r="H805" s="116"/>
      <c r="I805" s="116"/>
      <c r="L805" s="170">
        <v>44830</v>
      </c>
      <c r="M805" s="116">
        <v>2181.6750000000002</v>
      </c>
      <c r="N805" s="116">
        <v>2203.15</v>
      </c>
      <c r="O805" s="116">
        <v>2115</v>
      </c>
      <c r="P805" s="116">
        <v>2191.5</v>
      </c>
      <c r="Q805" s="116">
        <v>4363.3500000000004</v>
      </c>
      <c r="R805">
        <v>153655</v>
      </c>
    </row>
    <row r="806" spans="1:18" x14ac:dyDescent="0.25">
      <c r="A806" s="170">
        <v>44831</v>
      </c>
      <c r="B806" s="116">
        <v>2210.0250000000001</v>
      </c>
      <c r="C806" s="116">
        <v>2205.5</v>
      </c>
      <c r="D806" s="116">
        <v>2152.0749999999998</v>
      </c>
      <c r="E806" s="116">
        <v>2157.5250000000001</v>
      </c>
      <c r="F806" s="116">
        <v>4411</v>
      </c>
      <c r="G806">
        <v>2853</v>
      </c>
      <c r="H806" s="116"/>
      <c r="I806" s="116"/>
      <c r="L806" s="170">
        <v>44831</v>
      </c>
      <c r="M806" s="116">
        <v>2204.4</v>
      </c>
      <c r="N806" s="116">
        <v>2214.9499999999998</v>
      </c>
      <c r="O806" s="116">
        <v>2151.0250000000001</v>
      </c>
      <c r="P806" s="116">
        <v>2176.5</v>
      </c>
      <c r="Q806" s="116">
        <v>4408.8</v>
      </c>
      <c r="R806">
        <v>124498</v>
      </c>
    </row>
    <row r="807" spans="1:18" x14ac:dyDescent="0.25">
      <c r="A807" s="170">
        <v>44832</v>
      </c>
      <c r="B807" s="116">
        <v>2211</v>
      </c>
      <c r="C807" s="116">
        <v>2170.8249999999998</v>
      </c>
      <c r="D807" s="116">
        <v>2155.125</v>
      </c>
      <c r="E807" s="116">
        <v>2182.5250000000001</v>
      </c>
      <c r="F807" s="116">
        <v>4341.6499999999996</v>
      </c>
      <c r="G807">
        <v>5191</v>
      </c>
      <c r="H807" s="116"/>
      <c r="I807" s="116"/>
      <c r="L807" s="170">
        <v>44832</v>
      </c>
      <c r="M807" s="116">
        <v>2170.6999999999998</v>
      </c>
      <c r="N807" s="116">
        <v>2212.4749999999999</v>
      </c>
      <c r="O807" s="116">
        <v>2154.0250000000001</v>
      </c>
      <c r="P807" s="116">
        <v>2195</v>
      </c>
      <c r="Q807" s="116">
        <v>4341.3999999999996</v>
      </c>
      <c r="R807">
        <v>104829</v>
      </c>
    </row>
    <row r="808" spans="1:18" x14ac:dyDescent="0.25">
      <c r="A808" s="170">
        <v>44833</v>
      </c>
      <c r="B808" s="116">
        <v>2210</v>
      </c>
      <c r="C808" s="116">
        <v>2204.2750000000001</v>
      </c>
      <c r="D808" s="116">
        <v>2178.0250000000001</v>
      </c>
      <c r="E808" s="116">
        <v>2184.7249999999999</v>
      </c>
      <c r="F808" s="116">
        <v>4408.55</v>
      </c>
      <c r="G808">
        <v>4988</v>
      </c>
      <c r="H808" s="116"/>
      <c r="I808" s="116"/>
      <c r="L808" s="170">
        <v>44833</v>
      </c>
      <c r="M808" s="116">
        <v>2205.7249999999999</v>
      </c>
      <c r="N808" s="116">
        <v>2210.7750000000001</v>
      </c>
      <c r="O808" s="116">
        <v>2177.625</v>
      </c>
      <c r="P808" s="116">
        <v>2181.5749999999998</v>
      </c>
      <c r="Q808" s="116">
        <v>4411.45</v>
      </c>
      <c r="R808">
        <v>71760</v>
      </c>
    </row>
    <row r="809" spans="1:18" x14ac:dyDescent="0.25">
      <c r="A809" s="170">
        <v>44834</v>
      </c>
      <c r="B809" s="116">
        <v>2251.9499999999998</v>
      </c>
      <c r="C809" s="116">
        <v>2231.25</v>
      </c>
      <c r="D809" s="116">
        <v>2139.0500000000002</v>
      </c>
      <c r="E809" s="116">
        <v>2196.75</v>
      </c>
      <c r="F809" s="116">
        <v>4462.5</v>
      </c>
      <c r="G809">
        <v>2250</v>
      </c>
      <c r="H809" s="116"/>
      <c r="I809" s="116"/>
      <c r="L809" s="170">
        <v>44834</v>
      </c>
      <c r="M809" s="116">
        <v>2228.9250000000002</v>
      </c>
      <c r="N809" s="116">
        <v>2255</v>
      </c>
      <c r="O809" s="116">
        <v>2136.1999999999998</v>
      </c>
      <c r="P809" s="116">
        <v>2191</v>
      </c>
      <c r="Q809" s="116">
        <v>4457.8500000000004</v>
      </c>
      <c r="R809">
        <v>112116</v>
      </c>
    </row>
    <row r="810" spans="1:18" x14ac:dyDescent="0.25">
      <c r="A810" s="170">
        <v>44837</v>
      </c>
      <c r="B810" s="116">
        <v>2267.5</v>
      </c>
      <c r="C810" s="116">
        <v>2232.6750000000002</v>
      </c>
      <c r="D810" s="116">
        <v>2207.0749999999998</v>
      </c>
      <c r="E810" s="116">
        <v>2224</v>
      </c>
      <c r="F810" s="116">
        <v>4465.3500000000004</v>
      </c>
      <c r="G810">
        <v>6555</v>
      </c>
      <c r="H810" s="116"/>
      <c r="I810" s="116"/>
      <c r="L810" s="170">
        <v>44837</v>
      </c>
      <c r="M810" s="116">
        <v>2235.4499999999998</v>
      </c>
      <c r="N810" s="116">
        <v>2268.85</v>
      </c>
      <c r="O810" s="116">
        <v>2205.125</v>
      </c>
      <c r="P810" s="116">
        <v>2224.4</v>
      </c>
      <c r="Q810" s="116">
        <v>4470.8999999999996</v>
      </c>
      <c r="R810">
        <v>67018</v>
      </c>
    </row>
    <row r="811" spans="1:18" x14ac:dyDescent="0.25">
      <c r="A811" s="170">
        <v>44838</v>
      </c>
      <c r="B811" s="116">
        <v>2282.875</v>
      </c>
      <c r="C811" s="116">
        <v>2255.3000000000002</v>
      </c>
      <c r="D811" s="116">
        <v>2236.15</v>
      </c>
      <c r="E811" s="116">
        <v>2242.5</v>
      </c>
      <c r="F811" s="116">
        <v>4510.6000000000004</v>
      </c>
      <c r="G811">
        <v>1812</v>
      </c>
      <c r="H811" s="116"/>
      <c r="I811" s="116"/>
      <c r="L811" s="170">
        <v>44838</v>
      </c>
      <c r="M811" s="116">
        <v>2255.8000000000002</v>
      </c>
      <c r="N811" s="116">
        <v>2284</v>
      </c>
      <c r="O811" s="116">
        <v>2233.35</v>
      </c>
      <c r="P811" s="116">
        <v>2244.9499999999998</v>
      </c>
      <c r="Q811" s="116">
        <v>4511.6000000000004</v>
      </c>
      <c r="R811">
        <v>64142</v>
      </c>
    </row>
    <row r="812" spans="1:18" x14ac:dyDescent="0.25">
      <c r="A812" s="170">
        <v>44840</v>
      </c>
      <c r="B812" s="116">
        <v>2290</v>
      </c>
      <c r="C812" s="116">
        <v>2264.625</v>
      </c>
      <c r="D812" s="116">
        <v>2248.3000000000002</v>
      </c>
      <c r="E812" s="116">
        <v>2254</v>
      </c>
      <c r="F812" s="116">
        <v>4529.25</v>
      </c>
      <c r="G812">
        <v>1717</v>
      </c>
      <c r="H812" s="116"/>
      <c r="I812" s="116"/>
      <c r="L812" s="170">
        <v>44840</v>
      </c>
      <c r="M812" s="116">
        <v>2261.125</v>
      </c>
      <c r="N812" s="116">
        <v>2276.5</v>
      </c>
      <c r="O812" s="116">
        <v>2247.5</v>
      </c>
      <c r="P812" s="116">
        <v>2257.5</v>
      </c>
      <c r="Q812" s="116">
        <v>4522.25</v>
      </c>
      <c r="R812">
        <v>82863</v>
      </c>
    </row>
    <row r="813" spans="1:18" x14ac:dyDescent="0.25">
      <c r="A813" s="170">
        <v>44841</v>
      </c>
      <c r="B813" s="116">
        <v>2270.35</v>
      </c>
      <c r="C813" s="116">
        <v>2240.9749999999999</v>
      </c>
      <c r="D813" s="116">
        <v>2217.85</v>
      </c>
      <c r="E813" s="116">
        <v>2250.0250000000001</v>
      </c>
      <c r="F813" s="116">
        <v>4481.95</v>
      </c>
      <c r="G813">
        <v>3594</v>
      </c>
      <c r="H813" s="116"/>
      <c r="I813" s="116"/>
      <c r="L813" s="170">
        <v>44841</v>
      </c>
      <c r="M813" s="116">
        <v>2243.3000000000002</v>
      </c>
      <c r="N813" s="116">
        <v>2271</v>
      </c>
      <c r="O813" s="116">
        <v>2217.375</v>
      </c>
      <c r="P813" s="116">
        <v>2257.5</v>
      </c>
      <c r="Q813" s="116">
        <v>4486.6000000000004</v>
      </c>
      <c r="R813">
        <v>49588</v>
      </c>
    </row>
    <row r="814" spans="1:18" x14ac:dyDescent="0.25">
      <c r="A814" s="170">
        <v>44844</v>
      </c>
      <c r="B814" s="116">
        <v>2278.25</v>
      </c>
      <c r="C814" s="116">
        <v>2250.5749999999998</v>
      </c>
      <c r="D814" s="116">
        <v>2191.3249999999998</v>
      </c>
      <c r="E814" s="116">
        <v>2217.5</v>
      </c>
      <c r="F814" s="116">
        <v>4501.1499999999996</v>
      </c>
      <c r="G814">
        <v>2319</v>
      </c>
      <c r="H814" s="116"/>
      <c r="I814" s="116"/>
      <c r="L814" s="170">
        <v>44844</v>
      </c>
      <c r="M814" s="116">
        <v>2236.375</v>
      </c>
      <c r="N814" s="116">
        <v>2245</v>
      </c>
      <c r="O814" s="116">
        <v>2191.1999999999998</v>
      </c>
      <c r="P814" s="116">
        <v>2213.3000000000002</v>
      </c>
      <c r="Q814" s="116">
        <v>4472.75</v>
      </c>
      <c r="R814">
        <v>39177</v>
      </c>
    </row>
    <row r="815" spans="1:18" x14ac:dyDescent="0.25">
      <c r="A815" s="170">
        <v>44845</v>
      </c>
      <c r="B815" s="116">
        <v>2264.6</v>
      </c>
      <c r="C815" s="116">
        <v>2193.4250000000002</v>
      </c>
      <c r="D815" s="116">
        <v>2178.2249999999999</v>
      </c>
      <c r="E815" s="116">
        <v>2220.1</v>
      </c>
      <c r="F815" s="116">
        <v>4386.8500000000004</v>
      </c>
      <c r="G815">
        <v>31796</v>
      </c>
      <c r="H815" s="116"/>
      <c r="I815" s="116"/>
      <c r="L815" s="170">
        <v>44845</v>
      </c>
      <c r="M815" s="116">
        <v>2195.9749999999999</v>
      </c>
      <c r="N815" s="116">
        <v>2265.125</v>
      </c>
      <c r="O815" s="116">
        <v>2178.0250000000001</v>
      </c>
      <c r="P815" s="116">
        <v>2232.5500000000002</v>
      </c>
      <c r="Q815" s="116">
        <v>4391.95</v>
      </c>
      <c r="R815">
        <v>78206</v>
      </c>
    </row>
    <row r="816" spans="1:18" x14ac:dyDescent="0.25">
      <c r="A816" s="170">
        <v>44846</v>
      </c>
      <c r="B816" s="116">
        <v>2236.35</v>
      </c>
      <c r="C816" s="116">
        <v>2230.0749999999998</v>
      </c>
      <c r="D816" s="116">
        <v>2154.625</v>
      </c>
      <c r="E816" s="116">
        <v>2195.0250000000001</v>
      </c>
      <c r="F816" s="116">
        <v>4460.1499999999996</v>
      </c>
      <c r="G816">
        <v>2006</v>
      </c>
      <c r="H816" s="116"/>
      <c r="I816" s="116"/>
      <c r="L816" s="170">
        <v>44846</v>
      </c>
      <c r="M816" s="116">
        <v>2228.9</v>
      </c>
      <c r="N816" s="116">
        <v>2235.1999999999998</v>
      </c>
      <c r="O816" s="116">
        <v>2152.85</v>
      </c>
      <c r="P816" s="116">
        <v>2206.9749999999999</v>
      </c>
      <c r="Q816" s="116">
        <v>4457.8</v>
      </c>
      <c r="R816">
        <v>70182</v>
      </c>
    </row>
    <row r="817" spans="1:18" x14ac:dyDescent="0.25">
      <c r="A817" s="170">
        <v>44847</v>
      </c>
      <c r="B817" s="116">
        <v>2278.5500000000002</v>
      </c>
      <c r="C817" s="116">
        <v>2181.2750000000001</v>
      </c>
      <c r="D817" s="116">
        <v>2170</v>
      </c>
      <c r="E817" s="116">
        <v>2200.5250000000001</v>
      </c>
      <c r="F817" s="116">
        <v>4362.55</v>
      </c>
      <c r="G817">
        <v>7554</v>
      </c>
      <c r="H817" s="116"/>
      <c r="I817" s="116"/>
      <c r="L817" s="170">
        <v>44847</v>
      </c>
      <c r="M817" s="116">
        <v>2181.0749999999998</v>
      </c>
      <c r="N817" s="116">
        <v>2279.9749999999999</v>
      </c>
      <c r="O817" s="116">
        <v>2169</v>
      </c>
      <c r="P817" s="116">
        <v>2225</v>
      </c>
      <c r="Q817" s="116">
        <v>4362.1499999999996</v>
      </c>
      <c r="R817">
        <v>102656</v>
      </c>
    </row>
    <row r="818" spans="1:18" x14ac:dyDescent="0.25">
      <c r="A818" s="170">
        <v>44848</v>
      </c>
      <c r="B818" s="116">
        <v>2237.5</v>
      </c>
      <c r="C818" s="116">
        <v>2166.7249999999999</v>
      </c>
      <c r="D818" s="116">
        <v>2159.2249999999999</v>
      </c>
      <c r="E818" s="116">
        <v>2237.5</v>
      </c>
      <c r="F818" s="116">
        <v>4333.45</v>
      </c>
      <c r="G818">
        <v>5304</v>
      </c>
      <c r="H818" s="116"/>
      <c r="I818" s="116"/>
      <c r="L818" s="170">
        <v>44848</v>
      </c>
      <c r="M818" s="116">
        <v>2168.4</v>
      </c>
      <c r="N818" s="116">
        <v>2233.7750000000001</v>
      </c>
      <c r="O818" s="116">
        <v>2160</v>
      </c>
      <c r="P818" s="116">
        <v>2233.7750000000001</v>
      </c>
      <c r="Q818" s="116">
        <v>4336.8</v>
      </c>
      <c r="R818">
        <v>48846</v>
      </c>
    </row>
    <row r="819" spans="1:18" x14ac:dyDescent="0.25">
      <c r="A819" s="170">
        <v>44851</v>
      </c>
      <c r="B819" s="116">
        <v>2213.0749999999998</v>
      </c>
      <c r="C819" s="116">
        <v>2189.0250000000001</v>
      </c>
      <c r="D819" s="116">
        <v>2134.0500000000002</v>
      </c>
      <c r="E819" s="116">
        <v>2150.0250000000001</v>
      </c>
      <c r="F819" s="116">
        <v>4378.05</v>
      </c>
      <c r="G819">
        <v>42509</v>
      </c>
      <c r="H819" s="116"/>
      <c r="I819" s="116"/>
      <c r="L819" s="170">
        <v>44851</v>
      </c>
      <c r="M819" s="116">
        <v>2186.5</v>
      </c>
      <c r="N819" s="116">
        <v>2212.5</v>
      </c>
      <c r="O819" s="116">
        <v>2133</v>
      </c>
      <c r="P819" s="116">
        <v>2160</v>
      </c>
      <c r="Q819" s="116">
        <v>4373</v>
      </c>
      <c r="R819">
        <v>71625</v>
      </c>
    </row>
    <row r="820" spans="1:18" x14ac:dyDescent="0.25">
      <c r="A820" s="170">
        <v>44852</v>
      </c>
      <c r="B820" s="116">
        <v>2310</v>
      </c>
      <c r="C820" s="116">
        <v>2255</v>
      </c>
      <c r="D820" s="116">
        <v>2195</v>
      </c>
      <c r="E820" s="116">
        <v>2195</v>
      </c>
      <c r="F820" s="116">
        <v>4510</v>
      </c>
      <c r="G820">
        <v>17112</v>
      </c>
      <c r="H820" s="116"/>
      <c r="I820" s="116"/>
      <c r="L820" s="170">
        <v>44852</v>
      </c>
      <c r="M820" s="116">
        <v>2254.4499999999998</v>
      </c>
      <c r="N820" s="116">
        <v>2312.5250000000001</v>
      </c>
      <c r="O820" s="116">
        <v>2195.9250000000002</v>
      </c>
      <c r="P820" s="116">
        <v>2197.4499999999998</v>
      </c>
      <c r="Q820" s="116">
        <v>4508.8999999999996</v>
      </c>
      <c r="R820">
        <v>310319</v>
      </c>
    </row>
    <row r="821" spans="1:18" x14ac:dyDescent="0.25">
      <c r="A821" s="170">
        <v>44853</v>
      </c>
      <c r="B821" s="116">
        <v>2280.5</v>
      </c>
      <c r="C821" s="116">
        <v>2246.2750000000001</v>
      </c>
      <c r="D821" s="116">
        <v>2236.8000000000002</v>
      </c>
      <c r="E821" s="116">
        <v>2255.5250000000001</v>
      </c>
      <c r="F821" s="116">
        <v>4492.55</v>
      </c>
      <c r="G821">
        <v>5987</v>
      </c>
      <c r="H821" s="116"/>
      <c r="I821" s="116"/>
      <c r="L821" s="170">
        <v>44853</v>
      </c>
      <c r="M821" s="116">
        <v>2247.9499999999998</v>
      </c>
      <c r="N821" s="116">
        <v>2283.0749999999998</v>
      </c>
      <c r="O821" s="116">
        <v>2237.5</v>
      </c>
      <c r="P821" s="116">
        <v>2260</v>
      </c>
      <c r="Q821" s="116">
        <v>4495.8999999999996</v>
      </c>
      <c r="R821">
        <v>69110</v>
      </c>
    </row>
    <row r="822" spans="1:18" x14ac:dyDescent="0.25">
      <c r="A822" s="170">
        <v>44854</v>
      </c>
      <c r="B822" s="116">
        <v>2266.4749999999999</v>
      </c>
      <c r="C822" s="116">
        <v>2207.9250000000002</v>
      </c>
      <c r="D822" s="116">
        <v>2176.5500000000002</v>
      </c>
      <c r="E822" s="116">
        <v>2235.5</v>
      </c>
      <c r="F822" s="116">
        <v>4415.8500000000004</v>
      </c>
      <c r="G822">
        <v>6937</v>
      </c>
      <c r="H822" s="116"/>
      <c r="I822" s="116"/>
      <c r="L822" s="170">
        <v>44854</v>
      </c>
      <c r="M822" s="116">
        <v>2209.6</v>
      </c>
      <c r="N822" s="116">
        <v>2268.9749999999999</v>
      </c>
      <c r="O822" s="116">
        <v>2175.5</v>
      </c>
      <c r="P822" s="116">
        <v>2222</v>
      </c>
      <c r="Q822" s="116">
        <v>4419.2</v>
      </c>
      <c r="R822">
        <v>190178</v>
      </c>
    </row>
    <row r="823" spans="1:18" x14ac:dyDescent="0.25">
      <c r="A823" s="170">
        <v>44855</v>
      </c>
      <c r="B823" s="116">
        <v>2236.8000000000002</v>
      </c>
      <c r="C823" s="116">
        <v>2181.4749999999999</v>
      </c>
      <c r="D823" s="116">
        <v>2175.0500000000002</v>
      </c>
      <c r="E823" s="116">
        <v>2212.0500000000002</v>
      </c>
      <c r="F823" s="116">
        <v>4362.95</v>
      </c>
      <c r="G823">
        <v>3304</v>
      </c>
      <c r="H823" s="116"/>
      <c r="I823" s="116"/>
      <c r="L823" s="170">
        <v>44855</v>
      </c>
      <c r="M823" s="116">
        <v>2180.4</v>
      </c>
      <c r="N823" s="116">
        <v>2239.5</v>
      </c>
      <c r="O823" s="116">
        <v>2175</v>
      </c>
      <c r="P823" s="116">
        <v>2200.5</v>
      </c>
      <c r="Q823" s="116">
        <v>4360.8</v>
      </c>
      <c r="R823">
        <v>64209</v>
      </c>
    </row>
    <row r="824" spans="1:18" x14ac:dyDescent="0.25">
      <c r="A824" s="170">
        <v>44858</v>
      </c>
      <c r="B824" s="116">
        <v>2214.7750000000001</v>
      </c>
      <c r="C824" s="116">
        <v>2183.5250000000001</v>
      </c>
      <c r="D824" s="116">
        <v>2168.875</v>
      </c>
      <c r="E824" s="116">
        <v>2190.0500000000002</v>
      </c>
      <c r="F824" s="116">
        <v>4367.05</v>
      </c>
      <c r="G824">
        <v>1269</v>
      </c>
      <c r="H824" s="116"/>
      <c r="I824" s="116"/>
      <c r="L824" s="170">
        <v>44858</v>
      </c>
      <c r="M824" s="116">
        <v>2182.0749999999998</v>
      </c>
      <c r="N824" s="116">
        <v>2225</v>
      </c>
      <c r="O824" s="116">
        <v>2167</v>
      </c>
      <c r="P824" s="116">
        <v>2190</v>
      </c>
      <c r="Q824" s="116">
        <v>4364.1499999999996</v>
      </c>
      <c r="R824">
        <v>11116</v>
      </c>
    </row>
    <row r="825" spans="1:18" x14ac:dyDescent="0.25">
      <c r="A825" s="170">
        <v>44859</v>
      </c>
      <c r="B825" s="116">
        <v>2241</v>
      </c>
      <c r="C825" s="116">
        <v>2205.875</v>
      </c>
      <c r="D825" s="116">
        <v>2174.35</v>
      </c>
      <c r="E825" s="116">
        <v>2183.5250000000001</v>
      </c>
      <c r="F825" s="116">
        <v>4411.75</v>
      </c>
      <c r="G825">
        <v>49878</v>
      </c>
      <c r="H825" s="116"/>
      <c r="I825" s="116"/>
      <c r="L825" s="170">
        <v>44859</v>
      </c>
      <c r="M825" s="116">
        <v>2195.9250000000002</v>
      </c>
      <c r="N825" s="116">
        <v>2219</v>
      </c>
      <c r="O825" s="116">
        <v>2173.15</v>
      </c>
      <c r="P825" s="116">
        <v>2182.5</v>
      </c>
      <c r="Q825" s="116">
        <v>4391.8500000000004</v>
      </c>
      <c r="R825">
        <v>98538</v>
      </c>
    </row>
    <row r="826" spans="1:18" x14ac:dyDescent="0.25">
      <c r="A826" s="170">
        <v>44861</v>
      </c>
      <c r="B826" s="116">
        <v>2315.1</v>
      </c>
      <c r="C826" s="116">
        <v>2288.5749999999998</v>
      </c>
      <c r="D826" s="116">
        <v>2196.9250000000002</v>
      </c>
      <c r="E826" s="116">
        <v>2213.5</v>
      </c>
      <c r="F826" s="116">
        <v>4577.1499999999996</v>
      </c>
      <c r="G826">
        <v>10368</v>
      </c>
      <c r="H826" s="116"/>
      <c r="I826" s="116"/>
      <c r="L826" s="170">
        <v>44861</v>
      </c>
      <c r="M826" s="116">
        <v>2283.625</v>
      </c>
      <c r="N826" s="116">
        <v>2310</v>
      </c>
      <c r="O826" s="116">
        <v>2197.125</v>
      </c>
      <c r="P826" s="116">
        <v>2202.3249999999998</v>
      </c>
      <c r="Q826" s="116">
        <v>4567.25</v>
      </c>
      <c r="R826">
        <v>119027</v>
      </c>
    </row>
    <row r="827" spans="1:18" x14ac:dyDescent="0.25">
      <c r="A827" s="170">
        <v>44862</v>
      </c>
      <c r="B827" s="116">
        <v>2305</v>
      </c>
      <c r="C827" s="116">
        <v>2270.1</v>
      </c>
      <c r="D827" s="116">
        <v>2255.9250000000002</v>
      </c>
      <c r="E827" s="116">
        <v>2275.9749999999999</v>
      </c>
      <c r="F827" s="116">
        <v>4540.2</v>
      </c>
      <c r="G827">
        <v>6473</v>
      </c>
      <c r="H827" s="116"/>
      <c r="I827" s="116"/>
      <c r="L827" s="170">
        <v>44862</v>
      </c>
      <c r="M827" s="116">
        <v>2270.6999999999998</v>
      </c>
      <c r="N827" s="116">
        <v>2305</v>
      </c>
      <c r="O827" s="116">
        <v>2255.3249999999998</v>
      </c>
      <c r="P827" s="116">
        <v>2295.0500000000002</v>
      </c>
      <c r="Q827" s="116">
        <v>4541.3999999999996</v>
      </c>
      <c r="R827">
        <v>122719</v>
      </c>
    </row>
    <row r="828" spans="1:18" x14ac:dyDescent="0.25">
      <c r="A828" s="170">
        <v>44865</v>
      </c>
      <c r="B828" s="116">
        <v>2315.375</v>
      </c>
      <c r="C828" s="116">
        <v>2293.9499999999998</v>
      </c>
      <c r="D828" s="116">
        <v>2266.2750000000001</v>
      </c>
      <c r="E828" s="116">
        <v>2266.2750000000001</v>
      </c>
      <c r="F828" s="116">
        <v>4587.8999999999996</v>
      </c>
      <c r="G828">
        <v>3007</v>
      </c>
      <c r="H828" s="116"/>
      <c r="I828" s="116"/>
      <c r="L828" s="170">
        <v>44865</v>
      </c>
      <c r="M828" s="116">
        <v>2295.7249999999999</v>
      </c>
      <c r="N828" s="116">
        <v>2318</v>
      </c>
      <c r="O828" s="116">
        <v>2275</v>
      </c>
      <c r="P828" s="116">
        <v>2275</v>
      </c>
      <c r="Q828" s="116">
        <v>4591.45</v>
      </c>
      <c r="R828">
        <v>71442</v>
      </c>
    </row>
    <row r="829" spans="1:18" x14ac:dyDescent="0.25">
      <c r="A829" s="170">
        <v>44866</v>
      </c>
      <c r="B829" s="116">
        <v>2330.8249999999998</v>
      </c>
      <c r="C829" s="116">
        <v>2316.9250000000002</v>
      </c>
      <c r="D829" s="116">
        <v>2284.4250000000002</v>
      </c>
      <c r="E829" s="116">
        <v>2315.9749999999999</v>
      </c>
      <c r="F829" s="116">
        <v>4633.8500000000004</v>
      </c>
      <c r="G829">
        <v>2918</v>
      </c>
      <c r="H829" s="116"/>
      <c r="I829" s="116"/>
      <c r="L829" s="170">
        <v>44866</v>
      </c>
      <c r="M829" s="116">
        <v>2315.6750000000002</v>
      </c>
      <c r="N829" s="116">
        <v>2333.35</v>
      </c>
      <c r="O829" s="116">
        <v>2284.5</v>
      </c>
      <c r="P829" s="116">
        <v>2300</v>
      </c>
      <c r="Q829" s="116">
        <v>4631.3500000000004</v>
      </c>
      <c r="R829">
        <v>65870</v>
      </c>
    </row>
    <row r="830" spans="1:18" x14ac:dyDescent="0.25">
      <c r="A830" s="170">
        <v>44867</v>
      </c>
      <c r="B830" s="116">
        <v>2335</v>
      </c>
      <c r="C830" s="116">
        <v>2318.6</v>
      </c>
      <c r="D830" s="116">
        <v>2288.1750000000002</v>
      </c>
      <c r="E830" s="116">
        <v>2288.1750000000002</v>
      </c>
      <c r="F830" s="116">
        <v>4637.2</v>
      </c>
      <c r="G830">
        <v>4027</v>
      </c>
      <c r="H830" s="116"/>
      <c r="I830" s="116"/>
      <c r="L830" s="170">
        <v>44867</v>
      </c>
      <c r="M830" s="116">
        <v>2318.9749999999999</v>
      </c>
      <c r="N830" s="116">
        <v>2335.6</v>
      </c>
      <c r="O830" s="116">
        <v>2300</v>
      </c>
      <c r="P830" s="116">
        <v>2301.5</v>
      </c>
      <c r="Q830" s="116">
        <v>4637.95</v>
      </c>
      <c r="R830">
        <v>48351</v>
      </c>
    </row>
    <row r="831" spans="1:18" x14ac:dyDescent="0.25">
      <c r="A831" s="170">
        <v>44868</v>
      </c>
      <c r="B831" s="116">
        <v>2377.1999999999998</v>
      </c>
      <c r="C831" s="116">
        <v>2363.65</v>
      </c>
      <c r="D831" s="116">
        <v>2292.7249999999999</v>
      </c>
      <c r="E831" s="116">
        <v>2292.7249999999999</v>
      </c>
      <c r="F831" s="116">
        <v>4727.3</v>
      </c>
      <c r="G831">
        <v>4760</v>
      </c>
      <c r="H831" s="116"/>
      <c r="I831" s="116"/>
      <c r="L831" s="170">
        <v>44868</v>
      </c>
      <c r="M831" s="116">
        <v>2358.6999999999998</v>
      </c>
      <c r="N831" s="116">
        <v>2365</v>
      </c>
      <c r="O831" s="116">
        <v>2290.5</v>
      </c>
      <c r="P831" s="116">
        <v>2300</v>
      </c>
      <c r="Q831" s="116">
        <v>4717.3999999999996</v>
      </c>
      <c r="R831">
        <v>168558</v>
      </c>
    </row>
    <row r="832" spans="1:18" x14ac:dyDescent="0.25">
      <c r="A832" s="170">
        <v>44869</v>
      </c>
      <c r="B832" s="116">
        <v>2379.35</v>
      </c>
      <c r="C832" s="116">
        <v>2346.625</v>
      </c>
      <c r="D832" s="116">
        <v>2339.8000000000002</v>
      </c>
      <c r="E832" s="116">
        <v>2355.5</v>
      </c>
      <c r="F832" s="116">
        <v>4693.25</v>
      </c>
      <c r="G832">
        <v>4610</v>
      </c>
      <c r="H832" s="116"/>
      <c r="I832" s="116"/>
      <c r="L832" s="170">
        <v>44869</v>
      </c>
      <c r="M832" s="116">
        <v>2350.4499999999998</v>
      </c>
      <c r="N832" s="116">
        <v>2380</v>
      </c>
      <c r="O832" s="116">
        <v>2340</v>
      </c>
      <c r="P832" s="116">
        <v>2358.6999999999998</v>
      </c>
      <c r="Q832" s="116">
        <v>4700.8999999999996</v>
      </c>
      <c r="R832">
        <v>49166</v>
      </c>
    </row>
    <row r="833" spans="1:18" x14ac:dyDescent="0.25">
      <c r="A833" s="170">
        <v>44872</v>
      </c>
      <c r="B833" s="116">
        <v>2409.4499999999998</v>
      </c>
      <c r="C833" s="116">
        <v>2397.9</v>
      </c>
      <c r="D833" s="116">
        <v>2346.625</v>
      </c>
      <c r="E833" s="116">
        <v>2346.625</v>
      </c>
      <c r="F833" s="116">
        <v>4795.8</v>
      </c>
      <c r="G833">
        <v>4791</v>
      </c>
      <c r="H833" s="116"/>
      <c r="I833" s="116"/>
      <c r="L833" s="170">
        <v>44872</v>
      </c>
      <c r="M833" s="116">
        <v>2396.0749999999998</v>
      </c>
      <c r="N833" s="116">
        <v>2410</v>
      </c>
      <c r="O833" s="116">
        <v>2350</v>
      </c>
      <c r="P833" s="116">
        <v>2350.4499999999998</v>
      </c>
      <c r="Q833" s="116">
        <v>4792.1499999999996</v>
      </c>
      <c r="R833">
        <v>100932</v>
      </c>
    </row>
    <row r="834" spans="1:18" x14ac:dyDescent="0.25">
      <c r="A834" s="170">
        <v>44874</v>
      </c>
      <c r="B834" s="116">
        <v>2417.5</v>
      </c>
      <c r="C834" s="116">
        <v>2405.1750000000002</v>
      </c>
      <c r="D834" s="116">
        <v>2375.0250000000001</v>
      </c>
      <c r="E834" s="116">
        <v>2375.0250000000001</v>
      </c>
      <c r="F834" s="116">
        <v>4810.3500000000004</v>
      </c>
      <c r="G834">
        <v>6422</v>
      </c>
      <c r="H834" s="116"/>
      <c r="I834" s="116"/>
      <c r="L834" s="170">
        <v>44874</v>
      </c>
      <c r="M834" s="116">
        <v>2402.5250000000001</v>
      </c>
      <c r="N834" s="116">
        <v>2418.9250000000002</v>
      </c>
      <c r="O834" s="116">
        <v>2388.9749999999999</v>
      </c>
      <c r="P834" s="116">
        <v>2396.5</v>
      </c>
      <c r="Q834" s="116">
        <v>4805.05</v>
      </c>
      <c r="R834">
        <v>69065</v>
      </c>
    </row>
    <row r="835" spans="1:18" x14ac:dyDescent="0.25">
      <c r="A835" s="170">
        <v>44875</v>
      </c>
      <c r="B835" s="116">
        <v>2415</v>
      </c>
      <c r="C835" s="116">
        <v>2409.6</v>
      </c>
      <c r="D835" s="116">
        <v>2374.0250000000001</v>
      </c>
      <c r="E835" s="116">
        <v>2374.0250000000001</v>
      </c>
      <c r="F835" s="116">
        <v>4819.2</v>
      </c>
      <c r="G835">
        <v>4642</v>
      </c>
      <c r="H835" s="116"/>
      <c r="I835" s="116"/>
      <c r="L835" s="170">
        <v>44875</v>
      </c>
      <c r="M835" s="116">
        <v>2410.3249999999998</v>
      </c>
      <c r="N835" s="116">
        <v>2415</v>
      </c>
      <c r="O835" s="116">
        <v>2380</v>
      </c>
      <c r="P835" s="116">
        <v>2382.4</v>
      </c>
      <c r="Q835" s="116">
        <v>4820.6499999999996</v>
      </c>
      <c r="R835">
        <v>58205</v>
      </c>
    </row>
    <row r="836" spans="1:18" x14ac:dyDescent="0.25">
      <c r="A836" s="170">
        <v>44876</v>
      </c>
      <c r="B836" s="116">
        <v>2458.0500000000002</v>
      </c>
      <c r="C836" s="116">
        <v>2396.0250000000001</v>
      </c>
      <c r="D836" s="116">
        <v>2378.4749999999999</v>
      </c>
      <c r="E836" s="116">
        <v>2415</v>
      </c>
      <c r="F836" s="116">
        <v>4792.05</v>
      </c>
      <c r="G836">
        <v>22471</v>
      </c>
      <c r="H836" s="116"/>
      <c r="I836" s="116"/>
      <c r="L836" s="170">
        <v>44876</v>
      </c>
      <c r="M836" s="116">
        <v>2397.7750000000001</v>
      </c>
      <c r="N836" s="116">
        <v>2457.5</v>
      </c>
      <c r="O836" s="116">
        <v>2378.375</v>
      </c>
      <c r="P836" s="116">
        <v>2420.3249999999998</v>
      </c>
      <c r="Q836" s="116">
        <v>4795.55</v>
      </c>
      <c r="R836">
        <v>136383</v>
      </c>
    </row>
    <row r="837" spans="1:18" x14ac:dyDescent="0.25">
      <c r="A837" s="170">
        <v>44879</v>
      </c>
      <c r="B837" s="116">
        <v>2395</v>
      </c>
      <c r="C837" s="116">
        <v>2316.8249999999998</v>
      </c>
      <c r="D837" s="116">
        <v>2300.5</v>
      </c>
      <c r="E837" s="116">
        <v>2395</v>
      </c>
      <c r="F837" s="116">
        <v>4633.6499999999996</v>
      </c>
      <c r="G837">
        <v>36079</v>
      </c>
      <c r="H837" s="116"/>
      <c r="I837" s="116"/>
      <c r="L837" s="170">
        <v>44879</v>
      </c>
      <c r="M837" s="116">
        <v>2317.8000000000002</v>
      </c>
      <c r="N837" s="116">
        <v>2394.9749999999999</v>
      </c>
      <c r="O837" s="116">
        <v>2300</v>
      </c>
      <c r="P837" s="116">
        <v>2375</v>
      </c>
      <c r="Q837" s="116">
        <v>4635.6000000000004</v>
      </c>
      <c r="R837">
        <v>136864</v>
      </c>
    </row>
    <row r="838" spans="1:18" x14ac:dyDescent="0.25">
      <c r="A838" s="170">
        <v>44880</v>
      </c>
      <c r="B838" s="116">
        <v>2370.9</v>
      </c>
      <c r="C838" s="116">
        <v>2351.15</v>
      </c>
      <c r="D838" s="116">
        <v>2315.5</v>
      </c>
      <c r="E838" s="116">
        <v>2315.5</v>
      </c>
      <c r="F838" s="116">
        <v>4702.3</v>
      </c>
      <c r="G838">
        <v>29619</v>
      </c>
      <c r="H838" s="116"/>
      <c r="I838" s="116"/>
      <c r="L838" s="170">
        <v>44880</v>
      </c>
      <c r="M838" s="116">
        <v>2352.125</v>
      </c>
      <c r="N838" s="116">
        <v>2372.5</v>
      </c>
      <c r="O838" s="116">
        <v>2319.9499999999998</v>
      </c>
      <c r="P838" s="116">
        <v>2319.9499999999998</v>
      </c>
      <c r="Q838" s="116">
        <v>4704.25</v>
      </c>
      <c r="R838">
        <v>138268</v>
      </c>
    </row>
    <row r="839" spans="1:18" x14ac:dyDescent="0.25">
      <c r="A839" s="170">
        <v>44881</v>
      </c>
      <c r="B839" s="116">
        <v>2371.4749999999999</v>
      </c>
      <c r="C839" s="116">
        <v>2355.1750000000002</v>
      </c>
      <c r="D839" s="116">
        <v>2333.125</v>
      </c>
      <c r="E839" s="116">
        <v>2351.15</v>
      </c>
      <c r="F839" s="116">
        <v>4710.3500000000004</v>
      </c>
      <c r="G839">
        <v>16804</v>
      </c>
      <c r="H839" s="116"/>
      <c r="I839" s="116"/>
      <c r="L839" s="170">
        <v>44881</v>
      </c>
      <c r="M839" s="116">
        <v>2355.8249999999998</v>
      </c>
      <c r="N839" s="116">
        <v>2371</v>
      </c>
      <c r="O839" s="116">
        <v>2328.7750000000001</v>
      </c>
      <c r="P839" s="116">
        <v>2352.125</v>
      </c>
      <c r="Q839" s="116">
        <v>4711.6499999999996</v>
      </c>
      <c r="R839">
        <v>74990</v>
      </c>
    </row>
    <row r="840" spans="1:18" x14ac:dyDescent="0.25">
      <c r="A840" s="170">
        <v>44882</v>
      </c>
      <c r="B840" s="116">
        <v>2356.6750000000002</v>
      </c>
      <c r="C840" s="116">
        <v>2291.6750000000002</v>
      </c>
      <c r="D840" s="116">
        <v>2254.9749999999999</v>
      </c>
      <c r="E840" s="116">
        <v>2345.6750000000002</v>
      </c>
      <c r="F840" s="116">
        <v>4583.3500000000004</v>
      </c>
      <c r="G840">
        <v>40245</v>
      </c>
      <c r="H840" s="116"/>
      <c r="I840" s="116"/>
      <c r="L840" s="170">
        <v>44882</v>
      </c>
      <c r="M840" s="116">
        <v>2291.625</v>
      </c>
      <c r="N840" s="116">
        <v>2356.9749999999999</v>
      </c>
      <c r="O840" s="116">
        <v>2251.2750000000001</v>
      </c>
      <c r="P840" s="116">
        <v>2337.5</v>
      </c>
      <c r="Q840" s="116">
        <v>4583.25</v>
      </c>
      <c r="R840">
        <v>202487</v>
      </c>
    </row>
    <row r="841" spans="1:18" x14ac:dyDescent="0.25">
      <c r="A841" s="170">
        <v>44883</v>
      </c>
      <c r="B841" s="116">
        <v>2315.625</v>
      </c>
      <c r="C841" s="116">
        <v>2243.25</v>
      </c>
      <c r="D841" s="116">
        <v>2200</v>
      </c>
      <c r="E841" s="116">
        <v>2292.5250000000001</v>
      </c>
      <c r="F841" s="116">
        <v>4486.5</v>
      </c>
      <c r="G841">
        <v>7800</v>
      </c>
      <c r="H841" s="116"/>
      <c r="I841" s="116"/>
      <c r="L841" s="170">
        <v>44883</v>
      </c>
      <c r="M841" s="116">
        <v>2245.7750000000001</v>
      </c>
      <c r="N841" s="116">
        <v>2325</v>
      </c>
      <c r="O841" s="116">
        <v>2200</v>
      </c>
      <c r="P841" s="116">
        <v>2297</v>
      </c>
      <c r="Q841" s="116">
        <v>4491.55</v>
      </c>
      <c r="R841">
        <v>121280</v>
      </c>
    </row>
    <row r="842" spans="1:18" x14ac:dyDescent="0.25">
      <c r="A842" s="170">
        <v>44886</v>
      </c>
      <c r="B842" s="116">
        <v>2255.4250000000002</v>
      </c>
      <c r="C842" s="116">
        <v>2205.5250000000001</v>
      </c>
      <c r="D842" s="116">
        <v>2187</v>
      </c>
      <c r="E842" s="116">
        <v>2241</v>
      </c>
      <c r="F842" s="116">
        <v>4411.05</v>
      </c>
      <c r="G842">
        <v>1836</v>
      </c>
      <c r="H842" s="116"/>
      <c r="I842" s="116"/>
      <c r="L842" s="170">
        <v>44886</v>
      </c>
      <c r="M842" s="116">
        <v>2202.35</v>
      </c>
      <c r="N842" s="116">
        <v>2256.25</v>
      </c>
      <c r="O842" s="116">
        <v>2190</v>
      </c>
      <c r="P842" s="116">
        <v>2240.5</v>
      </c>
      <c r="Q842" s="116">
        <v>4404.7</v>
      </c>
      <c r="R842">
        <v>43020</v>
      </c>
    </row>
    <row r="843" spans="1:18" x14ac:dyDescent="0.25">
      <c r="A843" s="170">
        <v>44887</v>
      </c>
      <c r="B843" s="116">
        <v>2227.9749999999999</v>
      </c>
      <c r="C843" s="116">
        <v>2190.4250000000002</v>
      </c>
      <c r="D843" s="116">
        <v>2185.5</v>
      </c>
      <c r="E843" s="116">
        <v>2216.9749999999999</v>
      </c>
      <c r="F843" s="116">
        <v>4380.8500000000004</v>
      </c>
      <c r="G843">
        <v>3814</v>
      </c>
      <c r="H843" s="116"/>
      <c r="I843" s="116"/>
      <c r="L843" s="170">
        <v>44887</v>
      </c>
      <c r="M843" s="116">
        <v>2191.8249999999998</v>
      </c>
      <c r="N843" s="116">
        <v>2229.5</v>
      </c>
      <c r="O843" s="116">
        <v>2185</v>
      </c>
      <c r="P843" s="116">
        <v>2209</v>
      </c>
      <c r="Q843" s="116">
        <v>4383.6499999999996</v>
      </c>
      <c r="R843">
        <v>40226</v>
      </c>
    </row>
    <row r="844" spans="1:18" x14ac:dyDescent="0.25">
      <c r="A844" s="170">
        <v>44888</v>
      </c>
      <c r="B844" s="116">
        <v>2211</v>
      </c>
      <c r="C844" s="116">
        <v>2169.75</v>
      </c>
      <c r="D844" s="116">
        <v>2157.3249999999998</v>
      </c>
      <c r="E844" s="116">
        <v>2182.5250000000001</v>
      </c>
      <c r="F844" s="116">
        <v>4339.5</v>
      </c>
      <c r="G844">
        <v>1952</v>
      </c>
      <c r="H844" s="116"/>
      <c r="I844" s="116"/>
      <c r="L844" s="170">
        <v>44888</v>
      </c>
      <c r="M844" s="116">
        <v>2170.5250000000001</v>
      </c>
      <c r="N844" s="116">
        <v>2214.5</v>
      </c>
      <c r="O844" s="116">
        <v>2155</v>
      </c>
      <c r="P844" s="116">
        <v>2202.8000000000002</v>
      </c>
      <c r="Q844" s="116">
        <v>4341.05</v>
      </c>
      <c r="R844">
        <v>64568</v>
      </c>
    </row>
    <row r="845" spans="1:18" x14ac:dyDescent="0.25">
      <c r="A845" s="170">
        <v>44889</v>
      </c>
      <c r="B845" s="116">
        <v>2187.5</v>
      </c>
      <c r="C845" s="116">
        <v>2164.9499999999998</v>
      </c>
      <c r="D845" s="116">
        <v>2148.0749999999998</v>
      </c>
      <c r="E845" s="116">
        <v>2183.5749999999998</v>
      </c>
      <c r="F845" s="116">
        <v>4329.8999999999996</v>
      </c>
      <c r="G845">
        <v>2215</v>
      </c>
      <c r="H845" s="116"/>
      <c r="I845" s="116"/>
      <c r="L845" s="170">
        <v>44889</v>
      </c>
      <c r="M845" s="116">
        <v>2169.0749999999998</v>
      </c>
      <c r="N845" s="116">
        <v>2188.25</v>
      </c>
      <c r="O845" s="116">
        <v>2146</v>
      </c>
      <c r="P845" s="116">
        <v>2185</v>
      </c>
      <c r="Q845" s="116">
        <v>4338.1499999999996</v>
      </c>
      <c r="R845">
        <v>131203</v>
      </c>
    </row>
    <row r="846" spans="1:18" x14ac:dyDescent="0.25">
      <c r="A846" s="170">
        <v>44890</v>
      </c>
      <c r="B846" s="116">
        <v>2195.125</v>
      </c>
      <c r="C846" s="116">
        <v>2190.2750000000001</v>
      </c>
      <c r="D846" s="116">
        <v>2151</v>
      </c>
      <c r="E846" s="116">
        <v>2192.4749999999999</v>
      </c>
      <c r="F846" s="116">
        <v>4380.55</v>
      </c>
      <c r="G846">
        <v>1188</v>
      </c>
      <c r="H846" s="116"/>
      <c r="I846" s="116"/>
      <c r="L846" s="170">
        <v>44890</v>
      </c>
      <c r="M846" s="116">
        <v>2189.8000000000002</v>
      </c>
      <c r="N846" s="116">
        <v>2197.5</v>
      </c>
      <c r="O846" s="116">
        <v>2151.0500000000002</v>
      </c>
      <c r="P846" s="116">
        <v>2172.5</v>
      </c>
      <c r="Q846" s="116">
        <v>4379.6000000000004</v>
      </c>
      <c r="R846">
        <v>52618</v>
      </c>
    </row>
    <row r="847" spans="1:18" x14ac:dyDescent="0.25">
      <c r="A847" s="170">
        <v>44893</v>
      </c>
      <c r="B847" s="116">
        <v>2231.7750000000001</v>
      </c>
      <c r="C847" s="116">
        <v>2201.9250000000002</v>
      </c>
      <c r="D847" s="116">
        <v>2179.5250000000001</v>
      </c>
      <c r="E847" s="116">
        <v>2191.0250000000001</v>
      </c>
      <c r="F847" s="116">
        <v>4403.8500000000004</v>
      </c>
      <c r="G847">
        <v>3910</v>
      </c>
      <c r="H847" s="116"/>
      <c r="I847" s="116"/>
      <c r="L847" s="170">
        <v>44893</v>
      </c>
      <c r="M847" s="116">
        <v>2202.85</v>
      </c>
      <c r="N847" s="116">
        <v>2233.9250000000002</v>
      </c>
      <c r="O847" s="116">
        <v>2178.15</v>
      </c>
      <c r="P847" s="116">
        <v>2199.4250000000002</v>
      </c>
      <c r="Q847" s="116">
        <v>4405.7</v>
      </c>
      <c r="R847">
        <v>60592</v>
      </c>
    </row>
    <row r="848" spans="1:18" x14ac:dyDescent="0.25">
      <c r="A848" s="170">
        <v>44894</v>
      </c>
      <c r="B848" s="116">
        <v>2225</v>
      </c>
      <c r="C848" s="116">
        <v>2193.375</v>
      </c>
      <c r="D848" s="116">
        <v>2185.6750000000002</v>
      </c>
      <c r="E848" s="116">
        <v>2201.5</v>
      </c>
      <c r="F848" s="116">
        <v>4386.75</v>
      </c>
      <c r="G848">
        <v>1498</v>
      </c>
      <c r="H848" s="116"/>
      <c r="I848" s="116"/>
      <c r="L848" s="170">
        <v>44894</v>
      </c>
      <c r="M848" s="116">
        <v>2192.1750000000002</v>
      </c>
      <c r="N848" s="116">
        <v>2225</v>
      </c>
      <c r="O848" s="116">
        <v>2186.125</v>
      </c>
      <c r="P848" s="116">
        <v>2200</v>
      </c>
      <c r="Q848" s="116">
        <v>4384.3500000000004</v>
      </c>
      <c r="R848">
        <v>41019</v>
      </c>
    </row>
    <row r="849" spans="1:18" x14ac:dyDescent="0.25">
      <c r="A849" s="170">
        <v>44895</v>
      </c>
      <c r="B849" s="116">
        <v>2205.5</v>
      </c>
      <c r="C849" s="116">
        <v>2192.1750000000002</v>
      </c>
      <c r="D849" s="116">
        <v>2179.7750000000001</v>
      </c>
      <c r="E849" s="116">
        <v>2184.0250000000001</v>
      </c>
      <c r="F849" s="116">
        <v>4384.3500000000004</v>
      </c>
      <c r="G849">
        <v>2747</v>
      </c>
      <c r="H849" s="116"/>
      <c r="I849" s="116"/>
      <c r="L849" s="170">
        <v>44895</v>
      </c>
      <c r="M849" s="116">
        <v>2191.8000000000002</v>
      </c>
      <c r="N849" s="116">
        <v>2213.5</v>
      </c>
      <c r="O849" s="116">
        <v>2180</v>
      </c>
      <c r="P849" s="116">
        <v>2199.4</v>
      </c>
      <c r="Q849" s="116">
        <v>4383.6000000000004</v>
      </c>
      <c r="R849">
        <v>33183</v>
      </c>
    </row>
    <row r="850" spans="1:18" x14ac:dyDescent="0.25">
      <c r="A850" s="170">
        <v>44896</v>
      </c>
      <c r="B850" s="116">
        <v>2249</v>
      </c>
      <c r="C850" s="116">
        <v>2220.0500000000002</v>
      </c>
      <c r="D850" s="116">
        <v>2198.0500000000002</v>
      </c>
      <c r="E850" s="116">
        <v>2202.5</v>
      </c>
      <c r="F850" s="116">
        <v>4440.1000000000004</v>
      </c>
      <c r="G850">
        <v>6218</v>
      </c>
      <c r="H850" s="116"/>
      <c r="I850" s="116"/>
      <c r="L850" s="170">
        <v>44896</v>
      </c>
      <c r="M850" s="116">
        <v>2221.6999999999998</v>
      </c>
      <c r="N850" s="116">
        <v>2250</v>
      </c>
      <c r="O850" s="116">
        <v>2197.5</v>
      </c>
      <c r="P850" s="116">
        <v>2211.2249999999999</v>
      </c>
      <c r="Q850" s="116">
        <v>4443.3999999999996</v>
      </c>
      <c r="R850">
        <v>84156</v>
      </c>
    </row>
    <row r="851" spans="1:18" x14ac:dyDescent="0.25">
      <c r="A851" s="170">
        <v>44897</v>
      </c>
      <c r="B851" s="116">
        <v>2237.0500000000002</v>
      </c>
      <c r="C851" s="116">
        <v>2232.5749999999998</v>
      </c>
      <c r="D851" s="116">
        <v>2208.75</v>
      </c>
      <c r="E851" s="116">
        <v>2210.5</v>
      </c>
      <c r="F851" s="116">
        <v>4465.1499999999996</v>
      </c>
      <c r="G851">
        <v>2228</v>
      </c>
      <c r="H851" s="116"/>
      <c r="I851" s="116"/>
      <c r="L851" s="170">
        <v>44897</v>
      </c>
      <c r="M851" s="116">
        <v>2233.375</v>
      </c>
      <c r="N851" s="116">
        <v>2237.5</v>
      </c>
      <c r="O851" s="116">
        <v>2207.2750000000001</v>
      </c>
      <c r="P851" s="116">
        <v>2215</v>
      </c>
      <c r="Q851" s="116">
        <v>4466.75</v>
      </c>
      <c r="R851">
        <v>36064</v>
      </c>
    </row>
    <row r="852" spans="1:18" x14ac:dyDescent="0.25">
      <c r="A852" s="170">
        <v>44900</v>
      </c>
      <c r="B852" s="116">
        <v>2246.1999999999998</v>
      </c>
      <c r="C852" s="116">
        <v>2239.9250000000002</v>
      </c>
      <c r="D852" s="116">
        <v>2215.85</v>
      </c>
      <c r="E852" s="116">
        <v>2228.875</v>
      </c>
      <c r="F852" s="116">
        <v>4479.8500000000004</v>
      </c>
      <c r="G852">
        <v>1032</v>
      </c>
      <c r="H852" s="116"/>
      <c r="I852" s="116"/>
      <c r="L852" s="170">
        <v>44900</v>
      </c>
      <c r="M852" s="116">
        <v>2239.85</v>
      </c>
      <c r="N852" s="116">
        <v>2248</v>
      </c>
      <c r="O852" s="116">
        <v>2215</v>
      </c>
      <c r="P852" s="116">
        <v>2244.5500000000002</v>
      </c>
      <c r="Q852" s="116">
        <v>4479.7</v>
      </c>
      <c r="R852">
        <v>40431</v>
      </c>
    </row>
    <row r="853" spans="1:18" x14ac:dyDescent="0.25">
      <c r="A853" s="170">
        <v>44901</v>
      </c>
      <c r="B853" s="116">
        <v>2244.7750000000001</v>
      </c>
      <c r="C853" s="116">
        <v>2229.25</v>
      </c>
      <c r="D853" s="116">
        <v>2211.5250000000001</v>
      </c>
      <c r="E853" s="116">
        <v>2211.5250000000001</v>
      </c>
      <c r="F853" s="116">
        <v>4458.5</v>
      </c>
      <c r="G853">
        <v>2094</v>
      </c>
      <c r="H853" s="116"/>
      <c r="I853" s="116"/>
      <c r="L853" s="170">
        <v>44901</v>
      </c>
      <c r="M853" s="116">
        <v>2229.0500000000002</v>
      </c>
      <c r="N853" s="116">
        <v>2244</v>
      </c>
      <c r="O853" s="116">
        <v>2220.5250000000001</v>
      </c>
      <c r="P853" s="116">
        <v>2231.5</v>
      </c>
      <c r="Q853" s="116">
        <v>4458.1000000000004</v>
      </c>
      <c r="R853">
        <v>29697</v>
      </c>
    </row>
    <row r="854" spans="1:18" x14ac:dyDescent="0.25">
      <c r="A854" s="170">
        <v>44902</v>
      </c>
      <c r="B854" s="116">
        <v>2250</v>
      </c>
      <c r="C854" s="116">
        <v>2191.9</v>
      </c>
      <c r="D854" s="116">
        <v>2187.5</v>
      </c>
      <c r="E854" s="116">
        <v>2210.5250000000001</v>
      </c>
      <c r="F854" s="116">
        <v>4383.8</v>
      </c>
      <c r="G854">
        <v>2916</v>
      </c>
      <c r="H854" s="116"/>
      <c r="I854" s="116"/>
      <c r="L854" s="170">
        <v>44902</v>
      </c>
      <c r="M854" s="116">
        <v>2191.3000000000002</v>
      </c>
      <c r="N854" s="116">
        <v>2250.5500000000002</v>
      </c>
      <c r="O854" s="116">
        <v>2182.625</v>
      </c>
      <c r="P854" s="116">
        <v>2224.5</v>
      </c>
      <c r="Q854" s="116">
        <v>4382.6000000000004</v>
      </c>
      <c r="R854">
        <v>51905</v>
      </c>
    </row>
    <row r="855" spans="1:18" x14ac:dyDescent="0.25">
      <c r="A855" s="170">
        <v>44903</v>
      </c>
      <c r="B855" s="116">
        <v>2220.2249999999999</v>
      </c>
      <c r="C855" s="116">
        <v>2209.5250000000001</v>
      </c>
      <c r="D855" s="116">
        <v>2192.5</v>
      </c>
      <c r="E855" s="116">
        <v>2203.4749999999999</v>
      </c>
      <c r="F855" s="116">
        <v>4419.05</v>
      </c>
      <c r="G855">
        <v>2606</v>
      </c>
      <c r="H855" s="116"/>
      <c r="I855" s="116"/>
      <c r="L855" s="170">
        <v>44903</v>
      </c>
      <c r="M855" s="116">
        <v>2209.35</v>
      </c>
      <c r="N855" s="116">
        <v>2221</v>
      </c>
      <c r="O855" s="116">
        <v>2188.7750000000001</v>
      </c>
      <c r="P855" s="116">
        <v>2197.6999999999998</v>
      </c>
      <c r="Q855" s="116">
        <v>4418.7</v>
      </c>
      <c r="R855">
        <v>31105</v>
      </c>
    </row>
    <row r="856" spans="1:18" x14ac:dyDescent="0.25">
      <c r="A856" s="170">
        <v>44904</v>
      </c>
      <c r="B856" s="116">
        <v>2253.6</v>
      </c>
      <c r="C856" s="116">
        <v>2216.5749999999998</v>
      </c>
      <c r="D856" s="116">
        <v>2203.15</v>
      </c>
      <c r="E856" s="116">
        <v>2217.4749999999999</v>
      </c>
      <c r="F856" s="116">
        <v>4433.1499999999996</v>
      </c>
      <c r="G856">
        <v>4760</v>
      </c>
      <c r="H856" s="116"/>
      <c r="I856" s="116"/>
      <c r="L856" s="170">
        <v>44904</v>
      </c>
      <c r="M856" s="116">
        <v>2217.7249999999999</v>
      </c>
      <c r="N856" s="116">
        <v>2254</v>
      </c>
      <c r="O856" s="116">
        <v>2204.1</v>
      </c>
      <c r="P856" s="116">
        <v>2210</v>
      </c>
      <c r="Q856" s="116">
        <v>4435.45</v>
      </c>
      <c r="R856">
        <v>86693</v>
      </c>
    </row>
    <row r="857" spans="1:18" x14ac:dyDescent="0.25">
      <c r="A857" s="170">
        <v>44907</v>
      </c>
      <c r="B857" s="116">
        <v>2230</v>
      </c>
      <c r="C857" s="116">
        <v>2217.6999999999998</v>
      </c>
      <c r="D857" s="116">
        <v>2199.2249999999999</v>
      </c>
      <c r="E857" s="116">
        <v>2204.0250000000001</v>
      </c>
      <c r="F857" s="116">
        <v>4435.3999999999996</v>
      </c>
      <c r="G857">
        <v>1006</v>
      </c>
      <c r="H857" s="116"/>
      <c r="I857" s="116"/>
      <c r="L857" s="170">
        <v>44907</v>
      </c>
      <c r="M857" s="116">
        <v>2220</v>
      </c>
      <c r="N857" s="116">
        <v>2233.25</v>
      </c>
      <c r="O857" s="116">
        <v>2199.15</v>
      </c>
      <c r="P857" s="116">
        <v>2213.6999999999998</v>
      </c>
      <c r="Q857" s="116">
        <v>4440</v>
      </c>
      <c r="R857">
        <v>35156</v>
      </c>
    </row>
    <row r="858" spans="1:18" x14ac:dyDescent="0.25">
      <c r="A858" s="170">
        <v>44908</v>
      </c>
      <c r="B858" s="116">
        <v>2230.5</v>
      </c>
      <c r="C858" s="116">
        <v>2189.6999999999998</v>
      </c>
      <c r="D858" s="116">
        <v>2187.4749999999999</v>
      </c>
      <c r="E858" s="116">
        <v>2230.5</v>
      </c>
      <c r="F858" s="116">
        <v>4379.3999999999996</v>
      </c>
      <c r="G858">
        <v>879</v>
      </c>
      <c r="H858" s="116"/>
      <c r="I858" s="116"/>
      <c r="L858" s="170">
        <v>44908</v>
      </c>
      <c r="M858" s="116">
        <v>2190.35</v>
      </c>
      <c r="N858" s="116">
        <v>2231.9749999999999</v>
      </c>
      <c r="O858" s="116">
        <v>2185.0749999999998</v>
      </c>
      <c r="P858" s="116">
        <v>2231.9749999999999</v>
      </c>
      <c r="Q858" s="116">
        <v>4380.7</v>
      </c>
      <c r="R858">
        <v>43577</v>
      </c>
    </row>
    <row r="859" spans="1:18" x14ac:dyDescent="0.25">
      <c r="A859" s="170">
        <v>44909</v>
      </c>
      <c r="B859" s="116">
        <v>2225</v>
      </c>
      <c r="C859" s="116">
        <v>2195.0250000000001</v>
      </c>
      <c r="D859" s="116">
        <v>2188.5</v>
      </c>
      <c r="E859" s="116">
        <v>2200.5500000000002</v>
      </c>
      <c r="F859" s="116">
        <v>4390.05</v>
      </c>
      <c r="G859">
        <v>1138</v>
      </c>
      <c r="H859" s="116"/>
      <c r="I859" s="116"/>
      <c r="L859" s="170">
        <v>44909</v>
      </c>
      <c r="M859" s="116">
        <v>2196.5</v>
      </c>
      <c r="N859" s="116">
        <v>2229.9749999999999</v>
      </c>
      <c r="O859" s="116">
        <v>2187.5</v>
      </c>
      <c r="P859" s="116">
        <v>2199.4</v>
      </c>
      <c r="Q859" s="116">
        <v>4393</v>
      </c>
      <c r="R859">
        <v>55996</v>
      </c>
    </row>
    <row r="860" spans="1:18" x14ac:dyDescent="0.25">
      <c r="A860" s="170">
        <v>44910</v>
      </c>
      <c r="B860" s="116">
        <v>2198.6</v>
      </c>
      <c r="C860" s="116">
        <v>2176.0500000000002</v>
      </c>
      <c r="D860" s="116">
        <v>2132.6750000000002</v>
      </c>
      <c r="E860" s="116">
        <v>2197.5</v>
      </c>
      <c r="F860" s="116">
        <v>4352.1000000000004</v>
      </c>
      <c r="G860">
        <v>3066</v>
      </c>
      <c r="H860" s="116"/>
      <c r="I860" s="116"/>
      <c r="L860" s="170">
        <v>44910</v>
      </c>
      <c r="M860" s="116">
        <v>2175.625</v>
      </c>
      <c r="N860" s="116">
        <v>2202.8000000000002</v>
      </c>
      <c r="O860" s="116">
        <v>2132.1</v>
      </c>
      <c r="P860" s="116">
        <v>2194.9</v>
      </c>
      <c r="Q860" s="116">
        <v>4351.25</v>
      </c>
      <c r="R860">
        <v>136751</v>
      </c>
    </row>
    <row r="861" spans="1:18" x14ac:dyDescent="0.25">
      <c r="A861" s="170">
        <v>44911</v>
      </c>
      <c r="B861" s="116">
        <v>2181.9499999999998</v>
      </c>
      <c r="C861" s="116">
        <v>2169.1999999999998</v>
      </c>
      <c r="D861" s="116">
        <v>2143.5</v>
      </c>
      <c r="E861" s="116">
        <v>2160</v>
      </c>
      <c r="F861" s="116">
        <v>4338.3999999999996</v>
      </c>
      <c r="G861">
        <v>3324</v>
      </c>
      <c r="H861" s="116"/>
      <c r="I861" s="116"/>
      <c r="L861" s="170">
        <v>44911</v>
      </c>
      <c r="M861" s="116">
        <v>2167.25</v>
      </c>
      <c r="N861" s="116">
        <v>2182.4499999999998</v>
      </c>
      <c r="O861" s="116">
        <v>2142.5</v>
      </c>
      <c r="P861" s="116">
        <v>2160</v>
      </c>
      <c r="Q861" s="116">
        <v>4334.5</v>
      </c>
      <c r="R861">
        <v>38651</v>
      </c>
    </row>
    <row r="862" spans="1:18" x14ac:dyDescent="0.25">
      <c r="A862" s="170">
        <v>44914</v>
      </c>
      <c r="B862" s="116">
        <v>2287.0250000000001</v>
      </c>
      <c r="C862" s="116">
        <v>2240.125</v>
      </c>
      <c r="D862" s="116">
        <v>2161.125</v>
      </c>
      <c r="E862" s="116">
        <v>2169.1750000000002</v>
      </c>
      <c r="F862" s="116">
        <v>4480.25</v>
      </c>
      <c r="G862">
        <v>16135</v>
      </c>
      <c r="H862" s="116"/>
      <c r="I862" s="116"/>
      <c r="L862" s="170">
        <v>44914</v>
      </c>
      <c r="M862" s="116">
        <v>2240.5749999999998</v>
      </c>
      <c r="N862" s="116">
        <v>2287.5</v>
      </c>
      <c r="O862" s="116">
        <v>2160</v>
      </c>
      <c r="P862" s="116">
        <v>2165.0250000000001</v>
      </c>
      <c r="Q862" s="116">
        <v>4481.1499999999996</v>
      </c>
      <c r="R862">
        <v>315105</v>
      </c>
    </row>
    <row r="863" spans="1:18" x14ac:dyDescent="0.25">
      <c r="A863" s="170">
        <v>44915</v>
      </c>
      <c r="B863" s="116">
        <v>2286.3000000000002</v>
      </c>
      <c r="C863" s="116">
        <v>2258.6</v>
      </c>
      <c r="D863" s="116">
        <v>2221.1999999999998</v>
      </c>
      <c r="E863" s="116">
        <v>2225.5</v>
      </c>
      <c r="F863" s="116">
        <v>4517.2</v>
      </c>
      <c r="G863">
        <v>2470</v>
      </c>
      <c r="H863" s="116"/>
      <c r="I863" s="116"/>
      <c r="L863" s="170">
        <v>44915</v>
      </c>
      <c r="M863" s="116">
        <v>2259.4</v>
      </c>
      <c r="N863" s="116">
        <v>2286.65</v>
      </c>
      <c r="O863" s="116">
        <v>2219.4</v>
      </c>
      <c r="P863" s="116">
        <v>2227.5</v>
      </c>
      <c r="Q863" s="116">
        <v>4518.8</v>
      </c>
      <c r="R863">
        <v>120528</v>
      </c>
    </row>
    <row r="864" spans="1:18" x14ac:dyDescent="0.25">
      <c r="A864" s="170">
        <v>44916</v>
      </c>
      <c r="B864" s="116">
        <v>2293.6999999999998</v>
      </c>
      <c r="C864" s="116">
        <v>2206.3249999999998</v>
      </c>
      <c r="D864" s="116">
        <v>2194.85</v>
      </c>
      <c r="E864" s="116">
        <v>2257.5250000000001</v>
      </c>
      <c r="F864" s="116">
        <v>4412.6499999999996</v>
      </c>
      <c r="G864">
        <v>2145</v>
      </c>
      <c r="H864" s="116"/>
      <c r="I864" s="116"/>
      <c r="L864" s="170">
        <v>44916</v>
      </c>
      <c r="M864" s="116">
        <v>2203.6750000000002</v>
      </c>
      <c r="N864" s="116">
        <v>2294.5</v>
      </c>
      <c r="O864" s="116">
        <v>2195.375</v>
      </c>
      <c r="P864" s="116">
        <v>2272.1999999999998</v>
      </c>
      <c r="Q864" s="116">
        <v>4407.3500000000004</v>
      </c>
      <c r="R864">
        <v>69039</v>
      </c>
    </row>
    <row r="865" spans="1:18" x14ac:dyDescent="0.25">
      <c r="A865" s="170">
        <v>44917</v>
      </c>
      <c r="B865" s="116">
        <v>2220.9</v>
      </c>
      <c r="C865" s="116">
        <v>2172.125</v>
      </c>
      <c r="D865" s="116">
        <v>2160</v>
      </c>
      <c r="E865" s="116">
        <v>2211.1</v>
      </c>
      <c r="F865" s="116">
        <v>4344.25</v>
      </c>
      <c r="G865">
        <v>5012</v>
      </c>
      <c r="H865" s="116"/>
      <c r="I865" s="116"/>
      <c r="L865" s="170">
        <v>44917</v>
      </c>
      <c r="M865" s="116">
        <v>2173.3000000000002</v>
      </c>
      <c r="N865" s="116">
        <v>2223.15</v>
      </c>
      <c r="O865" s="116">
        <v>2163</v>
      </c>
      <c r="P865" s="116">
        <v>2205</v>
      </c>
      <c r="Q865" s="116">
        <v>4346.6000000000004</v>
      </c>
      <c r="R865">
        <v>42281</v>
      </c>
    </row>
    <row r="866" spans="1:18" x14ac:dyDescent="0.25">
      <c r="A866" s="170">
        <v>44918</v>
      </c>
      <c r="B866" s="116">
        <v>2156.9499999999998</v>
      </c>
      <c r="C866" s="116">
        <v>2054.125</v>
      </c>
      <c r="D866" s="116">
        <v>2043.65</v>
      </c>
      <c r="E866" s="116">
        <v>2153.85</v>
      </c>
      <c r="F866" s="116">
        <v>4108.25</v>
      </c>
      <c r="G866">
        <v>2921</v>
      </c>
      <c r="H866" s="116"/>
      <c r="I866" s="116"/>
      <c r="L866" s="170">
        <v>44918</v>
      </c>
      <c r="M866" s="116">
        <v>2054.375</v>
      </c>
      <c r="N866" s="116">
        <v>2161.4250000000002</v>
      </c>
      <c r="O866" s="116">
        <v>2043.5</v>
      </c>
      <c r="P866" s="116">
        <v>2138.0250000000001</v>
      </c>
      <c r="Q866" s="116">
        <v>4108.75</v>
      </c>
      <c r="R866">
        <v>89955</v>
      </c>
    </row>
    <row r="867" spans="1:18" x14ac:dyDescent="0.25">
      <c r="A867" s="170">
        <v>44921</v>
      </c>
      <c r="B867" s="116">
        <v>2133.85</v>
      </c>
      <c r="C867" s="116">
        <v>2122.8249999999998</v>
      </c>
      <c r="D867" s="116">
        <v>2047.7750000000001</v>
      </c>
      <c r="E867" s="116">
        <v>2057.5250000000001</v>
      </c>
      <c r="F867" s="116">
        <v>4245.6499999999996</v>
      </c>
      <c r="G867">
        <v>2729</v>
      </c>
      <c r="H867" s="116"/>
      <c r="I867" s="116"/>
      <c r="L867" s="170">
        <v>44921</v>
      </c>
      <c r="M867" s="116">
        <v>2122.9499999999998</v>
      </c>
      <c r="N867" s="116">
        <v>2134.5</v>
      </c>
      <c r="O867" s="116">
        <v>2045.5</v>
      </c>
      <c r="P867" s="116">
        <v>2064.65</v>
      </c>
      <c r="Q867" s="116">
        <v>4245.8999999999996</v>
      </c>
      <c r="R867">
        <v>75198</v>
      </c>
    </row>
    <row r="868" spans="1:18" x14ac:dyDescent="0.25">
      <c r="A868" s="170">
        <v>44922</v>
      </c>
      <c r="B868" s="116">
        <v>2143.3249999999998</v>
      </c>
      <c r="C868" s="116">
        <v>2128.5749999999998</v>
      </c>
      <c r="D868" s="116">
        <v>2113.6750000000002</v>
      </c>
      <c r="E868" s="116">
        <v>2126.9749999999999</v>
      </c>
      <c r="F868" s="116">
        <v>4257.1499999999996</v>
      </c>
      <c r="G868">
        <v>1269</v>
      </c>
      <c r="H868" s="116"/>
      <c r="I868" s="116"/>
      <c r="L868" s="170">
        <v>44922</v>
      </c>
      <c r="M868" s="116">
        <v>2129.0749999999998</v>
      </c>
      <c r="N868" s="116">
        <v>2147.4499999999998</v>
      </c>
      <c r="O868" s="116">
        <v>2112.375</v>
      </c>
      <c r="P868" s="116">
        <v>2130</v>
      </c>
      <c r="Q868" s="116">
        <v>4258.1499999999996</v>
      </c>
      <c r="R868">
        <v>44157</v>
      </c>
    </row>
    <row r="869" spans="1:18" x14ac:dyDescent="0.25">
      <c r="A869" s="170">
        <v>44923</v>
      </c>
      <c r="B869" s="116">
        <v>2138.9749999999999</v>
      </c>
      <c r="C869" s="116">
        <v>2104.8249999999998</v>
      </c>
      <c r="D869" s="116">
        <v>2099.1</v>
      </c>
      <c r="E869" s="116">
        <v>2105.5250000000001</v>
      </c>
      <c r="F869" s="116">
        <v>4209.6499999999996</v>
      </c>
      <c r="G869">
        <v>737</v>
      </c>
      <c r="H869" s="116"/>
      <c r="I869" s="116"/>
      <c r="L869" s="170">
        <v>44923</v>
      </c>
      <c r="M869" s="116">
        <v>2105.0749999999998</v>
      </c>
      <c r="N869" s="116">
        <v>2143.5500000000002</v>
      </c>
      <c r="O869" s="116">
        <v>2100</v>
      </c>
      <c r="P869" s="116">
        <v>2129.0749999999998</v>
      </c>
      <c r="Q869" s="116">
        <v>4210.1499999999996</v>
      </c>
      <c r="R869">
        <v>86759</v>
      </c>
    </row>
    <row r="870" spans="1:18" x14ac:dyDescent="0.25">
      <c r="A870" s="170">
        <v>44924</v>
      </c>
      <c r="B870" s="116">
        <v>2145</v>
      </c>
      <c r="C870" s="116">
        <v>2139.9499999999998</v>
      </c>
      <c r="D870" s="116">
        <v>2067.5500000000002</v>
      </c>
      <c r="E870" s="116">
        <v>2067.5500000000002</v>
      </c>
      <c r="F870" s="116">
        <v>4279.8999999999996</v>
      </c>
      <c r="G870">
        <v>1781</v>
      </c>
      <c r="H870" s="116"/>
      <c r="I870" s="116"/>
      <c r="L870" s="170">
        <v>44924</v>
      </c>
      <c r="M870" s="116">
        <v>2139.0500000000002</v>
      </c>
      <c r="N870" s="116">
        <v>2148.0250000000001</v>
      </c>
      <c r="O870" s="116">
        <v>2087.5</v>
      </c>
      <c r="P870" s="116">
        <v>2091</v>
      </c>
      <c r="Q870" s="116">
        <v>4278.1000000000004</v>
      </c>
      <c r="R870">
        <v>68971</v>
      </c>
    </row>
    <row r="871" spans="1:18" x14ac:dyDescent="0.25">
      <c r="A871" s="170">
        <v>44925</v>
      </c>
      <c r="B871" s="116">
        <v>2176.1750000000002</v>
      </c>
      <c r="C871" s="116">
        <v>2159.25</v>
      </c>
      <c r="D871" s="116">
        <v>2120.6999999999998</v>
      </c>
      <c r="E871" s="116">
        <v>2120.6999999999998</v>
      </c>
      <c r="F871" s="116">
        <v>4318.5</v>
      </c>
      <c r="G871">
        <v>2616</v>
      </c>
      <c r="H871" s="116"/>
      <c r="I871" s="116"/>
      <c r="L871" s="170">
        <v>44925</v>
      </c>
      <c r="M871" s="116">
        <v>2159.75</v>
      </c>
      <c r="N871" s="116">
        <v>2177.5</v>
      </c>
      <c r="O871" s="116">
        <v>2139.0500000000002</v>
      </c>
      <c r="P871" s="116">
        <v>2139.0500000000002</v>
      </c>
      <c r="Q871" s="116">
        <v>4319.5</v>
      </c>
      <c r="R871">
        <v>37193</v>
      </c>
    </row>
    <row r="872" spans="1:18" x14ac:dyDescent="0.25">
      <c r="A872" s="170">
        <v>44928</v>
      </c>
      <c r="B872" s="116">
        <v>2178.85</v>
      </c>
      <c r="C872" s="116">
        <v>2165.3249999999998</v>
      </c>
      <c r="D872" s="116">
        <v>2154.5</v>
      </c>
      <c r="E872" s="116">
        <v>2168.5749999999998</v>
      </c>
      <c r="F872" s="116">
        <v>4330.6499999999996</v>
      </c>
      <c r="G872">
        <v>1027</v>
      </c>
      <c r="H872" s="116"/>
      <c r="I872" s="116"/>
      <c r="L872" s="170">
        <v>44928</v>
      </c>
      <c r="M872" s="116">
        <v>2163.6750000000002</v>
      </c>
      <c r="N872" s="116">
        <v>2179.4</v>
      </c>
      <c r="O872" s="116">
        <v>2153.625</v>
      </c>
      <c r="P872" s="116">
        <v>2170.5500000000002</v>
      </c>
      <c r="Q872" s="116">
        <v>4327.3500000000004</v>
      </c>
      <c r="R872">
        <v>30630</v>
      </c>
    </row>
    <row r="873" spans="1:18" x14ac:dyDescent="0.25">
      <c r="A873" s="170">
        <v>44929</v>
      </c>
      <c r="B873" s="116">
        <v>2189</v>
      </c>
      <c r="C873" s="116">
        <v>2174.35</v>
      </c>
      <c r="D873" s="116">
        <v>2161.65</v>
      </c>
      <c r="E873" s="116">
        <v>2165.0250000000001</v>
      </c>
      <c r="F873" s="116">
        <v>4348.7</v>
      </c>
      <c r="G873">
        <v>2353</v>
      </c>
      <c r="H873" s="116"/>
      <c r="I873" s="116"/>
      <c r="L873" s="170">
        <v>44929</v>
      </c>
      <c r="M873" s="116">
        <v>2175.5749999999998</v>
      </c>
      <c r="N873" s="116">
        <v>2190</v>
      </c>
      <c r="O873" s="116">
        <v>2156.65</v>
      </c>
      <c r="P873" s="116">
        <v>2156.65</v>
      </c>
      <c r="Q873" s="116">
        <v>4351.1499999999996</v>
      </c>
      <c r="R873">
        <v>20736</v>
      </c>
    </row>
    <row r="874" spans="1:18" x14ac:dyDescent="0.25">
      <c r="A874" s="170">
        <v>44930</v>
      </c>
      <c r="B874" s="116">
        <v>2191.1750000000002</v>
      </c>
      <c r="C874" s="116">
        <v>2182.0250000000001</v>
      </c>
      <c r="D874" s="116">
        <v>2161.65</v>
      </c>
      <c r="E874" s="116">
        <v>2180.5</v>
      </c>
      <c r="F874" s="116">
        <v>4364.05</v>
      </c>
      <c r="G874">
        <v>769</v>
      </c>
      <c r="H874" s="116"/>
      <c r="I874" s="116"/>
      <c r="L874" s="170">
        <v>44930</v>
      </c>
      <c r="M874" s="116">
        <v>2179.9749999999999</v>
      </c>
      <c r="N874" s="116">
        <v>2192.7750000000001</v>
      </c>
      <c r="O874" s="116">
        <v>2160</v>
      </c>
      <c r="P874" s="116">
        <v>2186</v>
      </c>
      <c r="Q874" s="116">
        <v>4359.95</v>
      </c>
      <c r="R874">
        <v>31403</v>
      </c>
    </row>
    <row r="875" spans="1:18" x14ac:dyDescent="0.25">
      <c r="A875" s="170">
        <v>44931</v>
      </c>
      <c r="B875" s="116">
        <v>2190.3000000000002</v>
      </c>
      <c r="C875" s="116">
        <v>2180.75</v>
      </c>
      <c r="D875" s="116">
        <v>2157.5250000000001</v>
      </c>
      <c r="E875" s="116">
        <v>2157.5250000000001</v>
      </c>
      <c r="F875" s="116">
        <v>4361.5</v>
      </c>
      <c r="G875">
        <v>2256</v>
      </c>
      <c r="H875" s="116"/>
      <c r="I875" s="116"/>
      <c r="L875" s="170">
        <v>44931</v>
      </c>
      <c r="M875" s="116">
        <v>2184.0250000000001</v>
      </c>
      <c r="N875" s="116">
        <v>2192.5</v>
      </c>
      <c r="O875" s="116">
        <v>2158.4499999999998</v>
      </c>
      <c r="P875" s="116">
        <v>2192.5</v>
      </c>
      <c r="Q875" s="116">
        <v>4368.05</v>
      </c>
      <c r="R875">
        <v>25914</v>
      </c>
    </row>
    <row r="876" spans="1:18" x14ac:dyDescent="0.25">
      <c r="A876" s="170">
        <v>44932</v>
      </c>
      <c r="B876" s="116">
        <v>2187.9499999999998</v>
      </c>
      <c r="C876" s="116">
        <v>2171.2750000000001</v>
      </c>
      <c r="D876" s="116">
        <v>2144.15</v>
      </c>
      <c r="E876" s="116">
        <v>2157.7750000000001</v>
      </c>
      <c r="F876" s="116">
        <v>4342.55</v>
      </c>
      <c r="G876">
        <v>775</v>
      </c>
      <c r="H876" s="116"/>
      <c r="I876" s="116"/>
      <c r="L876" s="170">
        <v>44932</v>
      </c>
      <c r="M876" s="116">
        <v>2169.7750000000001</v>
      </c>
      <c r="N876" s="116">
        <v>2187.5</v>
      </c>
      <c r="O876" s="116">
        <v>2145.8249999999998</v>
      </c>
      <c r="P876" s="116">
        <v>2184</v>
      </c>
      <c r="Q876" s="116">
        <v>4339.55</v>
      </c>
      <c r="R876">
        <v>35726</v>
      </c>
    </row>
    <row r="877" spans="1:18" x14ac:dyDescent="0.25">
      <c r="A877" s="170">
        <v>44935</v>
      </c>
      <c r="B877" s="116">
        <v>2190.2750000000001</v>
      </c>
      <c r="C877" s="116">
        <v>2171.9250000000002</v>
      </c>
      <c r="D877" s="116">
        <v>2153.9</v>
      </c>
      <c r="E877" s="116">
        <v>2185</v>
      </c>
      <c r="F877" s="116">
        <v>4343.8500000000004</v>
      </c>
      <c r="G877">
        <v>1827</v>
      </c>
      <c r="H877" s="116"/>
      <c r="I877" s="116"/>
      <c r="L877" s="170">
        <v>44935</v>
      </c>
      <c r="M877" s="116">
        <v>2172.5500000000002</v>
      </c>
      <c r="N877" s="116">
        <v>2193.25</v>
      </c>
      <c r="O877" s="116">
        <v>2152.625</v>
      </c>
      <c r="P877" s="116">
        <v>2176.0749999999998</v>
      </c>
      <c r="Q877" s="116">
        <v>4345.1000000000004</v>
      </c>
      <c r="R877">
        <v>33072</v>
      </c>
    </row>
    <row r="878" spans="1:18" x14ac:dyDescent="0.25">
      <c r="A878" s="170">
        <v>44936</v>
      </c>
      <c r="B878" s="116">
        <v>2202.0749999999998</v>
      </c>
      <c r="C878" s="116">
        <v>2180.9250000000002</v>
      </c>
      <c r="D878" s="116">
        <v>2173.85</v>
      </c>
      <c r="E878" s="116">
        <v>2195</v>
      </c>
      <c r="F878" s="116">
        <v>4361.8500000000004</v>
      </c>
      <c r="G878">
        <v>1284</v>
      </c>
      <c r="H878" s="116"/>
      <c r="I878" s="116"/>
      <c r="L878" s="170">
        <v>44936</v>
      </c>
      <c r="M878" s="116">
        <v>2182.4749999999999</v>
      </c>
      <c r="N878" s="116">
        <v>2203.3000000000002</v>
      </c>
      <c r="O878" s="116">
        <v>2170.0250000000001</v>
      </c>
      <c r="P878" s="116">
        <v>2173</v>
      </c>
      <c r="Q878" s="116">
        <v>4364.95</v>
      </c>
      <c r="R878">
        <v>40636</v>
      </c>
    </row>
    <row r="879" spans="1:18" x14ac:dyDescent="0.25">
      <c r="A879" s="170">
        <v>44937</v>
      </c>
      <c r="B879" s="116">
        <v>2215</v>
      </c>
      <c r="C879" s="116">
        <v>2202.5250000000001</v>
      </c>
      <c r="D879" s="116">
        <v>2180.0250000000001</v>
      </c>
      <c r="E879" s="116">
        <v>2180.0250000000001</v>
      </c>
      <c r="F879" s="116">
        <v>4405.05</v>
      </c>
      <c r="G879">
        <v>933</v>
      </c>
      <c r="H879" s="116"/>
      <c r="I879" s="116"/>
      <c r="L879" s="170">
        <v>44937</v>
      </c>
      <c r="M879" s="116">
        <v>2202.5</v>
      </c>
      <c r="N879" s="116">
        <v>2216.4499999999998</v>
      </c>
      <c r="O879" s="116">
        <v>2185</v>
      </c>
      <c r="P879" s="116">
        <v>2187.5</v>
      </c>
      <c r="Q879" s="116">
        <v>4405</v>
      </c>
      <c r="R879">
        <v>31306</v>
      </c>
    </row>
    <row r="880" spans="1:18" x14ac:dyDescent="0.25">
      <c r="A880" s="170">
        <v>44938</v>
      </c>
      <c r="B880" s="116">
        <v>2229.9499999999998</v>
      </c>
      <c r="C880" s="116">
        <v>2219.4250000000002</v>
      </c>
      <c r="D880" s="116">
        <v>2178.5</v>
      </c>
      <c r="E880" s="116">
        <v>2178.5</v>
      </c>
      <c r="F880" s="116">
        <v>4438.8500000000004</v>
      </c>
      <c r="G880">
        <v>2320</v>
      </c>
      <c r="H880" s="116"/>
      <c r="I880" s="116"/>
      <c r="L880" s="170">
        <v>44938</v>
      </c>
      <c r="M880" s="116">
        <v>2223.2750000000001</v>
      </c>
      <c r="N880" s="116">
        <v>2230</v>
      </c>
      <c r="O880" s="116">
        <v>2198.4</v>
      </c>
      <c r="P880" s="116">
        <v>2202.5</v>
      </c>
      <c r="Q880" s="116">
        <v>4446.55</v>
      </c>
      <c r="R880">
        <v>34163</v>
      </c>
    </row>
    <row r="881" spans="1:18" x14ac:dyDescent="0.25">
      <c r="A881" s="170">
        <v>44939</v>
      </c>
      <c r="B881" s="116">
        <v>2240</v>
      </c>
      <c r="C881" s="116">
        <v>2226.1</v>
      </c>
      <c r="D881" s="116">
        <v>2200</v>
      </c>
      <c r="E881" s="116">
        <v>2220.35</v>
      </c>
      <c r="F881" s="116">
        <v>4452.2</v>
      </c>
      <c r="G881">
        <v>1403</v>
      </c>
      <c r="H881" s="116"/>
      <c r="I881" s="116"/>
      <c r="L881" s="170">
        <v>44939</v>
      </c>
      <c r="M881" s="116">
        <v>2230.2750000000001</v>
      </c>
      <c r="N881" s="116">
        <v>2239.6</v>
      </c>
      <c r="O881" s="116">
        <v>2199.5</v>
      </c>
      <c r="P881" s="116">
        <v>2228.4749999999999</v>
      </c>
      <c r="Q881" s="116">
        <v>4460.55</v>
      </c>
      <c r="R881">
        <v>34233</v>
      </c>
    </row>
    <row r="882" spans="1:18" x14ac:dyDescent="0.25">
      <c r="A882" s="170">
        <v>44942</v>
      </c>
      <c r="B882" s="116">
        <v>2313.25</v>
      </c>
      <c r="C882" s="116">
        <v>2292.85</v>
      </c>
      <c r="D882" s="116">
        <v>2226.125</v>
      </c>
      <c r="E882" s="116">
        <v>2226.125</v>
      </c>
      <c r="F882" s="116">
        <v>4585.7</v>
      </c>
      <c r="G882">
        <v>4083</v>
      </c>
      <c r="H882" s="116"/>
      <c r="I882" s="116"/>
      <c r="L882" s="170">
        <v>44942</v>
      </c>
      <c r="M882" s="116">
        <v>2293.15</v>
      </c>
      <c r="N882" s="116">
        <v>2313.5</v>
      </c>
      <c r="O882" s="116">
        <v>2232.125</v>
      </c>
      <c r="P882" s="116">
        <v>2237.5</v>
      </c>
      <c r="Q882" s="116">
        <v>4586.3</v>
      </c>
      <c r="R882">
        <v>158249</v>
      </c>
    </row>
    <row r="883" spans="1:18" x14ac:dyDescent="0.25">
      <c r="A883" s="170">
        <v>44943</v>
      </c>
      <c r="B883" s="116">
        <v>2293.5</v>
      </c>
      <c r="C883" s="116">
        <v>2271.8249999999998</v>
      </c>
      <c r="D883" s="116">
        <v>2252.5250000000001</v>
      </c>
      <c r="E883" s="116">
        <v>2252.5250000000001</v>
      </c>
      <c r="F883" s="116">
        <v>4543.6499999999996</v>
      </c>
      <c r="G883">
        <v>1254</v>
      </c>
      <c r="H883" s="116"/>
      <c r="I883" s="116"/>
      <c r="L883" s="170">
        <v>44943</v>
      </c>
      <c r="M883" s="116">
        <v>2270.25</v>
      </c>
      <c r="N883" s="116">
        <v>2297.5</v>
      </c>
      <c r="O883" s="116">
        <v>2255</v>
      </c>
      <c r="P883" s="116">
        <v>2282.7750000000001</v>
      </c>
      <c r="Q883" s="116">
        <v>4540.5</v>
      </c>
      <c r="R883">
        <v>61807</v>
      </c>
    </row>
    <row r="884" spans="1:18" x14ac:dyDescent="0.25">
      <c r="A884" s="170">
        <v>44944</v>
      </c>
      <c r="B884" s="116">
        <v>2291.5500000000002</v>
      </c>
      <c r="C884" s="116">
        <v>2254.65</v>
      </c>
      <c r="D884" s="116">
        <v>2229.5500000000002</v>
      </c>
      <c r="E884" s="116">
        <v>2255.0250000000001</v>
      </c>
      <c r="F884" s="116">
        <v>4509.3</v>
      </c>
      <c r="G884">
        <v>2937</v>
      </c>
      <c r="H884" s="116"/>
      <c r="I884" s="116"/>
      <c r="L884" s="170">
        <v>44944</v>
      </c>
      <c r="M884" s="116">
        <v>2255.3249999999998</v>
      </c>
      <c r="N884" s="116">
        <v>2293.6750000000002</v>
      </c>
      <c r="O884" s="116">
        <v>2230</v>
      </c>
      <c r="P884" s="116">
        <v>2260</v>
      </c>
      <c r="Q884" s="116">
        <v>4510.6499999999996</v>
      </c>
      <c r="R884">
        <v>76249</v>
      </c>
    </row>
    <row r="885" spans="1:18" x14ac:dyDescent="0.25">
      <c r="A885" s="170">
        <v>44945</v>
      </c>
      <c r="B885" s="116">
        <v>2259.35</v>
      </c>
      <c r="C885" s="116">
        <v>2238.35</v>
      </c>
      <c r="D885" s="116">
        <v>2224.4</v>
      </c>
      <c r="E885" s="116">
        <v>2226.125</v>
      </c>
      <c r="F885" s="116">
        <v>4476.7</v>
      </c>
      <c r="G885">
        <v>2714</v>
      </c>
      <c r="H885" s="116"/>
      <c r="I885" s="116"/>
      <c r="L885" s="170">
        <v>44945</v>
      </c>
      <c r="M885" s="116">
        <v>2239.75</v>
      </c>
      <c r="N885" s="116">
        <v>2260</v>
      </c>
      <c r="O885" s="116">
        <v>2221.5500000000002</v>
      </c>
      <c r="P885" s="116">
        <v>2232</v>
      </c>
      <c r="Q885" s="116">
        <v>4479.5</v>
      </c>
      <c r="R885">
        <v>62418</v>
      </c>
    </row>
    <row r="886" spans="1:18" x14ac:dyDescent="0.25">
      <c r="A886" s="170">
        <v>44946</v>
      </c>
      <c r="B886" s="116">
        <v>2347.5</v>
      </c>
      <c r="C886" s="116">
        <v>2273.85</v>
      </c>
      <c r="D886" s="116">
        <v>2240.5</v>
      </c>
      <c r="E886" s="116">
        <v>2240.5250000000001</v>
      </c>
      <c r="F886" s="116">
        <v>4547.7</v>
      </c>
      <c r="G886">
        <v>8536</v>
      </c>
      <c r="H886" s="116"/>
      <c r="I886" s="116"/>
      <c r="L886" s="170">
        <v>44946</v>
      </c>
      <c r="M886" s="116">
        <v>2274.8000000000002</v>
      </c>
      <c r="N886" s="116">
        <v>2349.1750000000002</v>
      </c>
      <c r="O886" s="116">
        <v>2248</v>
      </c>
      <c r="P886" s="116">
        <v>2250</v>
      </c>
      <c r="Q886" s="116">
        <v>4549.6000000000004</v>
      </c>
      <c r="R886">
        <v>309371</v>
      </c>
    </row>
    <row r="887" spans="1:18" x14ac:dyDescent="0.25">
      <c r="A887" s="170">
        <v>44949</v>
      </c>
      <c r="B887" s="116">
        <v>2322.5</v>
      </c>
      <c r="C887" s="116">
        <v>2296.9</v>
      </c>
      <c r="D887" s="116">
        <v>2229.3249999999998</v>
      </c>
      <c r="E887" s="116">
        <v>2229.3249999999998</v>
      </c>
      <c r="F887" s="116">
        <v>4593.8</v>
      </c>
      <c r="G887">
        <v>2490</v>
      </c>
      <c r="H887" s="116"/>
      <c r="I887" s="116"/>
      <c r="L887" s="170">
        <v>44949</v>
      </c>
      <c r="M887" s="116">
        <v>2297.4749999999999</v>
      </c>
      <c r="N887" s="116">
        <v>2325</v>
      </c>
      <c r="O887" s="116">
        <v>2275.0250000000001</v>
      </c>
      <c r="P887" s="116">
        <v>2285</v>
      </c>
      <c r="Q887" s="116">
        <v>4594.95</v>
      </c>
      <c r="R887">
        <v>110662</v>
      </c>
    </row>
    <row r="888" spans="1:18" x14ac:dyDescent="0.25">
      <c r="A888" s="170">
        <v>44950</v>
      </c>
      <c r="B888" s="116">
        <v>2360</v>
      </c>
      <c r="C888" s="116">
        <v>2346.0250000000001</v>
      </c>
      <c r="D888" s="116">
        <v>2295.3000000000002</v>
      </c>
      <c r="E888" s="116">
        <v>2310.5</v>
      </c>
      <c r="F888" s="116">
        <v>4692.05</v>
      </c>
      <c r="G888">
        <v>2435</v>
      </c>
      <c r="H888" s="116"/>
      <c r="I888" s="116"/>
      <c r="L888" s="170">
        <v>44950</v>
      </c>
      <c r="M888" s="116">
        <v>2347.2249999999999</v>
      </c>
      <c r="N888" s="116">
        <v>2360</v>
      </c>
      <c r="O888" s="116">
        <v>2292.0250000000001</v>
      </c>
      <c r="P888" s="116">
        <v>2310</v>
      </c>
      <c r="Q888" s="116">
        <v>4694.45</v>
      </c>
      <c r="R888">
        <v>129388</v>
      </c>
    </row>
    <row r="889" spans="1:18" x14ac:dyDescent="0.25">
      <c r="A889" s="170">
        <v>44951</v>
      </c>
      <c r="B889" s="116">
        <v>2360.15</v>
      </c>
      <c r="C889" s="116">
        <v>2346.5500000000002</v>
      </c>
      <c r="D889" s="116">
        <v>2321.6</v>
      </c>
      <c r="E889" s="116">
        <v>2330.125</v>
      </c>
      <c r="F889" s="116">
        <v>4693.1000000000004</v>
      </c>
      <c r="G889">
        <v>2752</v>
      </c>
      <c r="H889" s="116"/>
      <c r="I889" s="116"/>
      <c r="L889" s="170">
        <v>44951</v>
      </c>
      <c r="M889" s="116">
        <v>2340.35</v>
      </c>
      <c r="N889" s="116">
        <v>2361.9749999999999</v>
      </c>
      <c r="O889" s="116">
        <v>2320.0250000000001</v>
      </c>
      <c r="P889" s="116">
        <v>2347.2249999999999</v>
      </c>
      <c r="Q889" s="116">
        <v>4680.7</v>
      </c>
      <c r="R889">
        <v>83633</v>
      </c>
    </row>
    <row r="890" spans="1:18" x14ac:dyDescent="0.25">
      <c r="A890" s="170">
        <v>44953</v>
      </c>
      <c r="B890" s="116">
        <v>2325.9499999999998</v>
      </c>
      <c r="C890" s="116">
        <v>2216.85</v>
      </c>
      <c r="D890" s="116">
        <v>2179.8000000000002</v>
      </c>
      <c r="E890" s="116">
        <v>2301.6750000000002</v>
      </c>
      <c r="F890" s="116">
        <v>4433.7</v>
      </c>
      <c r="G890">
        <v>6709</v>
      </c>
      <c r="H890" s="116"/>
      <c r="I890" s="116"/>
      <c r="L890" s="170">
        <v>44953</v>
      </c>
      <c r="M890" s="116">
        <v>2217.1750000000002</v>
      </c>
      <c r="N890" s="116">
        <v>2337.4499999999998</v>
      </c>
      <c r="O890" s="116">
        <v>2200</v>
      </c>
      <c r="P890" s="116">
        <v>2325.5500000000002</v>
      </c>
      <c r="Q890" s="116">
        <v>4434.3500000000004</v>
      </c>
      <c r="R890">
        <v>64055</v>
      </c>
    </row>
    <row r="891" spans="1:18" x14ac:dyDescent="0.25">
      <c r="A891" s="170">
        <v>44956</v>
      </c>
      <c r="B891" s="116">
        <v>2230.75</v>
      </c>
      <c r="C891" s="116">
        <v>2205.9749999999999</v>
      </c>
      <c r="D891" s="116">
        <v>2192.2750000000001</v>
      </c>
      <c r="E891" s="116">
        <v>2216.875</v>
      </c>
      <c r="F891" s="116">
        <v>4411.95</v>
      </c>
      <c r="G891">
        <v>1789</v>
      </c>
      <c r="H891" s="116"/>
      <c r="I891" s="116"/>
      <c r="L891" s="170">
        <v>44956</v>
      </c>
      <c r="M891" s="116">
        <v>2209.0500000000002</v>
      </c>
      <c r="N891" s="116">
        <v>2232.4250000000002</v>
      </c>
      <c r="O891" s="116">
        <v>2185.5</v>
      </c>
      <c r="P891" s="116">
        <v>2222</v>
      </c>
      <c r="Q891" s="116">
        <v>4418.1000000000004</v>
      </c>
      <c r="R891">
        <v>36450</v>
      </c>
    </row>
    <row r="892" spans="1:18" x14ac:dyDescent="0.25">
      <c r="A892" s="170">
        <v>44957</v>
      </c>
      <c r="B892" s="116">
        <v>2274.4499999999998</v>
      </c>
      <c r="C892" s="116">
        <v>2269.3249999999998</v>
      </c>
      <c r="D892" s="116">
        <v>2205.9749999999999</v>
      </c>
      <c r="E892" s="116">
        <v>2206</v>
      </c>
      <c r="F892" s="116">
        <v>4538.6499999999996</v>
      </c>
      <c r="G892">
        <v>1436</v>
      </c>
      <c r="H892" s="116"/>
      <c r="I892" s="116"/>
      <c r="L892" s="170">
        <v>44957</v>
      </c>
      <c r="M892" s="116">
        <v>2269.3000000000002</v>
      </c>
      <c r="N892" s="116">
        <v>2274.9499999999998</v>
      </c>
      <c r="O892" s="116">
        <v>2205.4749999999999</v>
      </c>
      <c r="P892" s="116">
        <v>2214.0749999999998</v>
      </c>
      <c r="Q892" s="116">
        <v>4538.6000000000004</v>
      </c>
      <c r="R892">
        <v>42549</v>
      </c>
    </row>
    <row r="893" spans="1:18" x14ac:dyDescent="0.25">
      <c r="A893" s="170">
        <v>44958</v>
      </c>
      <c r="B893" s="116">
        <v>2326.9499999999998</v>
      </c>
      <c r="C893" s="116">
        <v>2250.875</v>
      </c>
      <c r="D893" s="116">
        <v>2182.2750000000001</v>
      </c>
      <c r="E893" s="116">
        <v>2256.0250000000001</v>
      </c>
      <c r="F893" s="116">
        <v>4501.75</v>
      </c>
      <c r="G893">
        <v>5587</v>
      </c>
      <c r="H893" s="116"/>
      <c r="I893" s="116"/>
      <c r="L893" s="170">
        <v>44958</v>
      </c>
      <c r="M893" s="116">
        <v>2253.6999999999998</v>
      </c>
      <c r="N893" s="116">
        <v>2328</v>
      </c>
      <c r="O893" s="116">
        <v>2225.85</v>
      </c>
      <c r="P893" s="116">
        <v>2269.4</v>
      </c>
      <c r="Q893" s="116">
        <v>4507.3999999999996</v>
      </c>
      <c r="R893">
        <v>78287</v>
      </c>
    </row>
    <row r="894" spans="1:18" x14ac:dyDescent="0.25">
      <c r="A894" s="170">
        <v>44959</v>
      </c>
      <c r="B894" s="116">
        <v>2303.7750000000001</v>
      </c>
      <c r="C894" s="116">
        <v>2271.4250000000002</v>
      </c>
      <c r="D894" s="116">
        <v>2223.65</v>
      </c>
      <c r="E894" s="116">
        <v>2247.15</v>
      </c>
      <c r="F894" s="116">
        <v>4542.8500000000004</v>
      </c>
      <c r="G894">
        <v>1027</v>
      </c>
      <c r="H894" s="116"/>
      <c r="I894" s="116"/>
      <c r="L894" s="170">
        <v>44959</v>
      </c>
      <c r="M894" s="116">
        <v>2269.25</v>
      </c>
      <c r="N894" s="116">
        <v>2305</v>
      </c>
      <c r="O894" s="116">
        <v>2227.5500000000002</v>
      </c>
      <c r="P894" s="116">
        <v>2251</v>
      </c>
      <c r="Q894" s="116">
        <v>4538.5</v>
      </c>
      <c r="R894">
        <v>46820</v>
      </c>
    </row>
    <row r="895" spans="1:18" x14ac:dyDescent="0.25">
      <c r="A895" s="170">
        <v>44960</v>
      </c>
      <c r="B895" s="116">
        <v>2300.5</v>
      </c>
      <c r="C895" s="116">
        <v>2283.7249999999999</v>
      </c>
      <c r="D895" s="116">
        <v>2265.65</v>
      </c>
      <c r="E895" s="116">
        <v>2299.9499999999998</v>
      </c>
      <c r="F895" s="116">
        <v>4567.45</v>
      </c>
      <c r="G895">
        <v>3645</v>
      </c>
      <c r="H895" s="116"/>
      <c r="I895" s="116"/>
      <c r="L895" s="170">
        <v>44960</v>
      </c>
      <c r="M895" s="116">
        <v>2283.5250000000001</v>
      </c>
      <c r="N895" s="116">
        <v>2302.5</v>
      </c>
      <c r="O895" s="116">
        <v>2263.8000000000002</v>
      </c>
      <c r="P895" s="116">
        <v>2275</v>
      </c>
      <c r="Q895" s="116">
        <v>4567.05</v>
      </c>
      <c r="R895">
        <v>72353</v>
      </c>
    </row>
    <row r="896" spans="1:18" x14ac:dyDescent="0.25">
      <c r="A896" s="170">
        <v>44963</v>
      </c>
      <c r="B896" s="116">
        <v>2358.9749999999999</v>
      </c>
      <c r="C896" s="116">
        <v>2345.4499999999998</v>
      </c>
      <c r="D896" s="116">
        <v>2255.5250000000001</v>
      </c>
      <c r="E896" s="116">
        <v>2255.5250000000001</v>
      </c>
      <c r="F896" s="116">
        <v>4690.8999999999996</v>
      </c>
      <c r="G896">
        <v>8815</v>
      </c>
      <c r="H896" s="116"/>
      <c r="I896" s="116"/>
      <c r="L896" s="170">
        <v>44963</v>
      </c>
      <c r="M896" s="116">
        <v>2348.1</v>
      </c>
      <c r="N896" s="116">
        <v>2360</v>
      </c>
      <c r="O896" s="116">
        <v>2281.4499999999998</v>
      </c>
      <c r="P896" s="116">
        <v>2294</v>
      </c>
      <c r="Q896" s="116">
        <v>4696.2</v>
      </c>
      <c r="R896">
        <v>91895</v>
      </c>
    </row>
    <row r="897" spans="1:18" x14ac:dyDescent="0.25">
      <c r="A897" s="170">
        <v>44964</v>
      </c>
      <c r="B897" s="116">
        <v>2375</v>
      </c>
      <c r="C897" s="116">
        <v>2357.125</v>
      </c>
      <c r="D897" s="116">
        <v>2330</v>
      </c>
      <c r="E897" s="116">
        <v>2330</v>
      </c>
      <c r="F897" s="116">
        <v>4714.25</v>
      </c>
      <c r="G897">
        <v>2385</v>
      </c>
      <c r="H897" s="116"/>
      <c r="I897" s="116"/>
      <c r="L897" s="170">
        <v>44964</v>
      </c>
      <c r="M897" s="116">
        <v>2357.75</v>
      </c>
      <c r="N897" s="116">
        <v>2374.4749999999999</v>
      </c>
      <c r="O897" s="116">
        <v>2327.65</v>
      </c>
      <c r="P897" s="116">
        <v>2345</v>
      </c>
      <c r="Q897" s="116">
        <v>4715.5</v>
      </c>
      <c r="R897">
        <v>63397</v>
      </c>
    </row>
    <row r="898" spans="1:18" x14ac:dyDescent="0.25">
      <c r="A898" s="170">
        <v>44965</v>
      </c>
      <c r="B898" s="116">
        <v>2400</v>
      </c>
      <c r="C898" s="116">
        <v>2349.6750000000002</v>
      </c>
      <c r="D898" s="116">
        <v>2333.6</v>
      </c>
      <c r="E898" s="116">
        <v>2365.2750000000001</v>
      </c>
      <c r="F898" s="116">
        <v>4699.3500000000004</v>
      </c>
      <c r="G898">
        <v>2644</v>
      </c>
      <c r="H898" s="116"/>
      <c r="I898" s="116"/>
      <c r="L898" s="170">
        <v>44965</v>
      </c>
      <c r="M898" s="116">
        <v>2350.5</v>
      </c>
      <c r="N898" s="116">
        <v>2401.4250000000002</v>
      </c>
      <c r="O898" s="116">
        <v>2332.6999999999998</v>
      </c>
      <c r="P898" s="116">
        <v>2358.6999999999998</v>
      </c>
      <c r="Q898" s="116">
        <v>4701</v>
      </c>
      <c r="R898">
        <v>108733</v>
      </c>
    </row>
    <row r="899" spans="1:18" x14ac:dyDescent="0.25">
      <c r="A899" s="170">
        <v>44966</v>
      </c>
      <c r="B899" s="116">
        <v>2381.375</v>
      </c>
      <c r="C899" s="116">
        <v>2377.0250000000001</v>
      </c>
      <c r="D899" s="116">
        <v>2327.1999999999998</v>
      </c>
      <c r="E899" s="116">
        <v>2330.5250000000001</v>
      </c>
      <c r="F899" s="116">
        <v>4754.05</v>
      </c>
      <c r="G899">
        <v>1710</v>
      </c>
      <c r="H899" s="116"/>
      <c r="I899" s="116"/>
      <c r="L899" s="170">
        <v>44966</v>
      </c>
      <c r="M899" s="116">
        <v>2375.7750000000001</v>
      </c>
      <c r="N899" s="116">
        <v>2383.1999999999998</v>
      </c>
      <c r="O899" s="116">
        <v>2320.65</v>
      </c>
      <c r="P899" s="116">
        <v>2350.5</v>
      </c>
      <c r="Q899" s="116">
        <v>4751.55</v>
      </c>
      <c r="R899">
        <v>56592</v>
      </c>
    </row>
    <row r="900" spans="1:18" x14ac:dyDescent="0.25">
      <c r="A900" s="170">
        <v>44967</v>
      </c>
      <c r="B900" s="116">
        <v>2414</v>
      </c>
      <c r="C900" s="116">
        <v>2396.3249999999998</v>
      </c>
      <c r="D900" s="116">
        <v>2355.0250000000001</v>
      </c>
      <c r="E900" s="116">
        <v>2355.0250000000001</v>
      </c>
      <c r="F900" s="116">
        <v>4792.6499999999996</v>
      </c>
      <c r="G900">
        <v>4563</v>
      </c>
      <c r="H900" s="116"/>
      <c r="I900" s="116"/>
      <c r="L900" s="170">
        <v>44967</v>
      </c>
      <c r="M900" s="116">
        <v>2395.875</v>
      </c>
      <c r="N900" s="116">
        <v>2414.6999999999998</v>
      </c>
      <c r="O900" s="116">
        <v>2360.9749999999999</v>
      </c>
      <c r="P900" s="116">
        <v>2361</v>
      </c>
      <c r="Q900" s="116">
        <v>4791.75</v>
      </c>
      <c r="R900">
        <v>56519</v>
      </c>
    </row>
    <row r="901" spans="1:18" x14ac:dyDescent="0.25">
      <c r="A901" s="170">
        <v>44970</v>
      </c>
      <c r="B901" s="116">
        <v>2400</v>
      </c>
      <c r="C901" s="116">
        <v>2342.5250000000001</v>
      </c>
      <c r="D901" s="116">
        <v>2332.875</v>
      </c>
      <c r="E901" s="116">
        <v>2392.5</v>
      </c>
      <c r="F901" s="116">
        <v>4685.05</v>
      </c>
      <c r="G901">
        <v>3891</v>
      </c>
      <c r="H901" s="116"/>
      <c r="I901" s="116"/>
      <c r="L901" s="170">
        <v>44970</v>
      </c>
      <c r="M901" s="116">
        <v>2342.35</v>
      </c>
      <c r="N901" s="116">
        <v>2400</v>
      </c>
      <c r="O901" s="116">
        <v>2328.5749999999998</v>
      </c>
      <c r="P901" s="116">
        <v>2392</v>
      </c>
      <c r="Q901" s="116">
        <v>4684.7</v>
      </c>
      <c r="R901">
        <v>52233</v>
      </c>
    </row>
    <row r="902" spans="1:18" x14ac:dyDescent="0.25">
      <c r="A902" s="170">
        <v>44971</v>
      </c>
      <c r="B902" s="116">
        <v>2378.2750000000001</v>
      </c>
      <c r="C902" s="116">
        <v>2357.6750000000002</v>
      </c>
      <c r="D902" s="116">
        <v>2332.5749999999998</v>
      </c>
      <c r="E902" s="116">
        <v>2335.0250000000001</v>
      </c>
      <c r="F902" s="116">
        <v>4715.3500000000004</v>
      </c>
      <c r="G902">
        <v>3311</v>
      </c>
      <c r="H902" s="116"/>
      <c r="I902" s="116"/>
      <c r="L902" s="170">
        <v>44971</v>
      </c>
      <c r="M902" s="116">
        <v>2358.2750000000001</v>
      </c>
      <c r="N902" s="116">
        <v>2378.9499999999998</v>
      </c>
      <c r="O902" s="116">
        <v>2325.1</v>
      </c>
      <c r="P902" s="116">
        <v>2342</v>
      </c>
      <c r="Q902" s="116">
        <v>4716.55</v>
      </c>
      <c r="R902">
        <v>68316</v>
      </c>
    </row>
    <row r="903" spans="1:18" x14ac:dyDescent="0.25">
      <c r="A903" s="170">
        <v>44972</v>
      </c>
      <c r="B903" s="116">
        <v>2425.625</v>
      </c>
      <c r="C903" s="116">
        <v>2374.85</v>
      </c>
      <c r="D903" s="116">
        <v>2355.9</v>
      </c>
      <c r="E903" s="116">
        <v>2355.9</v>
      </c>
      <c r="F903" s="116">
        <v>4749.7</v>
      </c>
      <c r="G903">
        <v>2275</v>
      </c>
      <c r="H903" s="116"/>
      <c r="I903" s="116"/>
      <c r="L903" s="170">
        <v>44972</v>
      </c>
      <c r="M903" s="116">
        <v>2371.6999999999998</v>
      </c>
      <c r="N903" s="116">
        <v>2428.125</v>
      </c>
      <c r="O903" s="116">
        <v>2350</v>
      </c>
      <c r="P903" s="116">
        <v>2350</v>
      </c>
      <c r="Q903" s="116">
        <v>4743.3999999999996</v>
      </c>
      <c r="R903">
        <v>98920</v>
      </c>
    </row>
    <row r="904" spans="1:18" x14ac:dyDescent="0.25">
      <c r="A904" s="170">
        <v>44973</v>
      </c>
      <c r="B904" s="116">
        <v>2439.8000000000002</v>
      </c>
      <c r="C904" s="116">
        <v>2388.6750000000002</v>
      </c>
      <c r="D904" s="116">
        <v>2370.0500000000002</v>
      </c>
      <c r="E904" s="116">
        <v>2390</v>
      </c>
      <c r="F904" s="116">
        <v>4777.3500000000004</v>
      </c>
      <c r="G904">
        <v>5431</v>
      </c>
      <c r="H904" s="116"/>
      <c r="I904" s="116"/>
      <c r="L904" s="170">
        <v>44973</v>
      </c>
      <c r="M904" s="116">
        <v>2397.1750000000002</v>
      </c>
      <c r="N904" s="116">
        <v>2409.7750000000001</v>
      </c>
      <c r="O904" s="116">
        <v>2368.4749999999999</v>
      </c>
      <c r="P904" s="116">
        <v>2384.4</v>
      </c>
      <c r="Q904" s="116">
        <v>4794.3500000000004</v>
      </c>
      <c r="R904">
        <v>60002</v>
      </c>
    </row>
    <row r="905" spans="1:18" x14ac:dyDescent="0.25">
      <c r="A905" s="170">
        <v>44974</v>
      </c>
      <c r="B905" s="116">
        <v>2405</v>
      </c>
      <c r="C905" s="116">
        <v>2398.125</v>
      </c>
      <c r="D905" s="116">
        <v>2373.7750000000001</v>
      </c>
      <c r="E905" s="116">
        <v>2382.4499999999998</v>
      </c>
      <c r="F905" s="116">
        <v>4796.25</v>
      </c>
      <c r="G905">
        <v>1438</v>
      </c>
      <c r="H905" s="116"/>
      <c r="I905" s="116"/>
      <c r="L905" s="170">
        <v>44974</v>
      </c>
      <c r="M905" s="116">
        <v>2398.7249999999999</v>
      </c>
      <c r="N905" s="116">
        <v>2408.1</v>
      </c>
      <c r="O905" s="116">
        <v>2373.0500000000002</v>
      </c>
      <c r="P905" s="116">
        <v>2390.5</v>
      </c>
      <c r="Q905" s="116">
        <v>4797.45</v>
      </c>
      <c r="R905">
        <v>52938</v>
      </c>
    </row>
    <row r="906" spans="1:18" x14ac:dyDescent="0.25">
      <c r="A906" s="170">
        <v>44977</v>
      </c>
      <c r="B906" s="116">
        <v>2414.6</v>
      </c>
      <c r="C906" s="116">
        <v>2373.85</v>
      </c>
      <c r="D906" s="116">
        <v>2370.0250000000001</v>
      </c>
      <c r="E906" s="116">
        <v>2405</v>
      </c>
      <c r="F906" s="116">
        <v>4747.7</v>
      </c>
      <c r="G906">
        <v>1109</v>
      </c>
      <c r="H906" s="116"/>
      <c r="I906" s="116"/>
      <c r="L906" s="170">
        <v>44977</v>
      </c>
      <c r="M906" s="116">
        <v>2377.0749999999998</v>
      </c>
      <c r="N906" s="116">
        <v>2415</v>
      </c>
      <c r="O906" s="116">
        <v>2368.0749999999998</v>
      </c>
      <c r="P906" s="116">
        <v>2405</v>
      </c>
      <c r="Q906" s="116">
        <v>4754.1499999999996</v>
      </c>
      <c r="R906">
        <v>49485</v>
      </c>
    </row>
    <row r="907" spans="1:18" x14ac:dyDescent="0.25">
      <c r="A907" s="170">
        <v>44978</v>
      </c>
      <c r="B907" s="116">
        <v>2401.8249999999998</v>
      </c>
      <c r="C907" s="116">
        <v>2384.1750000000002</v>
      </c>
      <c r="D907" s="116">
        <v>2375.5</v>
      </c>
      <c r="E907" s="116">
        <v>2381.65</v>
      </c>
      <c r="F907" s="116">
        <v>4768.3500000000004</v>
      </c>
      <c r="G907">
        <v>1199</v>
      </c>
      <c r="H907" s="116"/>
      <c r="I907" s="116"/>
      <c r="L907" s="170">
        <v>44978</v>
      </c>
      <c r="M907" s="116">
        <v>2380.1750000000002</v>
      </c>
      <c r="N907" s="116">
        <v>2405</v>
      </c>
      <c r="O907" s="116">
        <v>2371.5250000000001</v>
      </c>
      <c r="P907" s="116">
        <v>2382.5</v>
      </c>
      <c r="Q907" s="116">
        <v>4760.3500000000004</v>
      </c>
      <c r="R907">
        <v>53518</v>
      </c>
    </row>
    <row r="908" spans="1:18" x14ac:dyDescent="0.25">
      <c r="A908" s="170">
        <v>44979</v>
      </c>
      <c r="B908" s="116">
        <v>2377.7750000000001</v>
      </c>
      <c r="C908" s="116">
        <v>2359.125</v>
      </c>
      <c r="D908" s="116">
        <v>2342.0500000000002</v>
      </c>
      <c r="E908" s="116">
        <v>2350.0250000000001</v>
      </c>
      <c r="F908" s="116">
        <v>4718.25</v>
      </c>
      <c r="G908">
        <v>2812</v>
      </c>
      <c r="H908" s="116"/>
      <c r="I908" s="116"/>
      <c r="L908" s="170">
        <v>44979</v>
      </c>
      <c r="M908" s="116">
        <v>2359.625</v>
      </c>
      <c r="N908" s="116">
        <v>2380</v>
      </c>
      <c r="O908" s="116">
        <v>2340.0250000000001</v>
      </c>
      <c r="P908" s="116">
        <v>2377</v>
      </c>
      <c r="Q908" s="116">
        <v>4719.25</v>
      </c>
      <c r="R908">
        <v>39798</v>
      </c>
    </row>
    <row r="909" spans="1:18" x14ac:dyDescent="0.25">
      <c r="A909" s="170">
        <v>44980</v>
      </c>
      <c r="B909" s="116">
        <v>2408.9</v>
      </c>
      <c r="C909" s="116">
        <v>2390.9749999999999</v>
      </c>
      <c r="D909" s="116">
        <v>2343.375</v>
      </c>
      <c r="E909" s="116">
        <v>2349.5</v>
      </c>
      <c r="F909" s="116">
        <v>4781.95</v>
      </c>
      <c r="G909">
        <v>2907</v>
      </c>
      <c r="H909" s="116"/>
      <c r="I909" s="116"/>
      <c r="L909" s="170">
        <v>44980</v>
      </c>
      <c r="M909" s="116">
        <v>2394.3000000000002</v>
      </c>
      <c r="N909" s="116">
        <v>2410.25</v>
      </c>
      <c r="O909" s="116">
        <v>2343</v>
      </c>
      <c r="P909" s="116">
        <v>2369.1999999999998</v>
      </c>
      <c r="Q909" s="116">
        <v>4788.6000000000004</v>
      </c>
      <c r="R909">
        <v>117840</v>
      </c>
    </row>
    <row r="910" spans="1:18" x14ac:dyDescent="0.25">
      <c r="A910" s="170">
        <v>44981</v>
      </c>
      <c r="B910" s="116">
        <v>2436.4499999999998</v>
      </c>
      <c r="C910" s="116">
        <v>2385.375</v>
      </c>
      <c r="D910" s="116">
        <v>2375.1</v>
      </c>
      <c r="E910" s="116">
        <v>2398.1999999999998</v>
      </c>
      <c r="F910" s="116">
        <v>4770.75</v>
      </c>
      <c r="G910">
        <v>2370</v>
      </c>
      <c r="H910" s="116"/>
      <c r="I910" s="116"/>
      <c r="L910" s="170">
        <v>44981</v>
      </c>
      <c r="M910" s="116">
        <v>2384.0500000000002</v>
      </c>
      <c r="N910" s="116">
        <v>2435</v>
      </c>
      <c r="O910" s="116">
        <v>2374.3000000000002</v>
      </c>
      <c r="P910" s="116">
        <v>2394.3249999999998</v>
      </c>
      <c r="Q910" s="116">
        <v>4768.1000000000004</v>
      </c>
      <c r="R910">
        <v>59908</v>
      </c>
    </row>
    <row r="911" spans="1:18" x14ac:dyDescent="0.25">
      <c r="A911" s="170">
        <v>44984</v>
      </c>
      <c r="B911" s="116">
        <v>2385.5</v>
      </c>
      <c r="C911" s="116">
        <v>2374.65</v>
      </c>
      <c r="D911" s="116">
        <v>2336.375</v>
      </c>
      <c r="E911" s="116">
        <v>2336.375</v>
      </c>
      <c r="F911" s="116">
        <v>4749.3</v>
      </c>
      <c r="G911">
        <v>2808</v>
      </c>
      <c r="H911" s="116"/>
      <c r="I911" s="116"/>
      <c r="L911" s="170">
        <v>44984</v>
      </c>
      <c r="M911" s="116">
        <v>2372.6750000000002</v>
      </c>
      <c r="N911" s="116">
        <v>2386.85</v>
      </c>
      <c r="O911" s="116">
        <v>2340.5</v>
      </c>
      <c r="P911" s="116">
        <v>2355.5</v>
      </c>
      <c r="Q911" s="116">
        <v>4745.3500000000004</v>
      </c>
      <c r="R911">
        <v>40696</v>
      </c>
    </row>
    <row r="912" spans="1:18" x14ac:dyDescent="0.25">
      <c r="A912" s="170">
        <v>44985</v>
      </c>
      <c r="B912" s="116">
        <v>2431.5</v>
      </c>
      <c r="C912" s="116">
        <v>2425.5749999999998</v>
      </c>
      <c r="D912" s="116">
        <v>2376.75</v>
      </c>
      <c r="E912" s="116">
        <v>2382.5</v>
      </c>
      <c r="F912" s="116">
        <v>4851.1499999999996</v>
      </c>
      <c r="G912">
        <v>6889</v>
      </c>
      <c r="H912" s="116"/>
      <c r="I912" s="116"/>
      <c r="L912" s="170">
        <v>44985</v>
      </c>
      <c r="M912" s="116">
        <v>2424.4749999999999</v>
      </c>
      <c r="N912" s="116">
        <v>2432.9749999999999</v>
      </c>
      <c r="O912" s="116">
        <v>2375</v>
      </c>
      <c r="P912" s="116">
        <v>2379.5</v>
      </c>
      <c r="Q912" s="116">
        <v>4848.95</v>
      </c>
      <c r="R912">
        <v>81511</v>
      </c>
    </row>
    <row r="913" spans="1:18" x14ac:dyDescent="0.25">
      <c r="A913" s="170">
        <v>44986</v>
      </c>
      <c r="B913" s="116">
        <v>2521</v>
      </c>
      <c r="C913" s="116">
        <v>2474.85</v>
      </c>
      <c r="D913" s="116">
        <v>2429.8249999999998</v>
      </c>
      <c r="E913" s="116">
        <v>2434.9749999999999</v>
      </c>
      <c r="F913" s="116">
        <v>4949.7</v>
      </c>
      <c r="G913">
        <v>14491</v>
      </c>
      <c r="H913" s="116"/>
      <c r="I913" s="116"/>
      <c r="L913" s="170">
        <v>44986</v>
      </c>
      <c r="M913" s="116">
        <v>2475.65</v>
      </c>
      <c r="N913" s="116">
        <v>2522.5</v>
      </c>
      <c r="O913" s="116">
        <v>2424</v>
      </c>
      <c r="P913" s="116">
        <v>2430</v>
      </c>
      <c r="Q913" s="116">
        <v>4951.3</v>
      </c>
      <c r="R913">
        <v>231049</v>
      </c>
    </row>
    <row r="914" spans="1:18" x14ac:dyDescent="0.25">
      <c r="A914" s="170">
        <v>44987</v>
      </c>
      <c r="B914" s="116">
        <v>2496.5500000000002</v>
      </c>
      <c r="C914" s="116">
        <v>2452.3249999999998</v>
      </c>
      <c r="D914" s="116">
        <v>2424.7249999999999</v>
      </c>
      <c r="E914" s="116">
        <v>2460.0250000000001</v>
      </c>
      <c r="F914" s="116">
        <v>4904.6499999999996</v>
      </c>
      <c r="G914">
        <v>1933</v>
      </c>
      <c r="H914" s="116"/>
      <c r="I914" s="116"/>
      <c r="L914" s="170">
        <v>44987</v>
      </c>
      <c r="M914" s="116">
        <v>2453.4250000000002</v>
      </c>
      <c r="N914" s="116">
        <v>2497</v>
      </c>
      <c r="O914" s="116">
        <v>2424.3249999999998</v>
      </c>
      <c r="P914" s="116">
        <v>2478.5</v>
      </c>
      <c r="Q914" s="116">
        <v>4906.8500000000004</v>
      </c>
      <c r="R914">
        <v>79769</v>
      </c>
    </row>
    <row r="915" spans="1:18" x14ac:dyDescent="0.25">
      <c r="A915" s="170">
        <v>44988</v>
      </c>
      <c r="B915" s="116">
        <v>2481.8249999999998</v>
      </c>
      <c r="C915" s="116">
        <v>2459.2249999999999</v>
      </c>
      <c r="D915" s="116">
        <v>2447.85</v>
      </c>
      <c r="E915" s="116">
        <v>2453</v>
      </c>
      <c r="F915" s="116">
        <v>4918.45</v>
      </c>
      <c r="G915">
        <v>1870</v>
      </c>
      <c r="H915" s="116"/>
      <c r="I915" s="116"/>
      <c r="L915" s="170">
        <v>44988</v>
      </c>
      <c r="M915" s="116">
        <v>2457.6</v>
      </c>
      <c r="N915" s="116">
        <v>2482.4749999999999</v>
      </c>
      <c r="O915" s="116">
        <v>2444.125</v>
      </c>
      <c r="P915" s="116">
        <v>2457.9749999999999</v>
      </c>
      <c r="Q915" s="116">
        <v>4915.2</v>
      </c>
      <c r="R915">
        <v>52057</v>
      </c>
    </row>
    <row r="916" spans="1:18" x14ac:dyDescent="0.25">
      <c r="A916" s="170">
        <v>44991</v>
      </c>
      <c r="B916" s="116">
        <v>2503.7750000000001</v>
      </c>
      <c r="C916" s="116">
        <v>2475.3249999999998</v>
      </c>
      <c r="D916" s="116">
        <v>2465.85</v>
      </c>
      <c r="E916" s="116">
        <v>2475.0250000000001</v>
      </c>
      <c r="F916" s="116">
        <v>4950.6499999999996</v>
      </c>
      <c r="G916">
        <v>4986</v>
      </c>
      <c r="H916" s="116"/>
      <c r="I916" s="116"/>
      <c r="L916" s="170">
        <v>44991</v>
      </c>
      <c r="M916" s="116">
        <v>2477.125</v>
      </c>
      <c r="N916" s="116">
        <v>2504.9</v>
      </c>
      <c r="O916" s="116">
        <v>2465.0250000000001</v>
      </c>
      <c r="P916" s="116">
        <v>2479</v>
      </c>
      <c r="Q916" s="116">
        <v>4954.25</v>
      </c>
      <c r="R916">
        <v>78056</v>
      </c>
    </row>
    <row r="917" spans="1:18" x14ac:dyDescent="0.25">
      <c r="A917" s="170">
        <v>44993</v>
      </c>
      <c r="B917" s="116">
        <v>2475.2249999999999</v>
      </c>
      <c r="C917" s="116">
        <v>2458.875</v>
      </c>
      <c r="D917" s="116">
        <v>2454</v>
      </c>
      <c r="E917" s="116">
        <v>2457.5250000000001</v>
      </c>
      <c r="F917" s="116">
        <v>4917.75</v>
      </c>
      <c r="G917">
        <v>880</v>
      </c>
      <c r="H917" s="116"/>
      <c r="I917" s="116"/>
      <c r="L917" s="170">
        <v>44993</v>
      </c>
      <c r="M917" s="116">
        <v>2464.8000000000002</v>
      </c>
      <c r="N917" s="116">
        <v>2475</v>
      </c>
      <c r="O917" s="116">
        <v>2454</v>
      </c>
      <c r="P917" s="116">
        <v>2470.125</v>
      </c>
      <c r="Q917" s="116">
        <v>4929.6000000000004</v>
      </c>
      <c r="R917">
        <v>31021</v>
      </c>
    </row>
    <row r="918" spans="1:18" x14ac:dyDescent="0.25">
      <c r="A918" s="170">
        <v>44994</v>
      </c>
      <c r="B918" s="116">
        <v>2525.5250000000001</v>
      </c>
      <c r="C918" s="116">
        <v>2471.1999999999998</v>
      </c>
      <c r="D918" s="116">
        <v>2462.5250000000001</v>
      </c>
      <c r="E918" s="116">
        <v>2465.5</v>
      </c>
      <c r="F918" s="116">
        <v>4942.3999999999996</v>
      </c>
      <c r="G918">
        <v>3543</v>
      </c>
      <c r="H918" s="116"/>
      <c r="I918" s="116"/>
      <c r="L918" s="170">
        <v>44994</v>
      </c>
      <c r="M918" s="116">
        <v>2470.125</v>
      </c>
      <c r="N918" s="116">
        <v>2525</v>
      </c>
      <c r="O918" s="116">
        <v>2460.4250000000002</v>
      </c>
      <c r="P918" s="116">
        <v>2475</v>
      </c>
      <c r="Q918" s="116">
        <v>4940.25</v>
      </c>
      <c r="R918">
        <v>109650</v>
      </c>
    </row>
    <row r="919" spans="1:18" x14ac:dyDescent="0.25">
      <c r="A919" s="170">
        <v>44995</v>
      </c>
      <c r="B919" s="116">
        <v>2450.0500000000002</v>
      </c>
      <c r="C919" s="116">
        <v>2378</v>
      </c>
      <c r="D919" s="116">
        <v>2364.1</v>
      </c>
      <c r="E919" s="116">
        <v>2450.0500000000002</v>
      </c>
      <c r="F919" s="116">
        <v>4756</v>
      </c>
      <c r="G919">
        <v>7480</v>
      </c>
      <c r="H919" s="116"/>
      <c r="I919" s="116"/>
      <c r="L919" s="170">
        <v>44995</v>
      </c>
      <c r="M919" s="116">
        <v>2377.7249999999999</v>
      </c>
      <c r="N919" s="116">
        <v>2459.9749999999999</v>
      </c>
      <c r="O919" s="116">
        <v>2365</v>
      </c>
      <c r="P919" s="116">
        <v>2459.9749999999999</v>
      </c>
      <c r="Q919" s="116">
        <v>4755.45</v>
      </c>
      <c r="R919">
        <v>114614</v>
      </c>
    </row>
    <row r="920" spans="1:18" x14ac:dyDescent="0.25">
      <c r="A920" s="170">
        <v>44998</v>
      </c>
      <c r="B920" s="116">
        <v>2375.9749999999999</v>
      </c>
      <c r="C920" s="116">
        <v>2329.1</v>
      </c>
      <c r="D920" s="116">
        <v>2319.2249999999999</v>
      </c>
      <c r="E920" s="116">
        <v>2350.0250000000001</v>
      </c>
      <c r="F920" s="116">
        <v>4658.2</v>
      </c>
      <c r="G920">
        <v>6699</v>
      </c>
      <c r="H920" s="116"/>
      <c r="I920" s="116"/>
      <c r="L920" s="170">
        <v>44998</v>
      </c>
      <c r="M920" s="116">
        <v>2330.65</v>
      </c>
      <c r="N920" s="116">
        <v>2377.35</v>
      </c>
      <c r="O920" s="116">
        <v>2319.7750000000001</v>
      </c>
      <c r="P920" s="116">
        <v>2360.5</v>
      </c>
      <c r="Q920" s="116">
        <v>4661.3</v>
      </c>
      <c r="R920">
        <v>82813</v>
      </c>
    </row>
    <row r="921" spans="1:18" x14ac:dyDescent="0.25">
      <c r="A921" s="170">
        <v>44999</v>
      </c>
      <c r="B921" s="116">
        <v>2366.125</v>
      </c>
      <c r="C921" s="116">
        <v>2354.3249999999998</v>
      </c>
      <c r="D921" s="116">
        <v>2284.1</v>
      </c>
      <c r="E921" s="116">
        <v>2284.1</v>
      </c>
      <c r="F921" s="116">
        <v>4708.6499999999996</v>
      </c>
      <c r="G921">
        <v>2024</v>
      </c>
      <c r="H921" s="116"/>
      <c r="I921" s="116"/>
      <c r="L921" s="170">
        <v>44999</v>
      </c>
      <c r="M921" s="116">
        <v>2353.7750000000001</v>
      </c>
      <c r="N921" s="116">
        <v>2367.4749999999999</v>
      </c>
      <c r="O921" s="116">
        <v>2315.6</v>
      </c>
      <c r="P921" s="116">
        <v>2320</v>
      </c>
      <c r="Q921" s="116">
        <v>4707.55</v>
      </c>
      <c r="R921">
        <v>70016</v>
      </c>
    </row>
    <row r="922" spans="1:18" x14ac:dyDescent="0.25">
      <c r="A922" s="170">
        <v>45000</v>
      </c>
      <c r="B922" s="116">
        <v>2389.4</v>
      </c>
      <c r="C922" s="116">
        <v>2369.6</v>
      </c>
      <c r="D922" s="116">
        <v>2357.125</v>
      </c>
      <c r="E922" s="116">
        <v>2367.5</v>
      </c>
      <c r="F922" s="116">
        <v>4739.2</v>
      </c>
      <c r="G922">
        <v>3511</v>
      </c>
      <c r="H922" s="116"/>
      <c r="I922" s="116"/>
      <c r="L922" s="170">
        <v>45000</v>
      </c>
      <c r="M922" s="116">
        <v>2369.6999999999998</v>
      </c>
      <c r="N922" s="116">
        <v>2389.4</v>
      </c>
      <c r="O922" s="116">
        <v>2358.15</v>
      </c>
      <c r="P922" s="116">
        <v>2372.5</v>
      </c>
      <c r="Q922" s="116">
        <v>4739.3999999999996</v>
      </c>
      <c r="R922">
        <v>47757</v>
      </c>
    </row>
    <row r="923" spans="1:18" x14ac:dyDescent="0.25">
      <c r="A923" s="170">
        <v>45001</v>
      </c>
      <c r="B923" s="116">
        <v>2433.125</v>
      </c>
      <c r="C923" s="116">
        <v>2401.0500000000002</v>
      </c>
      <c r="D923" s="116">
        <v>2335.5250000000001</v>
      </c>
      <c r="E923" s="116">
        <v>2335.5250000000001</v>
      </c>
      <c r="F923" s="116">
        <v>4802.1000000000004</v>
      </c>
      <c r="G923">
        <v>2186</v>
      </c>
      <c r="H923" s="116"/>
      <c r="I923" s="116"/>
      <c r="L923" s="170">
        <v>45001</v>
      </c>
      <c r="M923" s="116">
        <v>2400.4</v>
      </c>
      <c r="N923" s="116">
        <v>2435</v>
      </c>
      <c r="O923" s="116">
        <v>2350</v>
      </c>
      <c r="P923" s="116">
        <v>2369.6999999999998</v>
      </c>
      <c r="Q923" s="116">
        <v>4800.8</v>
      </c>
      <c r="R923">
        <v>66641</v>
      </c>
    </row>
    <row r="924" spans="1:18" x14ac:dyDescent="0.25">
      <c r="A924" s="170">
        <v>45002</v>
      </c>
      <c r="B924" s="116">
        <v>2460</v>
      </c>
      <c r="C924" s="116">
        <v>2447.0500000000002</v>
      </c>
      <c r="D924" s="116">
        <v>2405.5</v>
      </c>
      <c r="E924" s="116">
        <v>2405.5</v>
      </c>
      <c r="F924" s="116">
        <v>4894.1000000000004</v>
      </c>
      <c r="G924">
        <v>6095</v>
      </c>
      <c r="H924" s="116"/>
      <c r="I924" s="116"/>
      <c r="L924" s="170">
        <v>45002</v>
      </c>
      <c r="M924" s="116">
        <v>2446.75</v>
      </c>
      <c r="N924" s="116">
        <v>2460</v>
      </c>
      <c r="O924" s="116">
        <v>2400.4</v>
      </c>
      <c r="P924" s="116">
        <v>2404.0250000000001</v>
      </c>
      <c r="Q924" s="116">
        <v>4893.5</v>
      </c>
      <c r="R924">
        <v>54251</v>
      </c>
    </row>
    <row r="925" spans="1:18" x14ac:dyDescent="0.25">
      <c r="A925" s="170">
        <v>45005</v>
      </c>
      <c r="B925" s="116">
        <v>2462.8249999999998</v>
      </c>
      <c r="C925" s="116">
        <v>2451.5250000000001</v>
      </c>
      <c r="D925" s="116">
        <v>2421.6999999999998</v>
      </c>
      <c r="E925" s="116">
        <v>2440.0250000000001</v>
      </c>
      <c r="F925" s="116">
        <v>4903.05</v>
      </c>
      <c r="G925">
        <v>3481</v>
      </c>
      <c r="H925" s="116"/>
      <c r="I925" s="116"/>
      <c r="L925" s="170">
        <v>45005</v>
      </c>
      <c r="M925" s="116">
        <v>2452.125</v>
      </c>
      <c r="N925" s="116">
        <v>2470</v>
      </c>
      <c r="O925" s="116">
        <v>2422</v>
      </c>
      <c r="P925" s="116">
        <v>2446.75</v>
      </c>
      <c r="Q925" s="116">
        <v>4904.25</v>
      </c>
      <c r="R925">
        <v>68350</v>
      </c>
    </row>
    <row r="926" spans="1:18" x14ac:dyDescent="0.25">
      <c r="A926" s="170">
        <v>45006</v>
      </c>
      <c r="B926" s="116">
        <v>2570</v>
      </c>
      <c r="C926" s="116">
        <v>2551.6750000000002</v>
      </c>
      <c r="D926" s="116">
        <v>2450.0250000000001</v>
      </c>
      <c r="E926" s="116">
        <v>2450.0250000000001</v>
      </c>
      <c r="F926" s="116">
        <v>5103.3500000000004</v>
      </c>
      <c r="G926">
        <v>8249</v>
      </c>
      <c r="H926" s="116"/>
      <c r="I926" s="116"/>
      <c r="L926" s="170">
        <v>45006</v>
      </c>
      <c r="M926" s="116">
        <v>2551.15</v>
      </c>
      <c r="N926" s="116">
        <v>2569.9749999999999</v>
      </c>
      <c r="O926" s="116">
        <v>2450.25</v>
      </c>
      <c r="P926" s="116">
        <v>2454.9749999999999</v>
      </c>
      <c r="Q926" s="116">
        <v>5102.3</v>
      </c>
      <c r="R926">
        <v>327455</v>
      </c>
    </row>
    <row r="927" spans="1:18" x14ac:dyDescent="0.25">
      <c r="A927" s="170">
        <v>45007</v>
      </c>
      <c r="B927" s="116">
        <v>2595.9</v>
      </c>
      <c r="C927" s="116">
        <v>2515.5500000000002</v>
      </c>
      <c r="D927" s="116">
        <v>2510.4749999999999</v>
      </c>
      <c r="E927" s="116">
        <v>2559.9749999999999</v>
      </c>
      <c r="F927" s="116">
        <v>5031.1000000000004</v>
      </c>
      <c r="G927">
        <v>9383</v>
      </c>
      <c r="H927" s="116"/>
      <c r="I927" s="116"/>
      <c r="L927" s="170">
        <v>45007</v>
      </c>
      <c r="M927" s="116">
        <v>2517.5250000000001</v>
      </c>
      <c r="N927" s="116">
        <v>2596.5</v>
      </c>
      <c r="O927" s="116">
        <v>2509.8249999999998</v>
      </c>
      <c r="P927" s="116">
        <v>2552.5250000000001</v>
      </c>
      <c r="Q927" s="116">
        <v>5035.05</v>
      </c>
      <c r="R927">
        <v>129324</v>
      </c>
    </row>
    <row r="928" spans="1:18" x14ac:dyDescent="0.25">
      <c r="A928" s="170">
        <v>45008</v>
      </c>
      <c r="B928" s="116">
        <v>2515.9250000000002</v>
      </c>
      <c r="C928" s="116">
        <v>2467.1</v>
      </c>
      <c r="D928" s="116">
        <v>2462.5</v>
      </c>
      <c r="E928" s="116">
        <v>2515</v>
      </c>
      <c r="F928" s="116">
        <v>4934.2</v>
      </c>
      <c r="G928">
        <v>2790</v>
      </c>
      <c r="H928" s="116"/>
      <c r="I928" s="116"/>
      <c r="L928" s="170">
        <v>45008</v>
      </c>
      <c r="M928" s="116">
        <v>2466.4499999999998</v>
      </c>
      <c r="N928" s="116">
        <v>2517.5250000000001</v>
      </c>
      <c r="O928" s="116">
        <v>2461.3249999999998</v>
      </c>
      <c r="P928" s="116">
        <v>2517.5250000000001</v>
      </c>
      <c r="Q928" s="116">
        <v>4932.8999999999996</v>
      </c>
      <c r="R928">
        <v>81806</v>
      </c>
    </row>
    <row r="929" spans="1:18" x14ac:dyDescent="0.25">
      <c r="A929" s="170">
        <v>45009</v>
      </c>
      <c r="B929" s="116">
        <v>2537.5</v>
      </c>
      <c r="C929" s="116">
        <v>2487.7750000000001</v>
      </c>
      <c r="D929" s="116">
        <v>2462.125</v>
      </c>
      <c r="E929" s="116">
        <v>2468</v>
      </c>
      <c r="F929" s="116">
        <v>4975.55</v>
      </c>
      <c r="G929">
        <v>7662</v>
      </c>
      <c r="H929" s="116"/>
      <c r="I929" s="116"/>
      <c r="L929" s="170">
        <v>45009</v>
      </c>
      <c r="M929" s="116">
        <v>2488.4250000000002</v>
      </c>
      <c r="N929" s="116">
        <v>2538.7249999999999</v>
      </c>
      <c r="O929" s="116">
        <v>2460.5</v>
      </c>
      <c r="P929" s="116">
        <v>2461.5500000000002</v>
      </c>
      <c r="Q929" s="116">
        <v>4976.8500000000004</v>
      </c>
      <c r="R929">
        <v>109860</v>
      </c>
    </row>
    <row r="930" spans="1:18" x14ac:dyDescent="0.25">
      <c r="A930" s="170">
        <v>45012</v>
      </c>
      <c r="B930" s="116">
        <v>2556.6999999999998</v>
      </c>
      <c r="C930" s="116">
        <v>2517.3000000000002</v>
      </c>
      <c r="D930" s="116">
        <v>2479.5250000000001</v>
      </c>
      <c r="E930" s="116">
        <v>2489.9749999999999</v>
      </c>
      <c r="F930" s="116">
        <v>5034.6000000000004</v>
      </c>
      <c r="G930">
        <v>4721</v>
      </c>
      <c r="H930" s="116"/>
      <c r="I930" s="116"/>
      <c r="L930" s="170">
        <v>45012</v>
      </c>
      <c r="M930" s="116">
        <v>2518.4749999999999</v>
      </c>
      <c r="N930" s="116">
        <v>2557</v>
      </c>
      <c r="O930" s="116">
        <v>2475.15</v>
      </c>
      <c r="P930" s="116">
        <v>2485.0250000000001</v>
      </c>
      <c r="Q930" s="116">
        <v>5036.95</v>
      </c>
      <c r="R930">
        <v>116730</v>
      </c>
    </row>
    <row r="931" spans="1:18" x14ac:dyDescent="0.25">
      <c r="A931" s="170">
        <v>45013</v>
      </c>
      <c r="B931" s="116">
        <v>2530.125</v>
      </c>
      <c r="C931" s="116">
        <v>2503.6750000000002</v>
      </c>
      <c r="D931" s="116">
        <v>2485.0250000000001</v>
      </c>
      <c r="E931" s="116">
        <v>2527.375</v>
      </c>
      <c r="F931" s="116">
        <v>5007.3500000000004</v>
      </c>
      <c r="G931">
        <v>2013</v>
      </c>
      <c r="H931" s="116"/>
      <c r="I931" s="116"/>
      <c r="L931" s="170">
        <v>45013</v>
      </c>
      <c r="M931" s="116">
        <v>2505.625</v>
      </c>
      <c r="N931" s="116">
        <v>2533.2750000000001</v>
      </c>
      <c r="O931" s="116">
        <v>2483.2750000000001</v>
      </c>
      <c r="P931" s="116">
        <v>2525</v>
      </c>
      <c r="Q931" s="116">
        <v>5011.25</v>
      </c>
      <c r="R931">
        <v>75787</v>
      </c>
    </row>
    <row r="932" spans="1:18" x14ac:dyDescent="0.25">
      <c r="A932" s="170">
        <v>45014</v>
      </c>
      <c r="B932" s="116">
        <v>2520</v>
      </c>
      <c r="C932" s="116">
        <v>2503.85</v>
      </c>
      <c r="D932" s="116">
        <v>2482.2750000000001</v>
      </c>
      <c r="E932" s="116">
        <v>2482.5250000000001</v>
      </c>
      <c r="F932" s="116">
        <v>5007.7</v>
      </c>
      <c r="G932">
        <v>2184</v>
      </c>
      <c r="H932" s="116"/>
      <c r="I932" s="116"/>
      <c r="L932" s="170">
        <v>45014</v>
      </c>
      <c r="M932" s="116">
        <v>2503.2249999999999</v>
      </c>
      <c r="N932" s="116">
        <v>2525</v>
      </c>
      <c r="O932" s="116">
        <v>2479.4</v>
      </c>
      <c r="P932" s="116">
        <v>2495</v>
      </c>
      <c r="Q932" s="116">
        <v>5006.45</v>
      </c>
      <c r="R932">
        <v>147001</v>
      </c>
    </row>
    <row r="933" spans="1:18" x14ac:dyDescent="0.25">
      <c r="A933" s="170">
        <v>45016</v>
      </c>
      <c r="B933" s="116">
        <v>2546.9250000000002</v>
      </c>
      <c r="C933" s="116">
        <v>2514.0749999999998</v>
      </c>
      <c r="D933" s="116">
        <v>2461.0250000000001</v>
      </c>
      <c r="E933" s="116">
        <v>2461.0250000000001</v>
      </c>
      <c r="F933" s="116">
        <v>5028.1499999999996</v>
      </c>
      <c r="G933">
        <v>4661</v>
      </c>
      <c r="H933" s="116"/>
      <c r="I933" s="116"/>
      <c r="L933" s="170">
        <v>45016</v>
      </c>
      <c r="M933" s="116">
        <v>2509.875</v>
      </c>
      <c r="N933" s="116">
        <v>2548.85</v>
      </c>
      <c r="O933" s="116">
        <v>2495</v>
      </c>
      <c r="P933" s="116">
        <v>2503.2249999999999</v>
      </c>
      <c r="Q933" s="116">
        <v>5019.75</v>
      </c>
      <c r="R933">
        <v>85899</v>
      </c>
    </row>
    <row r="934" spans="1:18" x14ac:dyDescent="0.25">
      <c r="A934" s="170">
        <v>45019</v>
      </c>
      <c r="B934" s="116">
        <v>2530</v>
      </c>
      <c r="C934" s="116">
        <v>2506.1999999999998</v>
      </c>
      <c r="D934" s="116">
        <v>2468.2750000000001</v>
      </c>
      <c r="E934" s="116">
        <v>2530</v>
      </c>
      <c r="F934" s="116">
        <v>5012.3999999999996</v>
      </c>
      <c r="G934">
        <v>4886</v>
      </c>
      <c r="H934" s="116"/>
      <c r="I934" s="116"/>
      <c r="L934" s="170">
        <v>45019</v>
      </c>
      <c r="M934" s="116">
        <v>2508.375</v>
      </c>
      <c r="N934" s="116">
        <v>2520.6</v>
      </c>
      <c r="O934" s="116">
        <v>2469.6750000000002</v>
      </c>
      <c r="P934" s="116">
        <v>2520</v>
      </c>
      <c r="Q934" s="116">
        <v>5016.75</v>
      </c>
      <c r="R934">
        <v>88490</v>
      </c>
    </row>
    <row r="935" spans="1:18" x14ac:dyDescent="0.25">
      <c r="A935" s="170">
        <v>45021</v>
      </c>
      <c r="B935" s="116">
        <v>2530.9250000000002</v>
      </c>
      <c r="C935" s="116">
        <v>2527.6</v>
      </c>
      <c r="D935" s="116">
        <v>2488.4250000000002</v>
      </c>
      <c r="E935" s="116">
        <v>2495.0250000000001</v>
      </c>
      <c r="F935" s="116">
        <v>5055.2</v>
      </c>
      <c r="G935">
        <v>1635</v>
      </c>
      <c r="H935" s="116"/>
      <c r="I935" s="116"/>
      <c r="L935" s="170">
        <v>45021</v>
      </c>
      <c r="M935" s="116">
        <v>2526.1</v>
      </c>
      <c r="N935" s="116">
        <v>2534.9499999999998</v>
      </c>
      <c r="O935" s="116">
        <v>2487.7750000000001</v>
      </c>
      <c r="P935" s="116">
        <v>2507.5</v>
      </c>
      <c r="Q935" s="116">
        <v>5052.2</v>
      </c>
      <c r="R935">
        <v>69047</v>
      </c>
    </row>
    <row r="936" spans="1:18" x14ac:dyDescent="0.25">
      <c r="A936" s="170">
        <v>45022</v>
      </c>
      <c r="B936" s="116">
        <v>2526.9749999999999</v>
      </c>
      <c r="C936" s="116">
        <v>2501.1</v>
      </c>
      <c r="D936" s="116">
        <v>2492.35</v>
      </c>
      <c r="E936" s="116">
        <v>2515.75</v>
      </c>
      <c r="F936" s="116">
        <v>5002.2</v>
      </c>
      <c r="G936">
        <v>3295</v>
      </c>
      <c r="H936" s="116"/>
      <c r="I936" s="116"/>
      <c r="L936" s="170">
        <v>45022</v>
      </c>
      <c r="M936" s="116">
        <v>2500.1750000000002</v>
      </c>
      <c r="N936" s="116">
        <v>2535</v>
      </c>
      <c r="O936" s="116">
        <v>2493.8249999999998</v>
      </c>
      <c r="P936" s="116">
        <v>2532.5</v>
      </c>
      <c r="Q936" s="116">
        <v>5000.3500000000004</v>
      </c>
      <c r="R936">
        <v>25108</v>
      </c>
    </row>
    <row r="937" spans="1:18" x14ac:dyDescent="0.25">
      <c r="A937" s="170">
        <v>45026</v>
      </c>
      <c r="B937" s="116">
        <v>2530</v>
      </c>
      <c r="C937" s="116">
        <v>2520.0250000000001</v>
      </c>
      <c r="D937" s="116">
        <v>2476.4749999999999</v>
      </c>
      <c r="E937" s="116">
        <v>2500</v>
      </c>
      <c r="F937" s="116">
        <v>5040.05</v>
      </c>
      <c r="G937">
        <v>3717</v>
      </c>
      <c r="H937" s="116"/>
      <c r="I937" s="116"/>
      <c r="L937" s="170">
        <v>45026</v>
      </c>
      <c r="M937" s="116">
        <v>2522.875</v>
      </c>
      <c r="N937" s="116">
        <v>2530.7249999999999</v>
      </c>
      <c r="O937" s="116">
        <v>2475.1</v>
      </c>
      <c r="P937" s="116">
        <v>2500.1750000000002</v>
      </c>
      <c r="Q937" s="116">
        <v>5045.75</v>
      </c>
      <c r="R937">
        <v>74293</v>
      </c>
    </row>
    <row r="938" spans="1:18" x14ac:dyDescent="0.25">
      <c r="A938" s="170">
        <v>45027</v>
      </c>
      <c r="B938" s="116">
        <v>2579.5</v>
      </c>
      <c r="C938" s="116">
        <v>2569.4</v>
      </c>
      <c r="D938" s="116">
        <v>2504.8000000000002</v>
      </c>
      <c r="E938" s="116">
        <v>2504.8000000000002</v>
      </c>
      <c r="F938" s="116">
        <v>5138.8</v>
      </c>
      <c r="G938">
        <v>3047</v>
      </c>
      <c r="H938" s="116"/>
      <c r="I938" s="116"/>
      <c r="L938" s="170">
        <v>45027</v>
      </c>
      <c r="M938" s="116">
        <v>2568.0500000000002</v>
      </c>
      <c r="N938" s="116">
        <v>2581.7249999999999</v>
      </c>
      <c r="O938" s="116">
        <v>2512.625</v>
      </c>
      <c r="P938" s="116">
        <v>2522.875</v>
      </c>
      <c r="Q938" s="116">
        <v>5136.1000000000004</v>
      </c>
      <c r="R938">
        <v>106699</v>
      </c>
    </row>
    <row r="939" spans="1:18" x14ac:dyDescent="0.25">
      <c r="A939" s="170">
        <v>45028</v>
      </c>
      <c r="B939" s="116">
        <v>2670</v>
      </c>
      <c r="C939" s="116">
        <v>2666.15</v>
      </c>
      <c r="D939" s="116">
        <v>2566.3000000000002</v>
      </c>
      <c r="E939" s="116">
        <v>2579.9749999999999</v>
      </c>
      <c r="F939" s="116">
        <v>5332.3</v>
      </c>
      <c r="G939">
        <v>15306</v>
      </c>
      <c r="H939" s="116"/>
      <c r="I939" s="116"/>
      <c r="L939" s="170">
        <v>45028</v>
      </c>
      <c r="M939" s="116">
        <v>2665.7249999999999</v>
      </c>
      <c r="N939" s="116">
        <v>2670</v>
      </c>
      <c r="O939" s="116">
        <v>2564.4749999999999</v>
      </c>
      <c r="P939" s="116">
        <v>2570</v>
      </c>
      <c r="Q939" s="116">
        <v>5331.45</v>
      </c>
      <c r="R939">
        <v>285071</v>
      </c>
    </row>
    <row r="940" spans="1:18" x14ac:dyDescent="0.25">
      <c r="A940" s="170">
        <v>45029</v>
      </c>
      <c r="B940" s="116">
        <v>2781.8249999999998</v>
      </c>
      <c r="C940" s="116">
        <v>2696.5749999999998</v>
      </c>
      <c r="D940" s="116">
        <v>2663.75</v>
      </c>
      <c r="E940" s="116">
        <v>2687.5250000000001</v>
      </c>
      <c r="F940" s="116">
        <v>5393.15</v>
      </c>
      <c r="G940">
        <v>20444</v>
      </c>
      <c r="H940" s="116"/>
      <c r="I940" s="116"/>
      <c r="L940" s="170">
        <v>45029</v>
      </c>
      <c r="M940" s="116">
        <v>2695.75</v>
      </c>
      <c r="N940" s="116">
        <v>2782.75</v>
      </c>
      <c r="O940" s="116">
        <v>2664.7750000000001</v>
      </c>
      <c r="P940" s="116">
        <v>2687.4749999999999</v>
      </c>
      <c r="Q940" s="116">
        <v>5391.5</v>
      </c>
      <c r="R940">
        <v>346885</v>
      </c>
    </row>
    <row r="941" spans="1:18" x14ac:dyDescent="0.25">
      <c r="A941" s="170">
        <v>45033</v>
      </c>
      <c r="B941" s="116">
        <v>2733.65</v>
      </c>
      <c r="C941" s="116">
        <v>2677.5749999999998</v>
      </c>
      <c r="D941" s="116">
        <v>2647.4</v>
      </c>
      <c r="E941" s="116">
        <v>2702.4749999999999</v>
      </c>
      <c r="F941" s="116">
        <v>5355.15</v>
      </c>
      <c r="G941">
        <v>10768</v>
      </c>
      <c r="H941" s="116"/>
      <c r="I941" s="116"/>
      <c r="L941" s="170">
        <v>45033</v>
      </c>
      <c r="M941" s="116">
        <v>2676.9749999999999</v>
      </c>
      <c r="N941" s="116">
        <v>2733</v>
      </c>
      <c r="O941" s="116">
        <v>2670</v>
      </c>
      <c r="P941" s="116">
        <v>2697.5</v>
      </c>
      <c r="Q941" s="116">
        <v>5353.95</v>
      </c>
      <c r="R941">
        <v>117767</v>
      </c>
    </row>
    <row r="942" spans="1:18" x14ac:dyDescent="0.25">
      <c r="A942" s="170">
        <v>45034</v>
      </c>
      <c r="B942" s="116">
        <v>2717.45</v>
      </c>
      <c r="C942" s="116">
        <v>2679.2249999999999</v>
      </c>
      <c r="D942" s="116">
        <v>2666.5</v>
      </c>
      <c r="E942" s="116">
        <v>2667.5250000000001</v>
      </c>
      <c r="F942" s="116">
        <v>5358.45</v>
      </c>
      <c r="G942">
        <v>5779</v>
      </c>
      <c r="H942" s="116"/>
      <c r="I942" s="116"/>
      <c r="L942" s="170">
        <v>45034</v>
      </c>
      <c r="M942" s="116">
        <v>2680.35</v>
      </c>
      <c r="N942" s="116">
        <v>2716.25</v>
      </c>
      <c r="O942" s="116">
        <v>2666.3249999999998</v>
      </c>
      <c r="P942" s="116">
        <v>2679</v>
      </c>
      <c r="Q942" s="116">
        <v>5360.7</v>
      </c>
      <c r="R942">
        <v>78106</v>
      </c>
    </row>
    <row r="943" spans="1:18" x14ac:dyDescent="0.25">
      <c r="A943" s="170">
        <v>45035</v>
      </c>
      <c r="B943" s="116">
        <v>2747.25</v>
      </c>
      <c r="C943" s="116">
        <v>2699.2750000000001</v>
      </c>
      <c r="D943" s="116">
        <v>2670.2750000000001</v>
      </c>
      <c r="E943" s="116">
        <v>2670.2750000000001</v>
      </c>
      <c r="F943" s="116">
        <v>5398.55</v>
      </c>
      <c r="G943">
        <v>4964</v>
      </c>
      <c r="H943" s="116"/>
      <c r="I943" s="116"/>
      <c r="L943" s="170">
        <v>45035</v>
      </c>
      <c r="M943" s="116">
        <v>2698.9749999999999</v>
      </c>
      <c r="N943" s="116">
        <v>2747.5</v>
      </c>
      <c r="O943" s="116">
        <v>2671.05</v>
      </c>
      <c r="P943" s="116">
        <v>2680.5</v>
      </c>
      <c r="Q943" s="116">
        <v>5397.95</v>
      </c>
      <c r="R943">
        <v>131355</v>
      </c>
    </row>
    <row r="944" spans="1:18" x14ac:dyDescent="0.25">
      <c r="A944" s="170">
        <v>45036</v>
      </c>
      <c r="B944" s="116">
        <v>2740.2750000000001</v>
      </c>
      <c r="C944" s="116">
        <v>2704.45</v>
      </c>
      <c r="D944" s="116">
        <v>2700.0250000000001</v>
      </c>
      <c r="E944" s="116">
        <v>2707.5749999999998</v>
      </c>
      <c r="F944" s="116">
        <v>5408.9</v>
      </c>
      <c r="G944">
        <v>4918</v>
      </c>
      <c r="H944" s="116"/>
      <c r="I944" s="116"/>
      <c r="L944" s="170">
        <v>45036</v>
      </c>
      <c r="M944" s="116">
        <v>2704.1</v>
      </c>
      <c r="N944" s="116">
        <v>2741.6</v>
      </c>
      <c r="O944" s="116">
        <v>2700.125</v>
      </c>
      <c r="P944" s="116">
        <v>2723</v>
      </c>
      <c r="Q944" s="116">
        <v>5408.2</v>
      </c>
      <c r="R944">
        <v>79623</v>
      </c>
    </row>
    <row r="945" spans="1:18" x14ac:dyDescent="0.25">
      <c r="A945" s="170">
        <v>45037</v>
      </c>
      <c r="B945" s="116">
        <v>2719.9749999999999</v>
      </c>
      <c r="C945" s="116">
        <v>2622.5749999999998</v>
      </c>
      <c r="D945" s="116">
        <v>2614.75</v>
      </c>
      <c r="E945" s="116">
        <v>2710.4250000000002</v>
      </c>
      <c r="F945" s="116">
        <v>5245.15</v>
      </c>
      <c r="G945">
        <v>6325</v>
      </c>
      <c r="H945" s="116"/>
      <c r="I945" s="116"/>
      <c r="L945" s="170">
        <v>45037</v>
      </c>
      <c r="M945" s="116">
        <v>2624.85</v>
      </c>
      <c r="N945" s="116">
        <v>2724</v>
      </c>
      <c r="O945" s="116">
        <v>2610</v>
      </c>
      <c r="P945" s="116">
        <v>2724</v>
      </c>
      <c r="Q945" s="116">
        <v>5249.7</v>
      </c>
      <c r="R945">
        <v>78101</v>
      </c>
    </row>
    <row r="946" spans="1:18" x14ac:dyDescent="0.25">
      <c r="A946" s="170">
        <v>45040</v>
      </c>
      <c r="B946" s="116">
        <v>2651.3249999999998</v>
      </c>
      <c r="C946" s="116">
        <v>2602.9499999999998</v>
      </c>
      <c r="D946" s="116">
        <v>2589.1750000000002</v>
      </c>
      <c r="E946" s="116">
        <v>2649.9749999999999</v>
      </c>
      <c r="F946" s="116">
        <v>5205.8999999999996</v>
      </c>
      <c r="G946">
        <v>3610</v>
      </c>
      <c r="H946" s="116"/>
      <c r="I946" s="116"/>
      <c r="L946" s="170">
        <v>45040</v>
      </c>
      <c r="M946" s="116">
        <v>2602.1999999999998</v>
      </c>
      <c r="N946" s="116">
        <v>2651.5</v>
      </c>
      <c r="O946" s="116">
        <v>2589.65</v>
      </c>
      <c r="P946" s="116">
        <v>2625</v>
      </c>
      <c r="Q946" s="116">
        <v>5204.3999999999996</v>
      </c>
      <c r="R946">
        <v>63330</v>
      </c>
    </row>
    <row r="947" spans="1:18" x14ac:dyDescent="0.25">
      <c r="A947" s="170">
        <v>45041</v>
      </c>
      <c r="B947" s="116">
        <v>2698.5</v>
      </c>
      <c r="C947" s="116">
        <v>2660.05</v>
      </c>
      <c r="D947" s="116">
        <v>2591.5</v>
      </c>
      <c r="E947" s="116">
        <v>2605</v>
      </c>
      <c r="F947" s="116">
        <v>5320.1</v>
      </c>
      <c r="G947">
        <v>9224</v>
      </c>
      <c r="H947" s="116"/>
      <c r="I947" s="116"/>
      <c r="L947" s="170">
        <v>45041</v>
      </c>
      <c r="M947" s="116">
        <v>2659.15</v>
      </c>
      <c r="N947" s="116">
        <v>2699</v>
      </c>
      <c r="O947" s="116">
        <v>2591.25</v>
      </c>
      <c r="P947" s="116">
        <v>2600</v>
      </c>
      <c r="Q947" s="116">
        <v>5318.3</v>
      </c>
      <c r="R947">
        <v>156713</v>
      </c>
    </row>
    <row r="948" spans="1:18" x14ac:dyDescent="0.25">
      <c r="A948" s="170">
        <v>45042</v>
      </c>
      <c r="B948" s="116">
        <v>2680.25</v>
      </c>
      <c r="C948" s="116">
        <v>2637.15</v>
      </c>
      <c r="D948" s="116">
        <v>2621.15</v>
      </c>
      <c r="E948" s="116">
        <v>2652.5</v>
      </c>
      <c r="F948" s="116">
        <v>5274.3</v>
      </c>
      <c r="G948">
        <v>5590</v>
      </c>
      <c r="H948" s="116"/>
      <c r="I948" s="116"/>
      <c r="L948" s="170">
        <v>45042</v>
      </c>
      <c r="M948" s="116">
        <v>2637.0749999999998</v>
      </c>
      <c r="N948" s="116">
        <v>2680.3</v>
      </c>
      <c r="O948" s="116">
        <v>2620.1750000000002</v>
      </c>
      <c r="P948" s="116">
        <v>2668.9749999999999</v>
      </c>
      <c r="Q948" s="116">
        <v>5274.15</v>
      </c>
      <c r="R948">
        <v>112208</v>
      </c>
    </row>
    <row r="949" spans="1:18" x14ac:dyDescent="0.25">
      <c r="A949" s="170">
        <v>45043</v>
      </c>
      <c r="B949" s="116">
        <v>2660.55</v>
      </c>
      <c r="C949" s="116">
        <v>2623.1</v>
      </c>
      <c r="D949" s="116">
        <v>2611.0500000000002</v>
      </c>
      <c r="E949" s="116">
        <v>2637.5749999999998</v>
      </c>
      <c r="F949" s="116">
        <v>5246.2</v>
      </c>
      <c r="G949">
        <v>3314</v>
      </c>
      <c r="H949" s="116"/>
      <c r="I949" s="116"/>
      <c r="L949" s="170">
        <v>45043</v>
      </c>
      <c r="M949" s="116">
        <v>2624.25</v>
      </c>
      <c r="N949" s="116">
        <v>2659.4749999999999</v>
      </c>
      <c r="O949" s="116">
        <v>2612.2249999999999</v>
      </c>
      <c r="P949" s="116">
        <v>2653</v>
      </c>
      <c r="Q949" s="116">
        <v>5248.5</v>
      </c>
      <c r="R949">
        <v>49997</v>
      </c>
    </row>
    <row r="950" spans="1:18" x14ac:dyDescent="0.25">
      <c r="A950" s="170">
        <v>45044</v>
      </c>
      <c r="B950" s="116">
        <v>2705</v>
      </c>
      <c r="C950" s="116">
        <v>2682.0749999999998</v>
      </c>
      <c r="D950" s="116">
        <v>2606.15</v>
      </c>
      <c r="E950" s="116">
        <v>2664.9749999999999</v>
      </c>
      <c r="F950" s="116">
        <v>5364.15</v>
      </c>
      <c r="G950">
        <v>9209</v>
      </c>
      <c r="H950" s="116"/>
      <c r="I950" s="116"/>
      <c r="L950" s="170">
        <v>45044</v>
      </c>
      <c r="M950" s="116">
        <v>2683.3249999999998</v>
      </c>
      <c r="N950" s="116">
        <v>2710</v>
      </c>
      <c r="O950" s="116">
        <v>2605.5250000000001</v>
      </c>
      <c r="P950" s="116">
        <v>2657.5</v>
      </c>
      <c r="Q950" s="116">
        <v>5366.65</v>
      </c>
      <c r="R950">
        <v>183459</v>
      </c>
    </row>
    <row r="951" spans="1:18" x14ac:dyDescent="0.25">
      <c r="A951" s="170">
        <v>45048</v>
      </c>
      <c r="B951" s="116">
        <v>2825</v>
      </c>
      <c r="C951" s="116">
        <v>2815.4250000000002</v>
      </c>
      <c r="D951" s="116">
        <v>2665.85</v>
      </c>
      <c r="E951" s="116">
        <v>2686.4749999999999</v>
      </c>
      <c r="F951" s="116">
        <v>5630.85</v>
      </c>
      <c r="G951">
        <v>7996</v>
      </c>
      <c r="H951" s="116"/>
      <c r="I951" s="116"/>
      <c r="L951" s="170">
        <v>45048</v>
      </c>
      <c r="M951" s="116">
        <v>2814.0749999999998</v>
      </c>
      <c r="N951" s="116">
        <v>2826.7249999999999</v>
      </c>
      <c r="O951" s="116">
        <v>2663.5250000000001</v>
      </c>
      <c r="P951" s="116">
        <v>2675</v>
      </c>
      <c r="Q951" s="116">
        <v>5628.15</v>
      </c>
      <c r="R951">
        <v>318763</v>
      </c>
    </row>
    <row r="952" spans="1:18" x14ac:dyDescent="0.25">
      <c r="A952" s="170">
        <v>45049</v>
      </c>
      <c r="B952" s="116">
        <v>2874</v>
      </c>
      <c r="C952" s="116">
        <v>2866.3249999999998</v>
      </c>
      <c r="D952" s="116">
        <v>2803.625</v>
      </c>
      <c r="E952" s="116">
        <v>2823.9749999999999</v>
      </c>
      <c r="F952" s="116">
        <v>5732.65</v>
      </c>
      <c r="G952">
        <v>14057</v>
      </c>
      <c r="H952" s="116"/>
      <c r="I952" s="116"/>
      <c r="L952" s="170">
        <v>45049</v>
      </c>
      <c r="M952" s="116">
        <v>2867.55</v>
      </c>
      <c r="N952" s="116">
        <v>2875</v>
      </c>
      <c r="O952" s="116">
        <v>2800.5250000000001</v>
      </c>
      <c r="P952" s="116">
        <v>2814</v>
      </c>
      <c r="Q952" s="116">
        <v>5735.1</v>
      </c>
      <c r="R952">
        <v>248018</v>
      </c>
    </row>
    <row r="953" spans="1:18" x14ac:dyDescent="0.25">
      <c r="A953" s="170">
        <v>45050</v>
      </c>
      <c r="B953" s="116">
        <v>3050.65</v>
      </c>
      <c r="C953" s="116">
        <v>3021.0250000000001</v>
      </c>
      <c r="D953" s="116">
        <v>2866.375</v>
      </c>
      <c r="E953" s="116">
        <v>2872.9749999999999</v>
      </c>
      <c r="F953" s="116">
        <v>6042.05</v>
      </c>
      <c r="G953">
        <v>11575</v>
      </c>
      <c r="H953" s="116"/>
      <c r="I953" s="116"/>
      <c r="L953" s="170">
        <v>45050</v>
      </c>
      <c r="M953" s="116">
        <v>3020.1</v>
      </c>
      <c r="N953" s="116">
        <v>3048.5</v>
      </c>
      <c r="O953" s="116">
        <v>2867.55</v>
      </c>
      <c r="P953" s="116">
        <v>2867.55</v>
      </c>
      <c r="Q953" s="116">
        <v>6040.2</v>
      </c>
      <c r="R953">
        <v>498194</v>
      </c>
    </row>
    <row r="954" spans="1:18" x14ac:dyDescent="0.25">
      <c r="A954" s="170">
        <v>45051</v>
      </c>
      <c r="B954" s="116">
        <v>3044.9749999999999</v>
      </c>
      <c r="C954" s="116">
        <v>2971.15</v>
      </c>
      <c r="D954" s="116">
        <v>2948.5250000000001</v>
      </c>
      <c r="E954" s="116">
        <v>3044.9749999999999</v>
      </c>
      <c r="F954" s="116">
        <v>5942.3</v>
      </c>
      <c r="G954">
        <v>12045</v>
      </c>
      <c r="H954" s="116"/>
      <c r="I954" s="116"/>
      <c r="L954" s="170">
        <v>45051</v>
      </c>
      <c r="M954" s="116">
        <v>2973.45</v>
      </c>
      <c r="N954" s="116">
        <v>3027.5</v>
      </c>
      <c r="O954" s="116">
        <v>2950.0749999999998</v>
      </c>
      <c r="P954" s="116">
        <v>3027.5</v>
      </c>
      <c r="Q954" s="116">
        <v>5946.9</v>
      </c>
      <c r="R954">
        <v>170206</v>
      </c>
    </row>
    <row r="955" spans="1:18" x14ac:dyDescent="0.25">
      <c r="A955" s="170">
        <v>45054</v>
      </c>
      <c r="B955" s="116">
        <v>3010.625</v>
      </c>
      <c r="C955" s="116">
        <v>2993.1750000000002</v>
      </c>
      <c r="D955" s="116">
        <v>2940.6</v>
      </c>
      <c r="E955" s="116">
        <v>2980.5</v>
      </c>
      <c r="F955" s="116">
        <v>5986.35</v>
      </c>
      <c r="G955">
        <v>4130</v>
      </c>
      <c r="H955" s="116"/>
      <c r="I955" s="116"/>
      <c r="L955" s="170">
        <v>45054</v>
      </c>
      <c r="M955" s="116">
        <v>2992.8249999999998</v>
      </c>
      <c r="N955" s="116">
        <v>3010</v>
      </c>
      <c r="O955" s="116">
        <v>2940.5</v>
      </c>
      <c r="P955" s="116">
        <v>2983.5749999999998</v>
      </c>
      <c r="Q955" s="116">
        <v>5985.65</v>
      </c>
      <c r="R955">
        <v>150996</v>
      </c>
    </row>
    <row r="956" spans="1:18" x14ac:dyDescent="0.25">
      <c r="A956" s="170">
        <v>45055</v>
      </c>
      <c r="B956" s="116">
        <v>3010</v>
      </c>
      <c r="C956" s="116">
        <v>2968.3249999999998</v>
      </c>
      <c r="D956" s="116">
        <v>2941.45</v>
      </c>
      <c r="E956" s="116">
        <v>2993.2</v>
      </c>
      <c r="F956" s="116">
        <v>5936.65</v>
      </c>
      <c r="G956">
        <v>8319</v>
      </c>
      <c r="H956" s="116"/>
      <c r="I956" s="116"/>
      <c r="L956" s="170">
        <v>45055</v>
      </c>
      <c r="M956" s="116">
        <v>2969.65</v>
      </c>
      <c r="N956" s="116">
        <v>3012.0749999999998</v>
      </c>
      <c r="O956" s="116">
        <v>2941.05</v>
      </c>
      <c r="P956" s="116">
        <v>2999.4749999999999</v>
      </c>
      <c r="Q956" s="116">
        <v>5939.3</v>
      </c>
      <c r="R956">
        <v>102526</v>
      </c>
    </row>
    <row r="957" spans="1:18" x14ac:dyDescent="0.25">
      <c r="A957" s="170">
        <v>45056</v>
      </c>
      <c r="B957" s="116">
        <v>2988.05</v>
      </c>
      <c r="C957" s="116">
        <v>2965.125</v>
      </c>
      <c r="D957" s="116">
        <v>2950</v>
      </c>
      <c r="E957" s="116">
        <v>2980.4749999999999</v>
      </c>
      <c r="F957" s="116">
        <v>5930.25</v>
      </c>
      <c r="G957">
        <v>1958</v>
      </c>
      <c r="H957" s="116"/>
      <c r="I957" s="116"/>
      <c r="L957" s="170">
        <v>45056</v>
      </c>
      <c r="M957" s="116">
        <v>2964.1750000000002</v>
      </c>
      <c r="N957" s="116">
        <v>2990.9250000000002</v>
      </c>
      <c r="O957" s="116">
        <v>2946.5250000000001</v>
      </c>
      <c r="P957" s="116">
        <v>2973.5</v>
      </c>
      <c r="Q957" s="116">
        <v>5928.35</v>
      </c>
      <c r="R957">
        <v>69214</v>
      </c>
    </row>
    <row r="958" spans="1:18" x14ac:dyDescent="0.25">
      <c r="A958" s="170">
        <v>45057</v>
      </c>
      <c r="B958" s="116">
        <v>2983.0250000000001</v>
      </c>
      <c r="C958" s="116">
        <v>2955.9250000000002</v>
      </c>
      <c r="D958" s="116">
        <v>2931.1</v>
      </c>
      <c r="E958" s="116">
        <v>2965.125</v>
      </c>
      <c r="F958" s="116">
        <v>5911.85</v>
      </c>
      <c r="G958">
        <v>4152</v>
      </c>
      <c r="H958" s="116"/>
      <c r="I958" s="116"/>
      <c r="L958" s="170">
        <v>45057</v>
      </c>
      <c r="M958" s="116">
        <v>2955.35</v>
      </c>
      <c r="N958" s="116">
        <v>2983</v>
      </c>
      <c r="O958" s="116">
        <v>2930.625</v>
      </c>
      <c r="P958" s="116">
        <v>2967.5</v>
      </c>
      <c r="Q958" s="116">
        <v>5910.7</v>
      </c>
      <c r="R958">
        <v>66457</v>
      </c>
    </row>
    <row r="959" spans="1:18" x14ac:dyDescent="0.25">
      <c r="A959" s="170">
        <v>45058</v>
      </c>
      <c r="B959" s="116">
        <v>2992</v>
      </c>
      <c r="C959" s="116">
        <v>2953.15</v>
      </c>
      <c r="D959" s="116">
        <v>2934.25</v>
      </c>
      <c r="E959" s="116">
        <v>2956.85</v>
      </c>
      <c r="F959" s="116">
        <v>5906.3</v>
      </c>
      <c r="G959">
        <v>4780</v>
      </c>
      <c r="H959" s="116"/>
      <c r="I959" s="116"/>
      <c r="L959" s="170">
        <v>45058</v>
      </c>
      <c r="M959" s="116">
        <v>2954.6750000000002</v>
      </c>
      <c r="N959" s="116">
        <v>2993.9749999999999</v>
      </c>
      <c r="O959" s="116">
        <v>2935</v>
      </c>
      <c r="P959" s="116">
        <v>2958.5</v>
      </c>
      <c r="Q959" s="116">
        <v>5909.35</v>
      </c>
      <c r="R959">
        <v>92836</v>
      </c>
    </row>
    <row r="960" spans="1:18" x14ac:dyDescent="0.25">
      <c r="A960" s="170">
        <v>45061</v>
      </c>
      <c r="B960" s="116">
        <v>2988.95</v>
      </c>
      <c r="C960" s="116">
        <v>2978.95</v>
      </c>
      <c r="D960" s="116">
        <v>2926.2</v>
      </c>
      <c r="E960" s="116">
        <v>2950.1</v>
      </c>
      <c r="F960" s="116">
        <v>5957.9</v>
      </c>
      <c r="G960">
        <v>1696</v>
      </c>
      <c r="H960" s="116"/>
      <c r="I960" s="116"/>
      <c r="L960" s="170">
        <v>45061</v>
      </c>
      <c r="M960" s="116">
        <v>2977.9</v>
      </c>
      <c r="N960" s="116">
        <v>2989.9749999999999</v>
      </c>
      <c r="O960" s="116">
        <v>2926.3249999999998</v>
      </c>
      <c r="P960" s="116">
        <v>2950</v>
      </c>
      <c r="Q960" s="116">
        <v>5955.8</v>
      </c>
      <c r="R960">
        <v>95861</v>
      </c>
    </row>
    <row r="961" spans="1:18" x14ac:dyDescent="0.25">
      <c r="A961" s="170">
        <v>45062</v>
      </c>
      <c r="B961" s="116">
        <v>2988.5250000000001</v>
      </c>
      <c r="C961" s="116">
        <v>2925.85</v>
      </c>
      <c r="D961" s="116">
        <v>2918.5</v>
      </c>
      <c r="E961" s="116">
        <v>2977.5250000000001</v>
      </c>
      <c r="F961" s="116">
        <v>5851.7</v>
      </c>
      <c r="G961">
        <v>4526</v>
      </c>
      <c r="H961" s="116"/>
      <c r="I961" s="116"/>
      <c r="L961" s="170">
        <v>45062</v>
      </c>
      <c r="M961" s="116">
        <v>2925.6750000000002</v>
      </c>
      <c r="N961" s="116">
        <v>2995.0250000000001</v>
      </c>
      <c r="O961" s="116">
        <v>2917.5</v>
      </c>
      <c r="P961" s="116">
        <v>2992.8</v>
      </c>
      <c r="Q961" s="116">
        <v>5851.35</v>
      </c>
      <c r="R961">
        <v>74851</v>
      </c>
    </row>
    <row r="962" spans="1:18" x14ac:dyDescent="0.25">
      <c r="A962" s="170">
        <v>45063</v>
      </c>
      <c r="B962" s="116">
        <v>2925</v>
      </c>
      <c r="C962" s="116">
        <v>2904.55</v>
      </c>
      <c r="D962" s="116">
        <v>2885.875</v>
      </c>
      <c r="E962" s="116">
        <v>2925</v>
      </c>
      <c r="F962" s="116">
        <v>5809.1</v>
      </c>
      <c r="G962">
        <v>5328</v>
      </c>
      <c r="H962" s="116"/>
      <c r="I962" s="116"/>
      <c r="L962" s="170">
        <v>45063</v>
      </c>
      <c r="M962" s="116">
        <v>2904.9749999999999</v>
      </c>
      <c r="N962" s="116">
        <v>2925</v>
      </c>
      <c r="O962" s="116">
        <v>2887.25</v>
      </c>
      <c r="P962" s="116">
        <v>2925</v>
      </c>
      <c r="Q962" s="116">
        <v>5809.95</v>
      </c>
      <c r="R962">
        <v>94089</v>
      </c>
    </row>
    <row r="963" spans="1:18" x14ac:dyDescent="0.25">
      <c r="A963" s="170">
        <v>45064</v>
      </c>
      <c r="B963" s="116">
        <v>2926.45</v>
      </c>
      <c r="C963" s="116">
        <v>2817.9749999999999</v>
      </c>
      <c r="D963" s="116">
        <v>2811.65</v>
      </c>
      <c r="E963" s="116">
        <v>2925</v>
      </c>
      <c r="F963" s="116">
        <v>5635.95</v>
      </c>
      <c r="G963">
        <v>3818</v>
      </c>
      <c r="H963" s="116"/>
      <c r="I963" s="116"/>
      <c r="L963" s="170">
        <v>45064</v>
      </c>
      <c r="M963" s="116">
        <v>2820.35</v>
      </c>
      <c r="N963" s="116">
        <v>2930.9250000000002</v>
      </c>
      <c r="O963" s="116">
        <v>2807.9250000000002</v>
      </c>
      <c r="P963" s="116">
        <v>2930.9250000000002</v>
      </c>
      <c r="Q963" s="116">
        <v>5640.7</v>
      </c>
      <c r="R963">
        <v>112964</v>
      </c>
    </row>
    <row r="964" spans="1:18" x14ac:dyDescent="0.25">
      <c r="A964" s="170">
        <v>45065</v>
      </c>
      <c r="B964" s="116">
        <v>2860.5</v>
      </c>
      <c r="C964" s="116">
        <v>2792.8</v>
      </c>
      <c r="D964" s="116">
        <v>2777.4</v>
      </c>
      <c r="E964" s="116">
        <v>2860.5</v>
      </c>
      <c r="F964" s="116">
        <v>5585.6</v>
      </c>
      <c r="G964">
        <v>3009</v>
      </c>
      <c r="H964" s="116"/>
      <c r="I964" s="116"/>
      <c r="L964" s="170">
        <v>45065</v>
      </c>
      <c r="M964" s="116">
        <v>2794.25</v>
      </c>
      <c r="N964" s="116">
        <v>2847.2249999999999</v>
      </c>
      <c r="O964" s="116">
        <v>2776.5</v>
      </c>
      <c r="P964" s="116">
        <v>2840.05</v>
      </c>
      <c r="Q964" s="116">
        <v>5588.5</v>
      </c>
      <c r="R964">
        <v>114407</v>
      </c>
    </row>
    <row r="965" spans="1:18" x14ac:dyDescent="0.25">
      <c r="A965" s="170">
        <v>45068</v>
      </c>
      <c r="B965" s="116">
        <v>2802.4749999999999</v>
      </c>
      <c r="C965" s="116">
        <v>2783.65</v>
      </c>
      <c r="D965" s="116">
        <v>2761.7249999999999</v>
      </c>
      <c r="E965" s="116">
        <v>2785.0250000000001</v>
      </c>
      <c r="F965" s="116">
        <v>5567.3</v>
      </c>
      <c r="G965">
        <v>2879</v>
      </c>
      <c r="H965" s="116"/>
      <c r="I965" s="116"/>
      <c r="L965" s="170">
        <v>45068</v>
      </c>
      <c r="M965" s="116">
        <v>2785.5749999999998</v>
      </c>
      <c r="N965" s="116">
        <v>2808.9250000000002</v>
      </c>
      <c r="O965" s="116">
        <v>2760.95</v>
      </c>
      <c r="P965" s="116">
        <v>2797.4749999999999</v>
      </c>
      <c r="Q965" s="116">
        <v>5571.15</v>
      </c>
      <c r="R965">
        <v>51297</v>
      </c>
    </row>
    <row r="966" spans="1:18" x14ac:dyDescent="0.25">
      <c r="A966" s="170">
        <v>45069</v>
      </c>
      <c r="B966" s="116">
        <v>2796.6750000000002</v>
      </c>
      <c r="C966" s="116">
        <v>2769.55</v>
      </c>
      <c r="D966" s="116">
        <v>2760.4749999999999</v>
      </c>
      <c r="E966" s="116">
        <v>2796.6750000000002</v>
      </c>
      <c r="F966" s="116">
        <v>5539.1</v>
      </c>
      <c r="G966">
        <v>1951</v>
      </c>
      <c r="H966" s="116"/>
      <c r="I966" s="116"/>
      <c r="L966" s="170">
        <v>45069</v>
      </c>
      <c r="M966" s="116">
        <v>2767.45</v>
      </c>
      <c r="N966" s="116">
        <v>2795</v>
      </c>
      <c r="O966" s="116">
        <v>2760.05</v>
      </c>
      <c r="P966" s="116">
        <v>2790</v>
      </c>
      <c r="Q966" s="116">
        <v>5534.9</v>
      </c>
      <c r="R966">
        <v>47462</v>
      </c>
    </row>
    <row r="967" spans="1:18" x14ac:dyDescent="0.25">
      <c r="A967" s="170">
        <v>45070</v>
      </c>
      <c r="B967" s="116">
        <v>2776.6</v>
      </c>
      <c r="C967" s="116">
        <v>2770.4250000000002</v>
      </c>
      <c r="D967" s="116">
        <v>2741.2750000000001</v>
      </c>
      <c r="E967" s="116">
        <v>2752.5250000000001</v>
      </c>
      <c r="F967" s="116">
        <v>5540.85</v>
      </c>
      <c r="G967">
        <v>2906</v>
      </c>
      <c r="H967" s="116"/>
      <c r="I967" s="116"/>
      <c r="L967" s="170">
        <v>45070</v>
      </c>
      <c r="M967" s="116">
        <v>2771.3</v>
      </c>
      <c r="N967" s="116">
        <v>2779.75</v>
      </c>
      <c r="O967" s="116">
        <v>2740.0749999999998</v>
      </c>
      <c r="P967" s="116">
        <v>2763.8249999999998</v>
      </c>
      <c r="Q967" s="116">
        <v>5542.6</v>
      </c>
      <c r="R967">
        <v>84908</v>
      </c>
    </row>
    <row r="968" spans="1:18" x14ac:dyDescent="0.25">
      <c r="A968" s="170">
        <v>45071</v>
      </c>
      <c r="B968" s="116">
        <v>2775.5</v>
      </c>
      <c r="C968" s="116">
        <v>2748.4749999999999</v>
      </c>
      <c r="D968" s="116">
        <v>2716.5250000000001</v>
      </c>
      <c r="E968" s="116">
        <v>2770.85</v>
      </c>
      <c r="F968" s="116">
        <v>5496.95</v>
      </c>
      <c r="G968">
        <v>3017</v>
      </c>
      <c r="H968" s="116"/>
      <c r="I968" s="116"/>
      <c r="L968" s="170">
        <v>45071</v>
      </c>
      <c r="M968" s="116">
        <v>2749.2750000000001</v>
      </c>
      <c r="N968" s="116">
        <v>2790</v>
      </c>
      <c r="O968" s="116">
        <v>2716.5</v>
      </c>
      <c r="P968" s="116">
        <v>2771</v>
      </c>
      <c r="Q968" s="116">
        <v>5498.55</v>
      </c>
      <c r="R968">
        <v>86802</v>
      </c>
    </row>
    <row r="969" spans="1:18" x14ac:dyDescent="0.25">
      <c r="A969" s="170">
        <v>45072</v>
      </c>
      <c r="B969" s="116">
        <v>2807.4749999999999</v>
      </c>
      <c r="C969" s="116">
        <v>2779.375</v>
      </c>
      <c r="D969" s="116">
        <v>2725</v>
      </c>
      <c r="E969" s="116">
        <v>2733</v>
      </c>
      <c r="F969" s="116">
        <v>5558.75</v>
      </c>
      <c r="G969">
        <v>2679</v>
      </c>
      <c r="H969" s="116"/>
      <c r="I969" s="116"/>
      <c r="L969" s="170">
        <v>45072</v>
      </c>
      <c r="M969" s="116">
        <v>2779.95</v>
      </c>
      <c r="N969" s="116">
        <v>2809.9250000000002</v>
      </c>
      <c r="O969" s="116">
        <v>2728.3249999999998</v>
      </c>
      <c r="P969" s="116">
        <v>2733</v>
      </c>
      <c r="Q969" s="116">
        <v>5559.9</v>
      </c>
      <c r="R969">
        <v>99263</v>
      </c>
    </row>
    <row r="970" spans="1:18" x14ac:dyDescent="0.25">
      <c r="A970" s="170">
        <v>45075</v>
      </c>
      <c r="B970" s="116">
        <v>2797.9749999999999</v>
      </c>
      <c r="C970" s="116">
        <v>2772.3249999999998</v>
      </c>
      <c r="D970" s="116">
        <v>2770.0250000000001</v>
      </c>
      <c r="E970" s="116">
        <v>2782.0250000000001</v>
      </c>
      <c r="F970" s="116">
        <v>5544.65</v>
      </c>
      <c r="G970">
        <v>1713</v>
      </c>
      <c r="H970" s="116"/>
      <c r="I970" s="116"/>
      <c r="L970" s="170">
        <v>45075</v>
      </c>
      <c r="M970" s="116">
        <v>2772.8</v>
      </c>
      <c r="N970" s="116">
        <v>2799</v>
      </c>
      <c r="O970" s="116">
        <v>2767.2750000000001</v>
      </c>
      <c r="P970" s="116">
        <v>2780.5</v>
      </c>
      <c r="Q970" s="116">
        <v>5545.6</v>
      </c>
      <c r="R970">
        <v>32425</v>
      </c>
    </row>
    <row r="971" spans="1:18" x14ac:dyDescent="0.25">
      <c r="A971" s="170">
        <v>45076</v>
      </c>
      <c r="B971" s="116">
        <v>2783.5250000000001</v>
      </c>
      <c r="C971" s="116">
        <v>2752.9250000000002</v>
      </c>
      <c r="D971" s="116">
        <v>2745</v>
      </c>
      <c r="E971" s="116">
        <v>2775</v>
      </c>
      <c r="F971" s="116">
        <v>5505.85</v>
      </c>
      <c r="G971">
        <v>808</v>
      </c>
      <c r="H971" s="116"/>
      <c r="I971" s="116"/>
      <c r="L971" s="170">
        <v>45076</v>
      </c>
      <c r="M971" s="116">
        <v>2751.2750000000001</v>
      </c>
      <c r="N971" s="116">
        <v>2784.2750000000001</v>
      </c>
      <c r="O971" s="116">
        <v>2742.5</v>
      </c>
      <c r="P971" s="116">
        <v>2775</v>
      </c>
      <c r="Q971" s="116">
        <v>5502.55</v>
      </c>
      <c r="R971">
        <v>33360</v>
      </c>
    </row>
    <row r="972" spans="1:18" x14ac:dyDescent="0.25">
      <c r="A972" s="170">
        <v>45077</v>
      </c>
      <c r="B972" s="116">
        <v>2805.0749999999998</v>
      </c>
      <c r="C972" s="116">
        <v>2789.7</v>
      </c>
      <c r="D972" s="116">
        <v>2749.1</v>
      </c>
      <c r="E972" s="116">
        <v>2750.3249999999998</v>
      </c>
      <c r="F972" s="116">
        <v>5579.4</v>
      </c>
      <c r="G972">
        <v>4853</v>
      </c>
      <c r="H972" s="116"/>
      <c r="I972" s="116"/>
      <c r="L972" s="170">
        <v>45077</v>
      </c>
      <c r="M972" s="116">
        <v>2790.2750000000001</v>
      </c>
      <c r="N972" s="116">
        <v>2805.35</v>
      </c>
      <c r="O972" s="116">
        <v>2747.55</v>
      </c>
      <c r="P972" s="116">
        <v>2762.5</v>
      </c>
      <c r="Q972" s="116">
        <v>5580.55</v>
      </c>
      <c r="R972">
        <v>92572</v>
      </c>
    </row>
    <row r="973" spans="1:18" x14ac:dyDescent="0.25">
      <c r="A973" s="170">
        <v>45078</v>
      </c>
      <c r="B973" s="116">
        <v>2830.4749999999999</v>
      </c>
      <c r="C973" s="116">
        <v>2800.8</v>
      </c>
      <c r="D973" s="116">
        <v>2765.0250000000001</v>
      </c>
      <c r="E973" s="116">
        <v>2765.0250000000001</v>
      </c>
      <c r="F973" s="116">
        <v>5601.6</v>
      </c>
      <c r="G973">
        <v>2197</v>
      </c>
      <c r="H973" s="116"/>
      <c r="I973" s="116"/>
      <c r="L973" s="170">
        <v>45078</v>
      </c>
      <c r="M973" s="116">
        <v>2800.5250000000001</v>
      </c>
      <c r="N973" s="116">
        <v>2832.5</v>
      </c>
      <c r="O973" s="116">
        <v>2775.75</v>
      </c>
      <c r="P973" s="116">
        <v>2791.9749999999999</v>
      </c>
      <c r="Q973" s="116">
        <v>5601.05</v>
      </c>
      <c r="R973">
        <v>103278</v>
      </c>
    </row>
    <row r="974" spans="1:18" x14ac:dyDescent="0.25">
      <c r="A974" s="170">
        <v>45079</v>
      </c>
      <c r="B974" s="116">
        <v>2856.75</v>
      </c>
      <c r="C974" s="116">
        <v>2850.65</v>
      </c>
      <c r="D974" s="116">
        <v>2810</v>
      </c>
      <c r="E974" s="116">
        <v>2810</v>
      </c>
      <c r="F974" s="116">
        <v>5701.3</v>
      </c>
      <c r="G974">
        <v>5524</v>
      </c>
      <c r="H974" s="116"/>
      <c r="I974" s="116"/>
      <c r="L974" s="170">
        <v>45079</v>
      </c>
      <c r="M974" s="116">
        <v>2850.4</v>
      </c>
      <c r="N974" s="116">
        <v>2857</v>
      </c>
      <c r="O974" s="116">
        <v>2800</v>
      </c>
      <c r="P974" s="116">
        <v>2811.4250000000002</v>
      </c>
      <c r="Q974" s="116">
        <v>5700.8</v>
      </c>
      <c r="R974">
        <v>86326</v>
      </c>
    </row>
    <row r="975" spans="1:18" x14ac:dyDescent="0.25">
      <c r="A975" s="170">
        <v>45082</v>
      </c>
      <c r="B975" s="116">
        <v>2875</v>
      </c>
      <c r="C975" s="116">
        <v>2808.875</v>
      </c>
      <c r="D975" s="116">
        <v>2788.9</v>
      </c>
      <c r="E975" s="116">
        <v>2875</v>
      </c>
      <c r="F975" s="116">
        <v>5617.75</v>
      </c>
      <c r="G975">
        <v>6408</v>
      </c>
      <c r="H975" s="116"/>
      <c r="I975" s="116"/>
      <c r="L975" s="170">
        <v>45082</v>
      </c>
      <c r="M975" s="116">
        <v>2809.4749999999999</v>
      </c>
      <c r="N975" s="116">
        <v>2874.9749999999999</v>
      </c>
      <c r="O975" s="116">
        <v>2790.5</v>
      </c>
      <c r="P975" s="116">
        <v>2874.9749999999999</v>
      </c>
      <c r="Q975" s="116">
        <v>5618.95</v>
      </c>
      <c r="R975">
        <v>100102</v>
      </c>
    </row>
    <row r="976" spans="1:18" x14ac:dyDescent="0.25">
      <c r="A976" s="170">
        <v>45083</v>
      </c>
      <c r="B976" s="116">
        <v>2818.1750000000002</v>
      </c>
      <c r="C976" s="116">
        <v>2803.4</v>
      </c>
      <c r="D976" s="116">
        <v>2792.5</v>
      </c>
      <c r="E976" s="116">
        <v>2808.875</v>
      </c>
      <c r="F976" s="116">
        <v>5606.8</v>
      </c>
      <c r="G976">
        <v>1197</v>
      </c>
      <c r="H976" s="116"/>
      <c r="I976" s="116"/>
      <c r="L976" s="170">
        <v>45083</v>
      </c>
      <c r="M976" s="116">
        <v>2802.7</v>
      </c>
      <c r="N976" s="116">
        <v>2819.9749999999999</v>
      </c>
      <c r="O976" s="116">
        <v>2791.5</v>
      </c>
      <c r="P976" s="116">
        <v>2811.5</v>
      </c>
      <c r="Q976" s="116">
        <v>5605.4</v>
      </c>
      <c r="R976">
        <v>51604</v>
      </c>
    </row>
    <row r="977" spans="1:18" x14ac:dyDescent="0.25">
      <c r="A977" s="170">
        <v>45084</v>
      </c>
      <c r="B977" s="116">
        <v>2847.0250000000001</v>
      </c>
      <c r="C977" s="116">
        <v>2824.6750000000002</v>
      </c>
      <c r="D977" s="116">
        <v>2805.9749999999999</v>
      </c>
      <c r="E977" s="116">
        <v>2819.9749999999999</v>
      </c>
      <c r="F977" s="116">
        <v>5649.35</v>
      </c>
      <c r="G977">
        <v>3026</v>
      </c>
      <c r="H977" s="116"/>
      <c r="I977" s="116"/>
      <c r="L977" s="170">
        <v>45084</v>
      </c>
      <c r="M977" s="116">
        <v>2824.5749999999998</v>
      </c>
      <c r="N977" s="116">
        <v>2846.85</v>
      </c>
      <c r="O977" s="116">
        <v>2806.1</v>
      </c>
      <c r="P977" s="116">
        <v>2817</v>
      </c>
      <c r="Q977" s="116">
        <v>5649.15</v>
      </c>
      <c r="R977">
        <v>52415</v>
      </c>
    </row>
    <row r="978" spans="1:18" x14ac:dyDescent="0.25">
      <c r="A978" s="170">
        <v>45085</v>
      </c>
      <c r="B978" s="116">
        <v>2833.4</v>
      </c>
      <c r="C978" s="116">
        <v>2768.25</v>
      </c>
      <c r="D978" s="116">
        <v>2760</v>
      </c>
      <c r="E978" s="116">
        <v>2820.7750000000001</v>
      </c>
      <c r="F978" s="116">
        <v>5536.5</v>
      </c>
      <c r="G978">
        <v>3714</v>
      </c>
      <c r="H978" s="116"/>
      <c r="I978" s="116"/>
      <c r="L978" s="170">
        <v>45085</v>
      </c>
      <c r="M978" s="116">
        <v>2768.5250000000001</v>
      </c>
      <c r="N978" s="116">
        <v>2839.4250000000002</v>
      </c>
      <c r="O978" s="116">
        <v>2759.0250000000001</v>
      </c>
      <c r="P978" s="116">
        <v>2830.4749999999999</v>
      </c>
      <c r="Q978" s="116">
        <v>5537.05</v>
      </c>
      <c r="R978">
        <v>70289</v>
      </c>
    </row>
    <row r="979" spans="1:18" x14ac:dyDescent="0.25">
      <c r="A979" s="170">
        <v>45086</v>
      </c>
      <c r="B979" s="116">
        <v>2833.4749999999999</v>
      </c>
      <c r="C979" s="116">
        <v>2795.2</v>
      </c>
      <c r="D979" s="116">
        <v>2770.85</v>
      </c>
      <c r="E979" s="116">
        <v>2785</v>
      </c>
      <c r="F979" s="116">
        <v>5590.4</v>
      </c>
      <c r="G979">
        <v>2026</v>
      </c>
      <c r="H979" s="116"/>
      <c r="I979" s="116"/>
      <c r="L979" s="170">
        <v>45086</v>
      </c>
      <c r="M979" s="116">
        <v>2793.9749999999999</v>
      </c>
      <c r="N979" s="116">
        <v>2834.9749999999999</v>
      </c>
      <c r="O979" s="116">
        <v>2760.5</v>
      </c>
      <c r="P979" s="116">
        <v>2784.95</v>
      </c>
      <c r="Q979" s="116">
        <v>5587.95</v>
      </c>
      <c r="R979">
        <v>77838</v>
      </c>
    </row>
    <row r="980" spans="1:18" x14ac:dyDescent="0.25">
      <c r="A980" s="170">
        <v>45089</v>
      </c>
      <c r="B980" s="116">
        <v>2847.5</v>
      </c>
      <c r="C980" s="116">
        <v>2836.45</v>
      </c>
      <c r="D980" s="116">
        <v>2775</v>
      </c>
      <c r="E980" s="116">
        <v>2795.2</v>
      </c>
      <c r="F980" s="116">
        <v>5672.9</v>
      </c>
      <c r="G980">
        <v>4598</v>
      </c>
      <c r="H980" s="116"/>
      <c r="I980" s="116"/>
      <c r="L980" s="170">
        <v>45089</v>
      </c>
      <c r="M980" s="116">
        <v>2838.55</v>
      </c>
      <c r="N980" s="116">
        <v>2849</v>
      </c>
      <c r="O980" s="116">
        <v>2773.7750000000001</v>
      </c>
      <c r="P980" s="116">
        <v>2800</v>
      </c>
      <c r="Q980" s="116">
        <v>5677.1</v>
      </c>
      <c r="R980">
        <v>102380</v>
      </c>
    </row>
    <row r="981" spans="1:18" x14ac:dyDescent="0.25">
      <c r="A981" s="170">
        <v>45090</v>
      </c>
      <c r="B981" s="116">
        <v>2894.5</v>
      </c>
      <c r="C981" s="116">
        <v>2873.7249999999999</v>
      </c>
      <c r="D981" s="116">
        <v>2847.0250000000001</v>
      </c>
      <c r="E981" s="116">
        <v>2849</v>
      </c>
      <c r="F981" s="116">
        <v>5747.45</v>
      </c>
      <c r="G981">
        <v>2539</v>
      </c>
      <c r="H981" s="116"/>
      <c r="I981" s="116"/>
      <c r="L981" s="170">
        <v>45090</v>
      </c>
      <c r="M981" s="116">
        <v>2873.1</v>
      </c>
      <c r="N981" s="116">
        <v>2896.875</v>
      </c>
      <c r="O981" s="116">
        <v>2849.9749999999999</v>
      </c>
      <c r="P981" s="116">
        <v>2850</v>
      </c>
      <c r="Q981" s="116">
        <v>5746.2</v>
      </c>
      <c r="R981">
        <v>86235</v>
      </c>
    </row>
    <row r="982" spans="1:18" x14ac:dyDescent="0.25">
      <c r="A982" s="170">
        <v>45091</v>
      </c>
      <c r="B982" s="116">
        <v>2918.3</v>
      </c>
      <c r="C982" s="116">
        <v>2905.375</v>
      </c>
      <c r="D982" s="116">
        <v>2862.3249999999998</v>
      </c>
      <c r="E982" s="116">
        <v>2887.5</v>
      </c>
      <c r="F982" s="116">
        <v>5810.75</v>
      </c>
      <c r="G982">
        <v>5097</v>
      </c>
      <c r="H982" s="116"/>
      <c r="I982" s="116"/>
      <c r="L982" s="170">
        <v>45091</v>
      </c>
      <c r="M982" s="116">
        <v>2905.375</v>
      </c>
      <c r="N982" s="116">
        <v>2919</v>
      </c>
      <c r="O982" s="116">
        <v>2862.0250000000001</v>
      </c>
      <c r="P982" s="116">
        <v>2892</v>
      </c>
      <c r="Q982" s="116">
        <v>5810.75</v>
      </c>
      <c r="R982">
        <v>96160</v>
      </c>
    </row>
    <row r="983" spans="1:18" x14ac:dyDescent="0.25">
      <c r="A983" s="170">
        <v>45092</v>
      </c>
      <c r="B983" s="116">
        <v>2936.5749999999998</v>
      </c>
      <c r="C983" s="116">
        <v>2919.2249999999999</v>
      </c>
      <c r="D983" s="116">
        <v>2902.5</v>
      </c>
      <c r="E983" s="116">
        <v>2905.375</v>
      </c>
      <c r="F983" s="116">
        <v>5838.45</v>
      </c>
      <c r="G983">
        <v>4682</v>
      </c>
      <c r="H983" s="116"/>
      <c r="I983" s="116"/>
      <c r="L983" s="170">
        <v>45092</v>
      </c>
      <c r="M983" s="116">
        <v>2919.4749999999999</v>
      </c>
      <c r="N983" s="116">
        <v>2936.125</v>
      </c>
      <c r="O983" s="116">
        <v>2901.8249999999998</v>
      </c>
      <c r="P983" s="116">
        <v>2905.9749999999999</v>
      </c>
      <c r="Q983" s="116">
        <v>5838.95</v>
      </c>
      <c r="R983">
        <v>75225</v>
      </c>
    </row>
    <row r="984" spans="1:18" x14ac:dyDescent="0.25">
      <c r="A984" s="170">
        <v>45093</v>
      </c>
      <c r="B984" s="116">
        <v>2982.5</v>
      </c>
      <c r="C984" s="116">
        <v>2956.4250000000002</v>
      </c>
      <c r="D984" s="116">
        <v>2905.375</v>
      </c>
      <c r="E984" s="116">
        <v>2930</v>
      </c>
      <c r="F984" s="116">
        <v>5912.85</v>
      </c>
      <c r="G984">
        <v>3112</v>
      </c>
      <c r="H984" s="116"/>
      <c r="I984" s="116"/>
      <c r="L984" s="170">
        <v>45093</v>
      </c>
      <c r="M984" s="116">
        <v>2954.9250000000002</v>
      </c>
      <c r="N984" s="116">
        <v>2984.5</v>
      </c>
      <c r="O984" s="116">
        <v>2904.875</v>
      </c>
      <c r="P984" s="116">
        <v>2923.5</v>
      </c>
      <c r="Q984" s="116">
        <v>5909.85</v>
      </c>
      <c r="R984">
        <v>126141</v>
      </c>
    </row>
    <row r="985" spans="1:18" x14ac:dyDescent="0.25">
      <c r="A985" s="170">
        <v>45096</v>
      </c>
      <c r="B985" s="116">
        <v>2970</v>
      </c>
      <c r="C985" s="116">
        <v>2953.95</v>
      </c>
      <c r="D985" s="116">
        <v>2920</v>
      </c>
      <c r="E985" s="116">
        <v>2962.5</v>
      </c>
      <c r="F985" s="116">
        <v>5907.9</v>
      </c>
      <c r="G985">
        <v>7354</v>
      </c>
      <c r="H985" s="116"/>
      <c r="I985" s="116"/>
      <c r="L985" s="170">
        <v>45096</v>
      </c>
      <c r="M985" s="116">
        <v>2955.1750000000002</v>
      </c>
      <c r="N985" s="116">
        <v>2975</v>
      </c>
      <c r="O985" s="116">
        <v>2919.0250000000001</v>
      </c>
      <c r="P985" s="116">
        <v>2969</v>
      </c>
      <c r="Q985" s="116">
        <v>5910.35</v>
      </c>
      <c r="R985">
        <v>78710</v>
      </c>
    </row>
    <row r="986" spans="1:18" x14ac:dyDescent="0.25">
      <c r="A986" s="170">
        <v>45097</v>
      </c>
      <c r="B986" s="116">
        <v>2964.375</v>
      </c>
      <c r="C986" s="116">
        <v>2958.3249999999998</v>
      </c>
      <c r="D986" s="116">
        <v>2925.8</v>
      </c>
      <c r="E986" s="116">
        <v>2953.95</v>
      </c>
      <c r="F986" s="116">
        <v>5916.65</v>
      </c>
      <c r="G986">
        <v>1413</v>
      </c>
      <c r="H986" s="116"/>
      <c r="I986" s="116"/>
      <c r="L986" s="170">
        <v>45097</v>
      </c>
      <c r="M986" s="116">
        <v>2957.65</v>
      </c>
      <c r="N986" s="116">
        <v>2969.3</v>
      </c>
      <c r="O986" s="116">
        <v>2925.8</v>
      </c>
      <c r="P986" s="116">
        <v>2955.5</v>
      </c>
      <c r="Q986" s="116">
        <v>5915.3</v>
      </c>
      <c r="R986">
        <v>106862</v>
      </c>
    </row>
    <row r="987" spans="1:18" x14ac:dyDescent="0.25">
      <c r="A987" s="170">
        <v>45098</v>
      </c>
      <c r="B987" s="116">
        <v>3012.15</v>
      </c>
      <c r="C987" s="116">
        <v>2990.15</v>
      </c>
      <c r="D987" s="116">
        <v>2967.15</v>
      </c>
      <c r="E987" s="116">
        <v>2979</v>
      </c>
      <c r="F987" s="116">
        <v>2990.15</v>
      </c>
      <c r="G987">
        <v>5269</v>
      </c>
      <c r="H987" s="116"/>
      <c r="I987" s="116"/>
      <c r="L987" s="170">
        <v>45098</v>
      </c>
      <c r="M987" s="116">
        <v>2990.5</v>
      </c>
      <c r="N987" s="116">
        <v>3014</v>
      </c>
      <c r="O987" s="116">
        <v>2965</v>
      </c>
      <c r="P987" s="116">
        <v>2980</v>
      </c>
      <c r="Q987" s="116">
        <v>2990.5</v>
      </c>
      <c r="R987">
        <v>346075</v>
      </c>
    </row>
    <row r="988" spans="1:18" x14ac:dyDescent="0.25">
      <c r="A988" s="170">
        <v>45099</v>
      </c>
      <c r="B988" s="116">
        <v>3000.85</v>
      </c>
      <c r="C988" s="116">
        <v>2928.5</v>
      </c>
      <c r="D988" s="116">
        <v>2889.8</v>
      </c>
      <c r="E988" s="116">
        <v>2990.2</v>
      </c>
      <c r="F988" s="116">
        <v>2928.5</v>
      </c>
      <c r="G988">
        <v>6809</v>
      </c>
      <c r="H988" s="116"/>
      <c r="I988" s="116"/>
      <c r="L988" s="170">
        <v>45099</v>
      </c>
      <c r="M988" s="116">
        <v>2928.25</v>
      </c>
      <c r="N988" s="116">
        <v>3001.5</v>
      </c>
      <c r="O988" s="116">
        <v>2888.05</v>
      </c>
      <c r="P988" s="116">
        <v>2990</v>
      </c>
      <c r="Q988" s="116">
        <v>2928.25</v>
      </c>
      <c r="R988">
        <v>263532</v>
      </c>
    </row>
    <row r="989" spans="1:18" x14ac:dyDescent="0.25">
      <c r="A989" s="170">
        <v>45100</v>
      </c>
      <c r="B989" s="116">
        <v>2939.3</v>
      </c>
      <c r="C989" s="116">
        <v>2904.95</v>
      </c>
      <c r="D989" s="116">
        <v>2886</v>
      </c>
      <c r="E989" s="116">
        <v>2910.05</v>
      </c>
      <c r="F989" s="116">
        <v>2904.95</v>
      </c>
      <c r="G989">
        <v>6104</v>
      </c>
      <c r="H989" s="116"/>
      <c r="I989" s="116"/>
      <c r="L989" s="170">
        <v>45100</v>
      </c>
      <c r="M989" s="116">
        <v>2905.5</v>
      </c>
      <c r="N989" s="116">
        <v>2938.6</v>
      </c>
      <c r="O989" s="116">
        <v>2885</v>
      </c>
      <c r="P989" s="116">
        <v>2928</v>
      </c>
      <c r="Q989" s="116">
        <v>2905.5</v>
      </c>
      <c r="R989">
        <v>131604</v>
      </c>
    </row>
    <row r="990" spans="1:18" x14ac:dyDescent="0.25">
      <c r="A990" s="170">
        <v>45103</v>
      </c>
      <c r="B990" s="116">
        <v>2913.55</v>
      </c>
      <c r="C990" s="116">
        <v>2873.15</v>
      </c>
      <c r="D990" s="116">
        <v>2868</v>
      </c>
      <c r="E990" s="116">
        <v>2897</v>
      </c>
      <c r="F990" s="116">
        <v>2873.15</v>
      </c>
      <c r="G990">
        <v>2252</v>
      </c>
      <c r="H990" s="116"/>
      <c r="I990" s="116"/>
      <c r="L990" s="170">
        <v>45103</v>
      </c>
      <c r="M990" s="116">
        <v>2873.2</v>
      </c>
      <c r="N990" s="116">
        <v>2913.3</v>
      </c>
      <c r="O990" s="116">
        <v>2865</v>
      </c>
      <c r="P990" s="116">
        <v>2893</v>
      </c>
      <c r="Q990" s="116">
        <v>2873.2</v>
      </c>
      <c r="R990">
        <v>131680</v>
      </c>
    </row>
    <row r="991" spans="1:18" x14ac:dyDescent="0.25">
      <c r="A991" s="170">
        <v>45104</v>
      </c>
      <c r="B991" s="116">
        <v>2890.95</v>
      </c>
      <c r="C991" s="116">
        <v>2847.8</v>
      </c>
      <c r="D991" s="116">
        <v>2840.1</v>
      </c>
      <c r="E991" s="116">
        <v>2873.2</v>
      </c>
      <c r="F991" s="116">
        <v>2847.8</v>
      </c>
      <c r="G991">
        <v>2555</v>
      </c>
      <c r="H991" s="116"/>
      <c r="I991" s="116"/>
      <c r="L991" s="170">
        <v>45104</v>
      </c>
      <c r="M991" s="116">
        <v>2848.25</v>
      </c>
      <c r="N991" s="116">
        <v>2894</v>
      </c>
      <c r="O991" s="116">
        <v>2840</v>
      </c>
      <c r="P991" s="116">
        <v>2882</v>
      </c>
      <c r="Q991" s="116">
        <v>2848.25</v>
      </c>
      <c r="R991">
        <v>131943</v>
      </c>
    </row>
    <row r="992" spans="1:18" x14ac:dyDescent="0.25">
      <c r="A992" s="170">
        <v>45105</v>
      </c>
      <c r="B992" s="116">
        <v>2872.05</v>
      </c>
      <c r="C992" s="116">
        <v>2794.6</v>
      </c>
      <c r="D992" s="116">
        <v>2783.55</v>
      </c>
      <c r="E992" s="116">
        <v>2868.95</v>
      </c>
      <c r="F992" s="116">
        <v>2794.6</v>
      </c>
      <c r="G992">
        <v>3365</v>
      </c>
      <c r="H992" s="116"/>
      <c r="I992" s="116"/>
      <c r="L992" s="170">
        <v>45105</v>
      </c>
      <c r="M992" s="116">
        <v>2797.7</v>
      </c>
      <c r="N992" s="116">
        <v>2872.35</v>
      </c>
      <c r="O992" s="116">
        <v>2781.65</v>
      </c>
      <c r="P992" s="116">
        <v>2860.05</v>
      </c>
      <c r="Q992" s="116">
        <v>2797.7</v>
      </c>
      <c r="R992">
        <v>115682</v>
      </c>
    </row>
    <row r="993" spans="1:18" x14ac:dyDescent="0.25">
      <c r="A993" s="170">
        <v>45107</v>
      </c>
      <c r="B993" s="116">
        <v>2847.9</v>
      </c>
      <c r="C993" s="116">
        <v>2815.35</v>
      </c>
      <c r="D993" s="116">
        <v>2801.05</v>
      </c>
      <c r="E993" s="116">
        <v>2821</v>
      </c>
      <c r="F993" s="116">
        <v>2815.35</v>
      </c>
      <c r="G993">
        <v>3724</v>
      </c>
      <c r="H993" s="116"/>
      <c r="I993" s="116"/>
      <c r="L993" s="170">
        <v>45107</v>
      </c>
      <c r="M993" s="116">
        <v>2814.2</v>
      </c>
      <c r="N993" s="116">
        <v>2847.95</v>
      </c>
      <c r="O993" s="116">
        <v>2800.45</v>
      </c>
      <c r="P993" s="116">
        <v>2817.2</v>
      </c>
      <c r="Q993" s="116">
        <v>2814.2</v>
      </c>
      <c r="R993">
        <v>166267</v>
      </c>
    </row>
    <row r="994" spans="1:18" x14ac:dyDescent="0.25">
      <c r="A994" s="170">
        <v>45110</v>
      </c>
      <c r="B994" s="116">
        <v>2828</v>
      </c>
      <c r="C994" s="116">
        <v>2770.5</v>
      </c>
      <c r="D994" s="116">
        <v>2742</v>
      </c>
      <c r="E994" s="116">
        <v>2825.6</v>
      </c>
      <c r="F994" s="116">
        <v>2770.5</v>
      </c>
      <c r="G994">
        <v>9210</v>
      </c>
      <c r="H994" s="116"/>
      <c r="I994" s="116"/>
      <c r="L994" s="170">
        <v>45110</v>
      </c>
      <c r="M994" s="116">
        <v>2771.1</v>
      </c>
      <c r="N994" s="116">
        <v>2835.95</v>
      </c>
      <c r="O994" s="116">
        <v>2740.15</v>
      </c>
      <c r="P994" s="116">
        <v>2835.95</v>
      </c>
      <c r="Q994" s="116">
        <v>2771.1</v>
      </c>
      <c r="R994">
        <v>108986</v>
      </c>
    </row>
    <row r="995" spans="1:18" x14ac:dyDescent="0.25">
      <c r="A995" s="170">
        <v>45111</v>
      </c>
      <c r="B995" s="116">
        <v>2801</v>
      </c>
      <c r="C995" s="116">
        <v>2792.35</v>
      </c>
      <c r="D995" s="116">
        <v>2752</v>
      </c>
      <c r="E995" s="116">
        <v>2775.1</v>
      </c>
      <c r="F995" s="116">
        <v>2792.35</v>
      </c>
      <c r="G995">
        <v>3605</v>
      </c>
      <c r="H995" s="116"/>
      <c r="I995" s="116"/>
      <c r="L995" s="170">
        <v>45111</v>
      </c>
      <c r="M995" s="116">
        <v>2795.1</v>
      </c>
      <c r="N995" s="116">
        <v>2801</v>
      </c>
      <c r="O995" s="116">
        <v>2750.7</v>
      </c>
      <c r="P995" s="116">
        <v>2790.95</v>
      </c>
      <c r="Q995" s="116">
        <v>2795.1</v>
      </c>
      <c r="R995">
        <v>148163</v>
      </c>
    </row>
    <row r="996" spans="1:18" x14ac:dyDescent="0.25">
      <c r="A996" s="170">
        <v>45112</v>
      </c>
      <c r="B996" s="116">
        <v>2860</v>
      </c>
      <c r="C996" s="116">
        <v>2802.75</v>
      </c>
      <c r="D996" s="116">
        <v>2797.75</v>
      </c>
      <c r="E996" s="116">
        <v>2800</v>
      </c>
      <c r="F996" s="116">
        <v>2802.75</v>
      </c>
      <c r="G996">
        <v>5002</v>
      </c>
      <c r="H996" s="116"/>
      <c r="I996" s="116"/>
      <c r="L996" s="170">
        <v>45112</v>
      </c>
      <c r="M996" s="116">
        <v>2802.85</v>
      </c>
      <c r="N996" s="116">
        <v>2860</v>
      </c>
      <c r="O996" s="116">
        <v>2799.15</v>
      </c>
      <c r="P996" s="116">
        <v>2817.7</v>
      </c>
      <c r="Q996" s="116">
        <v>2802.85</v>
      </c>
      <c r="R996">
        <v>258647</v>
      </c>
    </row>
    <row r="997" spans="1:18" x14ac:dyDescent="0.25">
      <c r="A997" s="170">
        <v>45113</v>
      </c>
      <c r="B997" s="116">
        <v>2854.4</v>
      </c>
      <c r="C997" s="116">
        <v>2835.75</v>
      </c>
      <c r="D997" s="116">
        <v>2803.75</v>
      </c>
      <c r="E997" s="116">
        <v>2811</v>
      </c>
      <c r="F997" s="116">
        <v>2835.75</v>
      </c>
      <c r="G997">
        <v>1807</v>
      </c>
      <c r="H997" s="116"/>
      <c r="I997" s="116"/>
      <c r="L997" s="170">
        <v>45113</v>
      </c>
      <c r="M997" s="116">
        <v>2835.75</v>
      </c>
      <c r="N997" s="116">
        <v>2854.9</v>
      </c>
      <c r="O997" s="116">
        <v>2801.45</v>
      </c>
      <c r="P997" s="116">
        <v>2805.2</v>
      </c>
      <c r="Q997" s="116">
        <v>2835.75</v>
      </c>
      <c r="R997">
        <v>200668</v>
      </c>
    </row>
    <row r="998" spans="1:18" x14ac:dyDescent="0.25">
      <c r="A998" s="170">
        <v>45114</v>
      </c>
      <c r="B998" s="116">
        <v>2849.95</v>
      </c>
      <c r="C998" s="116">
        <v>2745.25</v>
      </c>
      <c r="D998" s="116">
        <v>2733.8</v>
      </c>
      <c r="E998" s="116">
        <v>2836.5</v>
      </c>
      <c r="F998" s="116">
        <v>2745.25</v>
      </c>
      <c r="G998">
        <v>11608</v>
      </c>
      <c r="H998" s="116"/>
      <c r="I998" s="116"/>
      <c r="L998" s="170">
        <v>45114</v>
      </c>
      <c r="M998" s="116">
        <v>2745.8</v>
      </c>
      <c r="N998" s="116">
        <v>2850</v>
      </c>
      <c r="O998" s="116">
        <v>2736</v>
      </c>
      <c r="P998" s="116">
        <v>2840</v>
      </c>
      <c r="Q998" s="116">
        <v>2745.8</v>
      </c>
      <c r="R998">
        <v>184170</v>
      </c>
    </row>
    <row r="999" spans="1:18" x14ac:dyDescent="0.25">
      <c r="A999" s="170">
        <v>45117</v>
      </c>
      <c r="B999" s="116">
        <v>2768.95</v>
      </c>
      <c r="C999" s="116">
        <v>2649.2</v>
      </c>
      <c r="D999" s="116">
        <v>2612.65</v>
      </c>
      <c r="E999" s="116">
        <v>2768.95</v>
      </c>
      <c r="F999" s="116">
        <v>2649.2</v>
      </c>
      <c r="G999">
        <v>11333</v>
      </c>
      <c r="H999" s="116"/>
      <c r="I999" s="116"/>
      <c r="L999" s="170">
        <v>45117</v>
      </c>
      <c r="M999" s="116">
        <v>2649.25</v>
      </c>
      <c r="N999" s="116">
        <v>2750</v>
      </c>
      <c r="O999" s="116">
        <v>2611.4</v>
      </c>
      <c r="P999" s="116">
        <v>2746</v>
      </c>
      <c r="Q999" s="116">
        <v>2649.25</v>
      </c>
      <c r="R999">
        <v>319249</v>
      </c>
    </row>
    <row r="1000" spans="1:18" x14ac:dyDescent="0.25">
      <c r="A1000" s="170">
        <v>45118</v>
      </c>
      <c r="B1000" s="116">
        <v>2786.5</v>
      </c>
      <c r="C1000" s="116">
        <v>2771.5</v>
      </c>
      <c r="D1000" s="116">
        <v>2626.95</v>
      </c>
      <c r="E1000" s="116">
        <v>2659.9</v>
      </c>
      <c r="F1000" s="116">
        <v>2771.5</v>
      </c>
      <c r="G1000">
        <v>64001</v>
      </c>
      <c r="H1000" s="116"/>
      <c r="I1000" s="116"/>
      <c r="L1000" s="170">
        <v>45118</v>
      </c>
      <c r="M1000" s="116">
        <v>2771.95</v>
      </c>
      <c r="N1000" s="116">
        <v>2790</v>
      </c>
      <c r="O1000" s="116">
        <v>2644.35</v>
      </c>
      <c r="P1000" s="116">
        <v>2644.35</v>
      </c>
      <c r="Q1000" s="116">
        <v>2771.95</v>
      </c>
      <c r="R1000">
        <v>557904</v>
      </c>
    </row>
    <row r="1001" spans="1:18" x14ac:dyDescent="0.25">
      <c r="A1001" s="170">
        <v>45119</v>
      </c>
      <c r="B1001" s="116">
        <v>2839.5</v>
      </c>
      <c r="C1001" s="116">
        <v>2788.25</v>
      </c>
      <c r="D1001" s="116">
        <v>2773.35</v>
      </c>
      <c r="E1001" s="116">
        <v>2798.95</v>
      </c>
      <c r="F1001" s="116">
        <v>2788.25</v>
      </c>
      <c r="G1001">
        <v>6815</v>
      </c>
      <c r="H1001" s="116"/>
      <c r="I1001" s="116"/>
      <c r="L1001" s="170">
        <v>45119</v>
      </c>
      <c r="M1001" s="116">
        <v>2788.75</v>
      </c>
      <c r="N1001" s="116">
        <v>2840</v>
      </c>
      <c r="O1001" s="116">
        <v>2772</v>
      </c>
      <c r="P1001" s="116">
        <v>2772</v>
      </c>
      <c r="Q1001" s="116">
        <v>2788.75</v>
      </c>
      <c r="R1001">
        <v>274950</v>
      </c>
    </row>
    <row r="1002" spans="1:18" x14ac:dyDescent="0.25">
      <c r="A1002" s="170">
        <v>45120</v>
      </c>
      <c r="B1002" s="116">
        <v>2808.4</v>
      </c>
      <c r="C1002" s="116">
        <v>2746.05</v>
      </c>
      <c r="D1002" s="116">
        <v>2732.6</v>
      </c>
      <c r="E1002" s="116">
        <v>2807.35</v>
      </c>
      <c r="F1002" s="116">
        <v>2746.05</v>
      </c>
      <c r="G1002">
        <v>1798</v>
      </c>
      <c r="H1002" s="116"/>
      <c r="I1002" s="116"/>
      <c r="L1002" s="170">
        <v>45120</v>
      </c>
      <c r="M1002" s="116">
        <v>2748.6</v>
      </c>
      <c r="N1002" s="116">
        <v>2817.15</v>
      </c>
      <c r="O1002" s="116">
        <v>2732.1</v>
      </c>
      <c r="P1002" s="116">
        <v>2817.15</v>
      </c>
      <c r="Q1002" s="116">
        <v>2748.6</v>
      </c>
      <c r="R1002">
        <v>126216</v>
      </c>
    </row>
    <row r="1003" spans="1:18" x14ac:dyDescent="0.25">
      <c r="A1003" s="170">
        <v>45121</v>
      </c>
      <c r="B1003" s="116">
        <v>2895</v>
      </c>
      <c r="C1003" s="116">
        <v>2849.5</v>
      </c>
      <c r="D1003" s="116">
        <v>2736.55</v>
      </c>
      <c r="E1003" s="116">
        <v>2767.1</v>
      </c>
      <c r="F1003" s="116">
        <v>2849.5</v>
      </c>
      <c r="G1003">
        <v>15706</v>
      </c>
      <c r="H1003" s="116"/>
      <c r="I1003" s="116"/>
      <c r="L1003" s="170">
        <v>45121</v>
      </c>
      <c r="M1003" s="116">
        <v>2849.3</v>
      </c>
      <c r="N1003" s="116">
        <v>2896.9</v>
      </c>
      <c r="O1003" s="116">
        <v>2734.5</v>
      </c>
      <c r="P1003" s="116">
        <v>2770</v>
      </c>
      <c r="Q1003" s="116">
        <v>2849.3</v>
      </c>
      <c r="R1003">
        <v>406717</v>
      </c>
    </row>
    <row r="1004" spans="1:18" x14ac:dyDescent="0.25">
      <c r="A1004" s="170">
        <v>45124</v>
      </c>
      <c r="B1004" s="116">
        <v>2997.2</v>
      </c>
      <c r="C1004" s="116">
        <v>2903.75</v>
      </c>
      <c r="D1004" s="116">
        <v>2864.05</v>
      </c>
      <c r="E1004" s="116">
        <v>2864.05</v>
      </c>
      <c r="F1004" s="116">
        <v>2903.75</v>
      </c>
      <c r="G1004">
        <v>29605</v>
      </c>
      <c r="H1004" s="116"/>
      <c r="I1004" s="116"/>
      <c r="L1004" s="170">
        <v>45124</v>
      </c>
      <c r="M1004" s="116">
        <v>2902.6</v>
      </c>
      <c r="N1004" s="116">
        <v>2998.95</v>
      </c>
      <c r="O1004" s="116">
        <v>2866.6</v>
      </c>
      <c r="P1004" s="116">
        <v>2875</v>
      </c>
      <c r="Q1004" s="116">
        <v>2902.6</v>
      </c>
      <c r="R1004">
        <v>396585</v>
      </c>
    </row>
    <row r="1005" spans="1:18" x14ac:dyDescent="0.25">
      <c r="A1005" s="170">
        <v>45125</v>
      </c>
      <c r="B1005" s="116">
        <v>2929.95</v>
      </c>
      <c r="C1005" s="116">
        <v>2886.8</v>
      </c>
      <c r="D1005" s="116">
        <v>2827</v>
      </c>
      <c r="E1005" s="116">
        <v>2929.95</v>
      </c>
      <c r="F1005" s="116">
        <v>2886.8</v>
      </c>
      <c r="G1005">
        <v>18576</v>
      </c>
      <c r="H1005" s="116"/>
      <c r="I1005" s="116"/>
      <c r="L1005" s="170">
        <v>45125</v>
      </c>
      <c r="M1005" s="116">
        <v>2891</v>
      </c>
      <c r="N1005" s="116">
        <v>2929</v>
      </c>
      <c r="O1005" s="116">
        <v>2830.45</v>
      </c>
      <c r="P1005" s="116">
        <v>2920</v>
      </c>
      <c r="Q1005" s="116">
        <v>2891</v>
      </c>
      <c r="R1005">
        <v>209480</v>
      </c>
    </row>
    <row r="1006" spans="1:18" x14ac:dyDescent="0.25">
      <c r="A1006" s="170">
        <v>45126</v>
      </c>
      <c r="B1006" s="116">
        <v>2905</v>
      </c>
      <c r="C1006" s="116">
        <v>2873.5</v>
      </c>
      <c r="D1006" s="116">
        <v>2853.55</v>
      </c>
      <c r="E1006" s="116">
        <v>2899.95</v>
      </c>
      <c r="F1006" s="116">
        <v>2873.5</v>
      </c>
      <c r="G1006">
        <v>6300</v>
      </c>
      <c r="H1006" s="116"/>
      <c r="I1006" s="116"/>
      <c r="L1006" s="170">
        <v>45126</v>
      </c>
      <c r="M1006" s="116">
        <v>2873.5</v>
      </c>
      <c r="N1006" s="116">
        <v>2909.55</v>
      </c>
      <c r="O1006" s="116">
        <v>2851.2</v>
      </c>
      <c r="P1006" s="116">
        <v>2890.95</v>
      </c>
      <c r="Q1006" s="116">
        <v>2873.5</v>
      </c>
      <c r="R1006">
        <v>126933</v>
      </c>
    </row>
    <row r="1007" spans="1:18" x14ac:dyDescent="0.25">
      <c r="A1007" s="170">
        <v>45127</v>
      </c>
      <c r="B1007" s="116">
        <v>2924.25</v>
      </c>
      <c r="C1007" s="116">
        <v>2899.3</v>
      </c>
      <c r="D1007" s="116">
        <v>2855.85</v>
      </c>
      <c r="E1007" s="116">
        <v>2897</v>
      </c>
      <c r="F1007" s="116">
        <v>2899.3</v>
      </c>
      <c r="G1007">
        <v>12335</v>
      </c>
      <c r="H1007" s="116"/>
      <c r="I1007" s="116"/>
      <c r="L1007" s="170">
        <v>45127</v>
      </c>
      <c r="M1007" s="116">
        <v>2900.5</v>
      </c>
      <c r="N1007" s="116">
        <v>2924.65</v>
      </c>
      <c r="O1007" s="116">
        <v>2853</v>
      </c>
      <c r="P1007" s="116">
        <v>2894.4</v>
      </c>
      <c r="Q1007" s="116">
        <v>2900.5</v>
      </c>
      <c r="R1007">
        <v>316226</v>
      </c>
    </row>
    <row r="1008" spans="1:18" x14ac:dyDescent="0.25">
      <c r="A1008" s="170">
        <v>45128</v>
      </c>
      <c r="B1008" s="116">
        <v>3205</v>
      </c>
      <c r="C1008" s="116">
        <v>3152.1</v>
      </c>
      <c r="D1008" s="116">
        <v>2940.45</v>
      </c>
      <c r="E1008" s="116">
        <v>3100</v>
      </c>
      <c r="F1008" s="116">
        <v>3152.1</v>
      </c>
      <c r="G1008">
        <v>112089</v>
      </c>
      <c r="H1008" s="116"/>
      <c r="I1008" s="116"/>
      <c r="L1008" s="170">
        <v>45128</v>
      </c>
      <c r="M1008" s="116">
        <v>3151</v>
      </c>
      <c r="N1008" s="116">
        <v>3335.55</v>
      </c>
      <c r="O1008" s="116">
        <v>2940</v>
      </c>
      <c r="P1008" s="116">
        <v>3050</v>
      </c>
      <c r="Q1008" s="116">
        <v>3151</v>
      </c>
      <c r="R1008">
        <v>3260210</v>
      </c>
    </row>
    <row r="1009" spans="1:18" x14ac:dyDescent="0.25">
      <c r="A1009" s="170">
        <v>45131</v>
      </c>
      <c r="B1009" s="116">
        <v>3170</v>
      </c>
      <c r="C1009" s="116">
        <v>3046.9</v>
      </c>
      <c r="D1009" s="116">
        <v>3032</v>
      </c>
      <c r="E1009" s="116">
        <v>3165.05</v>
      </c>
      <c r="F1009" s="116">
        <v>3046.9</v>
      </c>
      <c r="G1009">
        <v>40608</v>
      </c>
      <c r="H1009" s="116"/>
      <c r="I1009" s="116"/>
      <c r="L1009" s="170">
        <v>45131</v>
      </c>
      <c r="M1009" s="116">
        <v>3046.6</v>
      </c>
      <c r="N1009" s="116">
        <v>3169.85</v>
      </c>
      <c r="O1009" s="116">
        <v>3032.7</v>
      </c>
      <c r="P1009" s="116">
        <v>3169.85</v>
      </c>
      <c r="Q1009" s="116">
        <v>3046.6</v>
      </c>
      <c r="R1009">
        <v>510989</v>
      </c>
    </row>
    <row r="1010" spans="1:18" x14ac:dyDescent="0.25">
      <c r="A1010" s="170">
        <v>45132</v>
      </c>
      <c r="B1010" s="116">
        <v>3080</v>
      </c>
      <c r="C1010" s="116">
        <v>2936.85</v>
      </c>
      <c r="D1010" s="116">
        <v>2895</v>
      </c>
      <c r="E1010" s="116">
        <v>3061.05</v>
      </c>
      <c r="F1010" s="116">
        <v>2936.85</v>
      </c>
      <c r="G1010">
        <v>38875</v>
      </c>
      <c r="H1010" s="116"/>
      <c r="I1010" s="116"/>
      <c r="L1010" s="170">
        <v>45132</v>
      </c>
      <c r="M1010" s="116">
        <v>2937.75</v>
      </c>
      <c r="N1010" s="116">
        <v>3080</v>
      </c>
      <c r="O1010" s="116">
        <v>2894.7</v>
      </c>
      <c r="P1010" s="116">
        <v>3067.95</v>
      </c>
      <c r="Q1010" s="116">
        <v>2937.75</v>
      </c>
      <c r="R1010">
        <v>533394</v>
      </c>
    </row>
    <row r="1011" spans="1:18" x14ac:dyDescent="0.25">
      <c r="A1011" s="170">
        <v>45133</v>
      </c>
      <c r="B1011" s="116">
        <v>2972.9</v>
      </c>
      <c r="C1011" s="116">
        <v>2945.2</v>
      </c>
      <c r="D1011" s="116">
        <v>2925.9</v>
      </c>
      <c r="E1011" s="116">
        <v>2960</v>
      </c>
      <c r="F1011" s="116">
        <v>2945.2</v>
      </c>
      <c r="G1011">
        <v>7393</v>
      </c>
      <c r="H1011" s="116"/>
      <c r="I1011" s="116"/>
      <c r="L1011" s="170">
        <v>45133</v>
      </c>
      <c r="M1011" s="116">
        <v>2942.75</v>
      </c>
      <c r="N1011" s="116">
        <v>2972.7</v>
      </c>
      <c r="O1011" s="116">
        <v>2925.2</v>
      </c>
      <c r="P1011" s="116">
        <v>2961.65</v>
      </c>
      <c r="Q1011" s="116">
        <v>2942.75</v>
      </c>
      <c r="R1011">
        <v>262170</v>
      </c>
    </row>
    <row r="1012" spans="1:18" x14ac:dyDescent="0.25">
      <c r="A1012" s="170">
        <v>45134</v>
      </c>
      <c r="B1012" s="116">
        <v>3022</v>
      </c>
      <c r="C1012" s="116">
        <v>3000.4</v>
      </c>
      <c r="D1012" s="116">
        <v>2953.7</v>
      </c>
      <c r="E1012" s="116">
        <v>2965</v>
      </c>
      <c r="F1012" s="116">
        <v>3000.4</v>
      </c>
      <c r="G1012">
        <v>20619</v>
      </c>
      <c r="H1012" s="116"/>
      <c r="I1012" s="116"/>
      <c r="L1012" s="170">
        <v>45134</v>
      </c>
      <c r="M1012" s="116">
        <v>3000.8</v>
      </c>
      <c r="N1012" s="116">
        <v>3022.85</v>
      </c>
      <c r="O1012" s="116">
        <v>2953.75</v>
      </c>
      <c r="P1012" s="116">
        <v>2962</v>
      </c>
      <c r="Q1012" s="116">
        <v>3000.8</v>
      </c>
      <c r="R1012">
        <v>282050</v>
      </c>
    </row>
    <row r="1013" spans="1:18" x14ac:dyDescent="0.25">
      <c r="A1013" s="170">
        <v>45135</v>
      </c>
      <c r="B1013" s="116">
        <v>3097</v>
      </c>
      <c r="C1013" s="116">
        <v>3090.4</v>
      </c>
      <c r="D1013" s="116">
        <v>3002.05</v>
      </c>
      <c r="E1013" s="116">
        <v>3002.05</v>
      </c>
      <c r="F1013" s="116">
        <v>3090.4</v>
      </c>
      <c r="G1013">
        <v>14535</v>
      </c>
      <c r="H1013" s="116"/>
      <c r="I1013" s="116"/>
      <c r="L1013" s="170">
        <v>45135</v>
      </c>
      <c r="M1013" s="116">
        <v>3090.25</v>
      </c>
      <c r="N1013" s="116">
        <v>3099</v>
      </c>
      <c r="O1013" s="116">
        <v>3005.15</v>
      </c>
      <c r="P1013" s="116">
        <v>3015.05</v>
      </c>
      <c r="Q1013" s="116">
        <v>3090.25</v>
      </c>
      <c r="R1013">
        <v>372363</v>
      </c>
    </row>
    <row r="1014" spans="1:18" x14ac:dyDescent="0.25">
      <c r="A1014" s="170">
        <v>45138</v>
      </c>
      <c r="B1014" s="116">
        <v>3138.9</v>
      </c>
      <c r="C1014" s="116">
        <v>3111.8</v>
      </c>
      <c r="D1014" s="116">
        <v>3089.8</v>
      </c>
      <c r="E1014" s="116">
        <v>3092.05</v>
      </c>
      <c r="F1014" s="116">
        <v>3111.8</v>
      </c>
      <c r="G1014">
        <v>15488</v>
      </c>
      <c r="H1014" s="116"/>
      <c r="I1014" s="116"/>
      <c r="L1014" s="170">
        <v>45138</v>
      </c>
      <c r="M1014" s="116">
        <v>3112.4</v>
      </c>
      <c r="N1014" s="116">
        <v>3140</v>
      </c>
      <c r="O1014" s="116">
        <v>3088.15</v>
      </c>
      <c r="P1014" s="116">
        <v>3109.8</v>
      </c>
      <c r="Q1014" s="116">
        <v>3112.4</v>
      </c>
      <c r="R1014">
        <v>197484</v>
      </c>
    </row>
    <row r="1015" spans="1:18" x14ac:dyDescent="0.25">
      <c r="A1015" s="170">
        <v>45139</v>
      </c>
      <c r="B1015" s="116">
        <v>3155.95</v>
      </c>
      <c r="C1015" s="116">
        <v>3131.65</v>
      </c>
      <c r="D1015" s="116">
        <v>3102.4</v>
      </c>
      <c r="E1015" s="116">
        <v>3120.05</v>
      </c>
      <c r="F1015" s="116">
        <v>3131.65</v>
      </c>
      <c r="G1015">
        <v>5865</v>
      </c>
      <c r="H1015" s="116"/>
      <c r="I1015" s="116"/>
      <c r="L1015" s="170">
        <v>45139</v>
      </c>
      <c r="M1015" s="116">
        <v>3129.15</v>
      </c>
      <c r="N1015" s="116">
        <v>3157</v>
      </c>
      <c r="O1015" s="116">
        <v>3101.5</v>
      </c>
      <c r="P1015" s="116">
        <v>3130</v>
      </c>
      <c r="Q1015" s="116">
        <v>3129.15</v>
      </c>
      <c r="R1015">
        <v>166030</v>
      </c>
    </row>
    <row r="1016" spans="1:18" x14ac:dyDescent="0.25">
      <c r="A1016" s="170">
        <v>45140</v>
      </c>
      <c r="B1016" s="116">
        <v>3131.55</v>
      </c>
      <c r="C1016" s="116">
        <v>3033.35</v>
      </c>
      <c r="D1016" s="116">
        <v>3000.05</v>
      </c>
      <c r="E1016" s="116">
        <v>3115.55</v>
      </c>
      <c r="F1016" s="116">
        <v>3033.35</v>
      </c>
      <c r="G1016">
        <v>17908</v>
      </c>
      <c r="H1016" s="116"/>
      <c r="I1016" s="116"/>
      <c r="L1016" s="170">
        <v>45140</v>
      </c>
      <c r="M1016" s="116">
        <v>3033.05</v>
      </c>
      <c r="N1016" s="116">
        <v>3130</v>
      </c>
      <c r="O1016" s="116">
        <v>3000</v>
      </c>
      <c r="P1016" s="116">
        <v>3130</v>
      </c>
      <c r="Q1016" s="116">
        <v>3033.05</v>
      </c>
      <c r="R1016">
        <v>189104</v>
      </c>
    </row>
    <row r="1017" spans="1:18" x14ac:dyDescent="0.25">
      <c r="A1017" s="170">
        <v>45141</v>
      </c>
      <c r="B1017" s="116">
        <v>3065</v>
      </c>
      <c r="C1017" s="116">
        <v>3018.75</v>
      </c>
      <c r="D1017" s="116">
        <v>2965.25</v>
      </c>
      <c r="E1017" s="116">
        <v>3025</v>
      </c>
      <c r="F1017" s="116">
        <v>3018.75</v>
      </c>
      <c r="G1017">
        <v>10353</v>
      </c>
      <c r="H1017" s="116"/>
      <c r="I1017" s="116"/>
      <c r="L1017" s="170">
        <v>45141</v>
      </c>
      <c r="M1017" s="116">
        <v>3020.05</v>
      </c>
      <c r="N1017" s="116">
        <v>3063.95</v>
      </c>
      <c r="O1017" s="116">
        <v>2963.3</v>
      </c>
      <c r="P1017" s="116">
        <v>3033.05</v>
      </c>
      <c r="Q1017" s="116">
        <v>3020.05</v>
      </c>
      <c r="R1017">
        <v>180394</v>
      </c>
    </row>
    <row r="1018" spans="1:18" x14ac:dyDescent="0.25">
      <c r="A1018" s="170">
        <v>45142</v>
      </c>
      <c r="B1018" s="116">
        <v>3135</v>
      </c>
      <c r="C1018" s="116">
        <v>3123.55</v>
      </c>
      <c r="D1018" s="116">
        <v>3030</v>
      </c>
      <c r="E1018" s="116">
        <v>3030</v>
      </c>
      <c r="F1018" s="116">
        <v>3123.55</v>
      </c>
      <c r="G1018">
        <v>7665</v>
      </c>
      <c r="H1018" s="116"/>
      <c r="I1018" s="116"/>
      <c r="L1018" s="170">
        <v>45142</v>
      </c>
      <c r="M1018" s="116">
        <v>3125.2</v>
      </c>
      <c r="N1018" s="116">
        <v>3135</v>
      </c>
      <c r="O1018" s="116">
        <v>3030.8</v>
      </c>
      <c r="P1018" s="116">
        <v>3039.55</v>
      </c>
      <c r="Q1018" s="116">
        <v>3125.2</v>
      </c>
      <c r="R1018">
        <v>264574</v>
      </c>
    </row>
    <row r="1019" spans="1:18" x14ac:dyDescent="0.25">
      <c r="A1019" s="170">
        <v>45145</v>
      </c>
      <c r="B1019" s="116">
        <v>3182.2</v>
      </c>
      <c r="C1019" s="116">
        <v>3170.3</v>
      </c>
      <c r="D1019" s="116">
        <v>3109.8</v>
      </c>
      <c r="E1019" s="116">
        <v>3148.95</v>
      </c>
      <c r="F1019" s="116">
        <v>3170.3</v>
      </c>
      <c r="G1019">
        <v>6301</v>
      </c>
      <c r="H1019" s="116"/>
      <c r="I1019" s="116"/>
      <c r="L1019" s="170">
        <v>45145</v>
      </c>
      <c r="M1019" s="116">
        <v>3171.5</v>
      </c>
      <c r="N1019" s="116">
        <v>3183.9</v>
      </c>
      <c r="O1019" s="116">
        <v>3106.6</v>
      </c>
      <c r="P1019" s="116">
        <v>3143.25</v>
      </c>
      <c r="Q1019" s="116">
        <v>3171.5</v>
      </c>
      <c r="R1019">
        <v>215930</v>
      </c>
    </row>
    <row r="1020" spans="1:18" x14ac:dyDescent="0.25">
      <c r="A1020" s="170">
        <v>45146</v>
      </c>
      <c r="B1020" s="116">
        <v>3202</v>
      </c>
      <c r="C1020" s="116">
        <v>3188.65</v>
      </c>
      <c r="D1020" s="116">
        <v>3122.9</v>
      </c>
      <c r="E1020" s="116">
        <v>3187.25</v>
      </c>
      <c r="F1020" s="116">
        <v>3188.65</v>
      </c>
      <c r="G1020">
        <v>3634</v>
      </c>
      <c r="H1020" s="116"/>
      <c r="I1020" s="116"/>
      <c r="L1020" s="170">
        <v>45146</v>
      </c>
      <c r="M1020" s="116">
        <v>3187.2</v>
      </c>
      <c r="N1020" s="116">
        <v>3204.3</v>
      </c>
      <c r="O1020" s="116">
        <v>3123.5</v>
      </c>
      <c r="P1020" s="116">
        <v>3161.1</v>
      </c>
      <c r="Q1020" s="116">
        <v>3187.2</v>
      </c>
      <c r="R1020">
        <v>169034</v>
      </c>
    </row>
    <row r="1021" spans="1:18" x14ac:dyDescent="0.25">
      <c r="A1021" s="170">
        <v>45147</v>
      </c>
      <c r="B1021" s="116">
        <v>3207.5</v>
      </c>
      <c r="C1021" s="116">
        <v>3152.15</v>
      </c>
      <c r="D1021" s="116">
        <v>3132.15</v>
      </c>
      <c r="E1021" s="116">
        <v>3188.7</v>
      </c>
      <c r="F1021" s="116">
        <v>3152.15</v>
      </c>
      <c r="G1021">
        <v>7312</v>
      </c>
      <c r="H1021" s="116"/>
      <c r="I1021" s="116"/>
      <c r="L1021" s="170">
        <v>45147</v>
      </c>
      <c r="M1021" s="116">
        <v>3153.1</v>
      </c>
      <c r="N1021" s="116">
        <v>3207.6</v>
      </c>
      <c r="O1021" s="116">
        <v>3132.55</v>
      </c>
      <c r="P1021" s="116">
        <v>3195.7</v>
      </c>
      <c r="Q1021" s="116">
        <v>3153.1</v>
      </c>
      <c r="R1021">
        <v>99490</v>
      </c>
    </row>
    <row r="1022" spans="1:18" x14ac:dyDescent="0.25">
      <c r="A1022" s="170">
        <v>45148</v>
      </c>
      <c r="B1022" s="116">
        <v>3177.35</v>
      </c>
      <c r="C1022" s="116">
        <v>3159.55</v>
      </c>
      <c r="D1022" s="116">
        <v>3130</v>
      </c>
      <c r="E1022" s="116">
        <v>3174.95</v>
      </c>
      <c r="F1022" s="116">
        <v>3159.55</v>
      </c>
      <c r="G1022">
        <v>3049</v>
      </c>
      <c r="H1022" s="116"/>
      <c r="I1022" s="116"/>
      <c r="L1022" s="170">
        <v>45148</v>
      </c>
      <c r="M1022" s="116">
        <v>3160.05</v>
      </c>
      <c r="N1022" s="116">
        <v>3177</v>
      </c>
      <c r="O1022" s="116">
        <v>3131</v>
      </c>
      <c r="P1022" s="116">
        <v>3151.05</v>
      </c>
      <c r="Q1022" s="116">
        <v>3160.05</v>
      </c>
      <c r="R1022">
        <v>104594</v>
      </c>
    </row>
    <row r="1023" spans="1:18" x14ac:dyDescent="0.25">
      <c r="A1023" s="170">
        <v>45149</v>
      </c>
      <c r="B1023" s="116">
        <v>3187.4</v>
      </c>
      <c r="C1023" s="116">
        <v>3135.65</v>
      </c>
      <c r="D1023" s="116">
        <v>3126</v>
      </c>
      <c r="E1023" s="116">
        <v>3187.4</v>
      </c>
      <c r="F1023" s="116">
        <v>3135.65</v>
      </c>
      <c r="G1023">
        <v>2253</v>
      </c>
      <c r="H1023" s="116"/>
      <c r="I1023" s="116"/>
      <c r="L1023" s="170">
        <v>45149</v>
      </c>
      <c r="M1023" s="116">
        <v>3134.2</v>
      </c>
      <c r="N1023" s="116">
        <v>3176.7</v>
      </c>
      <c r="O1023" s="116">
        <v>3126.55</v>
      </c>
      <c r="P1023" s="116">
        <v>3174.3</v>
      </c>
      <c r="Q1023" s="116">
        <v>3134.2</v>
      </c>
      <c r="R1023">
        <v>77531</v>
      </c>
    </row>
    <row r="1024" spans="1:18" x14ac:dyDescent="0.25">
      <c r="A1024" s="170">
        <v>45152</v>
      </c>
      <c r="B1024" s="116">
        <v>3187.5</v>
      </c>
      <c r="C1024" s="116">
        <v>3178.55</v>
      </c>
      <c r="D1024" s="116">
        <v>3079.85</v>
      </c>
      <c r="E1024" s="116">
        <v>3130</v>
      </c>
      <c r="F1024" s="116">
        <v>3178.55</v>
      </c>
      <c r="G1024">
        <v>11566</v>
      </c>
      <c r="H1024" s="116"/>
      <c r="I1024" s="116"/>
      <c r="L1024" s="170">
        <v>45152</v>
      </c>
      <c r="M1024" s="116">
        <v>3180.75</v>
      </c>
      <c r="N1024" s="116">
        <v>3188</v>
      </c>
      <c r="O1024" s="116">
        <v>3078.8</v>
      </c>
      <c r="P1024" s="116">
        <v>3135.3</v>
      </c>
      <c r="Q1024" s="116">
        <v>3180.75</v>
      </c>
      <c r="R1024">
        <v>118745</v>
      </c>
    </row>
    <row r="1025" spans="1:18" x14ac:dyDescent="0.25">
      <c r="A1025" s="170">
        <v>45154</v>
      </c>
      <c r="B1025" s="116">
        <v>3198.95</v>
      </c>
      <c r="C1025" s="116">
        <v>3122.5</v>
      </c>
      <c r="D1025" s="116">
        <v>3108.15</v>
      </c>
      <c r="E1025" s="116">
        <v>3198.95</v>
      </c>
      <c r="F1025" s="116">
        <v>3122.5</v>
      </c>
      <c r="G1025">
        <v>4642</v>
      </c>
      <c r="H1025" s="116"/>
      <c r="I1025" s="116"/>
      <c r="L1025" s="170">
        <v>45154</v>
      </c>
      <c r="M1025" s="116">
        <v>3124.55</v>
      </c>
      <c r="N1025" s="116">
        <v>3180</v>
      </c>
      <c r="O1025" s="116">
        <v>3110.05</v>
      </c>
      <c r="P1025" s="116">
        <v>3180</v>
      </c>
      <c r="Q1025" s="116">
        <v>3124.55</v>
      </c>
      <c r="R1025">
        <v>106255</v>
      </c>
    </row>
    <row r="1026" spans="1:18" x14ac:dyDescent="0.25">
      <c r="A1026" s="170">
        <v>45155</v>
      </c>
      <c r="B1026" s="116">
        <v>3145</v>
      </c>
      <c r="C1026" s="116">
        <v>3126.55</v>
      </c>
      <c r="D1026" s="116">
        <v>3115.25</v>
      </c>
      <c r="E1026" s="116">
        <v>3140.3</v>
      </c>
      <c r="F1026" s="116">
        <v>3126.55</v>
      </c>
      <c r="G1026">
        <v>7222</v>
      </c>
      <c r="H1026" s="116"/>
      <c r="I1026" s="116"/>
      <c r="L1026" s="170">
        <v>45155</v>
      </c>
      <c r="M1026" s="116">
        <v>3127.9</v>
      </c>
      <c r="N1026" s="116">
        <v>3145</v>
      </c>
      <c r="O1026" s="116">
        <v>3115</v>
      </c>
      <c r="P1026" s="116">
        <v>3126</v>
      </c>
      <c r="Q1026" s="116">
        <v>3127.9</v>
      </c>
      <c r="R1026">
        <v>101316</v>
      </c>
    </row>
    <row r="1027" spans="1:18" x14ac:dyDescent="0.25">
      <c r="A1027" s="170">
        <v>45156</v>
      </c>
      <c r="B1027" s="116">
        <v>3142.7</v>
      </c>
      <c r="C1027" s="116">
        <v>3081.15</v>
      </c>
      <c r="D1027" s="116">
        <v>3065</v>
      </c>
      <c r="E1027" s="116">
        <v>3126.55</v>
      </c>
      <c r="F1027" s="116">
        <v>3081.15</v>
      </c>
      <c r="G1027">
        <v>6354</v>
      </c>
      <c r="H1027" s="116"/>
      <c r="I1027" s="116"/>
      <c r="L1027" s="170">
        <v>45156</v>
      </c>
      <c r="M1027" s="116">
        <v>3080.95</v>
      </c>
      <c r="N1027" s="116">
        <v>3141.25</v>
      </c>
      <c r="O1027" s="116">
        <v>3063</v>
      </c>
      <c r="P1027" s="116">
        <v>3130</v>
      </c>
      <c r="Q1027" s="116">
        <v>3080.95</v>
      </c>
      <c r="R1027">
        <v>130998</v>
      </c>
    </row>
    <row r="1028" spans="1:18" x14ac:dyDescent="0.25">
      <c r="A1028" s="170">
        <v>45159</v>
      </c>
      <c r="B1028" s="116">
        <v>3175</v>
      </c>
      <c r="C1028" s="116">
        <v>3113.35</v>
      </c>
      <c r="D1028" s="116">
        <v>3075</v>
      </c>
      <c r="E1028" s="116">
        <v>3081.2</v>
      </c>
      <c r="F1028" s="116">
        <v>3113.35</v>
      </c>
      <c r="G1028">
        <v>12628</v>
      </c>
      <c r="H1028" s="116"/>
      <c r="I1028" s="116"/>
      <c r="L1028" s="170">
        <v>45159</v>
      </c>
      <c r="M1028" s="116">
        <v>3113.6</v>
      </c>
      <c r="N1028" s="116">
        <v>3177.75</v>
      </c>
      <c r="O1028" s="116">
        <v>3072.45</v>
      </c>
      <c r="P1028" s="116">
        <v>3096.15</v>
      </c>
      <c r="Q1028" s="116">
        <v>3113.6</v>
      </c>
      <c r="R1028">
        <v>269066</v>
      </c>
    </row>
    <row r="1029" spans="1:18" x14ac:dyDescent="0.25">
      <c r="A1029" s="170">
        <v>45160</v>
      </c>
      <c r="B1029" s="116">
        <v>3165.35</v>
      </c>
      <c r="C1029" s="116">
        <v>3155.35</v>
      </c>
      <c r="D1029" s="116">
        <v>3101</v>
      </c>
      <c r="E1029" s="116">
        <v>3131</v>
      </c>
      <c r="F1029" s="116">
        <v>3155.35</v>
      </c>
      <c r="G1029">
        <v>3818</v>
      </c>
      <c r="H1029" s="116"/>
      <c r="I1029" s="116"/>
      <c r="L1029" s="170">
        <v>45160</v>
      </c>
      <c r="M1029" s="116">
        <v>3156.9</v>
      </c>
      <c r="N1029" s="116">
        <v>3167.1</v>
      </c>
      <c r="O1029" s="116">
        <v>3100</v>
      </c>
      <c r="P1029" s="116">
        <v>3129</v>
      </c>
      <c r="Q1029" s="116">
        <v>3156.9</v>
      </c>
      <c r="R1029">
        <v>139674</v>
      </c>
    </row>
    <row r="1030" spans="1:18" x14ac:dyDescent="0.25">
      <c r="A1030" s="170">
        <v>45161</v>
      </c>
      <c r="B1030" s="116">
        <v>3198.95</v>
      </c>
      <c r="C1030" s="116">
        <v>3111.5</v>
      </c>
      <c r="D1030" s="116">
        <v>3104.6</v>
      </c>
      <c r="E1030" s="116">
        <v>3170</v>
      </c>
      <c r="F1030" s="116">
        <v>3111.5</v>
      </c>
      <c r="G1030">
        <v>6807</v>
      </c>
      <c r="H1030" s="116"/>
      <c r="I1030" s="116"/>
      <c r="L1030" s="170">
        <v>45161</v>
      </c>
      <c r="M1030" s="116">
        <v>3111.85</v>
      </c>
      <c r="N1030" s="116">
        <v>3198</v>
      </c>
      <c r="O1030" s="116">
        <v>3102.6</v>
      </c>
      <c r="P1030" s="116">
        <v>3172</v>
      </c>
      <c r="Q1030" s="116">
        <v>3111.85</v>
      </c>
      <c r="R1030">
        <v>300929</v>
      </c>
    </row>
    <row r="1031" spans="1:18" x14ac:dyDescent="0.25">
      <c r="A1031" s="170">
        <v>45162</v>
      </c>
      <c r="B1031" s="116">
        <v>3163.95</v>
      </c>
      <c r="C1031" s="116">
        <v>3132.6</v>
      </c>
      <c r="D1031" s="116">
        <v>3119</v>
      </c>
      <c r="E1031" s="116">
        <v>3137.95</v>
      </c>
      <c r="F1031" s="116">
        <v>3132.6</v>
      </c>
      <c r="G1031">
        <v>5463</v>
      </c>
      <c r="H1031" s="116"/>
      <c r="I1031" s="116"/>
      <c r="L1031" s="170">
        <v>45162</v>
      </c>
      <c r="M1031" s="116">
        <v>3131.9</v>
      </c>
      <c r="N1031" s="116">
        <v>3165.1</v>
      </c>
      <c r="O1031" s="116">
        <v>3120</v>
      </c>
      <c r="P1031" s="116">
        <v>3135</v>
      </c>
      <c r="Q1031" s="116">
        <v>3131.9</v>
      </c>
      <c r="R1031">
        <v>172184</v>
      </c>
    </row>
    <row r="1032" spans="1:18" x14ac:dyDescent="0.25">
      <c r="A1032" s="170">
        <v>45163</v>
      </c>
      <c r="B1032" s="116">
        <v>3110.2</v>
      </c>
      <c r="C1032" s="116">
        <v>3015.05</v>
      </c>
      <c r="D1032" s="116">
        <v>3007</v>
      </c>
      <c r="E1032" s="116">
        <v>3090.05</v>
      </c>
      <c r="F1032" s="116">
        <v>3015.05</v>
      </c>
      <c r="G1032">
        <v>11713</v>
      </c>
      <c r="H1032" s="116"/>
      <c r="I1032" s="116"/>
      <c r="L1032" s="170">
        <v>45163</v>
      </c>
      <c r="M1032" s="116">
        <v>3016</v>
      </c>
      <c r="N1032" s="116">
        <v>3109</v>
      </c>
      <c r="O1032" s="116">
        <v>3005</v>
      </c>
      <c r="P1032" s="116">
        <v>3095</v>
      </c>
      <c r="Q1032" s="116">
        <v>3016</v>
      </c>
      <c r="R1032">
        <v>181115</v>
      </c>
    </row>
    <row r="1033" spans="1:18" x14ac:dyDescent="0.25">
      <c r="A1033" s="170">
        <v>45166</v>
      </c>
      <c r="B1033" s="116">
        <v>3062.05</v>
      </c>
      <c r="C1033" s="116">
        <v>3028.15</v>
      </c>
      <c r="D1033" s="116">
        <v>3015.05</v>
      </c>
      <c r="E1033" s="116">
        <v>3025</v>
      </c>
      <c r="F1033" s="116">
        <v>3028.15</v>
      </c>
      <c r="G1033">
        <v>2651</v>
      </c>
      <c r="H1033" s="116"/>
      <c r="I1033" s="116"/>
      <c r="L1033" s="170">
        <v>45166</v>
      </c>
      <c r="M1033" s="116">
        <v>3028.7</v>
      </c>
      <c r="N1033" s="116">
        <v>3065</v>
      </c>
      <c r="O1033" s="116">
        <v>3014</v>
      </c>
      <c r="P1033" s="116">
        <v>3021.1</v>
      </c>
      <c r="Q1033" s="116">
        <v>3028.7</v>
      </c>
      <c r="R1033">
        <v>133279</v>
      </c>
    </row>
    <row r="1034" spans="1:18" x14ac:dyDescent="0.25">
      <c r="A1034" s="170">
        <v>45167</v>
      </c>
      <c r="B1034" s="116">
        <v>3036.95</v>
      </c>
      <c r="C1034" s="116">
        <v>3017.75</v>
      </c>
      <c r="D1034" s="116">
        <v>3010.1</v>
      </c>
      <c r="E1034" s="116">
        <v>3015.05</v>
      </c>
      <c r="F1034" s="116">
        <v>3017.75</v>
      </c>
      <c r="G1034">
        <v>1405</v>
      </c>
      <c r="H1034" s="116"/>
      <c r="I1034" s="116"/>
      <c r="L1034" s="170">
        <v>45167</v>
      </c>
      <c r="M1034" s="116">
        <v>3019.65</v>
      </c>
      <c r="N1034" s="116">
        <v>3043.75</v>
      </c>
      <c r="O1034" s="116">
        <v>3008.6</v>
      </c>
      <c r="P1034" s="116">
        <v>3028.7</v>
      </c>
      <c r="Q1034" s="116">
        <v>3019.65</v>
      </c>
      <c r="R1034">
        <v>67364</v>
      </c>
    </row>
    <row r="1035" spans="1:18" x14ac:dyDescent="0.25">
      <c r="A1035" s="170">
        <v>45168</v>
      </c>
      <c r="B1035" s="116">
        <v>3060</v>
      </c>
      <c r="C1035" s="116">
        <v>3007.2</v>
      </c>
      <c r="D1035" s="116">
        <v>3001</v>
      </c>
      <c r="E1035" s="116">
        <v>3017.8</v>
      </c>
      <c r="F1035" s="116">
        <v>3007.2</v>
      </c>
      <c r="G1035">
        <v>4147</v>
      </c>
      <c r="H1035" s="116"/>
      <c r="I1035" s="116"/>
      <c r="L1035" s="170">
        <v>45168</v>
      </c>
      <c r="M1035" s="116">
        <v>3005.75</v>
      </c>
      <c r="N1035" s="116">
        <v>3062.3</v>
      </c>
      <c r="O1035" s="116">
        <v>3000.05</v>
      </c>
      <c r="P1035" s="116">
        <v>3027.95</v>
      </c>
      <c r="Q1035" s="116">
        <v>3005.75</v>
      </c>
      <c r="R1035">
        <v>150255</v>
      </c>
    </row>
    <row r="1036" spans="1:18" x14ac:dyDescent="0.25">
      <c r="A1036" s="170">
        <v>45169</v>
      </c>
      <c r="B1036" s="116">
        <v>3067.65</v>
      </c>
      <c r="C1036" s="116">
        <v>3058.6</v>
      </c>
      <c r="D1036" s="116">
        <v>2998.7</v>
      </c>
      <c r="E1036" s="116">
        <v>3010</v>
      </c>
      <c r="F1036" s="116">
        <v>3058.6</v>
      </c>
      <c r="G1036">
        <v>14072</v>
      </c>
      <c r="H1036" s="116"/>
      <c r="I1036" s="116"/>
      <c r="L1036" s="170">
        <v>45169</v>
      </c>
      <c r="M1036" s="116">
        <v>3061.05</v>
      </c>
      <c r="N1036" s="116">
        <v>3070</v>
      </c>
      <c r="O1036" s="116">
        <v>2997.6</v>
      </c>
      <c r="P1036" s="116">
        <v>3014.95</v>
      </c>
      <c r="Q1036" s="116">
        <v>3061.05</v>
      </c>
      <c r="R1036">
        <v>173562</v>
      </c>
    </row>
    <row r="1037" spans="1:18" x14ac:dyDescent="0.25">
      <c r="A1037" s="170">
        <v>45170</v>
      </c>
      <c r="B1037" s="116">
        <v>3117.3</v>
      </c>
      <c r="C1037" s="116">
        <v>3109.25</v>
      </c>
      <c r="D1037" s="116">
        <v>3058.65</v>
      </c>
      <c r="E1037" s="116">
        <v>3058.65</v>
      </c>
      <c r="F1037" s="116">
        <v>3109.25</v>
      </c>
      <c r="G1037">
        <v>4926</v>
      </c>
      <c r="H1037" s="116"/>
      <c r="I1037" s="116"/>
      <c r="L1037" s="170">
        <v>45170</v>
      </c>
      <c r="M1037" s="116">
        <v>3111.85</v>
      </c>
      <c r="N1037" s="116">
        <v>3126</v>
      </c>
      <c r="O1037" s="116">
        <v>3062.95</v>
      </c>
      <c r="P1037" s="116">
        <v>3063</v>
      </c>
      <c r="Q1037" s="116">
        <v>3111.85</v>
      </c>
      <c r="R1037">
        <v>133454</v>
      </c>
    </row>
    <row r="1038" spans="1:18" x14ac:dyDescent="0.25">
      <c r="A1038" s="170">
        <v>45173</v>
      </c>
      <c r="B1038" s="116">
        <v>3154.45</v>
      </c>
      <c r="C1038" s="116">
        <v>3146.5</v>
      </c>
      <c r="D1038" s="116">
        <v>3101.65</v>
      </c>
      <c r="E1038" s="116">
        <v>3118.05</v>
      </c>
      <c r="F1038" s="116">
        <v>3146.5</v>
      </c>
      <c r="G1038">
        <v>3353</v>
      </c>
      <c r="H1038" s="116"/>
      <c r="I1038" s="116"/>
      <c r="L1038" s="170">
        <v>45173</v>
      </c>
      <c r="M1038" s="116">
        <v>3145.65</v>
      </c>
      <c r="N1038" s="116">
        <v>3155</v>
      </c>
      <c r="O1038" s="116">
        <v>3100.25</v>
      </c>
      <c r="P1038" s="116">
        <v>3123.3</v>
      </c>
      <c r="Q1038" s="116">
        <v>3145.65</v>
      </c>
      <c r="R1038">
        <v>143309</v>
      </c>
    </row>
    <row r="1039" spans="1:18" x14ac:dyDescent="0.25">
      <c r="A1039" s="170">
        <v>45174</v>
      </c>
      <c r="B1039" s="116">
        <v>3264.95</v>
      </c>
      <c r="C1039" s="116">
        <v>3216.8</v>
      </c>
      <c r="D1039" s="116">
        <v>3140.05</v>
      </c>
      <c r="E1039" s="116">
        <v>3140.05</v>
      </c>
      <c r="F1039" s="116">
        <v>3216.8</v>
      </c>
      <c r="G1039">
        <v>24269</v>
      </c>
      <c r="H1039" s="116"/>
      <c r="I1039" s="116"/>
      <c r="L1039" s="170">
        <v>45174</v>
      </c>
      <c r="M1039" s="116">
        <v>3215.85</v>
      </c>
      <c r="N1039" s="116">
        <v>3265</v>
      </c>
      <c r="O1039" s="116">
        <v>3150</v>
      </c>
      <c r="P1039" s="116">
        <v>3150</v>
      </c>
      <c r="Q1039" s="116">
        <v>3215.85</v>
      </c>
      <c r="R1039">
        <v>369970</v>
      </c>
    </row>
    <row r="1040" spans="1:18" x14ac:dyDescent="0.25">
      <c r="A1040" s="170">
        <v>45175</v>
      </c>
      <c r="B1040" s="116">
        <v>3281</v>
      </c>
      <c r="C1040" s="116">
        <v>3265.65</v>
      </c>
      <c r="D1040" s="116">
        <v>3192.5</v>
      </c>
      <c r="E1040" s="116">
        <v>3220</v>
      </c>
      <c r="F1040" s="116">
        <v>3265.65</v>
      </c>
      <c r="G1040">
        <v>15512</v>
      </c>
      <c r="H1040" s="116"/>
      <c r="I1040" s="116"/>
      <c r="L1040" s="170">
        <v>45175</v>
      </c>
      <c r="M1040" s="116">
        <v>3267.95</v>
      </c>
      <c r="N1040" s="116">
        <v>3281</v>
      </c>
      <c r="O1040" s="116">
        <v>3185</v>
      </c>
      <c r="P1040" s="116">
        <v>3220.1</v>
      </c>
      <c r="Q1040" s="116">
        <v>3267.95</v>
      </c>
      <c r="R1040">
        <v>191780</v>
      </c>
    </row>
    <row r="1041" spans="1:18" x14ac:dyDescent="0.25">
      <c r="A1041" s="170">
        <v>45176</v>
      </c>
      <c r="B1041" s="116">
        <v>3293.45</v>
      </c>
      <c r="C1041" s="116">
        <v>3202.5</v>
      </c>
      <c r="D1041" s="116">
        <v>3194.35</v>
      </c>
      <c r="E1041" s="116">
        <v>3235.05</v>
      </c>
      <c r="F1041" s="116">
        <v>3202.5</v>
      </c>
      <c r="G1041">
        <v>9323</v>
      </c>
      <c r="H1041" s="116"/>
      <c r="I1041" s="116"/>
      <c r="L1041" s="170">
        <v>45176</v>
      </c>
      <c r="M1041" s="116">
        <v>3202.55</v>
      </c>
      <c r="N1041" s="116">
        <v>3292</v>
      </c>
      <c r="O1041" s="116">
        <v>3195</v>
      </c>
      <c r="P1041" s="116">
        <v>3260</v>
      </c>
      <c r="Q1041" s="116">
        <v>3202.55</v>
      </c>
      <c r="R1041">
        <v>153322</v>
      </c>
    </row>
    <row r="1042" spans="1:18" x14ac:dyDescent="0.25">
      <c r="A1042" s="170">
        <v>45177</v>
      </c>
      <c r="B1042" s="116">
        <v>3264.75</v>
      </c>
      <c r="C1042" s="116">
        <v>3227.2</v>
      </c>
      <c r="D1042" s="116">
        <v>3211.1</v>
      </c>
      <c r="E1042" s="116">
        <v>3211.1</v>
      </c>
      <c r="F1042" s="116">
        <v>3227.2</v>
      </c>
      <c r="G1042">
        <v>3745</v>
      </c>
      <c r="H1042" s="116"/>
      <c r="I1042" s="116"/>
      <c r="L1042" s="170">
        <v>45177</v>
      </c>
      <c r="M1042" s="116">
        <v>3219</v>
      </c>
      <c r="N1042" s="116">
        <v>3264.95</v>
      </c>
      <c r="O1042" s="116">
        <v>3210</v>
      </c>
      <c r="P1042" s="116">
        <v>3210</v>
      </c>
      <c r="Q1042" s="116">
        <v>3219</v>
      </c>
      <c r="R1042">
        <v>112078</v>
      </c>
    </row>
    <row r="1043" spans="1:18" x14ac:dyDescent="0.25">
      <c r="A1043" s="170">
        <v>45180</v>
      </c>
      <c r="B1043" s="116">
        <v>3245.6</v>
      </c>
      <c r="C1043" s="116">
        <v>3190.45</v>
      </c>
      <c r="D1043" s="116">
        <v>3185</v>
      </c>
      <c r="E1043" s="116">
        <v>3215.05</v>
      </c>
      <c r="F1043" s="116">
        <v>3190.45</v>
      </c>
      <c r="G1043">
        <v>7302</v>
      </c>
      <c r="H1043" s="116"/>
      <c r="I1043" s="116"/>
      <c r="L1043" s="170">
        <v>45180</v>
      </c>
      <c r="M1043" s="116">
        <v>3191.4</v>
      </c>
      <c r="N1043" s="116">
        <v>3247.5</v>
      </c>
      <c r="O1043" s="116">
        <v>3183.7</v>
      </c>
      <c r="P1043" s="116">
        <v>3219</v>
      </c>
      <c r="Q1043" s="116">
        <v>3191.4</v>
      </c>
      <c r="R1043">
        <v>84066</v>
      </c>
    </row>
    <row r="1044" spans="1:18" x14ac:dyDescent="0.25">
      <c r="A1044" s="170">
        <v>45181</v>
      </c>
      <c r="B1044" s="116">
        <v>3216.05</v>
      </c>
      <c r="C1044" s="116">
        <v>3132.05</v>
      </c>
      <c r="D1044" s="116">
        <v>3082.75</v>
      </c>
      <c r="E1044" s="116">
        <v>3198</v>
      </c>
      <c r="F1044" s="116">
        <v>3132.05</v>
      </c>
      <c r="G1044">
        <v>6268</v>
      </c>
      <c r="H1044" s="116"/>
      <c r="I1044" s="116"/>
      <c r="L1044" s="170">
        <v>45181</v>
      </c>
      <c r="M1044" s="116">
        <v>3131.9</v>
      </c>
      <c r="N1044" s="116">
        <v>3214.95</v>
      </c>
      <c r="O1044" s="116">
        <v>3080.8</v>
      </c>
      <c r="P1044" s="116">
        <v>3210</v>
      </c>
      <c r="Q1044" s="116">
        <v>3131.9</v>
      </c>
      <c r="R1044">
        <v>288904</v>
      </c>
    </row>
    <row r="1045" spans="1:18" x14ac:dyDescent="0.25">
      <c r="A1045" s="170">
        <v>45182</v>
      </c>
      <c r="B1045" s="116">
        <v>3157.35</v>
      </c>
      <c r="C1045" s="116">
        <v>3089.45</v>
      </c>
      <c r="D1045" s="116">
        <v>3055</v>
      </c>
      <c r="E1045" s="116">
        <v>3107.4</v>
      </c>
      <c r="F1045" s="116">
        <v>3089.45</v>
      </c>
      <c r="G1045">
        <v>9588</v>
      </c>
      <c r="H1045" s="116"/>
      <c r="I1045" s="116"/>
      <c r="L1045" s="170">
        <v>45182</v>
      </c>
      <c r="M1045" s="116">
        <v>3088.45</v>
      </c>
      <c r="N1045" s="116">
        <v>3157.4</v>
      </c>
      <c r="O1045" s="116">
        <v>3055</v>
      </c>
      <c r="P1045" s="116">
        <v>3110</v>
      </c>
      <c r="Q1045" s="116">
        <v>3088.45</v>
      </c>
      <c r="R1045">
        <v>127957</v>
      </c>
    </row>
    <row r="1046" spans="1:18" x14ac:dyDescent="0.25">
      <c r="A1046" s="170">
        <v>45183</v>
      </c>
      <c r="B1046" s="116">
        <v>3118.2</v>
      </c>
      <c r="C1046" s="116">
        <v>3101.15</v>
      </c>
      <c r="D1046" s="116">
        <v>3072</v>
      </c>
      <c r="E1046" s="116">
        <v>3080.05</v>
      </c>
      <c r="F1046" s="116">
        <v>3101.15</v>
      </c>
      <c r="G1046">
        <v>12493</v>
      </c>
      <c r="H1046" s="116"/>
      <c r="I1046" s="116"/>
      <c r="L1046" s="170">
        <v>45183</v>
      </c>
      <c r="M1046" s="116">
        <v>3102.15</v>
      </c>
      <c r="N1046" s="116">
        <v>3121.35</v>
      </c>
      <c r="O1046" s="116">
        <v>3072</v>
      </c>
      <c r="P1046" s="116">
        <v>3090</v>
      </c>
      <c r="Q1046" s="116">
        <v>3102.15</v>
      </c>
      <c r="R1046">
        <v>192971</v>
      </c>
    </row>
    <row r="1047" spans="1:18" x14ac:dyDescent="0.25">
      <c r="A1047" s="170">
        <v>45184</v>
      </c>
      <c r="B1047" s="116">
        <v>3187.6</v>
      </c>
      <c r="C1047" s="116">
        <v>3086.35</v>
      </c>
      <c r="D1047" s="116">
        <v>3041.6</v>
      </c>
      <c r="E1047" s="116">
        <v>3108.3</v>
      </c>
      <c r="F1047" s="116">
        <v>3086.35</v>
      </c>
      <c r="G1047">
        <v>6060</v>
      </c>
      <c r="H1047" s="116"/>
      <c r="I1047" s="116"/>
      <c r="L1047" s="170">
        <v>45184</v>
      </c>
      <c r="M1047" s="116">
        <v>3086.45</v>
      </c>
      <c r="N1047" s="116">
        <v>3188.95</v>
      </c>
      <c r="O1047" s="116">
        <v>3040</v>
      </c>
      <c r="P1047" s="116">
        <v>3120</v>
      </c>
      <c r="Q1047" s="116">
        <v>3086.45</v>
      </c>
      <c r="R1047">
        <v>563107</v>
      </c>
    </row>
    <row r="1048" spans="1:18" x14ac:dyDescent="0.25">
      <c r="A1048" s="170">
        <v>45187</v>
      </c>
      <c r="B1048" s="116">
        <v>3079.4</v>
      </c>
      <c r="C1048" s="116">
        <v>3025.8</v>
      </c>
      <c r="D1048" s="116">
        <v>3006.25</v>
      </c>
      <c r="E1048" s="116">
        <v>3050.05</v>
      </c>
      <c r="F1048" s="116">
        <v>3025.8</v>
      </c>
      <c r="G1048">
        <v>5817</v>
      </c>
      <c r="H1048" s="116"/>
      <c r="I1048" s="116"/>
      <c r="L1048" s="170">
        <v>45187</v>
      </c>
      <c r="M1048" s="116">
        <v>3026.4</v>
      </c>
      <c r="N1048" s="116">
        <v>3079.8</v>
      </c>
      <c r="O1048" s="116">
        <v>3005.55</v>
      </c>
      <c r="P1048" s="116">
        <v>3079.8</v>
      </c>
      <c r="Q1048" s="116">
        <v>3026.4</v>
      </c>
      <c r="R1048">
        <v>200719</v>
      </c>
    </row>
    <row r="1049" spans="1:18" x14ac:dyDescent="0.25">
      <c r="A1049" s="170">
        <v>45189</v>
      </c>
      <c r="B1049" s="116">
        <v>3050</v>
      </c>
      <c r="C1049" s="116">
        <v>3019.2</v>
      </c>
      <c r="D1049" s="116">
        <v>2995</v>
      </c>
      <c r="E1049" s="116">
        <v>3026.15</v>
      </c>
      <c r="F1049" s="116">
        <v>3019.2</v>
      </c>
      <c r="G1049">
        <v>4661</v>
      </c>
      <c r="H1049" s="116"/>
      <c r="I1049" s="116"/>
      <c r="L1049" s="170">
        <v>45189</v>
      </c>
      <c r="M1049" s="116">
        <v>3019.9</v>
      </c>
      <c r="N1049" s="116">
        <v>3052.95</v>
      </c>
      <c r="O1049" s="116">
        <v>2992.45</v>
      </c>
      <c r="P1049" s="116">
        <v>3038.75</v>
      </c>
      <c r="Q1049" s="116">
        <v>3019.9</v>
      </c>
      <c r="R1049">
        <v>178185</v>
      </c>
    </row>
    <row r="1050" spans="1:18" x14ac:dyDescent="0.25">
      <c r="A1050" s="170">
        <v>45190</v>
      </c>
      <c r="B1050" s="116">
        <v>3027.6</v>
      </c>
      <c r="C1050" s="116">
        <v>2988.6</v>
      </c>
      <c r="D1050" s="116">
        <v>2971.85</v>
      </c>
      <c r="E1050" s="116">
        <v>3019.95</v>
      </c>
      <c r="F1050" s="116">
        <v>2988.6</v>
      </c>
      <c r="G1050">
        <v>1767</v>
      </c>
      <c r="H1050" s="116"/>
      <c r="I1050" s="116"/>
      <c r="L1050" s="170">
        <v>45190</v>
      </c>
      <c r="M1050" s="116">
        <v>2987.95</v>
      </c>
      <c r="N1050" s="116">
        <v>3029</v>
      </c>
      <c r="O1050" s="116">
        <v>2971.9</v>
      </c>
      <c r="P1050" s="116">
        <v>3011</v>
      </c>
      <c r="Q1050" s="116">
        <v>2987.95</v>
      </c>
      <c r="R1050">
        <v>164911</v>
      </c>
    </row>
    <row r="1051" spans="1:18" x14ac:dyDescent="0.25">
      <c r="A1051" s="170">
        <v>45191</v>
      </c>
      <c r="B1051" s="116">
        <v>3007</v>
      </c>
      <c r="C1051" s="116">
        <v>2989.4</v>
      </c>
      <c r="D1051" s="116">
        <v>2970</v>
      </c>
      <c r="E1051" s="116">
        <v>2986.2</v>
      </c>
      <c r="F1051" s="116">
        <v>2989.4</v>
      </c>
      <c r="G1051">
        <v>5757</v>
      </c>
      <c r="H1051" s="116"/>
      <c r="I1051" s="116"/>
      <c r="L1051" s="170">
        <v>45191</v>
      </c>
      <c r="M1051" s="116">
        <v>2991.2</v>
      </c>
      <c r="N1051" s="116">
        <v>3007.05</v>
      </c>
      <c r="O1051" s="116">
        <v>2970</v>
      </c>
      <c r="P1051" s="116">
        <v>2990.95</v>
      </c>
      <c r="Q1051" s="116">
        <v>2991.2</v>
      </c>
      <c r="R1051">
        <v>210901</v>
      </c>
    </row>
    <row r="1052" spans="1:18" x14ac:dyDescent="0.25">
      <c r="A1052" s="170">
        <v>45194</v>
      </c>
      <c r="B1052" s="116">
        <v>2990.55</v>
      </c>
      <c r="C1052" s="116">
        <v>2948.8</v>
      </c>
      <c r="D1052" s="116">
        <v>2938</v>
      </c>
      <c r="E1052" s="116">
        <v>2961.1</v>
      </c>
      <c r="F1052" s="116">
        <v>2948.8</v>
      </c>
      <c r="G1052">
        <v>55069</v>
      </c>
      <c r="H1052" s="116"/>
      <c r="I1052" s="116"/>
      <c r="L1052" s="170">
        <v>45194</v>
      </c>
      <c r="M1052" s="116">
        <v>2948.2</v>
      </c>
      <c r="N1052" s="116">
        <v>2994.05</v>
      </c>
      <c r="O1052" s="116">
        <v>2935.7</v>
      </c>
      <c r="P1052" s="116">
        <v>2986.25</v>
      </c>
      <c r="Q1052" s="116">
        <v>2948.2</v>
      </c>
      <c r="R1052">
        <v>98949</v>
      </c>
    </row>
    <row r="1053" spans="1:18" x14ac:dyDescent="0.25">
      <c r="A1053" s="170">
        <v>45195</v>
      </c>
      <c r="B1053" s="116">
        <v>2950.95</v>
      </c>
      <c r="C1053" s="116">
        <v>2917.55</v>
      </c>
      <c r="D1053" s="116">
        <v>2912.55</v>
      </c>
      <c r="E1053" s="116">
        <v>2948.8</v>
      </c>
      <c r="F1053" s="116">
        <v>2917.55</v>
      </c>
      <c r="G1053">
        <v>6765</v>
      </c>
      <c r="H1053" s="116"/>
      <c r="I1053" s="116"/>
      <c r="L1053" s="170">
        <v>45195</v>
      </c>
      <c r="M1053" s="116">
        <v>2916.15</v>
      </c>
      <c r="N1053" s="116">
        <v>2953.35</v>
      </c>
      <c r="O1053" s="116">
        <v>2910</v>
      </c>
      <c r="P1053" s="116">
        <v>2948.2</v>
      </c>
      <c r="Q1053" s="116">
        <v>2916.15</v>
      </c>
      <c r="R1053">
        <v>101888</v>
      </c>
    </row>
    <row r="1054" spans="1:18" x14ac:dyDescent="0.25">
      <c r="A1054" s="170">
        <v>45196</v>
      </c>
      <c r="B1054" s="116">
        <v>2935</v>
      </c>
      <c r="C1054" s="116">
        <v>2913.3</v>
      </c>
      <c r="D1054" s="116">
        <v>2875</v>
      </c>
      <c r="E1054" s="116">
        <v>2931</v>
      </c>
      <c r="F1054" s="116">
        <v>2913.3</v>
      </c>
      <c r="G1054">
        <v>6497</v>
      </c>
      <c r="H1054" s="116"/>
      <c r="I1054" s="116"/>
      <c r="L1054" s="170">
        <v>45196</v>
      </c>
      <c r="M1054" s="116">
        <v>2911.05</v>
      </c>
      <c r="N1054" s="116">
        <v>2940</v>
      </c>
      <c r="O1054" s="116">
        <v>2872.5</v>
      </c>
      <c r="P1054" s="116">
        <v>2930</v>
      </c>
      <c r="Q1054" s="116">
        <v>2911.05</v>
      </c>
      <c r="R1054">
        <v>150470</v>
      </c>
    </row>
    <row r="1055" spans="1:18" x14ac:dyDescent="0.25">
      <c r="A1055" s="170">
        <v>45197</v>
      </c>
      <c r="B1055" s="116">
        <v>2958.8</v>
      </c>
      <c r="C1055" s="116">
        <v>2865.45</v>
      </c>
      <c r="D1055" s="116">
        <v>2851</v>
      </c>
      <c r="E1055" s="116">
        <v>2940</v>
      </c>
      <c r="F1055" s="116">
        <v>2865.45</v>
      </c>
      <c r="G1055">
        <v>7898</v>
      </c>
      <c r="H1055" s="116"/>
      <c r="I1055" s="116"/>
      <c r="L1055" s="170">
        <v>45197</v>
      </c>
      <c r="M1055" s="116">
        <v>2867.75</v>
      </c>
      <c r="N1055" s="116">
        <v>2957.95</v>
      </c>
      <c r="O1055" s="116">
        <v>2850</v>
      </c>
      <c r="P1055" s="116">
        <v>2928</v>
      </c>
      <c r="Q1055" s="116">
        <v>2867.75</v>
      </c>
      <c r="R1055">
        <v>172985</v>
      </c>
    </row>
    <row r="1056" spans="1:18" x14ac:dyDescent="0.25">
      <c r="A1056" s="170">
        <v>45198</v>
      </c>
      <c r="B1056" s="116">
        <v>2887.1</v>
      </c>
      <c r="C1056" s="116">
        <v>2870.4</v>
      </c>
      <c r="D1056" s="116">
        <v>2850.1</v>
      </c>
      <c r="E1056" s="116">
        <v>2877</v>
      </c>
      <c r="F1056" s="116">
        <v>2870.4</v>
      </c>
      <c r="G1056">
        <v>2786</v>
      </c>
      <c r="H1056" s="116"/>
      <c r="I1056" s="116"/>
      <c r="L1056" s="170">
        <v>45198</v>
      </c>
      <c r="M1056" s="116">
        <v>2876.3</v>
      </c>
      <c r="N1056" s="116">
        <v>2889.55</v>
      </c>
      <c r="O1056" s="116">
        <v>2850.1</v>
      </c>
      <c r="P1056" s="116">
        <v>2880</v>
      </c>
      <c r="Q1056" s="116">
        <v>2876.3</v>
      </c>
      <c r="R1056">
        <v>127064</v>
      </c>
    </row>
    <row r="1057" spans="1:18" x14ac:dyDescent="0.25">
      <c r="A1057" s="170">
        <v>45202</v>
      </c>
      <c r="B1057" s="116">
        <v>2891</v>
      </c>
      <c r="C1057" s="116">
        <v>2881.8</v>
      </c>
      <c r="D1057" s="116">
        <v>2831</v>
      </c>
      <c r="E1057" s="116">
        <v>2876.85</v>
      </c>
      <c r="F1057" s="116">
        <v>2881.8</v>
      </c>
      <c r="G1057">
        <v>3205</v>
      </c>
      <c r="H1057" s="116"/>
      <c r="I1057" s="116"/>
      <c r="L1057" s="170">
        <v>45202</v>
      </c>
      <c r="M1057" s="116">
        <v>2882.4</v>
      </c>
      <c r="N1057" s="116">
        <v>2895</v>
      </c>
      <c r="O1057" s="116">
        <v>2827.05</v>
      </c>
      <c r="P1057" s="116">
        <v>2876</v>
      </c>
      <c r="Q1057" s="116">
        <v>2882.4</v>
      </c>
      <c r="R1057">
        <v>90983</v>
      </c>
    </row>
    <row r="1058" spans="1:18" x14ac:dyDescent="0.25">
      <c r="A1058" s="170">
        <v>45203</v>
      </c>
      <c r="B1058" s="116">
        <v>2922.05</v>
      </c>
      <c r="C1058" s="116">
        <v>2885</v>
      </c>
      <c r="D1058" s="116">
        <v>2870.75</v>
      </c>
      <c r="E1058" s="116">
        <v>2899.95</v>
      </c>
      <c r="F1058" s="116">
        <v>2885</v>
      </c>
      <c r="G1058">
        <v>3881</v>
      </c>
      <c r="H1058" s="116"/>
      <c r="I1058" s="116"/>
      <c r="L1058" s="170">
        <v>45203</v>
      </c>
      <c r="M1058" s="116">
        <v>2884.7</v>
      </c>
      <c r="N1058" s="116">
        <v>2921.55</v>
      </c>
      <c r="O1058" s="116">
        <v>2866.3</v>
      </c>
      <c r="P1058" s="116">
        <v>2888</v>
      </c>
      <c r="Q1058" s="116">
        <v>2884.7</v>
      </c>
      <c r="R1058">
        <v>242164</v>
      </c>
    </row>
    <row r="1059" spans="1:18" x14ac:dyDescent="0.25">
      <c r="A1059" s="170">
        <v>45204</v>
      </c>
      <c r="B1059" s="116">
        <v>2922</v>
      </c>
      <c r="C1059" s="116">
        <v>2862.05</v>
      </c>
      <c r="D1059" s="116">
        <v>2857.25</v>
      </c>
      <c r="E1059" s="116">
        <v>2900</v>
      </c>
      <c r="F1059" s="116">
        <v>2862.05</v>
      </c>
      <c r="G1059">
        <v>5305</v>
      </c>
      <c r="H1059" s="116"/>
      <c r="I1059" s="116"/>
      <c r="L1059" s="170">
        <v>45204</v>
      </c>
      <c r="M1059" s="116">
        <v>2861.7</v>
      </c>
      <c r="N1059" s="116">
        <v>2924.35</v>
      </c>
      <c r="O1059" s="116">
        <v>2851</v>
      </c>
      <c r="P1059" s="116">
        <v>2905</v>
      </c>
      <c r="Q1059" s="116">
        <v>2861.7</v>
      </c>
      <c r="R1059">
        <v>105851</v>
      </c>
    </row>
    <row r="1060" spans="1:18" x14ac:dyDescent="0.25">
      <c r="A1060" s="170">
        <v>45205</v>
      </c>
      <c r="B1060" s="116">
        <v>2904</v>
      </c>
      <c r="C1060" s="116">
        <v>2869.2</v>
      </c>
      <c r="D1060" s="116">
        <v>2860</v>
      </c>
      <c r="E1060" s="116">
        <v>2867.95</v>
      </c>
      <c r="F1060" s="116">
        <v>2869.2</v>
      </c>
      <c r="G1060">
        <v>6233</v>
      </c>
      <c r="H1060" s="116"/>
      <c r="I1060" s="116"/>
      <c r="L1060" s="170">
        <v>45205</v>
      </c>
      <c r="M1060" s="116">
        <v>2867.9</v>
      </c>
      <c r="N1060" s="116">
        <v>2904.5</v>
      </c>
      <c r="O1060" s="116">
        <v>2863.4</v>
      </c>
      <c r="P1060" s="116">
        <v>2880.05</v>
      </c>
      <c r="Q1060" s="116">
        <v>2867.9</v>
      </c>
      <c r="R1060">
        <v>69971</v>
      </c>
    </row>
    <row r="1061" spans="1:18" x14ac:dyDescent="0.25">
      <c r="A1061" s="170">
        <v>45208</v>
      </c>
      <c r="B1061" s="116">
        <v>2870</v>
      </c>
      <c r="C1061" s="116">
        <v>2805.15</v>
      </c>
      <c r="D1061" s="116">
        <v>2758.95</v>
      </c>
      <c r="E1061" s="116">
        <v>2870</v>
      </c>
      <c r="F1061" s="116">
        <v>2805.15</v>
      </c>
      <c r="G1061">
        <v>9651</v>
      </c>
      <c r="H1061" s="116"/>
      <c r="I1061" s="116"/>
      <c r="L1061" s="170">
        <v>45208</v>
      </c>
      <c r="M1061" s="116">
        <v>2804.6</v>
      </c>
      <c r="N1061" s="116">
        <v>2867.9</v>
      </c>
      <c r="O1061" s="116">
        <v>2790</v>
      </c>
      <c r="P1061" s="116">
        <v>2867.9</v>
      </c>
      <c r="Q1061" s="116">
        <v>2804.6</v>
      </c>
      <c r="R1061">
        <v>132425</v>
      </c>
    </row>
    <row r="1062" spans="1:18" x14ac:dyDescent="0.25">
      <c r="A1062" s="170">
        <v>45209</v>
      </c>
      <c r="B1062" s="116">
        <v>2832.6</v>
      </c>
      <c r="C1062" s="116">
        <v>2818.15</v>
      </c>
      <c r="D1062" s="116">
        <v>2780.6</v>
      </c>
      <c r="E1062" s="116">
        <v>2811.05</v>
      </c>
      <c r="F1062" s="116">
        <v>2818.15</v>
      </c>
      <c r="G1062">
        <v>6796</v>
      </c>
      <c r="H1062" s="116"/>
      <c r="I1062" s="116"/>
      <c r="L1062" s="170">
        <v>45209</v>
      </c>
      <c r="M1062" s="116">
        <v>2820.8</v>
      </c>
      <c r="N1062" s="116">
        <v>2834.55</v>
      </c>
      <c r="O1062" s="116">
        <v>2785.05</v>
      </c>
      <c r="P1062" s="116">
        <v>2819.95</v>
      </c>
      <c r="Q1062" s="116">
        <v>2820.8</v>
      </c>
      <c r="R1062">
        <v>107762</v>
      </c>
    </row>
    <row r="1063" spans="1:18" x14ac:dyDescent="0.25">
      <c r="A1063" s="170">
        <v>45210</v>
      </c>
      <c r="B1063" s="116">
        <v>2898.5</v>
      </c>
      <c r="C1063" s="116">
        <v>2834.35</v>
      </c>
      <c r="D1063" s="116">
        <v>2820</v>
      </c>
      <c r="E1063" s="116">
        <v>2825.05</v>
      </c>
      <c r="F1063" s="116">
        <v>2834.35</v>
      </c>
      <c r="G1063">
        <v>6050</v>
      </c>
      <c r="H1063" s="116"/>
      <c r="I1063" s="116"/>
      <c r="L1063" s="170">
        <v>45210</v>
      </c>
      <c r="M1063" s="116">
        <v>2831.05</v>
      </c>
      <c r="N1063" s="116">
        <v>2899.75</v>
      </c>
      <c r="O1063" s="116">
        <v>2795.3</v>
      </c>
      <c r="P1063" s="116">
        <v>2830</v>
      </c>
      <c r="Q1063" s="116">
        <v>2831.05</v>
      </c>
      <c r="R1063">
        <v>225366</v>
      </c>
    </row>
    <row r="1064" spans="1:18" x14ac:dyDescent="0.25">
      <c r="A1064" s="170">
        <v>45211</v>
      </c>
      <c r="B1064" s="116">
        <v>2858</v>
      </c>
      <c r="C1064" s="116">
        <v>2835.05</v>
      </c>
      <c r="D1064" s="116">
        <v>2821.1</v>
      </c>
      <c r="E1064" s="116">
        <v>2821.1</v>
      </c>
      <c r="F1064" s="116">
        <v>2835.05</v>
      </c>
      <c r="G1064">
        <v>5028</v>
      </c>
      <c r="H1064" s="116"/>
      <c r="I1064" s="116"/>
      <c r="L1064" s="170">
        <v>45211</v>
      </c>
      <c r="M1064" s="116">
        <v>2836.1</v>
      </c>
      <c r="N1064" s="116">
        <v>2884</v>
      </c>
      <c r="O1064" s="116">
        <v>2825.15</v>
      </c>
      <c r="P1064" s="116">
        <v>2840</v>
      </c>
      <c r="Q1064" s="116">
        <v>2836.1</v>
      </c>
      <c r="R1064">
        <v>131566</v>
      </c>
    </row>
    <row r="1065" spans="1:18" x14ac:dyDescent="0.25">
      <c r="A1065" s="170">
        <v>45212</v>
      </c>
      <c r="B1065" s="116">
        <v>2846.15</v>
      </c>
      <c r="C1065" s="116">
        <v>2825.85</v>
      </c>
      <c r="D1065" s="116">
        <v>2799.55</v>
      </c>
      <c r="E1065" s="116">
        <v>2833</v>
      </c>
      <c r="F1065" s="116">
        <v>2825.85</v>
      </c>
      <c r="G1065">
        <v>2697</v>
      </c>
      <c r="H1065" s="116"/>
      <c r="I1065" s="116"/>
      <c r="L1065" s="170">
        <v>45212</v>
      </c>
      <c r="M1065" s="116">
        <v>2825.8</v>
      </c>
      <c r="N1065" s="116">
        <v>2847</v>
      </c>
      <c r="O1065" s="116">
        <v>2796.95</v>
      </c>
      <c r="P1065" s="116">
        <v>2825</v>
      </c>
      <c r="Q1065" s="116">
        <v>2825.8</v>
      </c>
      <c r="R1065">
        <v>126610</v>
      </c>
    </row>
    <row r="1066" spans="1:18" x14ac:dyDescent="0.25">
      <c r="A1066" s="170">
        <v>45215</v>
      </c>
      <c r="B1066" s="116">
        <v>2860.4</v>
      </c>
      <c r="C1066" s="116">
        <v>2819.9</v>
      </c>
      <c r="D1066" s="116">
        <v>2810.05</v>
      </c>
      <c r="E1066" s="116">
        <v>2831.3</v>
      </c>
      <c r="F1066" s="116">
        <v>2819.9</v>
      </c>
      <c r="G1066">
        <v>11292</v>
      </c>
      <c r="H1066" s="116"/>
      <c r="I1066" s="116"/>
      <c r="L1066" s="170">
        <v>45215</v>
      </c>
      <c r="M1066" s="116">
        <v>2821.05</v>
      </c>
      <c r="N1066" s="116">
        <v>2862</v>
      </c>
      <c r="O1066" s="116">
        <v>2812</v>
      </c>
      <c r="P1066" s="116">
        <v>2826.05</v>
      </c>
      <c r="Q1066" s="116">
        <v>2821.05</v>
      </c>
      <c r="R1066">
        <v>118192</v>
      </c>
    </row>
    <row r="1067" spans="1:18" x14ac:dyDescent="0.25">
      <c r="A1067" s="170">
        <v>45216</v>
      </c>
      <c r="B1067" s="116">
        <v>2845.85</v>
      </c>
      <c r="C1067" s="116">
        <v>2821.6</v>
      </c>
      <c r="D1067" s="116">
        <v>2815</v>
      </c>
      <c r="E1067" s="116">
        <v>2827.7</v>
      </c>
      <c r="F1067" s="116">
        <v>2821.6</v>
      </c>
      <c r="G1067">
        <v>1543</v>
      </c>
      <c r="H1067" s="116"/>
      <c r="I1067" s="116"/>
      <c r="L1067" s="170">
        <v>45216</v>
      </c>
      <c r="M1067" s="116">
        <v>2822</v>
      </c>
      <c r="N1067" s="116">
        <v>2849.3</v>
      </c>
      <c r="O1067" s="116">
        <v>2816.2</v>
      </c>
      <c r="P1067" s="116">
        <v>2849.3</v>
      </c>
      <c r="Q1067" s="116">
        <v>2822</v>
      </c>
      <c r="R1067">
        <v>81831</v>
      </c>
    </row>
    <row r="1068" spans="1:18" x14ac:dyDescent="0.25">
      <c r="A1068" s="170">
        <v>45217</v>
      </c>
      <c r="B1068" s="116">
        <v>2831.55</v>
      </c>
      <c r="C1068" s="116">
        <v>2792.85</v>
      </c>
      <c r="D1068" s="116">
        <v>2780</v>
      </c>
      <c r="E1068" s="116">
        <v>2827.05</v>
      </c>
      <c r="F1068" s="116">
        <v>2792.85</v>
      </c>
      <c r="G1068">
        <v>1916</v>
      </c>
      <c r="H1068" s="116"/>
      <c r="I1068" s="116"/>
      <c r="L1068" s="170">
        <v>45217</v>
      </c>
      <c r="M1068" s="116">
        <v>2795.25</v>
      </c>
      <c r="N1068" s="116">
        <v>2834.85</v>
      </c>
      <c r="O1068" s="116">
        <v>2778</v>
      </c>
      <c r="P1068" s="116">
        <v>2824</v>
      </c>
      <c r="Q1068" s="116">
        <v>2795.25</v>
      </c>
      <c r="R1068">
        <v>104408</v>
      </c>
    </row>
    <row r="1069" spans="1:18" x14ac:dyDescent="0.25">
      <c r="A1069" s="170">
        <v>45218</v>
      </c>
      <c r="B1069" s="116">
        <v>2780</v>
      </c>
      <c r="C1069" s="116">
        <v>2759.35</v>
      </c>
      <c r="D1069" s="116">
        <v>2751.7</v>
      </c>
      <c r="E1069" s="116">
        <v>2779.5</v>
      </c>
      <c r="F1069" s="116">
        <v>2759.35</v>
      </c>
      <c r="G1069">
        <v>1623</v>
      </c>
      <c r="H1069" s="116"/>
      <c r="I1069" s="116"/>
      <c r="L1069" s="170">
        <v>45218</v>
      </c>
      <c r="M1069" s="116">
        <v>2760.75</v>
      </c>
      <c r="N1069" s="116">
        <v>2782.1</v>
      </c>
      <c r="O1069" s="116">
        <v>2750</v>
      </c>
      <c r="P1069" s="116">
        <v>2773.05</v>
      </c>
      <c r="Q1069" s="116">
        <v>2760.75</v>
      </c>
      <c r="R1069">
        <v>54485</v>
      </c>
    </row>
    <row r="1070" spans="1:18" x14ac:dyDescent="0.25">
      <c r="A1070" s="170">
        <v>45219</v>
      </c>
      <c r="B1070" s="116">
        <v>2754</v>
      </c>
      <c r="C1070" s="116">
        <v>2722</v>
      </c>
      <c r="D1070" s="116">
        <v>2698.95</v>
      </c>
      <c r="E1070" s="116">
        <v>2744.7</v>
      </c>
      <c r="F1070" s="116">
        <v>2722</v>
      </c>
      <c r="G1070">
        <v>739261</v>
      </c>
      <c r="H1070" s="116"/>
      <c r="I1070" s="116"/>
      <c r="L1070" s="170">
        <v>45219</v>
      </c>
      <c r="M1070" s="116">
        <v>2722.5</v>
      </c>
      <c r="N1070" s="116">
        <v>2759.95</v>
      </c>
      <c r="O1070" s="116">
        <v>2702.2</v>
      </c>
      <c r="P1070" s="116">
        <v>2750</v>
      </c>
      <c r="Q1070" s="116">
        <v>2722.5</v>
      </c>
      <c r="R1070">
        <v>152987</v>
      </c>
    </row>
    <row r="1071" spans="1:18" x14ac:dyDescent="0.25">
      <c r="A1071" s="170">
        <v>45222</v>
      </c>
      <c r="B1071" s="116">
        <v>2762.9</v>
      </c>
      <c r="C1071" s="116">
        <v>2689.15</v>
      </c>
      <c r="D1071" s="116">
        <v>2677</v>
      </c>
      <c r="E1071" s="116">
        <v>2762.9</v>
      </c>
      <c r="F1071" s="116">
        <v>2689.15</v>
      </c>
      <c r="G1071">
        <v>1342</v>
      </c>
      <c r="H1071" s="116"/>
      <c r="I1071" s="116"/>
      <c r="L1071" s="170">
        <v>45222</v>
      </c>
      <c r="M1071" s="116">
        <v>2693.05</v>
      </c>
      <c r="N1071" s="116">
        <v>2751.15</v>
      </c>
      <c r="O1071" s="116">
        <v>2670</v>
      </c>
      <c r="P1071" s="116">
        <v>2722.5</v>
      </c>
      <c r="Q1071" s="116">
        <v>2693.05</v>
      </c>
      <c r="R1071">
        <v>109330</v>
      </c>
    </row>
    <row r="1072" spans="1:18" x14ac:dyDescent="0.25">
      <c r="A1072" s="170">
        <v>45224</v>
      </c>
      <c r="B1072" s="116">
        <v>2722.1</v>
      </c>
      <c r="C1072" s="116">
        <v>2691.9</v>
      </c>
      <c r="D1072" s="116">
        <v>2645</v>
      </c>
      <c r="E1072" s="116">
        <v>2666.7</v>
      </c>
      <c r="F1072" s="116">
        <v>2691.9</v>
      </c>
      <c r="G1072">
        <v>3129</v>
      </c>
      <c r="H1072" s="116"/>
      <c r="I1072" s="116"/>
      <c r="L1072" s="170">
        <v>45224</v>
      </c>
      <c r="M1072" s="116">
        <v>2692.2</v>
      </c>
      <c r="N1072" s="116">
        <v>2726</v>
      </c>
      <c r="O1072" s="116">
        <v>2641.05</v>
      </c>
      <c r="P1072" s="116">
        <v>2677</v>
      </c>
      <c r="Q1072" s="116">
        <v>2692.2</v>
      </c>
      <c r="R1072">
        <v>176590</v>
      </c>
    </row>
    <row r="1073" spans="1:18" x14ac:dyDescent="0.25">
      <c r="A1073" s="170">
        <v>45225</v>
      </c>
      <c r="B1073" s="116">
        <v>2715.75</v>
      </c>
      <c r="C1073" s="116">
        <v>2658.35</v>
      </c>
      <c r="D1073" s="116">
        <v>2615</v>
      </c>
      <c r="E1073" s="116">
        <v>2715.75</v>
      </c>
      <c r="F1073" s="116">
        <v>2658.35</v>
      </c>
      <c r="G1073">
        <v>2227</v>
      </c>
      <c r="H1073" s="116"/>
      <c r="I1073" s="116"/>
      <c r="L1073" s="170">
        <v>45225</v>
      </c>
      <c r="M1073" s="116">
        <v>2660.25</v>
      </c>
      <c r="N1073" s="116">
        <v>2692.3</v>
      </c>
      <c r="O1073" s="116">
        <v>2613.65</v>
      </c>
      <c r="P1073" s="116">
        <v>2692.25</v>
      </c>
      <c r="Q1073" s="116">
        <v>2660.25</v>
      </c>
      <c r="R1073">
        <v>143111</v>
      </c>
    </row>
    <row r="1074" spans="1:18" x14ac:dyDescent="0.25">
      <c r="A1074" s="170">
        <v>45226</v>
      </c>
      <c r="B1074" s="116">
        <v>2809.05</v>
      </c>
      <c r="C1074" s="116">
        <v>2766.2</v>
      </c>
      <c r="D1074" s="116">
        <v>2672.2</v>
      </c>
      <c r="E1074" s="116">
        <v>2689.25</v>
      </c>
      <c r="F1074" s="116">
        <v>2766.2</v>
      </c>
      <c r="G1074">
        <v>13133</v>
      </c>
      <c r="H1074" s="116"/>
      <c r="I1074" s="116"/>
      <c r="L1074" s="170">
        <v>45226</v>
      </c>
      <c r="M1074" s="116">
        <v>2771.5</v>
      </c>
      <c r="N1074" s="116">
        <v>2807.95</v>
      </c>
      <c r="O1074" s="116">
        <v>2671.5</v>
      </c>
      <c r="P1074" s="116">
        <v>2690</v>
      </c>
      <c r="Q1074" s="116">
        <v>2771.5</v>
      </c>
      <c r="R1074">
        <v>239787</v>
      </c>
    </row>
    <row r="1075" spans="1:18" x14ac:dyDescent="0.25">
      <c r="A1075" s="170">
        <v>45229</v>
      </c>
      <c r="B1075" s="116">
        <v>2750.2</v>
      </c>
      <c r="C1075" s="116">
        <v>2633.05</v>
      </c>
      <c r="D1075" s="116">
        <v>2581</v>
      </c>
      <c r="E1075" s="116">
        <v>2750.2</v>
      </c>
      <c r="F1075" s="116">
        <v>2633.05</v>
      </c>
      <c r="G1075">
        <v>9262</v>
      </c>
      <c r="H1075" s="116"/>
      <c r="I1075" s="116"/>
      <c r="L1075" s="170">
        <v>45229</v>
      </c>
      <c r="M1075" s="116">
        <v>2634.4</v>
      </c>
      <c r="N1075" s="116">
        <v>2715</v>
      </c>
      <c r="O1075" s="116">
        <v>2581.5</v>
      </c>
      <c r="P1075" s="116">
        <v>2715</v>
      </c>
      <c r="Q1075" s="116">
        <v>2634.4</v>
      </c>
      <c r="R1075">
        <v>455369</v>
      </c>
    </row>
    <row r="1076" spans="1:18" x14ac:dyDescent="0.25">
      <c r="A1076" s="170">
        <v>45230</v>
      </c>
      <c r="B1076" s="116">
        <v>2660</v>
      </c>
      <c r="C1076" s="116">
        <v>2647.2</v>
      </c>
      <c r="D1076" s="116">
        <v>2599</v>
      </c>
      <c r="E1076" s="116">
        <v>2649.95</v>
      </c>
      <c r="F1076" s="116">
        <v>2647.2</v>
      </c>
      <c r="G1076">
        <v>8988</v>
      </c>
      <c r="H1076" s="116"/>
      <c r="I1076" s="116"/>
      <c r="L1076" s="170">
        <v>45230</v>
      </c>
      <c r="M1076" s="116">
        <v>2649.6</v>
      </c>
      <c r="N1076" s="116">
        <v>2660</v>
      </c>
      <c r="O1076" s="116">
        <v>2596.5</v>
      </c>
      <c r="P1076" s="116">
        <v>2650</v>
      </c>
      <c r="Q1076" s="116">
        <v>2649.6</v>
      </c>
      <c r="R1076">
        <v>176277</v>
      </c>
    </row>
    <row r="1077" spans="1:18" x14ac:dyDescent="0.25">
      <c r="A1077" s="170">
        <v>45231</v>
      </c>
      <c r="B1077" s="116">
        <v>2646.05</v>
      </c>
      <c r="C1077" s="116">
        <v>2550.1999999999998</v>
      </c>
      <c r="D1077" s="116">
        <v>2542.1</v>
      </c>
      <c r="E1077" s="116">
        <v>2646.05</v>
      </c>
      <c r="F1077" s="116">
        <v>2550.1999999999998</v>
      </c>
      <c r="G1077">
        <v>4709</v>
      </c>
      <c r="H1077" s="116"/>
      <c r="I1077" s="116"/>
      <c r="L1077" s="170">
        <v>45231</v>
      </c>
      <c r="M1077" s="116">
        <v>2549.5500000000002</v>
      </c>
      <c r="N1077" s="116">
        <v>2645.65</v>
      </c>
      <c r="O1077" s="116">
        <v>2540</v>
      </c>
      <c r="P1077" s="116">
        <v>2645</v>
      </c>
      <c r="Q1077" s="116">
        <v>2549.5500000000002</v>
      </c>
      <c r="R1077">
        <v>216286</v>
      </c>
    </row>
    <row r="1078" spans="1:18" x14ac:dyDescent="0.25">
      <c r="A1078" s="170">
        <v>45232</v>
      </c>
      <c r="B1078" s="116">
        <v>2575.5</v>
      </c>
      <c r="C1078" s="116">
        <v>2565.1</v>
      </c>
      <c r="D1078" s="116">
        <v>2537</v>
      </c>
      <c r="E1078" s="116">
        <v>2567.6</v>
      </c>
      <c r="F1078" s="116">
        <v>2565.1</v>
      </c>
      <c r="G1078">
        <v>14175</v>
      </c>
      <c r="H1078" s="116"/>
      <c r="I1078" s="116"/>
      <c r="L1078" s="170">
        <v>45232</v>
      </c>
      <c r="M1078" s="116">
        <v>2564.6999999999998</v>
      </c>
      <c r="N1078" s="116">
        <v>2576.35</v>
      </c>
      <c r="O1078" s="116">
        <v>2538.9499999999998</v>
      </c>
      <c r="P1078" s="116">
        <v>2565</v>
      </c>
      <c r="Q1078" s="116">
        <v>2564.6999999999998</v>
      </c>
      <c r="R1078">
        <v>320302</v>
      </c>
    </row>
    <row r="1079" spans="1:18" x14ac:dyDescent="0.25">
      <c r="A1079" s="170">
        <v>45233</v>
      </c>
      <c r="B1079" s="116">
        <v>2605.25</v>
      </c>
      <c r="C1079" s="116">
        <v>2592.15</v>
      </c>
      <c r="D1079" s="116">
        <v>2533.25</v>
      </c>
      <c r="E1079" s="116">
        <v>2565.1999999999998</v>
      </c>
      <c r="F1079" s="116">
        <v>2592.15</v>
      </c>
      <c r="G1079">
        <v>16425</v>
      </c>
      <c r="H1079" s="116"/>
      <c r="I1079" s="116"/>
      <c r="L1079" s="170">
        <v>45233</v>
      </c>
      <c r="M1079" s="116">
        <v>2590.85</v>
      </c>
      <c r="N1079" s="116">
        <v>2607.15</v>
      </c>
      <c r="O1079" s="116">
        <v>2533.85</v>
      </c>
      <c r="P1079" s="116">
        <v>2565</v>
      </c>
      <c r="Q1079" s="116">
        <v>2590.85</v>
      </c>
      <c r="R1079">
        <v>320471</v>
      </c>
    </row>
    <row r="1080" spans="1:18" x14ac:dyDescent="0.25">
      <c r="A1080" s="170">
        <v>45236</v>
      </c>
      <c r="B1080" s="116">
        <v>2611.0500000000002</v>
      </c>
      <c r="C1080" s="116">
        <v>2583.6</v>
      </c>
      <c r="D1080" s="116">
        <v>2568</v>
      </c>
      <c r="E1080" s="116">
        <v>2611.0500000000002</v>
      </c>
      <c r="F1080" s="116">
        <v>2583.6</v>
      </c>
      <c r="G1080">
        <v>6785</v>
      </c>
      <c r="H1080" s="116"/>
      <c r="I1080" s="116"/>
      <c r="L1080" s="170">
        <v>45236</v>
      </c>
      <c r="M1080" s="116">
        <v>2584.25</v>
      </c>
      <c r="N1080" s="116">
        <v>2616</v>
      </c>
      <c r="O1080" s="116">
        <v>2568.3000000000002</v>
      </c>
      <c r="P1080" s="116">
        <v>2616</v>
      </c>
      <c r="Q1080" s="116">
        <v>2584.25</v>
      </c>
      <c r="R1080">
        <v>256566</v>
      </c>
    </row>
    <row r="1081" spans="1:18" x14ac:dyDescent="0.25">
      <c r="A1081" s="170">
        <v>45237</v>
      </c>
      <c r="B1081" s="116">
        <v>2611.9499999999998</v>
      </c>
      <c r="C1081" s="116">
        <v>2608.25</v>
      </c>
      <c r="D1081" s="116">
        <v>2554</v>
      </c>
      <c r="E1081" s="116">
        <v>2583.6</v>
      </c>
      <c r="F1081" s="116">
        <v>2608.25</v>
      </c>
      <c r="G1081">
        <v>3986</v>
      </c>
      <c r="H1081" s="116"/>
      <c r="I1081" s="116"/>
      <c r="L1081" s="170">
        <v>45237</v>
      </c>
      <c r="M1081" s="116">
        <v>2605.4499999999998</v>
      </c>
      <c r="N1081" s="116">
        <v>2612.4499999999998</v>
      </c>
      <c r="O1081" s="116">
        <v>2552.5500000000002</v>
      </c>
      <c r="P1081" s="116">
        <v>2584.25</v>
      </c>
      <c r="Q1081" s="116">
        <v>2605.4499999999998</v>
      </c>
      <c r="R1081">
        <v>244879</v>
      </c>
    </row>
    <row r="1082" spans="1:18" x14ac:dyDescent="0.25">
      <c r="A1082" s="170">
        <v>45238</v>
      </c>
      <c r="B1082" s="116">
        <v>2641.9</v>
      </c>
      <c r="C1082" s="116">
        <v>2636.35</v>
      </c>
      <c r="D1082" s="116">
        <v>2604.3000000000002</v>
      </c>
      <c r="E1082" s="116">
        <v>2606.9499999999998</v>
      </c>
      <c r="F1082" s="116">
        <v>2636.35</v>
      </c>
      <c r="G1082">
        <v>6122</v>
      </c>
      <c r="H1082" s="116"/>
      <c r="I1082" s="116"/>
      <c r="L1082" s="170">
        <v>45238</v>
      </c>
      <c r="M1082" s="116">
        <v>2638</v>
      </c>
      <c r="N1082" s="116">
        <v>2642.45</v>
      </c>
      <c r="O1082" s="116">
        <v>2603.25</v>
      </c>
      <c r="P1082" s="116">
        <v>2610</v>
      </c>
      <c r="Q1082" s="116">
        <v>2638</v>
      </c>
      <c r="R1082">
        <v>187010</v>
      </c>
    </row>
    <row r="1083" spans="1:18" x14ac:dyDescent="0.25">
      <c r="A1083" s="170">
        <v>45239</v>
      </c>
      <c r="B1083" s="116">
        <v>2679.95</v>
      </c>
      <c r="C1083" s="116">
        <v>2621.65</v>
      </c>
      <c r="D1083" s="116">
        <v>2590</v>
      </c>
      <c r="E1083" s="116">
        <v>2679.95</v>
      </c>
      <c r="F1083" s="116">
        <v>2621.65</v>
      </c>
      <c r="G1083">
        <v>5433</v>
      </c>
      <c r="H1083" s="116"/>
      <c r="I1083" s="116"/>
      <c r="L1083" s="170">
        <v>45239</v>
      </c>
      <c r="M1083" s="116">
        <v>2621.5</v>
      </c>
      <c r="N1083" s="116">
        <v>2689.5</v>
      </c>
      <c r="O1083" s="116">
        <v>2587.5</v>
      </c>
      <c r="P1083" s="116">
        <v>2689.5</v>
      </c>
      <c r="Q1083" s="116">
        <v>2621.5</v>
      </c>
      <c r="R1083">
        <v>240863</v>
      </c>
    </row>
    <row r="1084" spans="1:18" x14ac:dyDescent="0.25">
      <c r="A1084" s="170">
        <v>45240</v>
      </c>
      <c r="B1084" s="116">
        <v>2624.5</v>
      </c>
      <c r="C1084" s="116">
        <v>2602.5500000000002</v>
      </c>
      <c r="D1084" s="116">
        <v>2591.4499999999998</v>
      </c>
      <c r="E1084" s="116">
        <v>2624</v>
      </c>
      <c r="F1084" s="116">
        <v>2602.5500000000002</v>
      </c>
      <c r="G1084">
        <v>5679</v>
      </c>
      <c r="H1084" s="116"/>
      <c r="I1084" s="116"/>
      <c r="L1084" s="170">
        <v>45240</v>
      </c>
      <c r="M1084" s="116">
        <v>2601.75</v>
      </c>
      <c r="N1084" s="116">
        <v>2628.2</v>
      </c>
      <c r="O1084" s="116">
        <v>2590.8000000000002</v>
      </c>
      <c r="P1084" s="116">
        <v>2626.45</v>
      </c>
      <c r="Q1084" s="116">
        <v>2601.75</v>
      </c>
      <c r="R1084">
        <v>84558</v>
      </c>
    </row>
    <row r="1085" spans="1:18" x14ac:dyDescent="0.25">
      <c r="A1085" s="170">
        <v>45242</v>
      </c>
      <c r="B1085" s="116">
        <v>2639.6</v>
      </c>
      <c r="C1085" s="116">
        <v>2617.3000000000002</v>
      </c>
      <c r="D1085" s="116">
        <v>2600</v>
      </c>
      <c r="E1085" s="116">
        <v>2632</v>
      </c>
      <c r="F1085" s="116">
        <v>2617.3000000000002</v>
      </c>
      <c r="G1085">
        <v>4188</v>
      </c>
      <c r="H1085" s="116"/>
      <c r="I1085" s="116"/>
      <c r="L1085" s="170">
        <v>45242</v>
      </c>
      <c r="M1085" s="116">
        <v>2615.1999999999998</v>
      </c>
      <c r="N1085" s="116">
        <v>2639.7</v>
      </c>
      <c r="O1085" s="116">
        <v>2600</v>
      </c>
      <c r="P1085" s="116">
        <v>2634.9</v>
      </c>
      <c r="Q1085" s="116">
        <v>2615.1999999999998</v>
      </c>
      <c r="R1085">
        <v>16163</v>
      </c>
    </row>
    <row r="1086" spans="1:18" x14ac:dyDescent="0.25">
      <c r="A1086" s="170">
        <v>45243</v>
      </c>
      <c r="B1086" s="116">
        <v>2615.4499999999998</v>
      </c>
      <c r="C1086" s="116">
        <v>2584</v>
      </c>
      <c r="D1086" s="116">
        <v>2574</v>
      </c>
      <c r="E1086" s="116">
        <v>2614.9499999999998</v>
      </c>
      <c r="F1086" s="116">
        <v>2584</v>
      </c>
      <c r="G1086">
        <v>6121</v>
      </c>
      <c r="H1086" s="116"/>
      <c r="I1086" s="116"/>
      <c r="L1086" s="170">
        <v>45243</v>
      </c>
      <c r="M1086" s="116">
        <v>2585.75</v>
      </c>
      <c r="N1086" s="116">
        <v>2615.1999999999998</v>
      </c>
      <c r="O1086" s="116">
        <v>2572.6</v>
      </c>
      <c r="P1086" s="116">
        <v>2610</v>
      </c>
      <c r="Q1086" s="116">
        <v>2585.75</v>
      </c>
      <c r="R1086">
        <v>158697</v>
      </c>
    </row>
    <row r="1087" spans="1:18" x14ac:dyDescent="0.25">
      <c r="A1087" s="170">
        <v>45245</v>
      </c>
      <c r="B1087" s="116">
        <v>2629.95</v>
      </c>
      <c r="C1087" s="116">
        <v>2584.0500000000002</v>
      </c>
      <c r="D1087" s="116">
        <v>2546.15</v>
      </c>
      <c r="E1087" s="116">
        <v>2629.95</v>
      </c>
      <c r="F1087" s="116">
        <v>2584.0500000000002</v>
      </c>
      <c r="G1087">
        <v>3075</v>
      </c>
      <c r="H1087" s="116"/>
      <c r="I1087" s="116"/>
      <c r="L1087" s="170">
        <v>45245</v>
      </c>
      <c r="M1087" s="116">
        <v>2584.1999999999998</v>
      </c>
      <c r="N1087" s="116">
        <v>2619.5500000000002</v>
      </c>
      <c r="O1087" s="116">
        <v>2547.15</v>
      </c>
      <c r="P1087" s="116">
        <v>2612</v>
      </c>
      <c r="Q1087" s="116">
        <v>2584.1999999999998</v>
      </c>
      <c r="R1087">
        <v>322758</v>
      </c>
    </row>
    <row r="1088" spans="1:18" x14ac:dyDescent="0.25">
      <c r="A1088" s="170">
        <v>45246</v>
      </c>
      <c r="B1088" s="116">
        <v>2612</v>
      </c>
      <c r="C1088" s="116">
        <v>2600.15</v>
      </c>
      <c r="D1088" s="116">
        <v>2565.0500000000002</v>
      </c>
      <c r="E1088" s="116">
        <v>2565.0500000000002</v>
      </c>
      <c r="F1088" s="116">
        <v>2600.15</v>
      </c>
      <c r="G1088">
        <v>1945</v>
      </c>
      <c r="H1088" s="116"/>
      <c r="I1088" s="116"/>
      <c r="L1088" s="170">
        <v>45246</v>
      </c>
      <c r="M1088" s="116">
        <v>2602.0500000000002</v>
      </c>
      <c r="N1088" s="116">
        <v>2612.6999999999998</v>
      </c>
      <c r="O1088" s="116">
        <v>2564.0500000000002</v>
      </c>
      <c r="P1088" s="116">
        <v>2584.9499999999998</v>
      </c>
      <c r="Q1088" s="116">
        <v>2602.0500000000002</v>
      </c>
      <c r="R1088">
        <v>237131</v>
      </c>
    </row>
    <row r="1089" spans="1:18" x14ac:dyDescent="0.25">
      <c r="A1089" s="170">
        <v>45247</v>
      </c>
      <c r="B1089" s="116">
        <v>2623</v>
      </c>
      <c r="C1089" s="116">
        <v>2607.0500000000002</v>
      </c>
      <c r="D1089" s="116">
        <v>2582.9</v>
      </c>
      <c r="E1089" s="116">
        <v>2600</v>
      </c>
      <c r="F1089" s="116">
        <v>2607.0500000000002</v>
      </c>
      <c r="G1089">
        <v>3406</v>
      </c>
      <c r="H1089" s="116"/>
      <c r="I1089" s="116"/>
      <c r="L1089" s="170">
        <v>45247</v>
      </c>
      <c r="M1089" s="116">
        <v>2607.0500000000002</v>
      </c>
      <c r="N1089" s="116">
        <v>2624.45</v>
      </c>
      <c r="O1089" s="116">
        <v>2577.0500000000002</v>
      </c>
      <c r="P1089" s="116">
        <v>2600</v>
      </c>
      <c r="Q1089" s="116">
        <v>2607.0500000000002</v>
      </c>
      <c r="R1089">
        <v>311901</v>
      </c>
    </row>
    <row r="1090" spans="1:18" x14ac:dyDescent="0.25">
      <c r="A1090" s="170">
        <v>45250</v>
      </c>
      <c r="B1090" s="116">
        <v>2643</v>
      </c>
      <c r="C1090" s="116">
        <v>2627.4</v>
      </c>
      <c r="D1090" s="116">
        <v>2600.0500000000002</v>
      </c>
      <c r="E1090" s="116">
        <v>2621.0500000000002</v>
      </c>
      <c r="F1090" s="116">
        <v>2627.4</v>
      </c>
      <c r="G1090">
        <v>9815</v>
      </c>
      <c r="H1090" s="116"/>
      <c r="I1090" s="116"/>
      <c r="L1090" s="170">
        <v>45250</v>
      </c>
      <c r="M1090" s="116">
        <v>2628.5</v>
      </c>
      <c r="N1090" s="116">
        <v>2645</v>
      </c>
      <c r="O1090" s="116">
        <v>2600</v>
      </c>
      <c r="P1090" s="116">
        <v>2625</v>
      </c>
      <c r="Q1090" s="116">
        <v>2628.5</v>
      </c>
      <c r="R1090">
        <v>208150</v>
      </c>
    </row>
    <row r="1091" spans="1:18" x14ac:dyDescent="0.25">
      <c r="A1091" s="170">
        <v>45251</v>
      </c>
      <c r="B1091" s="116">
        <v>2645.9</v>
      </c>
      <c r="C1091" s="116">
        <v>2596</v>
      </c>
      <c r="D1091" s="116">
        <v>2590</v>
      </c>
      <c r="E1091" s="116">
        <v>2631.8</v>
      </c>
      <c r="F1091" s="116">
        <v>2596</v>
      </c>
      <c r="G1091">
        <v>3116</v>
      </c>
      <c r="H1091" s="116"/>
      <c r="I1091" s="116"/>
      <c r="L1091" s="170">
        <v>45251</v>
      </c>
      <c r="M1091" s="116">
        <v>2593.35</v>
      </c>
      <c r="N1091" s="116">
        <v>2646.35</v>
      </c>
      <c r="O1091" s="116">
        <v>2586.9</v>
      </c>
      <c r="P1091" s="116">
        <v>2639.85</v>
      </c>
      <c r="Q1091" s="116">
        <v>2593.35</v>
      </c>
      <c r="R1091">
        <v>217735</v>
      </c>
    </row>
    <row r="1092" spans="1:18" x14ac:dyDescent="0.25">
      <c r="A1092" s="170">
        <v>45252</v>
      </c>
      <c r="B1092" s="116">
        <v>2599.0500000000002</v>
      </c>
      <c r="C1092" s="116">
        <v>2578.25</v>
      </c>
      <c r="D1092" s="116">
        <v>2558.0500000000002</v>
      </c>
      <c r="E1092" s="116">
        <v>2584.9499999999998</v>
      </c>
      <c r="F1092" s="116">
        <v>2578.25</v>
      </c>
      <c r="G1092">
        <v>6147</v>
      </c>
      <c r="H1092" s="116"/>
      <c r="I1092" s="116"/>
      <c r="L1092" s="170">
        <v>45252</v>
      </c>
      <c r="M1092" s="116">
        <v>2579.65</v>
      </c>
      <c r="N1092" s="116">
        <v>2600.35</v>
      </c>
      <c r="O1092" s="116">
        <v>2557.5</v>
      </c>
      <c r="P1092" s="116">
        <v>2582.0500000000002</v>
      </c>
      <c r="Q1092" s="116">
        <v>2579.65</v>
      </c>
      <c r="R1092">
        <v>107438</v>
      </c>
    </row>
    <row r="1093" spans="1:18" x14ac:dyDescent="0.25">
      <c r="A1093" s="170">
        <v>45253</v>
      </c>
      <c r="B1093" s="116">
        <v>2607.15</v>
      </c>
      <c r="C1093" s="116">
        <v>2595.6</v>
      </c>
      <c r="D1093" s="116">
        <v>2558.1</v>
      </c>
      <c r="E1093" s="116">
        <v>2558.1</v>
      </c>
      <c r="F1093" s="116">
        <v>2595.6</v>
      </c>
      <c r="G1093">
        <v>2571</v>
      </c>
      <c r="H1093" s="116"/>
      <c r="I1093" s="116"/>
      <c r="L1093" s="170">
        <v>45253</v>
      </c>
      <c r="M1093" s="116">
        <v>2593.85</v>
      </c>
      <c r="N1093" s="116">
        <v>2602</v>
      </c>
      <c r="O1093" s="116">
        <v>2561.0500000000002</v>
      </c>
      <c r="P1093" s="116">
        <v>2581.9499999999998</v>
      </c>
      <c r="Q1093" s="116">
        <v>2593.85</v>
      </c>
      <c r="R1093">
        <v>178260</v>
      </c>
    </row>
    <row r="1094" spans="1:18" x14ac:dyDescent="0.25">
      <c r="A1094" s="170">
        <v>45254</v>
      </c>
      <c r="B1094" s="116">
        <v>2615.6999999999998</v>
      </c>
      <c r="C1094" s="116">
        <v>2598.4499999999998</v>
      </c>
      <c r="D1094" s="116">
        <v>2594.4</v>
      </c>
      <c r="E1094" s="116">
        <v>2596.6999999999998</v>
      </c>
      <c r="F1094" s="116">
        <v>2598.4499999999998</v>
      </c>
      <c r="G1094">
        <v>5399</v>
      </c>
      <c r="H1094" s="116"/>
      <c r="I1094" s="116"/>
      <c r="L1094" s="170">
        <v>45254</v>
      </c>
      <c r="M1094" s="116">
        <v>2599.1</v>
      </c>
      <c r="N1094" s="116">
        <v>2614.35</v>
      </c>
      <c r="O1094" s="116">
        <v>2591.15</v>
      </c>
      <c r="P1094" s="116">
        <v>2599.9499999999998</v>
      </c>
      <c r="Q1094" s="116">
        <v>2599.1</v>
      </c>
      <c r="R1094">
        <v>100564</v>
      </c>
    </row>
    <row r="1095" spans="1:18" x14ac:dyDescent="0.25">
      <c r="A1095" s="170">
        <v>45258</v>
      </c>
      <c r="B1095" s="116">
        <v>2605</v>
      </c>
      <c r="C1095" s="116">
        <v>2590.8000000000002</v>
      </c>
      <c r="D1095" s="116">
        <v>2583.6</v>
      </c>
      <c r="E1095" s="116">
        <v>2590.0500000000002</v>
      </c>
      <c r="F1095" s="116">
        <v>2590.8000000000002</v>
      </c>
      <c r="G1095">
        <v>2010</v>
      </c>
      <c r="H1095" s="116"/>
      <c r="I1095" s="116"/>
      <c r="L1095" s="170">
        <v>45258</v>
      </c>
      <c r="M1095" s="116">
        <v>2590.25</v>
      </c>
      <c r="N1095" s="116">
        <v>2625</v>
      </c>
      <c r="O1095" s="116">
        <v>2581.75</v>
      </c>
      <c r="P1095" s="116">
        <v>2599.0500000000002</v>
      </c>
      <c r="Q1095" s="116">
        <v>2590.25</v>
      </c>
      <c r="R1095">
        <v>90002</v>
      </c>
    </row>
    <row r="1096" spans="1:18" x14ac:dyDescent="0.25">
      <c r="A1096" s="170">
        <v>45259</v>
      </c>
      <c r="B1096" s="116">
        <v>2622.75</v>
      </c>
      <c r="C1096" s="116">
        <v>2612.0500000000002</v>
      </c>
      <c r="D1096" s="116">
        <v>2590</v>
      </c>
      <c r="E1096" s="116">
        <v>2590</v>
      </c>
      <c r="F1096" s="116">
        <v>2612.0500000000002</v>
      </c>
      <c r="G1096">
        <v>6548</v>
      </c>
      <c r="H1096" s="116"/>
      <c r="I1096" s="116"/>
      <c r="L1096" s="170">
        <v>45259</v>
      </c>
      <c r="M1096" s="116">
        <v>2613.6999999999998</v>
      </c>
      <c r="N1096" s="116">
        <v>2624</v>
      </c>
      <c r="O1096" s="116">
        <v>2590.25</v>
      </c>
      <c r="P1096" s="116">
        <v>2590.25</v>
      </c>
      <c r="Q1096" s="116">
        <v>2613.6999999999998</v>
      </c>
      <c r="R1096">
        <v>148896</v>
      </c>
    </row>
    <row r="1097" spans="1:18" x14ac:dyDescent="0.25">
      <c r="A1097" s="170">
        <v>45260</v>
      </c>
      <c r="B1097" s="116">
        <v>2630.8</v>
      </c>
      <c r="C1097" s="116">
        <v>2602.9</v>
      </c>
      <c r="D1097" s="116">
        <v>2595.75</v>
      </c>
      <c r="E1097" s="116">
        <v>2614.0500000000002</v>
      </c>
      <c r="F1097" s="116">
        <v>2602.9</v>
      </c>
      <c r="G1097">
        <v>2465</v>
      </c>
      <c r="H1097" s="116"/>
      <c r="I1097" s="116"/>
      <c r="L1097" s="170">
        <v>45260</v>
      </c>
      <c r="M1097" s="116">
        <v>2604.0500000000002</v>
      </c>
      <c r="N1097" s="116">
        <v>2632.2</v>
      </c>
      <c r="O1097" s="116">
        <v>2595</v>
      </c>
      <c r="P1097" s="116">
        <v>2626.2</v>
      </c>
      <c r="Q1097" s="116">
        <v>2604.0500000000002</v>
      </c>
      <c r="R1097">
        <v>179170</v>
      </c>
    </row>
    <row r="1098" spans="1:18" x14ac:dyDescent="0.25">
      <c r="A1098" s="170">
        <v>45261</v>
      </c>
      <c r="B1098" s="116">
        <v>2623.5</v>
      </c>
      <c r="C1098" s="116">
        <v>2598.15</v>
      </c>
      <c r="D1098" s="116">
        <v>2585.35</v>
      </c>
      <c r="E1098" s="116">
        <v>2591.4</v>
      </c>
      <c r="F1098" s="116">
        <v>2598.15</v>
      </c>
      <c r="G1098">
        <v>2729</v>
      </c>
      <c r="H1098" s="116"/>
      <c r="I1098" s="116"/>
      <c r="L1098" s="170">
        <v>45261</v>
      </c>
      <c r="M1098" s="116">
        <v>2598.15</v>
      </c>
      <c r="N1098" s="116">
        <v>2623</v>
      </c>
      <c r="O1098" s="116">
        <v>2585.15</v>
      </c>
      <c r="P1098" s="116">
        <v>2605.75</v>
      </c>
      <c r="Q1098" s="116">
        <v>2598.15</v>
      </c>
      <c r="R1098">
        <v>217419</v>
      </c>
    </row>
    <row r="1099" spans="1:18" x14ac:dyDescent="0.25">
      <c r="A1099" s="170">
        <v>45264</v>
      </c>
      <c r="B1099" s="116">
        <v>2645.75</v>
      </c>
      <c r="C1099" s="116">
        <v>2603.9499999999998</v>
      </c>
      <c r="D1099" s="116">
        <v>2588.65</v>
      </c>
      <c r="E1099" s="116">
        <v>2644.4</v>
      </c>
      <c r="F1099" s="116">
        <v>2603.9499999999998</v>
      </c>
      <c r="G1099">
        <v>5099</v>
      </c>
      <c r="H1099" s="116"/>
      <c r="I1099" s="116"/>
      <c r="L1099" s="170">
        <v>45264</v>
      </c>
      <c r="M1099" s="116">
        <v>2604.4</v>
      </c>
      <c r="N1099" s="116">
        <v>2629.85</v>
      </c>
      <c r="O1099" s="116">
        <v>2586.0500000000002</v>
      </c>
      <c r="P1099" s="116">
        <v>2620.15</v>
      </c>
      <c r="Q1099" s="116">
        <v>2604.4</v>
      </c>
      <c r="R1099">
        <v>165462</v>
      </c>
    </row>
    <row r="1100" spans="1:18" x14ac:dyDescent="0.25">
      <c r="A1100" s="170">
        <v>45265</v>
      </c>
      <c r="B1100" s="116">
        <v>2634.8</v>
      </c>
      <c r="C1100" s="116">
        <v>2602.1</v>
      </c>
      <c r="D1100" s="116">
        <v>2580</v>
      </c>
      <c r="E1100" s="116">
        <v>2625.95</v>
      </c>
      <c r="F1100" s="116">
        <v>2602.1</v>
      </c>
      <c r="G1100">
        <v>4746</v>
      </c>
      <c r="H1100" s="116"/>
      <c r="I1100" s="116"/>
      <c r="L1100" s="170">
        <v>45265</v>
      </c>
      <c r="M1100" s="116">
        <v>2601.9</v>
      </c>
      <c r="N1100" s="116">
        <v>2636</v>
      </c>
      <c r="O1100" s="116">
        <v>2578</v>
      </c>
      <c r="P1100" s="116">
        <v>2619</v>
      </c>
      <c r="Q1100" s="116">
        <v>2601.9</v>
      </c>
      <c r="R1100">
        <v>224501</v>
      </c>
    </row>
    <row r="1101" spans="1:18" x14ac:dyDescent="0.25">
      <c r="A1101" s="170">
        <v>45266</v>
      </c>
      <c r="B1101" s="116">
        <v>2725.4</v>
      </c>
      <c r="C1101" s="116">
        <v>2708.45</v>
      </c>
      <c r="D1101" s="116">
        <v>2600</v>
      </c>
      <c r="E1101" s="116">
        <v>2612</v>
      </c>
      <c r="F1101" s="116">
        <v>2708.45</v>
      </c>
      <c r="G1101">
        <v>36505</v>
      </c>
      <c r="H1101" s="116"/>
      <c r="I1101" s="116"/>
      <c r="L1101" s="170">
        <v>45266</v>
      </c>
      <c r="M1101" s="116">
        <v>2709.4</v>
      </c>
      <c r="N1101" s="116">
        <v>2726</v>
      </c>
      <c r="O1101" s="116">
        <v>2599.9</v>
      </c>
      <c r="P1101" s="116">
        <v>2617</v>
      </c>
      <c r="Q1101" s="116">
        <v>2709.4</v>
      </c>
      <c r="R1101">
        <v>688958</v>
      </c>
    </row>
    <row r="1102" spans="1:18" x14ac:dyDescent="0.25">
      <c r="A1102" s="170">
        <v>45267</v>
      </c>
      <c r="B1102" s="116">
        <v>2754.45</v>
      </c>
      <c r="C1102" s="116">
        <v>2718.25</v>
      </c>
      <c r="D1102" s="116">
        <v>2678.2</v>
      </c>
      <c r="E1102" s="116">
        <v>2730</v>
      </c>
      <c r="F1102" s="116">
        <v>2718.25</v>
      </c>
      <c r="G1102">
        <v>10412</v>
      </c>
      <c r="H1102" s="116"/>
      <c r="I1102" s="116"/>
      <c r="L1102" s="170">
        <v>45267</v>
      </c>
      <c r="M1102" s="116">
        <v>2718.8</v>
      </c>
      <c r="N1102" s="116">
        <v>2755.3</v>
      </c>
      <c r="O1102" s="116">
        <v>2678.4</v>
      </c>
      <c r="P1102" s="116">
        <v>2735</v>
      </c>
      <c r="Q1102" s="116">
        <v>2718.8</v>
      </c>
      <c r="R1102">
        <v>416572</v>
      </c>
    </row>
    <row r="1103" spans="1:18" x14ac:dyDescent="0.25">
      <c r="A1103" s="170">
        <v>45268</v>
      </c>
      <c r="B1103" s="116">
        <v>2748.6</v>
      </c>
      <c r="C1103" s="116">
        <v>2678.05</v>
      </c>
      <c r="D1103" s="116">
        <v>2647.25</v>
      </c>
      <c r="E1103" s="116">
        <v>2748.6</v>
      </c>
      <c r="F1103" s="116">
        <v>2678.05</v>
      </c>
      <c r="G1103">
        <v>4577</v>
      </c>
      <c r="H1103" s="116"/>
      <c r="I1103" s="116"/>
      <c r="L1103" s="170">
        <v>45268</v>
      </c>
      <c r="M1103" s="116">
        <v>2677.3</v>
      </c>
      <c r="N1103" s="116">
        <v>2733.55</v>
      </c>
      <c r="O1103" s="116">
        <v>2645.05</v>
      </c>
      <c r="P1103" s="116">
        <v>2730.95</v>
      </c>
      <c r="Q1103" s="116">
        <v>2677.3</v>
      </c>
      <c r="R1103">
        <v>296222</v>
      </c>
    </row>
    <row r="1104" spans="1:18" x14ac:dyDescent="0.25">
      <c r="A1104" s="170">
        <v>45271</v>
      </c>
      <c r="B1104" s="116">
        <v>2720</v>
      </c>
      <c r="C1104" s="116">
        <v>2676.9</v>
      </c>
      <c r="D1104" s="116">
        <v>2661</v>
      </c>
      <c r="E1104" s="116">
        <v>2681.3</v>
      </c>
      <c r="F1104" s="116">
        <v>2676.9</v>
      </c>
      <c r="G1104">
        <v>9817</v>
      </c>
      <c r="H1104" s="116"/>
      <c r="I1104" s="116"/>
      <c r="L1104" s="170">
        <v>45271</v>
      </c>
      <c r="M1104" s="116">
        <v>2678.2</v>
      </c>
      <c r="N1104" s="116">
        <v>2720</v>
      </c>
      <c r="O1104" s="116">
        <v>2661</v>
      </c>
      <c r="P1104" s="116">
        <v>2675</v>
      </c>
      <c r="Q1104" s="116">
        <v>2678.2</v>
      </c>
      <c r="R1104">
        <v>221114</v>
      </c>
    </row>
    <row r="1105" spans="1:18" x14ac:dyDescent="0.25">
      <c r="A1105" s="170">
        <v>45272</v>
      </c>
      <c r="B1105" s="116">
        <v>2832.45</v>
      </c>
      <c r="C1105" s="116">
        <v>2750.45</v>
      </c>
      <c r="D1105" s="116">
        <v>2687.95</v>
      </c>
      <c r="E1105" s="116">
        <v>2693.75</v>
      </c>
      <c r="F1105" s="116">
        <v>2750.45</v>
      </c>
      <c r="G1105">
        <v>19480</v>
      </c>
      <c r="H1105" s="116"/>
      <c r="I1105" s="116"/>
      <c r="L1105" s="170">
        <v>45272</v>
      </c>
      <c r="M1105" s="116">
        <v>2751.5</v>
      </c>
      <c r="N1105" s="116">
        <v>2832</v>
      </c>
      <c r="O1105" s="116">
        <v>2672.1</v>
      </c>
      <c r="P1105" s="116">
        <v>2679.95</v>
      </c>
      <c r="Q1105" s="116">
        <v>2751.5</v>
      </c>
      <c r="R1105">
        <v>1125987</v>
      </c>
    </row>
    <row r="1106" spans="1:18" x14ac:dyDescent="0.25">
      <c r="A1106" s="170">
        <v>45273</v>
      </c>
      <c r="B1106" s="116">
        <v>2813.1</v>
      </c>
      <c r="C1106" s="116">
        <v>2795.7</v>
      </c>
      <c r="D1106" s="116">
        <v>2752.2</v>
      </c>
      <c r="E1106" s="116">
        <v>2765.85</v>
      </c>
      <c r="F1106" s="116">
        <v>2795.7</v>
      </c>
      <c r="G1106">
        <v>5372</v>
      </c>
      <c r="H1106" s="116"/>
      <c r="I1106" s="116"/>
      <c r="L1106" s="170">
        <v>45273</v>
      </c>
      <c r="M1106" s="116">
        <v>2793.15</v>
      </c>
      <c r="N1106" s="116">
        <v>2813.2</v>
      </c>
      <c r="O1106" s="116">
        <v>2753.7</v>
      </c>
      <c r="P1106" s="116">
        <v>2761.45</v>
      </c>
      <c r="Q1106" s="116">
        <v>2793.15</v>
      </c>
      <c r="R1106">
        <v>276609</v>
      </c>
    </row>
    <row r="1107" spans="1:18" x14ac:dyDescent="0.25">
      <c r="A1107" s="170">
        <v>45274</v>
      </c>
      <c r="B1107" s="116">
        <v>2850</v>
      </c>
      <c r="C1107" s="116">
        <v>2797.25</v>
      </c>
      <c r="D1107" s="116">
        <v>2788.05</v>
      </c>
      <c r="E1107" s="116">
        <v>2824.95</v>
      </c>
      <c r="F1107" s="116">
        <v>2797.25</v>
      </c>
      <c r="G1107">
        <v>19359</v>
      </c>
      <c r="H1107" s="116"/>
      <c r="I1107" s="116"/>
      <c r="L1107" s="170">
        <v>45274</v>
      </c>
      <c r="M1107" s="116">
        <v>2796.6</v>
      </c>
      <c r="N1107" s="116">
        <v>2850</v>
      </c>
      <c r="O1107" s="116">
        <v>2790</v>
      </c>
      <c r="P1107" s="116">
        <v>2820</v>
      </c>
      <c r="Q1107" s="116">
        <v>2796.6</v>
      </c>
      <c r="R1107">
        <v>248571</v>
      </c>
    </row>
    <row r="1108" spans="1:18" x14ac:dyDescent="0.25">
      <c r="A1108" s="170">
        <v>45275</v>
      </c>
      <c r="B1108" s="116">
        <v>2825</v>
      </c>
      <c r="C1108" s="116">
        <v>2787.75</v>
      </c>
      <c r="D1108" s="116">
        <v>2775.55</v>
      </c>
      <c r="E1108" s="116">
        <v>2825</v>
      </c>
      <c r="F1108" s="116">
        <v>2787.75</v>
      </c>
      <c r="G1108">
        <v>20172</v>
      </c>
      <c r="H1108" s="116"/>
      <c r="I1108" s="116"/>
      <c r="L1108" s="170">
        <v>45275</v>
      </c>
      <c r="M1108" s="116">
        <v>2791.1</v>
      </c>
      <c r="N1108" s="116">
        <v>2825</v>
      </c>
      <c r="O1108" s="116">
        <v>2775.1</v>
      </c>
      <c r="P1108" s="116">
        <v>2825</v>
      </c>
      <c r="Q1108" s="116">
        <v>2791.1</v>
      </c>
      <c r="R1108">
        <v>202224</v>
      </c>
    </row>
    <row r="1109" spans="1:18" x14ac:dyDescent="0.25">
      <c r="A1109" s="170">
        <v>45278</v>
      </c>
      <c r="B1109" s="116">
        <v>2860.25</v>
      </c>
      <c r="C1109" s="116">
        <v>2834.35</v>
      </c>
      <c r="D1109" s="116">
        <v>2741.7</v>
      </c>
      <c r="E1109" s="116">
        <v>2809.95</v>
      </c>
      <c r="F1109" s="116">
        <v>2834.35</v>
      </c>
      <c r="G1109">
        <v>9835</v>
      </c>
      <c r="H1109" s="116"/>
      <c r="I1109" s="116"/>
      <c r="L1109" s="170">
        <v>45278</v>
      </c>
      <c r="M1109" s="116">
        <v>2835.05</v>
      </c>
      <c r="N1109" s="116">
        <v>2860</v>
      </c>
      <c r="O1109" s="116">
        <v>2741</v>
      </c>
      <c r="P1109" s="116">
        <v>2792</v>
      </c>
      <c r="Q1109" s="116">
        <v>2835.05</v>
      </c>
      <c r="R1109">
        <v>348651</v>
      </c>
    </row>
    <row r="1110" spans="1:18" x14ac:dyDescent="0.25">
      <c r="A1110" s="170">
        <v>45279</v>
      </c>
      <c r="B1110" s="116">
        <v>2910</v>
      </c>
      <c r="C1110" s="116">
        <v>2811.7</v>
      </c>
      <c r="D1110" s="116">
        <v>2800.15</v>
      </c>
      <c r="E1110" s="116">
        <v>2851.1</v>
      </c>
      <c r="F1110" s="116">
        <v>2811.7</v>
      </c>
      <c r="G1110">
        <v>10425</v>
      </c>
      <c r="H1110" s="116"/>
      <c r="I1110" s="116"/>
      <c r="L1110" s="170">
        <v>45279</v>
      </c>
      <c r="M1110" s="116">
        <v>2809.35</v>
      </c>
      <c r="N1110" s="116">
        <v>2912</v>
      </c>
      <c r="O1110" s="116">
        <v>2800</v>
      </c>
      <c r="P1110" s="116">
        <v>2851</v>
      </c>
      <c r="Q1110" s="116">
        <v>2809.35</v>
      </c>
      <c r="R1110">
        <v>515185</v>
      </c>
    </row>
    <row r="1111" spans="1:18" x14ac:dyDescent="0.25">
      <c r="A1111" s="170">
        <v>45280</v>
      </c>
      <c r="B1111" s="116">
        <v>2849</v>
      </c>
      <c r="C1111" s="116">
        <v>2680.2</v>
      </c>
      <c r="D1111" s="116">
        <v>2650.6</v>
      </c>
      <c r="E1111" s="116">
        <v>2828.6</v>
      </c>
      <c r="F1111" s="116">
        <v>2680.2</v>
      </c>
      <c r="G1111">
        <v>26802</v>
      </c>
      <c r="H1111" s="116"/>
      <c r="I1111" s="116"/>
      <c r="L1111" s="170">
        <v>45280</v>
      </c>
      <c r="M1111" s="116">
        <v>2680.95</v>
      </c>
      <c r="N1111" s="116">
        <v>2850</v>
      </c>
      <c r="O1111" s="116">
        <v>2651.1</v>
      </c>
      <c r="P1111" s="116">
        <v>2813</v>
      </c>
      <c r="Q1111" s="116">
        <v>2680.95</v>
      </c>
      <c r="R1111">
        <v>462218</v>
      </c>
    </row>
    <row r="1112" spans="1:18" x14ac:dyDescent="0.25">
      <c r="A1112" s="170">
        <v>45281</v>
      </c>
      <c r="B1112" s="116">
        <v>2754.8</v>
      </c>
      <c r="C1112" s="116">
        <v>2739.3</v>
      </c>
      <c r="D1112" s="116">
        <v>2626.85</v>
      </c>
      <c r="E1112" s="116">
        <v>2662.15</v>
      </c>
      <c r="F1112" s="116">
        <v>2739.3</v>
      </c>
      <c r="G1112">
        <v>7561</v>
      </c>
      <c r="H1112" s="116"/>
      <c r="I1112" s="116"/>
      <c r="L1112" s="170">
        <v>45281</v>
      </c>
      <c r="M1112" s="116">
        <v>2739.95</v>
      </c>
      <c r="N1112" s="116">
        <v>2755.15</v>
      </c>
      <c r="O1112" s="116">
        <v>2628.5</v>
      </c>
      <c r="P1112" s="116">
        <v>2665</v>
      </c>
      <c r="Q1112" s="116">
        <v>2739.95</v>
      </c>
      <c r="R1112">
        <v>405523</v>
      </c>
    </row>
    <row r="1113" spans="1:18" x14ac:dyDescent="0.25">
      <c r="A1113" s="170">
        <v>45282</v>
      </c>
      <c r="B1113" s="116">
        <v>2798.95</v>
      </c>
      <c r="C1113" s="116">
        <v>2709.4</v>
      </c>
      <c r="D1113" s="116">
        <v>2698.4</v>
      </c>
      <c r="E1113" s="116">
        <v>2798.95</v>
      </c>
      <c r="F1113" s="116">
        <v>2709.4</v>
      </c>
      <c r="G1113">
        <v>2323</v>
      </c>
      <c r="H1113" s="116"/>
      <c r="I1113" s="116"/>
      <c r="L1113" s="170">
        <v>45282</v>
      </c>
      <c r="M1113" s="116">
        <v>2711.75</v>
      </c>
      <c r="N1113" s="116">
        <v>2769.25</v>
      </c>
      <c r="O1113" s="116">
        <v>2696.05</v>
      </c>
      <c r="P1113" s="116">
        <v>2763</v>
      </c>
      <c r="Q1113" s="116">
        <v>2711.75</v>
      </c>
      <c r="R1113">
        <v>142476</v>
      </c>
    </row>
    <row r="1114" spans="1:18" x14ac:dyDescent="0.25">
      <c r="A1114" s="170">
        <v>45286</v>
      </c>
      <c r="B1114" s="116">
        <v>2768.65</v>
      </c>
      <c r="C1114" s="116">
        <v>2751.05</v>
      </c>
      <c r="D1114" s="116">
        <v>2723.25</v>
      </c>
      <c r="E1114" s="116">
        <v>2749.95</v>
      </c>
      <c r="F1114" s="116">
        <v>2751.05</v>
      </c>
      <c r="G1114">
        <v>3429</v>
      </c>
      <c r="H1114" s="116"/>
      <c r="I1114" s="116"/>
      <c r="L1114" s="170">
        <v>45286</v>
      </c>
      <c r="M1114" s="116">
        <v>2750.8</v>
      </c>
      <c r="N1114" s="116">
        <v>2768</v>
      </c>
      <c r="O1114" s="116">
        <v>2721.25</v>
      </c>
      <c r="P1114" s="116">
        <v>2734</v>
      </c>
      <c r="Q1114" s="116">
        <v>2750.8</v>
      </c>
      <c r="R1114">
        <v>159084</v>
      </c>
    </row>
    <row r="1115" spans="1:18" x14ac:dyDescent="0.25">
      <c r="A1115" s="170">
        <v>45287</v>
      </c>
      <c r="B1115" s="116">
        <v>2791.95</v>
      </c>
      <c r="C1115" s="116">
        <v>2769.95</v>
      </c>
      <c r="D1115" s="116">
        <v>2750.6</v>
      </c>
      <c r="E1115" s="116">
        <v>2779.95</v>
      </c>
      <c r="F1115" s="116">
        <v>2769.95</v>
      </c>
      <c r="G1115">
        <v>12132</v>
      </c>
      <c r="H1115" s="116"/>
      <c r="I1115" s="116"/>
      <c r="L1115" s="170">
        <v>45287</v>
      </c>
      <c r="M1115" s="116">
        <v>2771.55</v>
      </c>
      <c r="N1115" s="116">
        <v>2791.95</v>
      </c>
      <c r="O1115" s="116">
        <v>2751.6</v>
      </c>
      <c r="P1115" s="116">
        <v>2760</v>
      </c>
      <c r="Q1115" s="116">
        <v>2771.55</v>
      </c>
      <c r="R1115">
        <v>159631</v>
      </c>
    </row>
    <row r="1116" spans="1:18" x14ac:dyDescent="0.25">
      <c r="A1116" s="170">
        <v>45288</v>
      </c>
      <c r="B1116" s="116">
        <v>2806.45</v>
      </c>
      <c r="C1116" s="116">
        <v>2795.6</v>
      </c>
      <c r="D1116" s="116">
        <v>2759</v>
      </c>
      <c r="E1116" s="116">
        <v>2782.1</v>
      </c>
      <c r="F1116" s="116">
        <v>2795.6</v>
      </c>
      <c r="G1116">
        <v>2744</v>
      </c>
      <c r="H1116" s="116"/>
      <c r="I1116" s="116"/>
      <c r="L1116" s="170">
        <v>45288</v>
      </c>
      <c r="M1116" s="116">
        <v>2793.65</v>
      </c>
      <c r="N1116" s="116">
        <v>2808.75</v>
      </c>
      <c r="O1116" s="116">
        <v>2757.05</v>
      </c>
      <c r="P1116" s="116">
        <v>2784</v>
      </c>
      <c r="Q1116" s="116">
        <v>2793.65</v>
      </c>
      <c r="R1116">
        <v>193732</v>
      </c>
    </row>
    <row r="1117" spans="1:18" x14ac:dyDescent="0.25">
      <c r="A1117" s="170">
        <v>45289</v>
      </c>
      <c r="B1117" s="116">
        <v>2786</v>
      </c>
      <c r="C1117" s="116">
        <v>2721.6</v>
      </c>
      <c r="D1117" s="116">
        <v>2651.55</v>
      </c>
      <c r="E1117" s="116">
        <v>2784.1</v>
      </c>
      <c r="F1117" s="116">
        <v>2721.6</v>
      </c>
      <c r="G1117">
        <v>24670</v>
      </c>
      <c r="H1117" s="116"/>
      <c r="I1117" s="116"/>
      <c r="L1117" s="170">
        <v>45289</v>
      </c>
      <c r="M1117" s="116">
        <v>2721.9</v>
      </c>
      <c r="N1117" s="116">
        <v>2788.9</v>
      </c>
      <c r="O1117" s="116">
        <v>2652</v>
      </c>
      <c r="P1117" s="116">
        <v>2775</v>
      </c>
      <c r="Q1117" s="116">
        <v>2721.9</v>
      </c>
      <c r="R1117">
        <v>452732</v>
      </c>
    </row>
    <row r="1118" spans="1:18" x14ac:dyDescent="0.25">
      <c r="A1118" s="170">
        <v>45292</v>
      </c>
      <c r="B1118" s="116">
        <v>2755.6</v>
      </c>
      <c r="C1118" s="116">
        <v>2725.4</v>
      </c>
      <c r="D1118" s="116">
        <v>2710</v>
      </c>
      <c r="E1118" s="116">
        <v>2755.6</v>
      </c>
      <c r="F1118" s="116">
        <v>2725.4</v>
      </c>
      <c r="G1118">
        <v>3348</v>
      </c>
      <c r="H1118" s="116"/>
      <c r="I1118" s="116"/>
      <c r="L1118" s="170">
        <v>45292</v>
      </c>
      <c r="M1118" s="116">
        <v>2725.25</v>
      </c>
      <c r="N1118" s="116">
        <v>2753.65</v>
      </c>
      <c r="O1118" s="116">
        <v>2700.95</v>
      </c>
      <c r="P1118" s="116">
        <v>2721</v>
      </c>
      <c r="Q1118" s="116">
        <v>2725.25</v>
      </c>
      <c r="R1118">
        <v>92309</v>
      </c>
    </row>
    <row r="1119" spans="1:18" x14ac:dyDescent="0.25">
      <c r="A1119" s="170">
        <v>45293</v>
      </c>
      <c r="B1119" s="116">
        <v>2744.85</v>
      </c>
      <c r="C1119" s="116">
        <v>2708.6</v>
      </c>
      <c r="D1119" s="116">
        <v>2677</v>
      </c>
      <c r="E1119" s="116">
        <v>2744.85</v>
      </c>
      <c r="F1119" s="116">
        <v>2708.6</v>
      </c>
      <c r="G1119">
        <v>10594</v>
      </c>
      <c r="H1119" s="116"/>
      <c r="I1119" s="116"/>
      <c r="L1119" s="170">
        <v>45293</v>
      </c>
      <c r="M1119" s="116">
        <v>2707.95</v>
      </c>
      <c r="N1119" s="116">
        <v>2736.55</v>
      </c>
      <c r="O1119" s="116">
        <v>2675</v>
      </c>
      <c r="P1119" s="116">
        <v>2736</v>
      </c>
      <c r="Q1119" s="116">
        <v>2707.95</v>
      </c>
      <c r="R1119">
        <v>140094</v>
      </c>
    </row>
    <row r="1120" spans="1:18" x14ac:dyDescent="0.25">
      <c r="A1120" s="170">
        <v>45294</v>
      </c>
      <c r="B1120" s="116">
        <v>2738</v>
      </c>
      <c r="C1120" s="116">
        <v>2703.65</v>
      </c>
      <c r="D1120" s="116">
        <v>2698.05</v>
      </c>
      <c r="E1120" s="116">
        <v>2724.85</v>
      </c>
      <c r="F1120" s="116">
        <v>2703.65</v>
      </c>
      <c r="G1120">
        <v>8244</v>
      </c>
      <c r="H1120" s="116"/>
      <c r="I1120" s="116"/>
      <c r="L1120" s="170">
        <v>45294</v>
      </c>
      <c r="M1120" s="116">
        <v>2705.55</v>
      </c>
      <c r="N1120" s="116">
        <v>2739</v>
      </c>
      <c r="O1120" s="116">
        <v>2697.8</v>
      </c>
      <c r="P1120" s="116">
        <v>2708</v>
      </c>
      <c r="Q1120" s="116">
        <v>2705.55</v>
      </c>
      <c r="R1120">
        <v>155474</v>
      </c>
    </row>
    <row r="1121" spans="1:18" x14ac:dyDescent="0.25">
      <c r="A1121" s="170">
        <v>45295</v>
      </c>
      <c r="B1121" s="116">
        <v>2737.3</v>
      </c>
      <c r="C1121" s="116">
        <v>2730.3</v>
      </c>
      <c r="D1121" s="116">
        <v>2703.2</v>
      </c>
      <c r="E1121" s="116">
        <v>2703.2</v>
      </c>
      <c r="F1121" s="116">
        <v>2730.3</v>
      </c>
      <c r="G1121">
        <v>2141</v>
      </c>
      <c r="H1121" s="116"/>
      <c r="I1121" s="116"/>
      <c r="L1121" s="170">
        <v>45295</v>
      </c>
      <c r="M1121" s="116">
        <v>2729.25</v>
      </c>
      <c r="N1121" s="116">
        <v>2738.95</v>
      </c>
      <c r="O1121" s="116">
        <v>2703.4</v>
      </c>
      <c r="P1121" s="116">
        <v>2720</v>
      </c>
      <c r="Q1121" s="116">
        <v>2729.25</v>
      </c>
      <c r="R1121">
        <v>69129</v>
      </c>
    </row>
    <row r="1122" spans="1:18" x14ac:dyDescent="0.25">
      <c r="A1122" s="170">
        <v>45296</v>
      </c>
      <c r="B1122" s="116">
        <v>2785</v>
      </c>
      <c r="C1122" s="116">
        <v>2744.25</v>
      </c>
      <c r="D1122" s="116">
        <v>2731.05</v>
      </c>
      <c r="E1122" s="116">
        <v>2740.65</v>
      </c>
      <c r="F1122" s="116">
        <v>2744.25</v>
      </c>
      <c r="G1122">
        <v>14556</v>
      </c>
      <c r="H1122" s="116"/>
      <c r="I1122" s="116"/>
      <c r="L1122" s="170">
        <v>45296</v>
      </c>
      <c r="M1122" s="116">
        <v>2743.15</v>
      </c>
      <c r="N1122" s="116">
        <v>2783.95</v>
      </c>
      <c r="O1122" s="116">
        <v>2730.05</v>
      </c>
      <c r="P1122" s="116">
        <v>2745</v>
      </c>
      <c r="Q1122" s="116">
        <v>2743.15</v>
      </c>
      <c r="R1122">
        <v>124632</v>
      </c>
    </row>
    <row r="1123" spans="1:18" x14ac:dyDescent="0.25">
      <c r="A1123" s="170">
        <v>45299</v>
      </c>
      <c r="B1123" s="116">
        <v>2742.15</v>
      </c>
      <c r="C1123" s="116">
        <v>2674.05</v>
      </c>
      <c r="D1123" s="116">
        <v>2665.45</v>
      </c>
      <c r="E1123" s="116">
        <v>2742.15</v>
      </c>
      <c r="F1123" s="116">
        <v>2674.05</v>
      </c>
      <c r="G1123">
        <v>11578</v>
      </c>
      <c r="H1123" s="116"/>
      <c r="I1123" s="116"/>
      <c r="L1123" s="170">
        <v>45299</v>
      </c>
      <c r="M1123" s="116">
        <v>2674.3</v>
      </c>
      <c r="N1123" s="116">
        <v>2745</v>
      </c>
      <c r="O1123" s="116">
        <v>2666</v>
      </c>
      <c r="P1123" s="116">
        <v>2745</v>
      </c>
      <c r="Q1123" s="116">
        <v>2674.3</v>
      </c>
      <c r="R1123">
        <v>156836</v>
      </c>
    </row>
    <row r="1124" spans="1:18" x14ac:dyDescent="0.25">
      <c r="A1124" s="170">
        <v>45300</v>
      </c>
      <c r="B1124" s="116">
        <v>2711.1</v>
      </c>
      <c r="C1124" s="116">
        <v>2607.6</v>
      </c>
      <c r="D1124" s="116">
        <v>2600</v>
      </c>
      <c r="E1124" s="116">
        <v>2674.1</v>
      </c>
      <c r="F1124" s="116">
        <v>2607.6</v>
      </c>
      <c r="G1124">
        <v>7164</v>
      </c>
      <c r="H1124" s="116"/>
      <c r="I1124" s="116"/>
      <c r="L1124" s="170">
        <v>45300</v>
      </c>
      <c r="M1124" s="116">
        <v>2608.5500000000002</v>
      </c>
      <c r="N1124" s="116">
        <v>2724</v>
      </c>
      <c r="O1124" s="116">
        <v>2600</v>
      </c>
      <c r="P1124" s="116">
        <v>2680</v>
      </c>
      <c r="Q1124" s="116">
        <v>2608.5500000000002</v>
      </c>
      <c r="R1124">
        <v>159830</v>
      </c>
    </row>
    <row r="1125" spans="1:18" x14ac:dyDescent="0.25">
      <c r="A1125" s="170">
        <v>45301</v>
      </c>
      <c r="B1125" s="116">
        <v>2624.45</v>
      </c>
      <c r="C1125" s="116">
        <v>2578.3000000000002</v>
      </c>
      <c r="D1125" s="116">
        <v>2569.6999999999998</v>
      </c>
      <c r="E1125" s="116">
        <v>2617.6999999999998</v>
      </c>
      <c r="F1125" s="116">
        <v>2578.3000000000002</v>
      </c>
      <c r="G1125">
        <v>3965</v>
      </c>
      <c r="H1125" s="116"/>
      <c r="I1125" s="116"/>
      <c r="L1125" s="170">
        <v>45301</v>
      </c>
      <c r="M1125" s="116">
        <v>2577.9499999999998</v>
      </c>
      <c r="N1125" s="116">
        <v>2626.5</v>
      </c>
      <c r="O1125" s="116">
        <v>2565.25</v>
      </c>
      <c r="P1125" s="116">
        <v>2615</v>
      </c>
      <c r="Q1125" s="116">
        <v>2577.9499999999998</v>
      </c>
      <c r="R1125">
        <v>111596</v>
      </c>
    </row>
    <row r="1126" spans="1:18" x14ac:dyDescent="0.25">
      <c r="A1126" s="170">
        <v>45302</v>
      </c>
      <c r="B1126" s="116">
        <v>2610</v>
      </c>
      <c r="C1126" s="116">
        <v>2597.1999999999998</v>
      </c>
      <c r="D1126" s="116">
        <v>2585</v>
      </c>
      <c r="E1126" s="116">
        <v>2599.9499999999998</v>
      </c>
      <c r="F1126" s="116">
        <v>2597.1999999999998</v>
      </c>
      <c r="G1126">
        <v>6624</v>
      </c>
      <c r="H1126" s="116"/>
      <c r="I1126" s="116"/>
      <c r="L1126" s="170">
        <v>45302</v>
      </c>
      <c r="M1126" s="116">
        <v>2599.9</v>
      </c>
      <c r="N1126" s="116">
        <v>2610</v>
      </c>
      <c r="O1126" s="116">
        <v>2584.65</v>
      </c>
      <c r="P1126" s="116">
        <v>2590.0500000000002</v>
      </c>
      <c r="Q1126" s="116">
        <v>2599.9</v>
      </c>
      <c r="R1126">
        <v>205839</v>
      </c>
    </row>
    <row r="1127" spans="1:18" x14ac:dyDescent="0.25">
      <c r="A1127" s="170">
        <v>45303</v>
      </c>
      <c r="B1127" s="116">
        <v>2629.9</v>
      </c>
      <c r="C1127" s="116">
        <v>2593.6999999999998</v>
      </c>
      <c r="D1127" s="116">
        <v>2589.35</v>
      </c>
      <c r="E1127" s="116">
        <v>2600</v>
      </c>
      <c r="F1127" s="116">
        <v>2593.6999999999998</v>
      </c>
      <c r="G1127">
        <v>3357</v>
      </c>
      <c r="H1127" s="116"/>
      <c r="I1127" s="116"/>
      <c r="L1127" s="170">
        <v>45303</v>
      </c>
      <c r="M1127" s="116">
        <v>2593.5500000000002</v>
      </c>
      <c r="N1127" s="116">
        <v>2629.9</v>
      </c>
      <c r="O1127" s="116">
        <v>2588</v>
      </c>
      <c r="P1127" s="116">
        <v>2600.0500000000002</v>
      </c>
      <c r="Q1127" s="116">
        <v>2593.5500000000002</v>
      </c>
      <c r="R1127">
        <v>213053</v>
      </c>
    </row>
    <row r="1128" spans="1:18" x14ac:dyDescent="0.25">
      <c r="A1128" s="170">
        <v>45306</v>
      </c>
      <c r="B1128" s="116">
        <v>2629.5</v>
      </c>
      <c r="C1128" s="116">
        <v>2618.9499999999998</v>
      </c>
      <c r="D1128" s="116">
        <v>2567.5</v>
      </c>
      <c r="E1128" s="116">
        <v>2607.3000000000002</v>
      </c>
      <c r="F1128" s="116">
        <v>2618.9499999999998</v>
      </c>
      <c r="G1128">
        <v>11189</v>
      </c>
      <c r="H1128" s="116"/>
      <c r="I1128" s="116"/>
      <c r="L1128" s="170">
        <v>45306</v>
      </c>
      <c r="M1128" s="116">
        <v>2619.8000000000002</v>
      </c>
      <c r="N1128" s="116">
        <v>2630</v>
      </c>
      <c r="O1128" s="116">
        <v>2566.5</v>
      </c>
      <c r="P1128" s="116">
        <v>2609.9</v>
      </c>
      <c r="Q1128" s="116">
        <v>2619.8000000000002</v>
      </c>
      <c r="R1128">
        <v>262171</v>
      </c>
    </row>
    <row r="1129" spans="1:18" x14ac:dyDescent="0.25">
      <c r="A1129" s="170">
        <v>45307</v>
      </c>
      <c r="B1129" s="116">
        <v>2698</v>
      </c>
      <c r="C1129" s="116">
        <v>2653.35</v>
      </c>
      <c r="D1129" s="116">
        <v>2617.1999999999998</v>
      </c>
      <c r="E1129" s="116">
        <v>2622.3</v>
      </c>
      <c r="F1129" s="116">
        <v>2653.35</v>
      </c>
      <c r="G1129">
        <v>5558</v>
      </c>
      <c r="H1129" s="116"/>
      <c r="I1129" s="116"/>
      <c r="L1129" s="170">
        <v>45307</v>
      </c>
      <c r="M1129" s="116">
        <v>2654.2</v>
      </c>
      <c r="N1129" s="116">
        <v>2700.8</v>
      </c>
      <c r="O1129" s="116">
        <v>2611.4499999999998</v>
      </c>
      <c r="P1129" s="116">
        <v>2624.9</v>
      </c>
      <c r="Q1129" s="116">
        <v>2654.2</v>
      </c>
      <c r="R1129">
        <v>259288</v>
      </c>
    </row>
    <row r="1130" spans="1:18" x14ac:dyDescent="0.25">
      <c r="A1130" s="170">
        <v>45308</v>
      </c>
      <c r="B1130" s="116">
        <v>2682.45</v>
      </c>
      <c r="C1130" s="116">
        <v>2600.15</v>
      </c>
      <c r="D1130" s="116">
        <v>2594.9</v>
      </c>
      <c r="E1130" s="116">
        <v>2682.45</v>
      </c>
      <c r="F1130" s="116">
        <v>2600.15</v>
      </c>
      <c r="G1130">
        <v>3373</v>
      </c>
      <c r="H1130" s="116"/>
      <c r="I1130" s="116"/>
      <c r="L1130" s="170">
        <v>45308</v>
      </c>
      <c r="M1130" s="116">
        <v>2601.0500000000002</v>
      </c>
      <c r="N1130" s="116">
        <v>2659</v>
      </c>
      <c r="O1130" s="116">
        <v>2595</v>
      </c>
      <c r="P1130" s="116">
        <v>2643.55</v>
      </c>
      <c r="Q1130" s="116">
        <v>2601.0500000000002</v>
      </c>
      <c r="R1130">
        <v>112781</v>
      </c>
    </row>
    <row r="1131" spans="1:18" x14ac:dyDescent="0.25">
      <c r="A1131" s="170">
        <v>45309</v>
      </c>
      <c r="B1131" s="116">
        <v>2633.25</v>
      </c>
      <c r="C1131" s="116">
        <v>2472.1</v>
      </c>
      <c r="D1131" s="116">
        <v>2395</v>
      </c>
      <c r="E1131" s="116">
        <v>2602</v>
      </c>
      <c r="F1131" s="116">
        <v>2472.1</v>
      </c>
      <c r="G1131">
        <v>68122</v>
      </c>
      <c r="H1131" s="116"/>
      <c r="I1131" s="116"/>
      <c r="L1131" s="170">
        <v>45309</v>
      </c>
      <c r="M1131" s="116">
        <v>2488.65</v>
      </c>
      <c r="N1131" s="116">
        <v>2636</v>
      </c>
      <c r="O1131" s="116">
        <v>2393.35</v>
      </c>
      <c r="P1131" s="116">
        <v>2600</v>
      </c>
      <c r="Q1131" s="116">
        <v>2488.65</v>
      </c>
      <c r="R1131">
        <v>762462</v>
      </c>
    </row>
    <row r="1132" spans="1:18" x14ac:dyDescent="0.25">
      <c r="A1132" s="170">
        <v>45310</v>
      </c>
      <c r="B1132" s="116">
        <v>2706.45</v>
      </c>
      <c r="C1132" s="116">
        <v>2633</v>
      </c>
      <c r="D1132" s="116">
        <v>2500.0500000000002</v>
      </c>
      <c r="E1132" s="116">
        <v>2515</v>
      </c>
      <c r="F1132" s="116">
        <v>2633</v>
      </c>
      <c r="G1132">
        <v>27809</v>
      </c>
      <c r="H1132" s="116"/>
      <c r="I1132" s="116"/>
      <c r="L1132" s="170">
        <v>45310</v>
      </c>
      <c r="M1132" s="116">
        <v>2633.5</v>
      </c>
      <c r="N1132" s="116">
        <v>2704.95</v>
      </c>
      <c r="O1132" s="116">
        <v>2501.35</v>
      </c>
      <c r="P1132" s="116">
        <v>2509.0500000000002</v>
      </c>
      <c r="Q1132" s="116">
        <v>2633.5</v>
      </c>
      <c r="R1132">
        <v>1153028</v>
      </c>
    </row>
    <row r="1133" spans="1:18" x14ac:dyDescent="0.25">
      <c r="A1133" s="170">
        <v>45311</v>
      </c>
      <c r="B1133" s="116">
        <v>2679.9</v>
      </c>
      <c r="C1133" s="116">
        <v>2573.6999999999998</v>
      </c>
      <c r="D1133" s="116">
        <v>2554.0500000000002</v>
      </c>
      <c r="E1133" s="116">
        <v>2679.9</v>
      </c>
      <c r="F1133" s="116">
        <v>2573.6999999999998</v>
      </c>
      <c r="G1133">
        <v>5885</v>
      </c>
      <c r="H1133" s="116"/>
      <c r="I1133" s="116"/>
      <c r="L1133" s="170">
        <v>45311</v>
      </c>
      <c r="M1133" s="116">
        <v>2573.3000000000002</v>
      </c>
      <c r="N1133" s="116">
        <v>2654</v>
      </c>
      <c r="O1133" s="116">
        <v>2551</v>
      </c>
      <c r="P1133" s="116">
        <v>2654</v>
      </c>
      <c r="Q1133" s="116">
        <v>2573.3000000000002</v>
      </c>
      <c r="R1133">
        <v>214466</v>
      </c>
    </row>
    <row r="1134" spans="1:18" x14ac:dyDescent="0.25">
      <c r="A1134" s="170">
        <v>45314</v>
      </c>
      <c r="B1134" s="116">
        <v>2601.1</v>
      </c>
      <c r="C1134" s="116">
        <v>2434.6999999999998</v>
      </c>
      <c r="D1134" s="116">
        <v>2423.5</v>
      </c>
      <c r="E1134" s="116">
        <v>2575.8000000000002</v>
      </c>
      <c r="F1134" s="116">
        <v>2434.6999999999998</v>
      </c>
      <c r="G1134">
        <v>30724</v>
      </c>
      <c r="H1134" s="116"/>
      <c r="I1134" s="116"/>
      <c r="L1134" s="170">
        <v>45314</v>
      </c>
      <c r="M1134" s="116">
        <v>2439.0500000000002</v>
      </c>
      <c r="N1134" s="116">
        <v>2600</v>
      </c>
      <c r="O1134" s="116">
        <v>2421</v>
      </c>
      <c r="P1134" s="116">
        <v>2579</v>
      </c>
      <c r="Q1134" s="116">
        <v>2439.0500000000002</v>
      </c>
      <c r="R1134">
        <v>315494</v>
      </c>
    </row>
    <row r="1135" spans="1:18" x14ac:dyDescent="0.25">
      <c r="A1135" s="170">
        <v>45315</v>
      </c>
      <c r="B1135" s="116">
        <v>2493.8000000000002</v>
      </c>
      <c r="C1135" s="116">
        <v>2449.4499999999998</v>
      </c>
      <c r="D1135" s="116">
        <v>2417.35</v>
      </c>
      <c r="E1135" s="116">
        <v>2493.8000000000002</v>
      </c>
      <c r="F1135" s="116">
        <v>2449.4499999999998</v>
      </c>
      <c r="G1135">
        <v>5514</v>
      </c>
      <c r="H1135" s="116"/>
      <c r="I1135" s="116"/>
      <c r="L1135" s="170">
        <v>45315</v>
      </c>
      <c r="M1135" s="116">
        <v>2449.5</v>
      </c>
      <c r="N1135" s="116">
        <v>2466.85</v>
      </c>
      <c r="O1135" s="116">
        <v>2416.65</v>
      </c>
      <c r="P1135" s="116">
        <v>2466.85</v>
      </c>
      <c r="Q1135" s="116">
        <v>2449.5</v>
      </c>
      <c r="R1135">
        <v>201678</v>
      </c>
    </row>
    <row r="1136" spans="1:18" x14ac:dyDescent="0.25">
      <c r="A1136" s="170">
        <v>45316</v>
      </c>
      <c r="B1136" s="116">
        <v>2468</v>
      </c>
      <c r="C1136" s="116">
        <v>2449.8000000000002</v>
      </c>
      <c r="D1136" s="116">
        <v>2436.6</v>
      </c>
      <c r="E1136" s="116">
        <v>2450.9</v>
      </c>
      <c r="F1136" s="116">
        <v>2449.8000000000002</v>
      </c>
      <c r="G1136">
        <v>2849</v>
      </c>
      <c r="H1136" s="116"/>
      <c r="I1136" s="116"/>
      <c r="L1136" s="170">
        <v>45316</v>
      </c>
      <c r="M1136" s="116">
        <v>2449.1999999999998</v>
      </c>
      <c r="N1136" s="116">
        <v>2467.15</v>
      </c>
      <c r="O1136" s="116">
        <v>2435.1</v>
      </c>
      <c r="P1136" s="116">
        <v>2454.4499999999998</v>
      </c>
      <c r="Q1136" s="116">
        <v>2449.1999999999998</v>
      </c>
      <c r="R1136">
        <v>161178</v>
      </c>
    </row>
    <row r="1137" spans="1:18" x14ac:dyDescent="0.25">
      <c r="A1137" s="170">
        <v>45320</v>
      </c>
      <c r="B1137" s="116">
        <v>2538</v>
      </c>
      <c r="C1137" s="116">
        <v>2529.75</v>
      </c>
      <c r="D1137" s="116">
        <v>2440.8000000000002</v>
      </c>
      <c r="E1137" s="116">
        <v>2461.4499999999998</v>
      </c>
      <c r="F1137" s="116">
        <v>2529.75</v>
      </c>
      <c r="G1137">
        <v>12253</v>
      </c>
      <c r="H1137" s="116"/>
      <c r="I1137" s="116"/>
      <c r="L1137" s="170">
        <v>45320</v>
      </c>
      <c r="M1137" s="116">
        <v>2529.65</v>
      </c>
      <c r="N1137" s="116">
        <v>2539</v>
      </c>
      <c r="O1137" s="116">
        <v>2438.5500000000002</v>
      </c>
      <c r="P1137" s="116">
        <v>2469.9499999999998</v>
      </c>
      <c r="Q1137" s="116">
        <v>2529.65</v>
      </c>
      <c r="R1137">
        <v>151380</v>
      </c>
    </row>
    <row r="1138" spans="1:18" x14ac:dyDescent="0.25">
      <c r="A1138" s="170">
        <v>45321</v>
      </c>
      <c r="B1138" s="116">
        <v>2568.85</v>
      </c>
      <c r="C1138" s="116">
        <v>2498.5</v>
      </c>
      <c r="D1138" s="116">
        <v>2490</v>
      </c>
      <c r="E1138" s="116">
        <v>2568.85</v>
      </c>
      <c r="F1138" s="116">
        <v>2498.5</v>
      </c>
      <c r="G1138">
        <v>6823</v>
      </c>
      <c r="H1138" s="116"/>
      <c r="I1138" s="116"/>
      <c r="L1138" s="170">
        <v>45321</v>
      </c>
      <c r="M1138" s="116">
        <v>2499.6</v>
      </c>
      <c r="N1138" s="116">
        <v>2557.5</v>
      </c>
      <c r="O1138" s="116">
        <v>2488.85</v>
      </c>
      <c r="P1138" s="116">
        <v>2557.5</v>
      </c>
      <c r="Q1138" s="116">
        <v>2499.6</v>
      </c>
      <c r="R1138">
        <v>135834</v>
      </c>
    </row>
    <row r="1139" spans="1:18" x14ac:dyDescent="0.25">
      <c r="A1139" s="170">
        <v>45322</v>
      </c>
      <c r="B1139" s="116">
        <v>2528.4499999999998</v>
      </c>
      <c r="C1139" s="116">
        <v>2518.4499999999998</v>
      </c>
      <c r="D1139" s="116">
        <v>2462</v>
      </c>
      <c r="E1139" s="116">
        <v>2525</v>
      </c>
      <c r="F1139" s="116">
        <v>2518.4499999999998</v>
      </c>
      <c r="G1139">
        <v>3394</v>
      </c>
      <c r="H1139" s="116"/>
      <c r="I1139" s="116"/>
      <c r="L1139" s="170">
        <v>45322</v>
      </c>
      <c r="M1139" s="116">
        <v>2521.35</v>
      </c>
      <c r="N1139" s="116">
        <v>2528.9499999999998</v>
      </c>
      <c r="O1139" s="116">
        <v>2461.4499999999998</v>
      </c>
      <c r="P1139" s="116">
        <v>2500</v>
      </c>
      <c r="Q1139" s="116">
        <v>2521.35</v>
      </c>
      <c r="R1139">
        <v>222003</v>
      </c>
    </row>
    <row r="1140" spans="1:18" x14ac:dyDescent="0.25">
      <c r="A1140" s="170">
        <v>45323</v>
      </c>
      <c r="B1140" s="116">
        <v>2563.8000000000002</v>
      </c>
      <c r="C1140" s="116">
        <v>2558.35</v>
      </c>
      <c r="D1140" s="116">
        <v>2495.6</v>
      </c>
      <c r="E1140" s="116">
        <v>2531.25</v>
      </c>
      <c r="F1140" s="116">
        <v>2558.35</v>
      </c>
      <c r="G1140">
        <v>5224</v>
      </c>
      <c r="H1140" s="116"/>
      <c r="I1140" s="116"/>
      <c r="L1140" s="170">
        <v>45323</v>
      </c>
      <c r="M1140" s="116">
        <v>2559.8000000000002</v>
      </c>
      <c r="N1140" s="116">
        <v>2565</v>
      </c>
      <c r="O1140" s="116">
        <v>2495.1</v>
      </c>
      <c r="P1140" s="116">
        <v>2500</v>
      </c>
      <c r="Q1140" s="116">
        <v>2559.8000000000002</v>
      </c>
      <c r="R1140">
        <v>131131</v>
      </c>
    </row>
    <row r="1141" spans="1:18" x14ac:dyDescent="0.25">
      <c r="A1141" s="170">
        <v>45324</v>
      </c>
      <c r="B1141" s="116">
        <v>2580</v>
      </c>
      <c r="C1141" s="116">
        <v>2563.1</v>
      </c>
      <c r="D1141" s="116">
        <v>2539</v>
      </c>
      <c r="E1141" s="116">
        <v>2569.9499999999998</v>
      </c>
      <c r="F1141" s="116">
        <v>2563.1</v>
      </c>
      <c r="G1141">
        <v>3036</v>
      </c>
      <c r="H1141" s="116"/>
      <c r="I1141" s="116"/>
      <c r="L1141" s="170">
        <v>45324</v>
      </c>
      <c r="M1141" s="116">
        <v>2562.0500000000002</v>
      </c>
      <c r="N1141" s="116">
        <v>2583.85</v>
      </c>
      <c r="O1141" s="116">
        <v>2536.0500000000002</v>
      </c>
      <c r="P1141" s="116">
        <v>2560</v>
      </c>
      <c r="Q1141" s="116">
        <v>2562.0500000000002</v>
      </c>
      <c r="R1141">
        <v>164721</v>
      </c>
    </row>
    <row r="1142" spans="1:18" x14ac:dyDescent="0.25">
      <c r="A1142" s="170">
        <v>45327</v>
      </c>
      <c r="B1142" s="116">
        <v>2617.1</v>
      </c>
      <c r="C1142" s="116">
        <v>2588.4499999999998</v>
      </c>
      <c r="D1142" s="116">
        <v>2522</v>
      </c>
      <c r="E1142" s="116">
        <v>2559.0500000000002</v>
      </c>
      <c r="F1142" s="116">
        <v>2588.4499999999998</v>
      </c>
      <c r="G1142">
        <v>16694</v>
      </c>
      <c r="H1142" s="116"/>
      <c r="I1142" s="116"/>
      <c r="L1142" s="170">
        <v>45327</v>
      </c>
      <c r="M1142" s="116">
        <v>2589.3000000000002</v>
      </c>
      <c r="N1142" s="116">
        <v>2618</v>
      </c>
      <c r="O1142" s="116">
        <v>2522.9</v>
      </c>
      <c r="P1142" s="116">
        <v>2550</v>
      </c>
      <c r="Q1142" s="116">
        <v>2589.3000000000002</v>
      </c>
      <c r="R1142">
        <v>195914</v>
      </c>
    </row>
    <row r="1143" spans="1:18" x14ac:dyDescent="0.25">
      <c r="A1143" s="170">
        <v>45328</v>
      </c>
      <c r="B1143" s="116">
        <v>2616.9499999999998</v>
      </c>
      <c r="C1143" s="116">
        <v>2600.5500000000002</v>
      </c>
      <c r="D1143" s="116">
        <v>2564</v>
      </c>
      <c r="E1143" s="116">
        <v>2575.15</v>
      </c>
      <c r="F1143" s="116">
        <v>2600.5500000000002</v>
      </c>
      <c r="G1143">
        <v>6724</v>
      </c>
      <c r="H1143" s="116"/>
      <c r="I1143" s="116"/>
      <c r="L1143" s="170">
        <v>45328</v>
      </c>
      <c r="M1143" s="116">
        <v>2601.9</v>
      </c>
      <c r="N1143" s="116">
        <v>2618</v>
      </c>
      <c r="O1143" s="116">
        <v>2563.0500000000002</v>
      </c>
      <c r="P1143" s="116">
        <v>2588.9499999999998</v>
      </c>
      <c r="Q1143" s="116">
        <v>2601.9</v>
      </c>
      <c r="R1143">
        <v>231165</v>
      </c>
    </row>
    <row r="1144" spans="1:18" x14ac:dyDescent="0.25">
      <c r="A1144" s="170">
        <v>45329</v>
      </c>
      <c r="B1144" s="116">
        <v>2685</v>
      </c>
      <c r="C1144" s="116">
        <v>2673.85</v>
      </c>
      <c r="D1144" s="116">
        <v>2603.1999999999998</v>
      </c>
      <c r="E1144" s="116">
        <v>2611.6</v>
      </c>
      <c r="F1144" s="116">
        <v>2673.85</v>
      </c>
      <c r="G1144">
        <v>4249</v>
      </c>
      <c r="H1144" s="116"/>
      <c r="I1144" s="116"/>
      <c r="L1144" s="170">
        <v>45329</v>
      </c>
      <c r="M1144" s="116">
        <v>2673.6</v>
      </c>
      <c r="N1144" s="116">
        <v>2687</v>
      </c>
      <c r="O1144" s="116">
        <v>2603.0500000000002</v>
      </c>
      <c r="P1144" s="116">
        <v>2605</v>
      </c>
      <c r="Q1144" s="116">
        <v>2673.6</v>
      </c>
      <c r="R1144">
        <v>335789</v>
      </c>
    </row>
    <row r="1145" spans="1:18" x14ac:dyDescent="0.25">
      <c r="A1145" s="170">
        <v>45330</v>
      </c>
      <c r="B1145" s="116">
        <v>2715.6</v>
      </c>
      <c r="C1145" s="116">
        <v>2682.75</v>
      </c>
      <c r="D1145" s="116">
        <v>2665</v>
      </c>
      <c r="E1145" s="116">
        <v>2699.45</v>
      </c>
      <c r="F1145" s="116">
        <v>2682.75</v>
      </c>
      <c r="G1145">
        <v>19329</v>
      </c>
      <c r="H1145" s="116"/>
      <c r="I1145" s="116"/>
      <c r="L1145" s="170">
        <v>45330</v>
      </c>
      <c r="M1145" s="116">
        <v>2687.4</v>
      </c>
      <c r="N1145" s="116">
        <v>2717.5</v>
      </c>
      <c r="O1145" s="116">
        <v>2665</v>
      </c>
      <c r="P1145" s="116">
        <v>2693</v>
      </c>
      <c r="Q1145" s="116">
        <v>2687.4</v>
      </c>
      <c r="R1145">
        <v>359407</v>
      </c>
    </row>
    <row r="1146" spans="1:18" x14ac:dyDescent="0.25">
      <c r="A1146" s="170">
        <v>45331</v>
      </c>
      <c r="B1146" s="116">
        <v>2709.7</v>
      </c>
      <c r="C1146" s="116">
        <v>2694.1</v>
      </c>
      <c r="D1146" s="116">
        <v>2650</v>
      </c>
      <c r="E1146" s="116">
        <v>2690.15</v>
      </c>
      <c r="F1146" s="116">
        <v>2694.1</v>
      </c>
      <c r="G1146">
        <v>2611</v>
      </c>
      <c r="H1146" s="116"/>
      <c r="I1146" s="116"/>
      <c r="L1146" s="170">
        <v>45331</v>
      </c>
      <c r="M1146" s="116">
        <v>2696.6</v>
      </c>
      <c r="N1146" s="116">
        <v>2711.4</v>
      </c>
      <c r="O1146" s="116">
        <v>2649.85</v>
      </c>
      <c r="P1146" s="116">
        <v>2699</v>
      </c>
      <c r="Q1146" s="116">
        <v>2696.6</v>
      </c>
      <c r="R1146">
        <v>169477</v>
      </c>
    </row>
    <row r="1147" spans="1:18" x14ac:dyDescent="0.25">
      <c r="A1147" s="170">
        <v>45334</v>
      </c>
      <c r="B1147" s="116">
        <v>2767.75</v>
      </c>
      <c r="C1147" s="116">
        <v>2743.95</v>
      </c>
      <c r="D1147" s="116">
        <v>2693.75</v>
      </c>
      <c r="E1147" s="116">
        <v>2693.75</v>
      </c>
      <c r="F1147" s="116">
        <v>2743.95</v>
      </c>
      <c r="G1147">
        <v>8703</v>
      </c>
      <c r="H1147" s="116"/>
      <c r="I1147" s="116"/>
      <c r="L1147" s="170">
        <v>45334</v>
      </c>
      <c r="M1147" s="116">
        <v>2742.75</v>
      </c>
      <c r="N1147" s="116">
        <v>2769.9</v>
      </c>
      <c r="O1147" s="116">
        <v>2696</v>
      </c>
      <c r="P1147" s="116">
        <v>2696.95</v>
      </c>
      <c r="Q1147" s="116">
        <v>2742.75</v>
      </c>
      <c r="R1147">
        <v>329465</v>
      </c>
    </row>
    <row r="1148" spans="1:18" x14ac:dyDescent="0.25">
      <c r="A1148" s="170">
        <v>45335</v>
      </c>
      <c r="B1148" s="116">
        <v>2759.85</v>
      </c>
      <c r="C1148" s="116">
        <v>2698.45</v>
      </c>
      <c r="D1148" s="116">
        <v>2640.35</v>
      </c>
      <c r="E1148" s="116">
        <v>2759.85</v>
      </c>
      <c r="F1148" s="116">
        <v>2698.45</v>
      </c>
      <c r="G1148">
        <v>12600</v>
      </c>
      <c r="H1148" s="116"/>
      <c r="I1148" s="116"/>
      <c r="L1148" s="170">
        <v>45335</v>
      </c>
      <c r="M1148" s="116">
        <v>2699.65</v>
      </c>
      <c r="N1148" s="116">
        <v>2745</v>
      </c>
      <c r="O1148" s="116">
        <v>2640.95</v>
      </c>
      <c r="P1148" s="116">
        <v>2742.8</v>
      </c>
      <c r="Q1148" s="116">
        <v>2699.65</v>
      </c>
      <c r="R1148">
        <v>197533</v>
      </c>
    </row>
    <row r="1149" spans="1:18" x14ac:dyDescent="0.25">
      <c r="A1149" s="170">
        <v>45336</v>
      </c>
      <c r="B1149" s="116">
        <v>2729.5</v>
      </c>
      <c r="C1149" s="116">
        <v>2706</v>
      </c>
      <c r="D1149" s="116">
        <v>2676.15</v>
      </c>
      <c r="E1149" s="116">
        <v>2676.15</v>
      </c>
      <c r="F1149" s="116">
        <v>2706</v>
      </c>
      <c r="G1149">
        <v>2922</v>
      </c>
      <c r="H1149" s="116"/>
      <c r="I1149" s="116"/>
      <c r="L1149" s="170">
        <v>45336</v>
      </c>
      <c r="M1149" s="116">
        <v>2705.15</v>
      </c>
      <c r="N1149" s="116">
        <v>2731.05</v>
      </c>
      <c r="O1149" s="116">
        <v>2676.05</v>
      </c>
      <c r="P1149" s="116">
        <v>2726.6</v>
      </c>
      <c r="Q1149" s="116">
        <v>2705.15</v>
      </c>
      <c r="R1149">
        <v>204700</v>
      </c>
    </row>
    <row r="1150" spans="1:18" x14ac:dyDescent="0.25">
      <c r="A1150" s="170">
        <v>45337</v>
      </c>
      <c r="B1150" s="116">
        <v>2744.15</v>
      </c>
      <c r="C1150" s="116">
        <v>2729.05</v>
      </c>
      <c r="D1150" s="116">
        <v>2685.2</v>
      </c>
      <c r="E1150" s="116">
        <v>2706.7</v>
      </c>
      <c r="F1150" s="116">
        <v>2729.05</v>
      </c>
      <c r="G1150">
        <v>6375</v>
      </c>
      <c r="H1150" s="116"/>
      <c r="I1150" s="116"/>
      <c r="L1150" s="170">
        <v>45337</v>
      </c>
      <c r="M1150" s="116">
        <v>2731.3</v>
      </c>
      <c r="N1150" s="116">
        <v>2744.8</v>
      </c>
      <c r="O1150" s="116">
        <v>2686.05</v>
      </c>
      <c r="P1150" s="116">
        <v>2710</v>
      </c>
      <c r="Q1150" s="116">
        <v>2731.3</v>
      </c>
      <c r="R1150">
        <v>187499</v>
      </c>
    </row>
    <row r="1151" spans="1:18" x14ac:dyDescent="0.25">
      <c r="A1151" s="170">
        <v>45338</v>
      </c>
      <c r="B1151" s="116">
        <v>2786.6</v>
      </c>
      <c r="C1151" s="116">
        <v>2774.1</v>
      </c>
      <c r="D1151" s="116">
        <v>2714.5</v>
      </c>
      <c r="E1151" s="116">
        <v>2725.15</v>
      </c>
      <c r="F1151" s="116">
        <v>2774.1</v>
      </c>
      <c r="G1151">
        <v>4722</v>
      </c>
      <c r="H1151" s="116"/>
      <c r="I1151" s="116"/>
      <c r="L1151" s="170">
        <v>45338</v>
      </c>
      <c r="M1151" s="116">
        <v>2775.15</v>
      </c>
      <c r="N1151" s="116">
        <v>2787</v>
      </c>
      <c r="O1151" s="116">
        <v>2713.5</v>
      </c>
      <c r="P1151" s="116">
        <v>2732.25</v>
      </c>
      <c r="Q1151" s="116">
        <v>2775.15</v>
      </c>
      <c r="R1151">
        <v>265631</v>
      </c>
    </row>
    <row r="1152" spans="1:18" x14ac:dyDescent="0.25">
      <c r="A1152" s="170">
        <v>45341</v>
      </c>
      <c r="B1152" s="116">
        <v>2803.6</v>
      </c>
      <c r="C1152" s="116">
        <v>2778.6</v>
      </c>
      <c r="D1152" s="116">
        <v>2759.95</v>
      </c>
      <c r="E1152" s="116">
        <v>2773.85</v>
      </c>
      <c r="F1152" s="116">
        <v>2778.6</v>
      </c>
      <c r="G1152">
        <v>2550</v>
      </c>
      <c r="H1152" s="116"/>
      <c r="I1152" s="116"/>
      <c r="L1152" s="170">
        <v>45341</v>
      </c>
      <c r="M1152" s="116">
        <v>2778</v>
      </c>
      <c r="N1152" s="116">
        <v>2805</v>
      </c>
      <c r="O1152" s="116">
        <v>2757.65</v>
      </c>
      <c r="P1152" s="116">
        <v>2765.05</v>
      </c>
      <c r="Q1152" s="116">
        <v>2778</v>
      </c>
      <c r="R1152">
        <v>364299</v>
      </c>
    </row>
    <row r="1153" spans="1:18" x14ac:dyDescent="0.25">
      <c r="A1153" s="170">
        <v>45342</v>
      </c>
      <c r="B1153" s="116">
        <v>2791.75</v>
      </c>
      <c r="C1153" s="116">
        <v>2777.65</v>
      </c>
      <c r="D1153" s="116">
        <v>2734.1</v>
      </c>
      <c r="E1153" s="116">
        <v>2769.45</v>
      </c>
      <c r="F1153" s="116">
        <v>2777.65</v>
      </c>
      <c r="G1153">
        <v>7204</v>
      </c>
      <c r="H1153" s="116"/>
      <c r="I1153" s="116"/>
      <c r="L1153" s="170">
        <v>45342</v>
      </c>
      <c r="M1153" s="116">
        <v>2784.05</v>
      </c>
      <c r="N1153" s="116">
        <v>2793.1</v>
      </c>
      <c r="O1153" s="116">
        <v>2736.05</v>
      </c>
      <c r="P1153" s="116">
        <v>2780</v>
      </c>
      <c r="Q1153" s="116">
        <v>2784.05</v>
      </c>
      <c r="R1153">
        <v>359208</v>
      </c>
    </row>
    <row r="1154" spans="1:18" x14ac:dyDescent="0.25">
      <c r="A1154" s="170">
        <v>45343</v>
      </c>
      <c r="B1154" s="116">
        <v>2799.65</v>
      </c>
      <c r="C1154" s="116">
        <v>2717.85</v>
      </c>
      <c r="D1154" s="116">
        <v>2691</v>
      </c>
      <c r="E1154" s="116">
        <v>2799.65</v>
      </c>
      <c r="F1154" s="116">
        <v>2717.85</v>
      </c>
      <c r="G1154">
        <v>5901</v>
      </c>
      <c r="H1154" s="116"/>
      <c r="I1154" s="116"/>
      <c r="L1154" s="170">
        <v>45343</v>
      </c>
      <c r="M1154" s="116">
        <v>2718.7</v>
      </c>
      <c r="N1154" s="116">
        <v>2786.65</v>
      </c>
      <c r="O1154" s="116">
        <v>2687.5</v>
      </c>
      <c r="P1154" s="116">
        <v>2784.1</v>
      </c>
      <c r="Q1154" s="116">
        <v>2718.7</v>
      </c>
      <c r="R1154">
        <v>295911</v>
      </c>
    </row>
    <row r="1155" spans="1:18" x14ac:dyDescent="0.25">
      <c r="A1155" s="170">
        <v>45344</v>
      </c>
      <c r="B1155" s="116">
        <v>2726.05</v>
      </c>
      <c r="C1155" s="116">
        <v>2705.3</v>
      </c>
      <c r="D1155" s="116">
        <v>2686.55</v>
      </c>
      <c r="E1155" s="116">
        <v>2707.65</v>
      </c>
      <c r="F1155" s="116">
        <v>2705.3</v>
      </c>
      <c r="G1155">
        <v>7685</v>
      </c>
      <c r="H1155" s="116"/>
      <c r="I1155" s="116"/>
      <c r="L1155" s="170">
        <v>45344</v>
      </c>
      <c r="M1155" s="116">
        <v>2707.1</v>
      </c>
      <c r="N1155" s="116">
        <v>2727.95</v>
      </c>
      <c r="O1155" s="116">
        <v>2685</v>
      </c>
      <c r="P1155" s="116">
        <v>2718.65</v>
      </c>
      <c r="Q1155" s="116">
        <v>2707.1</v>
      </c>
      <c r="R1155">
        <v>156632</v>
      </c>
    </row>
    <row r="1156" spans="1:18" x14ac:dyDescent="0.25">
      <c r="A1156" s="170">
        <v>45345</v>
      </c>
      <c r="B1156" s="116">
        <v>2720.25</v>
      </c>
      <c r="C1156" s="116">
        <v>2669</v>
      </c>
      <c r="D1156" s="116">
        <v>2662.05</v>
      </c>
      <c r="E1156" s="116">
        <v>2718.35</v>
      </c>
      <c r="F1156" s="116">
        <v>2669</v>
      </c>
      <c r="G1156">
        <v>3544</v>
      </c>
      <c r="H1156" s="116"/>
      <c r="I1156" s="116"/>
      <c r="L1156" s="170">
        <v>45345</v>
      </c>
      <c r="M1156" s="116">
        <v>2670.95</v>
      </c>
      <c r="N1156" s="116">
        <v>2739</v>
      </c>
      <c r="O1156" s="116">
        <v>2660.1</v>
      </c>
      <c r="P1156" s="116">
        <v>2739</v>
      </c>
      <c r="Q1156" s="116">
        <v>2670.95</v>
      </c>
      <c r="R1156">
        <v>142064</v>
      </c>
    </row>
    <row r="1157" spans="1:18" x14ac:dyDescent="0.25">
      <c r="A1157" s="170">
        <v>45348</v>
      </c>
      <c r="B1157" s="116">
        <v>2705.65</v>
      </c>
      <c r="C1157" s="116">
        <v>2684.5</v>
      </c>
      <c r="D1157" s="116">
        <v>2655.75</v>
      </c>
      <c r="E1157" s="116">
        <v>2679.8</v>
      </c>
      <c r="F1157" s="116">
        <v>2684.5</v>
      </c>
      <c r="G1157">
        <v>3740</v>
      </c>
      <c r="H1157" s="116"/>
      <c r="I1157" s="116"/>
      <c r="L1157" s="170">
        <v>45348</v>
      </c>
      <c r="M1157" s="116">
        <v>2680.8</v>
      </c>
      <c r="N1157" s="116">
        <v>2705.3</v>
      </c>
      <c r="O1157" s="116">
        <v>2655.05</v>
      </c>
      <c r="P1157" s="116">
        <v>2670</v>
      </c>
      <c r="Q1157" s="116">
        <v>2680.8</v>
      </c>
      <c r="R1157">
        <v>120684</v>
      </c>
    </row>
    <row r="1158" spans="1:18" x14ac:dyDescent="0.25">
      <c r="A1158" s="170">
        <v>45349</v>
      </c>
      <c r="B1158" s="116">
        <v>2713.55</v>
      </c>
      <c r="C1158" s="116">
        <v>2709.15</v>
      </c>
      <c r="D1158" s="116">
        <v>2670</v>
      </c>
      <c r="E1158" s="116">
        <v>2675.15</v>
      </c>
      <c r="F1158" s="116">
        <v>2709.15</v>
      </c>
      <c r="G1158">
        <v>8740</v>
      </c>
      <c r="H1158" s="116"/>
      <c r="I1158" s="116"/>
      <c r="L1158" s="170">
        <v>45349</v>
      </c>
      <c r="M1158" s="116">
        <v>2711.25</v>
      </c>
      <c r="N1158" s="116">
        <v>2714.45</v>
      </c>
      <c r="O1158" s="116">
        <v>2669.05</v>
      </c>
      <c r="P1158" s="116">
        <v>2680.8</v>
      </c>
      <c r="Q1158" s="116">
        <v>2711.25</v>
      </c>
      <c r="R1158">
        <v>142725</v>
      </c>
    </row>
    <row r="1159" spans="1:18" x14ac:dyDescent="0.25">
      <c r="A1159" s="170">
        <v>45350</v>
      </c>
      <c r="B1159" s="116">
        <v>2735.95</v>
      </c>
      <c r="C1159" s="116">
        <v>2656.65</v>
      </c>
      <c r="D1159" s="116">
        <v>2641</v>
      </c>
      <c r="E1159" s="116">
        <v>2735.95</v>
      </c>
      <c r="F1159" s="116">
        <v>2656.65</v>
      </c>
      <c r="G1159">
        <v>3907</v>
      </c>
      <c r="H1159" s="116"/>
      <c r="I1159" s="116"/>
      <c r="L1159" s="170">
        <v>45350</v>
      </c>
      <c r="M1159" s="116">
        <v>2663.6</v>
      </c>
      <c r="N1159" s="116">
        <v>2724</v>
      </c>
      <c r="O1159" s="116">
        <v>2640.75</v>
      </c>
      <c r="P1159" s="116">
        <v>2720</v>
      </c>
      <c r="Q1159" s="116">
        <v>2663.6</v>
      </c>
      <c r="R1159">
        <v>131028</v>
      </c>
    </row>
    <row r="1160" spans="1:18" x14ac:dyDescent="0.25">
      <c r="A1160" s="170">
        <v>45351</v>
      </c>
      <c r="B1160" s="116">
        <v>2670.55</v>
      </c>
      <c r="C1160" s="116">
        <v>2652</v>
      </c>
      <c r="D1160" s="116">
        <v>2608.6999999999998</v>
      </c>
      <c r="E1160" s="116">
        <v>2657</v>
      </c>
      <c r="F1160" s="116">
        <v>2652</v>
      </c>
      <c r="G1160">
        <v>3467</v>
      </c>
      <c r="H1160" s="116"/>
      <c r="I1160" s="116"/>
      <c r="L1160" s="170">
        <v>45351</v>
      </c>
      <c r="M1160" s="116">
        <v>2654.7</v>
      </c>
      <c r="N1160" s="116">
        <v>2669.95</v>
      </c>
      <c r="O1160" s="116">
        <v>2608.15</v>
      </c>
      <c r="P1160" s="116">
        <v>2651.1</v>
      </c>
      <c r="Q1160" s="116">
        <v>2654.7</v>
      </c>
      <c r="R1160">
        <v>199709</v>
      </c>
    </row>
    <row r="1161" spans="1:18" x14ac:dyDescent="0.25">
      <c r="A1161" s="170">
        <v>45352</v>
      </c>
      <c r="B1161" s="116">
        <v>2667.85</v>
      </c>
      <c r="C1161" s="116">
        <v>2658.5</v>
      </c>
      <c r="D1161" s="116">
        <v>2625.85</v>
      </c>
      <c r="E1161" s="116">
        <v>2652</v>
      </c>
      <c r="F1161" s="116">
        <v>2658.5</v>
      </c>
      <c r="G1161">
        <v>1471</v>
      </c>
      <c r="H1161" s="116"/>
      <c r="I1161" s="116"/>
      <c r="L1161" s="170">
        <v>45352</v>
      </c>
      <c r="M1161" s="116">
        <v>2656.4</v>
      </c>
      <c r="N1161" s="116">
        <v>2669.75</v>
      </c>
      <c r="O1161" s="116">
        <v>2626.05</v>
      </c>
      <c r="P1161" s="116">
        <v>2660</v>
      </c>
      <c r="Q1161" s="116">
        <v>2656.4</v>
      </c>
      <c r="R1161">
        <v>91638</v>
      </c>
    </row>
    <row r="1162" spans="1:18" x14ac:dyDescent="0.25">
      <c r="A1162" s="170">
        <v>45353</v>
      </c>
      <c r="B1162" s="116">
        <v>2672.7</v>
      </c>
      <c r="C1162" s="116">
        <v>2654.4</v>
      </c>
      <c r="D1162" s="116">
        <v>2561.15</v>
      </c>
      <c r="E1162" s="116">
        <v>2669.95</v>
      </c>
      <c r="F1162" s="116">
        <v>2654.4</v>
      </c>
      <c r="G1162">
        <v>837</v>
      </c>
      <c r="H1162" s="116"/>
      <c r="I1162" s="116"/>
      <c r="L1162" s="170">
        <v>45353</v>
      </c>
      <c r="M1162" s="116">
        <v>2657.75</v>
      </c>
      <c r="N1162" s="116">
        <v>2675</v>
      </c>
      <c r="O1162" s="116">
        <v>2626</v>
      </c>
      <c r="P1162" s="116">
        <v>2640</v>
      </c>
      <c r="Q1162" s="116">
        <v>2657.75</v>
      </c>
      <c r="R1162">
        <v>5415</v>
      </c>
    </row>
    <row r="1163" spans="1:18" x14ac:dyDescent="0.25">
      <c r="A1163" s="170">
        <v>45355</v>
      </c>
      <c r="B1163" s="116">
        <v>2671.2</v>
      </c>
      <c r="C1163" s="116">
        <v>2625.2</v>
      </c>
      <c r="D1163" s="116">
        <v>2623.85</v>
      </c>
      <c r="E1163" s="116">
        <v>2656.25</v>
      </c>
      <c r="F1163" s="116">
        <v>2625.2</v>
      </c>
      <c r="G1163">
        <v>2019</v>
      </c>
      <c r="H1163" s="116"/>
      <c r="I1163" s="116"/>
      <c r="L1163" s="170">
        <v>45355</v>
      </c>
      <c r="M1163" s="116">
        <v>2624.65</v>
      </c>
      <c r="N1163" s="116">
        <v>2675</v>
      </c>
      <c r="O1163" s="116">
        <v>2621.0500000000002</v>
      </c>
      <c r="P1163" s="116">
        <v>2675</v>
      </c>
      <c r="Q1163" s="116">
        <v>2624.65</v>
      </c>
      <c r="R1163">
        <v>99694</v>
      </c>
    </row>
    <row r="1164" spans="1:18" x14ac:dyDescent="0.25">
      <c r="A1164" s="170">
        <v>45356</v>
      </c>
      <c r="B1164" s="116">
        <v>2660</v>
      </c>
      <c r="C1164" s="116">
        <v>2638.3</v>
      </c>
      <c r="D1164" s="116">
        <v>2607.0500000000002</v>
      </c>
      <c r="E1164" s="116">
        <v>2623</v>
      </c>
      <c r="F1164" s="116">
        <v>2638.3</v>
      </c>
      <c r="G1164">
        <v>5807</v>
      </c>
      <c r="H1164" s="116"/>
      <c r="I1164" s="116"/>
      <c r="L1164" s="170">
        <v>45356</v>
      </c>
      <c r="M1164" s="116">
        <v>2639.8</v>
      </c>
      <c r="N1164" s="116">
        <v>2659.7</v>
      </c>
      <c r="O1164" s="116">
        <v>2608.4499999999998</v>
      </c>
      <c r="P1164" s="116">
        <v>2624.65</v>
      </c>
      <c r="Q1164" s="116">
        <v>2639.8</v>
      </c>
      <c r="R1164">
        <v>89344</v>
      </c>
    </row>
    <row r="1165" spans="1:18" x14ac:dyDescent="0.25">
      <c r="A1165" s="170">
        <v>45357</v>
      </c>
      <c r="B1165" s="116">
        <v>2638.25</v>
      </c>
      <c r="C1165" s="116">
        <v>2578.6999999999998</v>
      </c>
      <c r="D1165" s="116">
        <v>2564.25</v>
      </c>
      <c r="E1165" s="116">
        <v>2638.25</v>
      </c>
      <c r="F1165" s="116">
        <v>2578.6999999999998</v>
      </c>
      <c r="G1165">
        <v>1889</v>
      </c>
      <c r="H1165" s="116"/>
      <c r="I1165" s="116"/>
      <c r="L1165" s="170">
        <v>45357</v>
      </c>
      <c r="M1165" s="116">
        <v>2580.8000000000002</v>
      </c>
      <c r="N1165" s="116">
        <v>2635.65</v>
      </c>
      <c r="O1165" s="116">
        <v>2564.1999999999998</v>
      </c>
      <c r="P1165" s="116">
        <v>2634.9</v>
      </c>
      <c r="Q1165" s="116">
        <v>2580.8000000000002</v>
      </c>
      <c r="R1165">
        <v>110023</v>
      </c>
    </row>
    <row r="1166" spans="1:18" x14ac:dyDescent="0.25">
      <c r="A1166" s="170">
        <v>45358</v>
      </c>
      <c r="B1166" s="116">
        <v>2638.45</v>
      </c>
      <c r="C1166" s="116">
        <v>2608.65</v>
      </c>
      <c r="D1166" s="116">
        <v>2585.1</v>
      </c>
      <c r="E1166" s="116">
        <v>2600</v>
      </c>
      <c r="F1166" s="116">
        <v>2608.65</v>
      </c>
      <c r="G1166">
        <v>2324</v>
      </c>
      <c r="H1166" s="116"/>
      <c r="I1166" s="116"/>
      <c r="L1166" s="170">
        <v>45358</v>
      </c>
      <c r="M1166" s="116">
        <v>2609.25</v>
      </c>
      <c r="N1166" s="116">
        <v>2639.8</v>
      </c>
      <c r="O1166" s="116">
        <v>2584.1</v>
      </c>
      <c r="P1166" s="116">
        <v>2600</v>
      </c>
      <c r="Q1166" s="116">
        <v>2609.25</v>
      </c>
      <c r="R1166">
        <v>72178</v>
      </c>
    </row>
    <row r="1167" spans="1:18" x14ac:dyDescent="0.25">
      <c r="A1167" s="170">
        <v>45362</v>
      </c>
      <c r="B1167" s="116">
        <v>2616.85</v>
      </c>
      <c r="C1167" s="116">
        <v>2542.35</v>
      </c>
      <c r="D1167" s="116">
        <v>2533</v>
      </c>
      <c r="E1167" s="116">
        <v>2605.9499999999998</v>
      </c>
      <c r="F1167" s="116">
        <v>2542.35</v>
      </c>
      <c r="G1167">
        <v>1575</v>
      </c>
      <c r="H1167" s="116"/>
      <c r="I1167" s="116"/>
      <c r="L1167" s="170">
        <v>45362</v>
      </c>
      <c r="M1167" s="116">
        <v>2547.3000000000002</v>
      </c>
      <c r="N1167" s="116">
        <v>2619.9</v>
      </c>
      <c r="O1167" s="116">
        <v>2534.6999999999998</v>
      </c>
      <c r="P1167" s="116">
        <v>2604.5</v>
      </c>
      <c r="Q1167" s="116">
        <v>2547.3000000000002</v>
      </c>
      <c r="R1167">
        <v>87135</v>
      </c>
    </row>
    <row r="1168" spans="1:18" x14ac:dyDescent="0.25">
      <c r="A1168" s="170">
        <v>45363</v>
      </c>
      <c r="B1168" s="116">
        <v>2688</v>
      </c>
      <c r="C1168" s="116">
        <v>2614.75</v>
      </c>
      <c r="D1168" s="116">
        <v>2568.0500000000002</v>
      </c>
      <c r="E1168" s="116">
        <v>2572.9</v>
      </c>
      <c r="F1168" s="116">
        <v>2614.75</v>
      </c>
      <c r="G1168">
        <v>29761</v>
      </c>
      <c r="H1168" s="116"/>
      <c r="I1168" s="116"/>
      <c r="L1168" s="170">
        <v>45363</v>
      </c>
      <c r="M1168" s="116">
        <v>2614.65</v>
      </c>
      <c r="N1168" s="116">
        <v>2689.4</v>
      </c>
      <c r="O1168" s="116">
        <v>2568.75</v>
      </c>
      <c r="P1168" s="116">
        <v>2580</v>
      </c>
      <c r="Q1168" s="116">
        <v>2614.65</v>
      </c>
      <c r="R1168">
        <v>1028833</v>
      </c>
    </row>
    <row r="1169" spans="1:18" x14ac:dyDescent="0.25">
      <c r="A1169" s="170">
        <v>45364</v>
      </c>
      <c r="B1169" s="116">
        <v>2675</v>
      </c>
      <c r="C1169" s="116">
        <v>2518.3000000000002</v>
      </c>
      <c r="D1169" s="116">
        <v>2505.4</v>
      </c>
      <c r="E1169" s="116">
        <v>2630.4</v>
      </c>
      <c r="F1169" s="116">
        <v>2518.3000000000002</v>
      </c>
      <c r="G1169">
        <v>16456</v>
      </c>
      <c r="H1169" s="116"/>
      <c r="I1169" s="116"/>
      <c r="L1169" s="170">
        <v>45364</v>
      </c>
      <c r="M1169" s="116">
        <v>2516.9</v>
      </c>
      <c r="N1169" s="116">
        <v>2678.6</v>
      </c>
      <c r="O1169" s="116">
        <v>2504</v>
      </c>
      <c r="P1169" s="116">
        <v>2640.05</v>
      </c>
      <c r="Q1169" s="116">
        <v>2516.9</v>
      </c>
      <c r="R1169">
        <v>177595</v>
      </c>
    </row>
    <row r="1170" spans="1:18" x14ac:dyDescent="0.25">
      <c r="A1170" s="170">
        <v>45365</v>
      </c>
      <c r="B1170" s="116">
        <v>2625</v>
      </c>
      <c r="C1170" s="116">
        <v>2614.65</v>
      </c>
      <c r="D1170" s="116">
        <v>2473</v>
      </c>
      <c r="E1170" s="116">
        <v>2480.0500000000002</v>
      </c>
      <c r="F1170" s="116">
        <v>2614.65</v>
      </c>
      <c r="G1170">
        <v>8165</v>
      </c>
      <c r="H1170" s="116"/>
      <c r="I1170" s="116"/>
      <c r="L1170" s="170">
        <v>45365</v>
      </c>
      <c r="M1170" s="116">
        <v>2615.1</v>
      </c>
      <c r="N1170" s="116">
        <v>2628.85</v>
      </c>
      <c r="O1170" s="116">
        <v>2475</v>
      </c>
      <c r="P1170" s="116">
        <v>2504.9499999999998</v>
      </c>
      <c r="Q1170" s="116">
        <v>2615.1</v>
      </c>
      <c r="R1170">
        <v>105587</v>
      </c>
    </row>
    <row r="1171" spans="1:18" x14ac:dyDescent="0.25">
      <c r="A1171" s="170">
        <v>45366</v>
      </c>
      <c r="B1171" s="116">
        <v>2660.85</v>
      </c>
      <c r="C1171" s="116">
        <v>2627.45</v>
      </c>
      <c r="D1171" s="116">
        <v>2594.15</v>
      </c>
      <c r="E1171" s="116">
        <v>2594.15</v>
      </c>
      <c r="F1171" s="116">
        <v>2627.45</v>
      </c>
      <c r="G1171">
        <v>2878</v>
      </c>
      <c r="H1171" s="116"/>
      <c r="I1171" s="116"/>
      <c r="L1171" s="170">
        <v>45366</v>
      </c>
      <c r="M1171" s="116">
        <v>2627.8</v>
      </c>
      <c r="N1171" s="116">
        <v>2661.8</v>
      </c>
      <c r="O1171" s="116">
        <v>2599.25</v>
      </c>
      <c r="P1171" s="116">
        <v>2612</v>
      </c>
      <c r="Q1171" s="116">
        <v>2627.8</v>
      </c>
      <c r="R1171">
        <v>139841</v>
      </c>
    </row>
    <row r="1172" spans="1:18" x14ac:dyDescent="0.25">
      <c r="A1172" s="170">
        <v>45369</v>
      </c>
      <c r="B1172" s="116">
        <v>2649.45</v>
      </c>
      <c r="C1172" s="116">
        <v>2604.9</v>
      </c>
      <c r="D1172" s="116">
        <v>2576.6</v>
      </c>
      <c r="E1172" s="116">
        <v>2649.45</v>
      </c>
      <c r="F1172" s="116">
        <v>2604.9</v>
      </c>
      <c r="G1172">
        <v>1707</v>
      </c>
      <c r="H1172" s="116"/>
      <c r="I1172" s="116"/>
      <c r="L1172" s="170">
        <v>45369</v>
      </c>
      <c r="M1172" s="116">
        <v>2613.5500000000002</v>
      </c>
      <c r="N1172" s="116">
        <v>2635.3</v>
      </c>
      <c r="O1172" s="116">
        <v>2575.5</v>
      </c>
      <c r="P1172" s="116">
        <v>2629</v>
      </c>
      <c r="Q1172" s="116">
        <v>2613.5500000000002</v>
      </c>
      <c r="R1172">
        <v>78876</v>
      </c>
    </row>
    <row r="1173" spans="1:18" x14ac:dyDescent="0.25">
      <c r="A1173" s="170">
        <v>45370</v>
      </c>
      <c r="B1173" s="116">
        <v>2617.25</v>
      </c>
      <c r="C1173" s="116">
        <v>2593.4</v>
      </c>
      <c r="D1173" s="116">
        <v>2582.4</v>
      </c>
      <c r="E1173" s="116">
        <v>2607.8000000000002</v>
      </c>
      <c r="F1173" s="116">
        <v>2593.4</v>
      </c>
      <c r="G1173">
        <v>752</v>
      </c>
      <c r="H1173" s="116"/>
      <c r="I1173" s="116"/>
      <c r="L1173" s="170">
        <v>45370</v>
      </c>
      <c r="M1173" s="116">
        <v>2597</v>
      </c>
      <c r="N1173" s="116">
        <v>2619.9</v>
      </c>
      <c r="O1173" s="116">
        <v>2581</v>
      </c>
      <c r="P1173" s="116">
        <v>2600.1</v>
      </c>
      <c r="Q1173" s="116">
        <v>2597</v>
      </c>
      <c r="R1173">
        <v>84886</v>
      </c>
    </row>
    <row r="1174" spans="1:18" x14ac:dyDescent="0.25">
      <c r="A1174" s="170">
        <v>45371</v>
      </c>
      <c r="B1174" s="116">
        <v>2612</v>
      </c>
      <c r="C1174" s="116">
        <v>2582.35</v>
      </c>
      <c r="D1174" s="116">
        <v>2550</v>
      </c>
      <c r="E1174" s="116">
        <v>2565.15</v>
      </c>
      <c r="F1174" s="116">
        <v>2582.35</v>
      </c>
      <c r="G1174">
        <v>1808</v>
      </c>
      <c r="H1174" s="116"/>
      <c r="I1174" s="116"/>
      <c r="L1174" s="170">
        <v>45371</v>
      </c>
      <c r="M1174" s="116">
        <v>2585.3000000000002</v>
      </c>
      <c r="N1174" s="116">
        <v>2618.15</v>
      </c>
      <c r="O1174" s="116">
        <v>2549.35</v>
      </c>
      <c r="P1174" s="116">
        <v>2596</v>
      </c>
      <c r="Q1174" s="116">
        <v>2585.3000000000002</v>
      </c>
      <c r="R1174">
        <v>61682</v>
      </c>
    </row>
    <row r="1175" spans="1:18" x14ac:dyDescent="0.25">
      <c r="A1175" s="170">
        <v>45372</v>
      </c>
      <c r="B1175" s="116">
        <v>2688</v>
      </c>
      <c r="C1175" s="116">
        <v>2678.45</v>
      </c>
      <c r="D1175" s="116">
        <v>2587.4</v>
      </c>
      <c r="E1175" s="116">
        <v>2587.4</v>
      </c>
      <c r="F1175" s="116">
        <v>2678.45</v>
      </c>
      <c r="G1175">
        <v>2568</v>
      </c>
      <c r="H1175" s="116"/>
      <c r="I1175" s="116"/>
      <c r="L1175" s="170">
        <v>45372</v>
      </c>
      <c r="M1175" s="116">
        <v>2678.65</v>
      </c>
      <c r="N1175" s="116">
        <v>2689.6</v>
      </c>
      <c r="O1175" s="116">
        <v>2596.15</v>
      </c>
      <c r="P1175" s="116">
        <v>2596.15</v>
      </c>
      <c r="Q1175" s="116">
        <v>2678.65</v>
      </c>
      <c r="R1175">
        <v>129319</v>
      </c>
    </row>
    <row r="1176" spans="1:18" x14ac:dyDescent="0.25">
      <c r="A1176" s="170">
        <v>45373</v>
      </c>
      <c r="B1176" s="116">
        <v>2691.8</v>
      </c>
      <c r="C1176" s="116">
        <v>2679.05</v>
      </c>
      <c r="D1176" s="116">
        <v>2642.9</v>
      </c>
      <c r="E1176" s="116">
        <v>2670</v>
      </c>
      <c r="F1176" s="116">
        <v>2679.05</v>
      </c>
      <c r="G1176">
        <v>1766</v>
      </c>
      <c r="H1176" s="116"/>
      <c r="I1176" s="116"/>
      <c r="L1176" s="170">
        <v>45373</v>
      </c>
      <c r="M1176" s="116">
        <v>2674.55</v>
      </c>
      <c r="N1176" s="116">
        <v>2694.9</v>
      </c>
      <c r="O1176" s="116">
        <v>2641.05</v>
      </c>
      <c r="P1176" s="116">
        <v>2694.9</v>
      </c>
      <c r="Q1176" s="116">
        <v>2674.55</v>
      </c>
      <c r="R1176">
        <v>94930</v>
      </c>
    </row>
    <row r="1177" spans="1:18" x14ac:dyDescent="0.25">
      <c r="A1177" s="170">
        <v>45377</v>
      </c>
      <c r="B1177" s="116">
        <v>2704.5</v>
      </c>
      <c r="C1177" s="116">
        <v>2687.2</v>
      </c>
      <c r="D1177" s="116">
        <v>2659.35</v>
      </c>
      <c r="E1177" s="116">
        <v>2669.75</v>
      </c>
      <c r="F1177" s="116">
        <v>2687.2</v>
      </c>
      <c r="G1177">
        <v>8904</v>
      </c>
      <c r="H1177" s="116"/>
      <c r="I1177" s="116"/>
      <c r="L1177" s="170">
        <v>45377</v>
      </c>
      <c r="M1177" s="116">
        <v>2688.4</v>
      </c>
      <c r="N1177" s="116">
        <v>2705</v>
      </c>
      <c r="O1177" s="116">
        <v>2653.3</v>
      </c>
      <c r="P1177" s="116">
        <v>2660</v>
      </c>
      <c r="Q1177" s="116">
        <v>2688.4</v>
      </c>
      <c r="R1177">
        <v>124680</v>
      </c>
    </row>
    <row r="1178" spans="1:18" x14ac:dyDescent="0.25">
      <c r="A1178" s="170">
        <v>45378</v>
      </c>
      <c r="B1178" s="116">
        <v>2739.4</v>
      </c>
      <c r="C1178" s="116">
        <v>2685.05</v>
      </c>
      <c r="D1178" s="116">
        <v>2672.6</v>
      </c>
      <c r="E1178" s="116">
        <v>2719.95</v>
      </c>
      <c r="F1178" s="116">
        <v>2685.05</v>
      </c>
      <c r="G1178">
        <v>3326</v>
      </c>
      <c r="H1178" s="116"/>
      <c r="I1178" s="116"/>
      <c r="L1178" s="170">
        <v>45378</v>
      </c>
      <c r="M1178" s="116">
        <v>2683.65</v>
      </c>
      <c r="N1178" s="116">
        <v>2730</v>
      </c>
      <c r="O1178" s="116">
        <v>2673.05</v>
      </c>
      <c r="P1178" s="116">
        <v>2720</v>
      </c>
      <c r="Q1178" s="116">
        <v>2683.65</v>
      </c>
      <c r="R1178">
        <v>148532</v>
      </c>
    </row>
    <row r="1179" spans="1:18" x14ac:dyDescent="0.25">
      <c r="A1179" s="170">
        <v>45379</v>
      </c>
      <c r="B1179" s="116">
        <v>2719.35</v>
      </c>
      <c r="C1179" s="116">
        <v>2645.75</v>
      </c>
      <c r="D1179" s="116">
        <v>2610.4499999999998</v>
      </c>
      <c r="E1179" s="116">
        <v>2719.35</v>
      </c>
      <c r="F1179" s="116">
        <v>2645.75</v>
      </c>
      <c r="G1179">
        <v>12052</v>
      </c>
      <c r="H1179" s="116"/>
      <c r="I1179" s="116"/>
      <c r="L1179" s="170">
        <v>45379</v>
      </c>
      <c r="M1179" s="116">
        <v>2645.45</v>
      </c>
      <c r="N1179" s="116">
        <v>2700</v>
      </c>
      <c r="O1179" s="116">
        <v>2612.9</v>
      </c>
      <c r="P1179" s="116">
        <v>2700</v>
      </c>
      <c r="Q1179" s="116">
        <v>2645.45</v>
      </c>
      <c r="R1179">
        <v>229253</v>
      </c>
    </row>
    <row r="1180" spans="1:18" x14ac:dyDescent="0.25">
      <c r="A1180" s="170">
        <v>45383</v>
      </c>
      <c r="B1180" s="116">
        <v>2720.25</v>
      </c>
      <c r="C1180" s="116">
        <v>2710.8</v>
      </c>
      <c r="D1180" s="116">
        <v>2640.65</v>
      </c>
      <c r="E1180" s="116">
        <v>2640.65</v>
      </c>
      <c r="F1180" s="116">
        <v>2710.8</v>
      </c>
      <c r="G1180">
        <v>8704</v>
      </c>
      <c r="H1180" s="116"/>
      <c r="I1180" s="116"/>
      <c r="L1180" s="170">
        <v>45383</v>
      </c>
      <c r="M1180" s="116">
        <v>2711.3</v>
      </c>
      <c r="N1180" s="116">
        <v>2722.55</v>
      </c>
      <c r="O1180" s="116">
        <v>2638.15</v>
      </c>
      <c r="P1180" s="116">
        <v>2647.95</v>
      </c>
      <c r="Q1180" s="116">
        <v>2711.3</v>
      </c>
      <c r="R1180">
        <v>124072</v>
      </c>
    </row>
    <row r="1181" spans="1:18" x14ac:dyDescent="0.25">
      <c r="A1181" s="170">
        <v>45384</v>
      </c>
      <c r="B1181" s="116">
        <v>2711.7</v>
      </c>
      <c r="C1181" s="116">
        <v>2619.9499999999998</v>
      </c>
      <c r="D1181" s="116">
        <v>2590</v>
      </c>
      <c r="E1181" s="116">
        <v>2711.7</v>
      </c>
      <c r="F1181" s="116">
        <v>2619.9499999999998</v>
      </c>
      <c r="G1181">
        <v>10389</v>
      </c>
      <c r="H1181" s="116"/>
      <c r="I1181" s="116"/>
      <c r="L1181" s="170">
        <v>45384</v>
      </c>
      <c r="M1181" s="116">
        <v>2620.65</v>
      </c>
      <c r="N1181" s="116">
        <v>2727.9</v>
      </c>
      <c r="O1181" s="116">
        <v>2586.85</v>
      </c>
      <c r="P1181" s="116">
        <v>2727.9</v>
      </c>
      <c r="Q1181" s="116">
        <v>2620.65</v>
      </c>
      <c r="R1181">
        <v>508808</v>
      </c>
    </row>
    <row r="1182" spans="1:18" x14ac:dyDescent="0.25">
      <c r="A1182" s="170">
        <v>45385</v>
      </c>
      <c r="B1182" s="116">
        <v>2616.3000000000002</v>
      </c>
      <c r="C1182" s="116">
        <v>2609</v>
      </c>
      <c r="D1182" s="116">
        <v>2576</v>
      </c>
      <c r="E1182" s="116">
        <v>2599.65</v>
      </c>
      <c r="F1182" s="116">
        <v>2609</v>
      </c>
      <c r="G1182">
        <v>4723</v>
      </c>
      <c r="H1182" s="116"/>
      <c r="I1182" s="116"/>
      <c r="L1182" s="170">
        <v>45385</v>
      </c>
      <c r="M1182" s="116">
        <v>2610.4</v>
      </c>
      <c r="N1182" s="116">
        <v>2615.9</v>
      </c>
      <c r="O1182" s="116">
        <v>2575</v>
      </c>
      <c r="P1182" s="116">
        <v>2591.0500000000002</v>
      </c>
      <c r="Q1182" s="116">
        <v>2610.4</v>
      </c>
      <c r="R1182">
        <v>242981</v>
      </c>
    </row>
    <row r="1183" spans="1:18" x14ac:dyDescent="0.25">
      <c r="A1183" s="170">
        <v>45386</v>
      </c>
      <c r="B1183" s="116">
        <v>2618.4499999999998</v>
      </c>
      <c r="C1183" s="116">
        <v>2540.6999999999998</v>
      </c>
      <c r="D1183" s="116">
        <v>2536.15</v>
      </c>
      <c r="E1183" s="116">
        <v>2600.0500000000002</v>
      </c>
      <c r="F1183" s="116">
        <v>2540.6999999999998</v>
      </c>
      <c r="G1183">
        <v>9071</v>
      </c>
      <c r="H1183" s="116"/>
      <c r="I1183" s="116"/>
      <c r="L1183" s="170">
        <v>45386</v>
      </c>
      <c r="M1183" s="116">
        <v>2538.5</v>
      </c>
      <c r="N1183" s="116">
        <v>2619.9</v>
      </c>
      <c r="O1183" s="116">
        <v>2535</v>
      </c>
      <c r="P1183" s="116">
        <v>2611</v>
      </c>
      <c r="Q1183" s="116">
        <v>2538.5</v>
      </c>
      <c r="R1183">
        <v>511345</v>
      </c>
    </row>
    <row r="1184" spans="1:18" x14ac:dyDescent="0.25">
      <c r="A1184" s="170">
        <v>45387</v>
      </c>
      <c r="B1184" s="116">
        <v>2569.9</v>
      </c>
      <c r="C1184" s="116">
        <v>2544.0500000000002</v>
      </c>
      <c r="D1184" s="116">
        <v>2539.15</v>
      </c>
      <c r="E1184" s="116">
        <v>2541</v>
      </c>
      <c r="F1184" s="116">
        <v>2544.0500000000002</v>
      </c>
      <c r="G1184">
        <v>7178</v>
      </c>
      <c r="H1184" s="116"/>
      <c r="I1184" s="116"/>
      <c r="L1184" s="170">
        <v>45387</v>
      </c>
      <c r="M1184" s="116">
        <v>2543.1999999999998</v>
      </c>
      <c r="N1184" s="116">
        <v>2570.6999999999998</v>
      </c>
      <c r="O1184" s="116">
        <v>2535</v>
      </c>
      <c r="P1184" s="116">
        <v>2540</v>
      </c>
      <c r="Q1184" s="116">
        <v>2543.1999999999998</v>
      </c>
      <c r="R1184">
        <v>145981</v>
      </c>
    </row>
    <row r="1185" spans="1:18" x14ac:dyDescent="0.25">
      <c r="A1185" s="170">
        <v>45390</v>
      </c>
      <c r="B1185" s="116">
        <v>2577.9499999999998</v>
      </c>
      <c r="C1185" s="116">
        <v>2555</v>
      </c>
      <c r="D1185" s="116">
        <v>2531.25</v>
      </c>
      <c r="E1185" s="116">
        <v>2542.35</v>
      </c>
      <c r="F1185" s="116">
        <v>2555</v>
      </c>
      <c r="G1185">
        <v>8903</v>
      </c>
      <c r="H1185" s="116"/>
      <c r="I1185" s="116"/>
      <c r="L1185" s="170">
        <v>45390</v>
      </c>
      <c r="M1185" s="116">
        <v>2557.65</v>
      </c>
      <c r="N1185" s="116">
        <v>2578</v>
      </c>
      <c r="O1185" s="116">
        <v>2531.0500000000002</v>
      </c>
      <c r="P1185" s="116">
        <v>2548.4499999999998</v>
      </c>
      <c r="Q1185" s="116">
        <v>2557.65</v>
      </c>
      <c r="R1185">
        <v>128242</v>
      </c>
    </row>
    <row r="1186" spans="1:18" x14ac:dyDescent="0.25">
      <c r="A1186" s="170">
        <v>45391</v>
      </c>
      <c r="B1186" s="116">
        <v>2579.75</v>
      </c>
      <c r="C1186" s="116">
        <v>2563.5500000000002</v>
      </c>
      <c r="D1186" s="116">
        <v>2548.6999999999998</v>
      </c>
      <c r="E1186" s="116">
        <v>2579.75</v>
      </c>
      <c r="F1186" s="116">
        <v>2563.5500000000002</v>
      </c>
      <c r="G1186">
        <v>2278</v>
      </c>
      <c r="H1186" s="116"/>
      <c r="I1186" s="116"/>
      <c r="L1186" s="170">
        <v>45391</v>
      </c>
      <c r="M1186" s="116">
        <v>2562.3000000000002</v>
      </c>
      <c r="N1186" s="116">
        <v>2576</v>
      </c>
      <c r="O1186" s="116">
        <v>2546.65</v>
      </c>
      <c r="P1186" s="116">
        <v>2565</v>
      </c>
      <c r="Q1186" s="116">
        <v>2562.3000000000002</v>
      </c>
      <c r="R1186">
        <v>85913</v>
      </c>
    </row>
    <row r="1187" spans="1:18" x14ac:dyDescent="0.25">
      <c r="A1187" s="170">
        <v>45392</v>
      </c>
      <c r="B1187" s="116">
        <v>2585</v>
      </c>
      <c r="C1187" s="116">
        <v>2564.4499999999998</v>
      </c>
      <c r="D1187" s="116">
        <v>2555.3000000000002</v>
      </c>
      <c r="E1187" s="116">
        <v>2555.3000000000002</v>
      </c>
      <c r="F1187" s="116">
        <v>2564.4499999999998</v>
      </c>
      <c r="G1187">
        <v>6586</v>
      </c>
      <c r="H1187" s="116"/>
      <c r="I1187" s="116"/>
      <c r="L1187" s="170">
        <v>45392</v>
      </c>
      <c r="M1187" s="116">
        <v>2564.1999999999998</v>
      </c>
      <c r="N1187" s="116">
        <v>2585.6</v>
      </c>
      <c r="O1187" s="116">
        <v>2558.0500000000002</v>
      </c>
      <c r="P1187" s="116">
        <v>2562</v>
      </c>
      <c r="Q1187" s="116">
        <v>2564.1999999999998</v>
      </c>
      <c r="R1187">
        <v>58957</v>
      </c>
    </row>
    <row r="1188" spans="1:18" x14ac:dyDescent="0.25">
      <c r="A1188" s="170">
        <v>45394</v>
      </c>
      <c r="B1188" s="116">
        <v>2605</v>
      </c>
      <c r="C1188" s="116">
        <v>2579.5500000000002</v>
      </c>
      <c r="D1188" s="116">
        <v>2550.15</v>
      </c>
      <c r="E1188" s="116">
        <v>2550.15</v>
      </c>
      <c r="F1188" s="116">
        <v>2579.5500000000002</v>
      </c>
      <c r="G1188">
        <v>13573</v>
      </c>
      <c r="H1188" s="116"/>
      <c r="I1188" s="116"/>
      <c r="L1188" s="170">
        <v>45394</v>
      </c>
      <c r="M1188" s="116">
        <v>2580.5500000000002</v>
      </c>
      <c r="N1188" s="116">
        <v>2607</v>
      </c>
      <c r="O1188" s="116">
        <v>2555.15</v>
      </c>
      <c r="P1188" s="116">
        <v>2564.15</v>
      </c>
      <c r="Q1188" s="116">
        <v>2580.5500000000002</v>
      </c>
      <c r="R1188">
        <v>147786</v>
      </c>
    </row>
    <row r="1189" spans="1:18" x14ac:dyDescent="0.25">
      <c r="A1189" s="170">
        <v>45397</v>
      </c>
      <c r="B1189" s="116">
        <v>2570.9499999999998</v>
      </c>
      <c r="C1189" s="116">
        <v>2553.35</v>
      </c>
      <c r="D1189" s="116">
        <v>2513.15</v>
      </c>
      <c r="E1189" s="116">
        <v>2550</v>
      </c>
      <c r="F1189" s="116">
        <v>2553.35</v>
      </c>
      <c r="G1189">
        <v>2413</v>
      </c>
      <c r="H1189" s="116"/>
      <c r="I1189" s="116"/>
      <c r="L1189" s="170">
        <v>45397</v>
      </c>
      <c r="M1189" s="116">
        <v>2550.8000000000002</v>
      </c>
      <c r="N1189" s="116">
        <v>2573.1</v>
      </c>
      <c r="O1189" s="116">
        <v>2513.3000000000002</v>
      </c>
      <c r="P1189" s="116">
        <v>2550</v>
      </c>
      <c r="Q1189" s="116">
        <v>2550.8000000000002</v>
      </c>
      <c r="R1189">
        <v>85048</v>
      </c>
    </row>
    <row r="1190" spans="1:18" x14ac:dyDescent="0.25">
      <c r="A1190" s="170">
        <v>45398</v>
      </c>
      <c r="B1190" s="116">
        <v>2610.25</v>
      </c>
      <c r="C1190" s="116">
        <v>2570.75</v>
      </c>
      <c r="D1190" s="116">
        <v>2530.1</v>
      </c>
      <c r="E1190" s="116">
        <v>2555</v>
      </c>
      <c r="F1190" s="116">
        <v>2570.75</v>
      </c>
      <c r="G1190">
        <v>8225</v>
      </c>
      <c r="H1190" s="116"/>
      <c r="I1190" s="116"/>
      <c r="L1190" s="170">
        <v>45398</v>
      </c>
      <c r="M1190" s="116">
        <v>2576.0500000000002</v>
      </c>
      <c r="N1190" s="116">
        <v>2609.9499999999998</v>
      </c>
      <c r="O1190" s="116">
        <v>2528.15</v>
      </c>
      <c r="P1190" s="116">
        <v>2544.6</v>
      </c>
      <c r="Q1190" s="116">
        <v>2576.0500000000002</v>
      </c>
      <c r="R1190">
        <v>113112</v>
      </c>
    </row>
    <row r="1191" spans="1:18" x14ac:dyDescent="0.25">
      <c r="A1191" s="170">
        <v>45400</v>
      </c>
      <c r="B1191" s="116">
        <v>2615</v>
      </c>
      <c r="C1191" s="116">
        <v>2536.0500000000002</v>
      </c>
      <c r="D1191" s="116">
        <v>2530</v>
      </c>
      <c r="E1191" s="116">
        <v>2598.35</v>
      </c>
      <c r="F1191" s="116">
        <v>2536.0500000000002</v>
      </c>
      <c r="G1191">
        <v>3312</v>
      </c>
      <c r="H1191" s="116"/>
      <c r="I1191" s="116"/>
      <c r="L1191" s="170">
        <v>45400</v>
      </c>
      <c r="M1191" s="116">
        <v>2539.5500000000002</v>
      </c>
      <c r="N1191" s="116">
        <v>2615.5500000000002</v>
      </c>
      <c r="O1191" s="116">
        <v>2528.85</v>
      </c>
      <c r="P1191" s="116">
        <v>2584</v>
      </c>
      <c r="Q1191" s="116">
        <v>2539.5500000000002</v>
      </c>
      <c r="R1191">
        <v>166146</v>
      </c>
    </row>
    <row r="1192" spans="1:18" x14ac:dyDescent="0.25">
      <c r="A1192" s="170">
        <v>45401</v>
      </c>
      <c r="B1192" s="116">
        <v>2585</v>
      </c>
      <c r="C1192" s="116">
        <v>2526.0500000000002</v>
      </c>
      <c r="D1192" s="116">
        <v>2496.3000000000002</v>
      </c>
      <c r="E1192" s="116">
        <v>2517.1</v>
      </c>
      <c r="F1192" s="116">
        <v>2526.0500000000002</v>
      </c>
      <c r="G1192">
        <v>4231</v>
      </c>
      <c r="H1192" s="116"/>
      <c r="I1192" s="116"/>
      <c r="L1192" s="170">
        <v>45401</v>
      </c>
      <c r="M1192" s="116">
        <v>2526.1999999999998</v>
      </c>
      <c r="N1192" s="116">
        <v>2586.1</v>
      </c>
      <c r="O1192" s="116">
        <v>2487.0500000000002</v>
      </c>
      <c r="P1192" s="116">
        <v>2495</v>
      </c>
      <c r="Q1192" s="116">
        <v>2526.1999999999998</v>
      </c>
      <c r="R1192">
        <v>208331</v>
      </c>
    </row>
    <row r="1193" spans="1:18" x14ac:dyDescent="0.25">
      <c r="A1193" s="170">
        <v>45404</v>
      </c>
      <c r="B1193" s="116">
        <v>2611</v>
      </c>
      <c r="C1193" s="116">
        <v>2602.25</v>
      </c>
      <c r="D1193" s="116">
        <v>2537.9</v>
      </c>
      <c r="E1193" s="116">
        <v>2537.9</v>
      </c>
      <c r="F1193" s="116">
        <v>2602.25</v>
      </c>
      <c r="G1193">
        <v>3729</v>
      </c>
      <c r="H1193" s="116"/>
      <c r="I1193" s="116"/>
      <c r="L1193" s="170">
        <v>45404</v>
      </c>
      <c r="M1193" s="116">
        <v>2601.85</v>
      </c>
      <c r="N1193" s="116">
        <v>2611.9499999999998</v>
      </c>
      <c r="O1193" s="116">
        <v>2540.0500000000002</v>
      </c>
      <c r="P1193" s="116">
        <v>2555.9499999999998</v>
      </c>
      <c r="Q1193" s="116">
        <v>2601.85</v>
      </c>
      <c r="R1193">
        <v>190530</v>
      </c>
    </row>
    <row r="1194" spans="1:18" x14ac:dyDescent="0.25">
      <c r="A1194" s="170">
        <v>45405</v>
      </c>
      <c r="B1194" s="116">
        <v>2651</v>
      </c>
      <c r="C1194" s="116">
        <v>2637.25</v>
      </c>
      <c r="D1194" s="116">
        <v>2588.9</v>
      </c>
      <c r="E1194" s="116">
        <v>2614.9499999999998</v>
      </c>
      <c r="F1194" s="116">
        <v>2637.25</v>
      </c>
      <c r="G1194">
        <v>10681</v>
      </c>
      <c r="H1194" s="116"/>
      <c r="I1194" s="116"/>
      <c r="L1194" s="170">
        <v>45405</v>
      </c>
      <c r="M1194" s="116">
        <v>2635.85</v>
      </c>
      <c r="N1194" s="116">
        <v>2653.95</v>
      </c>
      <c r="O1194" s="116">
        <v>2590.65</v>
      </c>
      <c r="P1194" s="116">
        <v>2604</v>
      </c>
      <c r="Q1194" s="116">
        <v>2635.85</v>
      </c>
      <c r="R1194">
        <v>169429</v>
      </c>
    </row>
    <row r="1195" spans="1:18" x14ac:dyDescent="0.25">
      <c r="A1195" s="170">
        <v>45406</v>
      </c>
      <c r="B1195" s="116">
        <v>2675</v>
      </c>
      <c r="C1195" s="116">
        <v>2637.1</v>
      </c>
      <c r="D1195" s="116">
        <v>2622.15</v>
      </c>
      <c r="E1195" s="116">
        <v>2638.95</v>
      </c>
      <c r="F1195" s="116">
        <v>2637.1</v>
      </c>
      <c r="G1195">
        <v>9692</v>
      </c>
      <c r="H1195" s="116"/>
      <c r="I1195" s="116"/>
      <c r="L1195" s="170">
        <v>45406</v>
      </c>
      <c r="M1195" s="116">
        <v>2637</v>
      </c>
      <c r="N1195" s="116">
        <v>2676</v>
      </c>
      <c r="O1195" s="116">
        <v>2621.65</v>
      </c>
      <c r="P1195" s="116">
        <v>2630</v>
      </c>
      <c r="Q1195" s="116">
        <v>2637</v>
      </c>
      <c r="R1195">
        <v>158652</v>
      </c>
    </row>
    <row r="1196" spans="1:18" x14ac:dyDescent="0.25">
      <c r="A1196" s="170">
        <v>45407</v>
      </c>
      <c r="B1196" s="116">
        <v>2668</v>
      </c>
      <c r="C1196" s="116">
        <v>2656.15</v>
      </c>
      <c r="D1196" s="116">
        <v>2627.05</v>
      </c>
      <c r="E1196" s="116">
        <v>2632</v>
      </c>
      <c r="F1196" s="116">
        <v>2656.15</v>
      </c>
      <c r="G1196">
        <v>7343</v>
      </c>
      <c r="H1196" s="116"/>
      <c r="I1196" s="116"/>
      <c r="L1196" s="170">
        <v>45407</v>
      </c>
      <c r="M1196" s="116">
        <v>2658.3</v>
      </c>
      <c r="N1196" s="116">
        <v>2669</v>
      </c>
      <c r="O1196" s="116">
        <v>2627.5</v>
      </c>
      <c r="P1196" s="116">
        <v>2637</v>
      </c>
      <c r="Q1196" s="116">
        <v>2658.3</v>
      </c>
      <c r="R1196">
        <v>78484</v>
      </c>
    </row>
    <row r="1197" spans="1:18" x14ac:dyDescent="0.25">
      <c r="A1197" s="170">
        <v>45408</v>
      </c>
      <c r="B1197" s="116">
        <v>2680</v>
      </c>
      <c r="C1197" s="116">
        <v>2635.25</v>
      </c>
      <c r="D1197" s="116">
        <v>2626</v>
      </c>
      <c r="E1197" s="116">
        <v>2662.45</v>
      </c>
      <c r="F1197" s="116">
        <v>2635.25</v>
      </c>
      <c r="G1197">
        <v>1506</v>
      </c>
      <c r="H1197" s="116"/>
      <c r="I1197" s="116"/>
      <c r="L1197" s="170">
        <v>45408</v>
      </c>
      <c r="M1197" s="116">
        <v>2634.05</v>
      </c>
      <c r="N1197" s="116">
        <v>2684.95</v>
      </c>
      <c r="O1197" s="116">
        <v>2622.55</v>
      </c>
      <c r="P1197" s="116">
        <v>2684.4</v>
      </c>
      <c r="Q1197" s="116">
        <v>2634.05</v>
      </c>
      <c r="R1197">
        <v>75069</v>
      </c>
    </row>
    <row r="1198" spans="1:18" x14ac:dyDescent="0.25">
      <c r="A1198" s="170">
        <v>45411</v>
      </c>
      <c r="B1198" s="116">
        <v>2647.1</v>
      </c>
      <c r="C1198" s="116">
        <v>2625.05</v>
      </c>
      <c r="D1198" s="116">
        <v>2605</v>
      </c>
      <c r="E1198" s="116">
        <v>2622.05</v>
      </c>
      <c r="F1198" s="116">
        <v>2625.05</v>
      </c>
      <c r="G1198">
        <v>6224</v>
      </c>
      <c r="H1198" s="116"/>
      <c r="I1198" s="116"/>
      <c r="L1198" s="170">
        <v>45411</v>
      </c>
      <c r="M1198" s="116">
        <v>2623.25</v>
      </c>
      <c r="N1198" s="116">
        <v>2645.3</v>
      </c>
      <c r="O1198" s="116">
        <v>2600.1</v>
      </c>
      <c r="P1198" s="116">
        <v>2640.05</v>
      </c>
      <c r="Q1198" s="116">
        <v>2623.25</v>
      </c>
      <c r="R1198">
        <v>94282</v>
      </c>
    </row>
    <row r="1199" spans="1:18" x14ac:dyDescent="0.25">
      <c r="A1199" s="170">
        <v>45412</v>
      </c>
      <c r="B1199" s="116">
        <v>2671</v>
      </c>
      <c r="C1199" s="116">
        <v>2648.2</v>
      </c>
      <c r="D1199" s="116">
        <v>2626.2</v>
      </c>
      <c r="E1199" s="116">
        <v>2636.05</v>
      </c>
      <c r="F1199" s="116">
        <v>2648.2</v>
      </c>
      <c r="G1199">
        <v>7741</v>
      </c>
      <c r="H1199" s="116"/>
      <c r="I1199" s="116"/>
      <c r="L1199" s="170">
        <v>45412</v>
      </c>
      <c r="M1199" s="116">
        <v>2643.9</v>
      </c>
      <c r="N1199" s="116">
        <v>2678.2</v>
      </c>
      <c r="O1199" s="116">
        <v>2624.2</v>
      </c>
      <c r="P1199" s="116">
        <v>2638.8</v>
      </c>
      <c r="Q1199" s="116">
        <v>2643.9</v>
      </c>
      <c r="R1199">
        <v>98153</v>
      </c>
    </row>
    <row r="1200" spans="1:18" x14ac:dyDescent="0.25">
      <c r="A1200" s="170">
        <v>45414</v>
      </c>
      <c r="B1200" s="116">
        <v>2913</v>
      </c>
      <c r="C1200" s="116">
        <v>2861.35</v>
      </c>
      <c r="D1200" s="116">
        <v>2700.1</v>
      </c>
      <c r="E1200" s="116">
        <v>2704.8</v>
      </c>
      <c r="F1200" s="116">
        <v>2861.35</v>
      </c>
      <c r="G1200">
        <v>166883</v>
      </c>
      <c r="H1200" s="116"/>
      <c r="I1200" s="116"/>
      <c r="L1200" s="170">
        <v>45414</v>
      </c>
      <c r="M1200" s="116">
        <v>2861.05</v>
      </c>
      <c r="N1200" s="116">
        <v>2908.25</v>
      </c>
      <c r="O1200" s="116">
        <v>2702</v>
      </c>
      <c r="P1200" s="116">
        <v>2702</v>
      </c>
      <c r="Q1200" s="116">
        <v>2861.05</v>
      </c>
      <c r="R1200">
        <v>3234178</v>
      </c>
    </row>
    <row r="1201" spans="1:18" x14ac:dyDescent="0.25">
      <c r="A1201" s="170">
        <v>45415</v>
      </c>
      <c r="B1201" s="116">
        <v>2890.4</v>
      </c>
      <c r="C1201" s="116">
        <v>2801.05</v>
      </c>
      <c r="D1201" s="116">
        <v>2774.35</v>
      </c>
      <c r="E1201" s="116">
        <v>2881.8</v>
      </c>
      <c r="F1201" s="116">
        <v>2801.05</v>
      </c>
      <c r="G1201">
        <v>28779</v>
      </c>
      <c r="H1201" s="116"/>
      <c r="I1201" s="116"/>
      <c r="L1201" s="170">
        <v>45415</v>
      </c>
      <c r="M1201" s="116">
        <v>2799.65</v>
      </c>
      <c r="N1201" s="116">
        <v>2892.4</v>
      </c>
      <c r="O1201" s="116">
        <v>2775</v>
      </c>
      <c r="P1201" s="116">
        <v>2889.65</v>
      </c>
      <c r="Q1201" s="116">
        <v>2799.65</v>
      </c>
      <c r="R1201">
        <v>407560</v>
      </c>
    </row>
    <row r="1202" spans="1:18" x14ac:dyDescent="0.25">
      <c r="A1202" s="170">
        <v>45418</v>
      </c>
      <c r="B1202" s="116">
        <v>2820.05</v>
      </c>
      <c r="C1202" s="116">
        <v>2783.1</v>
      </c>
      <c r="D1202" s="116">
        <v>2754</v>
      </c>
      <c r="E1202" s="116">
        <v>2803.15</v>
      </c>
      <c r="F1202" s="116">
        <v>2783.1</v>
      </c>
      <c r="G1202">
        <v>34237</v>
      </c>
      <c r="H1202" s="116"/>
      <c r="I1202" s="116"/>
      <c r="L1202" s="170">
        <v>45418</v>
      </c>
      <c r="M1202" s="116">
        <v>2783.3</v>
      </c>
      <c r="N1202" s="116">
        <v>2821.4</v>
      </c>
      <c r="O1202" s="116">
        <v>2753</v>
      </c>
      <c r="P1202" s="116">
        <v>2819.95</v>
      </c>
      <c r="Q1202" s="116">
        <v>2783.3</v>
      </c>
      <c r="R1202">
        <v>185861</v>
      </c>
    </row>
    <row r="1203" spans="1:18" x14ac:dyDescent="0.25">
      <c r="A1203" s="170">
        <v>45419</v>
      </c>
      <c r="B1203" s="116">
        <v>2809.1</v>
      </c>
      <c r="C1203" s="116">
        <v>2760.4</v>
      </c>
      <c r="D1203" s="116">
        <v>2701</v>
      </c>
      <c r="E1203" s="116">
        <v>2784</v>
      </c>
      <c r="F1203" s="116">
        <v>2760.4</v>
      </c>
      <c r="G1203">
        <v>9439</v>
      </c>
      <c r="H1203" s="116"/>
      <c r="I1203" s="116"/>
      <c r="L1203" s="170">
        <v>45419</v>
      </c>
      <c r="M1203" s="116">
        <v>2754.7</v>
      </c>
      <c r="N1203" s="116">
        <v>2811.95</v>
      </c>
      <c r="O1203" s="116">
        <v>2700.1</v>
      </c>
      <c r="P1203" s="116">
        <v>2783.25</v>
      </c>
      <c r="Q1203" s="116">
        <v>2754.7</v>
      </c>
      <c r="R1203">
        <v>215895</v>
      </c>
    </row>
    <row r="1204" spans="1:18" x14ac:dyDescent="0.25">
      <c r="A1204" s="170">
        <v>45420</v>
      </c>
      <c r="B1204" s="116">
        <v>2777.65</v>
      </c>
      <c r="C1204" s="116">
        <v>2717.35</v>
      </c>
      <c r="D1204" s="116">
        <v>2705.5</v>
      </c>
      <c r="E1204" s="116">
        <v>2741.35</v>
      </c>
      <c r="F1204" s="116">
        <v>2717.35</v>
      </c>
      <c r="G1204">
        <v>7263</v>
      </c>
      <c r="H1204" s="116"/>
      <c r="I1204" s="116"/>
      <c r="L1204" s="170">
        <v>45420</v>
      </c>
      <c r="M1204" s="116">
        <v>2717.6</v>
      </c>
      <c r="N1204" s="116">
        <v>2778</v>
      </c>
      <c r="O1204" s="116">
        <v>2706.65</v>
      </c>
      <c r="P1204" s="116">
        <v>2749.8</v>
      </c>
      <c r="Q1204" s="116">
        <v>2717.6</v>
      </c>
      <c r="R1204">
        <v>113299</v>
      </c>
    </row>
    <row r="1205" spans="1:18" x14ac:dyDescent="0.25">
      <c r="A1205" s="170">
        <v>45421</v>
      </c>
      <c r="B1205" s="116">
        <v>2749.05</v>
      </c>
      <c r="C1205" s="116">
        <v>2642.6</v>
      </c>
      <c r="D1205" s="116">
        <v>2635</v>
      </c>
      <c r="E1205" s="116">
        <v>2722.05</v>
      </c>
      <c r="F1205" s="116">
        <v>2642.6</v>
      </c>
      <c r="G1205">
        <v>4852</v>
      </c>
      <c r="H1205" s="116"/>
      <c r="I1205" s="116"/>
      <c r="L1205" s="170">
        <v>45421</v>
      </c>
      <c r="M1205" s="116">
        <v>2645</v>
      </c>
      <c r="N1205" s="116">
        <v>2755</v>
      </c>
      <c r="O1205" s="116">
        <v>2635.05</v>
      </c>
      <c r="P1205" s="116">
        <v>2730</v>
      </c>
      <c r="Q1205" s="116">
        <v>2645</v>
      </c>
      <c r="R1205">
        <v>159480</v>
      </c>
    </row>
    <row r="1206" spans="1:18" x14ac:dyDescent="0.25">
      <c r="A1206" s="170">
        <v>45422</v>
      </c>
      <c r="B1206" s="116">
        <v>2671.8</v>
      </c>
      <c r="C1206" s="116">
        <v>2665.25</v>
      </c>
      <c r="D1206" s="116">
        <v>2628</v>
      </c>
      <c r="E1206" s="116">
        <v>2645.05</v>
      </c>
      <c r="F1206" s="116">
        <v>2665.25</v>
      </c>
      <c r="G1206">
        <v>3051</v>
      </c>
      <c r="H1206" s="116"/>
      <c r="I1206" s="116"/>
      <c r="L1206" s="170">
        <v>45422</v>
      </c>
      <c r="M1206" s="116">
        <v>2665.8</v>
      </c>
      <c r="N1206" s="116">
        <v>2674</v>
      </c>
      <c r="O1206" s="116">
        <v>2628.55</v>
      </c>
      <c r="P1206" s="116">
        <v>2665</v>
      </c>
      <c r="Q1206" s="116">
        <v>2665.8</v>
      </c>
      <c r="R1206">
        <v>236000</v>
      </c>
    </row>
    <row r="1207" spans="1:18" x14ac:dyDescent="0.25">
      <c r="A1207" s="170">
        <v>45425</v>
      </c>
      <c r="B1207" s="116">
        <v>2674.4</v>
      </c>
      <c r="C1207" s="116">
        <v>2646.55</v>
      </c>
      <c r="D1207" s="116">
        <v>2621</v>
      </c>
      <c r="E1207" s="116">
        <v>2650.05</v>
      </c>
      <c r="F1207" s="116">
        <v>2646.55</v>
      </c>
      <c r="G1207">
        <v>2218</v>
      </c>
      <c r="H1207" s="116"/>
      <c r="I1207" s="116"/>
      <c r="L1207" s="170">
        <v>45425</v>
      </c>
      <c r="M1207" s="116">
        <v>2646.4</v>
      </c>
      <c r="N1207" s="116">
        <v>2675.65</v>
      </c>
      <c r="O1207" s="116">
        <v>2620</v>
      </c>
      <c r="P1207" s="116">
        <v>2665</v>
      </c>
      <c r="Q1207" s="116">
        <v>2646.4</v>
      </c>
      <c r="R1207">
        <v>83954</v>
      </c>
    </row>
    <row r="1208" spans="1:18" x14ac:dyDescent="0.25">
      <c r="A1208" s="170">
        <v>45426</v>
      </c>
      <c r="B1208" s="116">
        <v>2646.95</v>
      </c>
      <c r="C1208" s="116">
        <v>2624.8</v>
      </c>
      <c r="D1208" s="116">
        <v>2615.5</v>
      </c>
      <c r="E1208" s="116">
        <v>2644.35</v>
      </c>
      <c r="F1208" s="116">
        <v>2624.8</v>
      </c>
      <c r="G1208">
        <v>4718</v>
      </c>
      <c r="H1208" s="116"/>
      <c r="I1208" s="116"/>
      <c r="L1208" s="170">
        <v>45426</v>
      </c>
      <c r="M1208" s="116">
        <v>2626.2</v>
      </c>
      <c r="N1208" s="116">
        <v>2659.9</v>
      </c>
      <c r="O1208" s="116">
        <v>2615.35</v>
      </c>
      <c r="P1208" s="116">
        <v>2659.9</v>
      </c>
      <c r="Q1208" s="116">
        <v>2626.2</v>
      </c>
      <c r="R1208">
        <v>181891</v>
      </c>
    </row>
    <row r="1209" spans="1:18" x14ac:dyDescent="0.25">
      <c r="A1209" s="170">
        <v>45427</v>
      </c>
      <c r="B1209" s="116">
        <v>2651.45</v>
      </c>
      <c r="C1209" s="116">
        <v>2628.2</v>
      </c>
      <c r="D1209" s="116">
        <v>2622.45</v>
      </c>
      <c r="E1209" s="116">
        <v>2630.05</v>
      </c>
      <c r="F1209" s="116">
        <v>2628.2</v>
      </c>
      <c r="G1209">
        <v>2839</v>
      </c>
      <c r="H1209" s="116"/>
      <c r="I1209" s="116"/>
      <c r="L1209" s="170">
        <v>45427</v>
      </c>
      <c r="M1209" s="116">
        <v>2627.75</v>
      </c>
      <c r="N1209" s="116">
        <v>2652.8</v>
      </c>
      <c r="O1209" s="116">
        <v>2620</v>
      </c>
      <c r="P1209" s="116">
        <v>2634.9</v>
      </c>
      <c r="Q1209" s="116">
        <v>2627.75</v>
      </c>
      <c r="R1209">
        <v>87176</v>
      </c>
    </row>
    <row r="1210" spans="1:18" x14ac:dyDescent="0.25">
      <c r="A1210" s="170">
        <v>45428</v>
      </c>
      <c r="B1210" s="116">
        <v>2655.65</v>
      </c>
      <c r="C1210" s="116">
        <v>2625.8</v>
      </c>
      <c r="D1210" s="116">
        <v>2604</v>
      </c>
      <c r="E1210" s="116">
        <v>2650.05</v>
      </c>
      <c r="F1210" s="116">
        <v>2625.8</v>
      </c>
      <c r="G1210">
        <v>5433</v>
      </c>
      <c r="H1210" s="116"/>
      <c r="I1210" s="116"/>
      <c r="L1210" s="170">
        <v>45428</v>
      </c>
      <c r="M1210" s="116">
        <v>2621.75</v>
      </c>
      <c r="N1210" s="116">
        <v>2655</v>
      </c>
      <c r="O1210" s="116">
        <v>2602.6</v>
      </c>
      <c r="P1210" s="116">
        <v>2655</v>
      </c>
      <c r="Q1210" s="116">
        <v>2621.75</v>
      </c>
      <c r="R1210">
        <v>129589</v>
      </c>
    </row>
    <row r="1211" spans="1:18" x14ac:dyDescent="0.25">
      <c r="A1211" s="170">
        <v>45429</v>
      </c>
      <c r="B1211" s="116">
        <v>2651.7</v>
      </c>
      <c r="C1211" s="116">
        <v>2634.4</v>
      </c>
      <c r="D1211" s="116">
        <v>2591.4499999999998</v>
      </c>
      <c r="E1211" s="116">
        <v>2639.95</v>
      </c>
      <c r="F1211" s="116">
        <v>2634.4</v>
      </c>
      <c r="G1211">
        <v>8053</v>
      </c>
      <c r="H1211" s="116"/>
      <c r="I1211" s="116"/>
      <c r="L1211" s="170">
        <v>45429</v>
      </c>
      <c r="M1211" s="116">
        <v>2636.6</v>
      </c>
      <c r="N1211" s="116">
        <v>2653.25</v>
      </c>
      <c r="O1211" s="116">
        <v>2588.0500000000002</v>
      </c>
      <c r="P1211" s="116">
        <v>2630</v>
      </c>
      <c r="Q1211" s="116">
        <v>2636.6</v>
      </c>
      <c r="R1211">
        <v>154765</v>
      </c>
    </row>
    <row r="1212" spans="1:18" x14ac:dyDescent="0.25">
      <c r="A1212" s="170">
        <v>45430</v>
      </c>
      <c r="B1212" s="116">
        <v>2659.5</v>
      </c>
      <c r="C1212" s="116">
        <v>2634.7</v>
      </c>
      <c r="D1212" s="116">
        <v>2598.4499999999998</v>
      </c>
      <c r="E1212" s="116">
        <v>2644</v>
      </c>
      <c r="F1212" s="116">
        <v>2634.7</v>
      </c>
      <c r="G1212">
        <v>475</v>
      </c>
      <c r="H1212" s="116"/>
      <c r="I1212" s="116"/>
      <c r="L1212" s="170">
        <v>45430</v>
      </c>
      <c r="M1212" s="116">
        <v>2632.2</v>
      </c>
      <c r="N1212" s="116">
        <v>2729.45</v>
      </c>
      <c r="O1212" s="116">
        <v>2583.9</v>
      </c>
      <c r="P1212" s="116">
        <v>2644.95</v>
      </c>
      <c r="Q1212" s="116">
        <v>2632.2</v>
      </c>
      <c r="R1212">
        <v>11503</v>
      </c>
    </row>
    <row r="1213" spans="1:18" x14ac:dyDescent="0.25">
      <c r="A1213" s="170">
        <v>45433</v>
      </c>
      <c r="B1213" s="116">
        <v>2630.95</v>
      </c>
      <c r="C1213" s="116">
        <v>2605.4</v>
      </c>
      <c r="D1213" s="116">
        <v>2590</v>
      </c>
      <c r="E1213" s="116">
        <v>2611</v>
      </c>
      <c r="F1213" s="116">
        <v>2605.4</v>
      </c>
      <c r="G1213">
        <v>9882</v>
      </c>
      <c r="H1213" s="116"/>
      <c r="I1213" s="116"/>
      <c r="L1213" s="170">
        <v>45433</v>
      </c>
      <c r="M1213" s="116">
        <v>2605</v>
      </c>
      <c r="N1213" s="116">
        <v>2629.6</v>
      </c>
      <c r="O1213" s="116">
        <v>2590</v>
      </c>
      <c r="P1213" s="116">
        <v>2629.3</v>
      </c>
      <c r="Q1213" s="116">
        <v>2605</v>
      </c>
      <c r="R1213">
        <v>99707</v>
      </c>
    </row>
    <row r="1214" spans="1:18" x14ac:dyDescent="0.25">
      <c r="A1214" s="170">
        <v>45434</v>
      </c>
      <c r="B1214" s="116">
        <v>2689.85</v>
      </c>
      <c r="C1214" s="116">
        <v>2617.3000000000002</v>
      </c>
      <c r="D1214" s="116">
        <v>2595</v>
      </c>
      <c r="E1214" s="116">
        <v>2632.25</v>
      </c>
      <c r="F1214" s="116">
        <v>2617.3000000000002</v>
      </c>
      <c r="G1214">
        <v>13937</v>
      </c>
      <c r="H1214" s="116"/>
      <c r="I1214" s="116"/>
      <c r="L1214" s="170">
        <v>45434</v>
      </c>
      <c r="M1214" s="116">
        <v>2616.15</v>
      </c>
      <c r="N1214" s="116">
        <v>2689</v>
      </c>
      <c r="O1214" s="116">
        <v>2593.1999999999998</v>
      </c>
      <c r="P1214" s="116">
        <v>2629.85</v>
      </c>
      <c r="Q1214" s="116">
        <v>2616.15</v>
      </c>
      <c r="R1214">
        <v>223457</v>
      </c>
    </row>
    <row r="1215" spans="1:18" x14ac:dyDescent="0.25">
      <c r="A1215" s="170">
        <v>45435</v>
      </c>
      <c r="B1215" s="116">
        <v>2630.9</v>
      </c>
      <c r="C1215" s="116">
        <v>2593.15</v>
      </c>
      <c r="D1215" s="116">
        <v>2563.1</v>
      </c>
      <c r="E1215" s="116">
        <v>2617.15</v>
      </c>
      <c r="F1215" s="116">
        <v>2593.15</v>
      </c>
      <c r="G1215">
        <v>9639</v>
      </c>
      <c r="H1215" s="116"/>
      <c r="I1215" s="116"/>
      <c r="L1215" s="170">
        <v>45435</v>
      </c>
      <c r="M1215" s="116">
        <v>2592.35</v>
      </c>
      <c r="N1215" s="116">
        <v>2634.2</v>
      </c>
      <c r="O1215" s="116">
        <v>2561.1</v>
      </c>
      <c r="P1215" s="116">
        <v>2619.9</v>
      </c>
      <c r="Q1215" s="116">
        <v>2592.35</v>
      </c>
      <c r="R1215">
        <v>203090</v>
      </c>
    </row>
    <row r="1216" spans="1:18" x14ac:dyDescent="0.25">
      <c r="A1216" s="170">
        <v>45436</v>
      </c>
      <c r="B1216" s="116">
        <v>2609.9499999999998</v>
      </c>
      <c r="C1216" s="116">
        <v>2560.1</v>
      </c>
      <c r="D1216" s="116">
        <v>2555.1999999999998</v>
      </c>
      <c r="E1216" s="116">
        <v>2581.0500000000002</v>
      </c>
      <c r="F1216" s="116">
        <v>2560.1</v>
      </c>
      <c r="G1216">
        <v>7823</v>
      </c>
      <c r="H1216" s="116"/>
      <c r="I1216" s="116"/>
      <c r="L1216" s="170">
        <v>45436</v>
      </c>
      <c r="M1216" s="116">
        <v>2560.15</v>
      </c>
      <c r="N1216" s="116">
        <v>2598</v>
      </c>
      <c r="O1216" s="116">
        <v>2555</v>
      </c>
      <c r="P1216" s="116">
        <v>2592.3000000000002</v>
      </c>
      <c r="Q1216" s="116">
        <v>2560.15</v>
      </c>
      <c r="R1216">
        <v>88046</v>
      </c>
    </row>
    <row r="1217" spans="1:18" x14ac:dyDescent="0.25">
      <c r="A1217" s="170">
        <v>45439</v>
      </c>
      <c r="B1217" s="116">
        <v>2576.5500000000002</v>
      </c>
      <c r="C1217" s="116">
        <v>2549.25</v>
      </c>
      <c r="D1217" s="116">
        <v>2524</v>
      </c>
      <c r="E1217" s="116">
        <v>2552.65</v>
      </c>
      <c r="F1217" s="116">
        <v>2549.25</v>
      </c>
      <c r="G1217">
        <v>3152</v>
      </c>
      <c r="H1217" s="116"/>
      <c r="I1217" s="116"/>
      <c r="L1217" s="170">
        <v>45439</v>
      </c>
      <c r="M1217" s="116">
        <v>2548.75</v>
      </c>
      <c r="N1217" s="116">
        <v>2577.85</v>
      </c>
      <c r="O1217" s="116">
        <v>2522</v>
      </c>
      <c r="P1217" s="116">
        <v>2560.25</v>
      </c>
      <c r="Q1217" s="116">
        <v>2548.75</v>
      </c>
      <c r="R1217">
        <v>234367</v>
      </c>
    </row>
    <row r="1218" spans="1:18" x14ac:dyDescent="0.25">
      <c r="A1218" s="170">
        <v>45440</v>
      </c>
      <c r="B1218" s="116">
        <v>2558</v>
      </c>
      <c r="C1218" s="116">
        <v>2526.6</v>
      </c>
      <c r="D1218" s="116">
        <v>2515</v>
      </c>
      <c r="E1218" s="116">
        <v>2552.35</v>
      </c>
      <c r="F1218" s="116">
        <v>2526.6</v>
      </c>
      <c r="G1218">
        <v>8895</v>
      </c>
      <c r="H1218" s="116"/>
      <c r="I1218" s="116"/>
      <c r="L1218" s="170">
        <v>45440</v>
      </c>
      <c r="M1218" s="116">
        <v>2526.4499999999998</v>
      </c>
      <c r="N1218" s="116">
        <v>2559.75</v>
      </c>
      <c r="O1218" s="116">
        <v>2515</v>
      </c>
      <c r="P1218" s="116">
        <v>2559.75</v>
      </c>
      <c r="Q1218" s="116">
        <v>2526.4499999999998</v>
      </c>
      <c r="R1218">
        <v>118418</v>
      </c>
    </row>
    <row r="1219" spans="1:18" x14ac:dyDescent="0.25">
      <c r="A1219" s="170">
        <v>45441</v>
      </c>
      <c r="B1219" s="116">
        <v>2533.0500000000002</v>
      </c>
      <c r="C1219" s="116">
        <v>2506.65</v>
      </c>
      <c r="D1219" s="116">
        <v>2501</v>
      </c>
      <c r="E1219" s="116">
        <v>2526.65</v>
      </c>
      <c r="F1219" s="116">
        <v>2506.65</v>
      </c>
      <c r="G1219">
        <v>6738</v>
      </c>
      <c r="H1219" s="116"/>
      <c r="I1219" s="116"/>
      <c r="L1219" s="170">
        <v>45441</v>
      </c>
      <c r="M1219" s="116">
        <v>2509.25</v>
      </c>
      <c r="N1219" s="116">
        <v>2536.6</v>
      </c>
      <c r="O1219" s="116">
        <v>2501</v>
      </c>
      <c r="P1219" s="116">
        <v>2536.6</v>
      </c>
      <c r="Q1219" s="116">
        <v>2509.25</v>
      </c>
      <c r="R1219">
        <v>96034</v>
      </c>
    </row>
    <row r="1220" spans="1:18" x14ac:dyDescent="0.25">
      <c r="A1220" s="170">
        <v>45442</v>
      </c>
      <c r="B1220" s="116">
        <v>2518</v>
      </c>
      <c r="C1220" s="116">
        <v>2444.5</v>
      </c>
      <c r="D1220" s="116">
        <v>2434.6</v>
      </c>
      <c r="E1220" s="116">
        <v>2518</v>
      </c>
      <c r="F1220" s="116">
        <v>2444.5</v>
      </c>
      <c r="G1220">
        <v>4340</v>
      </c>
      <c r="H1220" s="116"/>
      <c r="I1220" s="116"/>
      <c r="L1220" s="170">
        <v>45442</v>
      </c>
      <c r="M1220" s="116">
        <v>2443.4</v>
      </c>
      <c r="N1220" s="116">
        <v>2516.9</v>
      </c>
      <c r="O1220" s="116">
        <v>2437.6</v>
      </c>
      <c r="P1220" s="116">
        <v>2509.25</v>
      </c>
      <c r="Q1220" s="116">
        <v>2443.4</v>
      </c>
      <c r="R1220">
        <v>138465</v>
      </c>
    </row>
    <row r="1221" spans="1:18" x14ac:dyDescent="0.25">
      <c r="A1221" s="170">
        <v>45443</v>
      </c>
      <c r="B1221" s="116">
        <v>2461.9499999999998</v>
      </c>
      <c r="C1221" s="116">
        <v>2415.85</v>
      </c>
      <c r="D1221" s="116">
        <v>2403.9</v>
      </c>
      <c r="E1221" s="116">
        <v>2460</v>
      </c>
      <c r="F1221" s="116">
        <v>2415.85</v>
      </c>
      <c r="G1221">
        <v>8828</v>
      </c>
      <c r="H1221" s="116"/>
      <c r="I1221" s="116"/>
      <c r="L1221" s="170">
        <v>45443</v>
      </c>
      <c r="M1221" s="116">
        <v>2417.6999999999998</v>
      </c>
      <c r="N1221" s="116">
        <v>2467.8000000000002</v>
      </c>
      <c r="O1221" s="116">
        <v>2409.35</v>
      </c>
      <c r="P1221" s="116">
        <v>2467.8000000000002</v>
      </c>
      <c r="Q1221" s="116">
        <v>2417.6999999999998</v>
      </c>
      <c r="R1221">
        <v>444924</v>
      </c>
    </row>
    <row r="1222" spans="1:18" x14ac:dyDescent="0.25">
      <c r="A1222" s="170">
        <v>45446</v>
      </c>
      <c r="B1222" s="116">
        <v>2506.15</v>
      </c>
      <c r="C1222" s="116">
        <v>2447.6</v>
      </c>
      <c r="D1222" s="116">
        <v>2421</v>
      </c>
      <c r="E1222" s="116">
        <v>2464.3000000000002</v>
      </c>
      <c r="F1222" s="116">
        <v>2447.6</v>
      </c>
      <c r="G1222">
        <v>4798</v>
      </c>
      <c r="H1222" s="116"/>
      <c r="I1222" s="116"/>
      <c r="L1222" s="170">
        <v>45446</v>
      </c>
      <c r="M1222" s="116">
        <v>2445.0500000000002</v>
      </c>
      <c r="N1222" s="116">
        <v>2530</v>
      </c>
      <c r="O1222" s="116">
        <v>2420</v>
      </c>
      <c r="P1222" s="116">
        <v>2530</v>
      </c>
      <c r="Q1222" s="116">
        <v>2445.0500000000002</v>
      </c>
      <c r="R1222">
        <v>232868</v>
      </c>
    </row>
    <row r="1223" spans="1:18" x14ac:dyDescent="0.25">
      <c r="A1223" s="170">
        <v>45447</v>
      </c>
      <c r="B1223" s="116">
        <v>2451.0500000000002</v>
      </c>
      <c r="C1223" s="116">
        <v>2367.0500000000002</v>
      </c>
      <c r="D1223" s="116">
        <v>2229.0500000000002</v>
      </c>
      <c r="E1223" s="116">
        <v>2451</v>
      </c>
      <c r="F1223" s="116">
        <v>2367.0500000000002</v>
      </c>
      <c r="G1223">
        <v>31296</v>
      </c>
      <c r="H1223" s="116"/>
      <c r="I1223" s="116"/>
      <c r="L1223" s="170">
        <v>45447</v>
      </c>
      <c r="M1223" s="116">
        <v>2370.75</v>
      </c>
      <c r="N1223" s="116">
        <v>2459.85</v>
      </c>
      <c r="O1223" s="116">
        <v>2230</v>
      </c>
      <c r="P1223" s="116">
        <v>2457</v>
      </c>
      <c r="Q1223" s="116">
        <v>2370.75</v>
      </c>
      <c r="R1223">
        <v>348167</v>
      </c>
    </row>
    <row r="1224" spans="1:18" x14ac:dyDescent="0.25">
      <c r="A1224" s="170">
        <v>45448</v>
      </c>
      <c r="B1224" s="116">
        <v>2501.4499999999998</v>
      </c>
      <c r="C1224" s="116">
        <v>2491.0500000000002</v>
      </c>
      <c r="D1224" s="116">
        <v>2371.3000000000002</v>
      </c>
      <c r="E1224" s="116">
        <v>2415</v>
      </c>
      <c r="F1224" s="116">
        <v>2491.0500000000002</v>
      </c>
      <c r="G1224">
        <v>3826</v>
      </c>
      <c r="H1224" s="116"/>
      <c r="I1224" s="116"/>
      <c r="L1224" s="170">
        <v>45448</v>
      </c>
      <c r="M1224" s="116">
        <v>2489.5</v>
      </c>
      <c r="N1224" s="116">
        <v>2503.0500000000002</v>
      </c>
      <c r="O1224" s="116">
        <v>2370</v>
      </c>
      <c r="P1224" s="116">
        <v>2400</v>
      </c>
      <c r="Q1224" s="116">
        <v>2489.5</v>
      </c>
      <c r="R1224">
        <v>339325</v>
      </c>
    </row>
    <row r="1225" spans="1:18" x14ac:dyDescent="0.25">
      <c r="A1225" s="170">
        <v>45449</v>
      </c>
      <c r="B1225" s="116">
        <v>2559.4499999999998</v>
      </c>
      <c r="C1225" s="116">
        <v>2544.25</v>
      </c>
      <c r="D1225" s="116">
        <v>2506</v>
      </c>
      <c r="E1225" s="116">
        <v>2515</v>
      </c>
      <c r="F1225" s="116">
        <v>2544.25</v>
      </c>
      <c r="G1225">
        <v>13371</v>
      </c>
      <c r="H1225" s="116"/>
      <c r="I1225" s="116"/>
      <c r="L1225" s="170">
        <v>45449</v>
      </c>
      <c r="M1225" s="116">
        <v>2546.6</v>
      </c>
      <c r="N1225" s="116">
        <v>2559.5</v>
      </c>
      <c r="O1225" s="116">
        <v>2508.0500000000002</v>
      </c>
      <c r="P1225" s="116">
        <v>2514.8000000000002</v>
      </c>
      <c r="Q1225" s="116">
        <v>2546.6</v>
      </c>
      <c r="R1225">
        <v>144846</v>
      </c>
    </row>
    <row r="1226" spans="1:18" x14ac:dyDescent="0.25">
      <c r="A1226" s="170">
        <v>45450</v>
      </c>
      <c r="B1226" s="116">
        <v>2573.5</v>
      </c>
      <c r="C1226" s="116">
        <v>2543.5500000000002</v>
      </c>
      <c r="D1226" s="116">
        <v>2535.0500000000002</v>
      </c>
      <c r="E1226" s="116">
        <v>2543.9499999999998</v>
      </c>
      <c r="F1226" s="116">
        <v>2543.5500000000002</v>
      </c>
      <c r="G1226">
        <v>3165</v>
      </c>
      <c r="H1226" s="116"/>
      <c r="I1226" s="116"/>
      <c r="L1226" s="170">
        <v>45450</v>
      </c>
      <c r="M1226" s="116">
        <v>2542.75</v>
      </c>
      <c r="N1226" s="116">
        <v>2575.9</v>
      </c>
      <c r="O1226" s="116">
        <v>2531.6999999999998</v>
      </c>
      <c r="P1226" s="116">
        <v>2535</v>
      </c>
      <c r="Q1226" s="116">
        <v>2542.75</v>
      </c>
      <c r="R1226">
        <v>118854</v>
      </c>
    </row>
    <row r="1227" spans="1:18" x14ac:dyDescent="0.25">
      <c r="A1227" s="170">
        <v>45453</v>
      </c>
      <c r="B1227" s="116">
        <v>2579.8000000000002</v>
      </c>
      <c r="C1227" s="116">
        <v>2561.9</v>
      </c>
      <c r="D1227" s="116">
        <v>2521.0500000000002</v>
      </c>
      <c r="E1227" s="116">
        <v>2560</v>
      </c>
      <c r="F1227" s="116">
        <v>2561.9</v>
      </c>
      <c r="G1227">
        <v>13896</v>
      </c>
      <c r="H1227" s="116"/>
      <c r="I1227" s="116"/>
      <c r="L1227" s="170">
        <v>45453</v>
      </c>
      <c r="M1227" s="116">
        <v>2563.0500000000002</v>
      </c>
      <c r="N1227" s="116">
        <v>2580</v>
      </c>
      <c r="O1227" s="116">
        <v>2520</v>
      </c>
      <c r="P1227" s="116">
        <v>2569.5</v>
      </c>
      <c r="Q1227" s="116">
        <v>2563.0500000000002</v>
      </c>
      <c r="R1227">
        <v>110786</v>
      </c>
    </row>
    <row r="1228" spans="1:18" x14ac:dyDescent="0.25">
      <c r="A1228" s="170">
        <v>45454</v>
      </c>
      <c r="B1228" s="116">
        <v>2589.4499999999998</v>
      </c>
      <c r="C1228" s="116">
        <v>2555.5500000000002</v>
      </c>
      <c r="D1228" s="116">
        <v>2548.4499999999998</v>
      </c>
      <c r="E1228" s="116">
        <v>2565</v>
      </c>
      <c r="F1228" s="116">
        <v>2555.5500000000002</v>
      </c>
      <c r="G1228">
        <v>2764</v>
      </c>
      <c r="H1228" s="116"/>
      <c r="I1228" s="116"/>
      <c r="L1228" s="170">
        <v>45454</v>
      </c>
      <c r="M1228" s="116">
        <v>2554.4499999999998</v>
      </c>
      <c r="N1228" s="116">
        <v>2589</v>
      </c>
      <c r="O1228" s="116">
        <v>2545.0500000000002</v>
      </c>
      <c r="P1228" s="116">
        <v>2563.9</v>
      </c>
      <c r="Q1228" s="116">
        <v>2554.4499999999998</v>
      </c>
      <c r="R1228">
        <v>68395</v>
      </c>
    </row>
    <row r="1229" spans="1:18" x14ac:dyDescent="0.25">
      <c r="A1229" s="170">
        <v>45455</v>
      </c>
      <c r="B1229" s="116">
        <v>2623</v>
      </c>
      <c r="C1229" s="116">
        <v>2595.6</v>
      </c>
      <c r="D1229" s="116">
        <v>2554.1</v>
      </c>
      <c r="E1229" s="116">
        <v>2558.15</v>
      </c>
      <c r="F1229" s="116">
        <v>2595.6</v>
      </c>
      <c r="G1229">
        <v>15347</v>
      </c>
      <c r="H1229" s="116"/>
      <c r="I1229" s="116"/>
      <c r="L1229" s="170">
        <v>45455</v>
      </c>
      <c r="M1229" s="116">
        <v>2595.85</v>
      </c>
      <c r="N1229" s="116">
        <v>2624.85</v>
      </c>
      <c r="O1229" s="116">
        <v>2554.1999999999998</v>
      </c>
      <c r="P1229" s="116">
        <v>2571.9</v>
      </c>
      <c r="Q1229" s="116">
        <v>2595.85</v>
      </c>
      <c r="R1229">
        <v>223362</v>
      </c>
    </row>
    <row r="1230" spans="1:18" x14ac:dyDescent="0.25">
      <c r="A1230" s="170">
        <v>45456</v>
      </c>
      <c r="B1230" s="116">
        <v>2629.45</v>
      </c>
      <c r="C1230" s="116">
        <v>2564.85</v>
      </c>
      <c r="D1230" s="116">
        <v>2554.9499999999998</v>
      </c>
      <c r="E1230" s="116">
        <v>2629.45</v>
      </c>
      <c r="F1230" s="116">
        <v>2564.85</v>
      </c>
      <c r="G1230">
        <v>3322</v>
      </c>
      <c r="H1230" s="116"/>
      <c r="I1230" s="116"/>
      <c r="L1230" s="170">
        <v>45456</v>
      </c>
      <c r="M1230" s="116">
        <v>2571.25</v>
      </c>
      <c r="N1230" s="116">
        <v>2624</v>
      </c>
      <c r="O1230" s="116">
        <v>2563.15</v>
      </c>
      <c r="P1230" s="116">
        <v>2624</v>
      </c>
      <c r="Q1230" s="116">
        <v>2571.25</v>
      </c>
      <c r="R1230">
        <v>118670</v>
      </c>
    </row>
    <row r="1231" spans="1:18" x14ac:dyDescent="0.25">
      <c r="A1231" s="170">
        <v>45457</v>
      </c>
      <c r="B1231" s="116">
        <v>2597.75</v>
      </c>
      <c r="C1231" s="116">
        <v>2577.25</v>
      </c>
      <c r="D1231" s="116">
        <v>2557.15</v>
      </c>
      <c r="E1231" s="116">
        <v>2597.75</v>
      </c>
      <c r="F1231" s="116">
        <v>2577.25</v>
      </c>
      <c r="G1231">
        <v>2088</v>
      </c>
      <c r="H1231" s="116"/>
      <c r="I1231" s="116"/>
      <c r="L1231" s="170">
        <v>45457</v>
      </c>
      <c r="M1231" s="116">
        <v>2577.5500000000002</v>
      </c>
      <c r="N1231" s="116">
        <v>2596.9499999999998</v>
      </c>
      <c r="O1231" s="116">
        <v>2556.4</v>
      </c>
      <c r="P1231" s="116">
        <v>2590</v>
      </c>
      <c r="Q1231" s="116">
        <v>2577.5500000000002</v>
      </c>
      <c r="R1231">
        <v>71024</v>
      </c>
    </row>
    <row r="1232" spans="1:18" x14ac:dyDescent="0.25">
      <c r="A1232" s="170">
        <v>45461</v>
      </c>
      <c r="B1232" s="116">
        <v>2591.6</v>
      </c>
      <c r="C1232" s="116">
        <v>2561.5</v>
      </c>
      <c r="D1232" s="116">
        <v>2537.0500000000002</v>
      </c>
      <c r="E1232" s="116">
        <v>2584.75</v>
      </c>
      <c r="F1232" s="116">
        <v>2561.5</v>
      </c>
      <c r="G1232">
        <v>3764</v>
      </c>
      <c r="H1232" s="116"/>
      <c r="I1232" s="116"/>
      <c r="L1232" s="170">
        <v>45461</v>
      </c>
      <c r="M1232" s="116">
        <v>2563.5500000000002</v>
      </c>
      <c r="N1232" s="116">
        <v>2592.6999999999998</v>
      </c>
      <c r="O1232" s="116">
        <v>2535.75</v>
      </c>
      <c r="P1232" s="116">
        <v>2575</v>
      </c>
      <c r="Q1232" s="116">
        <v>2563.5500000000002</v>
      </c>
      <c r="R1232">
        <v>140805</v>
      </c>
    </row>
    <row r="1233" spans="1:18" x14ac:dyDescent="0.25">
      <c r="A1233" s="170">
        <v>45462</v>
      </c>
      <c r="B1233" s="116">
        <v>2643.75</v>
      </c>
      <c r="C1233" s="116">
        <v>2596.5</v>
      </c>
      <c r="D1233" s="116">
        <v>2539</v>
      </c>
      <c r="E1233" s="116">
        <v>2555.85</v>
      </c>
      <c r="F1233" s="116">
        <v>2596.5</v>
      </c>
      <c r="G1233">
        <v>7479</v>
      </c>
      <c r="H1233" s="116"/>
      <c r="I1233" s="116"/>
      <c r="L1233" s="170">
        <v>45462</v>
      </c>
      <c r="M1233" s="116">
        <v>2593.6999999999998</v>
      </c>
      <c r="N1233" s="116">
        <v>2645</v>
      </c>
      <c r="O1233" s="116">
        <v>2537.85</v>
      </c>
      <c r="P1233" s="116">
        <v>2565</v>
      </c>
      <c r="Q1233" s="116">
        <v>2593.6999999999998</v>
      </c>
      <c r="R1233">
        <v>305318</v>
      </c>
    </row>
    <row r="1234" spans="1:18" x14ac:dyDescent="0.25">
      <c r="A1234" s="170">
        <v>45463</v>
      </c>
      <c r="B1234" s="116">
        <v>2650</v>
      </c>
      <c r="C1234" s="116">
        <v>2616.0500000000002</v>
      </c>
      <c r="D1234" s="116">
        <v>2585.6</v>
      </c>
      <c r="E1234" s="116">
        <v>2620</v>
      </c>
      <c r="F1234" s="116">
        <v>2616.0500000000002</v>
      </c>
      <c r="G1234">
        <v>15760</v>
      </c>
      <c r="H1234" s="116"/>
      <c r="I1234" s="116"/>
      <c r="L1234" s="170">
        <v>45463</v>
      </c>
      <c r="M1234" s="116">
        <v>2614.65</v>
      </c>
      <c r="N1234" s="116">
        <v>2652</v>
      </c>
      <c r="O1234" s="116">
        <v>2579.75</v>
      </c>
      <c r="P1234" s="116">
        <v>2614.5</v>
      </c>
      <c r="Q1234" s="116">
        <v>2614.65</v>
      </c>
      <c r="R1234">
        <v>230328</v>
      </c>
    </row>
    <row r="1235" spans="1:18" x14ac:dyDescent="0.25">
      <c r="A1235" s="170">
        <v>45464</v>
      </c>
      <c r="B1235" s="116">
        <v>2716.35</v>
      </c>
      <c r="C1235" s="116">
        <v>2653.6</v>
      </c>
      <c r="D1235" s="116">
        <v>2630.1</v>
      </c>
      <c r="E1235" s="116">
        <v>2630.1</v>
      </c>
      <c r="F1235" s="116">
        <v>2653.6</v>
      </c>
      <c r="G1235">
        <v>765169</v>
      </c>
      <c r="H1235" s="116"/>
      <c r="I1235" s="116"/>
      <c r="L1235" s="170">
        <v>45464</v>
      </c>
      <c r="M1235" s="116">
        <v>2655.1</v>
      </c>
      <c r="N1235" s="116">
        <v>2717.25</v>
      </c>
      <c r="O1235" s="116">
        <v>2627.15</v>
      </c>
      <c r="P1235" s="116">
        <v>2637.9</v>
      </c>
      <c r="Q1235" s="116">
        <v>2655.1</v>
      </c>
      <c r="R1235">
        <v>438773</v>
      </c>
    </row>
    <row r="1236" spans="1:18" x14ac:dyDescent="0.25">
      <c r="A1236" s="170">
        <v>45467</v>
      </c>
      <c r="B1236" s="116">
        <v>2704.7</v>
      </c>
      <c r="C1236" s="116">
        <v>2664.3</v>
      </c>
      <c r="D1236" s="116">
        <v>2648.8</v>
      </c>
      <c r="E1236" s="116">
        <v>2660</v>
      </c>
      <c r="F1236" s="116">
        <v>2664.3</v>
      </c>
      <c r="G1236">
        <v>5938</v>
      </c>
      <c r="H1236" s="116"/>
      <c r="I1236" s="116"/>
      <c r="L1236" s="170">
        <v>45467</v>
      </c>
      <c r="M1236" s="116">
        <v>2664.15</v>
      </c>
      <c r="N1236" s="116">
        <v>2705</v>
      </c>
      <c r="O1236" s="116">
        <v>2643.25</v>
      </c>
      <c r="P1236" s="116">
        <v>2663.95</v>
      </c>
      <c r="Q1236" s="116">
        <v>2664.15</v>
      </c>
      <c r="R1236">
        <v>206026</v>
      </c>
    </row>
    <row r="1237" spans="1:18" x14ac:dyDescent="0.25">
      <c r="A1237" s="170">
        <v>45468</v>
      </c>
      <c r="B1237" s="116">
        <v>2734.65</v>
      </c>
      <c r="C1237" s="116">
        <v>2701.4</v>
      </c>
      <c r="D1237" s="116">
        <v>2666.85</v>
      </c>
      <c r="E1237" s="116">
        <v>2697.95</v>
      </c>
      <c r="F1237" s="116">
        <v>2701.4</v>
      </c>
      <c r="G1237">
        <v>17748</v>
      </c>
      <c r="H1237" s="116"/>
      <c r="I1237" s="116"/>
      <c r="L1237" s="170">
        <v>45468</v>
      </c>
      <c r="M1237" s="116">
        <v>2701.8</v>
      </c>
      <c r="N1237" s="116">
        <v>2734.2</v>
      </c>
      <c r="O1237" s="116">
        <v>2670.35</v>
      </c>
      <c r="P1237" s="116">
        <v>2684.85</v>
      </c>
      <c r="Q1237" s="116">
        <v>2701.8</v>
      </c>
      <c r="R1237">
        <v>269880</v>
      </c>
    </row>
    <row r="1238" spans="1:18" x14ac:dyDescent="0.25">
      <c r="A1238" s="170">
        <v>45469</v>
      </c>
      <c r="B1238" s="116">
        <v>2719.75</v>
      </c>
      <c r="C1238" s="116">
        <v>2683.55</v>
      </c>
      <c r="D1238" s="116">
        <v>2665</v>
      </c>
      <c r="E1238" s="116">
        <v>2706</v>
      </c>
      <c r="F1238" s="116">
        <v>2683.55</v>
      </c>
      <c r="G1238">
        <v>2797</v>
      </c>
      <c r="H1238" s="116"/>
      <c r="I1238" s="116"/>
      <c r="L1238" s="170">
        <v>45469</v>
      </c>
      <c r="M1238" s="116">
        <v>2683.45</v>
      </c>
      <c r="N1238" s="116">
        <v>2718.95</v>
      </c>
      <c r="O1238" s="116">
        <v>2663.4</v>
      </c>
      <c r="P1238" s="116">
        <v>2706</v>
      </c>
      <c r="Q1238" s="116">
        <v>2683.45</v>
      </c>
      <c r="R1238">
        <v>117751</v>
      </c>
    </row>
    <row r="1239" spans="1:18" x14ac:dyDescent="0.25">
      <c r="A1239" s="170">
        <v>45470</v>
      </c>
      <c r="B1239" s="116">
        <v>2731.7</v>
      </c>
      <c r="C1239" s="116">
        <v>2692.2</v>
      </c>
      <c r="D1239" s="116">
        <v>2660.1</v>
      </c>
      <c r="E1239" s="116">
        <v>2663</v>
      </c>
      <c r="F1239" s="116">
        <v>2692.2</v>
      </c>
      <c r="G1239">
        <v>15047</v>
      </c>
      <c r="H1239" s="116"/>
      <c r="I1239" s="116"/>
      <c r="L1239" s="170">
        <v>45470</v>
      </c>
      <c r="M1239" s="116">
        <v>2687.75</v>
      </c>
      <c r="N1239" s="116">
        <v>2733.15</v>
      </c>
      <c r="O1239" s="116">
        <v>2659</v>
      </c>
      <c r="P1239" s="116">
        <v>2675</v>
      </c>
      <c r="Q1239" s="116">
        <v>2687.75</v>
      </c>
      <c r="R1239">
        <v>213474</v>
      </c>
    </row>
    <row r="1240" spans="1:18" x14ac:dyDescent="0.25">
      <c r="A1240" s="170">
        <v>45471</v>
      </c>
      <c r="B1240" s="116">
        <v>2719.85</v>
      </c>
      <c r="C1240" s="116">
        <v>2680.5</v>
      </c>
      <c r="D1240" s="116">
        <v>2671.45</v>
      </c>
      <c r="E1240" s="116">
        <v>2719.85</v>
      </c>
      <c r="F1240" s="116">
        <v>2680.5</v>
      </c>
      <c r="G1240">
        <v>11727</v>
      </c>
      <c r="H1240" s="116"/>
      <c r="I1240" s="116"/>
      <c r="L1240" s="170">
        <v>45471</v>
      </c>
      <c r="M1240" s="116">
        <v>2680.85</v>
      </c>
      <c r="N1240" s="116">
        <v>2718.85</v>
      </c>
      <c r="O1240" s="116">
        <v>2676</v>
      </c>
      <c r="P1240" s="116">
        <v>2698.8</v>
      </c>
      <c r="Q1240" s="116">
        <v>2680.85</v>
      </c>
      <c r="R1240">
        <v>118918</v>
      </c>
    </row>
    <row r="1241" spans="1:18" x14ac:dyDescent="0.25">
      <c r="A1241" s="170">
        <v>45474</v>
      </c>
      <c r="B1241" s="116">
        <v>2700</v>
      </c>
      <c r="C1241" s="116">
        <v>2684.15</v>
      </c>
      <c r="D1241" s="116">
        <v>2640.15</v>
      </c>
      <c r="E1241" s="116">
        <v>2679</v>
      </c>
      <c r="F1241" s="116">
        <v>2684.15</v>
      </c>
      <c r="G1241">
        <v>5352</v>
      </c>
      <c r="H1241" s="116"/>
      <c r="I1241" s="116"/>
      <c r="L1241" s="170">
        <v>45474</v>
      </c>
      <c r="M1241" s="116">
        <v>2684.8</v>
      </c>
      <c r="N1241" s="116">
        <v>2697.95</v>
      </c>
      <c r="O1241" s="116">
        <v>2638.2</v>
      </c>
      <c r="P1241" s="116">
        <v>2681</v>
      </c>
      <c r="Q1241" s="116">
        <v>2684.8</v>
      </c>
      <c r="R1241">
        <v>100671</v>
      </c>
    </row>
    <row r="1242" spans="1:18" x14ac:dyDescent="0.25">
      <c r="A1242" s="170">
        <v>45475</v>
      </c>
      <c r="B1242" s="116">
        <v>2695</v>
      </c>
      <c r="C1242" s="116">
        <v>2672.95</v>
      </c>
      <c r="D1242" s="116">
        <v>2666.85</v>
      </c>
      <c r="E1242" s="116">
        <v>2685.45</v>
      </c>
      <c r="F1242" s="116">
        <v>2672.95</v>
      </c>
      <c r="G1242">
        <v>4281</v>
      </c>
      <c r="H1242" s="116"/>
      <c r="I1242" s="116"/>
      <c r="L1242" s="170">
        <v>45475</v>
      </c>
      <c r="M1242" s="116">
        <v>2673.15</v>
      </c>
      <c r="N1242" s="116">
        <v>2695.8</v>
      </c>
      <c r="O1242" s="116">
        <v>2667.7</v>
      </c>
      <c r="P1242" s="116">
        <v>2693.9</v>
      </c>
      <c r="Q1242" s="116">
        <v>2673.15</v>
      </c>
      <c r="R1242">
        <v>83719</v>
      </c>
    </row>
    <row r="1243" spans="1:18" x14ac:dyDescent="0.25">
      <c r="A1243" s="170">
        <v>45476</v>
      </c>
      <c r="B1243" s="116">
        <v>2742</v>
      </c>
      <c r="C1243" s="116">
        <v>2696.55</v>
      </c>
      <c r="D1243" s="116">
        <v>2670</v>
      </c>
      <c r="E1243" s="116">
        <v>2689.4</v>
      </c>
      <c r="F1243" s="116">
        <v>2696.55</v>
      </c>
      <c r="G1243">
        <v>7397</v>
      </c>
      <c r="H1243" s="116"/>
      <c r="I1243" s="116"/>
      <c r="L1243" s="170">
        <v>45476</v>
      </c>
      <c r="M1243" s="116">
        <v>2696.95</v>
      </c>
      <c r="N1243" s="116">
        <v>2742.75</v>
      </c>
      <c r="O1243" s="116">
        <v>2668.05</v>
      </c>
      <c r="P1243" s="116">
        <v>2682.05</v>
      </c>
      <c r="Q1243" s="116">
        <v>2696.95</v>
      </c>
      <c r="R1243">
        <v>283319</v>
      </c>
    </row>
    <row r="1244" spans="1:18" x14ac:dyDescent="0.25">
      <c r="A1244" s="170">
        <v>45477</v>
      </c>
      <c r="B1244" s="116">
        <v>2722.85</v>
      </c>
      <c r="C1244" s="116">
        <v>2694.65</v>
      </c>
      <c r="D1244" s="116">
        <v>2680</v>
      </c>
      <c r="E1244" s="116">
        <v>2696</v>
      </c>
      <c r="F1244" s="116">
        <v>2694.65</v>
      </c>
      <c r="G1244">
        <v>2429</v>
      </c>
      <c r="H1244" s="116"/>
      <c r="I1244" s="116"/>
      <c r="L1244" s="170">
        <v>45477</v>
      </c>
      <c r="M1244" s="116">
        <v>2699.15</v>
      </c>
      <c r="N1244" s="116">
        <v>2720.75</v>
      </c>
      <c r="O1244" s="116">
        <v>2678.35</v>
      </c>
      <c r="P1244" s="116">
        <v>2706</v>
      </c>
      <c r="Q1244" s="116">
        <v>2699.15</v>
      </c>
      <c r="R1244">
        <v>80525</v>
      </c>
    </row>
    <row r="1245" spans="1:18" x14ac:dyDescent="0.25">
      <c r="A1245" s="170">
        <v>45478</v>
      </c>
      <c r="B1245" s="116">
        <v>2737.3</v>
      </c>
      <c r="C1245" s="116">
        <v>2699.3</v>
      </c>
      <c r="D1245" s="116">
        <v>2688.7</v>
      </c>
      <c r="E1245" s="116">
        <v>2703</v>
      </c>
      <c r="F1245" s="116">
        <v>2699.3</v>
      </c>
      <c r="G1245">
        <v>4014</v>
      </c>
      <c r="H1245" s="116"/>
      <c r="I1245" s="116"/>
      <c r="L1245" s="170">
        <v>45478</v>
      </c>
      <c r="M1245" s="116">
        <v>2698.8</v>
      </c>
      <c r="N1245" s="116">
        <v>2737.5</v>
      </c>
      <c r="O1245" s="116">
        <v>2690</v>
      </c>
      <c r="P1245" s="116">
        <v>2699.15</v>
      </c>
      <c r="Q1245" s="116">
        <v>2698.8</v>
      </c>
      <c r="R1245">
        <v>94370</v>
      </c>
    </row>
    <row r="1246" spans="1:18" x14ac:dyDescent="0.25">
      <c r="A1246" s="170">
        <v>45481</v>
      </c>
      <c r="B1246" s="116">
        <v>2720.15</v>
      </c>
      <c r="C1246" s="116">
        <v>2644.7</v>
      </c>
      <c r="D1246" s="116">
        <v>2632.25</v>
      </c>
      <c r="E1246" s="116">
        <v>2720.15</v>
      </c>
      <c r="F1246" s="116">
        <v>2644.7</v>
      </c>
      <c r="G1246">
        <v>12193</v>
      </c>
      <c r="H1246" s="116"/>
      <c r="I1246" s="116"/>
      <c r="L1246" s="170">
        <v>45481</v>
      </c>
      <c r="M1246" s="116">
        <v>2646.4</v>
      </c>
      <c r="N1246" s="116">
        <v>2715.4</v>
      </c>
      <c r="O1246" s="116">
        <v>2631.45</v>
      </c>
      <c r="P1246" s="116">
        <v>2712</v>
      </c>
      <c r="Q1246" s="116">
        <v>2646.4</v>
      </c>
      <c r="R1246">
        <v>96302</v>
      </c>
    </row>
    <row r="1247" spans="1:18" x14ac:dyDescent="0.25">
      <c r="A1247" s="170">
        <v>45482</v>
      </c>
      <c r="B1247" s="116">
        <v>2730</v>
      </c>
      <c r="C1247" s="116">
        <v>2718.3</v>
      </c>
      <c r="D1247" s="116">
        <v>2656.3</v>
      </c>
      <c r="E1247" s="116">
        <v>2666</v>
      </c>
      <c r="F1247" s="116">
        <v>2718.3</v>
      </c>
      <c r="G1247">
        <v>4235</v>
      </c>
      <c r="H1247" s="116"/>
      <c r="I1247" s="116"/>
      <c r="L1247" s="170">
        <v>45482</v>
      </c>
      <c r="M1247" s="116">
        <v>2717.65</v>
      </c>
      <c r="N1247" s="116">
        <v>2731.6</v>
      </c>
      <c r="O1247" s="116">
        <v>2655.25</v>
      </c>
      <c r="P1247" s="116">
        <v>2674</v>
      </c>
      <c r="Q1247" s="116">
        <v>2717.65</v>
      </c>
      <c r="R1247">
        <v>165205</v>
      </c>
    </row>
    <row r="1248" spans="1:18" x14ac:dyDescent="0.25">
      <c r="A1248" s="170">
        <v>45483</v>
      </c>
      <c r="B1248" s="116">
        <v>2761.05</v>
      </c>
      <c r="C1248" s="116">
        <v>2739.45</v>
      </c>
      <c r="D1248" s="116">
        <v>2660.4</v>
      </c>
      <c r="E1248" s="116">
        <v>2730.75</v>
      </c>
      <c r="F1248" s="116">
        <v>2739.45</v>
      </c>
      <c r="G1248">
        <v>15351</v>
      </c>
      <c r="H1248" s="116"/>
      <c r="I1248" s="116"/>
      <c r="L1248" s="170">
        <v>45483</v>
      </c>
      <c r="M1248" s="116">
        <v>2740.25</v>
      </c>
      <c r="N1248" s="116">
        <v>2760</v>
      </c>
      <c r="O1248" s="116">
        <v>2662.75</v>
      </c>
      <c r="P1248" s="116">
        <v>2735</v>
      </c>
      <c r="Q1248" s="116">
        <v>2740.25</v>
      </c>
      <c r="R1248">
        <v>249381</v>
      </c>
    </row>
    <row r="1249" spans="1:18" x14ac:dyDescent="0.25">
      <c r="A1249" s="170">
        <v>45484</v>
      </c>
      <c r="B1249" s="116">
        <v>2799</v>
      </c>
      <c r="C1249" s="116">
        <v>2761.65</v>
      </c>
      <c r="D1249" s="116">
        <v>2726.9</v>
      </c>
      <c r="E1249" s="116">
        <v>2739.45</v>
      </c>
      <c r="F1249" s="116">
        <v>2761.65</v>
      </c>
      <c r="G1249">
        <v>6180</v>
      </c>
      <c r="H1249" s="116"/>
      <c r="I1249" s="116"/>
      <c r="L1249" s="170">
        <v>45484</v>
      </c>
      <c r="M1249" s="116">
        <v>2761.2</v>
      </c>
      <c r="N1249" s="116">
        <v>2798.75</v>
      </c>
      <c r="O1249" s="116">
        <v>2725.05</v>
      </c>
      <c r="P1249" s="116">
        <v>2741</v>
      </c>
      <c r="Q1249" s="116">
        <v>2761.2</v>
      </c>
      <c r="R1249">
        <v>215881</v>
      </c>
    </row>
    <row r="1250" spans="1:18" x14ac:dyDescent="0.25">
      <c r="A1250" s="170">
        <v>45485</v>
      </c>
      <c r="B1250" s="116">
        <v>2844</v>
      </c>
      <c r="C1250" s="116">
        <v>2811.7</v>
      </c>
      <c r="D1250" s="116">
        <v>2761.7</v>
      </c>
      <c r="E1250" s="116">
        <v>2761.7</v>
      </c>
      <c r="F1250" s="116">
        <v>2811.7</v>
      </c>
      <c r="G1250">
        <v>32560</v>
      </c>
      <c r="H1250" s="116"/>
      <c r="I1250" s="116"/>
      <c r="L1250" s="170">
        <v>45485</v>
      </c>
      <c r="M1250" s="116">
        <v>2812</v>
      </c>
      <c r="N1250" s="116">
        <v>2846.4</v>
      </c>
      <c r="O1250" s="116">
        <v>2761.2</v>
      </c>
      <c r="P1250" s="116">
        <v>2761.2</v>
      </c>
      <c r="Q1250" s="116">
        <v>2812</v>
      </c>
      <c r="R1250">
        <v>622488</v>
      </c>
    </row>
    <row r="1251" spans="1:18" x14ac:dyDescent="0.25">
      <c r="A1251" s="170">
        <v>45488</v>
      </c>
      <c r="B1251" s="116">
        <v>2951</v>
      </c>
      <c r="C1251" s="116">
        <v>2892.55</v>
      </c>
      <c r="D1251" s="116">
        <v>2806.4</v>
      </c>
      <c r="E1251" s="116">
        <v>2806.4</v>
      </c>
      <c r="F1251" s="116">
        <v>2892.55</v>
      </c>
      <c r="G1251">
        <v>23286</v>
      </c>
      <c r="H1251" s="116"/>
      <c r="I1251" s="116"/>
      <c r="L1251" s="170">
        <v>45488</v>
      </c>
      <c r="M1251" s="116">
        <v>2894.75</v>
      </c>
      <c r="N1251" s="116">
        <v>2953.95</v>
      </c>
      <c r="O1251" s="116">
        <v>2816</v>
      </c>
      <c r="P1251" s="116">
        <v>2820.35</v>
      </c>
      <c r="Q1251" s="116">
        <v>2894.75</v>
      </c>
      <c r="R1251">
        <v>881339</v>
      </c>
    </row>
    <row r="1252" spans="1:18" x14ac:dyDescent="0.25">
      <c r="A1252" s="170">
        <v>45489</v>
      </c>
      <c r="B1252" s="116">
        <v>2925.95</v>
      </c>
      <c r="C1252" s="116">
        <v>2861.8</v>
      </c>
      <c r="D1252" s="116">
        <v>2840</v>
      </c>
      <c r="E1252" s="116">
        <v>2893.3</v>
      </c>
      <c r="F1252" s="116">
        <v>2861.8</v>
      </c>
      <c r="G1252">
        <v>5113</v>
      </c>
      <c r="H1252" s="116"/>
      <c r="I1252" s="116"/>
      <c r="L1252" s="170">
        <v>45489</v>
      </c>
      <c r="M1252" s="116">
        <v>2862.6</v>
      </c>
      <c r="N1252" s="116">
        <v>2925.45</v>
      </c>
      <c r="O1252" s="116">
        <v>2835.35</v>
      </c>
      <c r="P1252" s="116">
        <v>2900</v>
      </c>
      <c r="Q1252" s="116">
        <v>2862.6</v>
      </c>
      <c r="R1252">
        <v>285778</v>
      </c>
    </row>
    <row r="1253" spans="1:18" x14ac:dyDescent="0.25">
      <c r="A1253" s="170">
        <v>45491</v>
      </c>
      <c r="B1253" s="116">
        <v>2937.5</v>
      </c>
      <c r="C1253" s="116">
        <v>2920.05</v>
      </c>
      <c r="D1253" s="116">
        <v>2804.6</v>
      </c>
      <c r="E1253" s="116">
        <v>2819.7</v>
      </c>
      <c r="F1253" s="116">
        <v>2920.05</v>
      </c>
      <c r="G1253">
        <v>8062</v>
      </c>
      <c r="H1253" s="116"/>
      <c r="I1253" s="116"/>
      <c r="L1253" s="170">
        <v>45491</v>
      </c>
      <c r="M1253" s="116">
        <v>2919.3</v>
      </c>
      <c r="N1253" s="116">
        <v>2937.55</v>
      </c>
      <c r="O1253" s="116">
        <v>2826.7</v>
      </c>
      <c r="P1253" s="116">
        <v>2840</v>
      </c>
      <c r="Q1253" s="116">
        <v>2919.3</v>
      </c>
      <c r="R1253">
        <v>324149</v>
      </c>
    </row>
    <row r="1254" spans="1:18" x14ac:dyDescent="0.25">
      <c r="A1254" s="170">
        <v>45492</v>
      </c>
      <c r="B1254" s="116">
        <v>2940.1</v>
      </c>
      <c r="C1254" s="116">
        <v>2800.35</v>
      </c>
      <c r="D1254" s="116">
        <v>2783.1</v>
      </c>
      <c r="E1254" s="116">
        <v>2914.2</v>
      </c>
      <c r="F1254" s="116">
        <v>2800.35</v>
      </c>
      <c r="G1254">
        <v>14667</v>
      </c>
      <c r="H1254" s="116"/>
      <c r="I1254" s="116"/>
      <c r="L1254" s="170">
        <v>45492</v>
      </c>
      <c r="M1254" s="116">
        <v>2798.2</v>
      </c>
      <c r="N1254" s="116">
        <v>2942.95</v>
      </c>
      <c r="O1254" s="116">
        <v>2780.85</v>
      </c>
      <c r="P1254" s="116">
        <v>2920</v>
      </c>
      <c r="Q1254" s="116">
        <v>2798.2</v>
      </c>
      <c r="R1254">
        <v>265881</v>
      </c>
    </row>
    <row r="1255" spans="1:18" x14ac:dyDescent="0.25">
      <c r="A1255" s="170">
        <v>45495</v>
      </c>
      <c r="B1255" s="116">
        <v>2865.35</v>
      </c>
      <c r="C1255" s="116">
        <v>2853.8</v>
      </c>
      <c r="D1255" s="116">
        <v>2739.7</v>
      </c>
      <c r="E1255" s="116">
        <v>2763.25</v>
      </c>
      <c r="F1255" s="116">
        <v>2853.8</v>
      </c>
      <c r="G1255">
        <v>10388</v>
      </c>
      <c r="H1255" s="116"/>
      <c r="I1255" s="116"/>
      <c r="L1255" s="170">
        <v>45495</v>
      </c>
      <c r="M1255" s="116">
        <v>2855.75</v>
      </c>
      <c r="N1255" s="116">
        <v>2869.4</v>
      </c>
      <c r="O1255" s="116">
        <v>2738.35</v>
      </c>
      <c r="P1255" s="116">
        <v>2789.95</v>
      </c>
      <c r="Q1255" s="116">
        <v>2855.75</v>
      </c>
      <c r="R1255">
        <v>148153</v>
      </c>
    </row>
    <row r="1256" spans="1:18" x14ac:dyDescent="0.25">
      <c r="A1256" s="170">
        <v>45496</v>
      </c>
      <c r="B1256" s="116">
        <v>2911</v>
      </c>
      <c r="C1256" s="116">
        <v>2888.25</v>
      </c>
      <c r="D1256" s="116">
        <v>2735.5</v>
      </c>
      <c r="E1256" s="116">
        <v>2851.45</v>
      </c>
      <c r="F1256" s="116">
        <v>2888.25</v>
      </c>
      <c r="G1256">
        <v>7541</v>
      </c>
      <c r="H1256" s="116"/>
      <c r="I1256" s="116"/>
      <c r="L1256" s="170">
        <v>45496</v>
      </c>
      <c r="M1256" s="116">
        <v>2888.05</v>
      </c>
      <c r="N1256" s="116">
        <v>2918.2</v>
      </c>
      <c r="O1256" s="116">
        <v>2728.05</v>
      </c>
      <c r="P1256" s="116">
        <v>2859.95</v>
      </c>
      <c r="Q1256" s="116">
        <v>2888.05</v>
      </c>
      <c r="R1256">
        <v>205279</v>
      </c>
    </row>
    <row r="1257" spans="1:18" x14ac:dyDescent="0.25">
      <c r="A1257" s="170">
        <v>45497</v>
      </c>
      <c r="B1257" s="116">
        <v>3019</v>
      </c>
      <c r="C1257" s="116">
        <v>3006.15</v>
      </c>
      <c r="D1257" s="116">
        <v>2886.65</v>
      </c>
      <c r="E1257" s="116">
        <v>2917</v>
      </c>
      <c r="F1257" s="116">
        <v>3006.15</v>
      </c>
      <c r="G1257">
        <v>38055</v>
      </c>
      <c r="H1257" s="116"/>
      <c r="I1257" s="116"/>
      <c r="L1257" s="170">
        <v>45497</v>
      </c>
      <c r="M1257" s="116">
        <v>3007.55</v>
      </c>
      <c r="N1257" s="116">
        <v>3020.8</v>
      </c>
      <c r="O1257" s="116">
        <v>2870.05</v>
      </c>
      <c r="P1257" s="116">
        <v>2888.05</v>
      </c>
      <c r="Q1257" s="116">
        <v>3007.55</v>
      </c>
      <c r="R1257">
        <v>550172</v>
      </c>
    </row>
    <row r="1258" spans="1:18" x14ac:dyDescent="0.25">
      <c r="A1258" s="170">
        <v>45498</v>
      </c>
      <c r="B1258" s="116">
        <v>3050</v>
      </c>
      <c r="C1258" s="116">
        <v>2992.45</v>
      </c>
      <c r="D1258" s="116">
        <v>2964.7</v>
      </c>
      <c r="E1258" s="116">
        <v>3003.65</v>
      </c>
      <c r="F1258" s="116">
        <v>2992.45</v>
      </c>
      <c r="G1258">
        <v>9195</v>
      </c>
      <c r="H1258" s="116"/>
      <c r="I1258" s="116"/>
      <c r="L1258" s="170">
        <v>45498</v>
      </c>
      <c r="M1258" s="116">
        <v>2992.3</v>
      </c>
      <c r="N1258" s="116">
        <v>3051</v>
      </c>
      <c r="O1258" s="116">
        <v>2962.5</v>
      </c>
      <c r="P1258" s="116">
        <v>2994.85</v>
      </c>
      <c r="Q1258" s="116">
        <v>2992.3</v>
      </c>
      <c r="R1258">
        <v>475889</v>
      </c>
    </row>
    <row r="1259" spans="1:18" x14ac:dyDescent="0.25">
      <c r="A1259" s="170">
        <v>45499</v>
      </c>
      <c r="B1259" s="116">
        <v>3055.8</v>
      </c>
      <c r="C1259" s="116">
        <v>3031.15</v>
      </c>
      <c r="D1259" s="116">
        <v>2980.05</v>
      </c>
      <c r="E1259" s="116">
        <v>2980.05</v>
      </c>
      <c r="F1259" s="116">
        <v>3031.15</v>
      </c>
      <c r="G1259">
        <v>25762</v>
      </c>
      <c r="H1259" s="116"/>
      <c r="I1259" s="116"/>
      <c r="L1259" s="170">
        <v>45499</v>
      </c>
      <c r="M1259" s="116">
        <v>3032.95</v>
      </c>
      <c r="N1259" s="116">
        <v>3050</v>
      </c>
      <c r="O1259" s="116">
        <v>2981.65</v>
      </c>
      <c r="P1259" s="116">
        <v>3000</v>
      </c>
      <c r="Q1259" s="116">
        <v>3032.95</v>
      </c>
      <c r="R1259">
        <v>195982</v>
      </c>
    </row>
    <row r="1260" spans="1:18" x14ac:dyDescent="0.25">
      <c r="A1260" s="170">
        <v>45502</v>
      </c>
      <c r="B1260" s="116">
        <v>3079.95</v>
      </c>
      <c r="C1260" s="116">
        <v>3046.8</v>
      </c>
      <c r="D1260" s="116">
        <v>3005.1</v>
      </c>
      <c r="E1260" s="116">
        <v>3079.95</v>
      </c>
      <c r="F1260" s="116">
        <v>3046.8</v>
      </c>
      <c r="G1260">
        <v>6351</v>
      </c>
      <c r="H1260" s="116"/>
      <c r="I1260" s="116"/>
      <c r="L1260" s="170">
        <v>45502</v>
      </c>
      <c r="M1260" s="116">
        <v>3048.95</v>
      </c>
      <c r="N1260" s="116">
        <v>3067.95</v>
      </c>
      <c r="O1260" s="116">
        <v>3005</v>
      </c>
      <c r="P1260" s="116">
        <v>3064</v>
      </c>
      <c r="Q1260" s="116">
        <v>3048.95</v>
      </c>
      <c r="R1260">
        <v>224657</v>
      </c>
    </row>
    <row r="1261" spans="1:18" x14ac:dyDescent="0.25">
      <c r="A1261" s="170">
        <v>45503</v>
      </c>
      <c r="B1261" s="116">
        <v>3198.95</v>
      </c>
      <c r="C1261" s="116">
        <v>3146.55</v>
      </c>
      <c r="D1261" s="116">
        <v>3007.5</v>
      </c>
      <c r="E1261" s="116">
        <v>3064.1</v>
      </c>
      <c r="F1261" s="116">
        <v>3146.55</v>
      </c>
      <c r="G1261">
        <v>19860</v>
      </c>
      <c r="H1261" s="116"/>
      <c r="I1261" s="116"/>
      <c r="L1261" s="170">
        <v>45503</v>
      </c>
      <c r="M1261" s="116">
        <v>3152.45</v>
      </c>
      <c r="N1261" s="116">
        <v>3198.4</v>
      </c>
      <c r="O1261" s="116">
        <v>3005.9</v>
      </c>
      <c r="P1261" s="116">
        <v>3055</v>
      </c>
      <c r="Q1261" s="116">
        <v>3152.45</v>
      </c>
      <c r="R1261">
        <v>626413</v>
      </c>
    </row>
    <row r="1262" spans="1:18" x14ac:dyDescent="0.25">
      <c r="A1262" s="170">
        <v>45504</v>
      </c>
      <c r="B1262" s="116">
        <v>3160</v>
      </c>
      <c r="C1262" s="116">
        <v>2946.4</v>
      </c>
      <c r="D1262" s="116">
        <v>2884.5</v>
      </c>
      <c r="E1262" s="116">
        <v>3160</v>
      </c>
      <c r="F1262" s="116">
        <v>2946.4</v>
      </c>
      <c r="G1262">
        <v>48091</v>
      </c>
      <c r="H1262" s="116"/>
      <c r="I1262" s="116"/>
      <c r="L1262" s="170">
        <v>45504</v>
      </c>
      <c r="M1262" s="116">
        <v>2944.85</v>
      </c>
      <c r="N1262" s="116">
        <v>3150</v>
      </c>
      <c r="O1262" s="116">
        <v>2882.3</v>
      </c>
      <c r="P1262" s="116">
        <v>3150</v>
      </c>
      <c r="Q1262" s="116">
        <v>2944.85</v>
      </c>
      <c r="R1262">
        <v>1474140</v>
      </c>
    </row>
    <row r="1263" spans="1:18" x14ac:dyDescent="0.25">
      <c r="A1263" s="170">
        <v>45505</v>
      </c>
      <c r="B1263" s="116">
        <v>2963.3</v>
      </c>
      <c r="C1263" s="116">
        <v>2848.15</v>
      </c>
      <c r="D1263" s="116">
        <v>2835</v>
      </c>
      <c r="E1263" s="116">
        <v>2963.3</v>
      </c>
      <c r="F1263" s="116">
        <v>2848.15</v>
      </c>
      <c r="G1263">
        <v>71776</v>
      </c>
      <c r="H1263" s="116"/>
      <c r="I1263" s="116"/>
      <c r="L1263" s="170">
        <v>45505</v>
      </c>
      <c r="M1263" s="116">
        <v>2848.15</v>
      </c>
      <c r="N1263" s="116">
        <v>2957.6</v>
      </c>
      <c r="O1263" s="116">
        <v>2835</v>
      </c>
      <c r="P1263" s="116">
        <v>2956.05</v>
      </c>
      <c r="Q1263" s="116">
        <v>2848.15</v>
      </c>
      <c r="R1263">
        <v>632505</v>
      </c>
    </row>
    <row r="1264" spans="1:18" x14ac:dyDescent="0.25">
      <c r="A1264" s="170">
        <v>45506</v>
      </c>
      <c r="B1264" s="116">
        <v>2860</v>
      </c>
      <c r="C1264" s="116">
        <v>2788.35</v>
      </c>
      <c r="D1264" s="116">
        <v>2768.3</v>
      </c>
      <c r="E1264" s="116">
        <v>2801.1</v>
      </c>
      <c r="F1264" s="116">
        <v>2788.35</v>
      </c>
      <c r="G1264">
        <v>30389</v>
      </c>
      <c r="H1264" s="116"/>
      <c r="I1264" s="116"/>
      <c r="L1264" s="170">
        <v>45506</v>
      </c>
      <c r="M1264" s="116">
        <v>2788.75</v>
      </c>
      <c r="N1264" s="116">
        <v>2862.85</v>
      </c>
      <c r="O1264" s="116">
        <v>2765</v>
      </c>
      <c r="P1264" s="116">
        <v>2807</v>
      </c>
      <c r="Q1264" s="116">
        <v>2788.75</v>
      </c>
      <c r="R1264">
        <v>431280</v>
      </c>
    </row>
    <row r="1265" spans="1:18" x14ac:dyDescent="0.25">
      <c r="A1265" s="170">
        <v>45509</v>
      </c>
      <c r="B1265" s="116">
        <v>2749.25</v>
      </c>
      <c r="C1265" s="116">
        <v>2665.25</v>
      </c>
      <c r="D1265" s="116">
        <v>2630.8</v>
      </c>
      <c r="E1265" s="116">
        <v>2715</v>
      </c>
      <c r="F1265" s="116">
        <v>2665.25</v>
      </c>
      <c r="G1265">
        <v>15908</v>
      </c>
      <c r="H1265" s="116"/>
      <c r="I1265" s="116"/>
      <c r="L1265" s="170">
        <v>45509</v>
      </c>
      <c r="M1265" s="116">
        <v>2667.3</v>
      </c>
      <c r="N1265" s="116">
        <v>2748.95</v>
      </c>
      <c r="O1265" s="116">
        <v>2626.25</v>
      </c>
      <c r="P1265" s="116">
        <v>2716.65</v>
      </c>
      <c r="Q1265" s="116">
        <v>2667.3</v>
      </c>
      <c r="R1265">
        <v>486143</v>
      </c>
    </row>
    <row r="1266" spans="1:18" x14ac:dyDescent="0.25">
      <c r="A1266" s="170">
        <v>45510</v>
      </c>
      <c r="B1266" s="116">
        <v>2721.65</v>
      </c>
      <c r="C1266" s="116">
        <v>2675.85</v>
      </c>
      <c r="D1266" s="116">
        <v>2648.95</v>
      </c>
      <c r="E1266" s="116">
        <v>2690.05</v>
      </c>
      <c r="F1266" s="116">
        <v>2675.85</v>
      </c>
      <c r="G1266">
        <v>7835</v>
      </c>
      <c r="H1266" s="116"/>
      <c r="I1266" s="116"/>
      <c r="L1266" s="170">
        <v>45510</v>
      </c>
      <c r="M1266" s="116">
        <v>2678.3</v>
      </c>
      <c r="N1266" s="116">
        <v>2720</v>
      </c>
      <c r="O1266" s="116">
        <v>2644.7</v>
      </c>
      <c r="P1266" s="116">
        <v>2698.5</v>
      </c>
      <c r="Q1266" s="116">
        <v>2678.3</v>
      </c>
      <c r="R1266">
        <v>365005</v>
      </c>
    </row>
    <row r="1267" spans="1:18" x14ac:dyDescent="0.25">
      <c r="A1267" s="170">
        <v>45511</v>
      </c>
      <c r="B1267" s="116">
        <v>2786.3</v>
      </c>
      <c r="C1267" s="116">
        <v>2751.3</v>
      </c>
      <c r="D1267" s="116">
        <v>2652</v>
      </c>
      <c r="E1267" s="116">
        <v>2705</v>
      </c>
      <c r="F1267" s="116">
        <v>2751.3</v>
      </c>
      <c r="G1267">
        <v>5744</v>
      </c>
      <c r="H1267" s="116"/>
      <c r="I1267" s="116"/>
      <c r="L1267" s="170">
        <v>45511</v>
      </c>
      <c r="M1267" s="116">
        <v>2752.05</v>
      </c>
      <c r="N1267" s="116">
        <v>2788</v>
      </c>
      <c r="O1267" s="116">
        <v>2650</v>
      </c>
      <c r="P1267" s="116">
        <v>2718</v>
      </c>
      <c r="Q1267" s="116">
        <v>2752.05</v>
      </c>
      <c r="R1267">
        <v>288918</v>
      </c>
    </row>
    <row r="1268" spans="1:18" x14ac:dyDescent="0.25">
      <c r="A1268" s="170">
        <v>45512</v>
      </c>
      <c r="B1268" s="116">
        <v>2831.1</v>
      </c>
      <c r="C1268" s="116">
        <v>2800.65</v>
      </c>
      <c r="D1268" s="116">
        <v>2736</v>
      </c>
      <c r="E1268" s="116">
        <v>2751.3</v>
      </c>
      <c r="F1268" s="116">
        <v>2800.65</v>
      </c>
      <c r="G1268">
        <v>8748</v>
      </c>
      <c r="H1268" s="116"/>
      <c r="I1268" s="116"/>
      <c r="L1268" s="170">
        <v>45512</v>
      </c>
      <c r="M1268" s="116">
        <v>2800.4</v>
      </c>
      <c r="N1268" s="116">
        <v>2832.85</v>
      </c>
      <c r="O1268" s="116">
        <v>2735.9</v>
      </c>
      <c r="P1268" s="116">
        <v>2750</v>
      </c>
      <c r="Q1268" s="116">
        <v>2800.4</v>
      </c>
      <c r="R1268">
        <v>301925</v>
      </c>
    </row>
    <row r="1269" spans="1:18" x14ac:dyDescent="0.25">
      <c r="A1269" s="170">
        <v>45513</v>
      </c>
      <c r="B1269" s="116">
        <v>2847</v>
      </c>
      <c r="C1269" s="116">
        <v>2779.5</v>
      </c>
      <c r="D1269" s="116">
        <v>2759.1</v>
      </c>
      <c r="E1269" s="116">
        <v>2800.05</v>
      </c>
      <c r="F1269" s="116">
        <v>2779.5</v>
      </c>
      <c r="G1269">
        <v>10780</v>
      </c>
      <c r="H1269" s="116"/>
      <c r="I1269" s="116"/>
      <c r="L1269" s="170">
        <v>45513</v>
      </c>
      <c r="M1269" s="116">
        <v>2777.25</v>
      </c>
      <c r="N1269" s="116">
        <v>2848.4</v>
      </c>
      <c r="O1269" s="116">
        <v>2757.5</v>
      </c>
      <c r="P1269" s="116">
        <v>2808.7</v>
      </c>
      <c r="Q1269" s="116">
        <v>2777.25</v>
      </c>
      <c r="R1269">
        <v>138022</v>
      </c>
    </row>
    <row r="1270" spans="1:18" x14ac:dyDescent="0.25">
      <c r="A1270" s="170">
        <v>45516</v>
      </c>
      <c r="B1270" s="116">
        <v>2819.85</v>
      </c>
      <c r="C1270" s="116">
        <v>2759</v>
      </c>
      <c r="D1270" s="116">
        <v>2715.05</v>
      </c>
      <c r="E1270" s="116">
        <v>2759.15</v>
      </c>
      <c r="F1270" s="116">
        <v>2759</v>
      </c>
      <c r="G1270">
        <v>12777</v>
      </c>
      <c r="H1270" s="116"/>
      <c r="I1270" s="116"/>
      <c r="L1270" s="170">
        <v>45516</v>
      </c>
      <c r="M1270" s="116">
        <v>2757.3</v>
      </c>
      <c r="N1270" s="116">
        <v>2821.3</v>
      </c>
      <c r="O1270" s="116">
        <v>2714</v>
      </c>
      <c r="P1270" s="116">
        <v>2780</v>
      </c>
      <c r="Q1270" s="116">
        <v>2757.3</v>
      </c>
      <c r="R1270">
        <v>132477</v>
      </c>
    </row>
    <row r="1271" spans="1:18" x14ac:dyDescent="0.25">
      <c r="A1271" s="170">
        <v>45517</v>
      </c>
      <c r="B1271" s="116">
        <v>2753.2</v>
      </c>
      <c r="C1271" s="116">
        <v>2698.1</v>
      </c>
      <c r="D1271" s="116">
        <v>2670</v>
      </c>
      <c r="E1271" s="116">
        <v>2751.6</v>
      </c>
      <c r="F1271" s="116">
        <v>2698.1</v>
      </c>
      <c r="G1271">
        <v>13701</v>
      </c>
      <c r="H1271" s="116"/>
      <c r="I1271" s="116"/>
      <c r="L1271" s="170">
        <v>45517</v>
      </c>
      <c r="M1271" s="116">
        <v>2699.4</v>
      </c>
      <c r="N1271" s="116">
        <v>2757.3</v>
      </c>
      <c r="O1271" s="116">
        <v>2690</v>
      </c>
      <c r="P1271" s="116">
        <v>2757.3</v>
      </c>
      <c r="Q1271" s="116">
        <v>2699.4</v>
      </c>
      <c r="R1271">
        <v>128834</v>
      </c>
    </row>
    <row r="1272" spans="1:18" x14ac:dyDescent="0.25">
      <c r="A1272" s="170">
        <v>45518</v>
      </c>
      <c r="B1272" s="116">
        <v>2720.9</v>
      </c>
      <c r="C1272" s="116">
        <v>2674</v>
      </c>
      <c r="D1272" s="116">
        <v>2659.95</v>
      </c>
      <c r="E1272" s="116">
        <v>2701.85</v>
      </c>
      <c r="F1272" s="116">
        <v>2674</v>
      </c>
      <c r="G1272">
        <v>7895</v>
      </c>
      <c r="H1272" s="116"/>
      <c r="I1272" s="116"/>
      <c r="L1272" s="170">
        <v>45518</v>
      </c>
      <c r="M1272" s="116">
        <v>2673.35</v>
      </c>
      <c r="N1272" s="116">
        <v>2721.55</v>
      </c>
      <c r="O1272" s="116">
        <v>2662</v>
      </c>
      <c r="P1272" s="116">
        <v>2709.75</v>
      </c>
      <c r="Q1272" s="116">
        <v>2673.35</v>
      </c>
      <c r="R1272">
        <v>200630</v>
      </c>
    </row>
    <row r="1273" spans="1:18" x14ac:dyDescent="0.25">
      <c r="A1273" s="170">
        <v>45520</v>
      </c>
      <c r="B1273" s="116">
        <v>2778.25</v>
      </c>
      <c r="C1273" s="116">
        <v>2751.8</v>
      </c>
      <c r="D1273" s="116">
        <v>2686.15</v>
      </c>
      <c r="E1273" s="116">
        <v>2688.75</v>
      </c>
      <c r="F1273" s="116">
        <v>2751.8</v>
      </c>
      <c r="G1273">
        <v>9416</v>
      </c>
      <c r="H1273" s="116"/>
      <c r="I1273" s="116"/>
      <c r="L1273" s="170">
        <v>45520</v>
      </c>
      <c r="M1273" s="116">
        <v>2748.7</v>
      </c>
      <c r="N1273" s="116">
        <v>2779.85</v>
      </c>
      <c r="O1273" s="116">
        <v>2676.3</v>
      </c>
      <c r="P1273" s="116">
        <v>2681</v>
      </c>
      <c r="Q1273" s="116">
        <v>2748.7</v>
      </c>
      <c r="R1273">
        <v>203254</v>
      </c>
    </row>
    <row r="1274" spans="1:18" x14ac:dyDescent="0.25">
      <c r="A1274" s="170">
        <v>45523</v>
      </c>
      <c r="B1274" s="116">
        <v>2863.95</v>
      </c>
      <c r="C1274" s="116">
        <v>2851.45</v>
      </c>
      <c r="D1274" s="116">
        <v>2745.3</v>
      </c>
      <c r="E1274" s="116">
        <v>2752.9</v>
      </c>
      <c r="F1274" s="116">
        <v>2851.45</v>
      </c>
      <c r="G1274">
        <v>26694</v>
      </c>
      <c r="H1274" s="116"/>
      <c r="I1274" s="116"/>
      <c r="L1274" s="170">
        <v>45523</v>
      </c>
      <c r="M1274" s="116">
        <v>2852.55</v>
      </c>
      <c r="N1274" s="116">
        <v>2867</v>
      </c>
      <c r="O1274" s="116">
        <v>2749</v>
      </c>
      <c r="P1274" s="116">
        <v>2770</v>
      </c>
      <c r="Q1274" s="116">
        <v>2852.55</v>
      </c>
      <c r="R1274">
        <v>295080</v>
      </c>
    </row>
    <row r="1275" spans="1:18" x14ac:dyDescent="0.25">
      <c r="A1275" s="170">
        <v>45524</v>
      </c>
      <c r="B1275" s="116">
        <v>2917</v>
      </c>
      <c r="C1275" s="116">
        <v>2906.95</v>
      </c>
      <c r="D1275" s="116">
        <v>2860</v>
      </c>
      <c r="E1275" s="116">
        <v>2870</v>
      </c>
      <c r="F1275" s="116">
        <v>2906.95</v>
      </c>
      <c r="G1275">
        <v>17028</v>
      </c>
      <c r="H1275" s="116"/>
      <c r="I1275" s="116"/>
      <c r="L1275" s="170">
        <v>45524</v>
      </c>
      <c r="M1275" s="116">
        <v>2905.75</v>
      </c>
      <c r="N1275" s="116">
        <v>2917</v>
      </c>
      <c r="O1275" s="116">
        <v>2860</v>
      </c>
      <c r="P1275" s="116">
        <v>2875</v>
      </c>
      <c r="Q1275" s="116">
        <v>2905.75</v>
      </c>
      <c r="R1275">
        <v>378531</v>
      </c>
    </row>
    <row r="1276" spans="1:18" x14ac:dyDescent="0.25">
      <c r="A1276" s="170">
        <v>45525</v>
      </c>
      <c r="B1276" s="116">
        <v>2990</v>
      </c>
      <c r="C1276" s="116">
        <v>2910.25</v>
      </c>
      <c r="D1276" s="116">
        <v>2883.65</v>
      </c>
      <c r="E1276" s="116">
        <v>2910.05</v>
      </c>
      <c r="F1276" s="116">
        <v>2910.25</v>
      </c>
      <c r="G1276">
        <v>25235</v>
      </c>
      <c r="H1276" s="116"/>
      <c r="I1276" s="116"/>
      <c r="L1276" s="170">
        <v>45525</v>
      </c>
      <c r="M1276" s="116">
        <v>2911</v>
      </c>
      <c r="N1276" s="116">
        <v>2992.9</v>
      </c>
      <c r="O1276" s="116">
        <v>2882.45</v>
      </c>
      <c r="P1276" s="116">
        <v>2920.45</v>
      </c>
      <c r="Q1276" s="116">
        <v>2911</v>
      </c>
      <c r="R1276">
        <v>492515</v>
      </c>
    </row>
    <row r="1277" spans="1:18" x14ac:dyDescent="0.25">
      <c r="A1277" s="170">
        <v>45526</v>
      </c>
      <c r="B1277" s="116">
        <v>2975</v>
      </c>
      <c r="C1277" s="116">
        <v>2912.3</v>
      </c>
      <c r="D1277" s="116">
        <v>2904.15</v>
      </c>
      <c r="E1277" s="116">
        <v>2910.25</v>
      </c>
      <c r="F1277" s="116">
        <v>2912.3</v>
      </c>
      <c r="G1277">
        <v>4757</v>
      </c>
      <c r="H1277" s="116"/>
      <c r="I1277" s="116"/>
      <c r="L1277" s="170">
        <v>45526</v>
      </c>
      <c r="M1277" s="116">
        <v>2915.45</v>
      </c>
      <c r="N1277" s="116">
        <v>2977.9</v>
      </c>
      <c r="O1277" s="116">
        <v>2907.2</v>
      </c>
      <c r="P1277" s="116">
        <v>2926.7</v>
      </c>
      <c r="Q1277" s="116">
        <v>2915.45</v>
      </c>
      <c r="R1277">
        <v>202021</v>
      </c>
    </row>
    <row r="1278" spans="1:18" x14ac:dyDescent="0.25">
      <c r="A1278" s="170">
        <v>45527</v>
      </c>
      <c r="B1278" s="116">
        <v>2932.9</v>
      </c>
      <c r="C1278" s="116">
        <v>2891.7</v>
      </c>
      <c r="D1278" s="116">
        <v>2880</v>
      </c>
      <c r="E1278" s="116">
        <v>2932.9</v>
      </c>
      <c r="F1278" s="116">
        <v>2891.7</v>
      </c>
      <c r="G1278">
        <v>3412</v>
      </c>
      <c r="H1278" s="116"/>
      <c r="I1278" s="116"/>
      <c r="L1278" s="170">
        <v>45527</v>
      </c>
      <c r="M1278" s="116">
        <v>2896.65</v>
      </c>
      <c r="N1278" s="116">
        <v>2934.9</v>
      </c>
      <c r="O1278" s="116">
        <v>2884.55</v>
      </c>
      <c r="P1278" s="116">
        <v>2925</v>
      </c>
      <c r="Q1278" s="116">
        <v>2896.65</v>
      </c>
      <c r="R1278">
        <v>208660</v>
      </c>
    </row>
    <row r="1279" spans="1:18" x14ac:dyDescent="0.25">
      <c r="A1279" s="170">
        <v>45530</v>
      </c>
      <c r="B1279" s="116">
        <v>3028.2</v>
      </c>
      <c r="C1279" s="116">
        <v>2957.95</v>
      </c>
      <c r="D1279" s="116">
        <v>2895</v>
      </c>
      <c r="E1279" s="116">
        <v>2895</v>
      </c>
      <c r="F1279" s="116">
        <v>2957.95</v>
      </c>
      <c r="G1279">
        <v>8901</v>
      </c>
      <c r="H1279" s="116"/>
      <c r="I1279" s="116"/>
      <c r="L1279" s="170">
        <v>45530</v>
      </c>
      <c r="M1279" s="116">
        <v>2961.35</v>
      </c>
      <c r="N1279" s="116">
        <v>3029.8</v>
      </c>
      <c r="O1279" s="116">
        <v>2898</v>
      </c>
      <c r="P1279" s="116">
        <v>2898</v>
      </c>
      <c r="Q1279" s="116">
        <v>2961.35</v>
      </c>
      <c r="R1279">
        <v>450936</v>
      </c>
    </row>
    <row r="1280" spans="1:18" x14ac:dyDescent="0.25">
      <c r="A1280" s="170">
        <v>45531</v>
      </c>
      <c r="B1280" s="116">
        <v>3007.25</v>
      </c>
      <c r="C1280" s="116">
        <v>2994.25</v>
      </c>
      <c r="D1280" s="116">
        <v>2967.75</v>
      </c>
      <c r="E1280" s="116">
        <v>2998.65</v>
      </c>
      <c r="F1280" s="116">
        <v>2994.25</v>
      </c>
      <c r="G1280">
        <v>6505</v>
      </c>
      <c r="H1280" s="116"/>
      <c r="I1280" s="116"/>
      <c r="L1280" s="170">
        <v>45531</v>
      </c>
      <c r="M1280" s="116">
        <v>2994.25</v>
      </c>
      <c r="N1280" s="116">
        <v>3008.9</v>
      </c>
      <c r="O1280" s="116">
        <v>2967.05</v>
      </c>
      <c r="P1280" s="116">
        <v>2988.25</v>
      </c>
      <c r="Q1280" s="116">
        <v>2994.25</v>
      </c>
      <c r="R1280">
        <v>245703</v>
      </c>
    </row>
    <row r="1281" spans="1:18" x14ac:dyDescent="0.25">
      <c r="A1281" s="170">
        <v>45532</v>
      </c>
      <c r="B1281" s="116">
        <v>3065</v>
      </c>
      <c r="C1281" s="116">
        <v>3043.5</v>
      </c>
      <c r="D1281" s="116">
        <v>2982.65</v>
      </c>
      <c r="E1281" s="116">
        <v>2999</v>
      </c>
      <c r="F1281" s="116">
        <v>3043.5</v>
      </c>
      <c r="G1281">
        <v>37512</v>
      </c>
      <c r="H1281" s="116"/>
      <c r="I1281" s="116"/>
      <c r="L1281" s="170">
        <v>45532</v>
      </c>
      <c r="M1281" s="116">
        <v>3044.75</v>
      </c>
      <c r="N1281" s="116">
        <v>3067.55</v>
      </c>
      <c r="O1281" s="116">
        <v>2982.85</v>
      </c>
      <c r="P1281" s="116">
        <v>2995</v>
      </c>
      <c r="Q1281" s="116">
        <v>3044.75</v>
      </c>
      <c r="R1281">
        <v>553655</v>
      </c>
    </row>
    <row r="1282" spans="1:18" x14ac:dyDescent="0.25">
      <c r="A1282" s="170">
        <v>45533</v>
      </c>
      <c r="B1282" s="116">
        <v>3049.8</v>
      </c>
      <c r="C1282" s="116">
        <v>3020.65</v>
      </c>
      <c r="D1282" s="116">
        <v>2966.25</v>
      </c>
      <c r="E1282" s="116">
        <v>3049.8</v>
      </c>
      <c r="F1282" s="116">
        <v>3020.65</v>
      </c>
      <c r="G1282">
        <v>5274</v>
      </c>
      <c r="H1282" s="116"/>
      <c r="I1282" s="116"/>
      <c r="L1282" s="170">
        <v>45533</v>
      </c>
      <c r="M1282" s="116">
        <v>3020.25</v>
      </c>
      <c r="N1282" s="116">
        <v>3050</v>
      </c>
      <c r="O1282" s="116">
        <v>2968</v>
      </c>
      <c r="P1282" s="116">
        <v>3050</v>
      </c>
      <c r="Q1282" s="116">
        <v>3020.25</v>
      </c>
      <c r="R1282">
        <v>227954</v>
      </c>
    </row>
    <row r="1283" spans="1:18" x14ac:dyDescent="0.25">
      <c r="A1283" s="170">
        <v>45534</v>
      </c>
      <c r="B1283" s="116">
        <v>3055.1</v>
      </c>
      <c r="C1283" s="116">
        <v>2999.7</v>
      </c>
      <c r="D1283" s="116">
        <v>2982.9</v>
      </c>
      <c r="E1283" s="116">
        <v>3041.45</v>
      </c>
      <c r="F1283" s="116">
        <v>2999.7</v>
      </c>
      <c r="G1283">
        <v>6624</v>
      </c>
      <c r="H1283" s="116"/>
      <c r="I1283" s="116"/>
      <c r="L1283" s="170">
        <v>45534</v>
      </c>
      <c r="M1283" s="116">
        <v>3000.05</v>
      </c>
      <c r="N1283" s="116">
        <v>3057</v>
      </c>
      <c r="O1283" s="116">
        <v>2985</v>
      </c>
      <c r="P1283" s="116">
        <v>3025.05</v>
      </c>
      <c r="Q1283" s="116">
        <v>3000.05</v>
      </c>
      <c r="R1283">
        <v>134044</v>
      </c>
    </row>
    <row r="1284" spans="1:18" x14ac:dyDescent="0.25">
      <c r="A1284" s="170">
        <v>45537</v>
      </c>
      <c r="B1284" s="116">
        <v>3020.4</v>
      </c>
      <c r="C1284" s="116">
        <v>2969.7</v>
      </c>
      <c r="D1284" s="116">
        <v>2940.1</v>
      </c>
      <c r="E1284" s="116">
        <v>3020.4</v>
      </c>
      <c r="F1284" s="116">
        <v>2969.7</v>
      </c>
      <c r="G1284">
        <v>4463</v>
      </c>
      <c r="H1284" s="116"/>
      <c r="I1284" s="116"/>
      <c r="L1284" s="170">
        <v>45537</v>
      </c>
      <c r="M1284" s="116">
        <v>2969.3</v>
      </c>
      <c r="N1284" s="116">
        <v>3011.5</v>
      </c>
      <c r="O1284" s="116">
        <v>2939.8</v>
      </c>
      <c r="P1284" s="116">
        <v>3009</v>
      </c>
      <c r="Q1284" s="116">
        <v>2969.3</v>
      </c>
      <c r="R1284">
        <v>257590</v>
      </c>
    </row>
    <row r="1285" spans="1:18" x14ac:dyDescent="0.25">
      <c r="A1285" s="170">
        <v>45538</v>
      </c>
      <c r="B1285" s="116">
        <v>3065</v>
      </c>
      <c r="C1285" s="116">
        <v>3023.55</v>
      </c>
      <c r="D1285" s="116">
        <v>2969.65</v>
      </c>
      <c r="E1285" s="116">
        <v>2969.65</v>
      </c>
      <c r="F1285" s="116">
        <v>3023.55</v>
      </c>
      <c r="G1285">
        <v>24035</v>
      </c>
      <c r="H1285" s="116"/>
      <c r="I1285" s="116"/>
      <c r="L1285" s="170">
        <v>45538</v>
      </c>
      <c r="M1285" s="116">
        <v>3024.45</v>
      </c>
      <c r="N1285" s="116">
        <v>3066</v>
      </c>
      <c r="O1285" s="116">
        <v>2964.85</v>
      </c>
      <c r="P1285" s="116">
        <v>2969</v>
      </c>
      <c r="Q1285" s="116">
        <v>3024.45</v>
      </c>
      <c r="R1285">
        <v>439249</v>
      </c>
    </row>
    <row r="1286" spans="1:18" x14ac:dyDescent="0.25">
      <c r="A1286" s="170">
        <v>45539</v>
      </c>
      <c r="B1286" s="116">
        <v>3120.5</v>
      </c>
      <c r="C1286" s="116">
        <v>3057.95</v>
      </c>
      <c r="D1286" s="116">
        <v>2961.05</v>
      </c>
      <c r="E1286" s="116">
        <v>2963.5</v>
      </c>
      <c r="F1286" s="116">
        <v>3057.95</v>
      </c>
      <c r="G1286">
        <v>36832</v>
      </c>
      <c r="H1286" s="116"/>
      <c r="I1286" s="116"/>
      <c r="L1286" s="170">
        <v>45539</v>
      </c>
      <c r="M1286" s="116">
        <v>3054.7</v>
      </c>
      <c r="N1286" s="116">
        <v>3122</v>
      </c>
      <c r="O1286" s="116">
        <v>2960.3</v>
      </c>
      <c r="P1286" s="116">
        <v>3009.9</v>
      </c>
      <c r="Q1286" s="116">
        <v>3054.7</v>
      </c>
      <c r="R1286">
        <v>838825</v>
      </c>
    </row>
    <row r="1287" spans="1:18" x14ac:dyDescent="0.25">
      <c r="A1287" s="170">
        <v>45540</v>
      </c>
      <c r="B1287" s="116">
        <v>3084.35</v>
      </c>
      <c r="C1287" s="116">
        <v>3030.7</v>
      </c>
      <c r="D1287" s="116">
        <v>3015.3</v>
      </c>
      <c r="E1287" s="116">
        <v>3068.8</v>
      </c>
      <c r="F1287" s="116">
        <v>3030.7</v>
      </c>
      <c r="G1287">
        <v>6738</v>
      </c>
      <c r="H1287" s="116"/>
      <c r="I1287" s="116"/>
      <c r="L1287" s="170">
        <v>45540</v>
      </c>
      <c r="M1287" s="116">
        <v>3029.15</v>
      </c>
      <c r="N1287" s="116">
        <v>3084.35</v>
      </c>
      <c r="O1287" s="116">
        <v>3013.55</v>
      </c>
      <c r="P1287" s="116">
        <v>3067.95</v>
      </c>
      <c r="Q1287" s="116">
        <v>3029.15</v>
      </c>
      <c r="R1287">
        <v>138685</v>
      </c>
    </row>
    <row r="1288" spans="1:18" x14ac:dyDescent="0.25">
      <c r="A1288" s="170">
        <v>45541</v>
      </c>
      <c r="B1288" s="116">
        <v>3030.7</v>
      </c>
      <c r="C1288" s="116">
        <v>2981.5</v>
      </c>
      <c r="D1288" s="116">
        <v>2961.85</v>
      </c>
      <c r="E1288" s="116">
        <v>3030.7</v>
      </c>
      <c r="F1288" s="116">
        <v>2981.5</v>
      </c>
      <c r="G1288">
        <v>8664</v>
      </c>
      <c r="H1288" s="116"/>
      <c r="I1288" s="116"/>
      <c r="L1288" s="170">
        <v>45541</v>
      </c>
      <c r="M1288" s="116">
        <v>2983.8</v>
      </c>
      <c r="N1288" s="116">
        <v>3025</v>
      </c>
      <c r="O1288" s="116">
        <v>2963.45</v>
      </c>
      <c r="P1288" s="116">
        <v>3012.2</v>
      </c>
      <c r="Q1288" s="116">
        <v>2983.8</v>
      </c>
      <c r="R1288">
        <v>167359</v>
      </c>
    </row>
    <row r="1289" spans="1:18" x14ac:dyDescent="0.25">
      <c r="A1289" s="170">
        <v>45544</v>
      </c>
      <c r="B1289" s="116">
        <v>3050</v>
      </c>
      <c r="C1289" s="116">
        <v>3040.05</v>
      </c>
      <c r="D1289" s="116">
        <v>2978.55</v>
      </c>
      <c r="E1289" s="116">
        <v>2990.05</v>
      </c>
      <c r="F1289" s="116">
        <v>3040.05</v>
      </c>
      <c r="G1289">
        <v>7665</v>
      </c>
      <c r="H1289" s="116"/>
      <c r="I1289" s="116"/>
      <c r="L1289" s="170">
        <v>45544</v>
      </c>
      <c r="M1289" s="116">
        <v>3039.05</v>
      </c>
      <c r="N1289" s="116">
        <v>3050</v>
      </c>
      <c r="O1289" s="116">
        <v>2976.1</v>
      </c>
      <c r="P1289" s="116">
        <v>2996</v>
      </c>
      <c r="Q1289" s="116">
        <v>3039.05</v>
      </c>
      <c r="R1289">
        <v>407276</v>
      </c>
    </row>
    <row r="1290" spans="1:18" x14ac:dyDescent="0.25">
      <c r="A1290" s="170">
        <v>45545</v>
      </c>
      <c r="B1290" s="116">
        <v>3143.35</v>
      </c>
      <c r="C1290" s="116">
        <v>3126.3</v>
      </c>
      <c r="D1290" s="116">
        <v>3038</v>
      </c>
      <c r="E1290" s="116">
        <v>3088.45</v>
      </c>
      <c r="F1290" s="116">
        <v>3126.3</v>
      </c>
      <c r="G1290">
        <v>23429</v>
      </c>
      <c r="H1290" s="116"/>
      <c r="I1290" s="116"/>
      <c r="L1290" s="170">
        <v>45545</v>
      </c>
      <c r="M1290" s="116">
        <v>3127.95</v>
      </c>
      <c r="N1290" s="116">
        <v>3142.8</v>
      </c>
      <c r="O1290" s="116">
        <v>3034.3</v>
      </c>
      <c r="P1290" s="116">
        <v>3076.5</v>
      </c>
      <c r="Q1290" s="116">
        <v>3127.95</v>
      </c>
      <c r="R1290">
        <v>482916</v>
      </c>
    </row>
    <row r="1291" spans="1:18" x14ac:dyDescent="0.25">
      <c r="A1291" s="170">
        <v>45546</v>
      </c>
      <c r="B1291" s="116">
        <v>3144.2</v>
      </c>
      <c r="C1291" s="116">
        <v>3103.25</v>
      </c>
      <c r="D1291" s="116">
        <v>3080</v>
      </c>
      <c r="E1291" s="116">
        <v>3127.1</v>
      </c>
      <c r="F1291" s="116">
        <v>3103.25</v>
      </c>
      <c r="G1291">
        <v>4851</v>
      </c>
      <c r="H1291" s="116"/>
      <c r="I1291" s="116"/>
      <c r="L1291" s="170">
        <v>45546</v>
      </c>
      <c r="M1291" s="116">
        <v>3103</v>
      </c>
      <c r="N1291" s="116">
        <v>3145</v>
      </c>
      <c r="O1291" s="116">
        <v>3080</v>
      </c>
      <c r="P1291" s="116">
        <v>3140</v>
      </c>
      <c r="Q1291" s="116">
        <v>3103</v>
      </c>
      <c r="R1291">
        <v>205051</v>
      </c>
    </row>
    <row r="1292" spans="1:18" x14ac:dyDescent="0.25">
      <c r="A1292" s="170">
        <v>45547</v>
      </c>
      <c r="B1292" s="116">
        <v>3143.55</v>
      </c>
      <c r="C1292" s="116">
        <v>3126.5</v>
      </c>
      <c r="D1292" s="116">
        <v>3099.6</v>
      </c>
      <c r="E1292" s="116">
        <v>3103</v>
      </c>
      <c r="F1292" s="116">
        <v>3126.5</v>
      </c>
      <c r="G1292">
        <v>8084</v>
      </c>
      <c r="H1292" s="116"/>
      <c r="I1292" s="116"/>
      <c r="L1292" s="170">
        <v>45547</v>
      </c>
      <c r="M1292" s="116">
        <v>3128.75</v>
      </c>
      <c r="N1292" s="116">
        <v>3145.15</v>
      </c>
      <c r="O1292" s="116">
        <v>3101</v>
      </c>
      <c r="P1292" s="116">
        <v>3117.95</v>
      </c>
      <c r="Q1292" s="116">
        <v>3128.75</v>
      </c>
      <c r="R1292">
        <v>85185</v>
      </c>
    </row>
    <row r="1293" spans="1:18" x14ac:dyDescent="0.25">
      <c r="A1293" s="170">
        <v>45548</v>
      </c>
      <c r="B1293" s="116">
        <v>3175</v>
      </c>
      <c r="C1293" s="116">
        <v>3127.05</v>
      </c>
      <c r="D1293" s="116">
        <v>3123.7</v>
      </c>
      <c r="E1293" s="116">
        <v>3126.9</v>
      </c>
      <c r="F1293" s="116">
        <v>3127.05</v>
      </c>
      <c r="G1293">
        <v>2735</v>
      </c>
      <c r="H1293" s="116"/>
      <c r="I1293" s="116"/>
      <c r="L1293" s="170">
        <v>45548</v>
      </c>
      <c r="M1293" s="116">
        <v>3128.7</v>
      </c>
      <c r="N1293" s="116">
        <v>3176</v>
      </c>
      <c r="O1293" s="116">
        <v>3125</v>
      </c>
      <c r="P1293" s="116">
        <v>3143</v>
      </c>
      <c r="Q1293" s="116">
        <v>3128.7</v>
      </c>
      <c r="R1293">
        <v>137282</v>
      </c>
    </row>
    <row r="1294" spans="1:18" x14ac:dyDescent="0.25">
      <c r="A1294" s="170">
        <v>45551</v>
      </c>
      <c r="B1294" s="116">
        <v>3150</v>
      </c>
      <c r="C1294" s="116">
        <v>3111.05</v>
      </c>
      <c r="D1294" s="116">
        <v>3099.8</v>
      </c>
      <c r="E1294" s="116">
        <v>3150</v>
      </c>
      <c r="F1294" s="116">
        <v>3111.05</v>
      </c>
      <c r="G1294">
        <v>2092</v>
      </c>
      <c r="H1294" s="116"/>
      <c r="I1294" s="116"/>
      <c r="L1294" s="170">
        <v>45551</v>
      </c>
      <c r="M1294" s="116">
        <v>3111.3</v>
      </c>
      <c r="N1294" s="116">
        <v>3145.6</v>
      </c>
      <c r="O1294" s="116">
        <v>3096.15</v>
      </c>
      <c r="P1294" s="116">
        <v>3140</v>
      </c>
      <c r="Q1294" s="116">
        <v>3111.3</v>
      </c>
      <c r="R1294">
        <v>133790</v>
      </c>
    </row>
    <row r="1295" spans="1:18" x14ac:dyDescent="0.25">
      <c r="A1295" s="170">
        <v>45552</v>
      </c>
      <c r="B1295" s="116">
        <v>3120</v>
      </c>
      <c r="C1295" s="116">
        <v>3046.15</v>
      </c>
      <c r="D1295" s="116">
        <v>3023.8</v>
      </c>
      <c r="E1295" s="116">
        <v>3111.1</v>
      </c>
      <c r="F1295" s="116">
        <v>3046.15</v>
      </c>
      <c r="G1295">
        <v>1600</v>
      </c>
      <c r="H1295" s="116"/>
      <c r="I1295" s="116"/>
      <c r="L1295" s="170">
        <v>45552</v>
      </c>
      <c r="M1295" s="116">
        <v>3044.8</v>
      </c>
      <c r="N1295" s="116">
        <v>3121.4</v>
      </c>
      <c r="O1295" s="116">
        <v>3022.05</v>
      </c>
      <c r="P1295" s="116">
        <v>3115</v>
      </c>
      <c r="Q1295" s="116">
        <v>3044.8</v>
      </c>
      <c r="R1295">
        <v>145185</v>
      </c>
    </row>
    <row r="1296" spans="1:18" x14ac:dyDescent="0.25">
      <c r="A1296" s="170">
        <v>45553</v>
      </c>
      <c r="B1296" s="116">
        <v>3060.5</v>
      </c>
      <c r="C1296" s="116">
        <v>2989.8</v>
      </c>
      <c r="D1296" s="116">
        <v>2968</v>
      </c>
      <c r="E1296" s="116">
        <v>3051.65</v>
      </c>
      <c r="F1296" s="116">
        <v>2989.8</v>
      </c>
      <c r="G1296">
        <v>7828</v>
      </c>
      <c r="H1296" s="116"/>
      <c r="I1296" s="116"/>
      <c r="L1296" s="170">
        <v>45553</v>
      </c>
      <c r="M1296" s="116">
        <v>2989.05</v>
      </c>
      <c r="N1296" s="116">
        <v>3059.9</v>
      </c>
      <c r="O1296" s="116">
        <v>2966.05</v>
      </c>
      <c r="P1296" s="116">
        <v>3059.9</v>
      </c>
      <c r="Q1296" s="116">
        <v>2989.05</v>
      </c>
      <c r="R1296">
        <v>152536</v>
      </c>
    </row>
    <row r="1297" spans="1:18" x14ac:dyDescent="0.25">
      <c r="A1297" s="170">
        <v>45554</v>
      </c>
      <c r="B1297" s="116">
        <v>3049</v>
      </c>
      <c r="C1297" s="116">
        <v>2983.15</v>
      </c>
      <c r="D1297" s="116">
        <v>2920</v>
      </c>
      <c r="E1297" s="116">
        <v>3000.25</v>
      </c>
      <c r="F1297" s="116">
        <v>2983.15</v>
      </c>
      <c r="G1297">
        <v>11060</v>
      </c>
      <c r="H1297" s="116"/>
      <c r="I1297" s="116"/>
      <c r="L1297" s="170">
        <v>45554</v>
      </c>
      <c r="M1297" s="116">
        <v>2985.8</v>
      </c>
      <c r="N1297" s="116">
        <v>3049.7</v>
      </c>
      <c r="O1297" s="116">
        <v>2918.05</v>
      </c>
      <c r="P1297" s="116">
        <v>3004.95</v>
      </c>
      <c r="Q1297" s="116">
        <v>2985.8</v>
      </c>
      <c r="R1297">
        <v>198884</v>
      </c>
    </row>
    <row r="1298" spans="1:18" x14ac:dyDescent="0.25">
      <c r="A1298" s="170">
        <v>45555</v>
      </c>
      <c r="B1298" s="116">
        <v>3089.5</v>
      </c>
      <c r="C1298" s="116">
        <v>3056.5</v>
      </c>
      <c r="D1298" s="116">
        <v>2991.6</v>
      </c>
      <c r="E1298" s="116">
        <v>3015.05</v>
      </c>
      <c r="F1298" s="116">
        <v>3056.5</v>
      </c>
      <c r="G1298">
        <v>4770</v>
      </c>
      <c r="H1298" s="116"/>
      <c r="I1298" s="116"/>
      <c r="L1298" s="170">
        <v>45555</v>
      </c>
      <c r="M1298" s="116">
        <v>3055.1</v>
      </c>
      <c r="N1298" s="116">
        <v>3092</v>
      </c>
      <c r="O1298" s="116">
        <v>2991.05</v>
      </c>
      <c r="P1298" s="116">
        <v>3006.7</v>
      </c>
      <c r="Q1298" s="116">
        <v>3055.1</v>
      </c>
      <c r="R1298">
        <v>200751</v>
      </c>
    </row>
    <row r="1299" spans="1:18" x14ac:dyDescent="0.25">
      <c r="A1299" s="170">
        <v>45558</v>
      </c>
      <c r="B1299" s="116">
        <v>3083.5</v>
      </c>
      <c r="C1299" s="116">
        <v>3040.4</v>
      </c>
      <c r="D1299" s="116">
        <v>3015</v>
      </c>
      <c r="E1299" s="116">
        <v>3015</v>
      </c>
      <c r="F1299" s="116">
        <v>3040.4</v>
      </c>
      <c r="G1299">
        <v>5298</v>
      </c>
      <c r="H1299" s="116"/>
      <c r="I1299" s="116"/>
      <c r="L1299" s="170">
        <v>45558</v>
      </c>
      <c r="M1299" s="116">
        <v>3042.75</v>
      </c>
      <c r="N1299" s="116">
        <v>3091</v>
      </c>
      <c r="O1299" s="116">
        <v>3025.7</v>
      </c>
      <c r="P1299" s="116">
        <v>3031.5</v>
      </c>
      <c r="Q1299" s="116">
        <v>3042.75</v>
      </c>
      <c r="R1299">
        <v>106225</v>
      </c>
    </row>
    <row r="1300" spans="1:18" x14ac:dyDescent="0.25">
      <c r="A1300" s="170">
        <v>45559</v>
      </c>
      <c r="B1300" s="116">
        <v>3040</v>
      </c>
      <c r="C1300" s="116">
        <v>2977.6</v>
      </c>
      <c r="D1300" s="116">
        <v>2969.9</v>
      </c>
      <c r="E1300" s="116">
        <v>3040</v>
      </c>
      <c r="F1300" s="116">
        <v>2977.6</v>
      </c>
      <c r="G1300">
        <v>2210</v>
      </c>
      <c r="H1300" s="116"/>
      <c r="I1300" s="116"/>
      <c r="L1300" s="170">
        <v>45559</v>
      </c>
      <c r="M1300" s="116">
        <v>2977.9</v>
      </c>
      <c r="N1300" s="116">
        <v>3055</v>
      </c>
      <c r="O1300" s="116">
        <v>2971.6</v>
      </c>
      <c r="P1300" s="116">
        <v>3045</v>
      </c>
      <c r="Q1300" s="116">
        <v>2977.9</v>
      </c>
      <c r="R1300">
        <v>243162</v>
      </c>
    </row>
    <row r="1301" spans="1:18" x14ac:dyDescent="0.25">
      <c r="A1301" s="170">
        <v>45560</v>
      </c>
      <c r="B1301" s="116">
        <v>3001.9</v>
      </c>
      <c r="C1301" s="116">
        <v>2927.65</v>
      </c>
      <c r="D1301" s="116">
        <v>2909.05</v>
      </c>
      <c r="E1301" s="116">
        <v>2980</v>
      </c>
      <c r="F1301" s="116">
        <v>2927.65</v>
      </c>
      <c r="G1301">
        <v>3798</v>
      </c>
      <c r="H1301" s="116"/>
      <c r="I1301" s="116"/>
      <c r="L1301" s="170">
        <v>45560</v>
      </c>
      <c r="M1301" s="116">
        <v>2926.15</v>
      </c>
      <c r="N1301" s="116">
        <v>3004.75</v>
      </c>
      <c r="O1301" s="116">
        <v>2907.15</v>
      </c>
      <c r="P1301" s="116">
        <v>2977.9</v>
      </c>
      <c r="Q1301" s="116">
        <v>2926.15</v>
      </c>
      <c r="R1301">
        <v>247661</v>
      </c>
    </row>
    <row r="1302" spans="1:18" x14ac:dyDescent="0.25">
      <c r="A1302" s="170">
        <v>45561</v>
      </c>
      <c r="B1302" s="116">
        <v>2929</v>
      </c>
      <c r="C1302" s="116">
        <v>2891.75</v>
      </c>
      <c r="D1302" s="116">
        <v>2877.95</v>
      </c>
      <c r="E1302" s="116">
        <v>2929</v>
      </c>
      <c r="F1302" s="116">
        <v>2891.75</v>
      </c>
      <c r="G1302">
        <v>7308</v>
      </c>
      <c r="H1302" s="116"/>
      <c r="I1302" s="116"/>
      <c r="L1302" s="170">
        <v>45561</v>
      </c>
      <c r="M1302" s="116">
        <v>2889.5</v>
      </c>
      <c r="N1302" s="116">
        <v>2960</v>
      </c>
      <c r="O1302" s="116">
        <v>2875.9</v>
      </c>
      <c r="P1302" s="116">
        <v>2936.5</v>
      </c>
      <c r="Q1302" s="116">
        <v>2889.5</v>
      </c>
      <c r="R1302">
        <v>364716</v>
      </c>
    </row>
    <row r="1303" spans="1:18" x14ac:dyDescent="0.25">
      <c r="A1303" s="170">
        <v>45562</v>
      </c>
      <c r="B1303" s="116">
        <v>2950</v>
      </c>
      <c r="C1303" s="116">
        <v>2917.25</v>
      </c>
      <c r="D1303" s="116">
        <v>2882.05</v>
      </c>
      <c r="E1303" s="116">
        <v>2882.05</v>
      </c>
      <c r="F1303" s="116">
        <v>2917.25</v>
      </c>
      <c r="G1303">
        <v>6205</v>
      </c>
      <c r="H1303" s="116"/>
      <c r="I1303" s="116"/>
      <c r="L1303" s="170">
        <v>45562</v>
      </c>
      <c r="M1303" s="116">
        <v>2918.2</v>
      </c>
      <c r="N1303" s="116">
        <v>2950.9</v>
      </c>
      <c r="O1303" s="116">
        <v>2890</v>
      </c>
      <c r="P1303" s="116">
        <v>2890</v>
      </c>
      <c r="Q1303" s="116">
        <v>2918.2</v>
      </c>
      <c r="R1303">
        <v>89633</v>
      </c>
    </row>
    <row r="1304" spans="1:18" x14ac:dyDescent="0.25">
      <c r="A1304" s="170">
        <v>45565</v>
      </c>
      <c r="B1304" s="116">
        <v>2965</v>
      </c>
      <c r="C1304" s="116">
        <v>2955</v>
      </c>
      <c r="D1304" s="116">
        <v>2903</v>
      </c>
      <c r="E1304" s="116">
        <v>2926.9</v>
      </c>
      <c r="F1304" s="116">
        <v>2955</v>
      </c>
      <c r="G1304">
        <v>4030</v>
      </c>
      <c r="H1304" s="116"/>
      <c r="I1304" s="116"/>
      <c r="L1304" s="170">
        <v>45565</v>
      </c>
      <c r="M1304" s="116">
        <v>2951.8</v>
      </c>
      <c r="N1304" s="116">
        <v>2966.35</v>
      </c>
      <c r="O1304" s="116">
        <v>2900.05</v>
      </c>
      <c r="P1304" s="116">
        <v>2918.2</v>
      </c>
      <c r="Q1304" s="116">
        <v>2951.8</v>
      </c>
      <c r="R1304">
        <v>109003</v>
      </c>
    </row>
    <row r="1305" spans="1:18" x14ac:dyDescent="0.25">
      <c r="A1305" s="170">
        <v>45566</v>
      </c>
      <c r="B1305" s="116">
        <v>3020</v>
      </c>
      <c r="C1305" s="116">
        <v>2995.8</v>
      </c>
      <c r="D1305" s="116">
        <v>2950.05</v>
      </c>
      <c r="E1305" s="116">
        <v>2950.05</v>
      </c>
      <c r="F1305" s="116">
        <v>2995.8</v>
      </c>
      <c r="G1305">
        <v>11101</v>
      </c>
      <c r="H1305" s="116"/>
      <c r="I1305" s="116"/>
      <c r="L1305" s="170">
        <v>45566</v>
      </c>
      <c r="M1305" s="116">
        <v>2998.55</v>
      </c>
      <c r="N1305" s="116">
        <v>3021</v>
      </c>
      <c r="O1305" s="116">
        <v>2960.05</v>
      </c>
      <c r="P1305" s="116">
        <v>2970</v>
      </c>
      <c r="Q1305" s="116">
        <v>2998.55</v>
      </c>
      <c r="R1305">
        <v>256779</v>
      </c>
    </row>
    <row r="1306" spans="1:18" x14ac:dyDescent="0.25">
      <c r="A1306" s="170">
        <v>45568</v>
      </c>
      <c r="B1306" s="116">
        <v>2985</v>
      </c>
      <c r="C1306" s="116">
        <v>2912</v>
      </c>
      <c r="D1306" s="116">
        <v>2875</v>
      </c>
      <c r="E1306" s="116">
        <v>2985</v>
      </c>
      <c r="F1306" s="116">
        <v>2912</v>
      </c>
      <c r="G1306">
        <v>4638</v>
      </c>
      <c r="H1306" s="116"/>
      <c r="I1306" s="116"/>
      <c r="L1306" s="170">
        <v>45568</v>
      </c>
      <c r="M1306" s="116">
        <v>2913.1</v>
      </c>
      <c r="N1306" s="116">
        <v>2985.5</v>
      </c>
      <c r="O1306" s="116">
        <v>2874.5</v>
      </c>
      <c r="P1306" s="116">
        <v>2975</v>
      </c>
      <c r="Q1306" s="116">
        <v>2913.1</v>
      </c>
      <c r="R1306">
        <v>148198</v>
      </c>
    </row>
    <row r="1307" spans="1:18" x14ac:dyDescent="0.25">
      <c r="A1307" s="170">
        <v>45569</v>
      </c>
      <c r="B1307" s="116">
        <v>2929.6</v>
      </c>
      <c r="C1307" s="116">
        <v>2842.3</v>
      </c>
      <c r="D1307" s="116">
        <v>2830</v>
      </c>
      <c r="E1307" s="116">
        <v>2904.25</v>
      </c>
      <c r="F1307" s="116">
        <v>2842.3</v>
      </c>
      <c r="G1307">
        <v>3794</v>
      </c>
      <c r="H1307" s="116"/>
      <c r="I1307" s="116"/>
      <c r="L1307" s="170">
        <v>45569</v>
      </c>
      <c r="M1307" s="116">
        <v>2840.9</v>
      </c>
      <c r="N1307" s="116">
        <v>2935.15</v>
      </c>
      <c r="O1307" s="116">
        <v>2826.1</v>
      </c>
      <c r="P1307" s="116">
        <v>2925.15</v>
      </c>
      <c r="Q1307" s="116">
        <v>2840.9</v>
      </c>
      <c r="R1307">
        <v>76146</v>
      </c>
    </row>
    <row r="1308" spans="1:18" x14ac:dyDescent="0.25">
      <c r="A1308" s="170">
        <v>45572</v>
      </c>
      <c r="B1308" s="116">
        <v>2883.7</v>
      </c>
      <c r="C1308" s="116">
        <v>2775.7</v>
      </c>
      <c r="D1308" s="116">
        <v>2760</v>
      </c>
      <c r="E1308" s="116">
        <v>2869.4</v>
      </c>
      <c r="F1308" s="116">
        <v>2775.7</v>
      </c>
      <c r="G1308">
        <v>10855</v>
      </c>
      <c r="H1308" s="116"/>
      <c r="I1308" s="116"/>
      <c r="L1308" s="170">
        <v>45572</v>
      </c>
      <c r="M1308" s="116">
        <v>2779.15</v>
      </c>
      <c r="N1308" s="116">
        <v>2884</v>
      </c>
      <c r="O1308" s="116">
        <v>2758</v>
      </c>
      <c r="P1308" s="116">
        <v>2877.95</v>
      </c>
      <c r="Q1308" s="116">
        <v>2779.15</v>
      </c>
      <c r="R1308">
        <v>160107</v>
      </c>
    </row>
    <row r="1309" spans="1:18" x14ac:dyDescent="0.25">
      <c r="A1309" s="170">
        <v>45573</v>
      </c>
      <c r="B1309" s="116">
        <v>2980</v>
      </c>
      <c r="C1309" s="116">
        <v>2962.95</v>
      </c>
      <c r="D1309" s="116">
        <v>2782.55</v>
      </c>
      <c r="E1309" s="116">
        <v>2790</v>
      </c>
      <c r="F1309" s="116">
        <v>2962.95</v>
      </c>
      <c r="G1309">
        <v>7468</v>
      </c>
      <c r="H1309" s="116"/>
      <c r="I1309" s="116"/>
      <c r="L1309" s="170">
        <v>45573</v>
      </c>
      <c r="M1309" s="116">
        <v>2961.15</v>
      </c>
      <c r="N1309" s="116">
        <v>2982.45</v>
      </c>
      <c r="O1309" s="116">
        <v>2770.05</v>
      </c>
      <c r="P1309" s="116">
        <v>2794</v>
      </c>
      <c r="Q1309" s="116">
        <v>2961.15</v>
      </c>
      <c r="R1309">
        <v>445398</v>
      </c>
    </row>
    <row r="1310" spans="1:18" x14ac:dyDescent="0.25">
      <c r="A1310" s="170">
        <v>45574</v>
      </c>
      <c r="B1310" s="116">
        <v>3040.45</v>
      </c>
      <c r="C1310" s="116">
        <v>2997.35</v>
      </c>
      <c r="D1310" s="116">
        <v>2969.6</v>
      </c>
      <c r="E1310" s="116">
        <v>2994.95</v>
      </c>
      <c r="F1310" s="116">
        <v>2997.35</v>
      </c>
      <c r="G1310">
        <v>11759</v>
      </c>
      <c r="H1310" s="116"/>
      <c r="I1310" s="116"/>
      <c r="L1310" s="170">
        <v>45574</v>
      </c>
      <c r="M1310" s="116">
        <v>2998.95</v>
      </c>
      <c r="N1310" s="116">
        <v>3039.75</v>
      </c>
      <c r="O1310" s="116">
        <v>2972.05</v>
      </c>
      <c r="P1310" s="116">
        <v>2980</v>
      </c>
      <c r="Q1310" s="116">
        <v>2998.95</v>
      </c>
      <c r="R1310">
        <v>307190</v>
      </c>
    </row>
    <row r="1311" spans="1:18" x14ac:dyDescent="0.25">
      <c r="A1311" s="170">
        <v>45575</v>
      </c>
      <c r="B1311" s="116">
        <v>3028.95</v>
      </c>
      <c r="C1311" s="116">
        <v>2991.05</v>
      </c>
      <c r="D1311" s="116">
        <v>2983.8</v>
      </c>
      <c r="E1311" s="116">
        <v>3028.95</v>
      </c>
      <c r="F1311" s="116">
        <v>2991.05</v>
      </c>
      <c r="G1311">
        <v>2006</v>
      </c>
      <c r="H1311" s="116"/>
      <c r="I1311" s="116"/>
      <c r="L1311" s="170">
        <v>45575</v>
      </c>
      <c r="M1311" s="116">
        <v>2993.3</v>
      </c>
      <c r="N1311" s="116">
        <v>3022.5</v>
      </c>
      <c r="O1311" s="116">
        <v>2982.35</v>
      </c>
      <c r="P1311" s="116">
        <v>3020</v>
      </c>
      <c r="Q1311" s="116">
        <v>2993.3</v>
      </c>
      <c r="R1311">
        <v>97420</v>
      </c>
    </row>
    <row r="1312" spans="1:18" x14ac:dyDescent="0.25">
      <c r="A1312" s="170">
        <v>45576</v>
      </c>
      <c r="B1312" s="116">
        <v>3019</v>
      </c>
      <c r="C1312" s="116">
        <v>3011</v>
      </c>
      <c r="D1312" s="116">
        <v>2975.85</v>
      </c>
      <c r="E1312" s="116">
        <v>2975.85</v>
      </c>
      <c r="F1312" s="116">
        <v>3011</v>
      </c>
      <c r="G1312">
        <v>66903</v>
      </c>
      <c r="H1312" s="116"/>
      <c r="I1312" s="116"/>
      <c r="L1312" s="170">
        <v>45576</v>
      </c>
      <c r="M1312" s="116">
        <v>3011.4</v>
      </c>
      <c r="N1312" s="116">
        <v>3021.2</v>
      </c>
      <c r="O1312" s="116">
        <v>2985.05</v>
      </c>
      <c r="P1312" s="116">
        <v>2990.65</v>
      </c>
      <c r="Q1312" s="116">
        <v>3011.4</v>
      </c>
      <c r="R1312">
        <v>106727</v>
      </c>
    </row>
    <row r="1313" spans="1:18" x14ac:dyDescent="0.25">
      <c r="A1313" s="170">
        <v>45579</v>
      </c>
      <c r="B1313" s="116">
        <v>3098.85</v>
      </c>
      <c r="C1313" s="116">
        <v>3063.3</v>
      </c>
      <c r="D1313" s="116">
        <v>2966.4</v>
      </c>
      <c r="E1313" s="116">
        <v>3018.95</v>
      </c>
      <c r="F1313" s="116">
        <v>3063.3</v>
      </c>
      <c r="G1313">
        <v>44758</v>
      </c>
      <c r="H1313" s="116"/>
      <c r="I1313" s="116"/>
      <c r="L1313" s="170">
        <v>45579</v>
      </c>
      <c r="M1313" s="116">
        <v>3030</v>
      </c>
      <c r="N1313" s="116">
        <v>3100</v>
      </c>
      <c r="O1313" s="116">
        <v>2960.65</v>
      </c>
      <c r="P1313" s="116">
        <v>3011.4</v>
      </c>
      <c r="Q1313" s="116">
        <v>3030</v>
      </c>
      <c r="R1313">
        <v>590863</v>
      </c>
    </row>
    <row r="1314" spans="1:18" x14ac:dyDescent="0.25">
      <c r="A1314" s="170">
        <v>45580</v>
      </c>
      <c r="B1314" s="116">
        <v>3129.85</v>
      </c>
      <c r="C1314" s="116">
        <v>3039.8</v>
      </c>
      <c r="D1314" s="116">
        <v>3029.9</v>
      </c>
      <c r="E1314" s="116">
        <v>3075</v>
      </c>
      <c r="F1314" s="116">
        <v>3039.8</v>
      </c>
      <c r="G1314">
        <v>20644</v>
      </c>
      <c r="H1314" s="116"/>
      <c r="I1314" s="116"/>
      <c r="L1314" s="170">
        <v>45580</v>
      </c>
      <c r="M1314" s="116">
        <v>3040.55</v>
      </c>
      <c r="N1314" s="116">
        <v>3127.6</v>
      </c>
      <c r="O1314" s="116">
        <v>3030</v>
      </c>
      <c r="P1314" s="116">
        <v>3075</v>
      </c>
      <c r="Q1314" s="116">
        <v>3040.55</v>
      </c>
      <c r="R1314">
        <v>408780</v>
      </c>
    </row>
    <row r="1315" spans="1:18" x14ac:dyDescent="0.25">
      <c r="A1315" s="170">
        <v>45581</v>
      </c>
      <c r="B1315" s="116">
        <v>3102</v>
      </c>
      <c r="C1315" s="116">
        <v>3054.15</v>
      </c>
      <c r="D1315" s="116">
        <v>3005.95</v>
      </c>
      <c r="E1315" s="116">
        <v>3036.6</v>
      </c>
      <c r="F1315" s="116">
        <v>3054.15</v>
      </c>
      <c r="G1315">
        <v>7070</v>
      </c>
      <c r="H1315" s="116"/>
      <c r="I1315" s="116"/>
      <c r="L1315" s="170">
        <v>45581</v>
      </c>
      <c r="M1315" s="116">
        <v>3045.15</v>
      </c>
      <c r="N1315" s="116">
        <v>3101</v>
      </c>
      <c r="O1315" s="116">
        <v>3007.05</v>
      </c>
      <c r="P1315" s="116">
        <v>3021</v>
      </c>
      <c r="Q1315" s="116">
        <v>3045.15</v>
      </c>
      <c r="R1315">
        <v>462936</v>
      </c>
    </row>
    <row r="1316" spans="1:18" x14ac:dyDescent="0.25">
      <c r="A1316" s="170">
        <v>45582</v>
      </c>
      <c r="B1316" s="116">
        <v>3074</v>
      </c>
      <c r="C1316" s="116">
        <v>3037.5</v>
      </c>
      <c r="D1316" s="116">
        <v>2980.45</v>
      </c>
      <c r="E1316" s="116">
        <v>3062.05</v>
      </c>
      <c r="F1316" s="116">
        <v>3037.5</v>
      </c>
      <c r="G1316">
        <v>11925</v>
      </c>
      <c r="H1316" s="116"/>
      <c r="I1316" s="116"/>
      <c r="L1316" s="170">
        <v>45582</v>
      </c>
      <c r="M1316" s="116">
        <v>3038.05</v>
      </c>
      <c r="N1316" s="116">
        <v>3074.95</v>
      </c>
      <c r="O1316" s="116">
        <v>2980.05</v>
      </c>
      <c r="P1316" s="116">
        <v>3070.35</v>
      </c>
      <c r="Q1316" s="116">
        <v>3038.05</v>
      </c>
      <c r="R1316">
        <v>528694</v>
      </c>
    </row>
    <row r="1317" spans="1:18" x14ac:dyDescent="0.25">
      <c r="A1317" s="170">
        <v>45583</v>
      </c>
      <c r="B1317" s="116">
        <v>3066</v>
      </c>
      <c r="C1317" s="116">
        <v>3017.6</v>
      </c>
      <c r="D1317" s="116">
        <v>2978.1</v>
      </c>
      <c r="E1317" s="116">
        <v>3006</v>
      </c>
      <c r="F1317" s="116">
        <v>3017.6</v>
      </c>
      <c r="G1317">
        <v>6714</v>
      </c>
      <c r="H1317" s="116"/>
      <c r="I1317" s="116"/>
      <c r="L1317" s="170">
        <v>45583</v>
      </c>
      <c r="M1317" s="116">
        <v>3013.15</v>
      </c>
      <c r="N1317" s="116">
        <v>3066.6</v>
      </c>
      <c r="O1317" s="116">
        <v>2969.05</v>
      </c>
      <c r="P1317" s="116">
        <v>3010</v>
      </c>
      <c r="Q1317" s="116">
        <v>3013.15</v>
      </c>
      <c r="R1317">
        <v>302849</v>
      </c>
    </row>
    <row r="1318" spans="1:18" x14ac:dyDescent="0.25">
      <c r="A1318" s="170">
        <v>45586</v>
      </c>
      <c r="B1318" s="116">
        <v>2919.95</v>
      </c>
      <c r="C1318" s="116">
        <v>2508.6</v>
      </c>
      <c r="D1318" s="116">
        <v>2455.75</v>
      </c>
      <c r="E1318" s="116">
        <v>2919.95</v>
      </c>
      <c r="F1318" s="116">
        <v>2508.6</v>
      </c>
      <c r="G1318">
        <v>152983</v>
      </c>
      <c r="H1318" s="116"/>
      <c r="I1318" s="116"/>
      <c r="L1318" s="170">
        <v>45586</v>
      </c>
      <c r="M1318" s="116">
        <v>2508.6</v>
      </c>
      <c r="N1318" s="116">
        <v>2879.05</v>
      </c>
      <c r="O1318" s="116">
        <v>2447.5</v>
      </c>
      <c r="P1318" s="116">
        <v>2879.05</v>
      </c>
      <c r="Q1318" s="116">
        <v>2508.6</v>
      </c>
      <c r="R1318">
        <v>5190298</v>
      </c>
    </row>
    <row r="1319" spans="1:18" x14ac:dyDescent="0.25">
      <c r="A1319" s="170">
        <v>45587</v>
      </c>
      <c r="B1319" s="116">
        <v>2570.6999999999998</v>
      </c>
      <c r="C1319" s="116">
        <v>2503.25</v>
      </c>
      <c r="D1319" s="116">
        <v>2485</v>
      </c>
      <c r="E1319" s="116">
        <v>2530</v>
      </c>
      <c r="F1319" s="116">
        <v>2503.25</v>
      </c>
      <c r="G1319">
        <v>207185</v>
      </c>
      <c r="H1319" s="116"/>
      <c r="I1319" s="116"/>
      <c r="L1319" s="170">
        <v>45587</v>
      </c>
      <c r="M1319" s="116">
        <v>2503.9499999999998</v>
      </c>
      <c r="N1319" s="116">
        <v>2572.35</v>
      </c>
      <c r="O1319" s="116">
        <v>2485</v>
      </c>
      <c r="P1319" s="116">
        <v>2524.9</v>
      </c>
      <c r="Q1319" s="116">
        <v>2503.9499999999998</v>
      </c>
      <c r="R1319">
        <v>1299721</v>
      </c>
    </row>
    <row r="1320" spans="1:18" x14ac:dyDescent="0.25">
      <c r="A1320" s="170">
        <v>45588</v>
      </c>
      <c r="B1320" s="116">
        <v>2510</v>
      </c>
      <c r="C1320" s="116">
        <v>2480.15</v>
      </c>
      <c r="D1320" s="116">
        <v>2449.0500000000002</v>
      </c>
      <c r="E1320" s="116">
        <v>2510</v>
      </c>
      <c r="F1320" s="116">
        <v>2480.15</v>
      </c>
      <c r="G1320">
        <v>17520</v>
      </c>
      <c r="H1320" s="116"/>
      <c r="I1320" s="116"/>
      <c r="L1320" s="170">
        <v>45588</v>
      </c>
      <c r="M1320" s="116">
        <v>2485.4</v>
      </c>
      <c r="N1320" s="116">
        <v>2505</v>
      </c>
      <c r="O1320" s="116">
        <v>2450</v>
      </c>
      <c r="P1320" s="116">
        <v>2503.9499999999998</v>
      </c>
      <c r="Q1320" s="116">
        <v>2485.4</v>
      </c>
      <c r="R1320">
        <v>493950</v>
      </c>
    </row>
    <row r="1321" spans="1:18" x14ac:dyDescent="0.25">
      <c r="A1321" s="170">
        <v>45589</v>
      </c>
      <c r="B1321" s="116">
        <v>2515.8000000000002</v>
      </c>
      <c r="C1321" s="116">
        <v>2493.15</v>
      </c>
      <c r="D1321" s="116">
        <v>2457</v>
      </c>
      <c r="E1321" s="116">
        <v>2472.5500000000002</v>
      </c>
      <c r="F1321" s="116">
        <v>2493.15</v>
      </c>
      <c r="G1321">
        <v>8272</v>
      </c>
      <c r="H1321" s="116"/>
      <c r="I1321" s="116"/>
      <c r="L1321" s="170">
        <v>45589</v>
      </c>
      <c r="M1321" s="116">
        <v>2494.4</v>
      </c>
      <c r="N1321" s="116">
        <v>2517.5500000000002</v>
      </c>
      <c r="O1321" s="116">
        <v>2454</v>
      </c>
      <c r="P1321" s="116">
        <v>2479.9499999999998</v>
      </c>
      <c r="Q1321" s="116">
        <v>2494.4</v>
      </c>
      <c r="R1321">
        <v>268295</v>
      </c>
    </row>
    <row r="1322" spans="1:18" x14ac:dyDescent="0.25">
      <c r="A1322" s="170">
        <v>45590</v>
      </c>
      <c r="B1322" s="116">
        <v>2497.4</v>
      </c>
      <c r="C1322" s="116">
        <v>2438.35</v>
      </c>
      <c r="D1322" s="116">
        <v>2417.0500000000002</v>
      </c>
      <c r="E1322" s="116">
        <v>2494.1999999999998</v>
      </c>
      <c r="F1322" s="116">
        <v>2438.35</v>
      </c>
      <c r="G1322">
        <v>8702</v>
      </c>
      <c r="H1322" s="116"/>
      <c r="I1322" s="116"/>
      <c r="L1322" s="170">
        <v>45590</v>
      </c>
      <c r="M1322" s="116">
        <v>2438.75</v>
      </c>
      <c r="N1322" s="116">
        <v>2500</v>
      </c>
      <c r="O1322" s="116">
        <v>2416</v>
      </c>
      <c r="P1322" s="116">
        <v>2500</v>
      </c>
      <c r="Q1322" s="116">
        <v>2438.75</v>
      </c>
      <c r="R1322">
        <v>278182</v>
      </c>
    </row>
    <row r="1323" spans="1:18" x14ac:dyDescent="0.25">
      <c r="A1323" s="170">
        <v>45593</v>
      </c>
      <c r="B1323" s="116">
        <v>2527.35</v>
      </c>
      <c r="C1323" s="116">
        <v>2513.9</v>
      </c>
      <c r="D1323" s="116">
        <v>2401.9499999999998</v>
      </c>
      <c r="E1323" s="116">
        <v>2438.85</v>
      </c>
      <c r="F1323" s="116">
        <v>2513.9</v>
      </c>
      <c r="G1323">
        <v>11009</v>
      </c>
      <c r="H1323" s="116"/>
      <c r="I1323" s="116"/>
      <c r="L1323" s="170">
        <v>45593</v>
      </c>
      <c r="M1323" s="116">
        <v>2515.9499999999998</v>
      </c>
      <c r="N1323" s="116">
        <v>2527.9499999999998</v>
      </c>
      <c r="O1323" s="116">
        <v>2401</v>
      </c>
      <c r="P1323" s="116">
        <v>2443.9499999999998</v>
      </c>
      <c r="Q1323" s="116">
        <v>2515.9499999999998</v>
      </c>
      <c r="R1323">
        <v>351753</v>
      </c>
    </row>
    <row r="1324" spans="1:18" x14ac:dyDescent="0.25">
      <c r="A1324" s="170">
        <v>45594</v>
      </c>
      <c r="B1324" s="116">
        <v>2576.5</v>
      </c>
      <c r="C1324" s="116">
        <v>2554.6</v>
      </c>
      <c r="D1324" s="116">
        <v>2490</v>
      </c>
      <c r="E1324" s="116">
        <v>2523.5500000000002</v>
      </c>
      <c r="F1324" s="116">
        <v>2554.6</v>
      </c>
      <c r="G1324">
        <v>9206</v>
      </c>
      <c r="H1324" s="116"/>
      <c r="I1324" s="116"/>
      <c r="L1324" s="170">
        <v>45594</v>
      </c>
      <c r="M1324" s="116">
        <v>2553.8000000000002</v>
      </c>
      <c r="N1324" s="116">
        <v>2576.85</v>
      </c>
      <c r="O1324" s="116">
        <v>2486.75</v>
      </c>
      <c r="P1324" s="116">
        <v>2516</v>
      </c>
      <c r="Q1324" s="116">
        <v>2553.8000000000002</v>
      </c>
      <c r="R1324">
        <v>295859</v>
      </c>
    </row>
    <row r="1325" spans="1:18" x14ac:dyDescent="0.25">
      <c r="A1325" s="170">
        <v>45595</v>
      </c>
      <c r="B1325" s="116">
        <v>2590.1999999999998</v>
      </c>
      <c r="C1325" s="116">
        <v>2548.35</v>
      </c>
      <c r="D1325" s="116">
        <v>2504.1</v>
      </c>
      <c r="E1325" s="116">
        <v>2550</v>
      </c>
      <c r="F1325" s="116">
        <v>2548.35</v>
      </c>
      <c r="G1325">
        <v>21970</v>
      </c>
      <c r="H1325" s="116"/>
      <c r="I1325" s="116"/>
      <c r="L1325" s="170">
        <v>45595</v>
      </c>
      <c r="M1325" s="116">
        <v>2550</v>
      </c>
      <c r="N1325" s="116">
        <v>2594.75</v>
      </c>
      <c r="O1325" s="116">
        <v>2501</v>
      </c>
      <c r="P1325" s="116">
        <v>2550</v>
      </c>
      <c r="Q1325" s="116">
        <v>2550</v>
      </c>
      <c r="R1325">
        <v>562529</v>
      </c>
    </row>
    <row r="1326" spans="1:18" x14ac:dyDescent="0.25">
      <c r="A1326" s="170">
        <v>45596</v>
      </c>
      <c r="B1326" s="116">
        <v>2564.35</v>
      </c>
      <c r="C1326" s="116">
        <v>2500.25</v>
      </c>
      <c r="D1326" s="116">
        <v>2489.8000000000002</v>
      </c>
      <c r="E1326" s="116">
        <v>2557.1999999999998</v>
      </c>
      <c r="F1326" s="116">
        <v>2500.25</v>
      </c>
      <c r="G1326">
        <v>13004</v>
      </c>
      <c r="H1326" s="116"/>
      <c r="I1326" s="116"/>
      <c r="L1326" s="170">
        <v>45596</v>
      </c>
      <c r="M1326" s="116">
        <v>2500</v>
      </c>
      <c r="N1326" s="116">
        <v>2555.75</v>
      </c>
      <c r="O1326" s="116">
        <v>2488.5</v>
      </c>
      <c r="P1326" s="116">
        <v>2550</v>
      </c>
      <c r="Q1326" s="116">
        <v>2500</v>
      </c>
      <c r="R1326">
        <v>488935</v>
      </c>
    </row>
    <row r="1327" spans="1:18" x14ac:dyDescent="0.25">
      <c r="A1327" s="170">
        <v>45597</v>
      </c>
      <c r="B1327" s="116">
        <v>2559</v>
      </c>
      <c r="C1327" s="116">
        <v>2550.9499999999998</v>
      </c>
      <c r="D1327" s="116">
        <v>2500.0500000000002</v>
      </c>
      <c r="E1327" s="116">
        <v>2500.0500000000002</v>
      </c>
      <c r="F1327" s="116">
        <v>2550.9499999999998</v>
      </c>
      <c r="G1327">
        <v>5709</v>
      </c>
      <c r="H1327" s="116"/>
      <c r="I1327" s="116"/>
      <c r="L1327" s="170">
        <v>45597</v>
      </c>
      <c r="M1327" s="116">
        <v>2551.15</v>
      </c>
      <c r="N1327" s="116">
        <v>2561.9499999999998</v>
      </c>
      <c r="O1327" s="116">
        <v>2511.75</v>
      </c>
      <c r="P1327" s="116">
        <v>2518</v>
      </c>
      <c r="Q1327" s="116">
        <v>2551.15</v>
      </c>
      <c r="R1327">
        <v>105769</v>
      </c>
    </row>
    <row r="1328" spans="1:18" x14ac:dyDescent="0.25">
      <c r="A1328" s="170">
        <v>45600</v>
      </c>
      <c r="B1328" s="116">
        <v>2574</v>
      </c>
      <c r="C1328" s="116">
        <v>2461.85</v>
      </c>
      <c r="D1328" s="116">
        <v>2422.4</v>
      </c>
      <c r="E1328" s="116">
        <v>2560.25</v>
      </c>
      <c r="F1328" s="116">
        <v>2461.85</v>
      </c>
      <c r="G1328">
        <v>13772</v>
      </c>
      <c r="H1328" s="116"/>
      <c r="I1328" s="116"/>
      <c r="L1328" s="170">
        <v>45600</v>
      </c>
      <c r="M1328" s="116">
        <v>2462.9</v>
      </c>
      <c r="N1328" s="116">
        <v>2578.85</v>
      </c>
      <c r="O1328" s="116">
        <v>2421</v>
      </c>
      <c r="P1328" s="116">
        <v>2574.85</v>
      </c>
      <c r="Q1328" s="116">
        <v>2462.9</v>
      </c>
      <c r="R1328">
        <v>535328</v>
      </c>
    </row>
    <row r="1329" spans="1:18" x14ac:dyDescent="0.25">
      <c r="A1329" s="170">
        <v>45601</v>
      </c>
      <c r="B1329" s="116">
        <v>2468.4499999999998</v>
      </c>
      <c r="C1329" s="116">
        <v>2432.15</v>
      </c>
      <c r="D1329" s="116">
        <v>2402.15</v>
      </c>
      <c r="E1329" s="116">
        <v>2453.15</v>
      </c>
      <c r="F1329" s="116">
        <v>2432.15</v>
      </c>
      <c r="G1329">
        <v>7368</v>
      </c>
      <c r="H1329" s="116"/>
      <c r="I1329" s="116"/>
      <c r="L1329" s="170">
        <v>45601</v>
      </c>
      <c r="M1329" s="116">
        <v>2433.15</v>
      </c>
      <c r="N1329" s="116">
        <v>2472.15</v>
      </c>
      <c r="O1329" s="116">
        <v>2402</v>
      </c>
      <c r="P1329" s="116">
        <v>2460</v>
      </c>
      <c r="Q1329" s="116">
        <v>2433.15</v>
      </c>
      <c r="R1329">
        <v>279317</v>
      </c>
    </row>
    <row r="1330" spans="1:18" x14ac:dyDescent="0.25">
      <c r="A1330" s="170">
        <v>45602</v>
      </c>
      <c r="B1330" s="116">
        <v>2471.4499999999998</v>
      </c>
      <c r="C1330" s="116">
        <v>2464.25</v>
      </c>
      <c r="D1330" s="116">
        <v>2422.1999999999998</v>
      </c>
      <c r="E1330" s="116">
        <v>2450.15</v>
      </c>
      <c r="F1330" s="116">
        <v>2464.25</v>
      </c>
      <c r="G1330">
        <v>5377</v>
      </c>
      <c r="H1330" s="116"/>
      <c r="I1330" s="116"/>
      <c r="L1330" s="170">
        <v>45602</v>
      </c>
      <c r="M1330" s="116">
        <v>2462.8000000000002</v>
      </c>
      <c r="N1330" s="116">
        <v>2473.5500000000002</v>
      </c>
      <c r="O1330" s="116">
        <v>2420.6999999999998</v>
      </c>
      <c r="P1330" s="116">
        <v>2465</v>
      </c>
      <c r="Q1330" s="116">
        <v>2462.8000000000002</v>
      </c>
      <c r="R1330">
        <v>360009</v>
      </c>
    </row>
    <row r="1331" spans="1:18" x14ac:dyDescent="0.25">
      <c r="A1331" s="170">
        <v>45603</v>
      </c>
      <c r="B1331" s="116">
        <v>2472.4</v>
      </c>
      <c r="C1331" s="116">
        <v>2408.75</v>
      </c>
      <c r="D1331" s="116">
        <v>2400.25</v>
      </c>
      <c r="E1331" s="116">
        <v>2464.3000000000002</v>
      </c>
      <c r="F1331" s="116">
        <v>2408.75</v>
      </c>
      <c r="G1331">
        <v>13558</v>
      </c>
      <c r="H1331" s="116"/>
      <c r="I1331" s="116"/>
      <c r="L1331" s="170">
        <v>45603</v>
      </c>
      <c r="M1331" s="116">
        <v>2408.9</v>
      </c>
      <c r="N1331" s="116">
        <v>2473.35</v>
      </c>
      <c r="O1331" s="116">
        <v>2400</v>
      </c>
      <c r="P1331" s="116">
        <v>2469.9499999999998</v>
      </c>
      <c r="Q1331" s="116">
        <v>2408.9</v>
      </c>
      <c r="R1331">
        <v>236724</v>
      </c>
    </row>
    <row r="1332" spans="1:18" x14ac:dyDescent="0.25">
      <c r="A1332" s="170">
        <v>45604</v>
      </c>
      <c r="B1332" s="116">
        <v>2423.9499999999998</v>
      </c>
      <c r="C1332" s="116">
        <v>2373.0500000000002</v>
      </c>
      <c r="D1332" s="116">
        <v>2364.4</v>
      </c>
      <c r="E1332" s="116">
        <v>2408.8000000000002</v>
      </c>
      <c r="F1332" s="116">
        <v>2373.0500000000002</v>
      </c>
      <c r="G1332">
        <v>6114</v>
      </c>
      <c r="H1332" s="116"/>
      <c r="I1332" s="116"/>
      <c r="L1332" s="170">
        <v>45604</v>
      </c>
      <c r="M1332" s="116">
        <v>2373.4499999999998</v>
      </c>
      <c r="N1332" s="116">
        <v>2425.4499999999998</v>
      </c>
      <c r="O1332" s="116">
        <v>2361.6999999999998</v>
      </c>
      <c r="P1332" s="116">
        <v>2413</v>
      </c>
      <c r="Q1332" s="116">
        <v>2373.4499999999998</v>
      </c>
      <c r="R1332">
        <v>279067</v>
      </c>
    </row>
    <row r="1333" spans="1:18" x14ac:dyDescent="0.25">
      <c r="A1333" s="170">
        <v>45607</v>
      </c>
      <c r="B1333" s="116">
        <v>2394.6999999999998</v>
      </c>
      <c r="C1333" s="116">
        <v>2371.8000000000002</v>
      </c>
      <c r="D1333" s="116">
        <v>2352.3000000000002</v>
      </c>
      <c r="E1333" s="116">
        <v>2364.0500000000002</v>
      </c>
      <c r="F1333" s="116">
        <v>2371.8000000000002</v>
      </c>
      <c r="G1333">
        <v>2985</v>
      </c>
      <c r="H1333" s="116"/>
      <c r="I1333" s="116"/>
      <c r="L1333" s="170">
        <v>45607</v>
      </c>
      <c r="M1333" s="116">
        <v>2369.1999999999998</v>
      </c>
      <c r="N1333" s="116">
        <v>2394</v>
      </c>
      <c r="O1333" s="116">
        <v>2351.8000000000002</v>
      </c>
      <c r="P1333" s="116">
        <v>2373.4499999999998</v>
      </c>
      <c r="Q1333" s="116">
        <v>2369.1999999999998</v>
      </c>
      <c r="R1333">
        <v>100805</v>
      </c>
    </row>
    <row r="1334" spans="1:18" x14ac:dyDescent="0.25">
      <c r="A1334" s="170">
        <v>45608</v>
      </c>
      <c r="B1334" s="116">
        <v>2387.5500000000002</v>
      </c>
      <c r="C1334" s="116">
        <v>2308.75</v>
      </c>
      <c r="D1334" s="116">
        <v>2303</v>
      </c>
      <c r="E1334" s="116">
        <v>2362.0500000000002</v>
      </c>
      <c r="F1334" s="116">
        <v>2308.75</v>
      </c>
      <c r="G1334">
        <v>12815</v>
      </c>
      <c r="H1334" s="116"/>
      <c r="I1334" s="116"/>
      <c r="L1334" s="170">
        <v>45608</v>
      </c>
      <c r="M1334" s="116">
        <v>2308.15</v>
      </c>
      <c r="N1334" s="116">
        <v>2387.65</v>
      </c>
      <c r="O1334" s="116">
        <v>2300</v>
      </c>
      <c r="P1334" s="116">
        <v>2379.9499999999998</v>
      </c>
      <c r="Q1334" s="116">
        <v>2308.15</v>
      </c>
      <c r="R1334">
        <v>158104</v>
      </c>
    </row>
    <row r="1335" spans="1:18" x14ac:dyDescent="0.25">
      <c r="A1335" s="170">
        <v>45609</v>
      </c>
      <c r="B1335" s="116">
        <v>2332.5</v>
      </c>
      <c r="C1335" s="116">
        <v>2294.1999999999998</v>
      </c>
      <c r="D1335" s="116">
        <v>2284</v>
      </c>
      <c r="E1335" s="116">
        <v>2305</v>
      </c>
      <c r="F1335" s="116">
        <v>2294.1999999999998</v>
      </c>
      <c r="G1335">
        <v>12606</v>
      </c>
      <c r="H1335" s="116"/>
      <c r="I1335" s="116"/>
      <c r="L1335" s="170">
        <v>45609</v>
      </c>
      <c r="M1335" s="116">
        <v>2297.6</v>
      </c>
      <c r="N1335" s="116">
        <v>2332</v>
      </c>
      <c r="O1335" s="116">
        <v>2283.1999999999998</v>
      </c>
      <c r="P1335" s="116">
        <v>2308.15</v>
      </c>
      <c r="Q1335" s="116">
        <v>2297.6</v>
      </c>
      <c r="R1335">
        <v>286532</v>
      </c>
    </row>
    <row r="1336" spans="1:18" x14ac:dyDescent="0.25">
      <c r="A1336" s="170">
        <v>45610</v>
      </c>
      <c r="B1336" s="116">
        <v>2366</v>
      </c>
      <c r="C1336" s="116">
        <v>2281.9499999999998</v>
      </c>
      <c r="D1336" s="116">
        <v>2278</v>
      </c>
      <c r="E1336" s="116">
        <v>2366</v>
      </c>
      <c r="F1336" s="116">
        <v>2281.9499999999998</v>
      </c>
      <c r="G1336">
        <v>6251</v>
      </c>
      <c r="H1336" s="116"/>
      <c r="I1336" s="116"/>
      <c r="L1336" s="170">
        <v>45610</v>
      </c>
      <c r="M1336" s="116">
        <v>2284.15</v>
      </c>
      <c r="N1336" s="116">
        <v>2335.3000000000002</v>
      </c>
      <c r="O1336" s="116">
        <v>2276.4499999999998</v>
      </c>
      <c r="P1336" s="116">
        <v>2307.5500000000002</v>
      </c>
      <c r="Q1336" s="116">
        <v>2284.15</v>
      </c>
      <c r="R1336">
        <v>250209</v>
      </c>
    </row>
    <row r="1337" spans="1:18" x14ac:dyDescent="0.25">
      <c r="A1337" s="170">
        <v>45614</v>
      </c>
      <c r="B1337" s="116">
        <v>2293.9499999999998</v>
      </c>
      <c r="C1337" s="116">
        <v>2243.5</v>
      </c>
      <c r="D1337" s="116">
        <v>2235</v>
      </c>
      <c r="E1337" s="116">
        <v>2293.9499999999998</v>
      </c>
      <c r="F1337" s="116">
        <v>2243.5</v>
      </c>
      <c r="G1337">
        <v>4270</v>
      </c>
      <c r="H1337" s="116"/>
      <c r="I1337" s="116"/>
      <c r="L1337" s="170">
        <v>45614</v>
      </c>
      <c r="M1337" s="116">
        <v>2242</v>
      </c>
      <c r="N1337" s="116">
        <v>2288.8000000000002</v>
      </c>
      <c r="O1337" s="116">
        <v>2234.15</v>
      </c>
      <c r="P1337" s="116">
        <v>2280</v>
      </c>
      <c r="Q1337" s="116">
        <v>2242</v>
      </c>
      <c r="R1337">
        <v>284801</v>
      </c>
    </row>
    <row r="1338" spans="1:18" x14ac:dyDescent="0.25">
      <c r="A1338" s="170">
        <v>45615</v>
      </c>
      <c r="B1338" s="116">
        <v>2310.4499999999998</v>
      </c>
      <c r="C1338" s="116">
        <v>2261.1999999999998</v>
      </c>
      <c r="D1338" s="116">
        <v>2243.5</v>
      </c>
      <c r="E1338" s="116">
        <v>2243.5</v>
      </c>
      <c r="F1338" s="116">
        <v>2261.1999999999998</v>
      </c>
      <c r="G1338">
        <v>9304</v>
      </c>
      <c r="H1338" s="116"/>
      <c r="I1338" s="116"/>
      <c r="L1338" s="170">
        <v>45615</v>
      </c>
      <c r="M1338" s="116">
        <v>2263.25</v>
      </c>
      <c r="N1338" s="116">
        <v>2312</v>
      </c>
      <c r="O1338" s="116">
        <v>2245.0500000000002</v>
      </c>
      <c r="P1338" s="116">
        <v>2245.0500000000002</v>
      </c>
      <c r="Q1338" s="116">
        <v>2263.25</v>
      </c>
      <c r="R1338">
        <v>227007</v>
      </c>
    </row>
    <row r="1339" spans="1:18" x14ac:dyDescent="0.25">
      <c r="A1339" s="170">
        <v>45617</v>
      </c>
      <c r="B1339" s="116">
        <v>2272.1</v>
      </c>
      <c r="C1339" s="116">
        <v>2255.65</v>
      </c>
      <c r="D1339" s="116">
        <v>2245</v>
      </c>
      <c r="E1339" s="116">
        <v>2263.25</v>
      </c>
      <c r="F1339" s="116">
        <v>2255.65</v>
      </c>
      <c r="G1339">
        <v>2432</v>
      </c>
      <c r="H1339" s="116"/>
      <c r="I1339" s="116"/>
      <c r="L1339" s="170">
        <v>45617</v>
      </c>
      <c r="M1339" s="116">
        <v>2253.9499999999998</v>
      </c>
      <c r="N1339" s="116">
        <v>2274.4499999999998</v>
      </c>
      <c r="O1339" s="116">
        <v>2244</v>
      </c>
      <c r="P1339" s="116">
        <v>2251.0500000000002</v>
      </c>
      <c r="Q1339" s="116">
        <v>2253.9499999999998</v>
      </c>
      <c r="R1339">
        <v>202738</v>
      </c>
    </row>
    <row r="1340" spans="1:18" x14ac:dyDescent="0.25">
      <c r="A1340" s="170">
        <v>45618</v>
      </c>
      <c r="B1340" s="116">
        <v>2285.9499999999998</v>
      </c>
      <c r="C1340" s="116">
        <v>2279.4</v>
      </c>
      <c r="D1340" s="116">
        <v>2243.0500000000002</v>
      </c>
      <c r="E1340" s="116">
        <v>2250.6</v>
      </c>
      <c r="F1340" s="116">
        <v>2279.4</v>
      </c>
      <c r="G1340">
        <v>6418</v>
      </c>
      <c r="H1340" s="116"/>
      <c r="I1340" s="116"/>
      <c r="L1340" s="170">
        <v>45618</v>
      </c>
      <c r="M1340" s="116">
        <v>2278.85</v>
      </c>
      <c r="N1340" s="116">
        <v>2287.6</v>
      </c>
      <c r="O1340" s="116">
        <v>2244.1</v>
      </c>
      <c r="P1340" s="116">
        <v>2253.9499999999998</v>
      </c>
      <c r="Q1340" s="116">
        <v>2278.85</v>
      </c>
      <c r="R1340">
        <v>180507</v>
      </c>
    </row>
    <row r="1341" spans="1:18" x14ac:dyDescent="0.25">
      <c r="A1341" s="170">
        <v>45621</v>
      </c>
      <c r="B1341" s="116">
        <v>2320</v>
      </c>
      <c r="C1341" s="116">
        <v>2311.4499999999998</v>
      </c>
      <c r="D1341" s="116">
        <v>2258.25</v>
      </c>
      <c r="E1341" s="116">
        <v>2281.35</v>
      </c>
      <c r="F1341" s="116">
        <v>2311.4499999999998</v>
      </c>
      <c r="G1341">
        <v>14450</v>
      </c>
      <c r="H1341" s="116"/>
      <c r="I1341" s="116"/>
      <c r="L1341" s="170">
        <v>45621</v>
      </c>
      <c r="M1341" s="116">
        <v>2309.4</v>
      </c>
      <c r="N1341" s="116">
        <v>2320.9499999999998</v>
      </c>
      <c r="O1341" s="116">
        <v>2255.75</v>
      </c>
      <c r="P1341" s="116">
        <v>2300.9499999999998</v>
      </c>
      <c r="Q1341" s="116">
        <v>2309.4</v>
      </c>
      <c r="R1341">
        <v>691659</v>
      </c>
    </row>
    <row r="1342" spans="1:18" x14ac:dyDescent="0.25">
      <c r="A1342" s="170">
        <v>45622</v>
      </c>
      <c r="B1342" s="116">
        <v>2352.9</v>
      </c>
      <c r="C1342" s="116">
        <v>2335.75</v>
      </c>
      <c r="D1342" s="116">
        <v>2310</v>
      </c>
      <c r="E1342" s="116">
        <v>2310</v>
      </c>
      <c r="F1342" s="116">
        <v>2335.75</v>
      </c>
      <c r="G1342">
        <v>6263</v>
      </c>
      <c r="H1342" s="116"/>
      <c r="I1342" s="116"/>
      <c r="L1342" s="170">
        <v>45622</v>
      </c>
      <c r="M1342" s="116">
        <v>2334.15</v>
      </c>
      <c r="N1342" s="116">
        <v>2355.65</v>
      </c>
      <c r="O1342" s="116">
        <v>2309.6999999999998</v>
      </c>
      <c r="P1342" s="116">
        <v>2309.6999999999998</v>
      </c>
      <c r="Q1342" s="116">
        <v>2334.15</v>
      </c>
      <c r="R1342">
        <v>380827</v>
      </c>
    </row>
    <row r="1343" spans="1:18" x14ac:dyDescent="0.25">
      <c r="A1343" s="170">
        <v>45623</v>
      </c>
      <c r="B1343" s="116">
        <v>2379.4499999999998</v>
      </c>
      <c r="C1343" s="116">
        <v>2370.6</v>
      </c>
      <c r="D1343" s="116">
        <v>2326.75</v>
      </c>
      <c r="E1343" s="116">
        <v>2330.0500000000002</v>
      </c>
      <c r="F1343" s="116">
        <v>2370.6</v>
      </c>
      <c r="G1343">
        <v>8602</v>
      </c>
      <c r="H1343" s="116"/>
      <c r="I1343" s="116"/>
      <c r="L1343" s="170">
        <v>45623</v>
      </c>
      <c r="M1343" s="116">
        <v>2367.15</v>
      </c>
      <c r="N1343" s="116">
        <v>2380.9499999999998</v>
      </c>
      <c r="O1343" s="116">
        <v>2324.8000000000002</v>
      </c>
      <c r="P1343" s="116">
        <v>2340.4</v>
      </c>
      <c r="Q1343" s="116">
        <v>2367.15</v>
      </c>
      <c r="R1343">
        <v>190150</v>
      </c>
    </row>
    <row r="1344" spans="1:18" x14ac:dyDescent="0.25">
      <c r="A1344" s="170">
        <v>45624</v>
      </c>
      <c r="B1344" s="116">
        <v>2395</v>
      </c>
      <c r="C1344" s="116">
        <v>2343.15</v>
      </c>
      <c r="D1344" s="116">
        <v>2335</v>
      </c>
      <c r="E1344" s="116">
        <v>2369.9499999999998</v>
      </c>
      <c r="F1344" s="116">
        <v>2343.15</v>
      </c>
      <c r="G1344">
        <v>8522</v>
      </c>
      <c r="H1344" s="116"/>
      <c r="I1344" s="116"/>
      <c r="L1344" s="170">
        <v>45624</v>
      </c>
      <c r="M1344" s="116">
        <v>2341.4</v>
      </c>
      <c r="N1344" s="116">
        <v>2394.6</v>
      </c>
      <c r="O1344" s="116">
        <v>2335</v>
      </c>
      <c r="P1344" s="116">
        <v>2389</v>
      </c>
      <c r="Q1344" s="116">
        <v>2341.4</v>
      </c>
      <c r="R1344">
        <v>268139</v>
      </c>
    </row>
    <row r="1345" spans="1:18" x14ac:dyDescent="0.25">
      <c r="A1345" s="170">
        <v>45625</v>
      </c>
      <c r="B1345" s="116">
        <v>2354.75</v>
      </c>
      <c r="C1345" s="116">
        <v>2346.8000000000002</v>
      </c>
      <c r="D1345" s="116">
        <v>2323</v>
      </c>
      <c r="E1345" s="116">
        <v>2337.75</v>
      </c>
      <c r="F1345" s="116">
        <v>2346.8000000000002</v>
      </c>
      <c r="G1345">
        <v>8458</v>
      </c>
      <c r="H1345" s="116"/>
      <c r="I1345" s="116"/>
      <c r="L1345" s="170">
        <v>45625</v>
      </c>
      <c r="M1345" s="116">
        <v>2344.9</v>
      </c>
      <c r="N1345" s="116">
        <v>2355.9</v>
      </c>
      <c r="O1345" s="116">
        <v>2323.0500000000002</v>
      </c>
      <c r="P1345" s="116">
        <v>2344.6999999999998</v>
      </c>
      <c r="Q1345" s="116">
        <v>2344.9</v>
      </c>
      <c r="R1345">
        <v>98585</v>
      </c>
    </row>
    <row r="1346" spans="1:18" x14ac:dyDescent="0.25">
      <c r="A1346" s="170">
        <v>45628</v>
      </c>
      <c r="B1346" s="116">
        <v>2374.8000000000002</v>
      </c>
      <c r="C1346" s="116">
        <v>2363.4499999999998</v>
      </c>
      <c r="D1346" s="116">
        <v>2300</v>
      </c>
      <c r="E1346" s="116">
        <v>2320.0500000000002</v>
      </c>
      <c r="F1346" s="116">
        <v>2363.4499999999998</v>
      </c>
      <c r="G1346">
        <v>11305</v>
      </c>
      <c r="H1346" s="116"/>
      <c r="I1346" s="116"/>
      <c r="L1346" s="170">
        <v>45628</v>
      </c>
      <c r="M1346" s="116">
        <v>2362.8000000000002</v>
      </c>
      <c r="N1346" s="116">
        <v>2449</v>
      </c>
      <c r="O1346" s="116">
        <v>2251</v>
      </c>
      <c r="P1346" s="116">
        <v>2344.9</v>
      </c>
      <c r="Q1346" s="116">
        <v>2362.8000000000002</v>
      </c>
      <c r="R1346">
        <v>174198</v>
      </c>
    </row>
    <row r="1347" spans="1:18" x14ac:dyDescent="0.25">
      <c r="A1347" s="170">
        <v>45629</v>
      </c>
      <c r="B1347" s="116">
        <v>2387.3000000000002</v>
      </c>
      <c r="C1347" s="116">
        <v>2358.65</v>
      </c>
      <c r="D1347" s="116">
        <v>2338.4499999999998</v>
      </c>
      <c r="E1347" s="116">
        <v>2338.4499999999998</v>
      </c>
      <c r="F1347" s="116">
        <v>2358.65</v>
      </c>
      <c r="G1347">
        <v>8647</v>
      </c>
      <c r="H1347" s="116"/>
      <c r="I1347" s="116"/>
      <c r="L1347" s="170">
        <v>45629</v>
      </c>
      <c r="M1347" s="116">
        <v>2357.5500000000002</v>
      </c>
      <c r="N1347" s="116">
        <v>2387.6999999999998</v>
      </c>
      <c r="O1347" s="116">
        <v>2339.1</v>
      </c>
      <c r="P1347" s="116">
        <v>2356</v>
      </c>
      <c r="Q1347" s="116">
        <v>2357.5500000000002</v>
      </c>
      <c r="R1347">
        <v>143184</v>
      </c>
    </row>
    <row r="1348" spans="1:18" x14ac:dyDescent="0.25">
      <c r="A1348" s="170">
        <v>45630</v>
      </c>
      <c r="B1348" s="116">
        <v>2377.75</v>
      </c>
      <c r="C1348" s="116">
        <v>2367.3000000000002</v>
      </c>
      <c r="D1348" s="116">
        <v>2351.5</v>
      </c>
      <c r="E1348" s="116">
        <v>2358</v>
      </c>
      <c r="F1348" s="116">
        <v>2367.3000000000002</v>
      </c>
      <c r="G1348">
        <v>6198</v>
      </c>
      <c r="H1348" s="116"/>
      <c r="I1348" s="116"/>
      <c r="L1348" s="170">
        <v>45630</v>
      </c>
      <c r="M1348" s="116">
        <v>2365.4</v>
      </c>
      <c r="N1348" s="116">
        <v>2378.1999999999998</v>
      </c>
      <c r="O1348" s="116">
        <v>2352</v>
      </c>
      <c r="P1348" s="116">
        <v>2360</v>
      </c>
      <c r="Q1348" s="116">
        <v>2365.4</v>
      </c>
      <c r="R1348">
        <v>107184</v>
      </c>
    </row>
    <row r="1349" spans="1:18" x14ac:dyDescent="0.25">
      <c r="A1349" s="170">
        <v>45631</v>
      </c>
      <c r="B1349" s="116">
        <v>2385</v>
      </c>
      <c r="C1349" s="116">
        <v>2367.75</v>
      </c>
      <c r="D1349" s="116">
        <v>2350</v>
      </c>
      <c r="E1349" s="116">
        <v>2385</v>
      </c>
      <c r="F1349" s="116">
        <v>2367.75</v>
      </c>
      <c r="G1349">
        <v>6388</v>
      </c>
      <c r="H1349" s="116"/>
      <c r="I1349" s="116"/>
      <c r="L1349" s="170">
        <v>45631</v>
      </c>
      <c r="M1349" s="116">
        <v>2367.6</v>
      </c>
      <c r="N1349" s="116">
        <v>2387.9499999999998</v>
      </c>
      <c r="O1349" s="116">
        <v>2349.25</v>
      </c>
      <c r="P1349" s="116">
        <v>2387.9499999999998</v>
      </c>
      <c r="Q1349" s="116">
        <v>2367.6</v>
      </c>
      <c r="R1349">
        <v>103890</v>
      </c>
    </row>
    <row r="1350" spans="1:18" x14ac:dyDescent="0.25">
      <c r="A1350" s="170">
        <v>45632</v>
      </c>
      <c r="B1350" s="116">
        <v>2377.35</v>
      </c>
      <c r="C1350" s="116">
        <v>2357.6999999999998</v>
      </c>
      <c r="D1350" s="116">
        <v>2350</v>
      </c>
      <c r="E1350" s="116">
        <v>2377.0500000000002</v>
      </c>
      <c r="F1350" s="116">
        <v>2357.6999999999998</v>
      </c>
      <c r="G1350">
        <v>6421</v>
      </c>
      <c r="H1350" s="116"/>
      <c r="I1350" s="116"/>
      <c r="L1350" s="170">
        <v>45632</v>
      </c>
      <c r="M1350" s="116">
        <v>2357.85</v>
      </c>
      <c r="N1350" s="116">
        <v>2379.9499999999998</v>
      </c>
      <c r="O1350" s="116">
        <v>2350</v>
      </c>
      <c r="P1350" s="116">
        <v>2369.8000000000002</v>
      </c>
      <c r="Q1350" s="116">
        <v>2357.85</v>
      </c>
      <c r="R1350">
        <v>135928</v>
      </c>
    </row>
    <row r="1351" spans="1:18" x14ac:dyDescent="0.25">
      <c r="A1351" s="170">
        <v>45635</v>
      </c>
      <c r="B1351" s="116">
        <v>2384.9499999999998</v>
      </c>
      <c r="C1351" s="116">
        <v>2371.25</v>
      </c>
      <c r="D1351" s="116">
        <v>2358</v>
      </c>
      <c r="E1351" s="116">
        <v>2384.9499999999998</v>
      </c>
      <c r="F1351" s="116">
        <v>2371.25</v>
      </c>
      <c r="G1351">
        <v>3271</v>
      </c>
      <c r="H1351" s="116"/>
      <c r="I1351" s="116"/>
      <c r="L1351" s="170">
        <v>45635</v>
      </c>
      <c r="M1351" s="116">
        <v>2371.15</v>
      </c>
      <c r="N1351" s="116">
        <v>2378</v>
      </c>
      <c r="O1351" s="116">
        <v>2357</v>
      </c>
      <c r="P1351" s="116">
        <v>2357.85</v>
      </c>
      <c r="Q1351" s="116">
        <v>2371.15</v>
      </c>
      <c r="R1351">
        <v>103487</v>
      </c>
    </row>
    <row r="1352" spans="1:18" x14ac:dyDescent="0.25">
      <c r="A1352" s="170">
        <v>45636</v>
      </c>
      <c r="B1352" s="116">
        <v>2405</v>
      </c>
      <c r="C1352" s="116">
        <v>2377.8000000000002</v>
      </c>
      <c r="D1352" s="116">
        <v>2360.0500000000002</v>
      </c>
      <c r="E1352" s="116">
        <v>2360.0500000000002</v>
      </c>
      <c r="F1352" s="116">
        <v>2377.8000000000002</v>
      </c>
      <c r="G1352">
        <v>6548</v>
      </c>
      <c r="H1352" s="116"/>
      <c r="I1352" s="116"/>
      <c r="L1352" s="170">
        <v>45636</v>
      </c>
      <c r="M1352" s="116">
        <v>2377.35</v>
      </c>
      <c r="N1352" s="116">
        <v>2405.65</v>
      </c>
      <c r="O1352" s="116">
        <v>2361.1999999999998</v>
      </c>
      <c r="P1352" s="116">
        <v>2371</v>
      </c>
      <c r="Q1352" s="116">
        <v>2377.35</v>
      </c>
      <c r="R1352">
        <v>160737</v>
      </c>
    </row>
    <row r="1353" spans="1:18" x14ac:dyDescent="0.25">
      <c r="A1353" s="170">
        <v>45637</v>
      </c>
      <c r="B1353" s="116">
        <v>2410</v>
      </c>
      <c r="C1353" s="116">
        <v>2398.4</v>
      </c>
      <c r="D1353" s="116">
        <v>2376.0500000000002</v>
      </c>
      <c r="E1353" s="116">
        <v>2377.8000000000002</v>
      </c>
      <c r="F1353" s="116">
        <v>2398.4</v>
      </c>
      <c r="G1353">
        <v>7694</v>
      </c>
      <c r="H1353" s="116"/>
      <c r="I1353" s="116"/>
      <c r="L1353" s="170">
        <v>45637</v>
      </c>
      <c r="M1353" s="116">
        <v>2398.6999999999998</v>
      </c>
      <c r="N1353" s="116">
        <v>2409.9499999999998</v>
      </c>
      <c r="O1353" s="116">
        <v>2377.35</v>
      </c>
      <c r="P1353" s="116">
        <v>2380</v>
      </c>
      <c r="Q1353" s="116">
        <v>2398.6999999999998</v>
      </c>
      <c r="R1353">
        <v>194339</v>
      </c>
    </row>
    <row r="1354" spans="1:18" x14ac:dyDescent="0.25">
      <c r="A1354" s="170">
        <v>45638</v>
      </c>
      <c r="B1354" s="116">
        <v>2407.1</v>
      </c>
      <c r="C1354" s="116">
        <v>2338.5</v>
      </c>
      <c r="D1354" s="116">
        <v>2327.35</v>
      </c>
      <c r="E1354" s="116">
        <v>2405</v>
      </c>
      <c r="F1354" s="116">
        <v>2338.5</v>
      </c>
      <c r="G1354">
        <v>12039</v>
      </c>
      <c r="H1354" s="116"/>
      <c r="I1354" s="116"/>
      <c r="L1354" s="170">
        <v>45638</v>
      </c>
      <c r="M1354" s="116">
        <v>2331.35</v>
      </c>
      <c r="N1354" s="116">
        <v>2409</v>
      </c>
      <c r="O1354" s="116">
        <v>2328</v>
      </c>
      <c r="P1354" s="116">
        <v>2398.9499999999998</v>
      </c>
      <c r="Q1354" s="116">
        <v>2331.35</v>
      </c>
      <c r="R1354">
        <v>255332</v>
      </c>
    </row>
    <row r="1355" spans="1:18" x14ac:dyDescent="0.25">
      <c r="A1355" s="170">
        <v>45639</v>
      </c>
      <c r="B1355" s="116">
        <v>2390.1</v>
      </c>
      <c r="C1355" s="116">
        <v>2386.65</v>
      </c>
      <c r="D1355" s="116">
        <v>2301.5500000000002</v>
      </c>
      <c r="E1355" s="116">
        <v>2301.5500000000002</v>
      </c>
      <c r="F1355" s="116">
        <v>2386.65</v>
      </c>
      <c r="G1355">
        <v>7380</v>
      </c>
      <c r="H1355" s="116"/>
      <c r="I1355" s="116"/>
      <c r="L1355" s="170">
        <v>45639</v>
      </c>
      <c r="M1355" s="116">
        <v>2385.5500000000002</v>
      </c>
      <c r="N1355" s="116">
        <v>2390.9499999999998</v>
      </c>
      <c r="O1355" s="116">
        <v>2300.5500000000002</v>
      </c>
      <c r="P1355" s="116">
        <v>2339.1999999999998</v>
      </c>
      <c r="Q1355" s="116">
        <v>2385.5500000000002</v>
      </c>
      <c r="R1355">
        <v>164204</v>
      </c>
    </row>
    <row r="1356" spans="1:18" x14ac:dyDescent="0.25">
      <c r="A1356" s="170">
        <v>45642</v>
      </c>
      <c r="B1356" s="116">
        <v>2402.15</v>
      </c>
      <c r="C1356" s="116">
        <v>2376.1999999999998</v>
      </c>
      <c r="D1356" s="116">
        <v>2370</v>
      </c>
      <c r="E1356" s="116">
        <v>2398.9499999999998</v>
      </c>
      <c r="F1356" s="116">
        <v>2376.1999999999998</v>
      </c>
      <c r="G1356">
        <v>4798</v>
      </c>
      <c r="H1356" s="116"/>
      <c r="I1356" s="116"/>
      <c r="L1356" s="170">
        <v>45642</v>
      </c>
      <c r="M1356" s="116">
        <v>2377.9499999999998</v>
      </c>
      <c r="N1356" s="116">
        <v>2401.5</v>
      </c>
      <c r="O1356" s="116">
        <v>2371.1</v>
      </c>
      <c r="P1356" s="116">
        <v>2385.5500000000002</v>
      </c>
      <c r="Q1356" s="116">
        <v>2377.9499999999998</v>
      </c>
      <c r="R1356">
        <v>114408</v>
      </c>
    </row>
    <row r="1357" spans="1:18" x14ac:dyDescent="0.25">
      <c r="A1357" s="170">
        <v>45643</v>
      </c>
      <c r="B1357" s="116">
        <v>2399.25</v>
      </c>
      <c r="C1357" s="116">
        <v>2363.25</v>
      </c>
      <c r="D1357" s="116">
        <v>2361.0500000000002</v>
      </c>
      <c r="E1357" s="116">
        <v>2380.0500000000002</v>
      </c>
      <c r="F1357" s="116">
        <v>2363.25</v>
      </c>
      <c r="G1357">
        <v>3050</v>
      </c>
      <c r="H1357" s="116"/>
      <c r="I1357" s="116"/>
      <c r="L1357" s="170">
        <v>45643</v>
      </c>
      <c r="M1357" s="116">
        <v>2367.1999999999998</v>
      </c>
      <c r="N1357" s="116">
        <v>2399</v>
      </c>
      <c r="O1357" s="116">
        <v>2361.8000000000002</v>
      </c>
      <c r="P1357" s="116">
        <v>2385</v>
      </c>
      <c r="Q1357" s="116">
        <v>2367.1999999999998</v>
      </c>
      <c r="R1357">
        <v>138887</v>
      </c>
    </row>
    <row r="1358" spans="1:18" x14ac:dyDescent="0.25">
      <c r="A1358" s="170">
        <v>45644</v>
      </c>
      <c r="B1358" s="116">
        <v>2387.25</v>
      </c>
      <c r="C1358" s="116">
        <v>2361.9499999999998</v>
      </c>
      <c r="D1358" s="116">
        <v>2347.25</v>
      </c>
      <c r="E1358" s="116">
        <v>2365.0500000000002</v>
      </c>
      <c r="F1358" s="116">
        <v>2361.9499999999998</v>
      </c>
      <c r="G1358">
        <v>2260</v>
      </c>
      <c r="H1358" s="116"/>
      <c r="I1358" s="116"/>
      <c r="L1358" s="170">
        <v>45644</v>
      </c>
      <c r="M1358" s="116">
        <v>2359.9</v>
      </c>
      <c r="N1358" s="116">
        <v>2389.65</v>
      </c>
      <c r="O1358" s="116">
        <v>2346.1</v>
      </c>
      <c r="P1358" s="116">
        <v>2367.9499999999998</v>
      </c>
      <c r="Q1358" s="116">
        <v>2359.9</v>
      </c>
      <c r="R1358">
        <v>253905</v>
      </c>
    </row>
    <row r="1359" spans="1:18" x14ac:dyDescent="0.25">
      <c r="A1359" s="170">
        <v>45645</v>
      </c>
      <c r="B1359" s="116">
        <v>2370.1999999999998</v>
      </c>
      <c r="C1359" s="116">
        <v>2361.9</v>
      </c>
      <c r="D1359" s="116">
        <v>2320</v>
      </c>
      <c r="E1359" s="116">
        <v>2320</v>
      </c>
      <c r="F1359" s="116">
        <v>2361.9</v>
      </c>
      <c r="G1359">
        <v>8225</v>
      </c>
      <c r="H1359" s="116"/>
      <c r="I1359" s="116"/>
      <c r="L1359" s="170">
        <v>45645</v>
      </c>
      <c r="M1359" s="116">
        <v>2363.4</v>
      </c>
      <c r="N1359" s="116">
        <v>2370</v>
      </c>
      <c r="O1359" s="116">
        <v>2322</v>
      </c>
      <c r="P1359" s="116">
        <v>2322</v>
      </c>
      <c r="Q1359" s="116">
        <v>2363.4</v>
      </c>
      <c r="R1359">
        <v>171380</v>
      </c>
    </row>
    <row r="1360" spans="1:18" x14ac:dyDescent="0.25">
      <c r="A1360" s="170">
        <v>45646</v>
      </c>
      <c r="B1360" s="116">
        <v>2373.8000000000002</v>
      </c>
      <c r="C1360" s="116">
        <v>2251.1</v>
      </c>
      <c r="D1360" s="116">
        <v>2244.5</v>
      </c>
      <c r="E1360" s="116">
        <v>2361</v>
      </c>
      <c r="F1360" s="116">
        <v>2251.1</v>
      </c>
      <c r="G1360">
        <v>6082</v>
      </c>
      <c r="H1360" s="116"/>
      <c r="I1360" s="116"/>
      <c r="L1360" s="170">
        <v>45646</v>
      </c>
      <c r="M1360" s="116">
        <v>2249.9499999999998</v>
      </c>
      <c r="N1360" s="116">
        <v>2373</v>
      </c>
      <c r="O1360" s="116">
        <v>2242.75</v>
      </c>
      <c r="P1360" s="116">
        <v>2360</v>
      </c>
      <c r="Q1360" s="116">
        <v>2249.9499999999998</v>
      </c>
      <c r="R1360">
        <v>272969</v>
      </c>
    </row>
    <row r="1361" spans="1:18" x14ac:dyDescent="0.25">
      <c r="A1361" s="170">
        <v>45649</v>
      </c>
      <c r="B1361" s="116">
        <v>2275.5500000000002</v>
      </c>
      <c r="C1361" s="116">
        <v>2250.6</v>
      </c>
      <c r="D1361" s="116">
        <v>2241.9499999999998</v>
      </c>
      <c r="E1361" s="116">
        <v>2269.9499999999998</v>
      </c>
      <c r="F1361" s="116">
        <v>2250.6</v>
      </c>
      <c r="G1361">
        <v>6333</v>
      </c>
      <c r="H1361" s="116"/>
      <c r="I1361" s="116"/>
      <c r="L1361" s="170">
        <v>45649</v>
      </c>
      <c r="M1361" s="116">
        <v>2252.1999999999998</v>
      </c>
      <c r="N1361" s="116">
        <v>2275.5</v>
      </c>
      <c r="O1361" s="116">
        <v>2241.85</v>
      </c>
      <c r="P1361" s="116">
        <v>2265</v>
      </c>
      <c r="Q1361" s="116">
        <v>2252.1999999999998</v>
      </c>
      <c r="R1361">
        <v>161773</v>
      </c>
    </row>
    <row r="1362" spans="1:18" x14ac:dyDescent="0.25">
      <c r="A1362" s="170">
        <v>45650</v>
      </c>
      <c r="B1362" s="116">
        <v>2273.6999999999998</v>
      </c>
      <c r="C1362" s="116">
        <v>2245.15</v>
      </c>
      <c r="D1362" s="116">
        <v>2235.85</v>
      </c>
      <c r="E1362" s="116">
        <v>2254.35</v>
      </c>
      <c r="F1362" s="116">
        <v>2245.15</v>
      </c>
      <c r="G1362">
        <v>2630</v>
      </c>
      <c r="H1362" s="116"/>
      <c r="I1362" s="116"/>
      <c r="L1362" s="170">
        <v>45650</v>
      </c>
      <c r="M1362" s="116">
        <v>2245.4499999999998</v>
      </c>
      <c r="N1362" s="116">
        <v>2275</v>
      </c>
      <c r="O1362" s="116">
        <v>2235.6</v>
      </c>
      <c r="P1362" s="116">
        <v>2259.9499999999998</v>
      </c>
      <c r="Q1362" s="116">
        <v>2245.4499999999998</v>
      </c>
      <c r="R1362">
        <v>143630</v>
      </c>
    </row>
    <row r="1363" spans="1:18" x14ac:dyDescent="0.25">
      <c r="A1363" s="170">
        <v>45652</v>
      </c>
      <c r="B1363" s="116">
        <v>2255.5500000000002</v>
      </c>
      <c r="C1363" s="116">
        <v>2234.15</v>
      </c>
      <c r="D1363" s="116">
        <v>2200</v>
      </c>
      <c r="E1363" s="116">
        <v>2255.5500000000002</v>
      </c>
      <c r="F1363" s="116">
        <v>2234.15</v>
      </c>
      <c r="G1363">
        <v>6357</v>
      </c>
      <c r="H1363" s="116"/>
      <c r="I1363" s="116"/>
      <c r="L1363" s="170">
        <v>45652</v>
      </c>
      <c r="M1363" s="116">
        <v>2231.5</v>
      </c>
      <c r="N1363" s="116">
        <v>2251.85</v>
      </c>
      <c r="O1363" s="116">
        <v>2199.9</v>
      </c>
      <c r="P1363" s="116">
        <v>2250</v>
      </c>
      <c r="Q1363" s="116">
        <v>2231.5</v>
      </c>
      <c r="R1363">
        <v>288582</v>
      </c>
    </row>
    <row r="1364" spans="1:18" x14ac:dyDescent="0.25">
      <c r="A1364" s="170">
        <v>45653</v>
      </c>
      <c r="B1364" s="116">
        <v>2270.5500000000002</v>
      </c>
      <c r="C1364" s="116">
        <v>2256.0500000000002</v>
      </c>
      <c r="D1364" s="116">
        <v>2230.0500000000002</v>
      </c>
      <c r="E1364" s="116">
        <v>2231.5</v>
      </c>
      <c r="F1364" s="116">
        <v>2256.0500000000002</v>
      </c>
      <c r="G1364">
        <v>5904</v>
      </c>
      <c r="H1364" s="116"/>
      <c r="I1364" s="116"/>
      <c r="L1364" s="170">
        <v>45653</v>
      </c>
      <c r="M1364" s="116">
        <v>2256.35</v>
      </c>
      <c r="N1364" s="116">
        <v>2271.75</v>
      </c>
      <c r="O1364" s="116">
        <v>2230</v>
      </c>
      <c r="P1364" s="116">
        <v>2234</v>
      </c>
      <c r="Q1364" s="116">
        <v>2256.35</v>
      </c>
      <c r="R1364">
        <v>280034</v>
      </c>
    </row>
    <row r="1365" spans="1:18" x14ac:dyDescent="0.25">
      <c r="A1365" s="170">
        <v>45656</v>
      </c>
      <c r="B1365" s="116">
        <v>2280</v>
      </c>
      <c r="C1365" s="116">
        <v>2270.1</v>
      </c>
      <c r="D1365" s="116">
        <v>2244.0500000000002</v>
      </c>
      <c r="E1365" s="116">
        <v>2267.3000000000002</v>
      </c>
      <c r="F1365" s="116">
        <v>2270.1</v>
      </c>
      <c r="G1365">
        <v>44034</v>
      </c>
      <c r="H1365" s="116"/>
      <c r="I1365" s="116"/>
      <c r="L1365" s="170">
        <v>45656</v>
      </c>
      <c r="M1365" s="116">
        <v>2268.8000000000002</v>
      </c>
      <c r="N1365" s="116">
        <v>2282</v>
      </c>
      <c r="O1365" s="116">
        <v>2244</v>
      </c>
      <c r="P1365" s="116">
        <v>2262</v>
      </c>
      <c r="Q1365" s="116">
        <v>2268.8000000000002</v>
      </c>
      <c r="R1365">
        <v>481181</v>
      </c>
    </row>
    <row r="1366" spans="1:18" x14ac:dyDescent="0.25">
      <c r="A1366" s="170">
        <v>45657</v>
      </c>
      <c r="B1366" s="116">
        <v>2267.4499999999998</v>
      </c>
      <c r="C1366" s="116">
        <v>2249.1999999999998</v>
      </c>
      <c r="D1366" s="116">
        <v>2226.6999999999998</v>
      </c>
      <c r="E1366" s="116">
        <v>2250.0500000000002</v>
      </c>
      <c r="F1366" s="116">
        <v>2249.1999999999998</v>
      </c>
      <c r="G1366">
        <v>6203</v>
      </c>
      <c r="H1366" s="116"/>
      <c r="I1366" s="116"/>
      <c r="L1366" s="170">
        <v>45657</v>
      </c>
      <c r="M1366" s="116">
        <v>2248.8000000000002</v>
      </c>
      <c r="N1366" s="116">
        <v>2275</v>
      </c>
      <c r="O1366" s="116">
        <v>2226.15</v>
      </c>
      <c r="P1366" s="116">
        <v>2268.8000000000002</v>
      </c>
      <c r="Q1366" s="116">
        <v>2248.8000000000002</v>
      </c>
      <c r="R1366">
        <v>270289</v>
      </c>
    </row>
    <row r="1367" spans="1:18" x14ac:dyDescent="0.25">
      <c r="A1367" s="170">
        <v>45658</v>
      </c>
      <c r="B1367" s="116">
        <v>2290</v>
      </c>
      <c r="C1367" s="116">
        <v>2285.4499999999998</v>
      </c>
      <c r="D1367" s="116">
        <v>2246.5500000000002</v>
      </c>
      <c r="E1367" s="116">
        <v>2259.15</v>
      </c>
      <c r="F1367" s="116">
        <v>2285.4499999999998</v>
      </c>
      <c r="G1367">
        <v>5387</v>
      </c>
      <c r="H1367" s="116"/>
      <c r="I1367" s="116"/>
      <c r="L1367" s="170">
        <v>45658</v>
      </c>
      <c r="M1367" s="116">
        <v>2284.8000000000002</v>
      </c>
      <c r="N1367" s="116">
        <v>2291.85</v>
      </c>
      <c r="O1367" s="116">
        <v>2245.15</v>
      </c>
      <c r="P1367" s="116">
        <v>2254.85</v>
      </c>
      <c r="Q1367" s="116">
        <v>2284.8000000000002</v>
      </c>
      <c r="R1367">
        <v>75411</v>
      </c>
    </row>
    <row r="1368" spans="1:18" x14ac:dyDescent="0.25">
      <c r="A1368" s="170">
        <v>45659</v>
      </c>
      <c r="B1368" s="116">
        <v>2310.9</v>
      </c>
      <c r="C1368" s="116">
        <v>2306.75</v>
      </c>
      <c r="D1368" s="116">
        <v>2276.3000000000002</v>
      </c>
      <c r="E1368" s="116">
        <v>2298.9499999999998</v>
      </c>
      <c r="F1368" s="116">
        <v>2306.75</v>
      </c>
      <c r="G1368">
        <v>5485</v>
      </c>
      <c r="H1368" s="116"/>
      <c r="I1368" s="116"/>
      <c r="L1368" s="170">
        <v>45659</v>
      </c>
      <c r="M1368" s="116">
        <v>2307.75</v>
      </c>
      <c r="N1368" s="116">
        <v>2310.4499999999998</v>
      </c>
      <c r="O1368" s="116">
        <v>2275.0500000000002</v>
      </c>
      <c r="P1368" s="116">
        <v>2288</v>
      </c>
      <c r="Q1368" s="116">
        <v>2307.75</v>
      </c>
      <c r="R1368">
        <v>54293</v>
      </c>
    </row>
    <row r="1369" spans="1:18" x14ac:dyDescent="0.25">
      <c r="A1369" s="170">
        <v>45660</v>
      </c>
      <c r="B1369" s="116">
        <v>2337.6</v>
      </c>
      <c r="C1369" s="116">
        <v>2251.75</v>
      </c>
      <c r="D1369" s="116">
        <v>2246.35</v>
      </c>
      <c r="E1369" s="116">
        <v>2311.0500000000002</v>
      </c>
      <c r="F1369" s="116">
        <v>2251.75</v>
      </c>
      <c r="G1369">
        <v>4016</v>
      </c>
      <c r="H1369" s="116"/>
      <c r="I1369" s="116"/>
      <c r="L1369" s="170">
        <v>45660</v>
      </c>
      <c r="M1369" s="116">
        <v>2250.4</v>
      </c>
      <c r="N1369" s="116">
        <v>2338.0500000000002</v>
      </c>
      <c r="O1369" s="116">
        <v>2244.4499999999998</v>
      </c>
      <c r="P1369" s="116">
        <v>2319</v>
      </c>
      <c r="Q1369" s="116">
        <v>2250.4</v>
      </c>
      <c r="R1369">
        <v>236058</v>
      </c>
    </row>
    <row r="1370" spans="1:18" x14ac:dyDescent="0.25">
      <c r="A1370" s="170">
        <v>45663</v>
      </c>
      <c r="B1370" s="116">
        <v>2289.9499999999998</v>
      </c>
      <c r="C1370" s="116">
        <v>2175.4499999999998</v>
      </c>
      <c r="D1370" s="116">
        <v>2165</v>
      </c>
      <c r="E1370" s="116">
        <v>2289.9499999999998</v>
      </c>
      <c r="F1370" s="116">
        <v>2175.4499999999998</v>
      </c>
      <c r="G1370">
        <v>14605</v>
      </c>
      <c r="H1370" s="116"/>
      <c r="I1370" s="116"/>
      <c r="L1370" s="170">
        <v>45663</v>
      </c>
      <c r="M1370" s="116">
        <v>2176.4499999999998</v>
      </c>
      <c r="N1370" s="116">
        <v>2275</v>
      </c>
      <c r="O1370" s="116">
        <v>2165.5500000000002</v>
      </c>
      <c r="P1370" s="116">
        <v>2273.0500000000002</v>
      </c>
      <c r="Q1370" s="116">
        <v>2176.4499999999998</v>
      </c>
      <c r="R1370">
        <v>295756</v>
      </c>
    </row>
    <row r="1371" spans="1:18" x14ac:dyDescent="0.25">
      <c r="A1371" s="170">
        <v>45664</v>
      </c>
      <c r="B1371" s="116">
        <v>2313.3000000000002</v>
      </c>
      <c r="C1371" s="116">
        <v>2295.1</v>
      </c>
      <c r="D1371" s="116">
        <v>2203.5500000000002</v>
      </c>
      <c r="E1371" s="116">
        <v>2210.5</v>
      </c>
      <c r="F1371" s="116">
        <v>2295.1</v>
      </c>
      <c r="G1371">
        <v>10142</v>
      </c>
      <c r="H1371" s="116"/>
      <c r="I1371" s="116"/>
      <c r="L1371" s="170">
        <v>45664</v>
      </c>
      <c r="M1371" s="116">
        <v>2293.5500000000002</v>
      </c>
      <c r="N1371" s="116">
        <v>2312.6999999999998</v>
      </c>
      <c r="O1371" s="116">
        <v>2188.9</v>
      </c>
      <c r="P1371" s="116">
        <v>2218</v>
      </c>
      <c r="Q1371" s="116">
        <v>2293.5500000000002</v>
      </c>
      <c r="R1371">
        <v>671612</v>
      </c>
    </row>
    <row r="1372" spans="1:18" x14ac:dyDescent="0.25">
      <c r="A1372" s="170">
        <v>45665</v>
      </c>
      <c r="B1372" s="116">
        <v>2315.8000000000002</v>
      </c>
      <c r="C1372" s="116">
        <v>2300.4</v>
      </c>
      <c r="D1372" s="116">
        <v>2272.4499999999998</v>
      </c>
      <c r="E1372" s="116">
        <v>2312.6</v>
      </c>
      <c r="F1372" s="116">
        <v>2300.4</v>
      </c>
      <c r="G1372">
        <v>9265</v>
      </c>
      <c r="H1372" s="116"/>
      <c r="I1372" s="116"/>
      <c r="L1372" s="170">
        <v>45665</v>
      </c>
      <c r="M1372" s="116">
        <v>2299.65</v>
      </c>
      <c r="N1372" s="116">
        <v>2316</v>
      </c>
      <c r="O1372" s="116">
        <v>2272.75</v>
      </c>
      <c r="P1372" s="116">
        <v>2301</v>
      </c>
      <c r="Q1372" s="116">
        <v>2299.65</v>
      </c>
      <c r="R1372">
        <v>254717</v>
      </c>
    </row>
    <row r="1373" spans="1:18" x14ac:dyDescent="0.25">
      <c r="A1373" s="170">
        <v>45666</v>
      </c>
      <c r="B1373" s="116">
        <v>2369.9</v>
      </c>
      <c r="C1373" s="116">
        <v>2323.5</v>
      </c>
      <c r="D1373" s="116">
        <v>2294.5500000000002</v>
      </c>
      <c r="E1373" s="116">
        <v>2294.5500000000002</v>
      </c>
      <c r="F1373" s="116">
        <v>2323.5</v>
      </c>
      <c r="G1373">
        <v>16168</v>
      </c>
      <c r="H1373" s="116"/>
      <c r="I1373" s="116"/>
      <c r="L1373" s="170">
        <v>45666</v>
      </c>
      <c r="M1373" s="116">
        <v>2322.3000000000002</v>
      </c>
      <c r="N1373" s="116">
        <v>2371</v>
      </c>
      <c r="O1373" s="116">
        <v>2295.0500000000002</v>
      </c>
      <c r="P1373" s="116">
        <v>2301</v>
      </c>
      <c r="Q1373" s="116">
        <v>2322.3000000000002</v>
      </c>
      <c r="R1373">
        <v>239180</v>
      </c>
    </row>
    <row r="1374" spans="1:18" x14ac:dyDescent="0.25">
      <c r="A1374" s="170">
        <v>45667</v>
      </c>
      <c r="B1374" s="116">
        <v>2336.85</v>
      </c>
      <c r="C1374" s="116">
        <v>2325.1999999999998</v>
      </c>
      <c r="D1374" s="116">
        <v>2277.15</v>
      </c>
      <c r="E1374" s="116">
        <v>2323.4499999999998</v>
      </c>
      <c r="F1374" s="116">
        <v>2325.1999999999998</v>
      </c>
      <c r="G1374">
        <v>10130</v>
      </c>
      <c r="H1374" s="116"/>
      <c r="I1374" s="116"/>
      <c r="L1374" s="170">
        <v>45667</v>
      </c>
      <c r="M1374" s="116">
        <v>2325.15</v>
      </c>
      <c r="N1374" s="116">
        <v>2339.35</v>
      </c>
      <c r="O1374" s="116">
        <v>2279.1</v>
      </c>
      <c r="P1374" s="116">
        <v>2315.0500000000002</v>
      </c>
      <c r="Q1374" s="116">
        <v>2325.15</v>
      </c>
      <c r="R1374">
        <v>214208</v>
      </c>
    </row>
    <row r="1375" spans="1:18" x14ac:dyDescent="0.25">
      <c r="A1375" s="170">
        <v>45670</v>
      </c>
      <c r="B1375" s="116">
        <v>2310.85</v>
      </c>
      <c r="C1375" s="116">
        <v>2240.15</v>
      </c>
      <c r="D1375" s="116">
        <v>2234.25</v>
      </c>
      <c r="E1375" s="116">
        <v>2307.1999999999998</v>
      </c>
      <c r="F1375" s="116">
        <v>2240.15</v>
      </c>
      <c r="G1375">
        <v>11865</v>
      </c>
      <c r="H1375" s="116"/>
      <c r="I1375" s="116"/>
      <c r="L1375" s="170">
        <v>45670</v>
      </c>
      <c r="M1375" s="116">
        <v>2242.6999999999998</v>
      </c>
      <c r="N1375" s="116">
        <v>2314.9499999999998</v>
      </c>
      <c r="O1375" s="116">
        <v>2234.1</v>
      </c>
      <c r="P1375" s="116">
        <v>2314.1</v>
      </c>
      <c r="Q1375" s="116">
        <v>2242.6999999999998</v>
      </c>
      <c r="R1375">
        <v>144279</v>
      </c>
    </row>
    <row r="1376" spans="1:18" x14ac:dyDescent="0.25">
      <c r="A1376" s="170">
        <v>45671</v>
      </c>
      <c r="B1376" s="116">
        <v>2290</v>
      </c>
      <c r="C1376" s="116">
        <v>2253.6</v>
      </c>
      <c r="D1376" s="116">
        <v>2230.3000000000002</v>
      </c>
      <c r="E1376" s="116">
        <v>2249.4</v>
      </c>
      <c r="F1376" s="116">
        <v>2253.6</v>
      </c>
      <c r="G1376">
        <v>4836</v>
      </c>
      <c r="H1376" s="116"/>
      <c r="I1376" s="116"/>
      <c r="L1376" s="170">
        <v>45671</v>
      </c>
      <c r="M1376" s="116">
        <v>2254.6999999999998</v>
      </c>
      <c r="N1376" s="116">
        <v>2290.4</v>
      </c>
      <c r="O1376" s="116">
        <v>2228.25</v>
      </c>
      <c r="P1376" s="116">
        <v>2245.35</v>
      </c>
      <c r="Q1376" s="116">
        <v>2254.6999999999998</v>
      </c>
      <c r="R1376">
        <v>350675</v>
      </c>
    </row>
    <row r="1377" spans="1:18" x14ac:dyDescent="0.25">
      <c r="A1377" s="170">
        <v>45672</v>
      </c>
      <c r="B1377" s="116">
        <v>2259.1</v>
      </c>
      <c r="C1377" s="116">
        <v>2208.4499999999998</v>
      </c>
      <c r="D1377" s="116">
        <v>2198.4499999999998</v>
      </c>
      <c r="E1377" s="116">
        <v>2259.1</v>
      </c>
      <c r="F1377" s="116">
        <v>2208.4499999999998</v>
      </c>
      <c r="G1377">
        <v>5381</v>
      </c>
      <c r="H1377" s="116"/>
      <c r="I1377" s="116"/>
      <c r="L1377" s="170">
        <v>45672</v>
      </c>
      <c r="M1377" s="116">
        <v>2209.65</v>
      </c>
      <c r="N1377" s="116">
        <v>2278.6</v>
      </c>
      <c r="O1377" s="116">
        <v>2198</v>
      </c>
      <c r="P1377" s="116">
        <v>2266</v>
      </c>
      <c r="Q1377" s="116">
        <v>2209.65</v>
      </c>
      <c r="R1377">
        <v>263290</v>
      </c>
    </row>
    <row r="1378" spans="1:18" x14ac:dyDescent="0.25">
      <c r="A1378" s="170">
        <v>45673</v>
      </c>
      <c r="B1378" s="116">
        <v>2252.8000000000002</v>
      </c>
      <c r="C1378" s="116">
        <v>2239.4499999999998</v>
      </c>
      <c r="D1378" s="116">
        <v>2215.0500000000002</v>
      </c>
      <c r="E1378" s="116">
        <v>2252.1999999999998</v>
      </c>
      <c r="F1378" s="116">
        <v>2239.4499999999998</v>
      </c>
      <c r="G1378">
        <v>4956</v>
      </c>
      <c r="H1378" s="116"/>
      <c r="I1378" s="116"/>
      <c r="L1378" s="170">
        <v>45673</v>
      </c>
      <c r="M1378" s="116">
        <v>2239.0500000000002</v>
      </c>
      <c r="N1378" s="116">
        <v>2254.35</v>
      </c>
      <c r="O1378" s="116">
        <v>2213.15</v>
      </c>
      <c r="P1378" s="116">
        <v>2220.6999999999998</v>
      </c>
      <c r="Q1378" s="116">
        <v>2239.0500000000002</v>
      </c>
      <c r="R1378">
        <v>221073</v>
      </c>
    </row>
    <row r="1379" spans="1:18" x14ac:dyDescent="0.25">
      <c r="A1379" s="170">
        <v>45674</v>
      </c>
      <c r="B1379" s="116">
        <v>2289.1</v>
      </c>
      <c r="C1379" s="116">
        <v>2283.0500000000002</v>
      </c>
      <c r="D1379" s="116">
        <v>2225</v>
      </c>
      <c r="E1379" s="116">
        <v>2230.85</v>
      </c>
      <c r="F1379" s="116">
        <v>2283.0500000000002</v>
      </c>
      <c r="G1379">
        <v>8491</v>
      </c>
      <c r="H1379" s="116"/>
      <c r="I1379" s="116"/>
      <c r="L1379" s="170">
        <v>45674</v>
      </c>
      <c r="M1379" s="116">
        <v>2282.6</v>
      </c>
      <c r="N1379" s="116">
        <v>2290</v>
      </c>
      <c r="O1379" s="116">
        <v>2224.6999999999998</v>
      </c>
      <c r="P1379" s="116">
        <v>2245</v>
      </c>
      <c r="Q1379" s="116">
        <v>2282.6</v>
      </c>
      <c r="R1379">
        <v>249982</v>
      </c>
    </row>
    <row r="1380" spans="1:18" x14ac:dyDescent="0.25">
      <c r="A1380" s="170">
        <v>45677</v>
      </c>
      <c r="B1380" s="116">
        <v>2309.8000000000002</v>
      </c>
      <c r="C1380" s="116">
        <v>2268.5500000000002</v>
      </c>
      <c r="D1380" s="116">
        <v>2240</v>
      </c>
      <c r="E1380" s="116">
        <v>2285</v>
      </c>
      <c r="F1380" s="116">
        <v>2268.5500000000002</v>
      </c>
      <c r="G1380">
        <v>8906</v>
      </c>
      <c r="H1380" s="116"/>
      <c r="I1380" s="116"/>
      <c r="L1380" s="170">
        <v>45677</v>
      </c>
      <c r="M1380" s="116">
        <v>2270</v>
      </c>
      <c r="N1380" s="116">
        <v>2311.4499999999998</v>
      </c>
      <c r="O1380" s="116">
        <v>2239.1</v>
      </c>
      <c r="P1380" s="116">
        <v>2286</v>
      </c>
      <c r="Q1380" s="116">
        <v>2270</v>
      </c>
      <c r="R1380">
        <v>210157</v>
      </c>
    </row>
    <row r="1381" spans="1:18" x14ac:dyDescent="0.25">
      <c r="A1381" s="170">
        <v>45678</v>
      </c>
      <c r="B1381" s="116">
        <v>2325.1</v>
      </c>
      <c r="C1381" s="116">
        <v>2293.4</v>
      </c>
      <c r="D1381" s="116">
        <v>2265.6</v>
      </c>
      <c r="E1381" s="116">
        <v>2289.9499999999998</v>
      </c>
      <c r="F1381" s="116">
        <v>2293.4</v>
      </c>
      <c r="G1381">
        <v>12454</v>
      </c>
      <c r="H1381" s="116"/>
      <c r="I1381" s="116"/>
      <c r="L1381" s="170">
        <v>45678</v>
      </c>
      <c r="M1381" s="116">
        <v>2294.85</v>
      </c>
      <c r="N1381" s="116">
        <v>2325</v>
      </c>
      <c r="O1381" s="116">
        <v>2258.5500000000002</v>
      </c>
      <c r="P1381" s="116">
        <v>2279.9</v>
      </c>
      <c r="Q1381" s="116">
        <v>2294.85</v>
      </c>
      <c r="R1381">
        <v>720483</v>
      </c>
    </row>
    <row r="1382" spans="1:18" x14ac:dyDescent="0.25">
      <c r="A1382" s="170">
        <v>45679</v>
      </c>
      <c r="B1382" s="116">
        <v>2158</v>
      </c>
      <c r="C1382" s="116">
        <v>2145.75</v>
      </c>
      <c r="D1382" s="116">
        <v>2064.1</v>
      </c>
      <c r="E1382" s="116">
        <v>2095</v>
      </c>
      <c r="F1382" s="116">
        <v>2145.75</v>
      </c>
      <c r="G1382">
        <v>107450</v>
      </c>
      <c r="H1382" s="116"/>
      <c r="I1382" s="116"/>
      <c r="L1382" s="170">
        <v>45679</v>
      </c>
      <c r="M1382" s="116">
        <v>2143.4499999999998</v>
      </c>
      <c r="N1382" s="116">
        <v>2157.8000000000002</v>
      </c>
      <c r="O1382" s="116">
        <v>2065.4</v>
      </c>
      <c r="P1382" s="116">
        <v>2100</v>
      </c>
      <c r="Q1382" s="116">
        <v>2143.4499999999998</v>
      </c>
      <c r="R1382">
        <v>2981410</v>
      </c>
    </row>
    <row r="1383" spans="1:18" x14ac:dyDescent="0.25">
      <c r="A1383" s="170">
        <v>45680</v>
      </c>
      <c r="B1383" s="116">
        <v>2134.6</v>
      </c>
      <c r="C1383" s="116">
        <v>2086.75</v>
      </c>
      <c r="D1383" s="116">
        <v>2074</v>
      </c>
      <c r="E1383" s="116">
        <v>2130.0500000000002</v>
      </c>
      <c r="F1383" s="116">
        <v>2086.75</v>
      </c>
      <c r="G1383">
        <v>26490</v>
      </c>
      <c r="H1383" s="116"/>
      <c r="I1383" s="116"/>
      <c r="L1383" s="170">
        <v>45680</v>
      </c>
      <c r="M1383" s="116">
        <v>2086.5500000000002</v>
      </c>
      <c r="N1383" s="116">
        <v>2143.4</v>
      </c>
      <c r="O1383" s="116">
        <v>2073</v>
      </c>
      <c r="P1383" s="116">
        <v>2132.75</v>
      </c>
      <c r="Q1383" s="116">
        <v>2086.5500000000002</v>
      </c>
      <c r="R1383">
        <v>814555</v>
      </c>
    </row>
    <row r="1384" spans="1:18" x14ac:dyDescent="0.25">
      <c r="A1384" s="170">
        <v>45681</v>
      </c>
      <c r="B1384" s="116">
        <v>2093.1999999999998</v>
      </c>
      <c r="C1384" s="116">
        <v>2082.5</v>
      </c>
      <c r="D1384" s="116">
        <v>2072.35</v>
      </c>
      <c r="E1384" s="116">
        <v>2088.4</v>
      </c>
      <c r="F1384" s="116">
        <v>2082.5</v>
      </c>
      <c r="G1384">
        <v>9804</v>
      </c>
      <c r="H1384" s="116"/>
      <c r="I1384" s="116"/>
      <c r="L1384" s="170">
        <v>45681</v>
      </c>
      <c r="M1384" s="116">
        <v>2083.4</v>
      </c>
      <c r="N1384" s="116">
        <v>2095.9499999999998</v>
      </c>
      <c r="O1384" s="116">
        <v>2072.5500000000002</v>
      </c>
      <c r="P1384" s="116">
        <v>2091.4</v>
      </c>
      <c r="Q1384" s="116">
        <v>2083.4</v>
      </c>
      <c r="R1384">
        <v>194079</v>
      </c>
    </row>
    <row r="1385" spans="1:18" x14ac:dyDescent="0.25">
      <c r="A1385" s="170">
        <v>45684</v>
      </c>
      <c r="B1385" s="116">
        <v>2102.8000000000002</v>
      </c>
      <c r="C1385" s="116">
        <v>2086.6999999999998</v>
      </c>
      <c r="D1385" s="116">
        <v>2045.8</v>
      </c>
      <c r="E1385" s="116">
        <v>2079.85</v>
      </c>
      <c r="F1385" s="116">
        <v>2086.6999999999998</v>
      </c>
      <c r="G1385">
        <v>18252</v>
      </c>
      <c r="H1385" s="116"/>
      <c r="I1385" s="116"/>
      <c r="L1385" s="170">
        <v>45684</v>
      </c>
      <c r="M1385" s="116">
        <v>2084.0500000000002</v>
      </c>
      <c r="N1385" s="116">
        <v>2103</v>
      </c>
      <c r="O1385" s="116">
        <v>2045.6</v>
      </c>
      <c r="P1385" s="116">
        <v>2075</v>
      </c>
      <c r="Q1385" s="116">
        <v>2084.0500000000002</v>
      </c>
      <c r="R1385">
        <v>554309</v>
      </c>
    </row>
    <row r="1386" spans="1:18" x14ac:dyDescent="0.25">
      <c r="A1386" s="170">
        <v>45685</v>
      </c>
      <c r="B1386" s="116">
        <v>2100</v>
      </c>
      <c r="C1386" s="116">
        <v>2082.15</v>
      </c>
      <c r="D1386" s="116">
        <v>2067.1</v>
      </c>
      <c r="E1386" s="116">
        <v>2084</v>
      </c>
      <c r="F1386" s="116">
        <v>2082.15</v>
      </c>
      <c r="G1386">
        <v>13025</v>
      </c>
      <c r="H1386" s="116"/>
      <c r="I1386" s="116"/>
      <c r="L1386" s="170">
        <v>45685</v>
      </c>
      <c r="M1386" s="116">
        <v>2087.35</v>
      </c>
      <c r="N1386" s="116">
        <v>2118</v>
      </c>
      <c r="O1386" s="116">
        <v>2066.65</v>
      </c>
      <c r="P1386" s="116">
        <v>2080.5500000000002</v>
      </c>
      <c r="Q1386" s="116">
        <v>2087.35</v>
      </c>
      <c r="R1386">
        <v>323506</v>
      </c>
    </row>
    <row r="1387" spans="1:18" x14ac:dyDescent="0.25">
      <c r="A1387" s="170">
        <v>45686</v>
      </c>
      <c r="B1387" s="116">
        <v>2098.1</v>
      </c>
      <c r="C1387" s="116">
        <v>2076.6</v>
      </c>
      <c r="D1387" s="116">
        <v>2064.8000000000002</v>
      </c>
      <c r="E1387" s="116">
        <v>2079.3000000000002</v>
      </c>
      <c r="F1387" s="116">
        <v>2076.6</v>
      </c>
      <c r="G1387">
        <v>7739</v>
      </c>
      <c r="H1387" s="116"/>
      <c r="I1387" s="116"/>
      <c r="L1387" s="170">
        <v>45686</v>
      </c>
      <c r="M1387" s="116">
        <v>2076.6999999999998</v>
      </c>
      <c r="N1387" s="116">
        <v>2100.4499999999998</v>
      </c>
      <c r="O1387" s="116">
        <v>2063.1999999999998</v>
      </c>
      <c r="P1387" s="116">
        <v>2085.5500000000002</v>
      </c>
      <c r="Q1387" s="116">
        <v>2076.6999999999998</v>
      </c>
      <c r="R1387">
        <v>520222</v>
      </c>
    </row>
    <row r="1388" spans="1:18" x14ac:dyDescent="0.25">
      <c r="A1388" s="170">
        <v>45687</v>
      </c>
      <c r="B1388" s="116">
        <v>2109.25</v>
      </c>
      <c r="C1388" s="116">
        <v>2076.4</v>
      </c>
      <c r="D1388" s="116">
        <v>2048.1999999999998</v>
      </c>
      <c r="E1388" s="116">
        <v>2080</v>
      </c>
      <c r="F1388" s="116">
        <v>2076.4</v>
      </c>
      <c r="G1388">
        <v>6271</v>
      </c>
      <c r="H1388" s="116"/>
      <c r="I1388" s="116"/>
      <c r="L1388" s="170">
        <v>45687</v>
      </c>
      <c r="M1388" s="116">
        <v>2077.9</v>
      </c>
      <c r="N1388" s="116">
        <v>2108</v>
      </c>
      <c r="O1388" s="116">
        <v>2046</v>
      </c>
      <c r="P1388" s="116">
        <v>2077</v>
      </c>
      <c r="Q1388" s="116">
        <v>2077.9</v>
      </c>
      <c r="R1388">
        <v>298376</v>
      </c>
    </row>
    <row r="1389" spans="1:18" x14ac:dyDescent="0.25">
      <c r="A1389" s="170">
        <v>45688</v>
      </c>
      <c r="B1389" s="116">
        <v>2093.25</v>
      </c>
      <c r="C1389" s="116">
        <v>2066.15</v>
      </c>
      <c r="D1389" s="116">
        <v>2059.1999999999998</v>
      </c>
      <c r="E1389" s="116">
        <v>2075.15</v>
      </c>
      <c r="F1389" s="116">
        <v>2066.15</v>
      </c>
      <c r="G1389">
        <v>2704</v>
      </c>
      <c r="H1389" s="116"/>
      <c r="I1389" s="116"/>
      <c r="L1389" s="170">
        <v>45688</v>
      </c>
      <c r="M1389" s="116">
        <v>2066.4</v>
      </c>
      <c r="N1389" s="116">
        <v>2097</v>
      </c>
      <c r="O1389" s="116">
        <v>2057.6</v>
      </c>
      <c r="P1389" s="116">
        <v>2089.8000000000002</v>
      </c>
      <c r="Q1389" s="116">
        <v>2066.4</v>
      </c>
      <c r="R1389">
        <v>347027</v>
      </c>
    </row>
    <row r="1390" spans="1:18" x14ac:dyDescent="0.25">
      <c r="A1390" s="170">
        <v>45689</v>
      </c>
      <c r="B1390" s="116">
        <v>2175.85</v>
      </c>
      <c r="C1390" s="116">
        <v>2172.5</v>
      </c>
      <c r="D1390" s="116">
        <v>2025.25</v>
      </c>
      <c r="E1390" s="116">
        <v>2025.25</v>
      </c>
      <c r="F1390" s="116">
        <v>2172.5</v>
      </c>
      <c r="G1390">
        <v>6934</v>
      </c>
      <c r="H1390" s="116"/>
      <c r="I1390" s="116"/>
      <c r="L1390" s="170">
        <v>45689</v>
      </c>
      <c r="M1390" s="116">
        <v>2166.65</v>
      </c>
      <c r="N1390" s="116">
        <v>2174.25</v>
      </c>
      <c r="O1390" s="116">
        <v>2058</v>
      </c>
      <c r="P1390" s="116">
        <v>2068</v>
      </c>
      <c r="Q1390" s="116">
        <v>2166.65</v>
      </c>
      <c r="R1390">
        <v>213847</v>
      </c>
    </row>
    <row r="1391" spans="1:18" x14ac:dyDescent="0.25">
      <c r="A1391" s="170">
        <v>45691</v>
      </c>
      <c r="B1391" s="116">
        <v>2210</v>
      </c>
      <c r="C1391" s="116">
        <v>2184</v>
      </c>
      <c r="D1391" s="116">
        <v>2109.65</v>
      </c>
      <c r="E1391" s="116">
        <v>2172.5</v>
      </c>
      <c r="F1391" s="116">
        <v>2184</v>
      </c>
      <c r="G1391">
        <v>14218</v>
      </c>
      <c r="H1391" s="116"/>
      <c r="I1391" s="116"/>
      <c r="L1391" s="170">
        <v>45691</v>
      </c>
      <c r="M1391" s="116">
        <v>2183.15</v>
      </c>
      <c r="N1391" s="116">
        <v>2211.5</v>
      </c>
      <c r="O1391" s="116">
        <v>2111</v>
      </c>
      <c r="P1391" s="116">
        <v>2175</v>
      </c>
      <c r="Q1391" s="116">
        <v>2183.15</v>
      </c>
      <c r="R1391">
        <v>146972</v>
      </c>
    </row>
    <row r="1392" spans="1:18" x14ac:dyDescent="0.25">
      <c r="A1392" s="170">
        <v>45692</v>
      </c>
      <c r="B1392" s="116">
        <v>2197.4499999999998</v>
      </c>
      <c r="C1392" s="116">
        <v>2184.25</v>
      </c>
      <c r="D1392" s="116">
        <v>2146</v>
      </c>
      <c r="E1392" s="116">
        <v>2174.35</v>
      </c>
      <c r="F1392" s="116">
        <v>2184.25</v>
      </c>
      <c r="G1392">
        <v>7542</v>
      </c>
      <c r="H1392" s="116"/>
      <c r="I1392" s="116"/>
      <c r="L1392" s="170">
        <v>45692</v>
      </c>
      <c r="M1392" s="116">
        <v>2187</v>
      </c>
      <c r="N1392" s="116">
        <v>2198.4499999999998</v>
      </c>
      <c r="O1392" s="116">
        <v>2144.25</v>
      </c>
      <c r="P1392" s="116">
        <v>2180</v>
      </c>
      <c r="Q1392" s="116">
        <v>2187</v>
      </c>
      <c r="R1392">
        <v>95795</v>
      </c>
    </row>
    <row r="1393" spans="1:18" x14ac:dyDescent="0.25">
      <c r="A1393" s="170">
        <v>45693</v>
      </c>
      <c r="B1393" s="116">
        <v>2206.4499999999998</v>
      </c>
      <c r="C1393" s="116">
        <v>2196.4499999999998</v>
      </c>
      <c r="D1393" s="116">
        <v>2167.5</v>
      </c>
      <c r="E1393" s="116">
        <v>2190.6999999999998</v>
      </c>
      <c r="F1393" s="116">
        <v>2196.4499999999998</v>
      </c>
      <c r="G1393">
        <v>3822</v>
      </c>
      <c r="H1393" s="116"/>
      <c r="I1393" s="116"/>
      <c r="L1393" s="170">
        <v>45693</v>
      </c>
      <c r="M1393" s="116">
        <v>2196.5500000000002</v>
      </c>
      <c r="N1393" s="116">
        <v>2213.75</v>
      </c>
      <c r="O1393" s="116">
        <v>2163</v>
      </c>
      <c r="P1393" s="116">
        <v>2185</v>
      </c>
      <c r="Q1393" s="116">
        <v>2196.5500000000002</v>
      </c>
      <c r="R1393">
        <v>104244</v>
      </c>
    </row>
    <row r="1394" spans="1:18" x14ac:dyDescent="0.25">
      <c r="A1394" s="170">
        <v>45694</v>
      </c>
      <c r="B1394" s="116">
        <v>2213.1</v>
      </c>
      <c r="C1394" s="116">
        <v>2178.65</v>
      </c>
      <c r="D1394" s="116">
        <v>2162.15</v>
      </c>
      <c r="E1394" s="116">
        <v>2213.1</v>
      </c>
      <c r="F1394" s="116">
        <v>2178.65</v>
      </c>
      <c r="G1394">
        <v>1274</v>
      </c>
      <c r="H1394" s="116"/>
      <c r="I1394" s="116"/>
      <c r="L1394" s="170">
        <v>45694</v>
      </c>
      <c r="M1394" s="116">
        <v>2182.1</v>
      </c>
      <c r="N1394" s="116">
        <v>2210</v>
      </c>
      <c r="O1394" s="116">
        <v>2162.0500000000002</v>
      </c>
      <c r="P1394" s="116">
        <v>2207.4</v>
      </c>
      <c r="Q1394" s="116">
        <v>2182.1</v>
      </c>
      <c r="R1394">
        <v>78848</v>
      </c>
    </row>
    <row r="1395" spans="1:18" x14ac:dyDescent="0.25">
      <c r="A1395" s="170">
        <v>45695</v>
      </c>
      <c r="B1395" s="116">
        <v>2198.9499999999998</v>
      </c>
      <c r="C1395" s="116">
        <v>2174.75</v>
      </c>
      <c r="D1395" s="116">
        <v>2152.5</v>
      </c>
      <c r="E1395" s="116">
        <v>2198.9499999999998</v>
      </c>
      <c r="F1395" s="116">
        <v>2174.75</v>
      </c>
      <c r="G1395">
        <v>2185</v>
      </c>
      <c r="H1395" s="116"/>
      <c r="I1395" s="116"/>
      <c r="L1395" s="170">
        <v>45695</v>
      </c>
      <c r="M1395" s="116">
        <v>2172.65</v>
      </c>
      <c r="N1395" s="116">
        <v>2192</v>
      </c>
      <c r="O1395" s="116">
        <v>2152</v>
      </c>
      <c r="P1395" s="116">
        <v>2191.1</v>
      </c>
      <c r="Q1395" s="116">
        <v>2172.65</v>
      </c>
      <c r="R1395">
        <v>80659</v>
      </c>
    </row>
    <row r="1396" spans="1:18" x14ac:dyDescent="0.25">
      <c r="A1396" s="170">
        <v>45698</v>
      </c>
      <c r="B1396" s="116">
        <v>2202.9</v>
      </c>
      <c r="C1396" s="116">
        <v>2183.6</v>
      </c>
      <c r="D1396" s="116">
        <v>2168</v>
      </c>
      <c r="E1396" s="116">
        <v>2179.1</v>
      </c>
      <c r="F1396" s="116">
        <v>2183.6</v>
      </c>
      <c r="G1396">
        <v>4666</v>
      </c>
      <c r="H1396" s="116"/>
      <c r="I1396" s="116"/>
      <c r="L1396" s="170">
        <v>45698</v>
      </c>
      <c r="M1396" s="116">
        <v>2184.75</v>
      </c>
      <c r="N1396" s="116">
        <v>2207.4</v>
      </c>
      <c r="O1396" s="116">
        <v>2171.9499999999998</v>
      </c>
      <c r="P1396" s="116">
        <v>2172.65</v>
      </c>
      <c r="Q1396" s="116">
        <v>2184.75</v>
      </c>
      <c r="R1396">
        <v>78514</v>
      </c>
    </row>
    <row r="1397" spans="1:18" x14ac:dyDescent="0.25">
      <c r="A1397" s="170">
        <v>45699</v>
      </c>
      <c r="B1397" s="116">
        <v>2188.6999999999998</v>
      </c>
      <c r="C1397" s="116">
        <v>2147.35</v>
      </c>
      <c r="D1397" s="116">
        <v>2125</v>
      </c>
      <c r="E1397" s="116">
        <v>2180.0500000000002</v>
      </c>
      <c r="F1397" s="116">
        <v>2147.35</v>
      </c>
      <c r="G1397">
        <v>1617</v>
      </c>
      <c r="H1397" s="116"/>
      <c r="I1397" s="116"/>
      <c r="L1397" s="170">
        <v>45699</v>
      </c>
      <c r="M1397" s="116">
        <v>2148.9</v>
      </c>
      <c r="N1397" s="116">
        <v>2189.35</v>
      </c>
      <c r="O1397" s="116">
        <v>2124</v>
      </c>
      <c r="P1397" s="116">
        <v>2185.1</v>
      </c>
      <c r="Q1397" s="116">
        <v>2148.9</v>
      </c>
      <c r="R1397">
        <v>108160</v>
      </c>
    </row>
    <row r="1398" spans="1:18" x14ac:dyDescent="0.25">
      <c r="A1398" s="170">
        <v>45700</v>
      </c>
      <c r="B1398" s="116">
        <v>2185.4</v>
      </c>
      <c r="C1398" s="116">
        <v>2175.25</v>
      </c>
      <c r="D1398" s="116">
        <v>2100</v>
      </c>
      <c r="E1398" s="116">
        <v>2147.35</v>
      </c>
      <c r="F1398" s="116">
        <v>2175.25</v>
      </c>
      <c r="G1398">
        <v>2364</v>
      </c>
      <c r="H1398" s="116"/>
      <c r="I1398" s="116"/>
      <c r="L1398" s="170">
        <v>45700</v>
      </c>
      <c r="M1398" s="116">
        <v>2173</v>
      </c>
      <c r="N1398" s="116">
        <v>2187</v>
      </c>
      <c r="O1398" s="116">
        <v>2097.6</v>
      </c>
      <c r="P1398" s="116">
        <v>2137.5</v>
      </c>
      <c r="Q1398" s="116">
        <v>2173</v>
      </c>
      <c r="R1398">
        <v>101762</v>
      </c>
    </row>
    <row r="1399" spans="1:18" x14ac:dyDescent="0.25">
      <c r="A1399" s="170">
        <v>45701</v>
      </c>
      <c r="B1399" s="116">
        <v>2236.9499999999998</v>
      </c>
      <c r="C1399" s="116">
        <v>2195.6</v>
      </c>
      <c r="D1399" s="116">
        <v>2175.25</v>
      </c>
      <c r="E1399" s="116">
        <v>2175.25</v>
      </c>
      <c r="F1399" s="116">
        <v>2195.6</v>
      </c>
      <c r="G1399">
        <v>6125</v>
      </c>
      <c r="H1399" s="116"/>
      <c r="I1399" s="116"/>
      <c r="L1399" s="170">
        <v>45701</v>
      </c>
      <c r="M1399" s="116">
        <v>2199.35</v>
      </c>
      <c r="N1399" s="116">
        <v>2238.6999999999998</v>
      </c>
      <c r="O1399" s="116">
        <v>2173</v>
      </c>
      <c r="P1399" s="116">
        <v>2173</v>
      </c>
      <c r="Q1399" s="116">
        <v>2199.35</v>
      </c>
      <c r="R1399">
        <v>137063</v>
      </c>
    </row>
    <row r="1400" spans="1:18" x14ac:dyDescent="0.25">
      <c r="A1400" s="170">
        <v>45702</v>
      </c>
      <c r="B1400" s="116">
        <v>2205.75</v>
      </c>
      <c r="C1400" s="116">
        <v>2123.9499999999998</v>
      </c>
      <c r="D1400" s="116">
        <v>2098</v>
      </c>
      <c r="E1400" s="116">
        <v>2195.65</v>
      </c>
      <c r="F1400" s="116">
        <v>2123.9499999999998</v>
      </c>
      <c r="G1400">
        <v>9971</v>
      </c>
      <c r="H1400" s="116"/>
      <c r="I1400" s="116"/>
      <c r="L1400" s="170">
        <v>45702</v>
      </c>
      <c r="M1400" s="116">
        <v>2124.6</v>
      </c>
      <c r="N1400" s="116">
        <v>2207.9</v>
      </c>
      <c r="O1400" s="116">
        <v>2097</v>
      </c>
      <c r="P1400" s="116">
        <v>2199.35</v>
      </c>
      <c r="Q1400" s="116">
        <v>2124.6</v>
      </c>
      <c r="R1400">
        <v>133440</v>
      </c>
    </row>
    <row r="1401" spans="1:18" x14ac:dyDescent="0.25">
      <c r="A1401" s="170">
        <v>45705</v>
      </c>
      <c r="B1401" s="116">
        <v>2149.85</v>
      </c>
      <c r="C1401" s="116">
        <v>2104.4499999999998</v>
      </c>
      <c r="D1401" s="116">
        <v>2026.05</v>
      </c>
      <c r="E1401" s="116">
        <v>2026.05</v>
      </c>
      <c r="F1401" s="116">
        <v>2104.4499999999998</v>
      </c>
      <c r="G1401">
        <v>3011</v>
      </c>
      <c r="H1401" s="116"/>
      <c r="I1401" s="116"/>
      <c r="L1401" s="170">
        <v>45705</v>
      </c>
      <c r="M1401" s="116">
        <v>2102.4</v>
      </c>
      <c r="N1401" s="116">
        <v>2153.1999999999998</v>
      </c>
      <c r="O1401" s="116">
        <v>2085</v>
      </c>
      <c r="P1401" s="116">
        <v>2100</v>
      </c>
      <c r="Q1401" s="116">
        <v>2102.4</v>
      </c>
      <c r="R1401">
        <v>121761</v>
      </c>
    </row>
    <row r="1402" spans="1:18" x14ac:dyDescent="0.25">
      <c r="A1402" s="170">
        <v>45706</v>
      </c>
      <c r="B1402" s="116">
        <v>2103</v>
      </c>
      <c r="C1402" s="116">
        <v>2069.15</v>
      </c>
      <c r="D1402" s="116">
        <v>2045</v>
      </c>
      <c r="E1402" s="116">
        <v>2085.5500000000002</v>
      </c>
      <c r="F1402" s="116">
        <v>2069.15</v>
      </c>
      <c r="G1402">
        <v>6650</v>
      </c>
      <c r="H1402" s="116"/>
      <c r="I1402" s="116"/>
      <c r="L1402" s="170">
        <v>45706</v>
      </c>
      <c r="M1402" s="116">
        <v>2068.8000000000002</v>
      </c>
      <c r="N1402" s="116">
        <v>2105.0500000000002</v>
      </c>
      <c r="O1402" s="116">
        <v>2045</v>
      </c>
      <c r="P1402" s="116">
        <v>2091.8000000000002</v>
      </c>
      <c r="Q1402" s="116">
        <v>2068.8000000000002</v>
      </c>
      <c r="R1402">
        <v>108541</v>
      </c>
    </row>
    <row r="1403" spans="1:18" x14ac:dyDescent="0.25">
      <c r="A1403" s="170">
        <v>45707</v>
      </c>
      <c r="B1403" s="116">
        <v>2090.9</v>
      </c>
      <c r="C1403" s="116">
        <v>2063.1</v>
      </c>
      <c r="D1403" s="116">
        <v>2045.4</v>
      </c>
      <c r="E1403" s="116">
        <v>2070</v>
      </c>
      <c r="F1403" s="116">
        <v>2063.1</v>
      </c>
      <c r="G1403">
        <v>5444</v>
      </c>
      <c r="H1403" s="116"/>
      <c r="I1403" s="116"/>
      <c r="L1403" s="170">
        <v>45707</v>
      </c>
      <c r="M1403" s="116">
        <v>2064.15</v>
      </c>
      <c r="N1403" s="116">
        <v>2089.9</v>
      </c>
      <c r="O1403" s="116">
        <v>2048.8000000000002</v>
      </c>
      <c r="P1403" s="116">
        <v>2070</v>
      </c>
      <c r="Q1403" s="116">
        <v>2064.15</v>
      </c>
      <c r="R1403">
        <v>194755</v>
      </c>
    </row>
    <row r="1404" spans="1:18" x14ac:dyDescent="0.25">
      <c r="A1404" s="170">
        <v>45708</v>
      </c>
      <c r="B1404" s="116">
        <v>2082.4499999999998</v>
      </c>
      <c r="C1404" s="116">
        <v>2070.65</v>
      </c>
      <c r="D1404" s="116">
        <v>2047</v>
      </c>
      <c r="E1404" s="116">
        <v>2053.85</v>
      </c>
      <c r="F1404" s="116">
        <v>2070.65</v>
      </c>
      <c r="G1404">
        <v>5156</v>
      </c>
      <c r="H1404" s="116"/>
      <c r="I1404" s="116"/>
      <c r="L1404" s="170">
        <v>45708</v>
      </c>
      <c r="M1404" s="116">
        <v>2070</v>
      </c>
      <c r="N1404" s="116">
        <v>2082.5</v>
      </c>
      <c r="O1404" s="116">
        <v>2045.15</v>
      </c>
      <c r="P1404" s="116">
        <v>2060</v>
      </c>
      <c r="Q1404" s="116">
        <v>2070</v>
      </c>
      <c r="R1404">
        <v>177997</v>
      </c>
    </row>
    <row r="1405" spans="1:18" x14ac:dyDescent="0.25">
      <c r="A1405" s="170">
        <v>45709</v>
      </c>
      <c r="B1405" s="116">
        <v>2077.15</v>
      </c>
      <c r="C1405" s="116">
        <v>2021.9</v>
      </c>
      <c r="D1405" s="116">
        <v>2016.1</v>
      </c>
      <c r="E1405" s="116">
        <v>2077.15</v>
      </c>
      <c r="F1405" s="116">
        <v>2021.9</v>
      </c>
      <c r="G1405">
        <v>8440</v>
      </c>
      <c r="H1405" s="116"/>
      <c r="I1405" s="116"/>
      <c r="L1405" s="170">
        <v>45709</v>
      </c>
      <c r="M1405" s="116">
        <v>2022.7</v>
      </c>
      <c r="N1405" s="116">
        <v>2072.8000000000002</v>
      </c>
      <c r="O1405" s="116">
        <v>2016</v>
      </c>
      <c r="P1405" s="116">
        <v>2071</v>
      </c>
      <c r="Q1405" s="116">
        <v>2022.7</v>
      </c>
      <c r="R1405">
        <v>121746</v>
      </c>
    </row>
    <row r="1406" spans="1:18" x14ac:dyDescent="0.25">
      <c r="A1406" s="170">
        <v>45712</v>
      </c>
      <c r="B1406" s="116">
        <v>2038</v>
      </c>
      <c r="C1406" s="116">
        <v>2004</v>
      </c>
      <c r="D1406" s="116">
        <v>1989.1</v>
      </c>
      <c r="E1406" s="116">
        <v>2000</v>
      </c>
      <c r="F1406" s="116">
        <v>2004</v>
      </c>
      <c r="G1406">
        <v>3339</v>
      </c>
      <c r="H1406" s="116"/>
      <c r="I1406" s="116"/>
      <c r="L1406" s="170">
        <v>45712</v>
      </c>
      <c r="M1406" s="116">
        <v>2002.7</v>
      </c>
      <c r="N1406" s="116">
        <v>2039.6</v>
      </c>
      <c r="O1406" s="116">
        <v>1986.05</v>
      </c>
      <c r="P1406" s="116">
        <v>2000</v>
      </c>
      <c r="Q1406" s="116">
        <v>2002.7</v>
      </c>
      <c r="R1406">
        <v>149780</v>
      </c>
    </row>
    <row r="1407" spans="1:18" x14ac:dyDescent="0.25">
      <c r="A1407" s="170">
        <v>45713</v>
      </c>
      <c r="B1407" s="116">
        <v>2026</v>
      </c>
      <c r="C1407" s="116">
        <v>2000.6</v>
      </c>
      <c r="D1407" s="116">
        <v>1980.5</v>
      </c>
      <c r="E1407" s="116">
        <v>2000</v>
      </c>
      <c r="F1407" s="116">
        <v>2000.6</v>
      </c>
      <c r="G1407">
        <v>19540</v>
      </c>
      <c r="H1407" s="116"/>
      <c r="I1407" s="116"/>
      <c r="L1407" s="170">
        <v>45713</v>
      </c>
      <c r="M1407" s="116">
        <v>2000.4</v>
      </c>
      <c r="N1407" s="116">
        <v>2035.8</v>
      </c>
      <c r="O1407" s="116">
        <v>1980</v>
      </c>
      <c r="P1407" s="116">
        <v>2000</v>
      </c>
      <c r="Q1407" s="116">
        <v>2000.4</v>
      </c>
      <c r="R1407">
        <v>190799</v>
      </c>
    </row>
    <row r="1408" spans="1:18" x14ac:dyDescent="0.25">
      <c r="A1408" s="170">
        <v>45715</v>
      </c>
      <c r="B1408" s="116">
        <v>2008.45</v>
      </c>
      <c r="C1408" s="116">
        <v>1960.25</v>
      </c>
      <c r="D1408" s="116">
        <v>1951.45</v>
      </c>
      <c r="E1408" s="116">
        <v>2003.95</v>
      </c>
      <c r="F1408" s="116">
        <v>1960.25</v>
      </c>
      <c r="G1408">
        <v>7109</v>
      </c>
      <c r="H1408" s="116"/>
      <c r="I1408" s="116"/>
      <c r="L1408" s="170">
        <v>45715</v>
      </c>
      <c r="M1408" s="116">
        <v>1961.15</v>
      </c>
      <c r="N1408" s="116">
        <v>2009.8</v>
      </c>
      <c r="O1408" s="116">
        <v>1910</v>
      </c>
      <c r="P1408" s="116">
        <v>2009.8</v>
      </c>
      <c r="Q1408" s="116">
        <v>1961.15</v>
      </c>
      <c r="R1408">
        <v>458363</v>
      </c>
    </row>
    <row r="1409" spans="1:18" x14ac:dyDescent="0.25">
      <c r="A1409" s="170">
        <v>45716</v>
      </c>
      <c r="B1409" s="116">
        <v>2050.0500000000002</v>
      </c>
      <c r="C1409" s="116">
        <v>1987.55</v>
      </c>
      <c r="D1409" s="116">
        <v>1905.35</v>
      </c>
      <c r="E1409" s="116">
        <v>1959</v>
      </c>
      <c r="F1409" s="116">
        <v>1987.55</v>
      </c>
      <c r="G1409">
        <v>6022</v>
      </c>
      <c r="H1409" s="116"/>
      <c r="I1409" s="116"/>
      <c r="L1409" s="170">
        <v>45716</v>
      </c>
      <c r="M1409" s="116">
        <v>1964.95</v>
      </c>
      <c r="N1409" s="116">
        <v>2050</v>
      </c>
      <c r="O1409" s="116">
        <v>1903.8</v>
      </c>
      <c r="P1409" s="116">
        <v>1951</v>
      </c>
      <c r="Q1409" s="116">
        <v>1964.95</v>
      </c>
      <c r="R1409">
        <v>193285</v>
      </c>
    </row>
    <row r="1410" spans="1:18" x14ac:dyDescent="0.25">
      <c r="A1410" s="170">
        <v>45719</v>
      </c>
      <c r="B1410" s="116">
        <v>1986.65</v>
      </c>
      <c r="C1410" s="116">
        <v>1955.25</v>
      </c>
      <c r="D1410" s="116">
        <v>1949.9</v>
      </c>
      <c r="E1410" s="116">
        <v>1970.05</v>
      </c>
      <c r="F1410" s="116">
        <v>1955.25</v>
      </c>
      <c r="G1410">
        <v>9412</v>
      </c>
      <c r="H1410" s="116"/>
      <c r="I1410" s="116"/>
      <c r="L1410" s="170">
        <v>45719</v>
      </c>
      <c r="M1410" s="116">
        <v>1955.8</v>
      </c>
      <c r="N1410" s="116">
        <v>1997.65</v>
      </c>
      <c r="O1410" s="116">
        <v>1950</v>
      </c>
      <c r="P1410" s="116">
        <v>1973.05</v>
      </c>
      <c r="Q1410" s="116">
        <v>1955.8</v>
      </c>
      <c r="R1410">
        <v>136653</v>
      </c>
    </row>
    <row r="1411" spans="1:18" x14ac:dyDescent="0.25">
      <c r="A1411" s="170">
        <v>45720</v>
      </c>
      <c r="B1411" s="116">
        <v>1973.65</v>
      </c>
      <c r="C1411" s="116">
        <v>1961.15</v>
      </c>
      <c r="D1411" s="116">
        <v>1926</v>
      </c>
      <c r="E1411" s="116">
        <v>1955.25</v>
      </c>
      <c r="F1411" s="116">
        <v>1961.15</v>
      </c>
      <c r="G1411">
        <v>3388</v>
      </c>
      <c r="H1411" s="116"/>
      <c r="I1411" s="116"/>
      <c r="L1411" s="170">
        <v>45720</v>
      </c>
      <c r="M1411" s="116">
        <v>1960.35</v>
      </c>
      <c r="N1411" s="116">
        <v>1975</v>
      </c>
      <c r="O1411" s="116">
        <v>1925.65</v>
      </c>
      <c r="P1411" s="116">
        <v>1949.1</v>
      </c>
      <c r="Q1411" s="116">
        <v>1960.35</v>
      </c>
      <c r="R1411">
        <v>94890</v>
      </c>
    </row>
    <row r="1412" spans="1:18" x14ac:dyDescent="0.25">
      <c r="A1412" s="170">
        <v>45721</v>
      </c>
      <c r="B1412" s="116">
        <v>1995.75</v>
      </c>
      <c r="C1412" s="116">
        <v>1983.25</v>
      </c>
      <c r="D1412" s="116">
        <v>1954</v>
      </c>
      <c r="E1412" s="116">
        <v>1979.95</v>
      </c>
      <c r="F1412" s="116">
        <v>1983.25</v>
      </c>
      <c r="G1412">
        <v>7321</v>
      </c>
      <c r="H1412" s="116"/>
      <c r="I1412" s="116"/>
      <c r="L1412" s="170">
        <v>45721</v>
      </c>
      <c r="M1412" s="116">
        <v>1982.75</v>
      </c>
      <c r="N1412" s="116">
        <v>1994.2</v>
      </c>
      <c r="O1412" s="116">
        <v>1951.6</v>
      </c>
      <c r="P1412" s="116">
        <v>1960.45</v>
      </c>
      <c r="Q1412" s="116">
        <v>1982.75</v>
      </c>
      <c r="R1412">
        <v>187051</v>
      </c>
    </row>
    <row r="1413" spans="1:18" x14ac:dyDescent="0.25">
      <c r="A1413" s="170">
        <v>45722</v>
      </c>
      <c r="B1413" s="116">
        <v>2020</v>
      </c>
      <c r="C1413" s="116">
        <v>2008.45</v>
      </c>
      <c r="D1413" s="116">
        <v>1981.4</v>
      </c>
      <c r="E1413" s="116">
        <v>2000</v>
      </c>
      <c r="F1413" s="116">
        <v>2008.45</v>
      </c>
      <c r="G1413">
        <v>7135</v>
      </c>
      <c r="H1413" s="116"/>
      <c r="I1413" s="116"/>
      <c r="L1413" s="170">
        <v>45722</v>
      </c>
      <c r="M1413" s="116">
        <v>2011.1</v>
      </c>
      <c r="N1413" s="116">
        <v>2020.65</v>
      </c>
      <c r="O1413" s="116">
        <v>1981.6</v>
      </c>
      <c r="P1413" s="116">
        <v>2010.95</v>
      </c>
      <c r="Q1413" s="116">
        <v>2011.1</v>
      </c>
      <c r="R1413">
        <v>115719</v>
      </c>
    </row>
    <row r="1414" spans="1:18" x14ac:dyDescent="0.25">
      <c r="A1414" s="170">
        <v>45723</v>
      </c>
      <c r="B1414" s="116">
        <v>2025</v>
      </c>
      <c r="C1414" s="116">
        <v>2007.15</v>
      </c>
      <c r="D1414" s="116">
        <v>1994.4</v>
      </c>
      <c r="E1414" s="116">
        <v>2008.5</v>
      </c>
      <c r="F1414" s="116">
        <v>2007.15</v>
      </c>
      <c r="G1414">
        <v>3185</v>
      </c>
      <c r="H1414" s="116"/>
      <c r="I1414" s="116"/>
      <c r="L1414" s="170">
        <v>45723</v>
      </c>
      <c r="M1414" s="116">
        <v>2010.7</v>
      </c>
      <c r="N1414" s="116">
        <v>2027.85</v>
      </c>
      <c r="O1414" s="116">
        <v>1990.15</v>
      </c>
      <c r="P1414" s="116">
        <v>2010.9</v>
      </c>
      <c r="Q1414" s="116">
        <v>2010.7</v>
      </c>
      <c r="R1414">
        <v>99528</v>
      </c>
    </row>
    <row r="1415" spans="1:18" x14ac:dyDescent="0.25">
      <c r="A1415" s="170">
        <v>45726</v>
      </c>
      <c r="B1415" s="116">
        <v>2029.1</v>
      </c>
      <c r="C1415" s="116">
        <v>2001.4</v>
      </c>
      <c r="D1415" s="116">
        <v>1977</v>
      </c>
      <c r="E1415" s="116">
        <v>2007.35</v>
      </c>
      <c r="F1415" s="116">
        <v>2001.4</v>
      </c>
      <c r="G1415">
        <v>6173</v>
      </c>
      <c r="H1415" s="116"/>
      <c r="I1415" s="116"/>
      <c r="L1415" s="170">
        <v>45726</v>
      </c>
      <c r="M1415" s="116">
        <v>2008.75</v>
      </c>
      <c r="N1415" s="116">
        <v>2030</v>
      </c>
      <c r="O1415" s="116">
        <v>1977</v>
      </c>
      <c r="P1415" s="116">
        <v>2022.15</v>
      </c>
      <c r="Q1415" s="116">
        <v>2008.75</v>
      </c>
      <c r="R1415">
        <v>143180</v>
      </c>
    </row>
    <row r="1416" spans="1:18" x14ac:dyDescent="0.25">
      <c r="A1416" s="170">
        <v>45727</v>
      </c>
      <c r="B1416" s="116">
        <v>1987.45</v>
      </c>
      <c r="C1416" s="116">
        <v>1942.75</v>
      </c>
      <c r="D1416" s="116">
        <v>1935</v>
      </c>
      <c r="E1416" s="116">
        <v>1987.45</v>
      </c>
      <c r="F1416" s="116">
        <v>1942.75</v>
      </c>
      <c r="G1416">
        <v>3135</v>
      </c>
      <c r="H1416" s="116"/>
      <c r="I1416" s="116"/>
      <c r="L1416" s="170">
        <v>45727</v>
      </c>
      <c r="M1416" s="116">
        <v>1946.05</v>
      </c>
      <c r="N1416" s="116">
        <v>1981.55</v>
      </c>
      <c r="O1416" s="116">
        <v>1934.95</v>
      </c>
      <c r="P1416" s="116">
        <v>1981.55</v>
      </c>
      <c r="Q1416" s="116">
        <v>1946.05</v>
      </c>
      <c r="R1416">
        <v>82002</v>
      </c>
    </row>
    <row r="1417" spans="1:18" x14ac:dyDescent="0.25">
      <c r="A1417" s="170">
        <v>45728</v>
      </c>
      <c r="B1417" s="116">
        <v>1955.95</v>
      </c>
      <c r="C1417" s="116">
        <v>1933.45</v>
      </c>
      <c r="D1417" s="116">
        <v>1920</v>
      </c>
      <c r="E1417" s="116">
        <v>1940.25</v>
      </c>
      <c r="F1417" s="116">
        <v>1933.45</v>
      </c>
      <c r="G1417">
        <v>1890</v>
      </c>
      <c r="H1417" s="116"/>
      <c r="I1417" s="116"/>
      <c r="L1417" s="170">
        <v>45728</v>
      </c>
      <c r="M1417" s="116">
        <v>1934.75</v>
      </c>
      <c r="N1417" s="116">
        <v>1964</v>
      </c>
      <c r="O1417" s="116">
        <v>1915.65</v>
      </c>
      <c r="P1417" s="116">
        <v>1946.45</v>
      </c>
      <c r="Q1417" s="116">
        <v>1934.75</v>
      </c>
      <c r="R1417">
        <v>50178</v>
      </c>
    </row>
    <row r="1418" spans="1:18" x14ac:dyDescent="0.25">
      <c r="A1418" s="170">
        <v>45729</v>
      </c>
      <c r="B1418" s="116">
        <v>1974.95</v>
      </c>
      <c r="C1418" s="116">
        <v>1956.3</v>
      </c>
      <c r="D1418" s="116">
        <v>1916</v>
      </c>
      <c r="E1418" s="116">
        <v>1974.95</v>
      </c>
      <c r="F1418" s="116">
        <v>1956.3</v>
      </c>
      <c r="G1418">
        <v>2191</v>
      </c>
      <c r="H1418" s="116"/>
      <c r="I1418" s="116"/>
      <c r="L1418" s="170">
        <v>45729</v>
      </c>
      <c r="M1418" s="116">
        <v>1955.95</v>
      </c>
      <c r="N1418" s="116">
        <v>1959.85</v>
      </c>
      <c r="O1418" s="116">
        <v>1914.95</v>
      </c>
      <c r="P1418" s="116">
        <v>1958.05</v>
      </c>
      <c r="Q1418" s="116">
        <v>1955.95</v>
      </c>
      <c r="R1418">
        <v>99884</v>
      </c>
    </row>
    <row r="1419" spans="1:18" x14ac:dyDescent="0.25">
      <c r="A1419" s="170">
        <v>45733</v>
      </c>
      <c r="B1419" s="116">
        <v>1982.3</v>
      </c>
      <c r="C1419" s="116">
        <v>1958.45</v>
      </c>
      <c r="D1419" s="116">
        <v>1928.75</v>
      </c>
      <c r="E1419" s="116">
        <v>1964.8</v>
      </c>
      <c r="F1419" s="116">
        <v>1958.45</v>
      </c>
      <c r="G1419">
        <v>8281</v>
      </c>
      <c r="H1419" s="116"/>
      <c r="I1419" s="116"/>
      <c r="L1419" s="170">
        <v>45733</v>
      </c>
      <c r="M1419" s="116">
        <v>1959.1</v>
      </c>
      <c r="N1419" s="116">
        <v>1984.45</v>
      </c>
      <c r="O1419" s="116">
        <v>1930</v>
      </c>
      <c r="P1419" s="116">
        <v>1950.05</v>
      </c>
      <c r="Q1419" s="116">
        <v>1959.1</v>
      </c>
      <c r="R1419">
        <v>136823</v>
      </c>
    </row>
    <row r="1420" spans="1:18" x14ac:dyDescent="0.25">
      <c r="A1420" s="170">
        <v>45734</v>
      </c>
      <c r="B1420" s="116">
        <v>2060</v>
      </c>
      <c r="C1420" s="116">
        <v>2043.4</v>
      </c>
      <c r="D1420" s="116">
        <v>1966.7</v>
      </c>
      <c r="E1420" s="116">
        <v>1970.9</v>
      </c>
      <c r="F1420" s="116">
        <v>2043.4</v>
      </c>
      <c r="G1420">
        <v>3547</v>
      </c>
      <c r="H1420" s="116"/>
      <c r="I1420" s="116"/>
      <c r="L1420" s="170">
        <v>45734</v>
      </c>
      <c r="M1420" s="116">
        <v>2035.6</v>
      </c>
      <c r="N1420" s="116">
        <v>2062.9</v>
      </c>
      <c r="O1420" s="116">
        <v>1956</v>
      </c>
      <c r="P1420" s="116">
        <v>1956</v>
      </c>
      <c r="Q1420" s="116">
        <v>2035.6</v>
      </c>
      <c r="R1420">
        <v>142968</v>
      </c>
    </row>
    <row r="1421" spans="1:18" x14ac:dyDescent="0.25">
      <c r="A1421" s="170">
        <v>45735</v>
      </c>
      <c r="B1421" s="116">
        <v>2095</v>
      </c>
      <c r="C1421" s="116">
        <v>2089.35</v>
      </c>
      <c r="D1421" s="116">
        <v>2048.75</v>
      </c>
      <c r="E1421" s="116">
        <v>2051.0500000000002</v>
      </c>
      <c r="F1421" s="116">
        <v>2089.35</v>
      </c>
      <c r="G1421">
        <v>7482</v>
      </c>
      <c r="H1421" s="116"/>
      <c r="I1421" s="116"/>
      <c r="L1421" s="170">
        <v>45735</v>
      </c>
      <c r="M1421" s="116">
        <v>2089.15</v>
      </c>
      <c r="N1421" s="116">
        <v>2098</v>
      </c>
      <c r="O1421" s="116">
        <v>2046.8</v>
      </c>
      <c r="P1421" s="116">
        <v>2055.15</v>
      </c>
      <c r="Q1421" s="116">
        <v>2089.15</v>
      </c>
      <c r="R1421">
        <v>90492</v>
      </c>
    </row>
    <row r="1422" spans="1:18" x14ac:dyDescent="0.25">
      <c r="A1422" s="170">
        <v>45736</v>
      </c>
      <c r="B1422" s="116">
        <v>2131.4</v>
      </c>
      <c r="C1422" s="116">
        <v>2126.4</v>
      </c>
      <c r="D1422" s="116">
        <v>2084.3000000000002</v>
      </c>
      <c r="E1422" s="116">
        <v>2101.1</v>
      </c>
      <c r="F1422" s="116">
        <v>2126.4</v>
      </c>
      <c r="G1422">
        <v>9409</v>
      </c>
      <c r="H1422" s="116"/>
      <c r="I1422" s="116"/>
      <c r="L1422" s="170">
        <v>45736</v>
      </c>
      <c r="M1422" s="116">
        <v>2127.3000000000002</v>
      </c>
      <c r="N1422" s="116">
        <v>2134</v>
      </c>
      <c r="O1422" s="116">
        <v>2083.9499999999998</v>
      </c>
      <c r="P1422" s="116">
        <v>2111.75</v>
      </c>
      <c r="Q1422" s="116">
        <v>2127.3000000000002</v>
      </c>
      <c r="R1422">
        <v>135375</v>
      </c>
    </row>
    <row r="1423" spans="1:18" x14ac:dyDescent="0.25">
      <c r="A1423" s="170">
        <v>45737</v>
      </c>
      <c r="B1423" s="116">
        <v>2165.15</v>
      </c>
      <c r="C1423" s="116">
        <v>2136.5500000000002</v>
      </c>
      <c r="D1423" s="116">
        <v>2097</v>
      </c>
      <c r="E1423" s="116">
        <v>2142.6</v>
      </c>
      <c r="F1423" s="116">
        <v>2136.5500000000002</v>
      </c>
      <c r="G1423">
        <v>7193</v>
      </c>
      <c r="H1423" s="116"/>
      <c r="I1423" s="116"/>
      <c r="L1423" s="170">
        <v>45737</v>
      </c>
      <c r="M1423" s="116">
        <v>2142.0500000000002</v>
      </c>
      <c r="N1423" s="116">
        <v>2150</v>
      </c>
      <c r="O1423" s="116">
        <v>2094.75</v>
      </c>
      <c r="P1423" s="116">
        <v>2149</v>
      </c>
      <c r="Q1423" s="116">
        <v>2142.0500000000002</v>
      </c>
      <c r="R1423">
        <v>93957</v>
      </c>
    </row>
    <row r="1424" spans="1:18" x14ac:dyDescent="0.25">
      <c r="A1424" s="170">
        <v>45740</v>
      </c>
      <c r="B1424" s="116">
        <v>2151.4</v>
      </c>
      <c r="C1424" s="116">
        <v>2138.6999999999998</v>
      </c>
      <c r="D1424" s="116">
        <v>2122.85</v>
      </c>
      <c r="E1424" s="116">
        <v>2151.4</v>
      </c>
      <c r="F1424" s="116">
        <v>2138.6999999999998</v>
      </c>
      <c r="G1424">
        <v>3035</v>
      </c>
      <c r="H1424" s="116"/>
      <c r="I1424" s="116"/>
      <c r="L1424" s="170">
        <v>45740</v>
      </c>
      <c r="M1424" s="116">
        <v>2138</v>
      </c>
      <c r="N1424" s="116">
        <v>2161.9499999999998</v>
      </c>
      <c r="O1424" s="116">
        <v>2121</v>
      </c>
      <c r="P1424" s="116">
        <v>2145</v>
      </c>
      <c r="Q1424" s="116">
        <v>2138</v>
      </c>
      <c r="R1424">
        <v>96431</v>
      </c>
    </row>
    <row r="1425" spans="1:18" x14ac:dyDescent="0.25">
      <c r="A1425" s="170">
        <v>45741</v>
      </c>
      <c r="B1425" s="116">
        <v>2147.75</v>
      </c>
      <c r="C1425" s="116">
        <v>2096.3000000000002</v>
      </c>
      <c r="D1425" s="116">
        <v>2085.15</v>
      </c>
      <c r="E1425" s="116">
        <v>2105.35</v>
      </c>
      <c r="F1425" s="116">
        <v>2096.3000000000002</v>
      </c>
      <c r="G1425">
        <v>8062</v>
      </c>
      <c r="H1425" s="116"/>
      <c r="I1425" s="116"/>
      <c r="L1425" s="170">
        <v>45741</v>
      </c>
      <c r="M1425" s="116">
        <v>2099.9</v>
      </c>
      <c r="N1425" s="116">
        <v>2160</v>
      </c>
      <c r="O1425" s="116">
        <v>2088.25</v>
      </c>
      <c r="P1425" s="116">
        <v>2160</v>
      </c>
      <c r="Q1425" s="116">
        <v>2099.9</v>
      </c>
      <c r="R1425">
        <v>84911</v>
      </c>
    </row>
    <row r="1426" spans="1:18" x14ac:dyDescent="0.25">
      <c r="A1426" s="170">
        <v>45742</v>
      </c>
      <c r="B1426" s="116">
        <v>2108.6</v>
      </c>
      <c r="C1426" s="116">
        <v>2069.1999999999998</v>
      </c>
      <c r="D1426" s="116">
        <v>2060</v>
      </c>
      <c r="E1426" s="116">
        <v>2097.5</v>
      </c>
      <c r="F1426" s="116">
        <v>2069.1999999999998</v>
      </c>
      <c r="G1426">
        <v>4317</v>
      </c>
      <c r="H1426" s="116"/>
      <c r="I1426" s="116"/>
      <c r="L1426" s="170">
        <v>45742</v>
      </c>
      <c r="M1426" s="116">
        <v>2069.35</v>
      </c>
      <c r="N1426" s="116">
        <v>2110</v>
      </c>
      <c r="O1426" s="116">
        <v>2058</v>
      </c>
      <c r="P1426" s="116">
        <v>2100</v>
      </c>
      <c r="Q1426" s="116">
        <v>2069.35</v>
      </c>
      <c r="R1426">
        <v>48959</v>
      </c>
    </row>
    <row r="1427" spans="1:18" x14ac:dyDescent="0.25">
      <c r="A1427" s="170">
        <v>45743</v>
      </c>
      <c r="B1427" s="116">
        <v>2096.8000000000002</v>
      </c>
      <c r="C1427" s="116">
        <v>2068.6</v>
      </c>
      <c r="D1427" s="116">
        <v>2056.85</v>
      </c>
      <c r="E1427" s="116">
        <v>2061.4</v>
      </c>
      <c r="F1427" s="116">
        <v>2068.6</v>
      </c>
      <c r="G1427">
        <v>2948</v>
      </c>
      <c r="H1427" s="116"/>
      <c r="I1427" s="116"/>
      <c r="L1427" s="170">
        <v>45743</v>
      </c>
      <c r="M1427" s="116">
        <v>2070.0500000000002</v>
      </c>
      <c r="N1427" s="116">
        <v>2095.65</v>
      </c>
      <c r="O1427" s="116">
        <v>2050</v>
      </c>
      <c r="P1427" s="116">
        <v>2050</v>
      </c>
      <c r="Q1427" s="116">
        <v>2070.0500000000002</v>
      </c>
      <c r="R1427">
        <v>150714</v>
      </c>
    </row>
    <row r="1428" spans="1:18" x14ac:dyDescent="0.25">
      <c r="A1428" s="170">
        <v>45744</v>
      </c>
      <c r="B1428" s="116">
        <v>2099.6999999999998</v>
      </c>
      <c r="C1428" s="116">
        <v>2065.4</v>
      </c>
      <c r="D1428" s="116">
        <v>2019.25</v>
      </c>
      <c r="E1428" s="116">
        <v>2067.0500000000002</v>
      </c>
      <c r="F1428" s="116">
        <v>2065.4</v>
      </c>
      <c r="G1428">
        <v>3648</v>
      </c>
      <c r="H1428" s="116"/>
      <c r="I1428" s="116"/>
      <c r="L1428" s="170">
        <v>45744</v>
      </c>
      <c r="M1428" s="116">
        <v>2068.6999999999998</v>
      </c>
      <c r="N1428" s="116">
        <v>2100</v>
      </c>
      <c r="O1428" s="116">
        <v>2017.7</v>
      </c>
      <c r="P1428" s="116">
        <v>2070.9499999999998</v>
      </c>
      <c r="Q1428" s="116">
        <v>2068.6999999999998</v>
      </c>
      <c r="R1428">
        <v>174994</v>
      </c>
    </row>
    <row r="1429" spans="1:18" x14ac:dyDescent="0.25">
      <c r="A1429" s="170">
        <v>45748</v>
      </c>
      <c r="B1429" s="116">
        <v>2097.5500000000002</v>
      </c>
      <c r="C1429" s="116">
        <v>2057.4499999999998</v>
      </c>
      <c r="D1429" s="116">
        <v>2030.85</v>
      </c>
      <c r="E1429" s="116">
        <v>2097.5500000000002</v>
      </c>
      <c r="F1429" s="116">
        <v>2057.4499999999998</v>
      </c>
      <c r="G1429">
        <v>2538</v>
      </c>
      <c r="H1429" s="116"/>
      <c r="I1429" s="116"/>
      <c r="L1429" s="170">
        <v>45748</v>
      </c>
      <c r="M1429" s="116">
        <v>2058.4499999999998</v>
      </c>
      <c r="N1429" s="116">
        <v>2079.9</v>
      </c>
      <c r="O1429" s="116">
        <v>2030.1</v>
      </c>
      <c r="P1429" s="116">
        <v>2065.75</v>
      </c>
      <c r="Q1429" s="116">
        <v>2058.4499999999998</v>
      </c>
      <c r="R1429">
        <v>135408</v>
      </c>
    </row>
    <row r="1430" spans="1:18" x14ac:dyDescent="0.25">
      <c r="A1430" s="170">
        <v>45749</v>
      </c>
      <c r="B1430" s="116">
        <v>2116.6999999999998</v>
      </c>
      <c r="C1430" s="116">
        <v>2106.9</v>
      </c>
      <c r="D1430" s="116">
        <v>2049.65</v>
      </c>
      <c r="E1430" s="116">
        <v>2052.35</v>
      </c>
      <c r="F1430" s="116">
        <v>2106.9</v>
      </c>
      <c r="G1430">
        <v>2227</v>
      </c>
      <c r="H1430" s="116"/>
      <c r="I1430" s="116"/>
      <c r="L1430" s="170">
        <v>45749</v>
      </c>
      <c r="M1430" s="116">
        <v>2106.6999999999998</v>
      </c>
      <c r="N1430" s="116">
        <v>2121</v>
      </c>
      <c r="O1430" s="116">
        <v>2050.1999999999998</v>
      </c>
      <c r="P1430" s="116">
        <v>2058.4499999999998</v>
      </c>
      <c r="Q1430" s="116">
        <v>2106.6999999999998</v>
      </c>
      <c r="R1430">
        <v>61003</v>
      </c>
    </row>
    <row r="1431" spans="1:18" x14ac:dyDescent="0.25">
      <c r="A1431" s="170">
        <v>45750</v>
      </c>
      <c r="B1431" s="116">
        <v>2152.4499999999998</v>
      </c>
      <c r="C1431" s="116">
        <v>2139.1</v>
      </c>
      <c r="D1431" s="116">
        <v>2092.1999999999998</v>
      </c>
      <c r="E1431" s="116">
        <v>2103</v>
      </c>
      <c r="F1431" s="116">
        <v>2139.1</v>
      </c>
      <c r="G1431">
        <v>4499</v>
      </c>
      <c r="H1431" s="116"/>
      <c r="I1431" s="116"/>
      <c r="L1431" s="170">
        <v>45750</v>
      </c>
      <c r="M1431" s="116">
        <v>2140.9499999999998</v>
      </c>
      <c r="N1431" s="116">
        <v>2153.4499999999998</v>
      </c>
      <c r="O1431" s="116">
        <v>2090.5</v>
      </c>
      <c r="P1431" s="116">
        <v>2090.5</v>
      </c>
      <c r="Q1431" s="116">
        <v>2140.9499999999998</v>
      </c>
      <c r="R1431">
        <v>80518</v>
      </c>
    </row>
    <row r="1432" spans="1:18" x14ac:dyDescent="0.25">
      <c r="A1432" s="170">
        <v>45751</v>
      </c>
      <c r="B1432" s="116">
        <v>2124.9499999999998</v>
      </c>
      <c r="C1432" s="116">
        <v>2069.75</v>
      </c>
      <c r="D1432" s="116">
        <v>2035.3</v>
      </c>
      <c r="E1432" s="116">
        <v>2124.9499999999998</v>
      </c>
      <c r="F1432" s="116">
        <v>2069.75</v>
      </c>
      <c r="G1432">
        <v>2507</v>
      </c>
      <c r="H1432" s="116"/>
      <c r="I1432" s="116"/>
      <c r="L1432" s="170">
        <v>45751</v>
      </c>
      <c r="M1432" s="116">
        <v>2069.75</v>
      </c>
      <c r="N1432" s="116">
        <v>2120.4499999999998</v>
      </c>
      <c r="O1432" s="116">
        <v>2035.55</v>
      </c>
      <c r="P1432" s="116">
        <v>2120</v>
      </c>
      <c r="Q1432" s="116">
        <v>2069.75</v>
      </c>
      <c r="R1432">
        <v>113040</v>
      </c>
    </row>
    <row r="1433" spans="1:18" x14ac:dyDescent="0.25">
      <c r="A1433" s="170">
        <v>45754</v>
      </c>
      <c r="B1433" s="116">
        <v>1987.4</v>
      </c>
      <c r="C1433" s="116">
        <v>1928.05</v>
      </c>
      <c r="D1433" s="116">
        <v>1850</v>
      </c>
      <c r="E1433" s="116">
        <v>1850</v>
      </c>
      <c r="F1433" s="116">
        <v>1928.05</v>
      </c>
      <c r="G1433">
        <v>13583</v>
      </c>
      <c r="H1433" s="116"/>
      <c r="I1433" s="116"/>
      <c r="L1433" s="170">
        <v>45754</v>
      </c>
      <c r="M1433" s="116">
        <v>1925.65</v>
      </c>
      <c r="N1433" s="116">
        <v>2020</v>
      </c>
      <c r="O1433" s="116">
        <v>1900.1</v>
      </c>
      <c r="P1433" s="116">
        <v>1903.8</v>
      </c>
      <c r="Q1433" s="116">
        <v>1925.65</v>
      </c>
      <c r="R1433">
        <v>265918</v>
      </c>
    </row>
    <row r="1434" spans="1:18" x14ac:dyDescent="0.25">
      <c r="A1434" s="170">
        <v>45755</v>
      </c>
      <c r="B1434" s="116">
        <v>2015.95</v>
      </c>
      <c r="C1434" s="116">
        <v>1985.35</v>
      </c>
      <c r="D1434" s="116">
        <v>1940</v>
      </c>
      <c r="E1434" s="116">
        <v>1980.6</v>
      </c>
      <c r="F1434" s="116">
        <v>1985.35</v>
      </c>
      <c r="G1434">
        <v>7133</v>
      </c>
      <c r="H1434" s="116"/>
      <c r="I1434" s="116"/>
      <c r="L1434" s="170">
        <v>45755</v>
      </c>
      <c r="M1434" s="116">
        <v>1985.75</v>
      </c>
      <c r="N1434" s="116">
        <v>2018.5</v>
      </c>
      <c r="O1434" s="116">
        <v>1941.05</v>
      </c>
      <c r="P1434" s="116">
        <v>1988</v>
      </c>
      <c r="Q1434" s="116">
        <v>1985.75</v>
      </c>
      <c r="R1434">
        <v>123042</v>
      </c>
    </row>
    <row r="1435" spans="1:18" x14ac:dyDescent="0.25">
      <c r="A1435" s="170">
        <v>45756</v>
      </c>
      <c r="B1435" s="116">
        <v>2000</v>
      </c>
      <c r="C1435" s="116">
        <v>1992.15</v>
      </c>
      <c r="D1435" s="116">
        <v>1957.25</v>
      </c>
      <c r="E1435" s="116">
        <v>1994.85</v>
      </c>
      <c r="F1435" s="116">
        <v>1992.15</v>
      </c>
      <c r="G1435">
        <v>1018</v>
      </c>
      <c r="H1435" s="116"/>
      <c r="I1435" s="116"/>
      <c r="L1435" s="170">
        <v>45756</v>
      </c>
      <c r="M1435" s="116">
        <v>1993.8</v>
      </c>
      <c r="N1435" s="116">
        <v>2002.5</v>
      </c>
      <c r="O1435" s="116">
        <v>1956.8</v>
      </c>
      <c r="P1435" s="116">
        <v>1985.9</v>
      </c>
      <c r="Q1435" s="116">
        <v>1993.8</v>
      </c>
      <c r="R1435">
        <v>61799</v>
      </c>
    </row>
    <row r="1436" spans="1:18" x14ac:dyDescent="0.25">
      <c r="A1436" s="170">
        <v>45758</v>
      </c>
      <c r="B1436" s="116">
        <v>2100.5</v>
      </c>
      <c r="C1436" s="116">
        <v>2092.1999999999998</v>
      </c>
      <c r="D1436" s="116">
        <v>1993.05</v>
      </c>
      <c r="E1436" s="116">
        <v>1993.05</v>
      </c>
      <c r="F1436" s="116">
        <v>2092.1999999999998</v>
      </c>
      <c r="G1436">
        <v>1665</v>
      </c>
      <c r="H1436" s="116"/>
      <c r="I1436" s="116"/>
      <c r="L1436" s="170">
        <v>45758</v>
      </c>
      <c r="M1436" s="116">
        <v>2093.9</v>
      </c>
      <c r="N1436" s="116">
        <v>2105.75</v>
      </c>
      <c r="O1436" s="116">
        <v>2018</v>
      </c>
      <c r="P1436" s="116">
        <v>2064.5</v>
      </c>
      <c r="Q1436" s="116">
        <v>2093.9</v>
      </c>
      <c r="R1436">
        <v>102352</v>
      </c>
    </row>
    <row r="1437" spans="1:18" x14ac:dyDescent="0.25">
      <c r="A1437" s="170">
        <v>45762</v>
      </c>
      <c r="B1437" s="116">
        <v>2168.8000000000002</v>
      </c>
      <c r="C1437" s="116">
        <v>2140.15</v>
      </c>
      <c r="D1437" s="116">
        <v>2111.0500000000002</v>
      </c>
      <c r="E1437" s="116">
        <v>2168.8000000000002</v>
      </c>
      <c r="F1437" s="116">
        <v>2140.15</v>
      </c>
      <c r="G1437">
        <v>1468</v>
      </c>
      <c r="H1437" s="116"/>
      <c r="I1437" s="116"/>
      <c r="L1437" s="170">
        <v>45762</v>
      </c>
      <c r="M1437" s="116">
        <v>2134.9</v>
      </c>
      <c r="N1437" s="116">
        <v>2147.8000000000002</v>
      </c>
      <c r="O1437" s="116">
        <v>2104.1</v>
      </c>
      <c r="P1437" s="116">
        <v>2147.8000000000002</v>
      </c>
      <c r="Q1437" s="116">
        <v>2134.9</v>
      </c>
      <c r="R1437">
        <v>181255</v>
      </c>
    </row>
    <row r="1438" spans="1:18" x14ac:dyDescent="0.25">
      <c r="A1438" s="170">
        <v>45763</v>
      </c>
      <c r="B1438" s="116">
        <v>2212.75</v>
      </c>
      <c r="C1438" s="116">
        <v>2150.5500000000002</v>
      </c>
      <c r="D1438" s="116">
        <v>2091.6</v>
      </c>
      <c r="E1438" s="116">
        <v>2134.85</v>
      </c>
      <c r="F1438" s="116">
        <v>2150.5500000000002</v>
      </c>
      <c r="G1438">
        <v>7933</v>
      </c>
      <c r="H1438" s="116"/>
      <c r="I1438" s="116"/>
      <c r="L1438" s="170">
        <v>45763</v>
      </c>
      <c r="M1438" s="116">
        <v>2148.1999999999998</v>
      </c>
      <c r="N1438" s="116">
        <v>2213.9</v>
      </c>
      <c r="O1438" s="116">
        <v>2088.1</v>
      </c>
      <c r="P1438" s="116">
        <v>2124.1999999999998</v>
      </c>
      <c r="Q1438" s="116">
        <v>2148.1999999999998</v>
      </c>
      <c r="R1438">
        <v>395090</v>
      </c>
    </row>
    <row r="1439" spans="1:18" x14ac:dyDescent="0.25">
      <c r="A1439" s="170">
        <v>45764</v>
      </c>
      <c r="B1439" s="116">
        <v>2199</v>
      </c>
      <c r="C1439" s="116">
        <v>2194.6</v>
      </c>
      <c r="D1439" s="116">
        <v>2121.0500000000002</v>
      </c>
      <c r="E1439" s="116">
        <v>2121.0500000000002</v>
      </c>
      <c r="F1439" s="116">
        <v>2194.6</v>
      </c>
      <c r="G1439">
        <v>5717</v>
      </c>
      <c r="H1439" s="116"/>
      <c r="I1439" s="116"/>
      <c r="L1439" s="170">
        <v>45764</v>
      </c>
      <c r="M1439" s="116">
        <v>2196.6</v>
      </c>
      <c r="N1439" s="116">
        <v>2200</v>
      </c>
      <c r="O1439" s="116">
        <v>2131</v>
      </c>
      <c r="P1439" s="116">
        <v>2131</v>
      </c>
      <c r="Q1439" s="116">
        <v>2196.6</v>
      </c>
      <c r="R1439">
        <v>74194</v>
      </c>
    </row>
    <row r="1440" spans="1:18" x14ac:dyDescent="0.25">
      <c r="A1440" s="170">
        <v>45768</v>
      </c>
      <c r="B1440" s="116">
        <v>2261.8000000000002</v>
      </c>
      <c r="C1440" s="116">
        <v>2256.35</v>
      </c>
      <c r="D1440" s="116">
        <v>2198.25</v>
      </c>
      <c r="E1440" s="116">
        <v>2220</v>
      </c>
      <c r="F1440" s="116">
        <v>2256.35</v>
      </c>
      <c r="G1440">
        <v>3451</v>
      </c>
      <c r="H1440" s="116"/>
      <c r="I1440" s="116"/>
      <c r="L1440" s="170">
        <v>45768</v>
      </c>
      <c r="M1440" s="116">
        <v>2255.3000000000002</v>
      </c>
      <c r="N1440" s="116">
        <v>2265</v>
      </c>
      <c r="O1440" s="116">
        <v>2180.6</v>
      </c>
      <c r="P1440" s="116">
        <v>2180.6</v>
      </c>
      <c r="Q1440" s="116">
        <v>2255.3000000000002</v>
      </c>
      <c r="R1440">
        <v>100198</v>
      </c>
    </row>
    <row r="1441" spans="1:18" x14ac:dyDescent="0.25">
      <c r="A1441" s="170">
        <v>45769</v>
      </c>
      <c r="B1441" s="116">
        <v>2304.3000000000002</v>
      </c>
      <c r="C1441" s="116">
        <v>2276.1999999999998</v>
      </c>
      <c r="D1441" s="116">
        <v>2221.25</v>
      </c>
      <c r="E1441" s="116">
        <v>2258.85</v>
      </c>
      <c r="F1441" s="116">
        <v>2276.1999999999998</v>
      </c>
      <c r="G1441">
        <v>8460</v>
      </c>
      <c r="H1441" s="116"/>
      <c r="I1441" s="116"/>
      <c r="L1441" s="170">
        <v>45769</v>
      </c>
      <c r="M1441" s="116">
        <v>2281</v>
      </c>
      <c r="N1441" s="116">
        <v>2301.9</v>
      </c>
      <c r="O1441" s="116">
        <v>2221.5</v>
      </c>
      <c r="P1441" s="116">
        <v>2255.3000000000002</v>
      </c>
      <c r="Q1441" s="116">
        <v>2281</v>
      </c>
      <c r="R1441">
        <v>88389</v>
      </c>
    </row>
    <row r="1442" spans="1:18" x14ac:dyDescent="0.25">
      <c r="A1442" s="170">
        <v>45770</v>
      </c>
      <c r="B1442" s="116">
        <v>2318.1999999999998</v>
      </c>
      <c r="C1442" s="116">
        <v>2292.75</v>
      </c>
      <c r="D1442" s="116">
        <v>2248.3000000000002</v>
      </c>
      <c r="E1442" s="116">
        <v>2318.1999999999998</v>
      </c>
      <c r="F1442" s="116">
        <v>2292.75</v>
      </c>
      <c r="G1442">
        <v>1788</v>
      </c>
      <c r="H1442" s="116"/>
      <c r="I1442" s="116"/>
      <c r="L1442" s="170">
        <v>45770</v>
      </c>
      <c r="M1442" s="116">
        <v>2290.6</v>
      </c>
      <c r="N1442" s="116">
        <v>2299.8000000000002</v>
      </c>
      <c r="O1442" s="116">
        <v>2245.6999999999998</v>
      </c>
      <c r="P1442" s="116">
        <v>2288</v>
      </c>
      <c r="Q1442" s="116">
        <v>2290.6</v>
      </c>
      <c r="R1442">
        <v>68163</v>
      </c>
    </row>
    <row r="1443" spans="1:18" x14ac:dyDescent="0.25">
      <c r="A1443" s="170">
        <v>45771</v>
      </c>
      <c r="B1443" s="116">
        <v>2336.6</v>
      </c>
      <c r="C1443" s="116">
        <v>2316.9499999999998</v>
      </c>
      <c r="D1443" s="116">
        <v>2233.1</v>
      </c>
      <c r="E1443" s="116">
        <v>2233.1</v>
      </c>
      <c r="F1443" s="116">
        <v>2316.9499999999998</v>
      </c>
      <c r="G1443">
        <v>9076</v>
      </c>
      <c r="H1443" s="116"/>
      <c r="I1443" s="116"/>
      <c r="L1443" s="170">
        <v>45771</v>
      </c>
      <c r="M1443" s="116">
        <v>2315.8000000000002</v>
      </c>
      <c r="N1443" s="116">
        <v>2344</v>
      </c>
      <c r="O1443" s="116">
        <v>2240.1</v>
      </c>
      <c r="P1443" s="116">
        <v>2255.4</v>
      </c>
      <c r="Q1443" s="116">
        <v>2315.8000000000002</v>
      </c>
      <c r="R1443">
        <v>119170</v>
      </c>
    </row>
    <row r="1444" spans="1:18" x14ac:dyDescent="0.25">
      <c r="A1444" s="170">
        <v>45772</v>
      </c>
      <c r="B1444" s="116">
        <v>2322.6999999999998</v>
      </c>
      <c r="C1444" s="116">
        <v>2246.9499999999998</v>
      </c>
      <c r="D1444" s="116">
        <v>2219.65</v>
      </c>
      <c r="E1444" s="116">
        <v>2300.0500000000002</v>
      </c>
      <c r="F1444" s="116">
        <v>2246.9499999999998</v>
      </c>
      <c r="G1444">
        <v>9315</v>
      </c>
      <c r="H1444" s="116"/>
      <c r="I1444" s="116"/>
      <c r="L1444" s="170">
        <v>45772</v>
      </c>
      <c r="M1444" s="116">
        <v>2248.1</v>
      </c>
      <c r="N1444" s="116">
        <v>2324.9</v>
      </c>
      <c r="O1444" s="116">
        <v>2220</v>
      </c>
      <c r="P1444" s="116">
        <v>2307</v>
      </c>
      <c r="Q1444" s="116">
        <v>2248.1</v>
      </c>
      <c r="R1444">
        <v>72236</v>
      </c>
    </row>
    <row r="1445" spans="1:18" x14ac:dyDescent="0.25">
      <c r="A1445" s="170">
        <v>45775</v>
      </c>
      <c r="B1445" s="116">
        <v>2247</v>
      </c>
      <c r="C1445" s="116">
        <v>2235.4</v>
      </c>
      <c r="D1445" s="116">
        <v>2216.0500000000002</v>
      </c>
      <c r="E1445" s="116">
        <v>2245</v>
      </c>
      <c r="F1445" s="116">
        <v>2235.4</v>
      </c>
      <c r="G1445">
        <v>1395</v>
      </c>
      <c r="H1445" s="116"/>
      <c r="I1445" s="116"/>
      <c r="L1445" s="170">
        <v>45775</v>
      </c>
      <c r="M1445" s="116">
        <v>2234.8000000000002</v>
      </c>
      <c r="N1445" s="116">
        <v>2250</v>
      </c>
      <c r="O1445" s="116">
        <v>2216.8000000000002</v>
      </c>
      <c r="P1445" s="116">
        <v>2230.1</v>
      </c>
      <c r="Q1445" s="116">
        <v>2234.8000000000002</v>
      </c>
      <c r="R1445">
        <v>46089</v>
      </c>
    </row>
    <row r="1446" spans="1:18" x14ac:dyDescent="0.25">
      <c r="A1446" s="170">
        <v>45776</v>
      </c>
      <c r="B1446" s="116">
        <v>2367.5500000000002</v>
      </c>
      <c r="C1446" s="116">
        <v>2331.1</v>
      </c>
      <c r="D1446" s="116">
        <v>2241.5500000000002</v>
      </c>
      <c r="E1446" s="116">
        <v>2250</v>
      </c>
      <c r="F1446" s="116">
        <v>2331.1</v>
      </c>
      <c r="G1446">
        <v>11885</v>
      </c>
      <c r="H1446" s="116"/>
      <c r="I1446" s="116"/>
      <c r="L1446" s="170">
        <v>45776</v>
      </c>
      <c r="M1446" s="116">
        <v>2331</v>
      </c>
      <c r="N1446" s="116">
        <v>2372.1999999999998</v>
      </c>
      <c r="O1446" s="116">
        <v>2242.6</v>
      </c>
      <c r="P1446" s="116">
        <v>2248</v>
      </c>
      <c r="Q1446" s="116">
        <v>2331</v>
      </c>
      <c r="R1446">
        <v>200003</v>
      </c>
    </row>
    <row r="1447" spans="1:18" x14ac:dyDescent="0.25">
      <c r="A1447" s="170">
        <v>45777</v>
      </c>
      <c r="B1447" s="116">
        <v>2430</v>
      </c>
      <c r="C1447" s="116">
        <v>2304.35</v>
      </c>
      <c r="D1447" s="116">
        <v>2284.15</v>
      </c>
      <c r="E1447" s="116">
        <v>2396.9499999999998</v>
      </c>
      <c r="F1447" s="116">
        <v>2304.35</v>
      </c>
      <c r="G1447">
        <v>40334</v>
      </c>
      <c r="H1447" s="116"/>
      <c r="I1447" s="116"/>
      <c r="L1447" s="170">
        <v>45777</v>
      </c>
      <c r="M1447" s="116">
        <v>2308.1</v>
      </c>
      <c r="N1447" s="116">
        <v>2435.6999999999998</v>
      </c>
      <c r="O1447" s="116">
        <v>2282.8000000000002</v>
      </c>
      <c r="P1447" s="116">
        <v>2370</v>
      </c>
      <c r="Q1447" s="116">
        <v>2308.1</v>
      </c>
      <c r="R1447">
        <v>765708</v>
      </c>
    </row>
    <row r="1448" spans="1:18" x14ac:dyDescent="0.25">
      <c r="A1448" s="170">
        <v>45779</v>
      </c>
      <c r="B1448" s="116">
        <v>2336.15</v>
      </c>
      <c r="C1448" s="116">
        <v>2256.9</v>
      </c>
      <c r="D1448" s="116">
        <v>2253.3000000000002</v>
      </c>
      <c r="E1448" s="116">
        <v>2305.0500000000002</v>
      </c>
      <c r="F1448" s="116">
        <v>2256.9</v>
      </c>
      <c r="G1448">
        <v>5117</v>
      </c>
      <c r="H1448" s="116"/>
      <c r="I1448" s="116"/>
      <c r="L1448" s="170">
        <v>45779</v>
      </c>
      <c r="M1448" s="116">
        <v>2257.9</v>
      </c>
      <c r="N1448" s="116">
        <v>2343.9</v>
      </c>
      <c r="O1448" s="116">
        <v>2252</v>
      </c>
      <c r="P1448" s="116">
        <v>2308.1</v>
      </c>
      <c r="Q1448" s="116">
        <v>2257.9</v>
      </c>
      <c r="R1448">
        <v>225489</v>
      </c>
    </row>
    <row r="1449" spans="1:18" x14ac:dyDescent="0.25">
      <c r="A1449" s="170">
        <v>45782</v>
      </c>
      <c r="B1449" s="116">
        <v>2304.35</v>
      </c>
      <c r="C1449" s="116">
        <v>2240.3000000000002</v>
      </c>
      <c r="D1449" s="116">
        <v>2231</v>
      </c>
      <c r="E1449" s="116">
        <v>2304.35</v>
      </c>
      <c r="F1449" s="116">
        <v>2240.3000000000002</v>
      </c>
      <c r="G1449">
        <v>2966</v>
      </c>
      <c r="H1449" s="116"/>
      <c r="I1449" s="116"/>
      <c r="L1449" s="170">
        <v>45782</v>
      </c>
      <c r="M1449" s="116">
        <v>2239.8000000000002</v>
      </c>
      <c r="N1449" s="116">
        <v>2291.6999999999998</v>
      </c>
      <c r="O1449" s="116">
        <v>2228</v>
      </c>
      <c r="P1449" s="116">
        <v>2276</v>
      </c>
      <c r="Q1449" s="116">
        <v>2239.8000000000002</v>
      </c>
      <c r="R1449">
        <v>92065</v>
      </c>
    </row>
    <row r="1450" spans="1:18" x14ac:dyDescent="0.25">
      <c r="A1450" s="170">
        <v>45783</v>
      </c>
      <c r="B1450" s="116">
        <v>2239.9</v>
      </c>
      <c r="C1450" s="116">
        <v>2204.35</v>
      </c>
      <c r="D1450" s="116">
        <v>2190.75</v>
      </c>
      <c r="E1450" s="116">
        <v>2239</v>
      </c>
      <c r="F1450" s="116">
        <v>2204.35</v>
      </c>
      <c r="G1450">
        <v>4618</v>
      </c>
      <c r="H1450" s="116"/>
      <c r="I1450" s="116"/>
      <c r="L1450" s="170">
        <v>45783</v>
      </c>
      <c r="M1450" s="116">
        <v>2209.1999999999998</v>
      </c>
      <c r="N1450" s="116">
        <v>2241</v>
      </c>
      <c r="O1450" s="116">
        <v>2195</v>
      </c>
      <c r="P1450" s="116">
        <v>2238</v>
      </c>
      <c r="Q1450" s="116">
        <v>2209.1999999999998</v>
      </c>
      <c r="R1450">
        <v>104766</v>
      </c>
    </row>
    <row r="1451" spans="1:18" x14ac:dyDescent="0.25">
      <c r="A1451" s="170">
        <v>45784</v>
      </c>
      <c r="B1451" s="116">
        <v>2280</v>
      </c>
      <c r="C1451" s="116">
        <v>2272.6</v>
      </c>
      <c r="D1451" s="116">
        <v>2120</v>
      </c>
      <c r="E1451" s="116">
        <v>2203.9</v>
      </c>
      <c r="F1451" s="116">
        <v>2272.6</v>
      </c>
      <c r="G1451">
        <v>3529</v>
      </c>
      <c r="H1451" s="116"/>
      <c r="I1451" s="116"/>
      <c r="L1451" s="170">
        <v>45784</v>
      </c>
      <c r="M1451" s="116">
        <v>2272.3000000000002</v>
      </c>
      <c r="N1451" s="116">
        <v>2280</v>
      </c>
      <c r="O1451" s="116">
        <v>2155.1</v>
      </c>
      <c r="P1451" s="116">
        <v>2160</v>
      </c>
      <c r="Q1451" s="116">
        <v>2272.3000000000002</v>
      </c>
      <c r="R1451">
        <v>111669</v>
      </c>
    </row>
    <row r="1452" spans="1:18" x14ac:dyDescent="0.25">
      <c r="A1452" s="170">
        <v>45785</v>
      </c>
      <c r="B1452" s="116">
        <v>2344.4</v>
      </c>
      <c r="C1452" s="116">
        <v>2290.6999999999998</v>
      </c>
      <c r="D1452" s="116">
        <v>2256.5500000000002</v>
      </c>
      <c r="E1452" s="116">
        <v>2272.6</v>
      </c>
      <c r="F1452" s="116">
        <v>2290.6999999999998</v>
      </c>
      <c r="G1452">
        <v>13265</v>
      </c>
      <c r="H1452" s="116"/>
      <c r="I1452" s="116"/>
      <c r="L1452" s="170">
        <v>45785</v>
      </c>
      <c r="M1452" s="116">
        <v>2293.4</v>
      </c>
      <c r="N1452" s="116">
        <v>2346.1999999999998</v>
      </c>
      <c r="O1452" s="116">
        <v>2257</v>
      </c>
      <c r="P1452" s="116">
        <v>2280</v>
      </c>
      <c r="Q1452" s="116">
        <v>2293.4</v>
      </c>
      <c r="R1452">
        <v>113853</v>
      </c>
    </row>
    <row r="1453" spans="1:18" x14ac:dyDescent="0.25">
      <c r="A1453" s="170">
        <v>45786</v>
      </c>
      <c r="B1453" s="116">
        <v>2260.9499999999998</v>
      </c>
      <c r="C1453" s="116">
        <v>2257.15</v>
      </c>
      <c r="D1453" s="116">
        <v>2201.75</v>
      </c>
      <c r="E1453" s="116">
        <v>2201.75</v>
      </c>
      <c r="F1453" s="116">
        <v>2257.15</v>
      </c>
      <c r="G1453">
        <v>5772</v>
      </c>
      <c r="H1453" s="116"/>
      <c r="I1453" s="116"/>
      <c r="L1453" s="170">
        <v>45786</v>
      </c>
      <c r="M1453" s="116">
        <v>2255.6</v>
      </c>
      <c r="N1453" s="116">
        <v>2261</v>
      </c>
      <c r="O1453" s="116">
        <v>2200</v>
      </c>
      <c r="P1453" s="116">
        <v>2235.3000000000002</v>
      </c>
      <c r="Q1453" s="116">
        <v>2255.6</v>
      </c>
      <c r="R1453">
        <v>81646</v>
      </c>
    </row>
    <row r="1454" spans="1:18" x14ac:dyDescent="0.25">
      <c r="A1454" s="170">
        <v>45789</v>
      </c>
      <c r="B1454" s="116">
        <v>2325</v>
      </c>
      <c r="C1454" s="116">
        <v>2292.25</v>
      </c>
      <c r="D1454" s="116">
        <v>2281.5</v>
      </c>
      <c r="E1454" s="116">
        <v>2302.25</v>
      </c>
      <c r="F1454" s="116">
        <v>2292.25</v>
      </c>
      <c r="G1454">
        <v>4920</v>
      </c>
      <c r="H1454" s="116"/>
      <c r="I1454" s="116"/>
      <c r="L1454" s="170">
        <v>45789</v>
      </c>
      <c r="M1454" s="116">
        <v>2293.1999999999998</v>
      </c>
      <c r="N1454" s="116">
        <v>2338</v>
      </c>
      <c r="O1454" s="116">
        <v>2280</v>
      </c>
      <c r="P1454" s="116">
        <v>2323.9</v>
      </c>
      <c r="Q1454" s="116">
        <v>2293.1999999999998</v>
      </c>
      <c r="R1454">
        <v>50904</v>
      </c>
    </row>
    <row r="1455" spans="1:18" x14ac:dyDescent="0.25">
      <c r="A1455" s="170">
        <v>45790</v>
      </c>
      <c r="B1455" s="116">
        <v>2361</v>
      </c>
      <c r="C1455" s="116">
        <v>2350.4499999999998</v>
      </c>
      <c r="D1455" s="116">
        <v>2262.1</v>
      </c>
      <c r="E1455" s="116">
        <v>2309.9</v>
      </c>
      <c r="F1455" s="116">
        <v>2350.4499999999998</v>
      </c>
      <c r="G1455">
        <v>3518</v>
      </c>
      <c r="H1455" s="116"/>
      <c r="I1455" s="116"/>
      <c r="L1455" s="170">
        <v>45790</v>
      </c>
      <c r="M1455" s="116">
        <v>2350.4</v>
      </c>
      <c r="N1455" s="116">
        <v>2365</v>
      </c>
      <c r="O1455" s="116">
        <v>2263.6</v>
      </c>
      <c r="P1455" s="116">
        <v>2294</v>
      </c>
      <c r="Q1455" s="116">
        <v>2350.4</v>
      </c>
      <c r="R1455">
        <v>121594</v>
      </c>
    </row>
    <row r="1456" spans="1:18" x14ac:dyDescent="0.25">
      <c r="A1456" s="170">
        <v>45791</v>
      </c>
      <c r="B1456" s="116">
        <v>2365</v>
      </c>
      <c r="C1456" s="116">
        <v>2284.65</v>
      </c>
      <c r="D1456" s="116">
        <v>2270</v>
      </c>
      <c r="E1456" s="116">
        <v>2362.1999999999998</v>
      </c>
      <c r="F1456" s="116">
        <v>2284.65</v>
      </c>
      <c r="G1456">
        <v>9683</v>
      </c>
      <c r="H1456" s="116"/>
      <c r="I1456" s="116"/>
      <c r="L1456" s="170">
        <v>45791</v>
      </c>
      <c r="M1456" s="116">
        <v>2283.8000000000002</v>
      </c>
      <c r="N1456" s="116">
        <v>2370</v>
      </c>
      <c r="O1456" s="116">
        <v>2270</v>
      </c>
      <c r="P1456" s="116">
        <v>2370</v>
      </c>
      <c r="Q1456" s="116">
        <v>2283.8000000000002</v>
      </c>
      <c r="R1456">
        <v>161403</v>
      </c>
    </row>
    <row r="1457" spans="1:18" x14ac:dyDescent="0.25">
      <c r="A1457" s="170">
        <v>45792</v>
      </c>
      <c r="B1457" s="116">
        <v>2338</v>
      </c>
      <c r="C1457" s="116">
        <v>2330.1</v>
      </c>
      <c r="D1457" s="116">
        <v>2275</v>
      </c>
      <c r="E1457" s="116">
        <v>2290.5500000000002</v>
      </c>
      <c r="F1457" s="116">
        <v>2330.1</v>
      </c>
      <c r="G1457">
        <v>7834</v>
      </c>
      <c r="H1457" s="116"/>
      <c r="I1457" s="116"/>
      <c r="L1457" s="170">
        <v>45792</v>
      </c>
      <c r="M1457" s="116">
        <v>2330.5</v>
      </c>
      <c r="N1457" s="116">
        <v>2342</v>
      </c>
      <c r="O1457" s="116">
        <v>2271.1999999999998</v>
      </c>
      <c r="P1457" s="116">
        <v>2304</v>
      </c>
      <c r="Q1457" s="116">
        <v>2330.5</v>
      </c>
      <c r="R1457">
        <v>169394</v>
      </c>
    </row>
    <row r="1458" spans="1:18" x14ac:dyDescent="0.25">
      <c r="A1458" s="170">
        <v>45793</v>
      </c>
      <c r="B1458" s="116">
        <v>2367.0500000000002</v>
      </c>
      <c r="C1458" s="116">
        <v>2349.6999999999998</v>
      </c>
      <c r="D1458" s="116">
        <v>2332.0500000000002</v>
      </c>
      <c r="E1458" s="116">
        <v>2336.65</v>
      </c>
      <c r="F1458" s="116">
        <v>2349.6999999999998</v>
      </c>
      <c r="G1458">
        <v>2548</v>
      </c>
      <c r="H1458" s="116"/>
      <c r="I1458" s="116"/>
      <c r="L1458" s="170">
        <v>45793</v>
      </c>
      <c r="M1458" s="116">
        <v>2350.1999999999998</v>
      </c>
      <c r="N1458" s="116">
        <v>2369.6</v>
      </c>
      <c r="O1458" s="116">
        <v>2332.1</v>
      </c>
      <c r="P1458" s="116">
        <v>2357</v>
      </c>
      <c r="Q1458" s="116">
        <v>2350.1999999999998</v>
      </c>
      <c r="R1458">
        <v>117315</v>
      </c>
    </row>
    <row r="1459" spans="1:18" x14ac:dyDescent="0.25">
      <c r="A1459" s="170">
        <v>45796</v>
      </c>
      <c r="B1459" s="116">
        <v>2388</v>
      </c>
      <c r="C1459" s="116">
        <v>2382.9</v>
      </c>
      <c r="D1459" s="116">
        <v>2325.4</v>
      </c>
      <c r="E1459" s="116">
        <v>2350</v>
      </c>
      <c r="F1459" s="116">
        <v>2382.9</v>
      </c>
      <c r="G1459">
        <v>304350</v>
      </c>
      <c r="H1459" s="116"/>
      <c r="I1459" s="116"/>
      <c r="L1459" s="170">
        <v>45796</v>
      </c>
      <c r="M1459" s="116">
        <v>2383.3000000000002</v>
      </c>
      <c r="N1459" s="116">
        <v>2389.8000000000002</v>
      </c>
      <c r="O1459" s="116">
        <v>2314.4</v>
      </c>
      <c r="P1459" s="116">
        <v>2350</v>
      </c>
      <c r="Q1459" s="116">
        <v>2383.3000000000002</v>
      </c>
      <c r="R1459">
        <v>179809</v>
      </c>
    </row>
    <row r="1460" spans="1:18" x14ac:dyDescent="0.25">
      <c r="A1460" s="170">
        <v>45797</v>
      </c>
      <c r="B1460" s="116">
        <v>2399.9</v>
      </c>
      <c r="C1460" s="116">
        <v>2361.5</v>
      </c>
      <c r="D1460" s="116">
        <v>2345</v>
      </c>
      <c r="E1460" s="116">
        <v>2382.5</v>
      </c>
      <c r="F1460" s="116">
        <v>2361.5</v>
      </c>
      <c r="G1460">
        <v>2001</v>
      </c>
      <c r="H1460" s="116"/>
      <c r="I1460" s="116"/>
      <c r="L1460" s="170">
        <v>45797</v>
      </c>
      <c r="M1460" s="116">
        <v>2363.6</v>
      </c>
      <c r="N1460" s="116">
        <v>2404.9</v>
      </c>
      <c r="O1460" s="116">
        <v>2344.5</v>
      </c>
      <c r="P1460" s="116">
        <v>2395</v>
      </c>
      <c r="Q1460" s="116">
        <v>2363.6</v>
      </c>
      <c r="R1460">
        <v>149511</v>
      </c>
    </row>
    <row r="1461" spans="1:18" x14ac:dyDescent="0.25">
      <c r="A1461" s="170">
        <v>45798</v>
      </c>
      <c r="B1461" s="116">
        <v>2398.6</v>
      </c>
      <c r="C1461" s="116">
        <v>2390.1999999999998</v>
      </c>
      <c r="D1461" s="116">
        <v>2369.5</v>
      </c>
      <c r="E1461" s="116">
        <v>2384.9499999999998</v>
      </c>
      <c r="F1461" s="116">
        <v>2390.1999999999998</v>
      </c>
      <c r="G1461">
        <v>1126</v>
      </c>
      <c r="H1461" s="116"/>
      <c r="I1461" s="116"/>
      <c r="L1461" s="170">
        <v>45798</v>
      </c>
      <c r="M1461" s="116">
        <v>2391.8000000000002</v>
      </c>
      <c r="N1461" s="116">
        <v>2399.9</v>
      </c>
      <c r="O1461" s="116">
        <v>2357.3000000000002</v>
      </c>
      <c r="P1461" s="116">
        <v>2363.6</v>
      </c>
      <c r="Q1461" s="116">
        <v>2391.8000000000002</v>
      </c>
      <c r="R1461">
        <v>167160</v>
      </c>
    </row>
    <row r="1462" spans="1:18" x14ac:dyDescent="0.25">
      <c r="A1462" s="170">
        <v>45799</v>
      </c>
      <c r="B1462" s="116">
        <v>2409.5500000000002</v>
      </c>
      <c r="C1462" s="116">
        <v>2390.75</v>
      </c>
      <c r="D1462" s="116">
        <v>2374.85</v>
      </c>
      <c r="E1462" s="116">
        <v>2382.75</v>
      </c>
      <c r="F1462" s="116">
        <v>2390.75</v>
      </c>
      <c r="G1462">
        <v>1699</v>
      </c>
      <c r="H1462" s="116"/>
      <c r="I1462" s="116"/>
      <c r="L1462" s="170">
        <v>45799</v>
      </c>
      <c r="M1462" s="116">
        <v>2392.6999999999998</v>
      </c>
      <c r="N1462" s="116">
        <v>2410</v>
      </c>
      <c r="O1462" s="116">
        <v>2370</v>
      </c>
      <c r="P1462" s="116">
        <v>2390</v>
      </c>
      <c r="Q1462" s="116">
        <v>2392.6999999999998</v>
      </c>
      <c r="R1462">
        <v>83107</v>
      </c>
    </row>
    <row r="1463" spans="1:18" x14ac:dyDescent="0.25">
      <c r="A1463" s="170">
        <v>45800</v>
      </c>
      <c r="B1463" s="116">
        <v>2406.6999999999998</v>
      </c>
      <c r="C1463" s="116">
        <v>2368.9499999999998</v>
      </c>
      <c r="D1463" s="116">
        <v>2354.15</v>
      </c>
      <c r="E1463" s="116">
        <v>2382.8000000000002</v>
      </c>
      <c r="F1463" s="116">
        <v>2368.9499999999998</v>
      </c>
      <c r="G1463">
        <v>1282</v>
      </c>
      <c r="H1463" s="116"/>
      <c r="I1463" s="116"/>
      <c r="L1463" s="170">
        <v>45800</v>
      </c>
      <c r="M1463" s="116">
        <v>2368.1</v>
      </c>
      <c r="N1463" s="116">
        <v>2404.4</v>
      </c>
      <c r="O1463" s="116">
        <v>2351.6999999999998</v>
      </c>
      <c r="P1463" s="116">
        <v>2404.4</v>
      </c>
      <c r="Q1463" s="116">
        <v>2368.1</v>
      </c>
      <c r="R1463">
        <v>70177</v>
      </c>
    </row>
    <row r="1464" spans="1:18" x14ac:dyDescent="0.25">
      <c r="A1464" s="170">
        <v>45803</v>
      </c>
      <c r="B1464" s="116">
        <v>2368.1</v>
      </c>
      <c r="C1464" s="116">
        <v>2332.1999999999998</v>
      </c>
      <c r="D1464" s="116">
        <v>2325</v>
      </c>
      <c r="E1464" s="116">
        <v>2350.6999999999998</v>
      </c>
      <c r="F1464" s="116">
        <v>2332.1999999999998</v>
      </c>
      <c r="G1464">
        <v>4678</v>
      </c>
      <c r="H1464" s="116"/>
      <c r="I1464" s="116"/>
      <c r="L1464" s="170">
        <v>45803</v>
      </c>
      <c r="M1464" s="116">
        <v>2332.1999999999998</v>
      </c>
      <c r="N1464" s="116">
        <v>2374</v>
      </c>
      <c r="O1464" s="116">
        <v>2323.1</v>
      </c>
      <c r="P1464" s="116">
        <v>2370</v>
      </c>
      <c r="Q1464" s="116">
        <v>2332.1999999999998</v>
      </c>
      <c r="R1464">
        <v>149720</v>
      </c>
    </row>
    <row r="1465" spans="1:18" x14ac:dyDescent="0.25">
      <c r="A1465" s="170">
        <v>45804</v>
      </c>
      <c r="B1465" s="116">
        <v>2332.1999999999998</v>
      </c>
      <c r="C1465" s="116">
        <v>2306.4499999999998</v>
      </c>
      <c r="D1465" s="116">
        <v>2296</v>
      </c>
      <c r="E1465" s="116">
        <v>2332.0500000000002</v>
      </c>
      <c r="F1465" s="116">
        <v>2306.4499999999998</v>
      </c>
      <c r="G1465">
        <v>4377</v>
      </c>
      <c r="H1465" s="116"/>
      <c r="I1465" s="116"/>
      <c r="L1465" s="170">
        <v>45804</v>
      </c>
      <c r="M1465" s="116">
        <v>2307.4</v>
      </c>
      <c r="N1465" s="116">
        <v>2339.9</v>
      </c>
      <c r="O1465" s="116">
        <v>2295</v>
      </c>
      <c r="P1465" s="116">
        <v>2339.9</v>
      </c>
      <c r="Q1465" s="116">
        <v>2307.4</v>
      </c>
      <c r="R1465">
        <v>109687</v>
      </c>
    </row>
    <row r="1466" spans="1:18" x14ac:dyDescent="0.25">
      <c r="A1466" s="170">
        <v>45805</v>
      </c>
      <c r="B1466" s="116">
        <v>2343.9</v>
      </c>
      <c r="C1466" s="116">
        <v>2326.8000000000002</v>
      </c>
      <c r="D1466" s="116">
        <v>2297.5500000000002</v>
      </c>
      <c r="E1466" s="116">
        <v>2308.1999999999998</v>
      </c>
      <c r="F1466" s="116">
        <v>2326.8000000000002</v>
      </c>
      <c r="G1466">
        <v>2687</v>
      </c>
      <c r="H1466" s="116"/>
      <c r="I1466" s="116"/>
      <c r="L1466" s="170">
        <v>45805</v>
      </c>
      <c r="M1466" s="116">
        <v>2318.8000000000002</v>
      </c>
      <c r="N1466" s="116">
        <v>2343.9</v>
      </c>
      <c r="O1466" s="116">
        <v>2295.1</v>
      </c>
      <c r="P1466" s="116">
        <v>2328</v>
      </c>
      <c r="Q1466" s="116">
        <v>2318.8000000000002</v>
      </c>
      <c r="R1466">
        <v>188009</v>
      </c>
    </row>
    <row r="1467" spans="1:18" x14ac:dyDescent="0.25">
      <c r="A1467" s="170">
        <v>45806</v>
      </c>
      <c r="B1467" s="116">
        <v>2340</v>
      </c>
      <c r="C1467" s="116">
        <v>2327.9</v>
      </c>
      <c r="D1467" s="116">
        <v>2297.0500000000002</v>
      </c>
      <c r="E1467" s="116">
        <v>2297.0500000000002</v>
      </c>
      <c r="F1467" s="116">
        <v>2327.9</v>
      </c>
      <c r="G1467">
        <v>7650</v>
      </c>
      <c r="H1467" s="116"/>
      <c r="I1467" s="116"/>
      <c r="L1467" s="170">
        <v>45806</v>
      </c>
      <c r="M1467" s="116">
        <v>2326</v>
      </c>
      <c r="N1467" s="116">
        <v>2343.9</v>
      </c>
      <c r="O1467" s="116">
        <v>2300.1</v>
      </c>
      <c r="P1467" s="116">
        <v>2329.9</v>
      </c>
      <c r="Q1467" s="116">
        <v>2326</v>
      </c>
      <c r="R1467">
        <v>106551</v>
      </c>
    </row>
    <row r="1468" spans="1:18" x14ac:dyDescent="0.25">
      <c r="A1468" s="170">
        <v>45807</v>
      </c>
      <c r="B1468" s="116">
        <v>2351</v>
      </c>
      <c r="C1468" s="116">
        <v>2331.75</v>
      </c>
      <c r="D1468" s="116">
        <v>2317.3000000000002</v>
      </c>
      <c r="E1468" s="116">
        <v>2320.6</v>
      </c>
      <c r="F1468" s="116">
        <v>2331.75</v>
      </c>
      <c r="G1468">
        <v>5267</v>
      </c>
      <c r="H1468" s="116"/>
      <c r="I1468" s="116"/>
      <c r="L1468" s="170">
        <v>45807</v>
      </c>
      <c r="M1468" s="116">
        <v>2332.5</v>
      </c>
      <c r="N1468" s="116">
        <v>2353</v>
      </c>
      <c r="O1468" s="116">
        <v>2305</v>
      </c>
      <c r="P1468" s="116">
        <v>2326</v>
      </c>
      <c r="Q1468" s="116">
        <v>2332.5</v>
      </c>
      <c r="R1468">
        <v>86180</v>
      </c>
    </row>
    <row r="1469" spans="1:18" x14ac:dyDescent="0.25">
      <c r="A1469" s="170">
        <v>45810</v>
      </c>
      <c r="B1469" s="116">
        <v>2341.75</v>
      </c>
      <c r="C1469" s="116">
        <v>2325.4499999999998</v>
      </c>
      <c r="D1469" s="116">
        <v>2300</v>
      </c>
      <c r="E1469" s="116">
        <v>2329</v>
      </c>
      <c r="F1469" s="116">
        <v>2325.4499999999998</v>
      </c>
      <c r="G1469">
        <v>1842</v>
      </c>
      <c r="H1469" s="116"/>
      <c r="I1469" s="116"/>
      <c r="L1469" s="170">
        <v>45810</v>
      </c>
      <c r="M1469" s="116">
        <v>2324</v>
      </c>
      <c r="N1469" s="116">
        <v>2345.1999999999998</v>
      </c>
      <c r="O1469" s="116">
        <v>2299.8000000000002</v>
      </c>
      <c r="P1469" s="116">
        <v>2320.1</v>
      </c>
      <c r="Q1469" s="116">
        <v>2324</v>
      </c>
      <c r="R1469">
        <v>124001</v>
      </c>
    </row>
    <row r="1470" spans="1:18" x14ac:dyDescent="0.25">
      <c r="A1470" s="170">
        <v>45811</v>
      </c>
      <c r="B1470" s="116">
        <v>2399.3000000000002</v>
      </c>
      <c r="C1470" s="116">
        <v>2360.65</v>
      </c>
      <c r="D1470" s="116">
        <v>2339</v>
      </c>
      <c r="E1470" s="116">
        <v>2386.9499999999998</v>
      </c>
      <c r="F1470" s="116">
        <v>2360.65</v>
      </c>
      <c r="G1470">
        <v>11358</v>
      </c>
      <c r="H1470" s="116"/>
      <c r="I1470" s="116"/>
      <c r="L1470" s="170">
        <v>45811</v>
      </c>
      <c r="M1470" s="116">
        <v>2361.6999999999998</v>
      </c>
      <c r="N1470" s="116">
        <v>2398.9</v>
      </c>
      <c r="O1470" s="116">
        <v>2336.6</v>
      </c>
      <c r="P1470" s="116">
        <v>2349</v>
      </c>
      <c r="Q1470" s="116">
        <v>2361.6999999999998</v>
      </c>
      <c r="R1470">
        <v>181587</v>
      </c>
    </row>
    <row r="1471" spans="1:18" x14ac:dyDescent="0.25">
      <c r="A1471" s="170">
        <v>45812</v>
      </c>
      <c r="B1471" s="116">
        <v>2396</v>
      </c>
      <c r="C1471" s="116">
        <v>2378.6999999999998</v>
      </c>
      <c r="D1471" s="116">
        <v>2363.9</v>
      </c>
      <c r="E1471" s="116">
        <v>2363.9</v>
      </c>
      <c r="F1471" s="116">
        <v>2378.6999999999998</v>
      </c>
      <c r="G1471">
        <v>2735</v>
      </c>
      <c r="H1471" s="116"/>
      <c r="I1471" s="116"/>
      <c r="L1471" s="170">
        <v>45812</v>
      </c>
      <c r="M1471" s="116">
        <v>2379.9</v>
      </c>
      <c r="N1471" s="116">
        <v>2398</v>
      </c>
      <c r="O1471" s="116">
        <v>2365.1</v>
      </c>
      <c r="P1471" s="116">
        <v>2381.9</v>
      </c>
      <c r="Q1471" s="116">
        <v>2379.9</v>
      </c>
      <c r="R1471">
        <v>75541</v>
      </c>
    </row>
    <row r="1472" spans="1:18" x14ac:dyDescent="0.25">
      <c r="A1472" s="170">
        <v>45813</v>
      </c>
      <c r="B1472" s="116">
        <v>2446.75</v>
      </c>
      <c r="C1472" s="116">
        <v>2435.65</v>
      </c>
      <c r="D1472" s="116">
        <v>2379.15</v>
      </c>
      <c r="E1472" s="116">
        <v>2398.9</v>
      </c>
      <c r="F1472" s="116">
        <v>2435.65</v>
      </c>
      <c r="G1472">
        <v>4050</v>
      </c>
      <c r="H1472" s="116"/>
      <c r="I1472" s="116"/>
      <c r="L1472" s="170">
        <v>45813</v>
      </c>
      <c r="M1472" s="116">
        <v>2437.8000000000002</v>
      </c>
      <c r="N1472" s="116">
        <v>2448</v>
      </c>
      <c r="O1472" s="116">
        <v>2376</v>
      </c>
      <c r="P1472" s="116">
        <v>2390</v>
      </c>
      <c r="Q1472" s="116">
        <v>2437.8000000000002</v>
      </c>
      <c r="R1472">
        <v>150716</v>
      </c>
    </row>
    <row r="1473" spans="1:18" x14ac:dyDescent="0.25">
      <c r="A1473" s="170">
        <v>45814</v>
      </c>
      <c r="B1473" s="116">
        <v>2437.4</v>
      </c>
      <c r="C1473" s="116">
        <v>2428.9499999999998</v>
      </c>
      <c r="D1473" s="116">
        <v>2382</v>
      </c>
      <c r="E1473" s="116">
        <v>2435</v>
      </c>
      <c r="F1473" s="116">
        <v>2428.9499999999998</v>
      </c>
      <c r="G1473">
        <v>3378</v>
      </c>
      <c r="H1473" s="116"/>
      <c r="I1473" s="116"/>
      <c r="L1473" s="170">
        <v>45814</v>
      </c>
      <c r="M1473" s="116">
        <v>2428.1</v>
      </c>
      <c r="N1473" s="116">
        <v>2441</v>
      </c>
      <c r="O1473" s="116">
        <v>2382</v>
      </c>
      <c r="P1473" s="116">
        <v>2404.9</v>
      </c>
      <c r="Q1473" s="116">
        <v>2428.1</v>
      </c>
      <c r="R1473">
        <v>106090</v>
      </c>
    </row>
    <row r="1474" spans="1:18" x14ac:dyDescent="0.25">
      <c r="A1474" s="170">
        <v>45817</v>
      </c>
      <c r="B1474" s="116">
        <v>2478.9</v>
      </c>
      <c r="C1474" s="116">
        <v>2471.65</v>
      </c>
      <c r="D1474" s="116">
        <v>2396.4499999999998</v>
      </c>
      <c r="E1474" s="116">
        <v>2434.9499999999998</v>
      </c>
      <c r="F1474" s="116">
        <v>2471.65</v>
      </c>
      <c r="G1474">
        <v>16914</v>
      </c>
      <c r="H1474" s="116"/>
      <c r="I1474" s="116"/>
      <c r="L1474" s="170">
        <v>45817</v>
      </c>
      <c r="M1474" s="116">
        <v>2472.1</v>
      </c>
      <c r="N1474" s="116">
        <v>2480</v>
      </c>
      <c r="O1474" s="116">
        <v>2397.1</v>
      </c>
      <c r="P1474" s="116">
        <v>2401</v>
      </c>
      <c r="Q1474" s="116">
        <v>2472.1</v>
      </c>
      <c r="R1474">
        <v>144651</v>
      </c>
    </row>
    <row r="1475" spans="1:18" x14ac:dyDescent="0.25">
      <c r="A1475" s="170">
        <v>45818</v>
      </c>
      <c r="B1475" s="116">
        <v>2500</v>
      </c>
      <c r="C1475" s="116">
        <v>2489.0500000000002</v>
      </c>
      <c r="D1475" s="116">
        <v>2446.5500000000002</v>
      </c>
      <c r="E1475" s="116">
        <v>2499.25</v>
      </c>
      <c r="F1475" s="116">
        <v>2489.0500000000002</v>
      </c>
      <c r="G1475">
        <v>6714</v>
      </c>
      <c r="H1475" s="116"/>
      <c r="I1475" s="116"/>
      <c r="L1475" s="170">
        <v>45818</v>
      </c>
      <c r="M1475" s="116">
        <v>2488.6999999999998</v>
      </c>
      <c r="N1475" s="116">
        <v>2502</v>
      </c>
      <c r="O1475" s="116">
        <v>2445</v>
      </c>
      <c r="P1475" s="116">
        <v>2494</v>
      </c>
      <c r="Q1475" s="116">
        <v>2488.6999999999998</v>
      </c>
      <c r="R1475">
        <v>155134</v>
      </c>
    </row>
    <row r="1476" spans="1:18" x14ac:dyDescent="0.25">
      <c r="A1476" s="170">
        <v>45819</v>
      </c>
      <c r="B1476" s="116">
        <v>2529.5</v>
      </c>
      <c r="C1476" s="116">
        <v>2503.85</v>
      </c>
      <c r="D1476" s="116">
        <v>2448.0500000000002</v>
      </c>
      <c r="E1476" s="116">
        <v>2474.9499999999998</v>
      </c>
      <c r="F1476" s="116">
        <v>2503.85</v>
      </c>
      <c r="G1476">
        <v>14301</v>
      </c>
      <c r="H1476" s="116"/>
      <c r="I1476" s="116"/>
      <c r="L1476" s="170">
        <v>45819</v>
      </c>
      <c r="M1476" s="116">
        <v>2498.1</v>
      </c>
      <c r="N1476" s="116">
        <v>2530.5</v>
      </c>
      <c r="O1476" s="116">
        <v>2450</v>
      </c>
      <c r="P1476" s="116">
        <v>2488</v>
      </c>
      <c r="Q1476" s="116">
        <v>2498.1</v>
      </c>
      <c r="R1476">
        <v>236106</v>
      </c>
    </row>
    <row r="1477" spans="1:18" x14ac:dyDescent="0.25">
      <c r="A1477" s="170">
        <v>45820</v>
      </c>
      <c r="B1477" s="116">
        <v>2514.1999999999998</v>
      </c>
      <c r="C1477" s="116">
        <v>2495.9499999999998</v>
      </c>
      <c r="D1477" s="116">
        <v>2476.85</v>
      </c>
      <c r="E1477" s="116">
        <v>2514.1999999999998</v>
      </c>
      <c r="F1477" s="116">
        <v>2495.9499999999998</v>
      </c>
      <c r="G1477">
        <v>8816</v>
      </c>
      <c r="H1477" s="116"/>
      <c r="I1477" s="116"/>
      <c r="L1477" s="170">
        <v>45820</v>
      </c>
      <c r="M1477" s="116">
        <v>2493.8000000000002</v>
      </c>
      <c r="N1477" s="116">
        <v>2514</v>
      </c>
      <c r="O1477" s="116">
        <v>2470.5</v>
      </c>
      <c r="P1477" s="116">
        <v>2514</v>
      </c>
      <c r="Q1477" s="116">
        <v>2493.8000000000002</v>
      </c>
      <c r="R1477">
        <v>130758</v>
      </c>
    </row>
    <row r="1478" spans="1:18" x14ac:dyDescent="0.25">
      <c r="A1478" s="170">
        <v>45821</v>
      </c>
      <c r="B1478" s="116">
        <v>2475</v>
      </c>
      <c r="C1478" s="116">
        <v>2465.75</v>
      </c>
      <c r="D1478" s="116">
        <v>2413.4499999999998</v>
      </c>
      <c r="E1478" s="116">
        <v>2445.9</v>
      </c>
      <c r="F1478" s="116">
        <v>2465.75</v>
      </c>
      <c r="G1478">
        <v>11601</v>
      </c>
      <c r="H1478" s="116"/>
      <c r="I1478" s="116"/>
      <c r="L1478" s="170">
        <v>45821</v>
      </c>
      <c r="M1478" s="116">
        <v>2468.6999999999998</v>
      </c>
      <c r="N1478" s="116">
        <v>2478.6</v>
      </c>
      <c r="O1478" s="116">
        <v>2360</v>
      </c>
      <c r="P1478" s="116">
        <v>2421</v>
      </c>
      <c r="Q1478" s="116">
        <v>2468.6999999999998</v>
      </c>
      <c r="R1478">
        <v>105885</v>
      </c>
    </row>
    <row r="1479" spans="1:18" x14ac:dyDescent="0.25">
      <c r="A1479" s="170">
        <v>45824</v>
      </c>
      <c r="B1479" s="116">
        <v>2495</v>
      </c>
      <c r="C1479" s="116">
        <v>2489.9499999999998</v>
      </c>
      <c r="D1479" s="116">
        <v>2424.65</v>
      </c>
      <c r="E1479" s="116">
        <v>2451</v>
      </c>
      <c r="F1479" s="116">
        <v>2489.9499999999998</v>
      </c>
      <c r="G1479">
        <v>3797</v>
      </c>
      <c r="H1479" s="116"/>
      <c r="I1479" s="116"/>
      <c r="L1479" s="170">
        <v>45824</v>
      </c>
      <c r="M1479" s="116">
        <v>2490.5</v>
      </c>
      <c r="N1479" s="116">
        <v>2499</v>
      </c>
      <c r="O1479" s="116">
        <v>2428.6</v>
      </c>
      <c r="P1479" s="116">
        <v>2450</v>
      </c>
      <c r="Q1479" s="116">
        <v>2490.5</v>
      </c>
      <c r="R1479">
        <v>63487</v>
      </c>
    </row>
    <row r="1480" spans="1:18" x14ac:dyDescent="0.25">
      <c r="A1480" s="170">
        <v>45825</v>
      </c>
      <c r="B1480" s="116">
        <v>2511.9499999999998</v>
      </c>
      <c r="C1480" s="116">
        <v>2479.35</v>
      </c>
      <c r="D1480" s="116">
        <v>2451.15</v>
      </c>
      <c r="E1480" s="116">
        <v>2451.15</v>
      </c>
      <c r="F1480" s="116">
        <v>2479.35</v>
      </c>
      <c r="G1480">
        <v>2716</v>
      </c>
      <c r="H1480" s="116"/>
      <c r="I1480" s="116"/>
      <c r="L1480" s="170">
        <v>45825</v>
      </c>
      <c r="M1480" s="116">
        <v>2480.8000000000002</v>
      </c>
      <c r="N1480" s="116">
        <v>2513.6</v>
      </c>
      <c r="O1480" s="116">
        <v>2458.1</v>
      </c>
      <c r="P1480" s="116">
        <v>2496</v>
      </c>
      <c r="Q1480" s="116">
        <v>2480.8000000000002</v>
      </c>
      <c r="R1480">
        <v>60655</v>
      </c>
    </row>
    <row r="1481" spans="1:18" x14ac:dyDescent="0.25">
      <c r="A1481" s="170">
        <v>45826</v>
      </c>
      <c r="B1481" s="116">
        <v>2490.5</v>
      </c>
      <c r="C1481" s="116">
        <v>2469</v>
      </c>
      <c r="D1481" s="116">
        <v>2461.15</v>
      </c>
      <c r="E1481" s="116">
        <v>2473.75</v>
      </c>
      <c r="F1481" s="116">
        <v>2469</v>
      </c>
      <c r="G1481">
        <v>1920</v>
      </c>
      <c r="H1481" s="116"/>
      <c r="I1481" s="116"/>
      <c r="L1481" s="170">
        <v>45826</v>
      </c>
      <c r="M1481" s="116">
        <v>2471.6</v>
      </c>
      <c r="N1481" s="116">
        <v>2494</v>
      </c>
      <c r="O1481" s="116">
        <v>2461</v>
      </c>
      <c r="P1481" s="116">
        <v>2480.8000000000002</v>
      </c>
      <c r="Q1481" s="116">
        <v>2471.6</v>
      </c>
      <c r="R1481">
        <v>62136</v>
      </c>
    </row>
    <row r="1482" spans="1:18" x14ac:dyDescent="0.25">
      <c r="A1482" s="170">
        <v>45827</v>
      </c>
      <c r="B1482" s="116">
        <v>2469.85</v>
      </c>
      <c r="C1482" s="116">
        <v>2442.3000000000002</v>
      </c>
      <c r="D1482" s="116">
        <v>2423.3000000000002</v>
      </c>
      <c r="E1482" s="116">
        <v>2469</v>
      </c>
      <c r="F1482" s="116">
        <v>2442.3000000000002</v>
      </c>
      <c r="G1482">
        <v>4781</v>
      </c>
      <c r="H1482" s="116"/>
      <c r="I1482" s="116"/>
      <c r="L1482" s="170">
        <v>45827</v>
      </c>
      <c r="M1482" s="116">
        <v>2441.9</v>
      </c>
      <c r="N1482" s="116">
        <v>2470.1999999999998</v>
      </c>
      <c r="O1482" s="116">
        <v>2419.1</v>
      </c>
      <c r="P1482" s="116">
        <v>2461</v>
      </c>
      <c r="Q1482" s="116">
        <v>2441.9</v>
      </c>
      <c r="R1482">
        <v>50827</v>
      </c>
    </row>
    <row r="1483" spans="1:18" x14ac:dyDescent="0.25">
      <c r="A1483" s="170">
        <v>45828</v>
      </c>
      <c r="B1483" s="116">
        <v>2498</v>
      </c>
      <c r="C1483" s="116">
        <v>2488.1</v>
      </c>
      <c r="D1483" s="116">
        <v>2450</v>
      </c>
      <c r="E1483" s="116">
        <v>2450</v>
      </c>
      <c r="F1483" s="116">
        <v>2488.1</v>
      </c>
      <c r="G1483">
        <v>5376</v>
      </c>
      <c r="H1483" s="116"/>
      <c r="I1483" s="116"/>
      <c r="L1483" s="170">
        <v>45828</v>
      </c>
      <c r="M1483" s="116">
        <v>2490.4</v>
      </c>
      <c r="N1483" s="116">
        <v>2498.9</v>
      </c>
      <c r="O1483" s="116">
        <v>2444.6999999999998</v>
      </c>
      <c r="P1483" s="116">
        <v>2445</v>
      </c>
      <c r="Q1483" s="116">
        <v>2490.4</v>
      </c>
      <c r="R1483">
        <v>131941</v>
      </c>
    </row>
    <row r="1484" spans="1:18" x14ac:dyDescent="0.25">
      <c r="A1484" s="170">
        <v>45831</v>
      </c>
      <c r="B1484" s="116">
        <v>2530.9499999999998</v>
      </c>
      <c r="C1484" s="116">
        <v>2509.35</v>
      </c>
      <c r="D1484" s="116">
        <v>2462.5</v>
      </c>
      <c r="E1484" s="116">
        <v>2477.1</v>
      </c>
      <c r="F1484" s="116">
        <v>2509.35</v>
      </c>
      <c r="G1484">
        <v>2892</v>
      </c>
      <c r="H1484" s="116"/>
      <c r="I1484" s="116"/>
      <c r="L1484" s="170">
        <v>45831</v>
      </c>
      <c r="M1484" s="116">
        <v>2511.1999999999998</v>
      </c>
      <c r="N1484" s="116">
        <v>2537.9</v>
      </c>
      <c r="O1484" s="116">
        <v>2460.1</v>
      </c>
      <c r="P1484" s="116">
        <v>2472.5</v>
      </c>
      <c r="Q1484" s="116">
        <v>2511.1999999999998</v>
      </c>
      <c r="R1484">
        <v>86549</v>
      </c>
    </row>
    <row r="1485" spans="1:18" x14ac:dyDescent="0.25">
      <c r="A1485" s="170">
        <v>45832</v>
      </c>
      <c r="B1485" s="116">
        <v>2557.9499999999998</v>
      </c>
      <c r="C1485" s="116">
        <v>2494.0500000000002</v>
      </c>
      <c r="D1485" s="116">
        <v>2483.8000000000002</v>
      </c>
      <c r="E1485" s="116">
        <v>2515</v>
      </c>
      <c r="F1485" s="116">
        <v>2494.0500000000002</v>
      </c>
      <c r="G1485">
        <v>2484</v>
      </c>
      <c r="H1485" s="116"/>
      <c r="I1485" s="116"/>
      <c r="L1485" s="170">
        <v>45832</v>
      </c>
      <c r="M1485" s="116">
        <v>2494.9</v>
      </c>
      <c r="N1485" s="116">
        <v>2557.5</v>
      </c>
      <c r="O1485" s="116">
        <v>2478.5</v>
      </c>
      <c r="P1485" s="116">
        <v>2535</v>
      </c>
      <c r="Q1485" s="116">
        <v>2494.9</v>
      </c>
      <c r="R1485">
        <v>93218</v>
      </c>
    </row>
    <row r="1486" spans="1:18" x14ac:dyDescent="0.25">
      <c r="A1486" s="170">
        <v>45833</v>
      </c>
      <c r="B1486" s="116">
        <v>2674.1</v>
      </c>
      <c r="C1486" s="116">
        <v>2661.2</v>
      </c>
      <c r="D1486" s="116">
        <v>2590.9</v>
      </c>
      <c r="E1486" s="116">
        <v>2591.0500000000002</v>
      </c>
      <c r="F1486" s="116">
        <v>2661.2</v>
      </c>
      <c r="G1486">
        <v>68281</v>
      </c>
      <c r="H1486" s="116"/>
      <c r="I1486" s="116"/>
      <c r="L1486" s="170">
        <v>45833</v>
      </c>
      <c r="M1486" s="116">
        <v>2660.6</v>
      </c>
      <c r="N1486" s="116">
        <v>2675</v>
      </c>
      <c r="O1486" s="116">
        <v>2580</v>
      </c>
      <c r="P1486" s="116">
        <v>2601.9</v>
      </c>
      <c r="Q1486" s="116">
        <v>2660.6</v>
      </c>
      <c r="R1486">
        <v>1198177</v>
      </c>
    </row>
    <row r="1487" spans="1:18" x14ac:dyDescent="0.25">
      <c r="A1487" s="170">
        <v>45834</v>
      </c>
      <c r="B1487" s="116">
        <v>2721.2</v>
      </c>
      <c r="C1487" s="116">
        <v>2637.45</v>
      </c>
      <c r="D1487" s="116">
        <v>2630</v>
      </c>
      <c r="E1487" s="116">
        <v>2665.2</v>
      </c>
      <c r="F1487" s="116">
        <v>2637.45</v>
      </c>
      <c r="G1487">
        <v>20387</v>
      </c>
      <c r="H1487" s="116"/>
      <c r="I1487" s="116"/>
      <c r="L1487" s="170">
        <v>45834</v>
      </c>
      <c r="M1487" s="116">
        <v>2637.3</v>
      </c>
      <c r="N1487" s="116">
        <v>2729.9</v>
      </c>
      <c r="O1487" s="116">
        <v>2623</v>
      </c>
      <c r="P1487" s="116">
        <v>2670</v>
      </c>
      <c r="Q1487" s="116">
        <v>2637.3</v>
      </c>
      <c r="R1487">
        <v>162957</v>
      </c>
    </row>
    <row r="1488" spans="1:18" x14ac:dyDescent="0.25">
      <c r="A1488" s="170">
        <v>45835</v>
      </c>
      <c r="B1488" s="116">
        <v>2669.95</v>
      </c>
      <c r="C1488" s="116">
        <v>2609.0500000000002</v>
      </c>
      <c r="D1488" s="116">
        <v>2591.85</v>
      </c>
      <c r="E1488" s="116">
        <v>2669.95</v>
      </c>
      <c r="F1488" s="116">
        <v>2609.0500000000002</v>
      </c>
      <c r="G1488">
        <v>10044</v>
      </c>
      <c r="H1488" s="116"/>
      <c r="I1488" s="116"/>
      <c r="L1488" s="170">
        <v>45835</v>
      </c>
      <c r="M1488" s="116">
        <v>2608.3000000000002</v>
      </c>
      <c r="N1488" s="116">
        <v>2664.4</v>
      </c>
      <c r="O1488" s="116">
        <v>2590.5</v>
      </c>
      <c r="P1488" s="116">
        <v>2661.9</v>
      </c>
      <c r="Q1488" s="116">
        <v>2608.3000000000002</v>
      </c>
      <c r="R1488">
        <v>135647</v>
      </c>
    </row>
    <row r="1489" spans="1:18" x14ac:dyDescent="0.25">
      <c r="A1489" s="170">
        <v>45838</v>
      </c>
      <c r="B1489" s="116">
        <v>2618.5500000000002</v>
      </c>
      <c r="C1489" s="116">
        <v>2595.1999999999998</v>
      </c>
      <c r="D1489" s="116">
        <v>2540.5</v>
      </c>
      <c r="E1489" s="116">
        <v>2605.9499999999998</v>
      </c>
      <c r="F1489" s="116">
        <v>2595.1999999999998</v>
      </c>
      <c r="G1489">
        <v>4777</v>
      </c>
      <c r="H1489" s="116"/>
      <c r="I1489" s="116"/>
      <c r="L1489" s="170">
        <v>45838</v>
      </c>
      <c r="M1489" s="116">
        <v>2598</v>
      </c>
      <c r="N1489" s="116">
        <v>2618.8000000000002</v>
      </c>
      <c r="O1489" s="116">
        <v>2539</v>
      </c>
      <c r="P1489" s="116">
        <v>2615.8000000000002</v>
      </c>
      <c r="Q1489" s="116">
        <v>2598</v>
      </c>
      <c r="R1489">
        <v>104825</v>
      </c>
    </row>
    <row r="1490" spans="1:18" x14ac:dyDescent="0.25">
      <c r="A1490" s="170">
        <v>45839</v>
      </c>
      <c r="B1490" s="116">
        <v>2637.05</v>
      </c>
      <c r="C1490" s="116">
        <v>2596.65</v>
      </c>
      <c r="D1490" s="116">
        <v>2580.6</v>
      </c>
      <c r="E1490" s="116">
        <v>2610.5</v>
      </c>
      <c r="F1490" s="116">
        <v>2596.65</v>
      </c>
      <c r="G1490">
        <v>3179</v>
      </c>
      <c r="H1490" s="116"/>
      <c r="I1490" s="116"/>
      <c r="L1490" s="170">
        <v>45839</v>
      </c>
      <c r="M1490" s="116">
        <v>2597.8000000000002</v>
      </c>
      <c r="N1490" s="116">
        <v>2639.8</v>
      </c>
      <c r="O1490" s="116">
        <v>2580.6999999999998</v>
      </c>
      <c r="P1490" s="116">
        <v>2607</v>
      </c>
      <c r="Q1490" s="116">
        <v>2597.8000000000002</v>
      </c>
      <c r="R1490">
        <v>94488</v>
      </c>
    </row>
    <row r="1491" spans="1:18" x14ac:dyDescent="0.25">
      <c r="A1491" s="170">
        <v>45840</v>
      </c>
      <c r="B1491" s="116">
        <v>2606</v>
      </c>
      <c r="C1491" s="116">
        <v>2579.4499999999998</v>
      </c>
      <c r="D1491" s="116">
        <v>2546.9</v>
      </c>
      <c r="E1491" s="116">
        <v>2597.8000000000002</v>
      </c>
      <c r="F1491" s="116">
        <v>2579.4499999999998</v>
      </c>
      <c r="G1491">
        <v>1442</v>
      </c>
      <c r="H1491" s="116"/>
      <c r="I1491" s="116"/>
      <c r="L1491" s="170">
        <v>45840</v>
      </c>
      <c r="M1491" s="116">
        <v>2569.5</v>
      </c>
      <c r="N1491" s="116">
        <v>2609.8000000000002</v>
      </c>
      <c r="O1491" s="116">
        <v>2545.6</v>
      </c>
      <c r="P1491" s="116">
        <v>2601</v>
      </c>
      <c r="Q1491" s="116">
        <v>2569.5</v>
      </c>
      <c r="R1491">
        <v>109048</v>
      </c>
    </row>
    <row r="1492" spans="1:18" x14ac:dyDescent="0.25">
      <c r="A1492" s="170">
        <v>45841</v>
      </c>
      <c r="B1492" s="116">
        <v>2591.9499999999998</v>
      </c>
      <c r="C1492" s="116">
        <v>2574.4</v>
      </c>
      <c r="D1492" s="116">
        <v>2540</v>
      </c>
      <c r="E1492" s="116">
        <v>2579.35</v>
      </c>
      <c r="F1492" s="116">
        <v>2574.4</v>
      </c>
      <c r="G1492">
        <v>4804</v>
      </c>
      <c r="H1492" s="116"/>
      <c r="I1492" s="116"/>
      <c r="L1492" s="170">
        <v>45841</v>
      </c>
      <c r="M1492" s="116">
        <v>2580.1</v>
      </c>
      <c r="N1492" s="116">
        <v>2593.9</v>
      </c>
      <c r="O1492" s="116">
        <v>2540</v>
      </c>
      <c r="P1492" s="116">
        <v>2587.1999999999998</v>
      </c>
      <c r="Q1492" s="116">
        <v>2580.1</v>
      </c>
      <c r="R1492">
        <v>141522</v>
      </c>
    </row>
    <row r="1493" spans="1:18" x14ac:dyDescent="0.25">
      <c r="A1493" s="170">
        <v>45842</v>
      </c>
      <c r="B1493" s="116">
        <v>2593.6999999999998</v>
      </c>
      <c r="C1493" s="116">
        <v>2546.1999999999998</v>
      </c>
      <c r="D1493" s="116">
        <v>2535</v>
      </c>
      <c r="E1493" s="116">
        <v>2565.0500000000002</v>
      </c>
      <c r="F1493" s="116">
        <v>2546.1999999999998</v>
      </c>
      <c r="G1493">
        <v>5451</v>
      </c>
      <c r="H1493" s="116"/>
      <c r="I1493" s="116"/>
      <c r="L1493" s="170">
        <v>45842</v>
      </c>
      <c r="M1493" s="116">
        <v>2546.6999999999998</v>
      </c>
      <c r="N1493" s="116">
        <v>2592.9</v>
      </c>
      <c r="O1493" s="116">
        <v>2530</v>
      </c>
      <c r="P1493" s="116">
        <v>2575</v>
      </c>
      <c r="Q1493" s="116">
        <v>2546.6999999999998</v>
      </c>
      <c r="R1493">
        <v>184456</v>
      </c>
    </row>
    <row r="1494" spans="1:18" x14ac:dyDescent="0.25">
      <c r="A1494" s="170">
        <v>45845</v>
      </c>
      <c r="B1494" s="116">
        <v>2571.35</v>
      </c>
      <c r="C1494" s="116">
        <v>2539.85</v>
      </c>
      <c r="D1494" s="116">
        <v>2526.25</v>
      </c>
      <c r="E1494" s="116">
        <v>2545</v>
      </c>
      <c r="F1494" s="116">
        <v>2539.85</v>
      </c>
      <c r="G1494">
        <v>1946</v>
      </c>
      <c r="H1494" s="116"/>
      <c r="I1494" s="116"/>
      <c r="L1494" s="170">
        <v>45845</v>
      </c>
      <c r="M1494" s="116">
        <v>2538.4</v>
      </c>
      <c r="N1494" s="116">
        <v>2576.1</v>
      </c>
      <c r="O1494" s="116">
        <v>2525.1</v>
      </c>
      <c r="P1494" s="116">
        <v>2546.6999999999998</v>
      </c>
      <c r="Q1494" s="116">
        <v>2538.4</v>
      </c>
      <c r="R1494">
        <v>112040</v>
      </c>
    </row>
    <row r="1495" spans="1:18" x14ac:dyDescent="0.25">
      <c r="A1495" s="170">
        <v>45846</v>
      </c>
      <c r="B1495" s="116">
        <v>2578.6999999999998</v>
      </c>
      <c r="C1495" s="116">
        <v>2553.8000000000002</v>
      </c>
      <c r="D1495" s="116">
        <v>2532.65</v>
      </c>
      <c r="E1495" s="116">
        <v>2550.5500000000002</v>
      </c>
      <c r="F1495" s="116">
        <v>2553.8000000000002</v>
      </c>
      <c r="G1495">
        <v>2521</v>
      </c>
      <c r="H1495" s="116"/>
      <c r="I1495" s="116"/>
      <c r="L1495" s="170">
        <v>45846</v>
      </c>
      <c r="M1495" s="116">
        <v>2553.6</v>
      </c>
      <c r="N1495" s="116">
        <v>2583.6</v>
      </c>
      <c r="O1495" s="116">
        <v>2532.9</v>
      </c>
      <c r="P1495" s="116">
        <v>2539</v>
      </c>
      <c r="Q1495" s="116">
        <v>2553.6</v>
      </c>
      <c r="R1495">
        <v>126752</v>
      </c>
    </row>
    <row r="1496" spans="1:18" x14ac:dyDescent="0.25">
      <c r="A1496" s="170">
        <v>45847</v>
      </c>
      <c r="B1496" s="116">
        <v>2606.6</v>
      </c>
      <c r="C1496" s="116">
        <v>2585.5</v>
      </c>
      <c r="D1496" s="116">
        <v>2553.1999999999998</v>
      </c>
      <c r="E1496" s="116">
        <v>2553.1999999999998</v>
      </c>
      <c r="F1496" s="116">
        <v>2585.5</v>
      </c>
      <c r="G1496">
        <v>5772</v>
      </c>
      <c r="H1496" s="116"/>
      <c r="I1496" s="116"/>
      <c r="L1496" s="170">
        <v>45847</v>
      </c>
      <c r="M1496" s="116">
        <v>2587.6999999999998</v>
      </c>
      <c r="N1496" s="116">
        <v>2606.9</v>
      </c>
      <c r="O1496" s="116">
        <v>2559.6</v>
      </c>
      <c r="P1496" s="116">
        <v>2562.9</v>
      </c>
      <c r="Q1496" s="116">
        <v>2587.6999999999998</v>
      </c>
      <c r="R1496">
        <v>153409</v>
      </c>
    </row>
    <row r="1497" spans="1:18" x14ac:dyDescent="0.25">
      <c r="A1497" s="170">
        <v>45848</v>
      </c>
      <c r="B1497" s="116">
        <v>2637.1</v>
      </c>
      <c r="C1497" s="116">
        <v>2588.25</v>
      </c>
      <c r="D1497" s="116">
        <v>2566.75</v>
      </c>
      <c r="E1497" s="116">
        <v>2629.95</v>
      </c>
      <c r="F1497" s="116">
        <v>2588.25</v>
      </c>
      <c r="G1497">
        <v>2306</v>
      </c>
      <c r="H1497" s="116"/>
      <c r="I1497" s="116"/>
      <c r="L1497" s="170">
        <v>45848</v>
      </c>
      <c r="M1497" s="116">
        <v>2586.1999999999998</v>
      </c>
      <c r="N1497" s="116">
        <v>2606</v>
      </c>
      <c r="O1497" s="116">
        <v>2565.1999999999998</v>
      </c>
      <c r="P1497" s="116">
        <v>2588.5</v>
      </c>
      <c r="Q1497" s="116">
        <v>2586.1999999999998</v>
      </c>
      <c r="R1497">
        <v>278842</v>
      </c>
    </row>
    <row r="1498" spans="1:18" x14ac:dyDescent="0.25">
      <c r="A1498" s="170">
        <v>45849</v>
      </c>
      <c r="B1498" s="116">
        <v>2618.85</v>
      </c>
      <c r="C1498" s="116">
        <v>2602.9</v>
      </c>
      <c r="D1498" s="116">
        <v>2584.0500000000002</v>
      </c>
      <c r="E1498" s="116">
        <v>2588.1999999999998</v>
      </c>
      <c r="F1498" s="116">
        <v>2602.9</v>
      </c>
      <c r="G1498">
        <v>5413</v>
      </c>
      <c r="H1498" s="116"/>
      <c r="I1498" s="116"/>
      <c r="L1498" s="170">
        <v>45849</v>
      </c>
      <c r="M1498" s="116">
        <v>2604.6</v>
      </c>
      <c r="N1498" s="116">
        <v>2620</v>
      </c>
      <c r="O1498" s="116">
        <v>2580</v>
      </c>
      <c r="P1498" s="116">
        <v>2580</v>
      </c>
      <c r="Q1498" s="116">
        <v>2604.6</v>
      </c>
      <c r="R1498">
        <v>163378</v>
      </c>
    </row>
    <row r="1499" spans="1:18" x14ac:dyDescent="0.25">
      <c r="A1499" s="170">
        <v>45852</v>
      </c>
      <c r="B1499" s="116">
        <v>2772</v>
      </c>
      <c r="C1499" s="116">
        <v>2744.7</v>
      </c>
      <c r="D1499" s="116">
        <v>2615</v>
      </c>
      <c r="E1499" s="116">
        <v>2615</v>
      </c>
      <c r="F1499" s="116">
        <v>2744.7</v>
      </c>
      <c r="G1499">
        <v>208475</v>
      </c>
      <c r="H1499" s="116"/>
      <c r="I1499" s="116"/>
      <c r="L1499" s="170">
        <v>45852</v>
      </c>
      <c r="M1499" s="116">
        <v>2741.6</v>
      </c>
      <c r="N1499" s="116">
        <v>2799</v>
      </c>
      <c r="O1499" s="116">
        <v>2606</v>
      </c>
      <c r="P1499" s="116">
        <v>2606.9</v>
      </c>
      <c r="Q1499" s="116">
        <v>2741.6</v>
      </c>
      <c r="R1499">
        <v>931241</v>
      </c>
    </row>
    <row r="1500" spans="1:18" x14ac:dyDescent="0.25">
      <c r="A1500" s="170">
        <v>45853</v>
      </c>
      <c r="B1500" s="116">
        <v>2770.1</v>
      </c>
      <c r="C1500" s="116">
        <v>2713.85</v>
      </c>
      <c r="D1500" s="116">
        <v>2697</v>
      </c>
      <c r="E1500" s="116">
        <v>2731.1</v>
      </c>
      <c r="F1500" s="116">
        <v>2713.85</v>
      </c>
      <c r="G1500">
        <v>6850</v>
      </c>
      <c r="H1500" s="116"/>
      <c r="I1500" s="116"/>
      <c r="L1500" s="170">
        <v>45853</v>
      </c>
      <c r="M1500" s="116">
        <v>2713.2</v>
      </c>
      <c r="N1500" s="116">
        <v>2777.9</v>
      </c>
      <c r="O1500" s="116">
        <v>2695.1</v>
      </c>
      <c r="P1500" s="116">
        <v>2742</v>
      </c>
      <c r="Q1500" s="116">
        <v>2713.2</v>
      </c>
      <c r="R1500">
        <v>101249</v>
      </c>
    </row>
    <row r="1501" spans="1:18" x14ac:dyDescent="0.25">
      <c r="A1501" s="170">
        <v>45854</v>
      </c>
      <c r="B1501" s="116">
        <v>2744.95</v>
      </c>
      <c r="C1501" s="116">
        <v>2659.45</v>
      </c>
      <c r="D1501" s="116">
        <v>2645.15</v>
      </c>
      <c r="E1501" s="116">
        <v>2707.05</v>
      </c>
      <c r="F1501" s="116">
        <v>2659.45</v>
      </c>
      <c r="G1501">
        <v>8246</v>
      </c>
      <c r="H1501" s="116"/>
      <c r="I1501" s="116"/>
      <c r="L1501" s="170">
        <v>45854</v>
      </c>
      <c r="M1501" s="116">
        <v>2658.9</v>
      </c>
      <c r="N1501" s="116">
        <v>2745</v>
      </c>
      <c r="O1501" s="116">
        <v>2646</v>
      </c>
      <c r="P1501" s="116">
        <v>2716</v>
      </c>
      <c r="Q1501" s="116">
        <v>2658.9</v>
      </c>
      <c r="R1501">
        <v>91545</v>
      </c>
    </row>
    <row r="1502" spans="1:18" x14ac:dyDescent="0.25">
      <c r="A1502" s="170">
        <v>45855</v>
      </c>
      <c r="B1502" s="116">
        <v>2699.85</v>
      </c>
      <c r="C1502" s="116">
        <v>2628.5</v>
      </c>
      <c r="D1502" s="116">
        <v>2613</v>
      </c>
      <c r="E1502" s="116">
        <v>2675</v>
      </c>
      <c r="F1502" s="116">
        <v>2628.5</v>
      </c>
      <c r="G1502">
        <v>5902</v>
      </c>
      <c r="H1502" s="116"/>
      <c r="I1502" s="116"/>
      <c r="L1502" s="170">
        <v>45855</v>
      </c>
      <c r="M1502" s="116">
        <v>2626.7</v>
      </c>
      <c r="N1502" s="116">
        <v>2699</v>
      </c>
      <c r="O1502" s="116">
        <v>2611</v>
      </c>
      <c r="P1502" s="116">
        <v>2670</v>
      </c>
      <c r="Q1502" s="116">
        <v>2626.7</v>
      </c>
      <c r="R1502">
        <v>91939</v>
      </c>
    </row>
    <row r="1503" spans="1:18" x14ac:dyDescent="0.25">
      <c r="A1503" s="170">
        <v>45856</v>
      </c>
      <c r="B1503" s="116">
        <v>2677.85</v>
      </c>
      <c r="C1503" s="116">
        <v>2653.4</v>
      </c>
      <c r="D1503" s="116">
        <v>2597.0500000000002</v>
      </c>
      <c r="E1503" s="116">
        <v>2618.65</v>
      </c>
      <c r="F1503" s="116">
        <v>2653.4</v>
      </c>
      <c r="G1503">
        <v>8468</v>
      </c>
      <c r="H1503" s="116"/>
      <c r="I1503" s="116"/>
      <c r="L1503" s="170">
        <v>45856</v>
      </c>
      <c r="M1503" s="116">
        <v>2652.6</v>
      </c>
      <c r="N1503" s="116">
        <v>2686.7</v>
      </c>
      <c r="O1503" s="116">
        <v>2596.6</v>
      </c>
      <c r="P1503" s="116">
        <v>2637</v>
      </c>
      <c r="Q1503" s="116">
        <v>2652.6</v>
      </c>
      <c r="R1503">
        <v>102006</v>
      </c>
    </row>
    <row r="1504" spans="1:18" x14ac:dyDescent="0.25">
      <c r="A1504" s="170">
        <v>45859</v>
      </c>
      <c r="B1504" s="116">
        <v>2680.25</v>
      </c>
      <c r="C1504" s="116">
        <v>2599.8000000000002</v>
      </c>
      <c r="D1504" s="116">
        <v>2549.6999999999998</v>
      </c>
      <c r="E1504" s="116">
        <v>2670.05</v>
      </c>
      <c r="F1504" s="116">
        <v>2599.8000000000002</v>
      </c>
      <c r="G1504">
        <v>16468</v>
      </c>
      <c r="H1504" s="116"/>
      <c r="I1504" s="116"/>
      <c r="L1504" s="170">
        <v>45859</v>
      </c>
      <c r="M1504" s="116">
        <v>2600.1999999999998</v>
      </c>
      <c r="N1504" s="116">
        <v>2679.2</v>
      </c>
      <c r="O1504" s="116">
        <v>2568.1999999999998</v>
      </c>
      <c r="P1504" s="116">
        <v>2670</v>
      </c>
      <c r="Q1504" s="116">
        <v>2600.1999999999998</v>
      </c>
      <c r="R1504">
        <v>220570</v>
      </c>
    </row>
    <row r="1505" spans="1:18" x14ac:dyDescent="0.25">
      <c r="A1505" s="170">
        <v>45860</v>
      </c>
      <c r="B1505" s="116">
        <v>2604.9499999999998</v>
      </c>
      <c r="C1505" s="116">
        <v>2551.9499999999998</v>
      </c>
      <c r="D1505" s="116">
        <v>2536.5500000000002</v>
      </c>
      <c r="E1505" s="116">
        <v>2572.0500000000002</v>
      </c>
      <c r="F1505" s="116">
        <v>2551.9499999999998</v>
      </c>
      <c r="G1505">
        <v>4905</v>
      </c>
      <c r="H1505" s="116"/>
      <c r="I1505" s="116"/>
      <c r="L1505" s="170">
        <v>45860</v>
      </c>
      <c r="M1505" s="116">
        <v>2552</v>
      </c>
      <c r="N1505" s="116">
        <v>2611.5</v>
      </c>
      <c r="O1505" s="116">
        <v>2536.1</v>
      </c>
      <c r="P1505" s="116">
        <v>2604.9</v>
      </c>
      <c r="Q1505" s="116">
        <v>2552</v>
      </c>
      <c r="R1505">
        <v>148343</v>
      </c>
    </row>
    <row r="1506" spans="1:18" x14ac:dyDescent="0.25">
      <c r="A1506" s="170">
        <v>45861</v>
      </c>
      <c r="B1506" s="116">
        <v>2605.0500000000002</v>
      </c>
      <c r="C1506" s="116">
        <v>2581.1</v>
      </c>
      <c r="D1506" s="116">
        <v>2536.5500000000002</v>
      </c>
      <c r="E1506" s="116">
        <v>2555</v>
      </c>
      <c r="F1506" s="116">
        <v>2581.1</v>
      </c>
      <c r="G1506">
        <v>3151</v>
      </c>
      <c r="H1506" s="116"/>
      <c r="I1506" s="116"/>
      <c r="L1506" s="170">
        <v>45861</v>
      </c>
      <c r="M1506" s="116">
        <v>2591</v>
      </c>
      <c r="N1506" s="116">
        <v>2607.6</v>
      </c>
      <c r="O1506" s="116">
        <v>2536</v>
      </c>
      <c r="P1506" s="116">
        <v>2550</v>
      </c>
      <c r="Q1506" s="116">
        <v>2591</v>
      </c>
      <c r="R1506">
        <v>91750</v>
      </c>
    </row>
    <row r="1507" spans="1:18" x14ac:dyDescent="0.25">
      <c r="A1507" s="170">
        <v>45862</v>
      </c>
      <c r="B1507" s="116">
        <v>2634</v>
      </c>
      <c r="C1507" s="116">
        <v>2619.85</v>
      </c>
      <c r="D1507" s="116">
        <v>2596.9499999999998</v>
      </c>
      <c r="E1507" s="116">
        <v>2605</v>
      </c>
      <c r="F1507" s="116">
        <v>2619.85</v>
      </c>
      <c r="G1507">
        <v>5825</v>
      </c>
      <c r="H1507" s="116"/>
      <c r="I1507" s="116"/>
      <c r="L1507" s="170">
        <v>45862</v>
      </c>
      <c r="M1507" s="116">
        <v>2621</v>
      </c>
      <c r="N1507" s="116">
        <v>2634.9</v>
      </c>
      <c r="O1507" s="116">
        <v>2593.5</v>
      </c>
      <c r="P1507" s="116">
        <v>2600</v>
      </c>
      <c r="Q1507" s="116">
        <v>2621</v>
      </c>
      <c r="R1507">
        <v>108154</v>
      </c>
    </row>
    <row r="1508" spans="1:18" x14ac:dyDescent="0.25">
      <c r="A1508" s="170">
        <v>45863</v>
      </c>
      <c r="B1508" s="116">
        <v>2617</v>
      </c>
      <c r="C1508" s="116">
        <v>2560.5</v>
      </c>
      <c r="D1508" s="116">
        <v>2551</v>
      </c>
      <c r="E1508" s="116">
        <v>2617</v>
      </c>
      <c r="F1508" s="116">
        <v>2560.5</v>
      </c>
      <c r="G1508">
        <v>1727</v>
      </c>
      <c r="H1508" s="116"/>
      <c r="I1508" s="116"/>
      <c r="L1508" s="170">
        <v>45863</v>
      </c>
      <c r="M1508" s="116">
        <v>2560.5</v>
      </c>
      <c r="N1508" s="116">
        <v>2635</v>
      </c>
      <c r="O1508" s="116">
        <v>2550</v>
      </c>
      <c r="P1508" s="116">
        <v>2635</v>
      </c>
      <c r="Q1508" s="116">
        <v>2560.5</v>
      </c>
      <c r="R1508">
        <v>46652</v>
      </c>
    </row>
    <row r="1509" spans="1:18" x14ac:dyDescent="0.25">
      <c r="A1509" s="170">
        <v>45866</v>
      </c>
      <c r="B1509" s="116">
        <v>2607.75</v>
      </c>
      <c r="C1509" s="116">
        <v>2554.5</v>
      </c>
      <c r="D1509" s="116">
        <v>2532.0500000000002</v>
      </c>
      <c r="E1509" s="116">
        <v>2532.0500000000002</v>
      </c>
      <c r="F1509" s="116">
        <v>2554.5</v>
      </c>
      <c r="G1509">
        <v>7422</v>
      </c>
      <c r="H1509" s="116"/>
      <c r="I1509" s="116"/>
      <c r="L1509" s="170">
        <v>45866</v>
      </c>
      <c r="M1509" s="116">
        <v>2556.3000000000002</v>
      </c>
      <c r="N1509" s="116">
        <v>2608</v>
      </c>
      <c r="O1509" s="116">
        <v>2542.6</v>
      </c>
      <c r="P1509" s="116">
        <v>2560.5</v>
      </c>
      <c r="Q1509" s="116">
        <v>2556.3000000000002</v>
      </c>
      <c r="R1509">
        <v>130601</v>
      </c>
    </row>
    <row r="1510" spans="1:18" x14ac:dyDescent="0.25">
      <c r="A1510" s="170">
        <v>45867</v>
      </c>
      <c r="B1510" s="116">
        <v>2598.9499999999998</v>
      </c>
      <c r="C1510" s="116">
        <v>2586.35</v>
      </c>
      <c r="D1510" s="116">
        <v>2525.15</v>
      </c>
      <c r="E1510" s="116">
        <v>2598.9499999999998</v>
      </c>
      <c r="F1510" s="116">
        <v>2586.35</v>
      </c>
      <c r="G1510">
        <v>14104</v>
      </c>
      <c r="H1510" s="116"/>
      <c r="I1510" s="116"/>
      <c r="L1510" s="170">
        <v>45867</v>
      </c>
      <c r="M1510" s="116">
        <v>2588.9</v>
      </c>
      <c r="N1510" s="116">
        <v>2598.6999999999998</v>
      </c>
      <c r="O1510" s="116">
        <v>2525</v>
      </c>
      <c r="P1510" s="116">
        <v>2554.1</v>
      </c>
      <c r="Q1510" s="116">
        <v>2588.9</v>
      </c>
      <c r="R1510">
        <v>123459</v>
      </c>
    </row>
    <row r="1511" spans="1:18" x14ac:dyDescent="0.25">
      <c r="A1511" s="170">
        <v>45868</v>
      </c>
      <c r="B1511" s="116">
        <v>2626.9</v>
      </c>
      <c r="C1511" s="116">
        <v>2585.25</v>
      </c>
      <c r="D1511" s="116">
        <v>2578.6999999999998</v>
      </c>
      <c r="E1511" s="116">
        <v>2584.3000000000002</v>
      </c>
      <c r="F1511" s="116">
        <v>2585.25</v>
      </c>
      <c r="G1511">
        <v>3031</v>
      </c>
      <c r="H1511" s="116"/>
      <c r="I1511" s="116"/>
      <c r="L1511" s="170">
        <v>45868</v>
      </c>
      <c r="M1511" s="116">
        <v>2585.1999999999998</v>
      </c>
      <c r="N1511" s="116">
        <v>2629</v>
      </c>
      <c r="O1511" s="116">
        <v>2573.1</v>
      </c>
      <c r="P1511" s="116">
        <v>2588</v>
      </c>
      <c r="Q1511" s="116">
        <v>2585.1999999999998</v>
      </c>
      <c r="R1511">
        <v>45456</v>
      </c>
    </row>
    <row r="1512" spans="1:18" x14ac:dyDescent="0.25">
      <c r="A1512" s="170">
        <v>45869</v>
      </c>
      <c r="B1512" s="116">
        <v>2614.8000000000002</v>
      </c>
      <c r="C1512" s="116">
        <v>2586.9499999999998</v>
      </c>
      <c r="D1512" s="116">
        <v>2540.5500000000002</v>
      </c>
      <c r="E1512" s="116">
        <v>2540.5500000000002</v>
      </c>
      <c r="F1512" s="116">
        <v>2586.9499999999998</v>
      </c>
      <c r="G1512">
        <v>4919</v>
      </c>
      <c r="H1512" s="116"/>
      <c r="I1512" s="116"/>
      <c r="L1512" s="170">
        <v>45869</v>
      </c>
      <c r="M1512" s="116">
        <v>2589.1999999999998</v>
      </c>
      <c r="N1512" s="116">
        <v>2613.5</v>
      </c>
      <c r="O1512" s="116">
        <v>2570</v>
      </c>
      <c r="P1512" s="116">
        <v>2570</v>
      </c>
      <c r="Q1512" s="116">
        <v>2589.1999999999998</v>
      </c>
      <c r="R1512">
        <v>52545</v>
      </c>
    </row>
    <row r="1513" spans="1:18" x14ac:dyDescent="0.25">
      <c r="A1513" s="170">
        <v>45870</v>
      </c>
      <c r="B1513" s="116">
        <v>2608.6</v>
      </c>
      <c r="C1513" s="116">
        <v>2598.5500000000002</v>
      </c>
      <c r="D1513" s="116">
        <v>2581.5500000000002</v>
      </c>
      <c r="E1513" s="116">
        <v>2585.0500000000002</v>
      </c>
      <c r="F1513" s="116">
        <v>2598.5500000000002</v>
      </c>
      <c r="G1513">
        <v>1346</v>
      </c>
      <c r="H1513" s="116"/>
      <c r="I1513" s="116"/>
      <c r="L1513" s="170">
        <v>45870</v>
      </c>
      <c r="M1513" s="116">
        <v>2598.8000000000002</v>
      </c>
      <c r="N1513" s="116">
        <v>2609.5</v>
      </c>
      <c r="O1513" s="116">
        <v>2581.1999999999998</v>
      </c>
      <c r="P1513" s="116">
        <v>2597</v>
      </c>
      <c r="Q1513" s="116">
        <v>2598.8000000000002</v>
      </c>
      <c r="R1513">
        <v>61705</v>
      </c>
    </row>
    <row r="1514" spans="1:18" x14ac:dyDescent="0.25">
      <c r="A1514" s="170">
        <v>45873</v>
      </c>
      <c r="B1514" s="116">
        <v>2598.5500000000002</v>
      </c>
      <c r="C1514" s="116">
        <v>2525.6</v>
      </c>
      <c r="D1514" s="116">
        <v>2500.25</v>
      </c>
      <c r="E1514" s="116">
        <v>2598.5500000000002</v>
      </c>
      <c r="F1514" s="116">
        <v>2525.6</v>
      </c>
      <c r="G1514">
        <v>3921</v>
      </c>
      <c r="H1514" s="116"/>
      <c r="I1514" s="116"/>
      <c r="L1514" s="170">
        <v>45873</v>
      </c>
      <c r="M1514" s="116">
        <v>2525.1</v>
      </c>
      <c r="N1514" s="116">
        <v>2601</v>
      </c>
      <c r="O1514" s="116">
        <v>2501.4</v>
      </c>
      <c r="P1514" s="116">
        <v>2599</v>
      </c>
      <c r="Q1514" s="116">
        <v>2525.1</v>
      </c>
      <c r="R1514">
        <v>73505</v>
      </c>
    </row>
    <row r="1515" spans="1:18" x14ac:dyDescent="0.25">
      <c r="A1515" s="170">
        <v>45874</v>
      </c>
      <c r="B1515" s="116">
        <v>2526</v>
      </c>
      <c r="C1515" s="116">
        <v>2486.4499999999998</v>
      </c>
      <c r="D1515" s="116">
        <v>2456.3000000000002</v>
      </c>
      <c r="E1515" s="116">
        <v>2526</v>
      </c>
      <c r="F1515" s="116">
        <v>2486.4499999999998</v>
      </c>
      <c r="G1515">
        <v>5759</v>
      </c>
      <c r="H1515" s="116"/>
      <c r="I1515" s="116"/>
      <c r="L1515" s="170">
        <v>45874</v>
      </c>
      <c r="M1515" s="116">
        <v>2486.8000000000002</v>
      </c>
      <c r="N1515" s="116">
        <v>2526</v>
      </c>
      <c r="O1515" s="116">
        <v>2455.8000000000002</v>
      </c>
      <c r="P1515" s="116">
        <v>2525</v>
      </c>
      <c r="Q1515" s="116">
        <v>2486.8000000000002</v>
      </c>
      <c r="R1515">
        <v>129572</v>
      </c>
    </row>
    <row r="1516" spans="1:18" x14ac:dyDescent="0.25">
      <c r="A1516" s="170">
        <v>45875</v>
      </c>
      <c r="B1516" s="116">
        <v>2546.1999999999998</v>
      </c>
      <c r="C1516" s="116">
        <v>2513.65</v>
      </c>
      <c r="D1516" s="116">
        <v>2455.0500000000002</v>
      </c>
      <c r="E1516" s="116">
        <v>2455.0500000000002</v>
      </c>
      <c r="F1516" s="116">
        <v>2513.65</v>
      </c>
      <c r="G1516">
        <v>4097</v>
      </c>
      <c r="H1516" s="116"/>
      <c r="I1516" s="116"/>
      <c r="L1516" s="170">
        <v>45875</v>
      </c>
      <c r="M1516" s="116">
        <v>2519.1</v>
      </c>
      <c r="N1516" s="116">
        <v>2548.1</v>
      </c>
      <c r="O1516" s="116">
        <v>2475</v>
      </c>
      <c r="P1516" s="116">
        <v>2475</v>
      </c>
      <c r="Q1516" s="116">
        <v>2519.1</v>
      </c>
      <c r="R1516">
        <v>245032</v>
      </c>
    </row>
    <row r="1517" spans="1:18" x14ac:dyDescent="0.25">
      <c r="A1517" s="170">
        <v>45876</v>
      </c>
      <c r="B1517" s="116">
        <v>2580.1</v>
      </c>
      <c r="C1517" s="116">
        <v>2563.1999999999998</v>
      </c>
      <c r="D1517" s="116">
        <v>2490</v>
      </c>
      <c r="E1517" s="116">
        <v>2513.25</v>
      </c>
      <c r="F1517" s="116">
        <v>2563.1999999999998</v>
      </c>
      <c r="G1517">
        <v>1684</v>
      </c>
      <c r="H1517" s="116"/>
      <c r="I1517" s="116"/>
      <c r="L1517" s="170">
        <v>45876</v>
      </c>
      <c r="M1517" s="116">
        <v>2560.1999999999998</v>
      </c>
      <c r="N1517" s="116">
        <v>2576.5</v>
      </c>
      <c r="O1517" s="116">
        <v>2488</v>
      </c>
      <c r="P1517" s="116">
        <v>2517</v>
      </c>
      <c r="Q1517" s="116">
        <v>2560.1999999999998</v>
      </c>
      <c r="R1517">
        <v>73327</v>
      </c>
    </row>
    <row r="1518" spans="1:18" x14ac:dyDescent="0.25">
      <c r="A1518" s="170">
        <v>45877</v>
      </c>
      <c r="B1518" s="116">
        <v>2575.9499999999998</v>
      </c>
      <c r="C1518" s="116">
        <v>2556.1</v>
      </c>
      <c r="D1518" s="116">
        <v>2525.9499999999998</v>
      </c>
      <c r="E1518" s="116">
        <v>2525.9499999999998</v>
      </c>
      <c r="F1518" s="116">
        <v>2556.1</v>
      </c>
      <c r="G1518">
        <v>3772</v>
      </c>
      <c r="H1518" s="116"/>
      <c r="I1518" s="116"/>
      <c r="L1518" s="170">
        <v>45877</v>
      </c>
      <c r="M1518" s="116">
        <v>2561.3000000000002</v>
      </c>
      <c r="N1518" s="116">
        <v>2578.9</v>
      </c>
      <c r="O1518" s="116">
        <v>2528.9</v>
      </c>
      <c r="P1518" s="116">
        <v>2532</v>
      </c>
      <c r="Q1518" s="116">
        <v>2561.3000000000002</v>
      </c>
      <c r="R1518">
        <v>62684</v>
      </c>
    </row>
    <row r="1519" spans="1:18" x14ac:dyDescent="0.25">
      <c r="A1519" s="170">
        <v>45880</v>
      </c>
      <c r="B1519" s="116">
        <v>2585.5</v>
      </c>
      <c r="C1519" s="116">
        <v>2536.6</v>
      </c>
      <c r="D1519" s="116">
        <v>2508.1999999999998</v>
      </c>
      <c r="E1519" s="116">
        <v>2508.1999999999998</v>
      </c>
      <c r="F1519" s="116">
        <v>2536.6</v>
      </c>
      <c r="G1519">
        <v>1539</v>
      </c>
      <c r="H1519" s="116"/>
      <c r="I1519" s="116"/>
      <c r="L1519" s="170">
        <v>45880</v>
      </c>
      <c r="M1519" s="116">
        <v>2540.6</v>
      </c>
      <c r="N1519" s="116">
        <v>2590.3000000000002</v>
      </c>
      <c r="O1519" s="116">
        <v>2530</v>
      </c>
      <c r="P1519" s="116">
        <v>2557.4</v>
      </c>
      <c r="Q1519" s="116">
        <v>2540.6</v>
      </c>
      <c r="R1519">
        <v>24580</v>
      </c>
    </row>
    <row r="1520" spans="1:18" x14ac:dyDescent="0.25">
      <c r="A1520" s="170">
        <v>45881</v>
      </c>
      <c r="B1520" s="116">
        <v>2585.9499999999998</v>
      </c>
      <c r="C1520" s="116">
        <v>2521.5</v>
      </c>
      <c r="D1520" s="116">
        <v>2513.8000000000002</v>
      </c>
      <c r="E1520" s="116">
        <v>2541</v>
      </c>
      <c r="F1520" s="116">
        <v>2521.5</v>
      </c>
      <c r="G1520">
        <v>2014</v>
      </c>
      <c r="H1520" s="116"/>
      <c r="I1520" s="116"/>
      <c r="L1520" s="170">
        <v>45881</v>
      </c>
      <c r="M1520" s="116">
        <v>2521.3000000000002</v>
      </c>
      <c r="N1520" s="116">
        <v>2585.8000000000002</v>
      </c>
      <c r="O1520" s="116">
        <v>2511.9</v>
      </c>
      <c r="P1520" s="116">
        <v>2540</v>
      </c>
      <c r="Q1520" s="116">
        <v>2521.3000000000002</v>
      </c>
      <c r="R1520">
        <v>70842</v>
      </c>
    </row>
    <row r="1521" spans="1:18" x14ac:dyDescent="0.25">
      <c r="A1521" s="170">
        <v>45882</v>
      </c>
      <c r="B1521" s="116">
        <v>2579.9</v>
      </c>
      <c r="C1521" s="116">
        <v>2552.6</v>
      </c>
      <c r="D1521" s="116">
        <v>2517.5500000000002</v>
      </c>
      <c r="E1521" s="116">
        <v>2520.0500000000002</v>
      </c>
      <c r="F1521" s="116">
        <v>2552.6</v>
      </c>
      <c r="G1521">
        <v>2274</v>
      </c>
      <c r="H1521" s="116"/>
      <c r="I1521" s="116"/>
      <c r="L1521" s="170">
        <v>45882</v>
      </c>
      <c r="M1521" s="116">
        <v>2552.9</v>
      </c>
      <c r="N1521" s="116">
        <v>2580.9</v>
      </c>
      <c r="O1521" s="116">
        <v>2519.8000000000002</v>
      </c>
      <c r="P1521" s="116">
        <v>2521.3000000000002</v>
      </c>
      <c r="Q1521" s="116">
        <v>2552.9</v>
      </c>
      <c r="R1521">
        <v>60775</v>
      </c>
    </row>
    <row r="1522" spans="1:18" x14ac:dyDescent="0.25">
      <c r="A1522" s="170">
        <v>45883</v>
      </c>
      <c r="B1522" s="116">
        <v>2579.0500000000002</v>
      </c>
      <c r="C1522" s="116">
        <v>2545.85</v>
      </c>
      <c r="D1522" s="116">
        <v>2533.75</v>
      </c>
      <c r="E1522" s="116">
        <v>2551.4499999999998</v>
      </c>
      <c r="F1522" s="116">
        <v>2545.85</v>
      </c>
      <c r="G1522">
        <v>1395</v>
      </c>
      <c r="H1522" s="116"/>
      <c r="I1522" s="116"/>
      <c r="L1522" s="170">
        <v>45883</v>
      </c>
      <c r="M1522" s="116">
        <v>2545.8000000000002</v>
      </c>
      <c r="N1522" s="116">
        <v>2579.4</v>
      </c>
      <c r="O1522" s="116">
        <v>2534</v>
      </c>
      <c r="P1522" s="116">
        <v>2552.9</v>
      </c>
      <c r="Q1522" s="116">
        <v>2545.8000000000002</v>
      </c>
      <c r="R1522">
        <v>115254</v>
      </c>
    </row>
    <row r="1523" spans="1:18" x14ac:dyDescent="0.25">
      <c r="A1523" s="170">
        <v>45887</v>
      </c>
      <c r="B1523" s="116">
        <v>2585</v>
      </c>
      <c r="C1523" s="116">
        <v>2574</v>
      </c>
      <c r="D1523" s="116">
        <v>2516.0500000000002</v>
      </c>
      <c r="E1523" s="116">
        <v>2552.9</v>
      </c>
      <c r="F1523" s="116">
        <v>2574</v>
      </c>
      <c r="G1523">
        <v>2923</v>
      </c>
      <c r="H1523" s="116"/>
      <c r="I1523" s="116"/>
      <c r="L1523" s="170">
        <v>45887</v>
      </c>
      <c r="M1523" s="116">
        <v>2572.9</v>
      </c>
      <c r="N1523" s="116">
        <v>2585</v>
      </c>
      <c r="O1523" s="116">
        <v>2517</v>
      </c>
      <c r="P1523" s="116">
        <v>2545.8000000000002</v>
      </c>
      <c r="Q1523" s="116">
        <v>2572.9</v>
      </c>
      <c r="R1523">
        <v>73774</v>
      </c>
    </row>
    <row r="1524" spans="1:18" x14ac:dyDescent="0.25">
      <c r="A1524" s="170">
        <v>45888</v>
      </c>
      <c r="B1524" s="116">
        <v>2675</v>
      </c>
      <c r="C1524" s="116">
        <v>2590.5500000000002</v>
      </c>
      <c r="D1524" s="116">
        <v>2571.4</v>
      </c>
      <c r="E1524" s="116">
        <v>2584.9</v>
      </c>
      <c r="F1524" s="116">
        <v>2590.5500000000002</v>
      </c>
      <c r="G1524">
        <v>8110</v>
      </c>
      <c r="H1524" s="116"/>
      <c r="I1524" s="116"/>
      <c r="L1524" s="170">
        <v>45888</v>
      </c>
      <c r="M1524" s="116">
        <v>2589.4</v>
      </c>
      <c r="N1524" s="116">
        <v>2672.7</v>
      </c>
      <c r="O1524" s="116">
        <v>2575.5</v>
      </c>
      <c r="P1524" s="116">
        <v>2590</v>
      </c>
      <c r="Q1524" s="116">
        <v>2589.4</v>
      </c>
      <c r="R1524">
        <v>140502</v>
      </c>
    </row>
    <row r="1525" spans="1:18" x14ac:dyDescent="0.25">
      <c r="A1525" s="170">
        <v>45889</v>
      </c>
      <c r="B1525" s="116">
        <v>2637</v>
      </c>
      <c r="C1525" s="116">
        <v>2621.8</v>
      </c>
      <c r="D1525" s="116">
        <v>2593.75</v>
      </c>
      <c r="E1525" s="116">
        <v>2600</v>
      </c>
      <c r="F1525" s="116">
        <v>2621.8</v>
      </c>
      <c r="G1525">
        <v>9240</v>
      </c>
      <c r="H1525" s="116"/>
      <c r="I1525" s="116"/>
      <c r="L1525" s="170">
        <v>45889</v>
      </c>
      <c r="M1525" s="116">
        <v>2623.6</v>
      </c>
      <c r="N1525" s="116">
        <v>2638</v>
      </c>
      <c r="O1525" s="116">
        <v>2592</v>
      </c>
      <c r="P1525" s="116">
        <v>2607.5</v>
      </c>
      <c r="Q1525" s="116">
        <v>2623.6</v>
      </c>
      <c r="R1525">
        <v>57937</v>
      </c>
    </row>
    <row r="1526" spans="1:18" x14ac:dyDescent="0.25">
      <c r="A1526" s="170">
        <v>45890</v>
      </c>
      <c r="B1526" s="116">
        <v>2672.15</v>
      </c>
      <c r="C1526" s="116">
        <v>2659.5</v>
      </c>
      <c r="D1526" s="116">
        <v>2626.7</v>
      </c>
      <c r="E1526" s="116">
        <v>2626.7</v>
      </c>
      <c r="F1526" s="116">
        <v>2659.5</v>
      </c>
      <c r="G1526">
        <v>3278</v>
      </c>
      <c r="H1526" s="116"/>
      <c r="I1526" s="116"/>
      <c r="L1526" s="170">
        <v>45890</v>
      </c>
      <c r="M1526" s="116">
        <v>2659.9</v>
      </c>
      <c r="N1526" s="116">
        <v>2675</v>
      </c>
      <c r="O1526" s="116">
        <v>2622.4</v>
      </c>
      <c r="P1526" s="116">
        <v>2636</v>
      </c>
      <c r="Q1526" s="116">
        <v>2659.9</v>
      </c>
      <c r="R1526">
        <v>76600</v>
      </c>
    </row>
    <row r="1527" spans="1:18" x14ac:dyDescent="0.25">
      <c r="A1527" s="170">
        <v>45891</v>
      </c>
      <c r="B1527" s="116">
        <v>2680.55</v>
      </c>
      <c r="C1527" s="116">
        <v>2669.75</v>
      </c>
      <c r="D1527" s="116">
        <v>2638.45</v>
      </c>
      <c r="E1527" s="116">
        <v>2659.55</v>
      </c>
      <c r="F1527" s="116">
        <v>2669.75</v>
      </c>
      <c r="G1527">
        <v>3845</v>
      </c>
      <c r="H1527" s="116"/>
      <c r="I1527" s="116"/>
      <c r="L1527" s="170">
        <v>45891</v>
      </c>
      <c r="M1527" s="116">
        <v>2670.5</v>
      </c>
      <c r="N1527" s="116">
        <v>2684</v>
      </c>
      <c r="O1527" s="116">
        <v>2636.6</v>
      </c>
      <c r="P1527" s="116">
        <v>2660</v>
      </c>
      <c r="Q1527" s="116">
        <v>2670.5</v>
      </c>
      <c r="R1527">
        <v>53643</v>
      </c>
    </row>
    <row r="1528" spans="1:18" x14ac:dyDescent="0.25">
      <c r="A1528" s="170">
        <v>45894</v>
      </c>
      <c r="B1528" s="116">
        <v>2686.55</v>
      </c>
      <c r="C1528" s="116">
        <v>2633.45</v>
      </c>
      <c r="D1528" s="116">
        <v>2623.6</v>
      </c>
      <c r="E1528" s="116">
        <v>2669.75</v>
      </c>
      <c r="F1528" s="116">
        <v>2633.45</v>
      </c>
      <c r="G1528">
        <v>911</v>
      </c>
      <c r="H1528" s="116"/>
      <c r="I1528" s="116"/>
      <c r="L1528" s="170">
        <v>45894</v>
      </c>
      <c r="M1528" s="116">
        <v>2637.6</v>
      </c>
      <c r="N1528" s="116">
        <v>2685</v>
      </c>
      <c r="O1528" s="116">
        <v>2626</v>
      </c>
      <c r="P1528" s="116">
        <v>2670.5</v>
      </c>
      <c r="Q1528" s="116">
        <v>2637.6</v>
      </c>
      <c r="R1528">
        <v>27317</v>
      </c>
    </row>
    <row r="1529" spans="1:18" x14ac:dyDescent="0.25">
      <c r="A1529" s="170">
        <v>45895</v>
      </c>
      <c r="B1529" s="116">
        <v>2668</v>
      </c>
      <c r="C1529" s="116">
        <v>2658.75</v>
      </c>
      <c r="D1529" s="116">
        <v>2611.9</v>
      </c>
      <c r="E1529" s="116">
        <v>2636.7</v>
      </c>
      <c r="F1529" s="116">
        <v>2658.75</v>
      </c>
      <c r="G1529">
        <v>2130</v>
      </c>
      <c r="H1529" s="116"/>
      <c r="I1529" s="116"/>
      <c r="L1529" s="170">
        <v>45895</v>
      </c>
      <c r="M1529" s="116">
        <v>2654.6</v>
      </c>
      <c r="N1529" s="116">
        <v>2670</v>
      </c>
      <c r="O1529" s="116">
        <v>2614.6</v>
      </c>
      <c r="P1529" s="116">
        <v>2630.1</v>
      </c>
      <c r="Q1529" s="116">
        <v>2654.6</v>
      </c>
      <c r="R1529">
        <v>92167</v>
      </c>
    </row>
    <row r="1530" spans="1:18" x14ac:dyDescent="0.25">
      <c r="A1530" s="170">
        <v>45897</v>
      </c>
      <c r="B1530" s="116">
        <v>2652.9</v>
      </c>
      <c r="C1530" s="116">
        <v>2567.9</v>
      </c>
      <c r="D1530" s="116">
        <v>2537</v>
      </c>
      <c r="E1530" s="116">
        <v>2608.1</v>
      </c>
      <c r="F1530" s="116">
        <v>2567.9</v>
      </c>
      <c r="G1530">
        <v>7259</v>
      </c>
      <c r="H1530" s="116"/>
      <c r="I1530" s="116"/>
      <c r="L1530" s="170">
        <v>45897</v>
      </c>
      <c r="M1530" s="116">
        <v>2577.6999999999998</v>
      </c>
      <c r="N1530" s="116">
        <v>2655.9</v>
      </c>
      <c r="O1530" s="116">
        <v>2550.1</v>
      </c>
      <c r="P1530" s="116">
        <v>2646.3</v>
      </c>
      <c r="Q1530" s="116">
        <v>2577.6999999999998</v>
      </c>
      <c r="R1530">
        <v>63247</v>
      </c>
    </row>
    <row r="1531" spans="1:18" x14ac:dyDescent="0.25">
      <c r="A1531" s="170">
        <v>45898</v>
      </c>
      <c r="B1531" s="116">
        <v>2606.8000000000002</v>
      </c>
      <c r="C1531" s="116">
        <v>2594.3000000000002</v>
      </c>
      <c r="D1531" s="116">
        <v>2557.0500000000002</v>
      </c>
      <c r="E1531" s="116">
        <v>2589.0500000000002</v>
      </c>
      <c r="F1531" s="116">
        <v>2594.3000000000002</v>
      </c>
      <c r="G1531">
        <v>1924</v>
      </c>
      <c r="H1531" s="116"/>
      <c r="I1531" s="116"/>
      <c r="L1531" s="170">
        <v>45898</v>
      </c>
      <c r="M1531" s="116">
        <v>2597.1999999999998</v>
      </c>
      <c r="N1531" s="116">
        <v>2610</v>
      </c>
      <c r="O1531" s="116">
        <v>2555.6</v>
      </c>
      <c r="P1531" s="116">
        <v>2570.3000000000002</v>
      </c>
      <c r="Q1531" s="116">
        <v>2597.1999999999998</v>
      </c>
      <c r="R1531">
        <v>57395</v>
      </c>
    </row>
    <row r="1532" spans="1:18" x14ac:dyDescent="0.25">
      <c r="A1532" s="170">
        <v>45901</v>
      </c>
      <c r="B1532" s="116">
        <v>2630</v>
      </c>
      <c r="C1532" s="116">
        <v>2600.1</v>
      </c>
      <c r="D1532" s="116">
        <v>2520</v>
      </c>
      <c r="E1532" s="116">
        <v>2520</v>
      </c>
      <c r="F1532" s="116">
        <v>2600.1</v>
      </c>
      <c r="G1532">
        <v>2066</v>
      </c>
      <c r="H1532" s="116"/>
      <c r="I1532" s="116"/>
      <c r="L1532" s="170">
        <v>45901</v>
      </c>
      <c r="M1532" s="116">
        <v>2600.1999999999998</v>
      </c>
      <c r="N1532" s="116">
        <v>2632.8</v>
      </c>
      <c r="O1532" s="116">
        <v>2571.8000000000002</v>
      </c>
      <c r="P1532" s="116">
        <v>2572</v>
      </c>
      <c r="Q1532" s="116">
        <v>2600.1999999999998</v>
      </c>
      <c r="R1532">
        <v>236644</v>
      </c>
    </row>
    <row r="1533" spans="1:18" x14ac:dyDescent="0.25">
      <c r="A1533" s="170">
        <v>45902</v>
      </c>
      <c r="B1533" s="116">
        <v>2600.1</v>
      </c>
      <c r="C1533" s="116">
        <v>2545.85</v>
      </c>
      <c r="D1533" s="116">
        <v>2535.3000000000002</v>
      </c>
      <c r="E1533" s="116">
        <v>2600.1</v>
      </c>
      <c r="F1533" s="116">
        <v>2545.85</v>
      </c>
      <c r="G1533">
        <v>1985</v>
      </c>
      <c r="H1533" s="116"/>
      <c r="I1533" s="116"/>
      <c r="L1533" s="170">
        <v>45902</v>
      </c>
      <c r="M1533" s="116">
        <v>2548</v>
      </c>
      <c r="N1533" s="116">
        <v>2602.1</v>
      </c>
      <c r="O1533" s="116">
        <v>2536.5</v>
      </c>
      <c r="P1533" s="116">
        <v>2599.9</v>
      </c>
      <c r="Q1533" s="116">
        <v>2548</v>
      </c>
      <c r="R1533">
        <v>59942</v>
      </c>
    </row>
    <row r="1534" spans="1:18" x14ac:dyDescent="0.25">
      <c r="A1534" s="170">
        <v>45903</v>
      </c>
      <c r="B1534" s="116">
        <v>2548.6999999999998</v>
      </c>
      <c r="C1534" s="116">
        <v>2527.8000000000002</v>
      </c>
      <c r="D1534" s="116">
        <v>2515</v>
      </c>
      <c r="E1534" s="116">
        <v>2545.0500000000002</v>
      </c>
      <c r="F1534" s="116">
        <v>2527.8000000000002</v>
      </c>
      <c r="G1534">
        <v>1180</v>
      </c>
      <c r="H1534" s="116"/>
      <c r="I1534" s="116"/>
      <c r="L1534" s="170">
        <v>45903</v>
      </c>
      <c r="M1534" s="116">
        <v>2527.8000000000002</v>
      </c>
      <c r="N1534" s="116">
        <v>2556</v>
      </c>
      <c r="O1534" s="116">
        <v>2512.6</v>
      </c>
      <c r="P1534" s="116">
        <v>2549.9</v>
      </c>
      <c r="Q1534" s="116">
        <v>2527.8000000000002</v>
      </c>
      <c r="R1534">
        <v>50427</v>
      </c>
    </row>
    <row r="1535" spans="1:18" x14ac:dyDescent="0.25">
      <c r="A1535" s="170">
        <v>45904</v>
      </c>
      <c r="B1535" s="116">
        <v>2570</v>
      </c>
      <c r="C1535" s="116">
        <v>2559.4499999999998</v>
      </c>
      <c r="D1535" s="116">
        <v>2529.0500000000002</v>
      </c>
      <c r="E1535" s="116">
        <v>2529.0500000000002</v>
      </c>
      <c r="F1535" s="116">
        <v>2559.4499999999998</v>
      </c>
      <c r="G1535">
        <v>5160</v>
      </c>
      <c r="H1535" s="116"/>
      <c r="I1535" s="116"/>
      <c r="L1535" s="170">
        <v>45904</v>
      </c>
      <c r="M1535" s="116">
        <v>2561.1999999999998</v>
      </c>
      <c r="N1535" s="116">
        <v>2571.6</v>
      </c>
      <c r="O1535" s="116">
        <v>2532</v>
      </c>
      <c r="P1535" s="116">
        <v>2545</v>
      </c>
      <c r="Q1535" s="116">
        <v>2561.1999999999998</v>
      </c>
      <c r="R1535">
        <v>154729</v>
      </c>
    </row>
    <row r="1536" spans="1:18" x14ac:dyDescent="0.25">
      <c r="A1536" s="170">
        <v>45905</v>
      </c>
      <c r="B1536" s="116">
        <v>2564.15</v>
      </c>
      <c r="C1536" s="116">
        <v>2556.9</v>
      </c>
      <c r="D1536" s="116">
        <v>2534.0500000000002</v>
      </c>
      <c r="E1536" s="116">
        <v>2555</v>
      </c>
      <c r="F1536" s="116">
        <v>2556.9</v>
      </c>
      <c r="G1536">
        <v>1068</v>
      </c>
      <c r="H1536" s="116"/>
      <c r="I1536" s="116"/>
      <c r="L1536" s="170">
        <v>45905</v>
      </c>
      <c r="M1536" s="116">
        <v>2555.1</v>
      </c>
      <c r="N1536" s="116">
        <v>2564</v>
      </c>
      <c r="O1536" s="116">
        <v>2527.4</v>
      </c>
      <c r="P1536" s="116">
        <v>2553</v>
      </c>
      <c r="Q1536" s="116">
        <v>2555.1</v>
      </c>
      <c r="R1536">
        <v>69875</v>
      </c>
    </row>
    <row r="1537" spans="1:18" x14ac:dyDescent="0.25">
      <c r="A1537" s="170">
        <v>45908</v>
      </c>
      <c r="B1537" s="116">
        <v>2585.85</v>
      </c>
      <c r="C1537" s="116">
        <v>2577.5500000000002</v>
      </c>
      <c r="D1537" s="116">
        <v>2557.9499999999998</v>
      </c>
      <c r="E1537" s="116">
        <v>2563</v>
      </c>
      <c r="F1537" s="116">
        <v>2577.5500000000002</v>
      </c>
      <c r="G1537">
        <v>871</v>
      </c>
      <c r="H1537" s="116"/>
      <c r="I1537" s="116"/>
      <c r="L1537" s="170">
        <v>45908</v>
      </c>
      <c r="M1537" s="116">
        <v>2574.6</v>
      </c>
      <c r="N1537" s="116">
        <v>2587</v>
      </c>
      <c r="O1537" s="116">
        <v>2555.4</v>
      </c>
      <c r="P1537" s="116">
        <v>2564</v>
      </c>
      <c r="Q1537" s="116">
        <v>2574.6</v>
      </c>
      <c r="R1537">
        <v>51099</v>
      </c>
    </row>
    <row r="1538" spans="1:18" x14ac:dyDescent="0.25">
      <c r="A1538" s="170">
        <v>45909</v>
      </c>
      <c r="B1538" s="116">
        <v>2592.5500000000002</v>
      </c>
      <c r="C1538" s="116">
        <v>2573.85</v>
      </c>
      <c r="D1538" s="116">
        <v>2544.8000000000002</v>
      </c>
      <c r="E1538" s="116">
        <v>2592.3000000000002</v>
      </c>
      <c r="F1538" s="116">
        <v>2573.85</v>
      </c>
      <c r="G1538">
        <v>1757</v>
      </c>
      <c r="H1538" s="116"/>
      <c r="I1538" s="116"/>
      <c r="L1538" s="170">
        <v>45909</v>
      </c>
      <c r="M1538" s="116">
        <v>2574.8000000000002</v>
      </c>
      <c r="N1538" s="116">
        <v>2595</v>
      </c>
      <c r="O1538" s="116">
        <v>2545</v>
      </c>
      <c r="P1538" s="116">
        <v>2595</v>
      </c>
      <c r="Q1538" s="116">
        <v>2574.8000000000002</v>
      </c>
      <c r="R1538">
        <v>111438</v>
      </c>
    </row>
    <row r="1539" spans="1:18" x14ac:dyDescent="0.25">
      <c r="A1539" s="170">
        <v>45910</v>
      </c>
      <c r="B1539" s="116">
        <v>2590</v>
      </c>
      <c r="C1539" s="116">
        <v>2578.75</v>
      </c>
      <c r="D1539" s="116">
        <v>2554.5500000000002</v>
      </c>
      <c r="E1539" s="116">
        <v>2560.5500000000002</v>
      </c>
      <c r="F1539" s="116">
        <v>2578.75</v>
      </c>
      <c r="G1539">
        <v>856</v>
      </c>
      <c r="H1539" s="116"/>
      <c r="I1539" s="116"/>
      <c r="L1539" s="170">
        <v>45910</v>
      </c>
      <c r="M1539" s="116">
        <v>2576.4</v>
      </c>
      <c r="N1539" s="116">
        <v>2593.4</v>
      </c>
      <c r="O1539" s="116">
        <v>2553.8000000000002</v>
      </c>
      <c r="P1539" s="116">
        <v>2574.8000000000002</v>
      </c>
      <c r="Q1539" s="116">
        <v>2576.4</v>
      </c>
      <c r="R1539">
        <v>84948</v>
      </c>
    </row>
    <row r="1540" spans="1:18" x14ac:dyDescent="0.25">
      <c r="A1540" s="170">
        <v>45911</v>
      </c>
      <c r="B1540" s="116">
        <v>2627</v>
      </c>
      <c r="C1540" s="116">
        <v>2608.0500000000002</v>
      </c>
      <c r="D1540" s="116">
        <v>2577.85</v>
      </c>
      <c r="E1540" s="116">
        <v>2600</v>
      </c>
      <c r="F1540" s="116">
        <v>2608.0500000000002</v>
      </c>
      <c r="G1540">
        <v>4337</v>
      </c>
      <c r="H1540" s="116"/>
      <c r="I1540" s="116"/>
      <c r="L1540" s="170">
        <v>45911</v>
      </c>
      <c r="M1540" s="116">
        <v>2612.4</v>
      </c>
      <c r="N1540" s="116">
        <v>2626.8</v>
      </c>
      <c r="O1540" s="116">
        <v>2571.4</v>
      </c>
      <c r="P1540" s="116">
        <v>2591</v>
      </c>
      <c r="Q1540" s="116">
        <v>2612.4</v>
      </c>
      <c r="R1540">
        <v>86257</v>
      </c>
    </row>
    <row r="1541" spans="1:18" x14ac:dyDescent="0.25">
      <c r="A1541" s="170">
        <v>45912</v>
      </c>
      <c r="B1541" s="116">
        <v>2628</v>
      </c>
      <c r="C1541" s="116">
        <v>2599.75</v>
      </c>
      <c r="D1541" s="116">
        <v>2583.1999999999998</v>
      </c>
      <c r="E1541" s="116">
        <v>2620</v>
      </c>
      <c r="F1541" s="116">
        <v>2599.75</v>
      </c>
      <c r="G1541">
        <v>2070</v>
      </c>
      <c r="H1541" s="116"/>
      <c r="I1541" s="116"/>
      <c r="L1541" s="170">
        <v>45912</v>
      </c>
      <c r="M1541" s="116">
        <v>2600.6999999999998</v>
      </c>
      <c r="N1541" s="116">
        <v>2630</v>
      </c>
      <c r="O1541" s="116">
        <v>2582.5</v>
      </c>
      <c r="P1541" s="116">
        <v>2626.9</v>
      </c>
      <c r="Q1541" s="116">
        <v>2600.6999999999998</v>
      </c>
      <c r="R1541">
        <v>48135</v>
      </c>
    </row>
    <row r="1542" spans="1:18" x14ac:dyDescent="0.25">
      <c r="A1542" s="170">
        <v>45915</v>
      </c>
      <c r="B1542" s="116">
        <v>2626</v>
      </c>
      <c r="C1542" s="116">
        <v>2609.6</v>
      </c>
      <c r="D1542" s="116">
        <v>2580</v>
      </c>
      <c r="E1542" s="116">
        <v>2616.85</v>
      </c>
      <c r="F1542" s="116">
        <v>2609.6</v>
      </c>
      <c r="G1542">
        <v>1937</v>
      </c>
      <c r="H1542" s="116"/>
      <c r="I1542" s="116"/>
      <c r="L1542" s="170">
        <v>45915</v>
      </c>
      <c r="M1542" s="116">
        <v>2609.1</v>
      </c>
      <c r="N1542" s="116">
        <v>2626.4</v>
      </c>
      <c r="O1542" s="116">
        <v>2577.6</v>
      </c>
      <c r="P1542" s="116">
        <v>2600.6999999999998</v>
      </c>
      <c r="Q1542" s="116">
        <v>2609.1</v>
      </c>
      <c r="R1542">
        <v>54163</v>
      </c>
    </row>
    <row r="1543" spans="1:18" x14ac:dyDescent="0.25">
      <c r="A1543" s="170">
        <v>45916</v>
      </c>
      <c r="B1543" s="116">
        <v>2630.9</v>
      </c>
      <c r="C1543" s="116">
        <v>2598.1</v>
      </c>
      <c r="D1543" s="116">
        <v>2590.9</v>
      </c>
      <c r="E1543" s="116">
        <v>2595.0500000000002</v>
      </c>
      <c r="F1543" s="116">
        <v>2598.1</v>
      </c>
      <c r="G1543">
        <v>3195</v>
      </c>
      <c r="H1543" s="116"/>
      <c r="I1543" s="116"/>
      <c r="L1543" s="170">
        <v>45916</v>
      </c>
      <c r="M1543" s="116">
        <v>2597.8000000000002</v>
      </c>
      <c r="N1543" s="116">
        <v>2629.3</v>
      </c>
      <c r="O1543" s="116">
        <v>2590</v>
      </c>
      <c r="P1543" s="116">
        <v>2612.4</v>
      </c>
      <c r="Q1543" s="116">
        <v>2597.8000000000002</v>
      </c>
      <c r="R1543">
        <v>56396</v>
      </c>
    </row>
    <row r="1544" spans="1:18" x14ac:dyDescent="0.25">
      <c r="A1544" s="170">
        <v>45917</v>
      </c>
      <c r="B1544" s="116">
        <v>2600</v>
      </c>
      <c r="C1544" s="116">
        <v>2549.0500000000002</v>
      </c>
      <c r="D1544" s="116">
        <v>2538</v>
      </c>
      <c r="E1544" s="116">
        <v>2600</v>
      </c>
      <c r="F1544" s="116">
        <v>2549.0500000000002</v>
      </c>
      <c r="G1544">
        <v>3924</v>
      </c>
      <c r="H1544" s="116"/>
      <c r="I1544" s="116"/>
      <c r="L1544" s="170">
        <v>45917</v>
      </c>
      <c r="M1544" s="116">
        <v>2550.8000000000002</v>
      </c>
      <c r="N1544" s="116">
        <v>2597.6999999999998</v>
      </c>
      <c r="O1544" s="116">
        <v>2537.6999999999998</v>
      </c>
      <c r="P1544" s="116">
        <v>2583</v>
      </c>
      <c r="Q1544" s="116">
        <v>2550.8000000000002</v>
      </c>
      <c r="R1544">
        <v>117441</v>
      </c>
    </row>
    <row r="1545" spans="1:18" x14ac:dyDescent="0.25">
      <c r="A1545" s="170">
        <v>45918</v>
      </c>
      <c r="B1545" s="116">
        <v>2561.8000000000002</v>
      </c>
      <c r="C1545" s="116">
        <v>2523.35</v>
      </c>
      <c r="D1545" s="116">
        <v>2517.65</v>
      </c>
      <c r="E1545" s="116">
        <v>2542.25</v>
      </c>
      <c r="F1545" s="116">
        <v>2523.35</v>
      </c>
      <c r="G1545">
        <v>7134</v>
      </c>
      <c r="H1545" s="116"/>
      <c r="I1545" s="116"/>
      <c r="L1545" s="170">
        <v>45918</v>
      </c>
      <c r="M1545" s="116">
        <v>2523</v>
      </c>
      <c r="N1545" s="116">
        <v>2573.8000000000002</v>
      </c>
      <c r="O1545" s="116">
        <v>2516.1</v>
      </c>
      <c r="P1545" s="116">
        <v>2551</v>
      </c>
      <c r="Q1545" s="116">
        <v>2523</v>
      </c>
      <c r="R1545">
        <v>134570</v>
      </c>
    </row>
    <row r="1546" spans="1:18" x14ac:dyDescent="0.25">
      <c r="A1546" s="170">
        <v>45919</v>
      </c>
      <c r="B1546" s="116">
        <v>2529.15</v>
      </c>
      <c r="C1546" s="116">
        <v>2470.3000000000002</v>
      </c>
      <c r="D1546" s="116">
        <v>2460.1</v>
      </c>
      <c r="E1546" s="116">
        <v>2525</v>
      </c>
      <c r="F1546" s="116">
        <v>2470.3000000000002</v>
      </c>
      <c r="G1546">
        <v>10150</v>
      </c>
      <c r="H1546" s="116"/>
      <c r="I1546" s="116"/>
      <c r="L1546" s="170">
        <v>45919</v>
      </c>
      <c r="M1546" s="116">
        <v>2469.6</v>
      </c>
      <c r="N1546" s="116">
        <v>2534.1999999999998</v>
      </c>
      <c r="O1546" s="116">
        <v>2460</v>
      </c>
      <c r="P1546" s="116">
        <v>2529.8000000000002</v>
      </c>
      <c r="Q1546" s="116">
        <v>2469.6</v>
      </c>
      <c r="R1546">
        <v>162591</v>
      </c>
    </row>
    <row r="1547" spans="1:18" x14ac:dyDescent="0.25">
      <c r="A1547" s="170">
        <v>45922</v>
      </c>
      <c r="B1547" s="116">
        <v>2467.9</v>
      </c>
      <c r="C1547" s="116">
        <v>2448.1</v>
      </c>
      <c r="D1547" s="116">
        <v>2440</v>
      </c>
      <c r="E1547" s="116">
        <v>2451.1999999999998</v>
      </c>
      <c r="F1547" s="116">
        <v>2448.1</v>
      </c>
      <c r="G1547">
        <v>30435</v>
      </c>
      <c r="H1547" s="116"/>
      <c r="I1547" s="116"/>
      <c r="L1547" s="170">
        <v>45922</v>
      </c>
      <c r="M1547" s="116">
        <v>2449.3000000000002</v>
      </c>
      <c r="N1547" s="116">
        <v>2467.8000000000002</v>
      </c>
      <c r="O1547" s="116">
        <v>2440</v>
      </c>
      <c r="P1547" s="116">
        <v>2460</v>
      </c>
      <c r="Q1547" s="116">
        <v>2449.3000000000002</v>
      </c>
      <c r="R1547">
        <v>85214</v>
      </c>
    </row>
    <row r="1548" spans="1:18" x14ac:dyDescent="0.25">
      <c r="A1548" s="170">
        <v>45923</v>
      </c>
      <c r="B1548" s="116">
        <v>2450.1999999999998</v>
      </c>
      <c r="C1548" s="116">
        <v>2392.15</v>
      </c>
      <c r="D1548" s="116">
        <v>2383.15</v>
      </c>
      <c r="E1548" s="116">
        <v>2450.1999999999998</v>
      </c>
      <c r="F1548" s="116">
        <v>2392.15</v>
      </c>
      <c r="G1548">
        <v>4293</v>
      </c>
      <c r="H1548" s="116"/>
      <c r="I1548" s="116"/>
      <c r="L1548" s="170">
        <v>45923</v>
      </c>
      <c r="M1548" s="116">
        <v>2391</v>
      </c>
      <c r="N1548" s="116">
        <v>2456.3000000000002</v>
      </c>
      <c r="O1548" s="116">
        <v>2383</v>
      </c>
      <c r="P1548" s="116">
        <v>2449.3000000000002</v>
      </c>
      <c r="Q1548" s="116">
        <v>2391</v>
      </c>
      <c r="R1548">
        <v>87449</v>
      </c>
    </row>
    <row r="1549" spans="1:18" x14ac:dyDescent="0.25">
      <c r="A1549" s="170">
        <v>45924</v>
      </c>
      <c r="B1549" s="116">
        <v>2397.5</v>
      </c>
      <c r="C1549" s="116">
        <v>2376.9499999999998</v>
      </c>
      <c r="D1549" s="116">
        <v>2342.3000000000002</v>
      </c>
      <c r="E1549" s="116">
        <v>2394.4499999999998</v>
      </c>
      <c r="F1549" s="116">
        <v>2376.9499999999998</v>
      </c>
      <c r="G1549">
        <v>6621</v>
      </c>
      <c r="H1549" s="116"/>
      <c r="I1549" s="116"/>
      <c r="L1549" s="170">
        <v>45924</v>
      </c>
      <c r="M1549" s="116">
        <v>2376.6999999999998</v>
      </c>
      <c r="N1549" s="116">
        <v>2404.6</v>
      </c>
      <c r="O1549" s="116">
        <v>2343</v>
      </c>
      <c r="P1549" s="116">
        <v>2399.4</v>
      </c>
      <c r="Q1549" s="116">
        <v>2376.6999999999998</v>
      </c>
      <c r="R1549">
        <v>142665</v>
      </c>
    </row>
    <row r="1550" spans="1:18" x14ac:dyDescent="0.25">
      <c r="A1550" s="170">
        <v>45925</v>
      </c>
      <c r="B1550" s="116">
        <v>2388.6</v>
      </c>
      <c r="C1550" s="116">
        <v>2367.5500000000002</v>
      </c>
      <c r="D1550" s="116">
        <v>2355</v>
      </c>
      <c r="E1550" s="116">
        <v>2382</v>
      </c>
      <c r="F1550" s="116">
        <v>2367.5500000000002</v>
      </c>
      <c r="G1550">
        <v>2523</v>
      </c>
      <c r="H1550" s="116"/>
      <c r="I1550" s="116"/>
      <c r="L1550" s="170">
        <v>45925</v>
      </c>
      <c r="M1550" s="116">
        <v>2373.6</v>
      </c>
      <c r="N1550" s="116">
        <v>2390.1999999999998</v>
      </c>
      <c r="O1550" s="116">
        <v>2355</v>
      </c>
      <c r="P1550" s="116">
        <v>2388.5</v>
      </c>
      <c r="Q1550" s="116">
        <v>2373.6</v>
      </c>
      <c r="R1550">
        <v>75828</v>
      </c>
    </row>
    <row r="1551" spans="1:18" x14ac:dyDescent="0.25">
      <c r="A1551" s="170">
        <v>45926</v>
      </c>
      <c r="B1551" s="116">
        <v>2373</v>
      </c>
      <c r="C1551" s="116">
        <v>2365.15</v>
      </c>
      <c r="D1551" s="116">
        <v>2327.1999999999998</v>
      </c>
      <c r="E1551" s="116">
        <v>2355.0500000000002</v>
      </c>
      <c r="F1551" s="116">
        <v>2365.15</v>
      </c>
      <c r="G1551">
        <v>2688</v>
      </c>
      <c r="H1551" s="116"/>
      <c r="I1551" s="116"/>
      <c r="L1551" s="170">
        <v>45926</v>
      </c>
      <c r="M1551" s="116">
        <v>2366.8000000000002</v>
      </c>
      <c r="N1551" s="116">
        <v>2375.1999999999998</v>
      </c>
      <c r="O1551" s="116">
        <v>2326</v>
      </c>
      <c r="P1551" s="116">
        <v>2373.9</v>
      </c>
      <c r="Q1551" s="116">
        <v>2366.8000000000002</v>
      </c>
      <c r="R1551">
        <v>67852</v>
      </c>
    </row>
    <row r="1552" spans="1:18" x14ac:dyDescent="0.25">
      <c r="A1552" s="170">
        <v>45929</v>
      </c>
      <c r="B1552" s="116">
        <v>2388</v>
      </c>
      <c r="C1552" s="116">
        <v>2332.85</v>
      </c>
      <c r="D1552" s="116">
        <v>2324.1</v>
      </c>
      <c r="E1552" s="116">
        <v>2350</v>
      </c>
      <c r="F1552" s="116">
        <v>2332.85</v>
      </c>
      <c r="G1552">
        <v>2061</v>
      </c>
      <c r="H1552" s="116"/>
      <c r="I1552" s="116"/>
      <c r="L1552" s="170">
        <v>45929</v>
      </c>
      <c r="M1552" s="116">
        <v>2330.4</v>
      </c>
      <c r="N1552" s="116">
        <v>2387</v>
      </c>
      <c r="O1552" s="116">
        <v>2321.1</v>
      </c>
      <c r="P1552" s="116">
        <v>2350</v>
      </c>
      <c r="Q1552" s="116">
        <v>2330.4</v>
      </c>
      <c r="R1552">
        <v>71405</v>
      </c>
    </row>
    <row r="1553" spans="1:18" x14ac:dyDescent="0.25">
      <c r="A1553" s="170">
        <v>45930</v>
      </c>
      <c r="B1553" s="116">
        <v>2373.6</v>
      </c>
      <c r="C1553" s="116">
        <v>2355.4499999999998</v>
      </c>
      <c r="D1553" s="116">
        <v>2310</v>
      </c>
      <c r="E1553" s="116">
        <v>2345.8000000000002</v>
      </c>
      <c r="F1553" s="116">
        <v>2355.4499999999998</v>
      </c>
      <c r="G1553">
        <v>4227</v>
      </c>
      <c r="H1553" s="116"/>
      <c r="I1553" s="116"/>
      <c r="L1553" s="170">
        <v>45930</v>
      </c>
      <c r="M1553" s="116">
        <v>2356.4</v>
      </c>
      <c r="N1553" s="116">
        <v>2385</v>
      </c>
      <c r="O1553" s="116">
        <v>2307</v>
      </c>
      <c r="P1553" s="116">
        <v>2320</v>
      </c>
      <c r="Q1553" s="116">
        <v>2356.4</v>
      </c>
      <c r="R1553">
        <v>117802</v>
      </c>
    </row>
    <row r="1554" spans="1:18" x14ac:dyDescent="0.25">
      <c r="A1554" s="170">
        <v>45931</v>
      </c>
      <c r="B1554" s="116">
        <v>2406.5500000000002</v>
      </c>
      <c r="C1554" s="116">
        <v>2399.5500000000002</v>
      </c>
      <c r="D1554" s="116">
        <v>2319.85</v>
      </c>
      <c r="E1554" s="116">
        <v>2360</v>
      </c>
      <c r="F1554" s="116">
        <v>2399.5500000000002</v>
      </c>
      <c r="G1554">
        <v>1860</v>
      </c>
      <c r="H1554" s="116"/>
      <c r="I1554" s="116"/>
      <c r="L1554" s="170">
        <v>45931</v>
      </c>
      <c r="M1554" s="116">
        <v>2398.9</v>
      </c>
      <c r="N1554" s="116">
        <v>2408.6</v>
      </c>
      <c r="O1554" s="116">
        <v>2320.5</v>
      </c>
      <c r="P1554" s="116">
        <v>2356</v>
      </c>
      <c r="Q1554" s="116">
        <v>2398.9</v>
      </c>
      <c r="R1554">
        <v>95062</v>
      </c>
    </row>
    <row r="1555" spans="1:18" x14ac:dyDescent="0.25">
      <c r="A1555" s="170">
        <v>45933</v>
      </c>
      <c r="B1555" s="116">
        <v>2410</v>
      </c>
      <c r="C1555" s="116">
        <v>2373.85</v>
      </c>
      <c r="D1555" s="116">
        <v>2365.1</v>
      </c>
      <c r="E1555" s="116">
        <v>2379.0500000000002</v>
      </c>
      <c r="F1555" s="116">
        <v>2373.85</v>
      </c>
      <c r="G1555">
        <v>2810</v>
      </c>
      <c r="H1555" s="116"/>
      <c r="I1555" s="116"/>
      <c r="L1555" s="170">
        <v>45933</v>
      </c>
      <c r="M1555" s="116">
        <v>2371.4</v>
      </c>
      <c r="N1555" s="116">
        <v>2409.9</v>
      </c>
      <c r="O1555" s="116">
        <v>2365</v>
      </c>
      <c r="P1555" s="116">
        <v>2395.6</v>
      </c>
      <c r="Q1555" s="116">
        <v>2371.4</v>
      </c>
      <c r="R1555">
        <v>37676</v>
      </c>
    </row>
    <row r="1556" spans="1:18" x14ac:dyDescent="0.25">
      <c r="A1556" s="170">
        <v>45936</v>
      </c>
      <c r="B1556" s="116">
        <v>2395</v>
      </c>
      <c r="C1556" s="116">
        <v>2375.5500000000002</v>
      </c>
      <c r="D1556" s="116">
        <v>2345.1</v>
      </c>
      <c r="E1556" s="116">
        <v>2366.15</v>
      </c>
      <c r="F1556" s="116">
        <v>2375.5500000000002</v>
      </c>
      <c r="G1556">
        <v>4816</v>
      </c>
      <c r="H1556" s="116"/>
      <c r="I1556" s="116"/>
      <c r="L1556" s="170">
        <v>45936</v>
      </c>
      <c r="M1556" s="116">
        <v>2376</v>
      </c>
      <c r="N1556" s="116">
        <v>2400</v>
      </c>
      <c r="O1556" s="116">
        <v>2345</v>
      </c>
      <c r="P1556" s="116">
        <v>2374</v>
      </c>
      <c r="Q1556" s="116">
        <v>2376</v>
      </c>
      <c r="R1556">
        <v>48987</v>
      </c>
    </row>
    <row r="1557" spans="1:18" x14ac:dyDescent="0.25">
      <c r="A1557" s="170">
        <v>45937</v>
      </c>
      <c r="B1557" s="116">
        <v>2402.35</v>
      </c>
      <c r="C1557" s="116">
        <v>2348.5500000000002</v>
      </c>
      <c r="D1557" s="116">
        <v>2328.85</v>
      </c>
      <c r="E1557" s="116">
        <v>2361.15</v>
      </c>
      <c r="F1557" s="116">
        <v>2348.5500000000002</v>
      </c>
      <c r="G1557">
        <v>1364</v>
      </c>
      <c r="H1557" s="116"/>
      <c r="I1557" s="116"/>
      <c r="L1557" s="170">
        <v>45937</v>
      </c>
      <c r="M1557" s="116">
        <v>2346.6</v>
      </c>
      <c r="N1557" s="116">
        <v>2403.3000000000002</v>
      </c>
      <c r="O1557" s="116">
        <v>2328.1999999999998</v>
      </c>
      <c r="P1557" s="116">
        <v>2375</v>
      </c>
      <c r="Q1557" s="116">
        <v>2346.6</v>
      </c>
      <c r="R1557">
        <v>86061</v>
      </c>
    </row>
    <row r="1558" spans="1:18" x14ac:dyDescent="0.25">
      <c r="A1558" s="170">
        <v>45938</v>
      </c>
      <c r="B1558" s="116">
        <v>2455.1</v>
      </c>
      <c r="C1558" s="116">
        <v>2439.75</v>
      </c>
      <c r="D1558" s="116">
        <v>2335.4499999999998</v>
      </c>
      <c r="E1558" s="116">
        <v>2336.0500000000002</v>
      </c>
      <c r="F1558" s="116">
        <v>2439.75</v>
      </c>
      <c r="G1558">
        <v>9535</v>
      </c>
      <c r="H1558" s="116"/>
      <c r="I1558" s="116"/>
      <c r="L1558" s="170">
        <v>45938</v>
      </c>
      <c r="M1558" s="116">
        <v>2437.6</v>
      </c>
      <c r="N1558" s="116">
        <v>2459.6999999999998</v>
      </c>
      <c r="O1558" s="116">
        <v>2333.6</v>
      </c>
      <c r="P1558" s="116">
        <v>2343</v>
      </c>
      <c r="Q1558" s="116">
        <v>2437.6</v>
      </c>
      <c r="R1558">
        <v>266420</v>
      </c>
    </row>
    <row r="1559" spans="1:18" x14ac:dyDescent="0.25">
      <c r="A1559" s="170">
        <v>45939</v>
      </c>
      <c r="B1559" s="116">
        <v>2439.75</v>
      </c>
      <c r="C1559" s="116">
        <v>2409.3000000000002</v>
      </c>
      <c r="D1559" s="116">
        <v>2396</v>
      </c>
      <c r="E1559" s="116">
        <v>2439.75</v>
      </c>
      <c r="F1559" s="116">
        <v>2409.3000000000002</v>
      </c>
      <c r="G1559">
        <v>3516</v>
      </c>
      <c r="H1559" s="116"/>
      <c r="I1559" s="116"/>
      <c r="L1559" s="170">
        <v>45939</v>
      </c>
      <c r="M1559" s="116">
        <v>2412.1999999999998</v>
      </c>
      <c r="N1559" s="116">
        <v>2444.4</v>
      </c>
      <c r="O1559" s="116">
        <v>2395</v>
      </c>
      <c r="P1559" s="116">
        <v>2442.1999999999998</v>
      </c>
      <c r="Q1559" s="116">
        <v>2412.1999999999998</v>
      </c>
      <c r="R1559">
        <v>44174</v>
      </c>
    </row>
    <row r="1560" spans="1:18" x14ac:dyDescent="0.25">
      <c r="A1560" s="170">
        <v>45940</v>
      </c>
      <c r="B1560" s="116">
        <v>2410.5500000000002</v>
      </c>
      <c r="C1560" s="116">
        <v>2390.8000000000002</v>
      </c>
      <c r="D1560" s="116">
        <v>2380</v>
      </c>
      <c r="E1560" s="116">
        <v>2390.9499999999998</v>
      </c>
      <c r="F1560" s="116">
        <v>2390.8000000000002</v>
      </c>
      <c r="G1560">
        <v>2581</v>
      </c>
      <c r="H1560" s="116"/>
      <c r="I1560" s="116"/>
      <c r="L1560" s="170">
        <v>45940</v>
      </c>
      <c r="M1560" s="116">
        <v>2391.4</v>
      </c>
      <c r="N1560" s="116">
        <v>2411.9</v>
      </c>
      <c r="O1560" s="116">
        <v>2378</v>
      </c>
      <c r="P1560" s="116">
        <v>2395.5</v>
      </c>
      <c r="Q1560" s="116">
        <v>2391.4</v>
      </c>
      <c r="R1560">
        <v>135622</v>
      </c>
    </row>
    <row r="1561" spans="1:18" x14ac:dyDescent="0.25">
      <c r="A1561" s="170">
        <v>45943</v>
      </c>
      <c r="B1561" s="116">
        <v>2415.9499999999998</v>
      </c>
      <c r="C1561" s="116">
        <v>2396.9499999999998</v>
      </c>
      <c r="D1561" s="116">
        <v>2380</v>
      </c>
      <c r="E1561" s="116">
        <v>2380.5</v>
      </c>
      <c r="F1561" s="116">
        <v>2396.9499999999998</v>
      </c>
      <c r="G1561">
        <v>1396</v>
      </c>
      <c r="H1561" s="116"/>
      <c r="I1561" s="116"/>
      <c r="L1561" s="170">
        <v>45943</v>
      </c>
      <c r="M1561" s="116">
        <v>2398.5</v>
      </c>
      <c r="N1561" s="116">
        <v>2417.1</v>
      </c>
      <c r="O1561" s="116">
        <v>2374.1</v>
      </c>
      <c r="P1561" s="116">
        <v>2392</v>
      </c>
      <c r="Q1561" s="116">
        <v>2398.5</v>
      </c>
      <c r="R1561">
        <v>34819</v>
      </c>
    </row>
    <row r="1562" spans="1:18" x14ac:dyDescent="0.25">
      <c r="A1562" s="170">
        <v>45944</v>
      </c>
      <c r="B1562" s="116">
        <v>2395</v>
      </c>
      <c r="C1562" s="116">
        <v>2335.5</v>
      </c>
      <c r="D1562" s="116">
        <v>2321.1999999999998</v>
      </c>
      <c r="E1562" s="116">
        <v>2395</v>
      </c>
      <c r="F1562" s="116">
        <v>2335.5</v>
      </c>
      <c r="G1562">
        <v>4640</v>
      </c>
      <c r="H1562" s="116"/>
      <c r="I1562" s="116"/>
      <c r="L1562" s="170">
        <v>45944</v>
      </c>
      <c r="M1562" s="116">
        <v>2334.8000000000002</v>
      </c>
      <c r="N1562" s="116">
        <v>2403.6999999999998</v>
      </c>
      <c r="O1562" s="116">
        <v>2321.1</v>
      </c>
      <c r="P1562" s="116">
        <v>2398</v>
      </c>
      <c r="Q1562" s="116">
        <v>2334.8000000000002</v>
      </c>
      <c r="R1562">
        <v>97073</v>
      </c>
    </row>
    <row r="1563" spans="1:18" x14ac:dyDescent="0.25">
      <c r="A1563" s="170">
        <v>45945</v>
      </c>
      <c r="B1563" s="116">
        <v>2362.4499999999998</v>
      </c>
      <c r="C1563" s="116">
        <v>2334.5</v>
      </c>
      <c r="D1563" s="116">
        <v>2320</v>
      </c>
      <c r="E1563" s="116">
        <v>2358.9499999999998</v>
      </c>
      <c r="F1563" s="116">
        <v>2334.5</v>
      </c>
      <c r="G1563">
        <v>2694</v>
      </c>
      <c r="H1563" s="116"/>
      <c r="I1563" s="116"/>
      <c r="L1563" s="170">
        <v>45945</v>
      </c>
      <c r="M1563" s="116">
        <v>2329.6999999999998</v>
      </c>
      <c r="N1563" s="116">
        <v>2362</v>
      </c>
      <c r="O1563" s="116">
        <v>2316.1999999999998</v>
      </c>
      <c r="P1563" s="116">
        <v>2334.9</v>
      </c>
      <c r="Q1563" s="116">
        <v>2329.6999999999998</v>
      </c>
      <c r="R1563">
        <v>68161</v>
      </c>
    </row>
    <row r="1564" spans="1:18" x14ac:dyDescent="0.25">
      <c r="A1564" s="170">
        <v>45946</v>
      </c>
      <c r="B1564" s="116">
        <v>2370</v>
      </c>
      <c r="C1564" s="116">
        <v>2358.1999999999998</v>
      </c>
      <c r="D1564" s="116">
        <v>2315.0500000000002</v>
      </c>
      <c r="E1564" s="116">
        <v>2315.0500000000002</v>
      </c>
      <c r="F1564" s="116">
        <v>2358.1999999999998</v>
      </c>
      <c r="G1564">
        <v>3028</v>
      </c>
      <c r="H1564" s="116"/>
      <c r="I1564" s="116"/>
      <c r="L1564" s="170">
        <v>45946</v>
      </c>
      <c r="M1564" s="116">
        <v>2356.1999999999998</v>
      </c>
      <c r="N1564" s="116">
        <v>2368.9</v>
      </c>
      <c r="O1564" s="116">
        <v>2333.8000000000002</v>
      </c>
      <c r="P1564" s="116">
        <v>2333.8000000000002</v>
      </c>
      <c r="Q1564" s="116">
        <v>2356.1999999999998</v>
      </c>
      <c r="R1564">
        <v>49079</v>
      </c>
    </row>
    <row r="1565" spans="1:18" x14ac:dyDescent="0.25">
      <c r="A1565" s="170">
        <v>45947</v>
      </c>
      <c r="B1565" s="116">
        <v>2379.25</v>
      </c>
      <c r="C1565" s="116">
        <v>2342.4</v>
      </c>
      <c r="D1565" s="116">
        <v>2333</v>
      </c>
      <c r="E1565" s="116">
        <v>2379.25</v>
      </c>
      <c r="F1565" s="116">
        <v>2342.4</v>
      </c>
      <c r="G1565">
        <v>3114</v>
      </c>
      <c r="H1565" s="116"/>
      <c r="I1565" s="116"/>
      <c r="L1565" s="170">
        <v>45947</v>
      </c>
      <c r="M1565" s="116">
        <v>2344.1</v>
      </c>
      <c r="N1565" s="116">
        <v>2367.3000000000002</v>
      </c>
      <c r="O1565" s="116">
        <v>2330.9</v>
      </c>
      <c r="P1565" s="116">
        <v>2350.1</v>
      </c>
      <c r="Q1565" s="116">
        <v>2344.1</v>
      </c>
      <c r="R1565">
        <v>59188</v>
      </c>
    </row>
    <row r="1566" spans="1:18" x14ac:dyDescent="0.25">
      <c r="A1566" s="170">
        <v>45950</v>
      </c>
      <c r="B1566" s="116">
        <v>2356.1999999999998</v>
      </c>
      <c r="C1566" s="116">
        <v>2334.9</v>
      </c>
      <c r="D1566" s="116">
        <v>2253.85</v>
      </c>
      <c r="E1566" s="116">
        <v>2324.85</v>
      </c>
      <c r="F1566" s="116">
        <v>2334.9</v>
      </c>
      <c r="G1566">
        <v>7399</v>
      </c>
      <c r="H1566" s="116"/>
      <c r="I1566" s="116"/>
      <c r="L1566" s="170">
        <v>45950</v>
      </c>
      <c r="M1566" s="116">
        <v>2334.6999999999998</v>
      </c>
      <c r="N1566" s="116">
        <v>2356.9</v>
      </c>
      <c r="O1566" s="116">
        <v>2252.5</v>
      </c>
      <c r="P1566" s="116">
        <v>2310</v>
      </c>
      <c r="Q1566" s="116">
        <v>2334.6999999999998</v>
      </c>
      <c r="R1566">
        <v>269950</v>
      </c>
    </row>
    <row r="1567" spans="1:18" x14ac:dyDescent="0.25">
      <c r="A1567" s="170">
        <v>45951</v>
      </c>
      <c r="B1567" s="116">
        <v>2383</v>
      </c>
      <c r="C1567" s="116">
        <v>2375.0500000000002</v>
      </c>
      <c r="D1567" s="116">
        <v>2340</v>
      </c>
      <c r="E1567" s="116">
        <v>2340</v>
      </c>
      <c r="F1567" s="116">
        <v>2375.0500000000002</v>
      </c>
      <c r="G1567">
        <v>3035</v>
      </c>
      <c r="H1567" s="116"/>
      <c r="I1567" s="116"/>
      <c r="L1567" s="170">
        <v>45951</v>
      </c>
      <c r="M1567" s="116">
        <v>2376.6999999999998</v>
      </c>
      <c r="N1567" s="116">
        <v>2385.5</v>
      </c>
      <c r="O1567" s="116">
        <v>2335</v>
      </c>
      <c r="P1567" s="116">
        <v>2347.9</v>
      </c>
      <c r="Q1567" s="116">
        <v>2376.6999999999998</v>
      </c>
      <c r="R1567">
        <v>16940</v>
      </c>
    </row>
    <row r="1568" spans="1:18" x14ac:dyDescent="0.25">
      <c r="A1568" s="170">
        <v>45953</v>
      </c>
      <c r="B1568" s="116">
        <v>2382</v>
      </c>
      <c r="C1568" s="116">
        <v>2349.65</v>
      </c>
      <c r="D1568" s="116">
        <v>2338.6</v>
      </c>
      <c r="E1568" s="116">
        <v>2382</v>
      </c>
      <c r="F1568" s="116">
        <v>2349.65</v>
      </c>
      <c r="G1568">
        <v>3152</v>
      </c>
      <c r="H1568" s="116"/>
      <c r="I1568" s="116"/>
      <c r="L1568" s="170">
        <v>45953</v>
      </c>
      <c r="M1568" s="116">
        <v>2349.8000000000002</v>
      </c>
      <c r="N1568" s="116">
        <v>2383.9</v>
      </c>
      <c r="O1568" s="116">
        <v>2337.1999999999998</v>
      </c>
      <c r="P1568" s="116">
        <v>2379.1</v>
      </c>
      <c r="Q1568" s="116">
        <v>2349.8000000000002</v>
      </c>
      <c r="R1568">
        <v>67302</v>
      </c>
    </row>
    <row r="1569" spans="1:18" x14ac:dyDescent="0.25">
      <c r="A1569" s="170">
        <v>45954</v>
      </c>
      <c r="B1569" s="116">
        <v>2375.1999999999998</v>
      </c>
      <c r="C1569" s="116">
        <v>2371.6999999999998</v>
      </c>
      <c r="D1569" s="116">
        <v>2329.0500000000002</v>
      </c>
      <c r="E1569" s="116">
        <v>2336</v>
      </c>
      <c r="F1569" s="116">
        <v>2371.6999999999998</v>
      </c>
      <c r="G1569">
        <v>1530</v>
      </c>
      <c r="H1569" s="116"/>
      <c r="I1569" s="116"/>
      <c r="L1569" s="170">
        <v>45954</v>
      </c>
      <c r="M1569" s="116">
        <v>2370.8000000000002</v>
      </c>
      <c r="N1569" s="116">
        <v>2377.5</v>
      </c>
      <c r="O1569" s="116">
        <v>2326.4</v>
      </c>
      <c r="P1569" s="116">
        <v>2330.5</v>
      </c>
      <c r="Q1569" s="116">
        <v>2370.8000000000002</v>
      </c>
      <c r="R1569">
        <v>56110</v>
      </c>
    </row>
    <row r="1570" spans="1:18" x14ac:dyDescent="0.25">
      <c r="A1570" s="170">
        <v>45957</v>
      </c>
      <c r="B1570" s="116">
        <v>2463</v>
      </c>
      <c r="C1570" s="116">
        <v>2453.4</v>
      </c>
      <c r="D1570" s="116">
        <v>2351.4</v>
      </c>
      <c r="E1570" s="116">
        <v>2351.4</v>
      </c>
      <c r="F1570" s="116">
        <v>2453.4</v>
      </c>
      <c r="G1570">
        <v>10678</v>
      </c>
      <c r="H1570" s="116"/>
      <c r="I1570" s="116"/>
      <c r="L1570" s="170">
        <v>45957</v>
      </c>
      <c r="M1570" s="116">
        <v>2455.1</v>
      </c>
      <c r="N1570" s="116">
        <v>2465.9</v>
      </c>
      <c r="O1570" s="116">
        <v>2353</v>
      </c>
      <c r="P1570" s="116">
        <v>2370.8000000000002</v>
      </c>
      <c r="Q1570" s="116">
        <v>2455.1</v>
      </c>
      <c r="R1570">
        <v>178806</v>
      </c>
    </row>
    <row r="1571" spans="1:18" x14ac:dyDescent="0.25">
      <c r="A1571" s="170">
        <v>45958</v>
      </c>
      <c r="B1571" s="116">
        <v>2491.4499999999998</v>
      </c>
      <c r="C1571" s="116">
        <v>2482.6999999999998</v>
      </c>
      <c r="D1571" s="116">
        <v>2431.1999999999998</v>
      </c>
      <c r="E1571" s="116">
        <v>2442.85</v>
      </c>
      <c r="F1571" s="116">
        <v>2482.6999999999998</v>
      </c>
      <c r="G1571">
        <v>2232</v>
      </c>
      <c r="H1571" s="116"/>
      <c r="I1571" s="116"/>
      <c r="L1571" s="170">
        <v>45958</v>
      </c>
      <c r="M1571" s="116">
        <v>2480.4</v>
      </c>
      <c r="N1571" s="116">
        <v>2490.1999999999998</v>
      </c>
      <c r="O1571" s="116">
        <v>2430</v>
      </c>
      <c r="P1571" s="116">
        <v>2450.5</v>
      </c>
      <c r="Q1571" s="116">
        <v>2480.4</v>
      </c>
      <c r="R1571">
        <v>104061</v>
      </c>
    </row>
    <row r="1572" spans="1:18" x14ac:dyDescent="0.25">
      <c r="A1572" s="170">
        <v>45959</v>
      </c>
      <c r="B1572" s="116">
        <v>2490</v>
      </c>
      <c r="C1572" s="116">
        <v>2483.35</v>
      </c>
      <c r="D1572" s="116">
        <v>2437</v>
      </c>
      <c r="E1572" s="116">
        <v>2488.25</v>
      </c>
      <c r="F1572" s="116">
        <v>2483.35</v>
      </c>
      <c r="G1572">
        <v>5024</v>
      </c>
      <c r="H1572" s="116"/>
      <c r="I1572" s="116"/>
      <c r="L1572" s="170">
        <v>45959</v>
      </c>
      <c r="M1572" s="116">
        <v>2483.6999999999998</v>
      </c>
      <c r="N1572" s="116">
        <v>2489</v>
      </c>
      <c r="O1572" s="116">
        <v>2435</v>
      </c>
      <c r="P1572" s="116">
        <v>2474</v>
      </c>
      <c r="Q1572" s="116">
        <v>2483.6999999999998</v>
      </c>
      <c r="R1572">
        <v>91985</v>
      </c>
    </row>
    <row r="1573" spans="1:18" x14ac:dyDescent="0.25">
      <c r="A1573" s="170">
        <v>45960</v>
      </c>
      <c r="B1573" s="116">
        <v>2484.9499999999998</v>
      </c>
      <c r="C1573" s="116">
        <v>2468.25</v>
      </c>
      <c r="D1573" s="116">
        <v>2436.1999999999998</v>
      </c>
      <c r="E1573" s="116">
        <v>2484.9499999999998</v>
      </c>
      <c r="F1573" s="116">
        <v>2468.25</v>
      </c>
      <c r="G1573">
        <v>1973</v>
      </c>
      <c r="H1573" s="116"/>
      <c r="I1573" s="116"/>
      <c r="L1573" s="170">
        <v>45960</v>
      </c>
      <c r="M1573" s="116">
        <v>2469.6</v>
      </c>
      <c r="N1573" s="116">
        <v>2485.3000000000002</v>
      </c>
      <c r="O1573" s="116">
        <v>2435.1</v>
      </c>
      <c r="P1573" s="116">
        <v>2477</v>
      </c>
      <c r="Q1573" s="116">
        <v>2469.6</v>
      </c>
      <c r="R1573">
        <v>46086</v>
      </c>
    </row>
    <row r="1574" spans="1:18" x14ac:dyDescent="0.25">
      <c r="A1574" s="170">
        <v>45961</v>
      </c>
      <c r="B1574" s="116">
        <v>2483.9499999999998</v>
      </c>
      <c r="C1574" s="116">
        <v>2457.15</v>
      </c>
      <c r="D1574" s="116">
        <v>2415.5500000000002</v>
      </c>
      <c r="E1574" s="116">
        <v>2483.9499999999998</v>
      </c>
      <c r="F1574" s="116">
        <v>2457.15</v>
      </c>
      <c r="G1574">
        <v>2851</v>
      </c>
      <c r="H1574" s="116"/>
      <c r="I1574" s="116"/>
      <c r="L1574" s="170">
        <v>45961</v>
      </c>
      <c r="M1574" s="116">
        <v>2457.9</v>
      </c>
      <c r="N1574" s="116">
        <v>2477</v>
      </c>
      <c r="O1574" s="116">
        <v>2415.4</v>
      </c>
      <c r="P1574" s="116">
        <v>2458.4</v>
      </c>
      <c r="Q1574" s="116">
        <v>2457.9</v>
      </c>
      <c r="R1574">
        <v>70640</v>
      </c>
    </row>
    <row r="1575" spans="1:18" x14ac:dyDescent="0.25">
      <c r="A1575" s="170">
        <v>45964</v>
      </c>
      <c r="B1575" s="116">
        <v>2472.1999999999998</v>
      </c>
      <c r="C1575" s="116">
        <v>2467</v>
      </c>
      <c r="D1575" s="116">
        <v>2411.9499999999998</v>
      </c>
      <c r="E1575" s="116">
        <v>2411.9499999999998</v>
      </c>
      <c r="F1575" s="116">
        <v>2467</v>
      </c>
      <c r="G1575">
        <v>3346</v>
      </c>
      <c r="H1575" s="116"/>
      <c r="I1575" s="116"/>
      <c r="L1575" s="170">
        <v>45964</v>
      </c>
      <c r="M1575" s="116">
        <v>2466.8000000000002</v>
      </c>
      <c r="N1575" s="116">
        <v>2473.6999999999998</v>
      </c>
      <c r="O1575" s="116">
        <v>2437.8000000000002</v>
      </c>
      <c r="P1575" s="116">
        <v>2447.9</v>
      </c>
      <c r="Q1575" s="116">
        <v>2466.8000000000002</v>
      </c>
      <c r="R1575">
        <v>53005</v>
      </c>
    </row>
    <row r="1576" spans="1:18" x14ac:dyDescent="0.25">
      <c r="A1576" s="170">
        <v>45965</v>
      </c>
      <c r="B1576" s="116">
        <v>2480</v>
      </c>
      <c r="C1576" s="116">
        <v>2468.4</v>
      </c>
      <c r="D1576" s="116">
        <v>2454.5</v>
      </c>
      <c r="E1576" s="116">
        <v>2460.65</v>
      </c>
      <c r="F1576" s="116">
        <v>2468.4</v>
      </c>
      <c r="G1576">
        <v>2828</v>
      </c>
      <c r="H1576" s="116"/>
      <c r="I1576" s="116"/>
      <c r="L1576" s="170">
        <v>45965</v>
      </c>
      <c r="M1576" s="116">
        <v>2468.1999999999998</v>
      </c>
      <c r="N1576" s="116">
        <v>2476.6999999999998</v>
      </c>
      <c r="O1576" s="116">
        <v>2441.6</v>
      </c>
      <c r="P1576" s="116">
        <v>2465</v>
      </c>
      <c r="Q1576" s="116">
        <v>2468.1999999999998</v>
      </c>
      <c r="R1576">
        <v>60053</v>
      </c>
    </row>
    <row r="1577" spans="1:18" x14ac:dyDescent="0.25">
      <c r="A1577" s="170">
        <v>45967</v>
      </c>
      <c r="B1577" s="116">
        <v>2493</v>
      </c>
      <c r="C1577" s="116">
        <v>2473.1999999999998</v>
      </c>
      <c r="D1577" s="116">
        <v>2440.0500000000002</v>
      </c>
      <c r="E1577" s="116">
        <v>2456.9499999999998</v>
      </c>
      <c r="F1577" s="116">
        <v>2473.1999999999998</v>
      </c>
      <c r="G1577">
        <v>8184</v>
      </c>
      <c r="H1577" s="116"/>
      <c r="I1577" s="116"/>
      <c r="L1577" s="170">
        <v>45967</v>
      </c>
      <c r="M1577" s="116">
        <v>2473.1</v>
      </c>
      <c r="N1577" s="116">
        <v>2494</v>
      </c>
      <c r="O1577" s="116">
        <v>2441.1</v>
      </c>
      <c r="P1577" s="116">
        <v>2470</v>
      </c>
      <c r="Q1577" s="116">
        <v>2473.1</v>
      </c>
      <c r="R1577">
        <v>114451</v>
      </c>
    </row>
    <row r="1578" spans="1:18" x14ac:dyDescent="0.25">
      <c r="A1578" s="170">
        <v>45968</v>
      </c>
      <c r="B1578" s="116">
        <v>2471.0500000000002</v>
      </c>
      <c r="C1578" s="116">
        <v>2449.35</v>
      </c>
      <c r="D1578" s="116">
        <v>2424.85</v>
      </c>
      <c r="E1578" s="116">
        <v>2465.6</v>
      </c>
      <c r="F1578" s="116">
        <v>2449.35</v>
      </c>
      <c r="G1578">
        <v>5005</v>
      </c>
      <c r="H1578" s="116"/>
      <c r="I1578" s="116"/>
      <c r="L1578" s="170">
        <v>45968</v>
      </c>
      <c r="M1578" s="116">
        <v>2447.5</v>
      </c>
      <c r="N1578" s="116">
        <v>2479.9</v>
      </c>
      <c r="O1578" s="116">
        <v>2422.4</v>
      </c>
      <c r="P1578" s="116">
        <v>2473</v>
      </c>
      <c r="Q1578" s="116">
        <v>2447.5</v>
      </c>
      <c r="R1578">
        <v>67233</v>
      </c>
    </row>
    <row r="1579" spans="1:18" x14ac:dyDescent="0.25">
      <c r="A1579" s="170">
        <v>45971</v>
      </c>
      <c r="B1579" s="116">
        <v>2456.5500000000002</v>
      </c>
      <c r="C1579" s="116">
        <v>2452.1</v>
      </c>
      <c r="D1579" s="116">
        <v>2425</v>
      </c>
      <c r="E1579" s="116">
        <v>2449</v>
      </c>
      <c r="F1579" s="116">
        <v>2452.1</v>
      </c>
      <c r="G1579">
        <v>5565</v>
      </c>
      <c r="H1579" s="116"/>
      <c r="I1579" s="116"/>
      <c r="L1579" s="170">
        <v>45971</v>
      </c>
      <c r="M1579" s="116">
        <v>2451.8000000000002</v>
      </c>
      <c r="N1579" s="116">
        <v>2458.6</v>
      </c>
      <c r="O1579" s="116">
        <v>2422.1999999999998</v>
      </c>
      <c r="P1579" s="116">
        <v>2444.1</v>
      </c>
      <c r="Q1579" s="116">
        <v>2451.8000000000002</v>
      </c>
      <c r="R1579">
        <v>30194</v>
      </c>
    </row>
    <row r="1580" spans="1:18" x14ac:dyDescent="0.25">
      <c r="A1580" s="170">
        <v>45972</v>
      </c>
      <c r="B1580" s="116">
        <v>2465.6999999999998</v>
      </c>
      <c r="C1580" s="116">
        <v>2449.4</v>
      </c>
      <c r="D1580" s="116">
        <v>2420.6</v>
      </c>
      <c r="E1580" s="116">
        <v>2445.75</v>
      </c>
      <c r="F1580" s="116">
        <v>2449.4</v>
      </c>
      <c r="G1580">
        <v>3935</v>
      </c>
      <c r="H1580" s="116"/>
      <c r="I1580" s="116"/>
      <c r="L1580" s="170">
        <v>45972</v>
      </c>
      <c r="M1580" s="116">
        <v>2452</v>
      </c>
      <c r="N1580" s="116">
        <v>2470.1999999999998</v>
      </c>
      <c r="O1580" s="116">
        <v>2421</v>
      </c>
      <c r="P1580" s="116">
        <v>2451.8000000000002</v>
      </c>
      <c r="Q1580" s="116">
        <v>2452</v>
      </c>
      <c r="R1580">
        <v>71520</v>
      </c>
    </row>
    <row r="1581" spans="1:18" x14ac:dyDescent="0.25">
      <c r="A1581" s="170">
        <v>45973</v>
      </c>
      <c r="B1581" s="116">
        <v>2508.6</v>
      </c>
      <c r="C1581" s="116">
        <v>2503.4499999999998</v>
      </c>
      <c r="D1581" s="116">
        <v>2446.6999999999998</v>
      </c>
      <c r="E1581" s="116">
        <v>2446.6999999999998</v>
      </c>
      <c r="F1581" s="116">
        <v>2503.4499999999998</v>
      </c>
      <c r="G1581">
        <v>4963</v>
      </c>
      <c r="H1581" s="116"/>
      <c r="I1581" s="116"/>
      <c r="L1581" s="170">
        <v>45973</v>
      </c>
      <c r="M1581" s="116">
        <v>2504.5</v>
      </c>
      <c r="N1581" s="116">
        <v>2510</v>
      </c>
      <c r="O1581" s="116">
        <v>2448.9</v>
      </c>
      <c r="P1581" s="116">
        <v>2453.6999999999998</v>
      </c>
      <c r="Q1581" s="116">
        <v>2504.5</v>
      </c>
      <c r="R1581">
        <v>108635</v>
      </c>
    </row>
    <row r="1582" spans="1:18" x14ac:dyDescent="0.25">
      <c r="A1582" s="170">
        <v>45974</v>
      </c>
      <c r="B1582" s="116">
        <v>2525</v>
      </c>
      <c r="C1582" s="116">
        <v>2478.4</v>
      </c>
      <c r="D1582" s="116">
        <v>2466.15</v>
      </c>
      <c r="E1582" s="116">
        <v>2501.1</v>
      </c>
      <c r="F1582" s="116">
        <v>2478.4</v>
      </c>
      <c r="G1582">
        <v>2916</v>
      </c>
      <c r="H1582" s="116"/>
      <c r="I1582" s="116"/>
      <c r="L1582" s="170">
        <v>45974</v>
      </c>
      <c r="M1582" s="116">
        <v>2477.1</v>
      </c>
      <c r="N1582" s="116">
        <v>2525.9</v>
      </c>
      <c r="O1582" s="116">
        <v>2467.8000000000002</v>
      </c>
      <c r="P1582" s="116">
        <v>2509</v>
      </c>
      <c r="Q1582" s="116">
        <v>2477.1</v>
      </c>
      <c r="R1582">
        <v>118124</v>
      </c>
    </row>
    <row r="1583" spans="1:18" x14ac:dyDescent="0.25">
      <c r="A1583" s="170">
        <v>45975</v>
      </c>
      <c r="B1583" s="116">
        <v>2487.9</v>
      </c>
      <c r="C1583" s="116">
        <v>2450.0500000000002</v>
      </c>
      <c r="D1583" s="116">
        <v>2444</v>
      </c>
      <c r="E1583" s="116">
        <v>2473.9</v>
      </c>
      <c r="F1583" s="116">
        <v>2450.0500000000002</v>
      </c>
      <c r="G1583">
        <v>2807</v>
      </c>
      <c r="H1583" s="116"/>
      <c r="I1583" s="116"/>
      <c r="L1583" s="170">
        <v>45975</v>
      </c>
      <c r="M1583" s="116">
        <v>2451.4</v>
      </c>
      <c r="N1583" s="116">
        <v>2489.5</v>
      </c>
      <c r="O1583" s="116">
        <v>2446</v>
      </c>
      <c r="P1583" s="116">
        <v>2489.5</v>
      </c>
      <c r="Q1583" s="116">
        <v>2451.4</v>
      </c>
      <c r="R1583">
        <v>42105</v>
      </c>
    </row>
    <row r="1584" spans="1:18" x14ac:dyDescent="0.25">
      <c r="A1584" s="170">
        <v>45978</v>
      </c>
      <c r="B1584" s="116">
        <v>2482.8000000000002</v>
      </c>
      <c r="C1584" s="116">
        <v>2475.8000000000002</v>
      </c>
      <c r="D1584" s="116">
        <v>2415.85</v>
      </c>
      <c r="E1584" s="116">
        <v>2415.85</v>
      </c>
      <c r="F1584" s="116">
        <v>2475.8000000000002</v>
      </c>
      <c r="G1584">
        <v>1856</v>
      </c>
      <c r="H1584" s="116"/>
      <c r="I1584" s="116"/>
      <c r="L1584" s="170">
        <v>45978</v>
      </c>
      <c r="M1584" s="116">
        <v>2475.5</v>
      </c>
      <c r="N1584" s="116">
        <v>2482.1</v>
      </c>
      <c r="O1584" s="116">
        <v>2426</v>
      </c>
      <c r="P1584" s="116">
        <v>2463.6999999999998</v>
      </c>
      <c r="Q1584" s="116">
        <v>2475.5</v>
      </c>
      <c r="R1584">
        <v>42898</v>
      </c>
    </row>
    <row r="1585" spans="1:18" x14ac:dyDescent="0.25">
      <c r="A1585" s="170">
        <v>45979</v>
      </c>
      <c r="B1585" s="116">
        <v>2468.15</v>
      </c>
      <c r="C1585" s="116">
        <v>2441.0500000000002</v>
      </c>
      <c r="D1585" s="116">
        <v>2433.4499999999998</v>
      </c>
      <c r="E1585" s="116">
        <v>2450.15</v>
      </c>
      <c r="F1585" s="116">
        <v>2441.0500000000002</v>
      </c>
      <c r="G1585">
        <v>3346</v>
      </c>
      <c r="H1585" s="116"/>
      <c r="I1585" s="116"/>
      <c r="L1585" s="170">
        <v>45979</v>
      </c>
      <c r="M1585" s="116">
        <v>2446.1999999999998</v>
      </c>
      <c r="N1585" s="116">
        <v>2469.6</v>
      </c>
      <c r="O1585" s="116">
        <v>2435.1</v>
      </c>
      <c r="P1585" s="116">
        <v>2460</v>
      </c>
      <c r="Q1585" s="116">
        <v>2446.1999999999998</v>
      </c>
      <c r="R1585">
        <v>180243</v>
      </c>
    </row>
    <row r="1586" spans="1:18" x14ac:dyDescent="0.25">
      <c r="A1586" s="170">
        <v>45980</v>
      </c>
      <c r="B1586" s="116">
        <v>2438.5500000000002</v>
      </c>
      <c r="C1586" s="116">
        <v>2412.65</v>
      </c>
      <c r="D1586" s="116">
        <v>2395.8000000000002</v>
      </c>
      <c r="E1586" s="116">
        <v>2431.0500000000002</v>
      </c>
      <c r="F1586" s="116">
        <v>2412.65</v>
      </c>
      <c r="G1586">
        <v>2804</v>
      </c>
      <c r="H1586" s="116"/>
      <c r="I1586" s="116"/>
      <c r="L1586" s="170">
        <v>45980</v>
      </c>
      <c r="M1586" s="116">
        <v>2413.3000000000002</v>
      </c>
      <c r="N1586" s="116">
        <v>2446.6999999999998</v>
      </c>
      <c r="O1586" s="116">
        <v>2396</v>
      </c>
      <c r="P1586" s="116">
        <v>2446.1999999999998</v>
      </c>
      <c r="Q1586" s="116">
        <v>2413.3000000000002</v>
      </c>
      <c r="R1586">
        <v>73904</v>
      </c>
    </row>
    <row r="1587" spans="1:18" x14ac:dyDescent="0.25">
      <c r="A1587" s="170">
        <v>45981</v>
      </c>
      <c r="B1587" s="116">
        <v>2427.6999999999998</v>
      </c>
      <c r="C1587" s="116">
        <v>2392.9499999999998</v>
      </c>
      <c r="D1587" s="116">
        <v>2375</v>
      </c>
      <c r="E1587" s="116">
        <v>2377.4499999999998</v>
      </c>
      <c r="F1587" s="116">
        <v>2392.9499999999998</v>
      </c>
      <c r="G1587">
        <v>348453</v>
      </c>
      <c r="H1587" s="116"/>
      <c r="I1587" s="116"/>
      <c r="L1587" s="170">
        <v>45981</v>
      </c>
      <c r="M1587" s="116">
        <v>2391.8000000000002</v>
      </c>
      <c r="N1587" s="116">
        <v>2435</v>
      </c>
      <c r="O1587" s="116">
        <v>2375</v>
      </c>
      <c r="P1587" s="116">
        <v>2429.9</v>
      </c>
      <c r="Q1587" s="116">
        <v>2391.8000000000002</v>
      </c>
      <c r="R1587">
        <v>374542</v>
      </c>
    </row>
    <row r="1588" spans="1:18" x14ac:dyDescent="0.25">
      <c r="A1588" s="170">
        <v>45982</v>
      </c>
      <c r="B1588" s="116">
        <v>2394.0500000000002</v>
      </c>
      <c r="C1588" s="116">
        <v>2342.8000000000002</v>
      </c>
      <c r="D1588" s="116">
        <v>2314.4</v>
      </c>
      <c r="E1588" s="116">
        <v>2353.5500000000002</v>
      </c>
      <c r="F1588" s="116">
        <v>2342.8000000000002</v>
      </c>
      <c r="G1588">
        <v>3880</v>
      </c>
      <c r="H1588" s="116"/>
      <c r="I1588" s="116"/>
      <c r="L1588" s="170">
        <v>45982</v>
      </c>
      <c r="M1588" s="116">
        <v>2341.8000000000002</v>
      </c>
      <c r="N1588" s="116">
        <v>2395.8000000000002</v>
      </c>
      <c r="O1588" s="116">
        <v>2315</v>
      </c>
      <c r="P1588" s="116">
        <v>2381.8000000000002</v>
      </c>
      <c r="Q1588" s="116">
        <v>2341.8000000000002</v>
      </c>
      <c r="R1588">
        <v>91738</v>
      </c>
    </row>
    <row r="1589" spans="1:18" x14ac:dyDescent="0.25">
      <c r="A1589" s="170">
        <v>45985</v>
      </c>
      <c r="B1589" s="116">
        <v>2330.6999999999998</v>
      </c>
      <c r="C1589" s="116">
        <v>2306.3000000000002</v>
      </c>
      <c r="D1589" s="116">
        <v>2300.9499999999998</v>
      </c>
      <c r="E1589" s="116">
        <v>2322.0500000000002</v>
      </c>
      <c r="F1589" s="116">
        <v>2306.3000000000002</v>
      </c>
      <c r="G1589">
        <v>189812</v>
      </c>
      <c r="H1589" s="116"/>
      <c r="I1589" s="116"/>
      <c r="L1589" s="170">
        <v>45985</v>
      </c>
      <c r="M1589" s="116">
        <v>2307.5</v>
      </c>
      <c r="N1589" s="116">
        <v>2335.6999999999998</v>
      </c>
      <c r="O1589" s="116">
        <v>2303.5</v>
      </c>
      <c r="P1589" s="116">
        <v>2321.8000000000002</v>
      </c>
      <c r="Q1589" s="116">
        <v>2307.5</v>
      </c>
      <c r="R1589">
        <v>246974</v>
      </c>
    </row>
    <row r="1590" spans="1:18" x14ac:dyDescent="0.25">
      <c r="A1590" s="170">
        <v>45986</v>
      </c>
      <c r="B1590" s="116">
        <v>2365.1</v>
      </c>
      <c r="C1590" s="116">
        <v>2358.35</v>
      </c>
      <c r="D1590" s="116">
        <v>2293.1999999999998</v>
      </c>
      <c r="E1590" s="116">
        <v>2349.9499999999998</v>
      </c>
      <c r="F1590" s="116">
        <v>2358.35</v>
      </c>
      <c r="G1590">
        <v>2080</v>
      </c>
      <c r="H1590" s="116"/>
      <c r="I1590" s="116"/>
      <c r="L1590" s="170">
        <v>45986</v>
      </c>
      <c r="M1590" s="116">
        <v>2359.5</v>
      </c>
      <c r="N1590" s="116">
        <v>2369</v>
      </c>
      <c r="O1590" s="116">
        <v>2291.5</v>
      </c>
      <c r="P1590" s="116">
        <v>2320</v>
      </c>
      <c r="Q1590" s="116">
        <v>2359.5</v>
      </c>
      <c r="R1590">
        <v>55858</v>
      </c>
    </row>
    <row r="1591" spans="1:18" x14ac:dyDescent="0.25">
      <c r="A1591" s="170">
        <v>45987</v>
      </c>
      <c r="B1591" s="116">
        <v>2358.4</v>
      </c>
      <c r="C1591" s="116">
        <v>2339.9</v>
      </c>
      <c r="D1591" s="116">
        <v>2311</v>
      </c>
      <c r="E1591" s="116">
        <v>2358.4</v>
      </c>
      <c r="F1591" s="116">
        <v>2339.9</v>
      </c>
      <c r="G1591">
        <v>1643</v>
      </c>
      <c r="H1591" s="116"/>
      <c r="I1591" s="116"/>
      <c r="L1591" s="170">
        <v>45987</v>
      </c>
      <c r="M1591" s="116">
        <v>2339.5</v>
      </c>
      <c r="N1591" s="116">
        <v>2359.8000000000002</v>
      </c>
      <c r="O1591" s="116">
        <v>2310</v>
      </c>
      <c r="P1591" s="116">
        <v>2359.5</v>
      </c>
      <c r="Q1591" s="116">
        <v>2339.5</v>
      </c>
      <c r="R1591">
        <v>48238</v>
      </c>
    </row>
    <row r="1592" spans="1:18" x14ac:dyDescent="0.25">
      <c r="A1592" s="170">
        <v>45988</v>
      </c>
      <c r="B1592" s="116">
        <v>2352.0500000000002</v>
      </c>
      <c r="C1592" s="116">
        <v>2322.6</v>
      </c>
      <c r="D1592" s="116">
        <v>2315.0500000000002</v>
      </c>
      <c r="E1592" s="116">
        <v>2321.75</v>
      </c>
      <c r="F1592" s="116">
        <v>2322.6</v>
      </c>
      <c r="G1592">
        <v>2558</v>
      </c>
      <c r="H1592" s="116"/>
      <c r="I1592" s="116"/>
      <c r="L1592" s="170">
        <v>45988</v>
      </c>
      <c r="M1592" s="116">
        <v>2323.1</v>
      </c>
      <c r="N1592" s="116">
        <v>2356.4</v>
      </c>
      <c r="O1592" s="116">
        <v>2315</v>
      </c>
      <c r="P1592" s="116">
        <v>2339.4</v>
      </c>
      <c r="Q1592" s="116">
        <v>2323.1</v>
      </c>
      <c r="R1592">
        <v>31663</v>
      </c>
    </row>
    <row r="1593" spans="1:18" x14ac:dyDescent="0.25">
      <c r="A1593" s="170">
        <v>45989</v>
      </c>
      <c r="B1593" s="116">
        <v>2355.15</v>
      </c>
      <c r="C1593" s="116">
        <v>2313.5500000000002</v>
      </c>
      <c r="D1593" s="116">
        <v>2300.8000000000002</v>
      </c>
      <c r="E1593" s="116">
        <v>2334.15</v>
      </c>
      <c r="F1593" s="116">
        <v>2313.5500000000002</v>
      </c>
      <c r="G1593">
        <v>1840</v>
      </c>
      <c r="H1593" s="116"/>
      <c r="I1593" s="116"/>
      <c r="L1593" s="170">
        <v>45989</v>
      </c>
      <c r="M1593" s="116">
        <v>2310</v>
      </c>
      <c r="N1593" s="116">
        <v>2359.1999999999998</v>
      </c>
      <c r="O1593" s="116">
        <v>2300</v>
      </c>
      <c r="P1593" s="116">
        <v>2323.1</v>
      </c>
      <c r="Q1593" s="116">
        <v>2310</v>
      </c>
      <c r="R1593">
        <v>56915</v>
      </c>
    </row>
    <row r="1594" spans="1:18" x14ac:dyDescent="0.25">
      <c r="A1594" s="170">
        <v>45992</v>
      </c>
      <c r="B1594" s="116">
        <v>2338.8000000000002</v>
      </c>
      <c r="C1594" s="116">
        <v>2329.5</v>
      </c>
      <c r="D1594" s="116">
        <v>2302.5</v>
      </c>
      <c r="E1594" s="116">
        <v>2310.4499999999998</v>
      </c>
      <c r="F1594" s="116">
        <v>2329.5</v>
      </c>
      <c r="G1594">
        <v>1761</v>
      </c>
      <c r="H1594" s="116"/>
      <c r="I1594" s="116"/>
      <c r="L1594" s="170">
        <v>45992</v>
      </c>
      <c r="M1594" s="116">
        <v>2330.8000000000002</v>
      </c>
      <c r="N1594" s="116">
        <v>2338.5</v>
      </c>
      <c r="O1594" s="116">
        <v>2301.6999999999998</v>
      </c>
      <c r="P1594" s="116">
        <v>2309.9</v>
      </c>
      <c r="Q1594" s="116">
        <v>2330.8000000000002</v>
      </c>
      <c r="R1594">
        <v>31509</v>
      </c>
    </row>
    <row r="1595" spans="1:18" x14ac:dyDescent="0.25">
      <c r="A1595" s="170">
        <v>45993</v>
      </c>
      <c r="B1595" s="116">
        <v>2343</v>
      </c>
      <c r="C1595" s="116">
        <v>2334.9499999999998</v>
      </c>
      <c r="D1595" s="116">
        <v>2281.0500000000002</v>
      </c>
      <c r="E1595" s="116">
        <v>2301.25</v>
      </c>
      <c r="F1595" s="116">
        <v>2334.9499999999998</v>
      </c>
      <c r="G1595">
        <v>1631</v>
      </c>
      <c r="H1595" s="116"/>
      <c r="I1595" s="116"/>
      <c r="L1595" s="170">
        <v>45993</v>
      </c>
      <c r="M1595" s="116">
        <v>2326.1</v>
      </c>
      <c r="N1595" s="116">
        <v>2345</v>
      </c>
      <c r="O1595" s="116">
        <v>2280</v>
      </c>
      <c r="P1595" s="116">
        <v>2311</v>
      </c>
      <c r="Q1595" s="116">
        <v>2326.1</v>
      </c>
      <c r="R1595">
        <v>258821</v>
      </c>
    </row>
    <row r="1596" spans="1:18" x14ac:dyDescent="0.25">
      <c r="A1596" s="170">
        <v>45994</v>
      </c>
      <c r="B1596" s="116">
        <v>2345</v>
      </c>
      <c r="C1596" s="116">
        <v>2327.6</v>
      </c>
      <c r="D1596" s="116">
        <v>2300.85</v>
      </c>
      <c r="E1596" s="116">
        <v>2334</v>
      </c>
      <c r="F1596" s="116">
        <v>2327.6</v>
      </c>
      <c r="G1596">
        <v>1945</v>
      </c>
      <c r="H1596" s="116"/>
      <c r="I1596" s="116"/>
      <c r="L1596" s="170">
        <v>45994</v>
      </c>
      <c r="M1596" s="116">
        <v>2329.5</v>
      </c>
      <c r="N1596" s="116">
        <v>2345.5</v>
      </c>
      <c r="O1596" s="116">
        <v>2301.1</v>
      </c>
      <c r="P1596" s="116">
        <v>2326.1</v>
      </c>
      <c r="Q1596" s="116">
        <v>2329.5</v>
      </c>
      <c r="R1596">
        <v>127611</v>
      </c>
    </row>
    <row r="1597" spans="1:18" x14ac:dyDescent="0.25">
      <c r="A1597" s="170">
        <v>45995</v>
      </c>
      <c r="B1597" s="116">
        <v>2323.5500000000002</v>
      </c>
      <c r="C1597" s="116">
        <v>2291.85</v>
      </c>
      <c r="D1597" s="116">
        <v>2285.6999999999998</v>
      </c>
      <c r="E1597" s="116">
        <v>2323.5500000000002</v>
      </c>
      <c r="F1597" s="116">
        <v>2291.85</v>
      </c>
      <c r="G1597">
        <v>1047</v>
      </c>
      <c r="H1597" s="116"/>
      <c r="I1597" s="116"/>
      <c r="L1597" s="170">
        <v>45995</v>
      </c>
      <c r="M1597" s="116">
        <v>2292.3000000000002</v>
      </c>
      <c r="N1597" s="116">
        <v>2325.3000000000002</v>
      </c>
      <c r="O1597" s="116">
        <v>2286</v>
      </c>
      <c r="P1597" s="116">
        <v>2315.1</v>
      </c>
      <c r="Q1597" s="116">
        <v>2292.3000000000002</v>
      </c>
      <c r="R1597">
        <v>126589</v>
      </c>
    </row>
    <row r="1598" spans="1:18" x14ac:dyDescent="0.25">
      <c r="A1598" s="170">
        <v>45996</v>
      </c>
      <c r="B1598" s="116">
        <v>2326</v>
      </c>
      <c r="C1598" s="116">
        <v>2314.4</v>
      </c>
      <c r="D1598" s="116">
        <v>2285.4499999999998</v>
      </c>
      <c r="E1598" s="116">
        <v>2291.9</v>
      </c>
      <c r="F1598" s="116">
        <v>2314.4</v>
      </c>
      <c r="G1598">
        <v>1120</v>
      </c>
      <c r="H1598" s="116"/>
      <c r="I1598" s="116"/>
      <c r="L1598" s="170">
        <v>45996</v>
      </c>
      <c r="M1598" s="116">
        <v>2312.4</v>
      </c>
      <c r="N1598" s="116">
        <v>2320</v>
      </c>
      <c r="O1598" s="116">
        <v>2282.1</v>
      </c>
      <c r="P1598" s="116">
        <v>2292</v>
      </c>
      <c r="Q1598" s="116">
        <v>2312.4</v>
      </c>
      <c r="R1598">
        <v>18431</v>
      </c>
    </row>
    <row r="1599" spans="1:18" x14ac:dyDescent="0.25">
      <c r="A1599" s="170">
        <v>45999</v>
      </c>
      <c r="B1599" s="116">
        <v>2312.4</v>
      </c>
      <c r="C1599" s="116">
        <v>2276.8000000000002</v>
      </c>
      <c r="D1599" s="116">
        <v>2250.35</v>
      </c>
      <c r="E1599" s="116">
        <v>2312.4</v>
      </c>
      <c r="F1599" s="116">
        <v>2276.8000000000002</v>
      </c>
      <c r="G1599">
        <v>2850</v>
      </c>
      <c r="H1599" s="116"/>
      <c r="I1599" s="116"/>
      <c r="L1599" s="170">
        <v>45999</v>
      </c>
      <c r="M1599" s="116">
        <v>2273.4</v>
      </c>
      <c r="N1599" s="116">
        <v>2312.3000000000002</v>
      </c>
      <c r="O1599" s="116">
        <v>2250.1</v>
      </c>
      <c r="P1599" s="116">
        <v>2302.1</v>
      </c>
      <c r="Q1599" s="116">
        <v>2273.4</v>
      </c>
      <c r="R1599">
        <v>39936</v>
      </c>
    </row>
    <row r="1600" spans="1:18" x14ac:dyDescent="0.25">
      <c r="A1600" s="170">
        <v>46000</v>
      </c>
      <c r="B1600" s="116">
        <v>2296.9499999999998</v>
      </c>
      <c r="C1600" s="116">
        <v>2257.65</v>
      </c>
      <c r="D1600" s="116">
        <v>2239.25</v>
      </c>
      <c r="E1600" s="116">
        <v>2251.1</v>
      </c>
      <c r="F1600" s="116">
        <v>2257.65</v>
      </c>
      <c r="G1600">
        <v>5080</v>
      </c>
      <c r="H1600" s="116"/>
      <c r="I1600" s="116"/>
      <c r="L1600" s="170">
        <v>46000</v>
      </c>
      <c r="M1600" s="116">
        <v>2257.8000000000002</v>
      </c>
      <c r="N1600" s="116">
        <v>2298</v>
      </c>
      <c r="O1600" s="116">
        <v>2240</v>
      </c>
      <c r="P1600" s="116">
        <v>2262.1</v>
      </c>
      <c r="Q1600" s="116">
        <v>2257.8000000000002</v>
      </c>
      <c r="R1600">
        <v>125235</v>
      </c>
    </row>
    <row r="1601" spans="1:18" x14ac:dyDescent="0.25">
      <c r="A1601" s="170">
        <v>46001</v>
      </c>
      <c r="B1601" s="116">
        <v>2277.0500000000002</v>
      </c>
      <c r="C1601" s="116">
        <v>2242.1</v>
      </c>
      <c r="D1601" s="116">
        <v>2224</v>
      </c>
      <c r="E1601" s="116">
        <v>2241.25</v>
      </c>
      <c r="F1601" s="116">
        <v>2242.1</v>
      </c>
      <c r="G1601">
        <v>2516</v>
      </c>
      <c r="H1601" s="116"/>
      <c r="I1601" s="116"/>
      <c r="L1601" s="170">
        <v>46001</v>
      </c>
      <c r="M1601" s="116">
        <v>2234.6999999999998</v>
      </c>
      <c r="N1601" s="116">
        <v>2279.9</v>
      </c>
      <c r="O1601" s="116">
        <v>2220.4</v>
      </c>
      <c r="P1601" s="116">
        <v>2256</v>
      </c>
      <c r="Q1601" s="116">
        <v>2234.6999999999998</v>
      </c>
      <c r="R1601">
        <v>64000</v>
      </c>
    </row>
    <row r="1602" spans="1:18" x14ac:dyDescent="0.25">
      <c r="A1602" s="170">
        <v>46002</v>
      </c>
      <c r="B1602" s="116">
        <v>2245.8000000000002</v>
      </c>
      <c r="C1602" s="116">
        <v>2235.4</v>
      </c>
      <c r="D1602" s="116">
        <v>2222.65</v>
      </c>
      <c r="E1602" s="116">
        <v>2232.8000000000002</v>
      </c>
      <c r="F1602" s="116">
        <v>2235.4</v>
      </c>
      <c r="G1602">
        <v>2304</v>
      </c>
      <c r="H1602" s="116"/>
      <c r="I1602" s="116"/>
      <c r="L1602" s="170">
        <v>46002</v>
      </c>
      <c r="M1602" s="116">
        <v>2238.8000000000002</v>
      </c>
      <c r="N1602" s="116">
        <v>2246.9</v>
      </c>
      <c r="O1602" s="116">
        <v>2225.1999999999998</v>
      </c>
      <c r="P1602" s="116">
        <v>2234.8000000000002</v>
      </c>
      <c r="Q1602" s="116">
        <v>2238.8000000000002</v>
      </c>
      <c r="R1602">
        <v>37197</v>
      </c>
    </row>
    <row r="1603" spans="1:18" x14ac:dyDescent="0.25">
      <c r="A1603" s="170">
        <v>46003</v>
      </c>
      <c r="B1603" s="116">
        <v>2239.4499999999998</v>
      </c>
      <c r="C1603" s="116">
        <v>2233</v>
      </c>
      <c r="D1603" s="116">
        <v>2213.8000000000002</v>
      </c>
      <c r="E1603" s="116">
        <v>2226.0500000000002</v>
      </c>
      <c r="F1603" s="116">
        <v>2233</v>
      </c>
      <c r="G1603">
        <v>1497</v>
      </c>
      <c r="H1603" s="116"/>
      <c r="I1603" s="116"/>
      <c r="L1603" s="170">
        <v>46003</v>
      </c>
      <c r="M1603" s="116">
        <v>2232.1</v>
      </c>
      <c r="N1603" s="116">
        <v>2248.9</v>
      </c>
      <c r="O1603" s="116">
        <v>2212</v>
      </c>
      <c r="P1603" s="116">
        <v>2231</v>
      </c>
      <c r="Q1603" s="116">
        <v>2232.1</v>
      </c>
      <c r="R1603">
        <v>38266</v>
      </c>
    </row>
    <row r="1604" spans="1:18" x14ac:dyDescent="0.25">
      <c r="A1604" s="170">
        <v>46006</v>
      </c>
      <c r="B1604" s="116">
        <v>2279.6999999999998</v>
      </c>
      <c r="C1604" s="116">
        <v>2269.1</v>
      </c>
      <c r="D1604" s="116">
        <v>2212.35</v>
      </c>
      <c r="E1604" s="116">
        <v>2212.35</v>
      </c>
      <c r="F1604" s="116">
        <v>2269.1</v>
      </c>
      <c r="G1604">
        <v>3613</v>
      </c>
      <c r="H1604" s="116"/>
      <c r="I1604" s="116"/>
      <c r="L1604" s="170">
        <v>46006</v>
      </c>
      <c r="M1604" s="116">
        <v>2266.5</v>
      </c>
      <c r="N1604" s="116">
        <v>2282.1</v>
      </c>
      <c r="O1604" s="116">
        <v>2219.5</v>
      </c>
      <c r="P1604" s="116">
        <v>2219.5</v>
      </c>
      <c r="Q1604" s="116">
        <v>2266.5</v>
      </c>
      <c r="R1604">
        <v>29041</v>
      </c>
    </row>
    <row r="1605" spans="1:18" x14ac:dyDescent="0.25">
      <c r="A1605" s="170">
        <v>46007</v>
      </c>
      <c r="B1605" s="116">
        <v>2281.6</v>
      </c>
      <c r="C1605" s="116">
        <v>2221.65</v>
      </c>
      <c r="D1605" s="116">
        <v>2212</v>
      </c>
      <c r="E1605" s="116">
        <v>2248.15</v>
      </c>
      <c r="F1605" s="116">
        <v>2221.65</v>
      </c>
      <c r="G1605">
        <v>4151</v>
      </c>
      <c r="H1605" s="116"/>
      <c r="I1605" s="116"/>
      <c r="L1605" s="170">
        <v>46007</v>
      </c>
      <c r="M1605" s="116">
        <v>2221.4</v>
      </c>
      <c r="N1605" s="116">
        <v>2284.1999999999998</v>
      </c>
      <c r="O1605" s="116">
        <v>2211.5</v>
      </c>
      <c r="P1605" s="116">
        <v>2249.1</v>
      </c>
      <c r="Q1605" s="116">
        <v>2221.4</v>
      </c>
      <c r="R1605">
        <v>83692</v>
      </c>
    </row>
    <row r="1606" spans="1:18" x14ac:dyDescent="0.25">
      <c r="A1606" s="170">
        <v>46008</v>
      </c>
      <c r="B1606" s="116">
        <v>2271.65</v>
      </c>
      <c r="C1606" s="116">
        <v>2238</v>
      </c>
      <c r="D1606" s="116">
        <v>2205</v>
      </c>
      <c r="E1606" s="116">
        <v>2221.8000000000002</v>
      </c>
      <c r="F1606" s="116">
        <v>2238</v>
      </c>
      <c r="G1606">
        <v>3922</v>
      </c>
      <c r="H1606" s="116"/>
      <c r="I1606" s="116"/>
      <c r="L1606" s="170">
        <v>46008</v>
      </c>
      <c r="M1606" s="116">
        <v>2237</v>
      </c>
      <c r="N1606" s="116">
        <v>2269.1999999999998</v>
      </c>
      <c r="O1606" s="116">
        <v>2205</v>
      </c>
      <c r="P1606" s="116">
        <v>2239</v>
      </c>
      <c r="Q1606" s="116">
        <v>2237</v>
      </c>
      <c r="R1606">
        <v>164400</v>
      </c>
    </row>
    <row r="1607" spans="1:18" x14ac:dyDescent="0.25">
      <c r="A1607" s="170">
        <v>46009</v>
      </c>
      <c r="B1607" s="116">
        <v>2280.1999999999998</v>
      </c>
      <c r="C1607" s="116">
        <v>2263.6999999999998</v>
      </c>
      <c r="D1607" s="116">
        <v>2226.35</v>
      </c>
      <c r="E1607" s="116">
        <v>2248.85</v>
      </c>
      <c r="F1607" s="116">
        <v>2263.6999999999998</v>
      </c>
      <c r="G1607">
        <v>2214</v>
      </c>
      <c r="H1607" s="116"/>
      <c r="I1607" s="116"/>
      <c r="L1607" s="170">
        <v>46009</v>
      </c>
      <c r="M1607" s="116">
        <v>2264</v>
      </c>
      <c r="N1607" s="116">
        <v>2281.6999999999998</v>
      </c>
      <c r="O1607" s="116">
        <v>2225.1999999999998</v>
      </c>
      <c r="P1607" s="116">
        <v>2237.3000000000002</v>
      </c>
      <c r="Q1607" s="116">
        <v>2264</v>
      </c>
      <c r="R1607">
        <v>30807</v>
      </c>
    </row>
    <row r="1608" spans="1:18" x14ac:dyDescent="0.25">
      <c r="A1608" s="170">
        <v>46010</v>
      </c>
      <c r="B1608" s="116">
        <v>2300</v>
      </c>
      <c r="C1608" s="116">
        <v>2218.4499999999998</v>
      </c>
      <c r="D1608" s="116">
        <v>2211</v>
      </c>
      <c r="E1608" s="116">
        <v>2280.35</v>
      </c>
      <c r="F1608" s="116">
        <v>2218.4499999999998</v>
      </c>
      <c r="G1608">
        <v>1698</v>
      </c>
      <c r="H1608" s="116"/>
      <c r="I1608" s="116"/>
      <c r="L1608" s="170">
        <v>46010</v>
      </c>
      <c r="M1608" s="116">
        <v>2216.6</v>
      </c>
      <c r="N1608" s="116">
        <v>2300</v>
      </c>
      <c r="O1608" s="116">
        <v>2210</v>
      </c>
      <c r="P1608" s="116">
        <v>2264</v>
      </c>
      <c r="Q1608" s="116">
        <v>2216.6</v>
      </c>
      <c r="R1608">
        <v>79312</v>
      </c>
    </row>
    <row r="1609" spans="1:18" x14ac:dyDescent="0.25">
      <c r="A1609" s="170">
        <v>46013</v>
      </c>
      <c r="B1609" s="116">
        <v>2229.15</v>
      </c>
      <c r="C1609" s="116">
        <v>2218</v>
      </c>
      <c r="D1609" s="116">
        <v>2201</v>
      </c>
      <c r="E1609" s="116">
        <v>2212.25</v>
      </c>
      <c r="F1609" s="116">
        <v>2218</v>
      </c>
      <c r="G1609">
        <v>43682</v>
      </c>
      <c r="H1609" s="116"/>
      <c r="I1609" s="116"/>
      <c r="L1609" s="170">
        <v>46013</v>
      </c>
      <c r="M1609" s="116">
        <v>2218.1</v>
      </c>
      <c r="N1609" s="116">
        <v>2231.9</v>
      </c>
      <c r="O1609" s="116">
        <v>2201</v>
      </c>
      <c r="P1609" s="116">
        <v>2219.9</v>
      </c>
      <c r="Q1609" s="116">
        <v>2218.1</v>
      </c>
      <c r="R1609">
        <v>53662</v>
      </c>
    </row>
    <row r="1610" spans="1:18" x14ac:dyDescent="0.25">
      <c r="A1610" s="170">
        <v>46014</v>
      </c>
      <c r="B1610" s="116">
        <v>2266.75</v>
      </c>
      <c r="C1610" s="116">
        <v>2259.15</v>
      </c>
      <c r="D1610" s="116">
        <v>2213.8000000000002</v>
      </c>
      <c r="E1610" s="116">
        <v>2215.0500000000002</v>
      </c>
      <c r="F1610" s="116">
        <v>2259.15</v>
      </c>
      <c r="G1610">
        <v>2002</v>
      </c>
      <c r="H1610" s="116"/>
      <c r="I1610" s="116"/>
      <c r="L1610" s="170">
        <v>46014</v>
      </c>
      <c r="M1610" s="116">
        <v>2259.8000000000002</v>
      </c>
      <c r="N1610" s="116">
        <v>2268.6</v>
      </c>
      <c r="O1610" s="116">
        <v>2213</v>
      </c>
      <c r="P1610" s="116">
        <v>2217.9</v>
      </c>
      <c r="Q1610" s="116">
        <v>2259.8000000000002</v>
      </c>
      <c r="R1610">
        <v>42357</v>
      </c>
    </row>
    <row r="1611" spans="1:18" x14ac:dyDescent="0.25">
      <c r="A1611" s="170">
        <v>46015</v>
      </c>
      <c r="B1611" s="116">
        <v>2298.9</v>
      </c>
      <c r="C1611" s="116">
        <v>2231.75</v>
      </c>
      <c r="D1611" s="116">
        <v>2216.0500000000002</v>
      </c>
      <c r="E1611" s="116">
        <v>2287.6999999999998</v>
      </c>
      <c r="F1611" s="116">
        <v>2231.75</v>
      </c>
      <c r="G1611">
        <v>1830</v>
      </c>
      <c r="H1611" s="116"/>
      <c r="I1611" s="116"/>
      <c r="L1611" s="170">
        <v>46015</v>
      </c>
      <c r="M1611" s="116">
        <v>2230.6999999999998</v>
      </c>
      <c r="N1611" s="116">
        <v>2267.3000000000002</v>
      </c>
      <c r="O1611" s="116">
        <v>2215.4</v>
      </c>
      <c r="P1611" s="116">
        <v>2251.6999999999998</v>
      </c>
      <c r="Q1611" s="116">
        <v>2230.6999999999998</v>
      </c>
      <c r="R1611">
        <v>25870</v>
      </c>
    </row>
    <row r="1612" spans="1:18" x14ac:dyDescent="0.25">
      <c r="A1612" s="170">
        <v>46017</v>
      </c>
      <c r="B1612" s="116">
        <v>2245</v>
      </c>
      <c r="C1612" s="116">
        <v>2217.0500000000002</v>
      </c>
      <c r="D1612" s="116">
        <v>2204.1999999999998</v>
      </c>
      <c r="E1612" s="116">
        <v>2204.1999999999998</v>
      </c>
      <c r="F1612" s="116">
        <v>2217.0500000000002</v>
      </c>
      <c r="G1612">
        <v>3402</v>
      </c>
      <c r="H1612" s="116"/>
      <c r="I1612" s="116"/>
      <c r="L1612" s="170">
        <v>46017</v>
      </c>
      <c r="M1612" s="116">
        <v>2216.1999999999998</v>
      </c>
      <c r="N1612" s="116">
        <v>2244.9</v>
      </c>
      <c r="O1612" s="116">
        <v>2205.5</v>
      </c>
      <c r="P1612" s="116">
        <v>2236</v>
      </c>
      <c r="Q1612" s="116">
        <v>2216.1999999999998</v>
      </c>
      <c r="R1612">
        <v>21939</v>
      </c>
    </row>
    <row r="1613" spans="1:18" x14ac:dyDescent="0.25">
      <c r="A1613" s="170">
        <v>46020</v>
      </c>
      <c r="B1613" s="116">
        <v>2224.65</v>
      </c>
      <c r="C1613" s="116">
        <v>2197</v>
      </c>
      <c r="D1613" s="116">
        <v>2192.3000000000002</v>
      </c>
      <c r="E1613" s="116">
        <v>2208.8000000000002</v>
      </c>
      <c r="F1613" s="116">
        <v>2197</v>
      </c>
      <c r="G1613">
        <v>4243</v>
      </c>
      <c r="H1613" s="116"/>
      <c r="I1613" s="116"/>
      <c r="L1613" s="170">
        <v>46020</v>
      </c>
      <c r="M1613" s="116">
        <v>2199.3000000000002</v>
      </c>
      <c r="N1613" s="116">
        <v>2230.9</v>
      </c>
      <c r="O1613" s="116">
        <v>2193.1</v>
      </c>
      <c r="P1613" s="116">
        <v>2215.4</v>
      </c>
      <c r="Q1613" s="116">
        <v>2199.3000000000002</v>
      </c>
      <c r="R1613">
        <v>46206</v>
      </c>
    </row>
    <row r="1614" spans="1:18" x14ac:dyDescent="0.25">
      <c r="A1614" s="170">
        <v>46021</v>
      </c>
      <c r="B1614" s="116">
        <v>2259.9</v>
      </c>
      <c r="C1614" s="116">
        <v>2246.25</v>
      </c>
      <c r="D1614" s="116">
        <v>2191</v>
      </c>
      <c r="E1614" s="116">
        <v>2209.5500000000002</v>
      </c>
      <c r="F1614" s="116">
        <v>2246.25</v>
      </c>
      <c r="G1614">
        <v>7441</v>
      </c>
      <c r="H1614" s="116"/>
      <c r="I1614" s="116"/>
      <c r="L1614" s="170">
        <v>46021</v>
      </c>
      <c r="M1614" s="116">
        <v>2246.9</v>
      </c>
      <c r="N1614" s="116">
        <v>2261</v>
      </c>
      <c r="O1614" s="116">
        <v>2190</v>
      </c>
      <c r="P1614" s="116">
        <v>2190</v>
      </c>
      <c r="Q1614" s="116">
        <v>2246.9</v>
      </c>
      <c r="R1614">
        <v>162370</v>
      </c>
    </row>
    <row r="1615" spans="1:18" x14ac:dyDescent="0.25">
      <c r="A1615" s="170">
        <v>46022</v>
      </c>
      <c r="B1615" s="116">
        <v>2233.9499999999998</v>
      </c>
      <c r="C1615" s="116">
        <v>2224</v>
      </c>
      <c r="D1615" s="116">
        <v>2195</v>
      </c>
      <c r="E1615" s="116">
        <v>2221</v>
      </c>
      <c r="F1615" s="116">
        <v>2224</v>
      </c>
      <c r="G1615">
        <v>33453</v>
      </c>
      <c r="H1615" s="116"/>
      <c r="I1615" s="116"/>
      <c r="L1615" s="170">
        <v>46022</v>
      </c>
      <c r="M1615" s="116">
        <v>2223.5</v>
      </c>
      <c r="N1615" s="116">
        <v>2237.9</v>
      </c>
      <c r="O1615" s="116">
        <v>2192.1</v>
      </c>
      <c r="P1615" s="116">
        <v>2221</v>
      </c>
      <c r="Q1615" s="116">
        <v>2223.5</v>
      </c>
      <c r="R1615">
        <v>116331</v>
      </c>
    </row>
    <row r="1616" spans="1:18" x14ac:dyDescent="0.25">
      <c r="A1616" s="170">
        <v>46023</v>
      </c>
      <c r="B1616" s="116">
        <v>2230.75</v>
      </c>
      <c r="C1616" s="116">
        <v>2194.75</v>
      </c>
      <c r="D1616" s="116">
        <v>2190</v>
      </c>
      <c r="E1616" s="116">
        <v>2230.75</v>
      </c>
      <c r="F1616" s="116">
        <v>2194.75</v>
      </c>
      <c r="G1616">
        <v>1621</v>
      </c>
      <c r="H1616" s="116"/>
      <c r="I1616" s="116"/>
      <c r="L1616" s="170">
        <v>46023</v>
      </c>
      <c r="M1616" s="116">
        <v>2194.1</v>
      </c>
      <c r="N1616" s="116">
        <v>2236.4</v>
      </c>
      <c r="O1616" s="116">
        <v>2188.5</v>
      </c>
      <c r="P1616" s="116">
        <v>2234</v>
      </c>
      <c r="Q1616" s="116">
        <v>2194.1</v>
      </c>
      <c r="R1616">
        <v>30530</v>
      </c>
    </row>
    <row r="1617" spans="1:18" x14ac:dyDescent="0.25">
      <c r="A1617" s="170">
        <v>46024</v>
      </c>
      <c r="B1617" s="116">
        <v>2195</v>
      </c>
      <c r="C1617" s="116">
        <v>2177.4</v>
      </c>
      <c r="D1617" s="116">
        <v>2160</v>
      </c>
      <c r="E1617" s="116">
        <v>2195</v>
      </c>
      <c r="F1617" s="116">
        <v>2177.4</v>
      </c>
      <c r="G1617">
        <v>111712</v>
      </c>
      <c r="H1617" s="116"/>
      <c r="I1617" s="116"/>
      <c r="L1617" s="170">
        <v>46024</v>
      </c>
      <c r="M1617" s="116">
        <v>2177.8000000000002</v>
      </c>
      <c r="N1617" s="116">
        <v>2194.8000000000002</v>
      </c>
      <c r="O1617" s="116">
        <v>2159.3000000000002</v>
      </c>
      <c r="P1617" s="116">
        <v>2194.1</v>
      </c>
      <c r="Q1617" s="116">
        <v>2177.8000000000002</v>
      </c>
      <c r="R1617">
        <v>69290</v>
      </c>
    </row>
    <row r="1618" spans="1:18" x14ac:dyDescent="0.25">
      <c r="A1618" s="170">
        <v>46027</v>
      </c>
      <c r="B1618" s="116">
        <v>2210</v>
      </c>
      <c r="C1618" s="116">
        <v>2200</v>
      </c>
      <c r="D1618" s="116">
        <v>2172.0500000000002</v>
      </c>
      <c r="E1618" s="116">
        <v>2175.65</v>
      </c>
      <c r="F1618" s="116">
        <v>2200</v>
      </c>
      <c r="G1618">
        <v>64307</v>
      </c>
      <c r="H1618" s="116"/>
      <c r="I1618" s="116"/>
      <c r="L1618" s="170">
        <v>46027</v>
      </c>
      <c r="M1618" s="116">
        <v>2199.1</v>
      </c>
      <c r="N1618" s="116">
        <v>2210</v>
      </c>
      <c r="O1618" s="116">
        <v>2171</v>
      </c>
      <c r="P1618" s="116">
        <v>2177.9</v>
      </c>
      <c r="Q1618" s="116">
        <v>2199.1</v>
      </c>
      <c r="R1618">
        <v>34179</v>
      </c>
    </row>
    <row r="1619" spans="1:18" x14ac:dyDescent="0.25">
      <c r="A1619" s="170">
        <v>46028</v>
      </c>
      <c r="B1619" s="116">
        <v>2180.9499999999998</v>
      </c>
      <c r="C1619" s="116">
        <v>2164.35</v>
      </c>
      <c r="D1619" s="116">
        <v>2159.9499999999998</v>
      </c>
      <c r="E1619" s="116">
        <v>2172.5500000000002</v>
      </c>
      <c r="F1619" s="116">
        <v>2164.35</v>
      </c>
      <c r="G1619">
        <v>3330</v>
      </c>
      <c r="H1619" s="116"/>
      <c r="I1619" s="116"/>
      <c r="L1619" s="170">
        <v>46028</v>
      </c>
      <c r="M1619" s="116">
        <v>2167.5</v>
      </c>
      <c r="N1619" s="116">
        <v>2192.9</v>
      </c>
      <c r="O1619" s="116">
        <v>2160</v>
      </c>
      <c r="P1619" s="116">
        <v>2180.1</v>
      </c>
      <c r="Q1619" s="116">
        <v>2167.5</v>
      </c>
      <c r="R1619">
        <v>27041</v>
      </c>
    </row>
    <row r="1620" spans="1:18" x14ac:dyDescent="0.25">
      <c r="A1620" s="170">
        <v>46029</v>
      </c>
      <c r="B1620" s="116">
        <v>2180</v>
      </c>
      <c r="C1620" s="116">
        <v>2165.6999999999998</v>
      </c>
      <c r="D1620" s="116">
        <v>2158</v>
      </c>
      <c r="E1620" s="116">
        <v>2164.5</v>
      </c>
      <c r="F1620" s="116">
        <v>2165.6999999999998</v>
      </c>
      <c r="G1620">
        <v>758</v>
      </c>
      <c r="H1620" s="116"/>
      <c r="I1620" s="116"/>
      <c r="L1620" s="170">
        <v>46029</v>
      </c>
      <c r="M1620" s="116">
        <v>2164.9</v>
      </c>
      <c r="N1620" s="116">
        <v>2179.6</v>
      </c>
      <c r="O1620" s="116">
        <v>2157.4</v>
      </c>
      <c r="P1620" s="116">
        <v>2167.5</v>
      </c>
      <c r="Q1620" s="116">
        <v>2164.9</v>
      </c>
      <c r="R1620">
        <v>26072</v>
      </c>
    </row>
    <row r="1621" spans="1:18" x14ac:dyDescent="0.25">
      <c r="A1621" s="170">
        <v>46030</v>
      </c>
      <c r="B1621" s="116">
        <v>2172</v>
      </c>
      <c r="C1621" s="116">
        <v>2163.75</v>
      </c>
      <c r="D1621" s="116">
        <v>2134.4499999999998</v>
      </c>
      <c r="E1621" s="116">
        <v>2155</v>
      </c>
      <c r="F1621" s="116">
        <v>2163.75</v>
      </c>
      <c r="G1621">
        <v>3724</v>
      </c>
      <c r="H1621" s="116"/>
      <c r="I1621" s="116"/>
      <c r="L1621" s="170">
        <v>46030</v>
      </c>
      <c r="M1621" s="116">
        <v>2166.9</v>
      </c>
      <c r="N1621" s="116">
        <v>2173.4</v>
      </c>
      <c r="O1621" s="116">
        <v>2135.4</v>
      </c>
      <c r="P1621" s="116">
        <v>2155</v>
      </c>
      <c r="Q1621" s="116">
        <v>2166.9</v>
      </c>
      <c r="R1621">
        <v>46471</v>
      </c>
    </row>
    <row r="1622" spans="1:18" x14ac:dyDescent="0.25">
      <c r="A1622" s="170">
        <v>46031</v>
      </c>
      <c r="B1622" s="116">
        <v>2165.9499999999998</v>
      </c>
      <c r="C1622" s="116">
        <v>2144.65</v>
      </c>
      <c r="D1622" s="116">
        <v>2122.85</v>
      </c>
      <c r="E1622" s="116">
        <v>2153.65</v>
      </c>
      <c r="F1622" s="116">
        <v>2144.65</v>
      </c>
      <c r="G1622">
        <v>803</v>
      </c>
      <c r="H1622" s="116"/>
      <c r="I1622" s="116"/>
      <c r="L1622" s="170">
        <v>46031</v>
      </c>
      <c r="M1622" s="116">
        <v>2145.4</v>
      </c>
      <c r="N1622" s="116">
        <v>2165.1999999999998</v>
      </c>
      <c r="O1622" s="116">
        <v>2123.1999999999998</v>
      </c>
      <c r="P1622" s="116">
        <v>2150</v>
      </c>
      <c r="Q1622" s="116">
        <v>2145.4</v>
      </c>
      <c r="R1622">
        <v>63353</v>
      </c>
    </row>
    <row r="1623" spans="1:18" x14ac:dyDescent="0.25">
      <c r="A1623" s="170">
        <v>46034</v>
      </c>
      <c r="B1623" s="116">
        <v>2159.85</v>
      </c>
      <c r="C1623" s="116">
        <v>2152.9499999999998</v>
      </c>
      <c r="D1623" s="116">
        <v>2114.9</v>
      </c>
      <c r="E1623" s="116">
        <v>2144.3000000000002</v>
      </c>
      <c r="F1623" s="116">
        <v>2152.9499999999998</v>
      </c>
      <c r="G1623">
        <v>42413</v>
      </c>
      <c r="H1623" s="116"/>
      <c r="I1623" s="116"/>
      <c r="L1623" s="170">
        <v>46034</v>
      </c>
      <c r="M1623" s="116">
        <v>2153.8000000000002</v>
      </c>
      <c r="N1623" s="116">
        <v>2165.4</v>
      </c>
      <c r="O1623" s="116">
        <v>2110</v>
      </c>
      <c r="P1623" s="116">
        <v>2121</v>
      </c>
      <c r="Q1623" s="116">
        <v>2153.8000000000002</v>
      </c>
      <c r="R1623">
        <v>41999</v>
      </c>
    </row>
    <row r="1624" spans="1:18" x14ac:dyDescent="0.25">
      <c r="A1624" s="170">
        <v>46035</v>
      </c>
      <c r="B1624" s="116">
        <v>2172.0500000000002</v>
      </c>
      <c r="C1624" s="116">
        <v>2153.35</v>
      </c>
      <c r="D1624" s="116">
        <v>2136.6999999999998</v>
      </c>
      <c r="E1624" s="116">
        <v>2158.3000000000002</v>
      </c>
      <c r="F1624" s="116">
        <v>2153.35</v>
      </c>
      <c r="G1624">
        <v>675</v>
      </c>
      <c r="H1624" s="116"/>
      <c r="I1624" s="116"/>
      <c r="L1624" s="170">
        <v>46035</v>
      </c>
      <c r="M1624" s="116">
        <v>2156.6</v>
      </c>
      <c r="N1624" s="116">
        <v>2174.8000000000002</v>
      </c>
      <c r="O1624" s="116">
        <v>2134.9</v>
      </c>
      <c r="P1624" s="116">
        <v>2150.1</v>
      </c>
      <c r="Q1624" s="116">
        <v>2156.6</v>
      </c>
      <c r="R1624">
        <v>73123</v>
      </c>
    </row>
    <row r="1625" spans="1:18" x14ac:dyDescent="0.25">
      <c r="A1625" s="170">
        <v>46036</v>
      </c>
      <c r="B1625" s="116">
        <v>2152.35</v>
      </c>
      <c r="C1625" s="116">
        <v>2114.25</v>
      </c>
      <c r="D1625" s="116">
        <v>2110</v>
      </c>
      <c r="E1625" s="116">
        <v>2152.35</v>
      </c>
      <c r="F1625" s="116">
        <v>2114.25</v>
      </c>
      <c r="G1625">
        <v>1128483</v>
      </c>
      <c r="H1625" s="116"/>
      <c r="I1625" s="116"/>
      <c r="L1625" s="170">
        <v>46036</v>
      </c>
      <c r="M1625" s="116">
        <v>2114.5</v>
      </c>
      <c r="N1625" s="116">
        <v>2156.3000000000002</v>
      </c>
      <c r="O1625" s="116">
        <v>2110</v>
      </c>
      <c r="P1625" s="116">
        <v>2153.1</v>
      </c>
      <c r="Q1625" s="116">
        <v>2114.5</v>
      </c>
      <c r="R1625">
        <v>340003</v>
      </c>
    </row>
    <row r="1626" spans="1:18" x14ac:dyDescent="0.25">
      <c r="A1626" s="170">
        <v>46038</v>
      </c>
      <c r="B1626" s="116">
        <v>2304.9499999999998</v>
      </c>
      <c r="C1626" s="116">
        <v>2288.85</v>
      </c>
      <c r="D1626" s="116">
        <v>2209.25</v>
      </c>
      <c r="E1626" s="116">
        <v>2215</v>
      </c>
      <c r="F1626" s="116">
        <v>2288.85</v>
      </c>
      <c r="G1626">
        <v>42841</v>
      </c>
      <c r="H1626" s="116"/>
      <c r="I1626" s="116"/>
      <c r="L1626" s="170">
        <v>46038</v>
      </c>
      <c r="M1626" s="116">
        <v>2289</v>
      </c>
      <c r="N1626" s="116">
        <v>2304</v>
      </c>
      <c r="O1626" s="116">
        <v>2211</v>
      </c>
      <c r="P1626" s="116">
        <v>2211.5</v>
      </c>
      <c r="Q1626" s="116">
        <v>2289</v>
      </c>
      <c r="R1626">
        <v>1222578</v>
      </c>
    </row>
    <row r="1627" spans="1:18" x14ac:dyDescent="0.25">
      <c r="A1627" s="170">
        <v>46041</v>
      </c>
      <c r="B1627" s="116">
        <v>2285</v>
      </c>
      <c r="C1627" s="116">
        <v>2195</v>
      </c>
      <c r="D1627" s="116">
        <v>2182.6999999999998</v>
      </c>
      <c r="E1627" s="116">
        <v>2285</v>
      </c>
      <c r="F1627" s="116">
        <v>2195</v>
      </c>
      <c r="G1627">
        <v>4749</v>
      </c>
      <c r="H1627" s="116"/>
      <c r="I1627" s="116"/>
      <c r="L1627" s="170">
        <v>46041</v>
      </c>
      <c r="M1627" s="116">
        <v>2194.4</v>
      </c>
      <c r="N1627" s="116">
        <v>2289</v>
      </c>
      <c r="O1627" s="116">
        <v>2182.1</v>
      </c>
      <c r="P1627" s="116">
        <v>2289</v>
      </c>
      <c r="Q1627" s="116">
        <v>2194.4</v>
      </c>
      <c r="R1627">
        <v>156811</v>
      </c>
    </row>
    <row r="1628" spans="1:18" x14ac:dyDescent="0.25">
      <c r="A1628" s="170">
        <v>46042</v>
      </c>
      <c r="B1628" s="116">
        <v>2194.9499999999998</v>
      </c>
      <c r="C1628" s="116">
        <v>2143.5</v>
      </c>
      <c r="D1628" s="116">
        <v>2131</v>
      </c>
      <c r="E1628" s="116">
        <v>2194.9499999999998</v>
      </c>
      <c r="F1628" s="116">
        <v>2143.5</v>
      </c>
      <c r="G1628">
        <v>7235</v>
      </c>
      <c r="H1628" s="116"/>
      <c r="I1628" s="116"/>
      <c r="L1628" s="170">
        <v>46042</v>
      </c>
      <c r="M1628" s="116">
        <v>2141.8000000000002</v>
      </c>
      <c r="N1628" s="116">
        <v>2185.3000000000002</v>
      </c>
      <c r="O1628" s="116">
        <v>2132.1</v>
      </c>
      <c r="P1628" s="116">
        <v>2177</v>
      </c>
      <c r="Q1628" s="116">
        <v>2141.8000000000002</v>
      </c>
      <c r="R1628">
        <v>72278</v>
      </c>
    </row>
    <row r="1629" spans="1:18" x14ac:dyDescent="0.25">
      <c r="A1629" s="170">
        <v>46043</v>
      </c>
      <c r="B1629" s="116">
        <v>2285</v>
      </c>
      <c r="C1629" s="116">
        <v>2266.4</v>
      </c>
      <c r="D1629" s="116">
        <v>2177</v>
      </c>
      <c r="E1629" s="116">
        <v>2188.5</v>
      </c>
      <c r="F1629" s="116">
        <v>2266.4</v>
      </c>
      <c r="G1629">
        <v>42421</v>
      </c>
      <c r="H1629" s="116"/>
      <c r="I1629" s="116"/>
      <c r="L1629" s="170">
        <v>46043</v>
      </c>
      <c r="M1629" s="116">
        <v>2264.6</v>
      </c>
      <c r="N1629" s="116">
        <v>2295</v>
      </c>
      <c r="O1629" s="116">
        <v>2174.5</v>
      </c>
      <c r="P1629" s="116">
        <v>2200</v>
      </c>
      <c r="Q1629" s="116">
        <v>2264.6</v>
      </c>
      <c r="R1629">
        <v>668643</v>
      </c>
    </row>
    <row r="1630" spans="1:18" x14ac:dyDescent="0.25">
      <c r="A1630" s="170">
        <v>46044</v>
      </c>
      <c r="B1630" s="116">
        <v>2267.4</v>
      </c>
      <c r="C1630" s="116">
        <v>2213.3000000000002</v>
      </c>
      <c r="D1630" s="116">
        <v>2182</v>
      </c>
      <c r="E1630" s="116">
        <v>2255.8000000000002</v>
      </c>
      <c r="F1630" s="116">
        <v>2213.3000000000002</v>
      </c>
      <c r="G1630">
        <v>6980</v>
      </c>
      <c r="H1630" s="116"/>
      <c r="I1630" s="116"/>
      <c r="L1630" s="170">
        <v>46044</v>
      </c>
      <c r="M1630" s="116">
        <v>2211.4</v>
      </c>
      <c r="N1630" s="116">
        <v>2272.8000000000002</v>
      </c>
      <c r="O1630" s="116">
        <v>2180.1</v>
      </c>
      <c r="P1630" s="116">
        <v>2267.3000000000002</v>
      </c>
      <c r="Q1630" s="116">
        <v>2211.4</v>
      </c>
      <c r="R1630">
        <v>133454</v>
      </c>
    </row>
    <row r="1631" spans="1:18" x14ac:dyDescent="0.25">
      <c r="A1631" s="170">
        <v>46045</v>
      </c>
      <c r="B1631" s="116">
        <v>2246.5</v>
      </c>
      <c r="C1631" s="116">
        <v>2192.1</v>
      </c>
      <c r="D1631" s="116">
        <v>2186.4</v>
      </c>
      <c r="E1631" s="116">
        <v>2200</v>
      </c>
      <c r="F1631" s="116">
        <v>2192.1</v>
      </c>
      <c r="G1631">
        <v>10017</v>
      </c>
      <c r="H1631" s="116"/>
      <c r="I1631" s="116"/>
      <c r="L1631" s="170">
        <v>46045</v>
      </c>
      <c r="M1631" s="116">
        <v>2194</v>
      </c>
      <c r="N1631" s="116">
        <v>2251</v>
      </c>
      <c r="O1631" s="116">
        <v>2182.1</v>
      </c>
      <c r="P1631" s="116">
        <v>2191</v>
      </c>
      <c r="Q1631" s="116">
        <v>2194</v>
      </c>
      <c r="R1631">
        <v>112154</v>
      </c>
    </row>
    <row r="1632" spans="1:18" x14ac:dyDescent="0.25">
      <c r="A1632" s="170">
        <v>46049</v>
      </c>
      <c r="B1632" s="116">
        <v>2217.5500000000002</v>
      </c>
      <c r="C1632" s="116">
        <v>2187.6</v>
      </c>
      <c r="D1632" s="116">
        <v>2148.4</v>
      </c>
      <c r="E1632" s="116">
        <v>2217.5500000000002</v>
      </c>
      <c r="F1632" s="116">
        <v>2187.6</v>
      </c>
      <c r="G1632">
        <v>4662</v>
      </c>
      <c r="H1632" s="116"/>
      <c r="I1632" s="116"/>
      <c r="L1632" s="170">
        <v>46049</v>
      </c>
      <c r="M1632" s="116">
        <v>2186.3000000000002</v>
      </c>
      <c r="N1632" s="116">
        <v>2209</v>
      </c>
      <c r="O1632" s="116">
        <v>2145.1</v>
      </c>
      <c r="P1632" s="116">
        <v>2200</v>
      </c>
      <c r="Q1632" s="116">
        <v>2186.3000000000002</v>
      </c>
      <c r="R1632">
        <v>97613</v>
      </c>
    </row>
    <row r="1633" spans="1:18" x14ac:dyDescent="0.25">
      <c r="A1633" s="170">
        <v>46050</v>
      </c>
      <c r="B1633" s="116">
        <v>2196.5</v>
      </c>
      <c r="C1633" s="116">
        <v>2185.9</v>
      </c>
      <c r="D1633" s="116">
        <v>2167.25</v>
      </c>
      <c r="E1633" s="116">
        <v>2187.6</v>
      </c>
      <c r="F1633" s="116">
        <v>2185.9</v>
      </c>
      <c r="G1633">
        <v>4684</v>
      </c>
      <c r="H1633" s="116"/>
      <c r="I1633" s="116"/>
      <c r="L1633" s="170">
        <v>46050</v>
      </c>
      <c r="M1633" s="116">
        <v>2186.3000000000002</v>
      </c>
      <c r="N1633" s="116">
        <v>2199</v>
      </c>
      <c r="O1633" s="116">
        <v>2168</v>
      </c>
      <c r="P1633" s="116">
        <v>2194.5</v>
      </c>
      <c r="Q1633" s="116">
        <v>2186.3000000000002</v>
      </c>
      <c r="R1633">
        <v>59376</v>
      </c>
    </row>
    <row r="1634" spans="1:18" x14ac:dyDescent="0.25">
      <c r="A1634" s="170">
        <v>46051</v>
      </c>
      <c r="B1634" s="116">
        <v>2196.3000000000002</v>
      </c>
      <c r="C1634" s="116">
        <v>2176.5</v>
      </c>
      <c r="D1634" s="116">
        <v>2140</v>
      </c>
      <c r="E1634" s="116">
        <v>2181.1</v>
      </c>
      <c r="F1634" s="116">
        <v>2176.5</v>
      </c>
      <c r="G1634">
        <v>2928</v>
      </c>
      <c r="H1634" s="116"/>
      <c r="I1634" s="116"/>
      <c r="L1634" s="170">
        <v>46051</v>
      </c>
      <c r="M1634" s="116">
        <v>2175.3000000000002</v>
      </c>
      <c r="N1634" s="116">
        <v>2197.8000000000002</v>
      </c>
      <c r="O1634" s="116">
        <v>2139.1</v>
      </c>
      <c r="P1634" s="116">
        <v>2185</v>
      </c>
      <c r="Q1634" s="116">
        <v>2175.3000000000002</v>
      </c>
      <c r="R1634">
        <v>44385</v>
      </c>
    </row>
    <row r="1635" spans="1:18" x14ac:dyDescent="0.25">
      <c r="A1635" s="170">
        <v>46052</v>
      </c>
      <c r="B1635" s="116">
        <v>2219.9</v>
      </c>
      <c r="C1635" s="116">
        <v>2206.25</v>
      </c>
      <c r="D1635" s="116">
        <v>2142.15</v>
      </c>
      <c r="E1635" s="116">
        <v>2170</v>
      </c>
      <c r="F1635" s="116">
        <v>2206.25</v>
      </c>
      <c r="G1635">
        <v>4437</v>
      </c>
      <c r="H1635" s="116"/>
      <c r="I1635" s="116"/>
      <c r="L1635" s="170">
        <v>46052</v>
      </c>
      <c r="M1635" s="116">
        <v>2201.9</v>
      </c>
      <c r="N1635" s="116">
        <v>2223.3000000000002</v>
      </c>
      <c r="O1635" s="116">
        <v>2142.1</v>
      </c>
      <c r="P1635" s="116">
        <v>2170</v>
      </c>
      <c r="Q1635" s="116">
        <v>2201.9</v>
      </c>
      <c r="R1635">
        <v>97283</v>
      </c>
    </row>
    <row r="1636" spans="1:18" x14ac:dyDescent="0.25">
      <c r="A1636" s="170">
        <v>46054</v>
      </c>
      <c r="B1636" s="116">
        <v>2248.35</v>
      </c>
      <c r="C1636" s="116">
        <v>2209.4</v>
      </c>
      <c r="D1636" s="116">
        <v>2185</v>
      </c>
      <c r="E1636" s="116">
        <v>2201.9</v>
      </c>
      <c r="F1636" s="116">
        <v>2209.4</v>
      </c>
      <c r="G1636">
        <v>5656</v>
      </c>
      <c r="H1636" s="116"/>
      <c r="I1636" s="116"/>
      <c r="L1636" s="170">
        <v>46054</v>
      </c>
      <c r="M1636" s="116">
        <v>2208.4</v>
      </c>
      <c r="N1636" s="116">
        <v>2248.9</v>
      </c>
      <c r="O1636" s="116">
        <v>2168.1999999999998</v>
      </c>
      <c r="P1636" s="116">
        <v>2202.1999999999998</v>
      </c>
      <c r="Q1636" s="116">
        <v>2208.4</v>
      </c>
      <c r="R1636">
        <v>28637</v>
      </c>
    </row>
    <row r="1637" spans="1:18" x14ac:dyDescent="0.25">
      <c r="A1637" s="170">
        <v>46055</v>
      </c>
      <c r="B1637" s="116">
        <v>2265</v>
      </c>
      <c r="C1637" s="116">
        <v>2208.6</v>
      </c>
      <c r="D1637" s="116">
        <v>2166</v>
      </c>
      <c r="E1637" s="116">
        <v>2208.5500000000002</v>
      </c>
      <c r="F1637" s="116">
        <v>2208.6</v>
      </c>
      <c r="G1637">
        <v>5020</v>
      </c>
      <c r="H1637" s="116"/>
      <c r="I1637" s="116"/>
      <c r="L1637" s="170">
        <v>46055</v>
      </c>
      <c r="M1637" s="116">
        <v>2210.1</v>
      </c>
      <c r="N1637" s="116">
        <v>2229.6</v>
      </c>
      <c r="O1637" s="116">
        <v>2162.3000000000002</v>
      </c>
      <c r="P1637" s="116">
        <v>2195.1999999999998</v>
      </c>
      <c r="Q1637" s="116">
        <v>2210.1</v>
      </c>
      <c r="R1637">
        <v>131863</v>
      </c>
    </row>
    <row r="1638" spans="1:18" x14ac:dyDescent="0.25">
      <c r="A1638" s="170">
        <v>46056</v>
      </c>
      <c r="B1638" s="116">
        <v>2311</v>
      </c>
      <c r="C1638" s="116">
        <v>2266.6</v>
      </c>
      <c r="D1638" s="116">
        <v>2220.8000000000002</v>
      </c>
      <c r="E1638" s="116">
        <v>2231.3000000000002</v>
      </c>
      <c r="F1638" s="116">
        <v>2266.6</v>
      </c>
      <c r="G1638">
        <v>4465</v>
      </c>
      <c r="H1638" s="116"/>
      <c r="I1638" s="116"/>
      <c r="L1638" s="170">
        <v>46056</v>
      </c>
      <c r="M1638" s="116">
        <v>2267.5</v>
      </c>
      <c r="N1638" s="116">
        <v>2310.6999999999998</v>
      </c>
      <c r="O1638" s="116">
        <v>2220</v>
      </c>
      <c r="P1638" s="116">
        <v>2271</v>
      </c>
      <c r="Q1638" s="116">
        <v>2267.5</v>
      </c>
      <c r="R1638">
        <v>108399</v>
      </c>
    </row>
    <row r="1639" spans="1:18" x14ac:dyDescent="0.25">
      <c r="A1639" s="170">
        <v>46057</v>
      </c>
      <c r="B1639" s="116">
        <v>2287.5500000000002</v>
      </c>
      <c r="C1639" s="116">
        <v>2272.5500000000002</v>
      </c>
      <c r="D1639" s="116">
        <v>2229.1</v>
      </c>
      <c r="E1639" s="116">
        <v>2266.6999999999998</v>
      </c>
      <c r="F1639" s="116">
        <v>2272.5500000000002</v>
      </c>
      <c r="G1639">
        <v>1876</v>
      </c>
      <c r="H1639" s="116"/>
      <c r="I1639" s="116"/>
      <c r="L1639" s="170">
        <v>46057</v>
      </c>
      <c r="M1639" s="116">
        <v>2275.1</v>
      </c>
      <c r="N1639" s="116">
        <v>2287.4</v>
      </c>
      <c r="O1639" s="116">
        <v>2228</v>
      </c>
      <c r="P1639" s="116">
        <v>2265.8000000000002</v>
      </c>
      <c r="Q1639" s="116">
        <v>2275.1</v>
      </c>
      <c r="R1639">
        <v>75046</v>
      </c>
    </row>
    <row r="1640" spans="1:18" x14ac:dyDescent="0.25">
      <c r="A1640" s="170">
        <v>46058</v>
      </c>
      <c r="B1640" s="116">
        <v>2298.75</v>
      </c>
      <c r="C1640" s="116">
        <v>2287.75</v>
      </c>
      <c r="D1640" s="116">
        <v>2237.4</v>
      </c>
      <c r="E1640" s="116">
        <v>2237.4</v>
      </c>
      <c r="F1640" s="116">
        <v>2287.75</v>
      </c>
      <c r="G1640">
        <v>3592</v>
      </c>
      <c r="H1640" s="116"/>
      <c r="I1640" s="116"/>
      <c r="L1640" s="170">
        <v>46058</v>
      </c>
      <c r="M1640" s="116">
        <v>2282.8000000000002</v>
      </c>
      <c r="N1640" s="116">
        <v>2300</v>
      </c>
      <c r="O1640" s="116">
        <v>2241.4</v>
      </c>
      <c r="P1640" s="116">
        <v>2269.1</v>
      </c>
      <c r="Q1640" s="116">
        <v>2282.8000000000002</v>
      </c>
      <c r="R1640">
        <v>276783</v>
      </c>
    </row>
    <row r="1641" spans="1:18" x14ac:dyDescent="0.25">
      <c r="A1641" s="170">
        <v>46059</v>
      </c>
      <c r="B1641" s="116">
        <v>2289</v>
      </c>
      <c r="C1641" s="116">
        <v>2236.8000000000002</v>
      </c>
      <c r="D1641" s="116">
        <v>2210</v>
      </c>
      <c r="E1641" s="116">
        <v>2289</v>
      </c>
      <c r="F1641" s="116">
        <v>2236.8000000000002</v>
      </c>
      <c r="G1641">
        <v>5398</v>
      </c>
      <c r="H1641" s="116"/>
      <c r="I1641" s="116"/>
      <c r="L1641" s="170">
        <v>46059</v>
      </c>
      <c r="M1641" s="116">
        <v>2238.4</v>
      </c>
      <c r="N1641" s="116">
        <v>2294.9</v>
      </c>
      <c r="O1641" s="116">
        <v>2210</v>
      </c>
      <c r="P1641" s="116">
        <v>2282.8000000000002</v>
      </c>
      <c r="Q1641" s="116">
        <v>2238.4</v>
      </c>
      <c r="R1641">
        <v>99078</v>
      </c>
    </row>
    <row r="1642" spans="1:18" x14ac:dyDescent="0.25">
      <c r="A1642" s="170">
        <v>46062</v>
      </c>
      <c r="B1642" s="116">
        <v>2262.9</v>
      </c>
      <c r="C1642" s="116">
        <v>2248.3000000000002</v>
      </c>
      <c r="D1642" s="116">
        <v>2217.65</v>
      </c>
      <c r="E1642" s="116">
        <v>2261.1</v>
      </c>
      <c r="F1642" s="116">
        <v>2248.3000000000002</v>
      </c>
      <c r="G1642">
        <v>1752</v>
      </c>
      <c r="H1642" s="116"/>
      <c r="I1642" s="116"/>
      <c r="L1642" s="170">
        <v>46062</v>
      </c>
      <c r="M1642" s="116">
        <v>2248.3000000000002</v>
      </c>
      <c r="N1642" s="116">
        <v>2268.6</v>
      </c>
      <c r="O1642" s="116">
        <v>2216.3000000000002</v>
      </c>
      <c r="P1642" s="116">
        <v>2250</v>
      </c>
      <c r="Q1642" s="116">
        <v>2248.3000000000002</v>
      </c>
      <c r="R1642">
        <v>52363</v>
      </c>
    </row>
    <row r="1643" spans="1:18" x14ac:dyDescent="0.25">
      <c r="A1643" s="170">
        <v>46063</v>
      </c>
      <c r="B1643" s="116">
        <v>2289.9</v>
      </c>
      <c r="C1643" s="116">
        <v>2251.25</v>
      </c>
      <c r="D1643" s="116">
        <v>2235.35</v>
      </c>
      <c r="E1643" s="116">
        <v>2263</v>
      </c>
      <c r="F1643" s="116">
        <v>2251.25</v>
      </c>
      <c r="G1643">
        <v>4177</v>
      </c>
      <c r="H1643" s="116"/>
      <c r="I1643" s="116"/>
      <c r="L1643" s="170">
        <v>46063</v>
      </c>
      <c r="M1643" s="116">
        <v>2250.9</v>
      </c>
      <c r="N1643" s="116">
        <v>2286.9</v>
      </c>
      <c r="O1643" s="116">
        <v>2235</v>
      </c>
      <c r="P1643" s="116">
        <v>2269.9</v>
      </c>
      <c r="Q1643" s="116">
        <v>2250.9</v>
      </c>
      <c r="R1643">
        <v>127060</v>
      </c>
    </row>
    <row r="1644" spans="1:18" x14ac:dyDescent="0.25">
      <c r="A1644" s="170">
        <v>46064</v>
      </c>
      <c r="B1644" s="116">
        <v>2258.0500000000002</v>
      </c>
      <c r="C1644" s="116">
        <v>2242.9499999999998</v>
      </c>
      <c r="D1644" s="116">
        <v>2213.35</v>
      </c>
      <c r="E1644" s="116">
        <v>2236.5500000000002</v>
      </c>
      <c r="F1644" s="116">
        <v>2242.9499999999998</v>
      </c>
      <c r="G1644">
        <v>5453</v>
      </c>
      <c r="H1644" s="116"/>
      <c r="I1644" s="116"/>
      <c r="L1644" s="170">
        <v>46064</v>
      </c>
      <c r="M1644" s="116">
        <v>2243</v>
      </c>
      <c r="N1644" s="116">
        <v>2254</v>
      </c>
      <c r="O1644" s="116">
        <v>2213</v>
      </c>
      <c r="P1644" s="116">
        <v>2251.1999999999998</v>
      </c>
      <c r="Q1644" s="116">
        <v>2243</v>
      </c>
      <c r="R1644">
        <v>102889</v>
      </c>
    </row>
    <row r="1645" spans="1:18" x14ac:dyDescent="0.25">
      <c r="A1645" s="170">
        <v>46065</v>
      </c>
      <c r="B1645" s="116">
        <v>2243</v>
      </c>
      <c r="C1645" s="116">
        <v>2200.3000000000002</v>
      </c>
      <c r="D1645" s="116">
        <v>2180</v>
      </c>
      <c r="E1645" s="116">
        <v>2243</v>
      </c>
      <c r="F1645" s="116">
        <v>2200.3000000000002</v>
      </c>
      <c r="G1645">
        <v>3933</v>
      </c>
      <c r="H1645" s="116"/>
      <c r="I1645" s="116"/>
      <c r="L1645" s="170">
        <v>46065</v>
      </c>
      <c r="M1645" s="116">
        <v>2200.1999999999998</v>
      </c>
      <c r="N1645" s="116">
        <v>2244.1</v>
      </c>
      <c r="O1645" s="116">
        <v>2181</v>
      </c>
      <c r="P1645" s="116">
        <v>2243</v>
      </c>
      <c r="Q1645" s="116">
        <v>2200.1999999999998</v>
      </c>
      <c r="R1645">
        <v>94826</v>
      </c>
    </row>
    <row r="1646" spans="1:18" x14ac:dyDescent="0.25">
      <c r="A1646" s="170">
        <v>46066</v>
      </c>
      <c r="B1646" s="116">
        <v>2209.9499999999998</v>
      </c>
      <c r="C1646" s="116">
        <v>2200.35</v>
      </c>
      <c r="D1646" s="116">
        <v>2151.6999999999998</v>
      </c>
      <c r="E1646" s="116">
        <v>2200.0500000000002</v>
      </c>
      <c r="F1646" s="116">
        <v>2200.35</v>
      </c>
      <c r="G1646">
        <v>69680</v>
      </c>
      <c r="H1646" s="116"/>
      <c r="I1646" s="116"/>
      <c r="L1646" s="170">
        <v>46066</v>
      </c>
      <c r="M1646" s="116">
        <v>2200</v>
      </c>
      <c r="N1646" s="116">
        <v>2210</v>
      </c>
      <c r="O1646" s="116">
        <v>2150</v>
      </c>
      <c r="P1646" s="116">
        <v>2176</v>
      </c>
      <c r="Q1646" s="116">
        <v>2200</v>
      </c>
      <c r="R1646">
        <v>89004</v>
      </c>
    </row>
    <row r="1647" spans="1:18" x14ac:dyDescent="0.25">
      <c r="A1647" s="170">
        <v>46069</v>
      </c>
      <c r="B1647" s="116">
        <v>2216.6</v>
      </c>
      <c r="C1647" s="116">
        <v>2203.65</v>
      </c>
      <c r="D1647" s="116">
        <v>2146.35</v>
      </c>
      <c r="E1647" s="116">
        <v>2146.35</v>
      </c>
      <c r="F1647" s="116">
        <v>2203.65</v>
      </c>
      <c r="G1647">
        <v>4481</v>
      </c>
      <c r="H1647" s="116"/>
      <c r="I1647" s="116"/>
      <c r="L1647" s="170">
        <v>46069</v>
      </c>
      <c r="M1647" s="116">
        <v>2205.8000000000002</v>
      </c>
      <c r="N1647" s="116">
        <v>2218.1999999999998</v>
      </c>
      <c r="O1647" s="116">
        <v>2162.1</v>
      </c>
      <c r="P1647" s="116">
        <v>2187.1</v>
      </c>
      <c r="Q1647" s="116">
        <v>2205.8000000000002</v>
      </c>
      <c r="R1647">
        <v>55826</v>
      </c>
    </row>
    <row r="1648" spans="1:18" x14ac:dyDescent="0.25">
      <c r="A1648" s="170">
        <v>46070</v>
      </c>
      <c r="B1648" s="116">
        <v>2235.4</v>
      </c>
      <c r="C1648" s="116">
        <v>2225.1999999999998</v>
      </c>
      <c r="D1648" s="116">
        <v>2190.75</v>
      </c>
      <c r="E1648" s="116">
        <v>2190.75</v>
      </c>
      <c r="F1648" s="116">
        <v>2225.1999999999998</v>
      </c>
      <c r="G1648">
        <v>2002</v>
      </c>
      <c r="H1648" s="116"/>
      <c r="I1648" s="116"/>
      <c r="L1648" s="170">
        <v>46070</v>
      </c>
      <c r="M1648" s="116">
        <v>2223.6999999999998</v>
      </c>
      <c r="N1648" s="116">
        <v>2236.5</v>
      </c>
      <c r="O1648" s="116">
        <v>2192.9</v>
      </c>
      <c r="P1648" s="116">
        <v>2205.8000000000002</v>
      </c>
      <c r="Q1648" s="116">
        <v>2223.6999999999998</v>
      </c>
      <c r="R1648">
        <v>69232</v>
      </c>
    </row>
    <row r="1649" spans="1:18" x14ac:dyDescent="0.25">
      <c r="A1649" s="170">
        <v>46071</v>
      </c>
      <c r="B1649" s="116">
        <v>2210.35</v>
      </c>
      <c r="C1649" s="116">
        <v>2181.6999999999998</v>
      </c>
      <c r="D1649" s="116">
        <v>2156.5</v>
      </c>
      <c r="E1649" s="116">
        <v>2187.65</v>
      </c>
      <c r="F1649" s="116">
        <v>2181.6999999999998</v>
      </c>
      <c r="G1649">
        <v>3944</v>
      </c>
      <c r="H1649" s="116"/>
      <c r="I1649" s="116"/>
      <c r="L1649" s="170">
        <v>46071</v>
      </c>
      <c r="M1649" s="116">
        <v>2179.5</v>
      </c>
      <c r="N1649" s="116">
        <v>2228</v>
      </c>
      <c r="O1649" s="116">
        <v>2156</v>
      </c>
      <c r="P1649" s="116">
        <v>2223.6999999999998</v>
      </c>
      <c r="Q1649" s="116">
        <v>2179.5</v>
      </c>
      <c r="R1649">
        <v>155812</v>
      </c>
    </row>
    <row r="1650" spans="1:18" x14ac:dyDescent="0.25">
      <c r="A1650" s="170">
        <v>46072</v>
      </c>
      <c r="B1650" s="116">
        <v>2197.15</v>
      </c>
      <c r="C1650" s="116">
        <v>2159.8000000000002</v>
      </c>
      <c r="D1650" s="116">
        <v>2151.15</v>
      </c>
      <c r="E1650" s="116">
        <v>2155.35</v>
      </c>
      <c r="F1650" s="116">
        <v>2159.8000000000002</v>
      </c>
      <c r="G1650">
        <v>41840</v>
      </c>
      <c r="H1650" s="116"/>
      <c r="I1650" s="116"/>
      <c r="L1650" s="170">
        <v>46072</v>
      </c>
      <c r="M1650" s="116">
        <v>2160.5</v>
      </c>
      <c r="N1650" s="116">
        <v>2185.8000000000002</v>
      </c>
      <c r="O1650" s="116">
        <v>2152</v>
      </c>
      <c r="P1650" s="116">
        <v>2184.9</v>
      </c>
      <c r="Q1650" s="116">
        <v>2160.5</v>
      </c>
      <c r="R1650">
        <v>95722</v>
      </c>
    </row>
    <row r="1651" spans="1:18" x14ac:dyDescent="0.25">
      <c r="A1651" s="170">
        <v>46073</v>
      </c>
      <c r="B1651" s="116">
        <v>2193.5</v>
      </c>
      <c r="C1651" s="116">
        <v>2184.35</v>
      </c>
      <c r="D1651" s="116">
        <v>2147</v>
      </c>
      <c r="E1651" s="116">
        <v>2159.4499999999998</v>
      </c>
      <c r="F1651" s="116">
        <v>2184.35</v>
      </c>
      <c r="G1651">
        <v>3547</v>
      </c>
      <c r="H1651" s="116"/>
      <c r="I1651" s="116"/>
      <c r="L1651" s="170">
        <v>46073</v>
      </c>
      <c r="M1651" s="116">
        <v>2185.6999999999998</v>
      </c>
      <c r="N1651" s="116">
        <v>2194.6999999999998</v>
      </c>
      <c r="O1651" s="116">
        <v>2143.5</v>
      </c>
      <c r="P1651" s="116">
        <v>2153</v>
      </c>
      <c r="Q1651" s="116">
        <v>2185.6999999999998</v>
      </c>
      <c r="R1651">
        <v>51378</v>
      </c>
    </row>
    <row r="1652" spans="1:18" x14ac:dyDescent="0.25">
      <c r="A1652" s="170">
        <v>46076</v>
      </c>
      <c r="B1652" s="116">
        <v>2219.4</v>
      </c>
      <c r="C1652" s="116">
        <v>2215.35</v>
      </c>
      <c r="D1652" s="116">
        <v>2177.5500000000002</v>
      </c>
      <c r="E1652" s="116">
        <v>2184.4</v>
      </c>
      <c r="F1652" s="116">
        <v>2215.35</v>
      </c>
      <c r="G1652">
        <v>4555</v>
      </c>
      <c r="H1652" s="116"/>
      <c r="I1652" s="116"/>
      <c r="L1652" s="170">
        <v>46076</v>
      </c>
      <c r="M1652" s="116">
        <v>2217.3000000000002</v>
      </c>
      <c r="N1652" s="116">
        <v>2226</v>
      </c>
      <c r="O1652" s="116">
        <v>2175.4</v>
      </c>
      <c r="P1652" s="116">
        <v>2186</v>
      </c>
      <c r="Q1652" s="116">
        <v>2217.3000000000002</v>
      </c>
      <c r="R1652">
        <v>100530</v>
      </c>
    </row>
    <row r="1653" spans="1:18" x14ac:dyDescent="0.25">
      <c r="A1653" s="170">
        <v>46077</v>
      </c>
      <c r="B1653" s="116">
        <v>2225.8000000000002</v>
      </c>
      <c r="C1653" s="116">
        <v>2212.9499999999998</v>
      </c>
      <c r="D1653" s="116">
        <v>2182.5</v>
      </c>
      <c r="E1653" s="116">
        <v>2215.35</v>
      </c>
      <c r="F1653" s="116">
        <v>2212.9499999999998</v>
      </c>
      <c r="G1653">
        <v>4055</v>
      </c>
      <c r="H1653" s="116"/>
      <c r="I1653" s="116"/>
      <c r="L1653" s="170">
        <v>46077</v>
      </c>
      <c r="M1653" s="116">
        <v>2213</v>
      </c>
      <c r="N1653" s="116">
        <v>2224</v>
      </c>
      <c r="O1653" s="116">
        <v>2177</v>
      </c>
      <c r="P1653" s="116">
        <v>2205.1</v>
      </c>
      <c r="Q1653" s="116">
        <v>2213</v>
      </c>
      <c r="R1653">
        <v>93148</v>
      </c>
    </row>
    <row r="1654" spans="1:18" x14ac:dyDescent="0.25">
      <c r="A1654" s="170">
        <v>46078</v>
      </c>
      <c r="B1654" s="116">
        <v>2240.15</v>
      </c>
      <c r="C1654" s="116">
        <v>2192.75</v>
      </c>
      <c r="D1654" s="116">
        <v>2189.9499999999998</v>
      </c>
      <c r="E1654" s="116">
        <v>2190.75</v>
      </c>
      <c r="F1654" s="116">
        <v>2192.75</v>
      </c>
      <c r="G1654">
        <v>2532</v>
      </c>
      <c r="H1654" s="116"/>
      <c r="I1654" s="116"/>
      <c r="L1654" s="170">
        <v>46078</v>
      </c>
      <c r="M1654" s="116">
        <v>2194.4</v>
      </c>
      <c r="N1654" s="116">
        <v>2242.9</v>
      </c>
      <c r="O1654" s="116">
        <v>2189.4</v>
      </c>
      <c r="P1654" s="116">
        <v>2223.9</v>
      </c>
      <c r="Q1654" s="116">
        <v>2194.4</v>
      </c>
      <c r="R1654">
        <v>100781</v>
      </c>
    </row>
    <row r="1655" spans="1:18" x14ac:dyDescent="0.25">
      <c r="A1655" s="170">
        <v>46079</v>
      </c>
      <c r="B1655" s="116">
        <v>2203.35</v>
      </c>
      <c r="C1655" s="116">
        <v>2182.25</v>
      </c>
      <c r="D1655" s="116">
        <v>2169</v>
      </c>
      <c r="E1655" s="116">
        <v>2202.4</v>
      </c>
      <c r="F1655" s="116">
        <v>2182.25</v>
      </c>
      <c r="G1655">
        <v>5286</v>
      </c>
      <c r="H1655" s="116"/>
      <c r="I1655" s="116"/>
      <c r="L1655" s="170">
        <v>46079</v>
      </c>
      <c r="M1655" s="116">
        <v>2180.8000000000002</v>
      </c>
      <c r="N1655" s="116">
        <v>2204.6999999999998</v>
      </c>
      <c r="O1655" s="116">
        <v>2168</v>
      </c>
      <c r="P1655" s="116">
        <v>2195</v>
      </c>
      <c r="Q1655" s="116">
        <v>2180.8000000000002</v>
      </c>
      <c r="R1655">
        <v>58251</v>
      </c>
    </row>
    <row r="1656" spans="1:18" x14ac:dyDescent="0.25">
      <c r="A1656" s="170">
        <v>46080</v>
      </c>
      <c r="B1656" s="116">
        <v>2182</v>
      </c>
      <c r="C1656" s="116">
        <v>2133.5</v>
      </c>
      <c r="D1656" s="116">
        <v>2125</v>
      </c>
      <c r="E1656" s="116">
        <v>2161.0500000000002</v>
      </c>
      <c r="F1656" s="116">
        <v>2133.5</v>
      </c>
      <c r="G1656">
        <v>2863</v>
      </c>
      <c r="H1656" s="116"/>
      <c r="I1656" s="116"/>
      <c r="L1656" s="170">
        <v>46080</v>
      </c>
      <c r="M1656" s="116">
        <v>2132</v>
      </c>
      <c r="N1656" s="116">
        <v>2183.4</v>
      </c>
      <c r="O1656" s="116">
        <v>2125.1</v>
      </c>
      <c r="P1656" s="116">
        <v>2180.8000000000002</v>
      </c>
      <c r="Q1656" s="116">
        <v>2132</v>
      </c>
      <c r="R1656">
        <v>50100</v>
      </c>
    </row>
    <row r="1657" spans="1:18" x14ac:dyDescent="0.25">
      <c r="A1657" s="170">
        <v>46083</v>
      </c>
      <c r="B1657" s="116">
        <v>2127.3000000000002</v>
      </c>
      <c r="C1657" s="116">
        <v>2115.25</v>
      </c>
      <c r="D1657" s="116">
        <v>2082.5</v>
      </c>
      <c r="E1657" s="116">
        <v>2091.4499999999998</v>
      </c>
      <c r="F1657" s="116">
        <v>2115.25</v>
      </c>
      <c r="G1657">
        <v>5282</v>
      </c>
      <c r="H1657" s="116"/>
      <c r="I1657" s="116"/>
      <c r="L1657" s="170">
        <v>46083</v>
      </c>
      <c r="M1657" s="116">
        <v>2113.8000000000002</v>
      </c>
      <c r="N1657" s="116">
        <v>2126</v>
      </c>
      <c r="O1657" s="116">
        <v>2080</v>
      </c>
      <c r="P1657" s="116">
        <v>2100</v>
      </c>
      <c r="Q1657" s="116">
        <v>2113.8000000000002</v>
      </c>
      <c r="R1657">
        <v>90010</v>
      </c>
    </row>
    <row r="1658" spans="1:18" x14ac:dyDescent="0.25">
      <c r="A1658" s="170">
        <v>46085</v>
      </c>
      <c r="B1658" s="116">
        <v>2118</v>
      </c>
      <c r="C1658" s="116">
        <v>2085.0500000000002</v>
      </c>
      <c r="D1658" s="116">
        <v>2040</v>
      </c>
      <c r="E1658" s="116">
        <v>2114.3000000000002</v>
      </c>
      <c r="F1658" s="116">
        <v>2085.0500000000002</v>
      </c>
      <c r="G1658">
        <v>11836</v>
      </c>
      <c r="H1658" s="116"/>
      <c r="I1658" s="116"/>
      <c r="L1658" s="170">
        <v>46085</v>
      </c>
      <c r="M1658" s="116">
        <v>2080.9</v>
      </c>
      <c r="N1658" s="116">
        <v>2118.9</v>
      </c>
      <c r="O1658" s="116">
        <v>2038.1</v>
      </c>
      <c r="P1658" s="116">
        <v>2105.1</v>
      </c>
      <c r="Q1658" s="116">
        <v>2080.9</v>
      </c>
      <c r="R1658">
        <v>134060</v>
      </c>
    </row>
    <row r="1659" spans="1:18" x14ac:dyDescent="0.25">
      <c r="A1659" s="170">
        <v>46086</v>
      </c>
      <c r="B1659" s="116">
        <v>2091.35</v>
      </c>
      <c r="C1659" s="116">
        <v>2073.65</v>
      </c>
      <c r="D1659" s="116">
        <v>2030.2</v>
      </c>
      <c r="E1659" s="116">
        <v>2091.35</v>
      </c>
      <c r="F1659" s="116">
        <v>2073.65</v>
      </c>
      <c r="G1659">
        <v>4658</v>
      </c>
      <c r="H1659" s="116"/>
      <c r="I1659" s="116"/>
      <c r="L1659" s="170">
        <v>46086</v>
      </c>
      <c r="M1659" s="116">
        <v>2076.4</v>
      </c>
      <c r="N1659" s="116">
        <v>2090.1999999999998</v>
      </c>
      <c r="O1659" s="116">
        <v>2030</v>
      </c>
      <c r="P1659" s="116">
        <v>2090.1999999999998</v>
      </c>
      <c r="Q1659" s="116">
        <v>2076.4</v>
      </c>
      <c r="R1659">
        <v>89858</v>
      </c>
    </row>
    <row r="1660" spans="1:18" x14ac:dyDescent="0.25">
      <c r="A1660" s="170">
        <v>46087</v>
      </c>
      <c r="B1660" s="116">
        <v>2127.35</v>
      </c>
      <c r="C1660" s="116">
        <v>2121.85</v>
      </c>
      <c r="D1660" s="116">
        <v>2070.9</v>
      </c>
      <c r="E1660" s="116">
        <v>2074.1</v>
      </c>
      <c r="F1660" s="116">
        <v>2121.85</v>
      </c>
      <c r="G1660">
        <v>321610</v>
      </c>
      <c r="H1660" s="116"/>
      <c r="I1660" s="116"/>
      <c r="L1660" s="170">
        <v>46087</v>
      </c>
      <c r="M1660" s="116">
        <v>2120.6</v>
      </c>
      <c r="N1660" s="116">
        <v>2126.5</v>
      </c>
      <c r="O1660" s="116">
        <v>2071</v>
      </c>
      <c r="P1660" s="116">
        <v>2081.1</v>
      </c>
      <c r="Q1660" s="116">
        <v>2120.6</v>
      </c>
      <c r="R1660">
        <v>504063</v>
      </c>
    </row>
    <row r="1661" spans="1:18" x14ac:dyDescent="0.25">
      <c r="A1661" s="170">
        <v>46090</v>
      </c>
      <c r="B1661" s="116">
        <v>2195.8000000000002</v>
      </c>
      <c r="C1661" s="116">
        <v>2177</v>
      </c>
      <c r="D1661" s="116">
        <v>2064.6</v>
      </c>
      <c r="E1661" s="116">
        <v>2096.65</v>
      </c>
      <c r="F1661" s="116">
        <v>2177</v>
      </c>
      <c r="G1661">
        <v>14977</v>
      </c>
      <c r="H1661" s="116"/>
      <c r="I1661" s="116"/>
      <c r="L1661" s="170">
        <v>46090</v>
      </c>
      <c r="M1661" s="116">
        <v>2183.5</v>
      </c>
      <c r="N1661" s="116">
        <v>2195</v>
      </c>
      <c r="O1661" s="116">
        <v>2066</v>
      </c>
      <c r="P1661" s="116">
        <v>2075.4</v>
      </c>
      <c r="Q1661" s="116">
        <v>2183.5</v>
      </c>
      <c r="R1661">
        <v>183308</v>
      </c>
    </row>
    <row r="1662" spans="1:18" x14ac:dyDescent="0.25">
      <c r="A1662" s="170">
        <v>46091</v>
      </c>
      <c r="B1662" s="116">
        <v>2226.15</v>
      </c>
      <c r="C1662" s="116">
        <v>2179.0500000000002</v>
      </c>
      <c r="D1662" s="116">
        <v>2155</v>
      </c>
      <c r="E1662" s="116">
        <v>2226.15</v>
      </c>
      <c r="F1662" s="116">
        <v>2179.0500000000002</v>
      </c>
      <c r="G1662">
        <v>2500</v>
      </c>
      <c r="H1662" s="116"/>
      <c r="I1662" s="116"/>
      <c r="L1662" s="170">
        <v>46091</v>
      </c>
      <c r="M1662" s="116">
        <v>2179.6</v>
      </c>
      <c r="N1662" s="116">
        <v>2217</v>
      </c>
      <c r="O1662" s="116">
        <v>2154.1</v>
      </c>
      <c r="P1662" s="116">
        <v>2217</v>
      </c>
      <c r="Q1662" s="116">
        <v>2179.6</v>
      </c>
      <c r="R1662">
        <v>114261</v>
      </c>
    </row>
    <row r="1663" spans="1:18" x14ac:dyDescent="0.25">
      <c r="A1663" s="170">
        <v>46092</v>
      </c>
      <c r="B1663" s="116">
        <v>2180</v>
      </c>
      <c r="C1663" s="116">
        <v>2129.15</v>
      </c>
      <c r="D1663" s="116">
        <v>2120.15</v>
      </c>
      <c r="E1663" s="116">
        <v>2170</v>
      </c>
      <c r="F1663" s="116">
        <v>2129.15</v>
      </c>
      <c r="G1663">
        <v>1647</v>
      </c>
      <c r="H1663" s="116"/>
      <c r="I1663" s="116"/>
      <c r="L1663" s="170">
        <v>46092</v>
      </c>
      <c r="M1663" s="116">
        <v>2130.4</v>
      </c>
      <c r="N1663" s="116">
        <v>2183.6999999999998</v>
      </c>
      <c r="O1663" s="116">
        <v>2119.5</v>
      </c>
      <c r="P1663" s="116">
        <v>2180</v>
      </c>
      <c r="Q1663" s="116">
        <v>2130.4</v>
      </c>
      <c r="R1663">
        <v>57154</v>
      </c>
    </row>
    <row r="1664" spans="1:18" x14ac:dyDescent="0.25">
      <c r="A1664" s="170">
        <v>46093</v>
      </c>
      <c r="B1664" s="116">
        <v>2129.15</v>
      </c>
      <c r="C1664" s="116">
        <v>2104.1999999999998</v>
      </c>
      <c r="D1664" s="116">
        <v>2097.9</v>
      </c>
      <c r="E1664" s="116">
        <v>2129.15</v>
      </c>
      <c r="F1664" s="116">
        <v>2104.1999999999998</v>
      </c>
      <c r="G1664">
        <v>5836</v>
      </c>
      <c r="H1664" s="116"/>
      <c r="I1664" s="116"/>
      <c r="L1664" s="170">
        <v>46093</v>
      </c>
      <c r="M1664" s="116">
        <v>2100.3000000000002</v>
      </c>
      <c r="N1664" s="116">
        <v>2120</v>
      </c>
      <c r="O1664" s="116">
        <v>2076</v>
      </c>
      <c r="P1664" s="116">
        <v>2115</v>
      </c>
      <c r="Q1664" s="116">
        <v>2100.3000000000002</v>
      </c>
      <c r="R1664">
        <v>263684</v>
      </c>
    </row>
    <row r="1665" spans="1:18" x14ac:dyDescent="0.25">
      <c r="A1665" s="170">
        <v>46094</v>
      </c>
      <c r="B1665" s="116">
        <v>2147.75</v>
      </c>
      <c r="C1665" s="116">
        <v>2102.3000000000002</v>
      </c>
      <c r="D1665" s="116">
        <v>2070.9499999999998</v>
      </c>
      <c r="E1665" s="116">
        <v>2070.9499999999998</v>
      </c>
      <c r="F1665" s="116">
        <v>2102.3000000000002</v>
      </c>
      <c r="G1665">
        <v>4927</v>
      </c>
      <c r="H1665" s="116"/>
      <c r="I1665" s="116"/>
      <c r="L1665" s="170">
        <v>46094</v>
      </c>
      <c r="M1665" s="116">
        <v>2101.9</v>
      </c>
      <c r="N1665" s="116">
        <v>2147.6</v>
      </c>
      <c r="O1665" s="116">
        <v>2083</v>
      </c>
      <c r="P1665" s="116">
        <v>2100</v>
      </c>
      <c r="Q1665" s="116">
        <v>2101.9</v>
      </c>
      <c r="R1665">
        <v>62736</v>
      </c>
    </row>
    <row r="1666" spans="1:18" x14ac:dyDescent="0.25">
      <c r="A1666" s="170">
        <v>46097</v>
      </c>
      <c r="B1666" s="116">
        <v>2123.4499999999998</v>
      </c>
      <c r="C1666" s="116">
        <v>2110.9499999999998</v>
      </c>
      <c r="D1666" s="116">
        <v>2068.9499999999998</v>
      </c>
      <c r="E1666" s="116">
        <v>2102.25</v>
      </c>
      <c r="F1666" s="116">
        <v>2110.9499999999998</v>
      </c>
      <c r="G1666">
        <v>172686</v>
      </c>
      <c r="H1666" s="116"/>
      <c r="I1666" s="116"/>
      <c r="L1666" s="170">
        <v>46097</v>
      </c>
      <c r="M1666" s="116">
        <v>2108</v>
      </c>
      <c r="N1666" s="116">
        <v>2140</v>
      </c>
      <c r="O1666" s="116">
        <v>2074.9</v>
      </c>
      <c r="P1666" s="116">
        <v>2100.1999999999998</v>
      </c>
      <c r="Q1666" s="116">
        <v>2108</v>
      </c>
      <c r="R1666">
        <v>125688</v>
      </c>
    </row>
    <row r="1667" spans="1:18" x14ac:dyDescent="0.25">
      <c r="A1667" s="170">
        <v>46098</v>
      </c>
      <c r="B1667" s="116">
        <v>2111.35</v>
      </c>
      <c r="C1667" s="116">
        <v>2064.3000000000002</v>
      </c>
      <c r="D1667" s="116">
        <v>2051</v>
      </c>
      <c r="E1667" s="116">
        <v>2108.9499999999998</v>
      </c>
      <c r="F1667" s="116">
        <v>2064.3000000000002</v>
      </c>
      <c r="G1667">
        <v>7851</v>
      </c>
      <c r="H1667" s="116"/>
      <c r="I1667" s="116"/>
      <c r="L1667" s="170">
        <v>46098</v>
      </c>
      <c r="M1667" s="116">
        <v>2065.6999999999998</v>
      </c>
      <c r="N1667" s="116">
        <v>2117.8000000000002</v>
      </c>
      <c r="O1667" s="116">
        <v>2049.9</v>
      </c>
      <c r="P1667" s="116">
        <v>2117.8000000000002</v>
      </c>
      <c r="Q1667" s="116">
        <v>2065.6999999999998</v>
      </c>
      <c r="R1667">
        <v>353119</v>
      </c>
    </row>
    <row r="1668" spans="1:18" x14ac:dyDescent="0.25">
      <c r="A1668" s="170">
        <v>46099</v>
      </c>
      <c r="B1668" s="116">
        <v>2129.6</v>
      </c>
      <c r="C1668" s="116">
        <v>2095.65</v>
      </c>
      <c r="D1668" s="116">
        <v>2047</v>
      </c>
      <c r="E1668" s="116">
        <v>2086.6999999999998</v>
      </c>
      <c r="F1668" s="116">
        <v>2095.65</v>
      </c>
      <c r="G1668">
        <v>3436</v>
      </c>
      <c r="H1668" s="116"/>
      <c r="I1668" s="116"/>
      <c r="L1668" s="170">
        <v>46099</v>
      </c>
      <c r="M1668" s="116">
        <v>2098.1</v>
      </c>
      <c r="N1668" s="116">
        <v>2130.3000000000002</v>
      </c>
      <c r="O1668" s="116">
        <v>2045.7</v>
      </c>
      <c r="P1668" s="116">
        <v>2051.1</v>
      </c>
      <c r="Q1668" s="116">
        <v>2098.1</v>
      </c>
      <c r="R1668">
        <v>100969</v>
      </c>
    </row>
    <row r="1669" spans="1:18" x14ac:dyDescent="0.25">
      <c r="A1669" s="170">
        <v>46100</v>
      </c>
      <c r="B1669" s="116">
        <v>2089.6999999999998</v>
      </c>
      <c r="C1669" s="116">
        <v>2019.15</v>
      </c>
      <c r="D1669" s="116">
        <v>2008.1</v>
      </c>
      <c r="E1669" s="116">
        <v>2079.5</v>
      </c>
      <c r="F1669" s="116">
        <v>2019.15</v>
      </c>
      <c r="G1669">
        <v>4428</v>
      </c>
      <c r="H1669" s="116"/>
      <c r="I1669" s="116"/>
      <c r="L1669" s="170">
        <v>46100</v>
      </c>
      <c r="M1669" s="116">
        <v>2029</v>
      </c>
      <c r="N1669" s="116">
        <v>2090</v>
      </c>
      <c r="O1669" s="116">
        <v>2007.9</v>
      </c>
      <c r="P1669" s="116">
        <v>2050</v>
      </c>
      <c r="Q1669" s="116">
        <v>2029</v>
      </c>
      <c r="R1669">
        <v>66327</v>
      </c>
    </row>
    <row r="1670" spans="1:18" x14ac:dyDescent="0.25">
      <c r="A1670" s="170">
        <v>46101</v>
      </c>
      <c r="B1670" s="116">
        <v>2150.6999999999998</v>
      </c>
      <c r="C1670" s="116">
        <v>1995.1</v>
      </c>
      <c r="D1670" s="116">
        <v>1979.05</v>
      </c>
      <c r="E1670" s="116">
        <v>2021.35</v>
      </c>
      <c r="F1670" s="116">
        <v>1995.1</v>
      </c>
      <c r="G1670">
        <v>4981</v>
      </c>
      <c r="H1670" s="116"/>
      <c r="I1670" s="116"/>
      <c r="L1670" s="170">
        <v>46101</v>
      </c>
      <c r="M1670" s="116">
        <v>1994.4</v>
      </c>
      <c r="N1670" s="116">
        <v>2046.1</v>
      </c>
      <c r="O1670" s="116">
        <v>1980</v>
      </c>
      <c r="P1670" s="116">
        <v>2029</v>
      </c>
      <c r="Q1670" s="116">
        <v>1994.4</v>
      </c>
      <c r="R1670">
        <v>135768</v>
      </c>
    </row>
    <row r="1671" spans="1:18" x14ac:dyDescent="0.25">
      <c r="A1671" s="170">
        <v>46104</v>
      </c>
      <c r="B1671" s="116">
        <v>1996.4</v>
      </c>
      <c r="C1671" s="116">
        <v>1967.35</v>
      </c>
      <c r="D1671" s="116">
        <v>1943.65</v>
      </c>
      <c r="E1671" s="116">
        <v>1986.5</v>
      </c>
      <c r="F1671" s="116">
        <v>1967.35</v>
      </c>
      <c r="G1671">
        <v>18370</v>
      </c>
      <c r="H1671" s="116"/>
      <c r="I1671" s="116"/>
      <c r="L1671" s="170">
        <v>46104</v>
      </c>
      <c r="M1671" s="116">
        <v>1970.5</v>
      </c>
      <c r="N1671" s="116">
        <v>1995.7</v>
      </c>
      <c r="O1671" s="116">
        <v>1943.1</v>
      </c>
      <c r="P1671" s="116">
        <v>1961</v>
      </c>
      <c r="Q1671" s="116">
        <v>1970.5</v>
      </c>
      <c r="R1671">
        <v>200497</v>
      </c>
    </row>
    <row r="1672" spans="1:18" x14ac:dyDescent="0.25">
      <c r="A1672" s="170">
        <v>46105</v>
      </c>
      <c r="B1672" s="116">
        <v>2010.3</v>
      </c>
      <c r="C1672" s="116">
        <v>1964.6</v>
      </c>
      <c r="D1672" s="116">
        <v>1948.1</v>
      </c>
      <c r="E1672" s="116">
        <v>1963.2</v>
      </c>
      <c r="F1672" s="116">
        <v>1964.6</v>
      </c>
      <c r="G1672">
        <v>147396</v>
      </c>
      <c r="H1672" s="116"/>
      <c r="I1672" s="116"/>
      <c r="L1672" s="170">
        <v>46105</v>
      </c>
      <c r="M1672" s="116">
        <v>1963.9</v>
      </c>
      <c r="N1672" s="116">
        <v>2019</v>
      </c>
      <c r="O1672" s="116">
        <v>1947.8</v>
      </c>
      <c r="P1672" s="116">
        <v>1980.1</v>
      </c>
      <c r="Q1672" s="116">
        <v>1963.9</v>
      </c>
      <c r="R1672">
        <v>405109</v>
      </c>
    </row>
    <row r="1673" spans="1:18" x14ac:dyDescent="0.25">
      <c r="A1673" s="170">
        <v>46106</v>
      </c>
      <c r="B1673" s="116">
        <v>2045</v>
      </c>
      <c r="C1673" s="116">
        <v>2017.15</v>
      </c>
      <c r="D1673" s="116">
        <v>1962.6</v>
      </c>
      <c r="E1673" s="116">
        <v>1962.6</v>
      </c>
      <c r="F1673" s="116">
        <v>2017.15</v>
      </c>
      <c r="G1673">
        <v>265458</v>
      </c>
      <c r="H1673" s="116"/>
      <c r="I1673" s="116"/>
      <c r="L1673" s="170">
        <v>46106</v>
      </c>
      <c r="M1673" s="116">
        <v>2015.7</v>
      </c>
      <c r="N1673" s="116">
        <v>2045.2</v>
      </c>
      <c r="O1673" s="116">
        <v>1970</v>
      </c>
      <c r="P1673" s="116">
        <v>1970</v>
      </c>
      <c r="Q1673" s="116">
        <v>2015.7</v>
      </c>
      <c r="R1673">
        <v>131715</v>
      </c>
    </row>
    <row r="1674" spans="1:18" x14ac:dyDescent="0.25">
      <c r="A1674" s="170">
        <v>46108</v>
      </c>
      <c r="B1674" s="116">
        <v>2033.55</v>
      </c>
      <c r="C1674" s="116">
        <v>1971.3</v>
      </c>
      <c r="D1674" s="116">
        <v>1950</v>
      </c>
      <c r="E1674" s="116">
        <v>1962.25</v>
      </c>
      <c r="F1674" s="116">
        <v>1971.3</v>
      </c>
      <c r="G1674">
        <v>14260</v>
      </c>
      <c r="H1674" s="116"/>
      <c r="I1674" s="116"/>
      <c r="L1674" s="170">
        <v>46108</v>
      </c>
      <c r="M1674" s="116">
        <v>1970.7</v>
      </c>
      <c r="N1674" s="116">
        <v>2034.8</v>
      </c>
      <c r="O1674" s="116">
        <v>1955.1</v>
      </c>
      <c r="P1674" s="116">
        <v>2015.7</v>
      </c>
      <c r="Q1674" s="116">
        <v>1970.7</v>
      </c>
      <c r="R1674">
        <v>78895</v>
      </c>
    </row>
    <row r="1675" spans="1:18" x14ac:dyDescent="0.25">
      <c r="A1675" s="170">
        <v>46111</v>
      </c>
      <c r="B1675" s="116">
        <v>2003</v>
      </c>
      <c r="C1675" s="116">
        <v>1983.9</v>
      </c>
      <c r="D1675" s="116">
        <v>1925.4</v>
      </c>
      <c r="E1675" s="116">
        <v>1925.4</v>
      </c>
      <c r="F1675" s="116">
        <v>1983.9</v>
      </c>
      <c r="G1675">
        <v>24303</v>
      </c>
      <c r="H1675" s="116"/>
      <c r="I1675" s="116"/>
      <c r="L1675" s="170">
        <v>46111</v>
      </c>
      <c r="M1675" s="116">
        <v>1986.2</v>
      </c>
      <c r="N1675" s="116">
        <v>2006.7</v>
      </c>
      <c r="O1675" s="116">
        <v>1925.6</v>
      </c>
      <c r="P1675" s="116">
        <v>1960</v>
      </c>
      <c r="Q1675" s="116">
        <v>1986.2</v>
      </c>
      <c r="R1675">
        <v>132268</v>
      </c>
    </row>
    <row r="1676" spans="1:18" x14ac:dyDescent="0.25">
      <c r="A1676" s="170">
        <v>46113</v>
      </c>
      <c r="B1676" s="116">
        <v>2078</v>
      </c>
      <c r="C1676" s="116">
        <v>2041.05</v>
      </c>
      <c r="D1676" s="116">
        <v>1971.1</v>
      </c>
      <c r="E1676" s="116">
        <v>2009</v>
      </c>
      <c r="F1676" s="116">
        <v>2041.05</v>
      </c>
      <c r="G1676">
        <v>101657</v>
      </c>
      <c r="H1676" s="116"/>
      <c r="I1676" s="116"/>
      <c r="L1676" s="170">
        <v>46113</v>
      </c>
      <c r="M1676" s="116">
        <v>2038.8</v>
      </c>
      <c r="N1676" s="116">
        <v>2078</v>
      </c>
      <c r="O1676" s="116">
        <v>1971.1</v>
      </c>
      <c r="P1676" s="116">
        <v>2004</v>
      </c>
      <c r="Q1676" s="116">
        <v>2038.8</v>
      </c>
      <c r="R1676">
        <v>155604</v>
      </c>
    </row>
    <row r="1677" spans="1:18" x14ac:dyDescent="0.25">
      <c r="A1677" s="170">
        <v>46114</v>
      </c>
      <c r="B1677" s="116">
        <v>2033.95</v>
      </c>
      <c r="C1677" s="116">
        <v>2015.05</v>
      </c>
      <c r="D1677" s="116">
        <v>1983.05</v>
      </c>
      <c r="E1677" s="116">
        <v>2020</v>
      </c>
      <c r="F1677" s="116">
        <v>2015.05</v>
      </c>
      <c r="G1677">
        <v>83349</v>
      </c>
      <c r="H1677" s="116"/>
      <c r="I1677" s="116"/>
      <c r="L1677" s="170">
        <v>46114</v>
      </c>
      <c r="M1677" s="116">
        <v>2018.9</v>
      </c>
      <c r="N1677" s="116">
        <v>2037.7</v>
      </c>
      <c r="O1677" s="116">
        <v>1984.2</v>
      </c>
      <c r="P1677" s="116">
        <v>2033.3</v>
      </c>
      <c r="Q1677" s="116">
        <v>2018.9</v>
      </c>
      <c r="R1677">
        <v>95276</v>
      </c>
    </row>
    <row r="1678" spans="1:18" x14ac:dyDescent="0.25">
      <c r="A1678" s="170">
        <v>46118</v>
      </c>
      <c r="B1678" s="116">
        <v>2074.35</v>
      </c>
      <c r="C1678" s="116">
        <v>2068.35</v>
      </c>
      <c r="D1678" s="116">
        <v>1979.3</v>
      </c>
      <c r="E1678" s="116">
        <v>2047.95</v>
      </c>
      <c r="F1678" s="116">
        <v>2068.35</v>
      </c>
      <c r="G1678">
        <v>6094</v>
      </c>
      <c r="H1678" s="116"/>
      <c r="I1678" s="116"/>
      <c r="L1678" s="170">
        <v>46118</v>
      </c>
      <c r="M1678" s="116">
        <v>2067.6999999999998</v>
      </c>
      <c r="N1678" s="116">
        <v>2074</v>
      </c>
      <c r="O1678" s="116">
        <v>1977.6</v>
      </c>
      <c r="P1678" s="116">
        <v>2016.9</v>
      </c>
      <c r="Q1678" s="116">
        <v>2067.6999999999998</v>
      </c>
      <c r="R1678">
        <v>72997</v>
      </c>
    </row>
    <row r="1679" spans="1:18" x14ac:dyDescent="0.25">
      <c r="A1679" s="170">
        <v>46119</v>
      </c>
      <c r="B1679" s="116">
        <v>2079.9</v>
      </c>
      <c r="C1679" s="116">
        <v>2057.85</v>
      </c>
      <c r="D1679" s="116">
        <v>2020.85</v>
      </c>
      <c r="E1679" s="116">
        <v>2050.25</v>
      </c>
      <c r="F1679" s="116">
        <v>2057.85</v>
      </c>
      <c r="G1679">
        <v>2730</v>
      </c>
      <c r="H1679" s="116"/>
      <c r="I1679" s="116"/>
      <c r="L1679" s="170">
        <v>46119</v>
      </c>
      <c r="M1679" s="116">
        <v>2053.5</v>
      </c>
      <c r="N1679" s="116">
        <v>2086</v>
      </c>
      <c r="O1679" s="116">
        <v>2021.3</v>
      </c>
      <c r="P1679" s="116">
        <v>2031</v>
      </c>
      <c r="Q1679" s="116">
        <v>2053.5</v>
      </c>
      <c r="R1679">
        <v>199814</v>
      </c>
    </row>
    <row r="1680" spans="1:18" x14ac:dyDescent="0.25">
      <c r="A1680" s="170">
        <v>46120</v>
      </c>
      <c r="B1680" s="116">
        <v>2132.1</v>
      </c>
      <c r="C1680" s="116">
        <v>2095.4</v>
      </c>
      <c r="D1680" s="116">
        <v>2085.15</v>
      </c>
      <c r="E1680" s="116">
        <v>2085.15</v>
      </c>
      <c r="F1680" s="116">
        <v>2095.4</v>
      </c>
      <c r="G1680">
        <v>6900</v>
      </c>
      <c r="H1680" s="116"/>
      <c r="I1680" s="116"/>
      <c r="L1680" s="170">
        <v>46120</v>
      </c>
      <c r="M1680" s="116">
        <v>2095.1999999999998</v>
      </c>
      <c r="N1680" s="116">
        <v>2130.1999999999998</v>
      </c>
      <c r="O1680" s="116">
        <v>2082.1</v>
      </c>
      <c r="P1680" s="116">
        <v>2112</v>
      </c>
      <c r="Q1680" s="116">
        <v>2095.1999999999998</v>
      </c>
      <c r="R1680">
        <v>125241</v>
      </c>
    </row>
    <row r="1681" spans="1:18" x14ac:dyDescent="0.25">
      <c r="A1681" s="170">
        <v>46121</v>
      </c>
      <c r="B1681" s="116">
        <v>2120.9499999999998</v>
      </c>
      <c r="C1681" s="116">
        <v>2100.85</v>
      </c>
      <c r="D1681" s="116">
        <v>2080</v>
      </c>
      <c r="E1681" s="116">
        <v>2092.15</v>
      </c>
      <c r="F1681" s="116">
        <v>2100.85</v>
      </c>
      <c r="G1681">
        <v>8987</v>
      </c>
      <c r="H1681" s="116"/>
      <c r="I1681" s="116"/>
      <c r="L1681" s="170">
        <v>46121</v>
      </c>
      <c r="M1681" s="116">
        <v>2100.1999999999998</v>
      </c>
      <c r="N1681" s="116">
        <v>2120</v>
      </c>
      <c r="O1681" s="116">
        <v>2080</v>
      </c>
      <c r="P1681" s="116">
        <v>2099.9</v>
      </c>
      <c r="Q1681" s="116">
        <v>2100.1999999999998</v>
      </c>
      <c r="R1681">
        <v>399114</v>
      </c>
    </row>
    <row r="1682" spans="1:18" x14ac:dyDescent="0.25">
      <c r="A1682" s="170">
        <v>46122</v>
      </c>
      <c r="B1682" s="116">
        <v>2119.35</v>
      </c>
      <c r="C1682" s="116">
        <v>2099.75</v>
      </c>
      <c r="D1682" s="116">
        <v>2093.25</v>
      </c>
      <c r="E1682" s="116">
        <v>2119.35</v>
      </c>
      <c r="F1682" s="116">
        <v>2099.75</v>
      </c>
      <c r="G1682">
        <v>5140</v>
      </c>
      <c r="H1682" s="116"/>
      <c r="I1682" s="116"/>
      <c r="L1682" s="170">
        <v>46122</v>
      </c>
      <c r="M1682" s="116">
        <v>2100</v>
      </c>
      <c r="N1682" s="116">
        <v>2118.6999999999998</v>
      </c>
      <c r="O1682" s="116">
        <v>2083.9</v>
      </c>
      <c r="P1682" s="116">
        <v>2103</v>
      </c>
      <c r="Q1682" s="116">
        <v>2100</v>
      </c>
      <c r="R1682">
        <v>210513</v>
      </c>
    </row>
    <row r="1683" spans="1:18" x14ac:dyDescent="0.25">
      <c r="A1683" s="170">
        <v>46125</v>
      </c>
      <c r="B1683" s="116">
        <v>2118.3000000000002</v>
      </c>
      <c r="C1683" s="116">
        <v>2106.9499999999998</v>
      </c>
      <c r="D1683" s="116">
        <v>2050</v>
      </c>
      <c r="E1683" s="116">
        <v>2070.0500000000002</v>
      </c>
      <c r="F1683" s="116">
        <v>2106.9499999999998</v>
      </c>
      <c r="G1683">
        <v>1810</v>
      </c>
      <c r="H1683" s="116"/>
      <c r="I1683" s="116"/>
      <c r="L1683" s="170">
        <v>46125</v>
      </c>
      <c r="M1683" s="116">
        <v>2106.8000000000002</v>
      </c>
      <c r="N1683" s="116">
        <v>2120.1</v>
      </c>
      <c r="O1683" s="116">
        <v>2045.8</v>
      </c>
      <c r="P1683" s="116">
        <v>2055.5</v>
      </c>
      <c r="Q1683" s="116">
        <v>2106.8000000000002</v>
      </c>
      <c r="R1683">
        <v>101318</v>
      </c>
    </row>
    <row r="1684" spans="1:18" x14ac:dyDescent="0.25">
      <c r="A1684" s="170">
        <v>46127</v>
      </c>
      <c r="B1684" s="116">
        <v>2140</v>
      </c>
      <c r="C1684" s="116">
        <v>2119.9499999999998</v>
      </c>
      <c r="D1684" s="116">
        <v>2095</v>
      </c>
      <c r="E1684" s="116">
        <v>2120.0500000000002</v>
      </c>
      <c r="F1684" s="116">
        <v>2119.9499999999998</v>
      </c>
      <c r="G1684">
        <v>164770</v>
      </c>
      <c r="H1684" s="116"/>
      <c r="I1684" s="116"/>
      <c r="L1684" s="170">
        <v>46127</v>
      </c>
      <c r="M1684" s="116">
        <v>2120.1</v>
      </c>
      <c r="N1684" s="116">
        <v>2140.4</v>
      </c>
      <c r="O1684" s="116">
        <v>2096.1</v>
      </c>
      <c r="P1684" s="116">
        <v>2129.9</v>
      </c>
      <c r="Q1684" s="116">
        <v>2120.1</v>
      </c>
      <c r="R1684">
        <v>180768</v>
      </c>
    </row>
    <row r="1685" spans="1:18" x14ac:dyDescent="0.25">
      <c r="A1685" s="170">
        <v>46128</v>
      </c>
      <c r="B1685" s="116">
        <v>2162.8000000000002</v>
      </c>
      <c r="C1685" s="116">
        <v>2155.1999999999998</v>
      </c>
      <c r="D1685" s="116">
        <v>2113.6</v>
      </c>
      <c r="E1685" s="116">
        <v>2123.4</v>
      </c>
      <c r="F1685" s="116">
        <v>2155.1999999999998</v>
      </c>
      <c r="G1685">
        <v>1741</v>
      </c>
      <c r="H1685" s="116"/>
      <c r="I1685" s="116"/>
      <c r="L1685" s="170">
        <v>46128</v>
      </c>
      <c r="M1685" s="116">
        <v>2155.6999999999998</v>
      </c>
      <c r="N1685" s="116">
        <v>2165</v>
      </c>
      <c r="O1685" s="116">
        <v>2115.6</v>
      </c>
      <c r="P1685" s="116">
        <v>2139</v>
      </c>
      <c r="Q1685" s="116">
        <v>2155.6999999999998</v>
      </c>
      <c r="R1685">
        <v>127876</v>
      </c>
    </row>
    <row r="1686" spans="1:18" x14ac:dyDescent="0.25">
      <c r="A1686" s="170">
        <v>46129</v>
      </c>
      <c r="B1686" s="116">
        <v>2181.5500000000002</v>
      </c>
      <c r="C1686" s="116">
        <v>2172.6999999999998</v>
      </c>
      <c r="D1686" s="116">
        <v>2148</v>
      </c>
      <c r="E1686" s="116">
        <v>2148.0500000000002</v>
      </c>
      <c r="F1686" s="116">
        <v>2172.6999999999998</v>
      </c>
      <c r="G1686">
        <v>2342</v>
      </c>
      <c r="H1686" s="116"/>
      <c r="I1686" s="116"/>
      <c r="L1686" s="170">
        <v>46129</v>
      </c>
      <c r="M1686" s="116">
        <v>2170.9</v>
      </c>
      <c r="N1686" s="116">
        <v>2179.9</v>
      </c>
      <c r="O1686" s="116">
        <v>2141.3000000000002</v>
      </c>
      <c r="P1686" s="116">
        <v>2151.1</v>
      </c>
      <c r="Q1686" s="116">
        <v>2170.9</v>
      </c>
      <c r="R1686">
        <v>140759</v>
      </c>
    </row>
    <row r="1687" spans="1:18" x14ac:dyDescent="0.25">
      <c r="A1687" s="170">
        <v>46132</v>
      </c>
      <c r="B1687" s="116">
        <v>2193.5</v>
      </c>
      <c r="C1687" s="116">
        <v>2183.25</v>
      </c>
      <c r="D1687" s="116">
        <v>2150</v>
      </c>
      <c r="E1687" s="116">
        <v>2172.75</v>
      </c>
      <c r="F1687" s="116">
        <v>2183.25</v>
      </c>
      <c r="G1687">
        <v>6638</v>
      </c>
      <c r="H1687" s="116"/>
      <c r="I1687" s="116"/>
      <c r="L1687" s="170">
        <v>46132</v>
      </c>
      <c r="M1687" s="116">
        <v>2184.6</v>
      </c>
      <c r="N1687" s="116">
        <v>2196</v>
      </c>
      <c r="O1687" s="116">
        <v>2149.6999999999998</v>
      </c>
      <c r="P1687" s="116">
        <v>2188</v>
      </c>
      <c r="Q1687" s="116">
        <v>2184.6</v>
      </c>
      <c r="R1687">
        <v>125520</v>
      </c>
    </row>
    <row r="1688" spans="1:18" x14ac:dyDescent="0.25">
      <c r="A1688" s="170">
        <v>46133</v>
      </c>
      <c r="B1688" s="116">
        <v>2199.5500000000002</v>
      </c>
      <c r="C1688" s="116">
        <v>2164.75</v>
      </c>
      <c r="D1688" s="116">
        <v>2145</v>
      </c>
      <c r="E1688" s="116">
        <v>2183.1999999999998</v>
      </c>
      <c r="F1688" s="116">
        <v>2164.75</v>
      </c>
      <c r="G1688">
        <v>2539</v>
      </c>
      <c r="H1688" s="116"/>
      <c r="I1688" s="116"/>
      <c r="L1688" s="170">
        <v>46133</v>
      </c>
      <c r="M1688" s="116">
        <v>2167</v>
      </c>
      <c r="N1688" s="116">
        <v>2199</v>
      </c>
      <c r="O1688" s="116">
        <v>2145</v>
      </c>
      <c r="P1688" s="116">
        <v>2190.5</v>
      </c>
      <c r="Q1688" s="116">
        <v>2167</v>
      </c>
      <c r="R1688">
        <v>179185</v>
      </c>
    </row>
    <row r="1689" spans="1:18" x14ac:dyDescent="0.25">
      <c r="A1689" s="170">
        <v>46134</v>
      </c>
      <c r="B1689" s="116">
        <v>2186.6</v>
      </c>
      <c r="C1689" s="116">
        <v>2168.1</v>
      </c>
      <c r="D1689" s="116">
        <v>2142.85</v>
      </c>
      <c r="E1689" s="116">
        <v>2179.4499999999998</v>
      </c>
      <c r="F1689" s="116">
        <v>2168.1</v>
      </c>
      <c r="G1689">
        <v>4088</v>
      </c>
      <c r="H1689" s="116"/>
      <c r="I1689" s="116"/>
      <c r="L1689" s="170">
        <v>46134</v>
      </c>
      <c r="M1689" s="116">
        <v>2168.4</v>
      </c>
      <c r="N1689" s="116">
        <v>2187</v>
      </c>
      <c r="O1689" s="116">
        <v>2142.1999999999998</v>
      </c>
      <c r="P1689" s="116">
        <v>2155</v>
      </c>
      <c r="Q1689" s="116">
        <v>2168.4</v>
      </c>
      <c r="R1689">
        <v>81475</v>
      </c>
    </row>
    <row r="1690" spans="1:18" x14ac:dyDescent="0.25">
      <c r="A1690" s="170">
        <v>46135</v>
      </c>
      <c r="B1690" s="116">
        <v>2186</v>
      </c>
      <c r="C1690" s="116">
        <v>2159.5500000000002</v>
      </c>
      <c r="D1690" s="116">
        <v>2150</v>
      </c>
      <c r="E1690" s="116">
        <v>2171.85</v>
      </c>
      <c r="F1690" s="116">
        <v>2159.5500000000002</v>
      </c>
      <c r="G1690">
        <v>2917</v>
      </c>
      <c r="H1690" s="116"/>
      <c r="I1690" s="116"/>
      <c r="L1690" s="170">
        <v>46135</v>
      </c>
      <c r="M1690" s="116">
        <v>2159.4</v>
      </c>
      <c r="N1690" s="116">
        <v>2190</v>
      </c>
      <c r="O1690" s="116">
        <v>2148.4</v>
      </c>
      <c r="P1690" s="116">
        <v>2168.4</v>
      </c>
      <c r="Q1690" s="116">
        <v>2159.4</v>
      </c>
      <c r="R1690">
        <v>65757</v>
      </c>
    </row>
    <row r="1691" spans="1:18" x14ac:dyDescent="0.25">
      <c r="A1691" s="170">
        <v>46136</v>
      </c>
      <c r="B1691" s="116">
        <v>2180.5</v>
      </c>
      <c r="C1691" s="116">
        <v>2105.6</v>
      </c>
      <c r="D1691" s="116">
        <v>2099.9</v>
      </c>
      <c r="E1691" s="116">
        <v>2180.5</v>
      </c>
      <c r="F1691" s="116">
        <v>2105.6</v>
      </c>
      <c r="G1691">
        <v>6583</v>
      </c>
      <c r="H1691" s="116"/>
      <c r="I1691" s="116"/>
      <c r="L1691" s="170">
        <v>46136</v>
      </c>
      <c r="M1691" s="116">
        <v>2107.1</v>
      </c>
      <c r="N1691" s="116">
        <v>2170</v>
      </c>
      <c r="O1691" s="116">
        <v>2099.6</v>
      </c>
      <c r="P1691" s="116">
        <v>2164.6999999999998</v>
      </c>
      <c r="Q1691" s="116">
        <v>2107.1</v>
      </c>
      <c r="R1691">
        <v>61379</v>
      </c>
    </row>
    <row r="1692" spans="1:18" x14ac:dyDescent="0.25">
      <c r="A1692" s="170">
        <v>46139</v>
      </c>
      <c r="B1692" s="116">
        <v>2149.65</v>
      </c>
      <c r="C1692" s="116">
        <v>2121.5</v>
      </c>
      <c r="D1692" s="116">
        <v>2101.0500000000002</v>
      </c>
      <c r="E1692" s="116">
        <v>2149.65</v>
      </c>
      <c r="F1692" s="116">
        <v>2121.5</v>
      </c>
      <c r="G1692">
        <v>2824</v>
      </c>
      <c r="H1692" s="116"/>
      <c r="I1692" s="116"/>
      <c r="L1692" s="170">
        <v>46139</v>
      </c>
      <c r="M1692" s="116">
        <v>2119.5</v>
      </c>
      <c r="N1692" s="116">
        <v>2142.4</v>
      </c>
      <c r="O1692" s="116">
        <v>2101</v>
      </c>
      <c r="P1692" s="116">
        <v>2125</v>
      </c>
      <c r="Q1692" s="116">
        <v>2119.5</v>
      </c>
      <c r="R1692">
        <v>57381</v>
      </c>
    </row>
    <row r="1693" spans="1:18" x14ac:dyDescent="0.25">
      <c r="A1693" s="170">
        <v>46140</v>
      </c>
      <c r="B1693" s="116">
        <v>2143.6999999999998</v>
      </c>
      <c r="C1693" s="116">
        <v>2123.9</v>
      </c>
      <c r="D1693" s="116">
        <v>2103.1</v>
      </c>
      <c r="E1693" s="116">
        <v>2105.0500000000002</v>
      </c>
      <c r="F1693" s="116">
        <v>2123.9</v>
      </c>
      <c r="G1693">
        <v>7480</v>
      </c>
      <c r="H1693" s="116"/>
      <c r="I1693" s="116"/>
      <c r="L1693" s="170">
        <v>46140</v>
      </c>
      <c r="M1693" s="116">
        <v>2129.3000000000002</v>
      </c>
      <c r="N1693" s="116">
        <v>2140.1</v>
      </c>
      <c r="O1693" s="116">
        <v>2101.8000000000002</v>
      </c>
      <c r="P1693" s="116">
        <v>2105.1</v>
      </c>
      <c r="Q1693" s="116">
        <v>2129.3000000000002</v>
      </c>
      <c r="R1693">
        <v>82614</v>
      </c>
    </row>
    <row r="1694" spans="1:18" x14ac:dyDescent="0.25">
      <c r="A1694" s="170">
        <v>46141</v>
      </c>
      <c r="B1694" s="116">
        <v>2152.5</v>
      </c>
      <c r="C1694" s="116">
        <v>2131.4</v>
      </c>
      <c r="D1694" s="116">
        <v>2106</v>
      </c>
      <c r="E1694" s="116">
        <v>2129.25</v>
      </c>
      <c r="F1694" s="116">
        <v>2131.4</v>
      </c>
      <c r="G1694">
        <v>2429</v>
      </c>
      <c r="H1694" s="116"/>
      <c r="I1694" s="116"/>
      <c r="L1694" s="170">
        <v>46141</v>
      </c>
      <c r="M1694" s="116">
        <v>2130.8000000000002</v>
      </c>
      <c r="N1694" s="116">
        <v>2154.9</v>
      </c>
      <c r="O1694" s="116">
        <v>2105.1</v>
      </c>
      <c r="P1694" s="116">
        <v>2140</v>
      </c>
      <c r="Q1694" s="116">
        <v>2130.8000000000002</v>
      </c>
      <c r="R1694">
        <v>84882</v>
      </c>
    </row>
    <row r="1695" spans="1:18" x14ac:dyDescent="0.25">
      <c r="A1695" s="170">
        <v>46142</v>
      </c>
      <c r="B1695" s="116">
        <v>2133.9</v>
      </c>
      <c r="C1695" s="116">
        <v>2109</v>
      </c>
      <c r="D1695" s="116">
        <v>2088</v>
      </c>
      <c r="E1695" s="116">
        <v>2113.1999999999998</v>
      </c>
      <c r="F1695" s="116">
        <v>2109</v>
      </c>
      <c r="G1695">
        <v>4229</v>
      </c>
      <c r="H1695" s="116"/>
      <c r="I1695" s="116"/>
      <c r="L1695" s="170">
        <v>46142</v>
      </c>
      <c r="M1695" s="116">
        <v>2103.6</v>
      </c>
      <c r="N1695" s="116">
        <v>2139</v>
      </c>
      <c r="O1695" s="116">
        <v>2080</v>
      </c>
      <c r="P1695" s="116">
        <v>2130.8000000000002</v>
      </c>
      <c r="Q1695" s="116">
        <v>2103.6</v>
      </c>
      <c r="R1695">
        <v>61365</v>
      </c>
    </row>
    <row r="1696" spans="1:18" x14ac:dyDescent="0.25">
      <c r="A1696" s="170">
        <v>46146</v>
      </c>
      <c r="B1696" s="116">
        <v>2109</v>
      </c>
      <c r="C1696" s="116">
        <v>2096.15</v>
      </c>
      <c r="D1696" s="116">
        <v>2019.05</v>
      </c>
      <c r="E1696" s="116">
        <v>2035.2</v>
      </c>
      <c r="F1696" s="116">
        <v>2096.15</v>
      </c>
      <c r="G1696">
        <v>23186</v>
      </c>
      <c r="H1696" s="116"/>
      <c r="I1696" s="116"/>
      <c r="L1696" s="170">
        <v>46146</v>
      </c>
      <c r="M1696" s="116">
        <v>2094.5</v>
      </c>
      <c r="N1696" s="116">
        <v>2111.1999999999998</v>
      </c>
      <c r="O1696" s="116">
        <v>2013.9</v>
      </c>
      <c r="P1696" s="116">
        <v>2036.6</v>
      </c>
      <c r="Q1696" s="116">
        <v>2094.5</v>
      </c>
      <c r="R1696">
        <v>187297</v>
      </c>
    </row>
    <row r="1697" spans="1:18" x14ac:dyDescent="0.25">
      <c r="A1697" s="170">
        <v>46147</v>
      </c>
      <c r="B1697" s="116">
        <v>2096.1</v>
      </c>
      <c r="C1697" s="116">
        <v>2053.3000000000002</v>
      </c>
      <c r="D1697" s="116">
        <v>2036</v>
      </c>
      <c r="E1697" s="116">
        <v>2096.1</v>
      </c>
      <c r="F1697" s="116">
        <v>2053.3000000000002</v>
      </c>
      <c r="G1697">
        <v>6620</v>
      </c>
      <c r="H1697" s="116"/>
      <c r="I1697" s="116"/>
      <c r="L1697" s="170">
        <v>46147</v>
      </c>
      <c r="M1697" s="116">
        <v>2052.9</v>
      </c>
      <c r="N1697" s="116">
        <v>2094.5</v>
      </c>
      <c r="O1697" s="116">
        <v>2036.1</v>
      </c>
      <c r="P1697" s="116">
        <v>2094.5</v>
      </c>
      <c r="Q1697" s="116">
        <v>2052.9</v>
      </c>
      <c r="R1697">
        <v>121131</v>
      </c>
    </row>
    <row r="1698" spans="1:18" x14ac:dyDescent="0.25">
      <c r="A1698" s="170">
        <v>46148</v>
      </c>
      <c r="B1698" s="116">
        <v>2069</v>
      </c>
      <c r="C1698" s="116">
        <v>2050</v>
      </c>
      <c r="D1698" s="116">
        <v>2030</v>
      </c>
      <c r="E1698" s="116">
        <v>2056</v>
      </c>
      <c r="F1698" s="116">
        <v>2050</v>
      </c>
      <c r="G1698">
        <v>8277</v>
      </c>
      <c r="H1698" s="116"/>
      <c r="I1698" s="116"/>
      <c r="L1698" s="170">
        <v>46148</v>
      </c>
      <c r="M1698" s="116">
        <v>2056.9</v>
      </c>
      <c r="N1698" s="116">
        <v>2068.8000000000002</v>
      </c>
      <c r="O1698" s="116">
        <v>2025.3</v>
      </c>
      <c r="P1698" s="116">
        <v>2066.9</v>
      </c>
      <c r="Q1698" s="116">
        <v>2056.9</v>
      </c>
      <c r="R1698">
        <v>269388</v>
      </c>
    </row>
    <row r="1699" spans="1:18" x14ac:dyDescent="0.25">
      <c r="A1699" s="170">
        <v>46149</v>
      </c>
      <c r="B1699" s="116">
        <v>2104.8000000000002</v>
      </c>
      <c r="C1699" s="116">
        <v>2092.1999999999998</v>
      </c>
      <c r="D1699" s="116">
        <v>2058.6</v>
      </c>
      <c r="E1699" s="116">
        <v>2058.6</v>
      </c>
      <c r="F1699" s="116">
        <v>2092.1999999999998</v>
      </c>
      <c r="G1699">
        <v>3177</v>
      </c>
      <c r="H1699" s="116"/>
      <c r="I1699" s="116"/>
      <c r="L1699" s="170">
        <v>46149</v>
      </c>
      <c r="M1699" s="116">
        <v>2091</v>
      </c>
      <c r="N1699" s="116">
        <v>2105.4</v>
      </c>
      <c r="O1699" s="116">
        <v>2062.1999999999998</v>
      </c>
      <c r="P1699" s="116">
        <v>2068.5</v>
      </c>
      <c r="Q1699" s="116">
        <v>2091</v>
      </c>
      <c r="R1699">
        <v>75148</v>
      </c>
    </row>
    <row r="1700" spans="1:18" x14ac:dyDescent="0.25">
      <c r="A1700" s="170">
        <v>46150</v>
      </c>
      <c r="B1700" s="116">
        <v>2120.0500000000002</v>
      </c>
      <c r="C1700" s="116">
        <v>2091.65</v>
      </c>
      <c r="D1700" s="116">
        <v>2076</v>
      </c>
      <c r="E1700" s="116">
        <v>2081.4499999999998</v>
      </c>
      <c r="F1700" s="116">
        <v>2091.65</v>
      </c>
      <c r="G1700">
        <v>82168</v>
      </c>
      <c r="H1700" s="116"/>
      <c r="I1700" s="116"/>
      <c r="L1700" s="170">
        <v>46150</v>
      </c>
      <c r="M1700" s="116">
        <v>2091.8000000000002</v>
      </c>
      <c r="N1700" s="116">
        <v>2122.1999999999998</v>
      </c>
      <c r="O1700" s="116">
        <v>2075</v>
      </c>
      <c r="P1700" s="116">
        <v>2104.9</v>
      </c>
      <c r="Q1700" s="116">
        <v>2091.8000000000002</v>
      </c>
      <c r="R1700">
        <v>52221</v>
      </c>
    </row>
    <row r="1701" spans="1:18" x14ac:dyDescent="0.25">
      <c r="A1701" s="170">
        <v>46153</v>
      </c>
      <c r="B1701" s="116">
        <v>2107.1999999999998</v>
      </c>
      <c r="C1701" s="116">
        <v>2065.35</v>
      </c>
      <c r="D1701" s="116">
        <v>2034.1</v>
      </c>
      <c r="E1701" s="116">
        <v>2107.1999999999998</v>
      </c>
      <c r="F1701" s="116">
        <v>2065.35</v>
      </c>
      <c r="G1701">
        <v>2976</v>
      </c>
      <c r="H1701" s="116"/>
      <c r="I1701" s="116"/>
      <c r="L1701" s="170">
        <v>46153</v>
      </c>
      <c r="M1701" s="116">
        <v>2065</v>
      </c>
      <c r="N1701" s="116">
        <v>2088.9</v>
      </c>
      <c r="O1701" s="116">
        <v>2034</v>
      </c>
      <c r="P1701" s="116">
        <v>2071.1</v>
      </c>
      <c r="Q1701" s="116">
        <v>2065</v>
      </c>
      <c r="R1701">
        <v>133975</v>
      </c>
    </row>
    <row r="1702" spans="1:18" x14ac:dyDescent="0.25">
      <c r="A1702" s="170">
        <v>46154</v>
      </c>
      <c r="B1702" s="116">
        <v>2079.9</v>
      </c>
      <c r="C1702" s="116">
        <v>2012.35</v>
      </c>
      <c r="D1702" s="116">
        <v>2005</v>
      </c>
      <c r="E1702" s="116">
        <v>2079.9</v>
      </c>
      <c r="F1702" s="116">
        <v>2012.35</v>
      </c>
      <c r="G1702">
        <v>4547</v>
      </c>
      <c r="H1702" s="116"/>
      <c r="I1702" s="116"/>
      <c r="L1702" s="170">
        <v>46154</v>
      </c>
      <c r="M1702" s="116">
        <v>2011.8</v>
      </c>
      <c r="N1702" s="116">
        <v>2079.3000000000002</v>
      </c>
      <c r="O1702" s="116">
        <v>2004.8</v>
      </c>
      <c r="P1702" s="116">
        <v>2075</v>
      </c>
      <c r="Q1702" s="116">
        <v>2011.8</v>
      </c>
      <c r="R1702">
        <v>64706</v>
      </c>
    </row>
    <row r="1703" spans="1:18" x14ac:dyDescent="0.25">
      <c r="A1703" s="170">
        <v>46155</v>
      </c>
      <c r="B1703" s="116">
        <v>2011</v>
      </c>
      <c r="C1703" s="116">
        <v>1968.8</v>
      </c>
      <c r="D1703" s="116">
        <v>1966</v>
      </c>
      <c r="E1703" s="116">
        <v>1990.05</v>
      </c>
      <c r="F1703" s="116">
        <v>1968.8</v>
      </c>
      <c r="G1703">
        <v>7580</v>
      </c>
      <c r="H1703" s="116"/>
      <c r="I1703" s="116"/>
      <c r="L1703" s="170">
        <v>46155</v>
      </c>
      <c r="M1703" s="116">
        <v>1969.2</v>
      </c>
      <c r="N1703" s="116">
        <v>2022.8</v>
      </c>
      <c r="O1703" s="116">
        <v>1966</v>
      </c>
      <c r="P1703" s="116">
        <v>2000</v>
      </c>
      <c r="Q1703" s="116">
        <v>1969.2</v>
      </c>
      <c r="R1703">
        <v>65566</v>
      </c>
    </row>
    <row r="1704" spans="1:18" x14ac:dyDescent="0.25">
      <c r="A1704" s="170">
        <v>46156</v>
      </c>
      <c r="B1704" s="116">
        <v>1978.45</v>
      </c>
      <c r="C1704" s="116">
        <v>1971.3</v>
      </c>
      <c r="D1704" s="116">
        <v>1938.8</v>
      </c>
      <c r="E1704" s="116">
        <v>1978.45</v>
      </c>
      <c r="F1704" s="116">
        <v>1971.3</v>
      </c>
      <c r="G1704">
        <v>2432</v>
      </c>
      <c r="H1704" s="116"/>
      <c r="I1704" s="116"/>
      <c r="L1704" s="170">
        <v>46156</v>
      </c>
      <c r="M1704" s="116">
        <v>1971.2</v>
      </c>
      <c r="N1704" s="116">
        <v>1979.9</v>
      </c>
      <c r="O1704" s="116">
        <v>1934.4</v>
      </c>
      <c r="P1704" s="116">
        <v>1970</v>
      </c>
      <c r="Q1704" s="116">
        <v>1971.2</v>
      </c>
      <c r="R1704">
        <v>59136</v>
      </c>
    </row>
    <row r="1705" spans="1:18" x14ac:dyDescent="0.25">
      <c r="A1705" s="170">
        <v>46157</v>
      </c>
      <c r="B1705" s="116">
        <v>1981.15</v>
      </c>
      <c r="C1705" s="116">
        <v>1956.25</v>
      </c>
      <c r="D1705" s="116">
        <v>1951</v>
      </c>
      <c r="E1705" s="116">
        <v>1981.15</v>
      </c>
      <c r="F1705" s="116">
        <v>1956.25</v>
      </c>
      <c r="G1705">
        <v>5657</v>
      </c>
      <c r="H1705" s="116"/>
      <c r="I1705" s="116"/>
      <c r="L1705" s="170">
        <v>46157</v>
      </c>
      <c r="M1705" s="116">
        <v>1956.5</v>
      </c>
      <c r="N1705" s="116">
        <v>1991</v>
      </c>
      <c r="O1705" s="116">
        <v>1950</v>
      </c>
      <c r="P1705" s="116">
        <v>1979.9</v>
      </c>
      <c r="Q1705" s="116">
        <v>1956.5</v>
      </c>
      <c r="R1705">
        <v>72549</v>
      </c>
    </row>
    <row r="1706" spans="1:18" x14ac:dyDescent="0.25">
      <c r="A1706" s="170">
        <v>46160</v>
      </c>
      <c r="B1706" s="116">
        <v>1957.05</v>
      </c>
      <c r="C1706" s="116">
        <v>1949</v>
      </c>
      <c r="D1706" s="116">
        <v>1911</v>
      </c>
      <c r="E1706" s="116">
        <v>1957.05</v>
      </c>
      <c r="F1706" s="116">
        <v>1949</v>
      </c>
      <c r="G1706">
        <v>3274</v>
      </c>
      <c r="H1706" s="116"/>
      <c r="I1706" s="116"/>
      <c r="L1706" s="170">
        <v>46160</v>
      </c>
      <c r="M1706" s="116">
        <v>1949</v>
      </c>
      <c r="N1706" s="116">
        <v>1966</v>
      </c>
      <c r="O1706" s="116">
        <v>1911</v>
      </c>
      <c r="P1706" s="116">
        <v>1956.5</v>
      </c>
      <c r="Q1706" s="116">
        <v>1949</v>
      </c>
      <c r="R1706">
        <v>97653</v>
      </c>
    </row>
    <row r="1707" spans="1:18" x14ac:dyDescent="0.25">
      <c r="A1707" s="170">
        <v>46161</v>
      </c>
      <c r="B1707" s="116">
        <v>1993.4</v>
      </c>
      <c r="C1707" s="116">
        <v>1983.25</v>
      </c>
      <c r="D1707" s="116">
        <v>1943.75</v>
      </c>
      <c r="E1707" s="116">
        <v>1954</v>
      </c>
      <c r="F1707" s="116">
        <v>1983.25</v>
      </c>
      <c r="G1707">
        <v>3198</v>
      </c>
      <c r="H1707" s="116"/>
      <c r="I1707" s="116"/>
      <c r="L1707" s="170">
        <v>46161</v>
      </c>
      <c r="M1707" s="116">
        <v>1982.6</v>
      </c>
      <c r="N1707" s="116">
        <v>1997.6</v>
      </c>
      <c r="O1707" s="116">
        <v>1942.4</v>
      </c>
      <c r="P1707" s="116">
        <v>1969</v>
      </c>
      <c r="Q1707" s="116">
        <v>1982.6</v>
      </c>
      <c r="R1707">
        <v>67605</v>
      </c>
    </row>
    <row r="1708" spans="1:18" x14ac:dyDescent="0.25">
      <c r="A1708" s="170">
        <v>46162</v>
      </c>
      <c r="B1708" s="116">
        <v>2004.8</v>
      </c>
      <c r="C1708" s="116">
        <v>1997.55</v>
      </c>
      <c r="D1708" s="116">
        <v>1957.7</v>
      </c>
      <c r="E1708" s="116">
        <v>1966.65</v>
      </c>
      <c r="F1708" s="116">
        <v>1997.55</v>
      </c>
      <c r="G1708">
        <v>3642</v>
      </c>
      <c r="H1708" s="116"/>
      <c r="I1708" s="116"/>
      <c r="L1708" s="170">
        <v>46162</v>
      </c>
      <c r="M1708" s="116">
        <v>1998</v>
      </c>
      <c r="N1708" s="116">
        <v>2006.3</v>
      </c>
      <c r="O1708" s="116">
        <v>1958.6</v>
      </c>
      <c r="P1708" s="116">
        <v>1984</v>
      </c>
      <c r="Q1708" s="116">
        <v>1998</v>
      </c>
      <c r="R1708">
        <v>71609</v>
      </c>
    </row>
    <row r="1709" spans="1:18" x14ac:dyDescent="0.25">
      <c r="A1709" s="170">
        <v>46163</v>
      </c>
      <c r="B1709" s="116">
        <v>2035</v>
      </c>
      <c r="C1709" s="116">
        <v>2032.3</v>
      </c>
      <c r="D1709" s="116">
        <v>1984.25</v>
      </c>
      <c r="E1709" s="116">
        <v>1984.25</v>
      </c>
      <c r="F1709" s="116">
        <v>2032.3</v>
      </c>
      <c r="G1709">
        <v>1132</v>
      </c>
      <c r="H1709" s="116"/>
      <c r="I1709" s="116"/>
      <c r="L1709" s="170">
        <v>46163</v>
      </c>
      <c r="M1709" s="116">
        <v>2030.2</v>
      </c>
      <c r="N1709" s="116">
        <v>2037.2</v>
      </c>
      <c r="O1709" s="116">
        <v>1995</v>
      </c>
      <c r="P1709" s="116">
        <v>1999.9</v>
      </c>
      <c r="Q1709" s="116">
        <v>2030.2</v>
      </c>
      <c r="R1709">
        <v>50216</v>
      </c>
    </row>
    <row r="1710" spans="1:18" x14ac:dyDescent="0.25">
      <c r="A1710" s="170">
        <v>46164</v>
      </c>
      <c r="B1710" s="116">
        <v>2042.35</v>
      </c>
      <c r="C1710" s="116">
        <v>2028.7</v>
      </c>
      <c r="D1710" s="116">
        <v>2014.7</v>
      </c>
      <c r="E1710" s="116">
        <v>2036</v>
      </c>
      <c r="F1710" s="116">
        <v>2028.7</v>
      </c>
      <c r="G1710">
        <v>4188</v>
      </c>
      <c r="H1710" s="116"/>
      <c r="I1710" s="116"/>
      <c r="L1710" s="170">
        <v>46164</v>
      </c>
      <c r="M1710" s="116">
        <v>2030</v>
      </c>
      <c r="N1710" s="116">
        <v>2040.7</v>
      </c>
      <c r="O1710" s="116">
        <v>2015</v>
      </c>
      <c r="P1710" s="116">
        <v>2032.2</v>
      </c>
      <c r="Q1710" s="116">
        <v>2030</v>
      </c>
      <c r="R1710">
        <v>57197</v>
      </c>
    </row>
    <row r="1711" spans="1:18" x14ac:dyDescent="0.25">
      <c r="A1711" s="170">
        <v>46167</v>
      </c>
      <c r="B1711" s="116">
        <v>2037</v>
      </c>
      <c r="C1711" s="116">
        <v>2028.55</v>
      </c>
      <c r="D1711" s="116">
        <v>2002.65</v>
      </c>
      <c r="E1711" s="116">
        <v>2002.65</v>
      </c>
      <c r="F1711" s="116">
        <v>2028.55</v>
      </c>
      <c r="G1711">
        <v>2256</v>
      </c>
      <c r="H1711" s="116"/>
      <c r="I1711" s="116"/>
      <c r="L1711" s="170">
        <v>46167</v>
      </c>
      <c r="M1711" s="116">
        <v>2029.3</v>
      </c>
      <c r="N1711" s="116">
        <v>2039.8</v>
      </c>
      <c r="O1711" s="116">
        <v>2023.1</v>
      </c>
      <c r="P1711" s="116">
        <v>2030</v>
      </c>
      <c r="Q1711" s="116">
        <v>2029.3</v>
      </c>
      <c r="R1711">
        <v>62754</v>
      </c>
    </row>
    <row r="1712" spans="1:18" x14ac:dyDescent="0.25">
      <c r="A1712" s="170">
        <v>46168</v>
      </c>
      <c r="B1712" s="116">
        <v>2047.95</v>
      </c>
      <c r="C1712" s="116">
        <v>2038.85</v>
      </c>
      <c r="D1712" s="116">
        <v>2029.9</v>
      </c>
      <c r="E1712" s="116">
        <v>2037.3</v>
      </c>
      <c r="F1712" s="116">
        <v>2038.85</v>
      </c>
      <c r="G1712">
        <v>1105</v>
      </c>
      <c r="H1712" s="116"/>
      <c r="I1712" s="116"/>
      <c r="L1712" s="170">
        <v>46168</v>
      </c>
      <c r="M1712" s="116">
        <v>2037.9</v>
      </c>
      <c r="N1712" s="116">
        <v>2047</v>
      </c>
      <c r="O1712" s="116">
        <v>2029.3</v>
      </c>
      <c r="P1712" s="116">
        <v>2029.3</v>
      </c>
      <c r="Q1712" s="116">
        <v>2037.9</v>
      </c>
      <c r="R1712">
        <v>60733</v>
      </c>
    </row>
    <row r="1713" spans="1:18" x14ac:dyDescent="0.25">
      <c r="A1713" s="170">
        <v>46169</v>
      </c>
      <c r="B1713" s="116">
        <v>2034.1</v>
      </c>
      <c r="C1713" s="116">
        <v>2022.3</v>
      </c>
      <c r="D1713" s="116">
        <v>2000.5</v>
      </c>
      <c r="E1713" s="116">
        <v>2027.1</v>
      </c>
      <c r="F1713" s="116">
        <v>2022.3</v>
      </c>
      <c r="G1713">
        <v>4217</v>
      </c>
      <c r="H1713" s="116"/>
      <c r="I1713" s="116"/>
      <c r="L1713" s="170">
        <v>46169</v>
      </c>
      <c r="M1713" s="116">
        <v>2020.1</v>
      </c>
      <c r="N1713" s="116">
        <v>2035</v>
      </c>
      <c r="O1713" s="116">
        <v>2000</v>
      </c>
      <c r="P1713" s="116">
        <v>2030.4</v>
      </c>
      <c r="Q1713" s="116">
        <v>2020.1</v>
      </c>
      <c r="R1713">
        <v>29167</v>
      </c>
    </row>
    <row r="1714" spans="1:18" x14ac:dyDescent="0.25">
      <c r="A1714" s="170">
        <v>46171</v>
      </c>
      <c r="B1714" s="116">
        <v>2026.85</v>
      </c>
      <c r="C1714" s="116">
        <v>2002.35</v>
      </c>
      <c r="D1714" s="116">
        <v>1969</v>
      </c>
      <c r="E1714" s="116">
        <v>2006.2</v>
      </c>
      <c r="F1714" s="116">
        <v>2002.35</v>
      </c>
      <c r="G1714">
        <v>10181</v>
      </c>
      <c r="H1714" s="116"/>
      <c r="I1714" s="116"/>
      <c r="L1714" s="170">
        <v>46171</v>
      </c>
      <c r="M1714" s="116">
        <v>2015.7</v>
      </c>
      <c r="N1714" s="116">
        <v>2028.6</v>
      </c>
      <c r="O1714" s="116">
        <v>1966.4</v>
      </c>
      <c r="P1714" s="116">
        <v>2012</v>
      </c>
      <c r="Q1714" s="116">
        <v>2015.7</v>
      </c>
      <c r="R1714">
        <v>131355</v>
      </c>
    </row>
    <row r="1715" spans="1:18" x14ac:dyDescent="0.25">
      <c r="A1715" s="170">
        <v>46174</v>
      </c>
      <c r="B1715" s="116">
        <v>2034.55</v>
      </c>
      <c r="C1715" s="116">
        <v>1984.65</v>
      </c>
      <c r="D1715" s="116">
        <v>1975</v>
      </c>
      <c r="E1715" s="116">
        <v>2034.55</v>
      </c>
      <c r="F1715" s="116">
        <v>1984.65</v>
      </c>
      <c r="G1715">
        <v>1574</v>
      </c>
      <c r="H1715" s="116"/>
      <c r="I1715" s="116"/>
      <c r="L1715" s="170">
        <v>46174</v>
      </c>
      <c r="M1715" s="116">
        <v>1982.9</v>
      </c>
      <c r="N1715" s="116">
        <v>2014</v>
      </c>
      <c r="O1715" s="116">
        <v>1975</v>
      </c>
      <c r="P1715" s="116">
        <v>2002.4</v>
      </c>
      <c r="Q1715" s="116">
        <v>1982.9</v>
      </c>
      <c r="R1715">
        <v>36756</v>
      </c>
    </row>
    <row r="1716" spans="1:18" x14ac:dyDescent="0.25">
      <c r="A1716" s="170">
        <v>46175</v>
      </c>
      <c r="B1716" s="116">
        <v>1989.85</v>
      </c>
      <c r="C1716" s="116">
        <v>1970.85</v>
      </c>
      <c r="D1716" s="116">
        <v>1955</v>
      </c>
      <c r="E1716" s="116">
        <v>1970</v>
      </c>
      <c r="F1716" s="116">
        <v>1970.85</v>
      </c>
      <c r="G1716">
        <v>6451</v>
      </c>
      <c r="H1716" s="116"/>
      <c r="I1716" s="116"/>
      <c r="L1716" s="170">
        <v>46175</v>
      </c>
      <c r="M1716" s="116">
        <v>1971.4</v>
      </c>
      <c r="N1716" s="116">
        <v>1994.7</v>
      </c>
      <c r="O1716" s="116">
        <v>1955.1</v>
      </c>
      <c r="P1716" s="116">
        <v>1994.7</v>
      </c>
      <c r="Q1716" s="116">
        <v>1971.4</v>
      </c>
      <c r="R1716">
        <v>48541</v>
      </c>
    </row>
    <row r="1717" spans="1:18" x14ac:dyDescent="0.25">
      <c r="A1717" s="170">
        <v>46176</v>
      </c>
      <c r="B1717" s="116">
        <v>1991.45</v>
      </c>
      <c r="C1717" s="116">
        <v>1979.05</v>
      </c>
      <c r="D1717" s="116">
        <v>1965</v>
      </c>
      <c r="E1717" s="116">
        <v>1991.05</v>
      </c>
      <c r="F1717" s="116">
        <v>1979.05</v>
      </c>
      <c r="G1717">
        <v>3146</v>
      </c>
      <c r="H1717" s="116"/>
      <c r="I1717" s="116"/>
      <c r="L1717" s="170">
        <v>46176</v>
      </c>
      <c r="M1717" s="116">
        <v>1980</v>
      </c>
      <c r="N1717" s="116">
        <v>1998.9</v>
      </c>
      <c r="O1717" s="116">
        <v>1965.1</v>
      </c>
      <c r="P1717" s="116">
        <v>1990</v>
      </c>
      <c r="Q1717" s="116">
        <v>1980</v>
      </c>
      <c r="R1717">
        <v>33078</v>
      </c>
    </row>
    <row r="1718" spans="1:18" x14ac:dyDescent="0.25">
      <c r="A1718" s="170">
        <v>46177</v>
      </c>
      <c r="B1718" s="116">
        <v>1998</v>
      </c>
      <c r="C1718" s="116">
        <v>1993.05</v>
      </c>
      <c r="D1718" s="116">
        <v>1965</v>
      </c>
      <c r="E1718" s="116">
        <v>1979</v>
      </c>
      <c r="F1718" s="116">
        <v>1993.05</v>
      </c>
      <c r="G1718">
        <v>1474</v>
      </c>
      <c r="H1718" s="116"/>
      <c r="I1718" s="116"/>
      <c r="L1718" s="170">
        <v>46177</v>
      </c>
      <c r="M1718" s="116">
        <v>1994.2</v>
      </c>
      <c r="N1718" s="116">
        <v>1999</v>
      </c>
      <c r="O1718" s="116">
        <v>1963.8</v>
      </c>
      <c r="P1718" s="116">
        <v>1965.5</v>
      </c>
      <c r="Q1718" s="116">
        <v>1994.2</v>
      </c>
      <c r="R1718">
        <v>33014</v>
      </c>
    </row>
    <row r="1719" spans="1:18" x14ac:dyDescent="0.25">
      <c r="A1719" s="170">
        <v>46178</v>
      </c>
      <c r="B1719" s="116">
        <v>2013.25</v>
      </c>
      <c r="C1719" s="116">
        <v>2001.2</v>
      </c>
      <c r="D1719" s="116">
        <v>1990</v>
      </c>
      <c r="E1719" s="116">
        <v>1999</v>
      </c>
      <c r="F1719" s="116">
        <v>2001.2</v>
      </c>
      <c r="G1719">
        <v>1227</v>
      </c>
      <c r="H1719" s="116"/>
      <c r="I1719" s="116"/>
      <c r="L1719" s="170">
        <v>46178</v>
      </c>
      <c r="M1719" s="116">
        <v>2000.4</v>
      </c>
      <c r="N1719" s="116">
        <v>2011.5</v>
      </c>
      <c r="O1719" s="116">
        <v>1989.7</v>
      </c>
      <c r="P1719" s="116">
        <v>1994.2</v>
      </c>
      <c r="Q1719" s="116">
        <v>2000.4</v>
      </c>
      <c r="R1719">
        <v>27102</v>
      </c>
    </row>
    <row r="1720" spans="1:18" x14ac:dyDescent="0.25">
      <c r="A1720" s="170">
        <v>46181</v>
      </c>
      <c r="B1720" s="116">
        <v>2015</v>
      </c>
      <c r="C1720" s="116">
        <v>2006.35</v>
      </c>
      <c r="D1720" s="116">
        <v>1966.7</v>
      </c>
      <c r="E1720" s="116">
        <v>1999.95</v>
      </c>
      <c r="F1720" s="116">
        <v>2006.35</v>
      </c>
      <c r="G1720">
        <v>5522</v>
      </c>
      <c r="H1720" s="116"/>
      <c r="I1720" s="116"/>
      <c r="L1720" s="170">
        <v>46181</v>
      </c>
      <c r="M1720" s="116">
        <v>2008.4</v>
      </c>
      <c r="N1720" s="116">
        <v>2017.1</v>
      </c>
      <c r="O1720" s="116">
        <v>1969</v>
      </c>
      <c r="P1720" s="116">
        <v>1983.1</v>
      </c>
      <c r="Q1720" s="116">
        <v>2008.4</v>
      </c>
      <c r="R1720">
        <v>50003</v>
      </c>
    </row>
    <row r="1721" spans="1:18" x14ac:dyDescent="0.25">
      <c r="A1721" s="170">
        <v>46182</v>
      </c>
      <c r="B1721" s="116">
        <v>2020</v>
      </c>
      <c r="C1721" s="116">
        <v>2010.45</v>
      </c>
      <c r="D1721" s="116">
        <v>2000</v>
      </c>
      <c r="E1721" s="116">
        <v>2007.9</v>
      </c>
      <c r="F1721" s="116">
        <v>2010.45</v>
      </c>
      <c r="G1721">
        <v>1144</v>
      </c>
      <c r="H1721" s="116"/>
      <c r="I1721" s="116"/>
      <c r="L1721" s="170">
        <v>46182</v>
      </c>
      <c r="M1721" s="116">
        <v>2010.7</v>
      </c>
      <c r="N1721" s="116">
        <v>2022.3</v>
      </c>
      <c r="O1721" s="116">
        <v>2000.1</v>
      </c>
      <c r="P1721" s="116">
        <v>2011.9</v>
      </c>
      <c r="Q1721" s="116">
        <v>2010.7</v>
      </c>
      <c r="R1721">
        <v>58429</v>
      </c>
    </row>
    <row r="1722" spans="1:18" x14ac:dyDescent="0.25">
      <c r="A1722" s="170">
        <v>46183</v>
      </c>
      <c r="B1722" s="116">
        <v>2043.65</v>
      </c>
      <c r="C1722" s="116">
        <v>2009.3</v>
      </c>
      <c r="D1722" s="116">
        <v>2005</v>
      </c>
      <c r="E1722" s="116">
        <v>2043.65</v>
      </c>
      <c r="F1722" s="116">
        <v>2009.3</v>
      </c>
      <c r="G1722">
        <v>945</v>
      </c>
      <c r="H1722" s="116"/>
      <c r="I1722" s="116"/>
      <c r="L1722" s="170">
        <v>46183</v>
      </c>
      <c r="M1722" s="116">
        <v>2010</v>
      </c>
      <c r="N1722" s="116">
        <v>2021</v>
      </c>
      <c r="O1722" s="116">
        <v>2002.5</v>
      </c>
      <c r="P1722" s="116">
        <v>2012.1</v>
      </c>
      <c r="Q1722" s="116">
        <v>2010</v>
      </c>
      <c r="R1722">
        <v>55822</v>
      </c>
    </row>
    <row r="1723" spans="1:18" x14ac:dyDescent="0.25">
      <c r="A1723" s="170">
        <v>46184</v>
      </c>
      <c r="B1723" s="116">
        <v>2019.6</v>
      </c>
      <c r="C1723" s="116">
        <v>1967.35</v>
      </c>
      <c r="D1723" s="116">
        <v>1961</v>
      </c>
      <c r="E1723" s="116">
        <v>2019.6</v>
      </c>
      <c r="F1723" s="116">
        <v>1967.35</v>
      </c>
      <c r="G1723">
        <v>2451</v>
      </c>
      <c r="H1723" s="116"/>
      <c r="I1723" s="116"/>
      <c r="L1723" s="170">
        <v>46184</v>
      </c>
      <c r="M1723" s="116">
        <v>1968.2</v>
      </c>
      <c r="N1723" s="116">
        <v>2016.1</v>
      </c>
      <c r="O1723" s="116">
        <v>1961</v>
      </c>
      <c r="P1723" s="116">
        <v>2010</v>
      </c>
      <c r="Q1723" s="116">
        <v>1968.2</v>
      </c>
      <c r="R1723">
        <v>86696</v>
      </c>
    </row>
    <row r="1724" spans="1:18" x14ac:dyDescent="0.25">
      <c r="A1724" s="170">
        <v>46185</v>
      </c>
      <c r="B1724" s="116">
        <v>2019</v>
      </c>
      <c r="C1724" s="116">
        <v>2017.2</v>
      </c>
      <c r="D1724" s="116">
        <v>1981</v>
      </c>
      <c r="E1724" s="116">
        <v>1981</v>
      </c>
      <c r="F1724" s="116">
        <v>2017.2</v>
      </c>
      <c r="G1724">
        <v>3394</v>
      </c>
      <c r="H1724" s="116"/>
      <c r="I1724" s="116"/>
      <c r="L1724" s="170">
        <v>46185</v>
      </c>
      <c r="M1724" s="116">
        <v>2016.4</v>
      </c>
      <c r="N1724" s="116">
        <v>2019.5</v>
      </c>
      <c r="O1724" s="116">
        <v>1978.1</v>
      </c>
      <c r="P1724" s="116">
        <v>1978.1</v>
      </c>
      <c r="Q1724" s="116">
        <v>2016.4</v>
      </c>
      <c r="R1724">
        <v>30991</v>
      </c>
    </row>
    <row r="1725" spans="1:18" x14ac:dyDescent="0.25">
      <c r="A1725" s="170">
        <v>46188</v>
      </c>
      <c r="B1725" s="116">
        <v>2055</v>
      </c>
      <c r="C1725" s="116">
        <v>2050.5500000000002</v>
      </c>
      <c r="D1725" s="116">
        <v>2017.25</v>
      </c>
      <c r="E1725" s="116">
        <v>2017.25</v>
      </c>
      <c r="F1725" s="116">
        <v>2050.5500000000002</v>
      </c>
      <c r="G1725">
        <v>10436</v>
      </c>
      <c r="H1725" s="116"/>
      <c r="I1725" s="116"/>
      <c r="L1725" s="170">
        <v>46188</v>
      </c>
      <c r="M1725" s="116">
        <v>2048.6999999999998</v>
      </c>
      <c r="N1725" s="116">
        <v>2055</v>
      </c>
      <c r="O1725" s="116">
        <v>2020.7</v>
      </c>
      <c r="P1725" s="116">
        <v>2021</v>
      </c>
      <c r="Q1725" s="116">
        <v>2048.6999999999998</v>
      </c>
      <c r="R1725">
        <v>106290</v>
      </c>
    </row>
    <row r="1726" spans="1:18" x14ac:dyDescent="0.25">
      <c r="A1726" s="170">
        <v>46189</v>
      </c>
      <c r="B1726" s="116">
        <v>2114.9499999999998</v>
      </c>
      <c r="C1726" s="116">
        <v>2083.4</v>
      </c>
      <c r="D1726" s="116">
        <v>2055.85</v>
      </c>
      <c r="E1726" s="116">
        <v>2055.85</v>
      </c>
      <c r="F1726" s="116">
        <v>2083.4</v>
      </c>
      <c r="G1726">
        <v>18115</v>
      </c>
      <c r="H1726" s="116"/>
      <c r="I1726" s="116"/>
      <c r="L1726" s="170">
        <v>46189</v>
      </c>
      <c r="M1726" s="116">
        <v>2084.1</v>
      </c>
      <c r="N1726" s="116">
        <v>2115</v>
      </c>
      <c r="O1726" s="116">
        <v>2060</v>
      </c>
      <c r="P1726" s="116">
        <v>2060</v>
      </c>
      <c r="Q1726" s="116">
        <v>2084.1</v>
      </c>
      <c r="R1726">
        <v>220747</v>
      </c>
    </row>
    <row r="1727" spans="1:18" x14ac:dyDescent="0.25">
      <c r="A1727" s="170">
        <v>46190</v>
      </c>
      <c r="B1727" s="116">
        <v>2103.9499999999998</v>
      </c>
      <c r="C1727" s="116">
        <v>2090.3000000000002</v>
      </c>
      <c r="D1727" s="116">
        <v>2067.5</v>
      </c>
      <c r="E1727" s="116">
        <v>2099.9499999999998</v>
      </c>
      <c r="F1727" s="116">
        <v>2090.3000000000002</v>
      </c>
      <c r="G1727">
        <v>9122</v>
      </c>
      <c r="H1727" s="116"/>
      <c r="I1727" s="116"/>
      <c r="L1727" s="170">
        <v>46190</v>
      </c>
      <c r="M1727" s="116">
        <v>2090</v>
      </c>
      <c r="N1727" s="116">
        <v>2113.9</v>
      </c>
      <c r="O1727" s="116">
        <v>2066</v>
      </c>
      <c r="P1727" s="116">
        <v>2104</v>
      </c>
      <c r="Q1727" s="116">
        <v>2090</v>
      </c>
      <c r="R1727">
        <v>152571</v>
      </c>
    </row>
    <row r="1728" spans="1:18" x14ac:dyDescent="0.25">
      <c r="A1728" s="170"/>
      <c r="B1728" s="116"/>
      <c r="C1728" s="116"/>
      <c r="D1728" s="116"/>
      <c r="E1728" s="116"/>
      <c r="F1728" s="116"/>
      <c r="H1728" s="116"/>
      <c r="I1728" s="116"/>
      <c r="L1728" s="170"/>
    </row>
    <row r="1729" spans="1:12" x14ac:dyDescent="0.25">
      <c r="A1729" s="170"/>
      <c r="B1729" s="116"/>
      <c r="C1729" s="116"/>
      <c r="D1729" s="116"/>
      <c r="E1729" s="116"/>
      <c r="F1729" s="116"/>
      <c r="H1729" s="116"/>
      <c r="I1729" s="116"/>
      <c r="L1729" s="170"/>
    </row>
    <row r="1730" spans="1:12" x14ac:dyDescent="0.25">
      <c r="A1730" s="170"/>
      <c r="B1730" s="116"/>
      <c r="C1730" s="116"/>
      <c r="D1730" s="116"/>
      <c r="E1730" s="116"/>
      <c r="F1730" s="116"/>
      <c r="H1730" s="116"/>
      <c r="I1730" s="116"/>
      <c r="L1730" s="170"/>
    </row>
    <row r="1731" spans="1:12" x14ac:dyDescent="0.25">
      <c r="A1731" s="170"/>
      <c r="B1731" s="116"/>
      <c r="C1731" s="116"/>
      <c r="D1731" s="116"/>
      <c r="E1731" s="116"/>
      <c r="F1731" s="116"/>
      <c r="H1731" s="116"/>
      <c r="I1731" s="116"/>
      <c r="L1731" s="170"/>
    </row>
    <row r="1732" spans="1:12" x14ac:dyDescent="0.25">
      <c r="A1732" s="170"/>
      <c r="B1732" s="116"/>
      <c r="C1732" s="116"/>
      <c r="D1732" s="116"/>
      <c r="E1732" s="116"/>
      <c r="F1732" s="116"/>
      <c r="H1732" s="116"/>
      <c r="I1732" s="116"/>
      <c r="L1732" s="170"/>
    </row>
    <row r="1733" spans="1:12" x14ac:dyDescent="0.25">
      <c r="A1733" s="170"/>
      <c r="B1733" s="116"/>
      <c r="C1733" s="116"/>
      <c r="D1733" s="116"/>
      <c r="E1733" s="116"/>
      <c r="F1733" s="116"/>
      <c r="H1733" s="116"/>
      <c r="I1733" s="116"/>
      <c r="L1733" s="170"/>
    </row>
    <row r="1734" spans="1:12" x14ac:dyDescent="0.25">
      <c r="A1734" s="170"/>
      <c r="B1734" s="116"/>
      <c r="C1734" s="116"/>
      <c r="D1734" s="116"/>
      <c r="E1734" s="116"/>
      <c r="F1734" s="116"/>
      <c r="H1734" s="116"/>
      <c r="I1734" s="116"/>
      <c r="L1734" s="170"/>
    </row>
    <row r="1735" spans="1:12" x14ac:dyDescent="0.25">
      <c r="A1735" s="170"/>
      <c r="B1735" s="116"/>
      <c r="C1735" s="116"/>
      <c r="D1735" s="116"/>
      <c r="E1735" s="116"/>
      <c r="F1735" s="116"/>
      <c r="H1735" s="116"/>
      <c r="I1735" s="116"/>
      <c r="L1735" s="170"/>
    </row>
    <row r="1736" spans="1:12" x14ac:dyDescent="0.25">
      <c r="A1736" s="170"/>
      <c r="B1736" s="116"/>
      <c r="C1736" s="116"/>
      <c r="D1736" s="116"/>
      <c r="E1736" s="116"/>
      <c r="F1736" s="116"/>
      <c r="H1736" s="116"/>
      <c r="I1736" s="116"/>
      <c r="L1736" s="170"/>
    </row>
    <row r="1737" spans="1:12" x14ac:dyDescent="0.25">
      <c r="A1737" s="170"/>
      <c r="B1737" s="116"/>
      <c r="C1737" s="116"/>
      <c r="D1737" s="116"/>
      <c r="E1737" s="116"/>
      <c r="F1737" s="116"/>
      <c r="H1737" s="116"/>
      <c r="I1737" s="116"/>
      <c r="L1737" s="170"/>
    </row>
    <row r="1738" spans="1:12" x14ac:dyDescent="0.25">
      <c r="A1738" s="170"/>
      <c r="B1738" s="116"/>
      <c r="C1738" s="116"/>
      <c r="D1738" s="116"/>
      <c r="E1738" s="116"/>
      <c r="F1738" s="116"/>
      <c r="H1738" s="116"/>
      <c r="I1738" s="116"/>
      <c r="L1738" s="170"/>
    </row>
    <row r="1739" spans="1:12" x14ac:dyDescent="0.25">
      <c r="A1739" s="170"/>
      <c r="B1739" s="116"/>
      <c r="C1739" s="116"/>
      <c r="D1739" s="116"/>
      <c r="E1739" s="116"/>
      <c r="F1739" s="116"/>
      <c r="H1739" s="116"/>
      <c r="I1739" s="116"/>
      <c r="L1739" s="170"/>
    </row>
    <row r="1740" spans="1:12" x14ac:dyDescent="0.25">
      <c r="A1740" s="170"/>
      <c r="B1740" s="116"/>
      <c r="C1740" s="116"/>
      <c r="D1740" s="116"/>
      <c r="E1740" s="116"/>
      <c r="F1740" s="116"/>
      <c r="H1740" s="116"/>
      <c r="I1740" s="116"/>
      <c r="L1740" s="170"/>
    </row>
    <row r="1741" spans="1:12" x14ac:dyDescent="0.25">
      <c r="A1741" s="170"/>
      <c r="B1741" s="116"/>
      <c r="C1741" s="116"/>
      <c r="D1741" s="116"/>
      <c r="E1741" s="116"/>
      <c r="F1741" s="116"/>
      <c r="H1741" s="116"/>
      <c r="I1741" s="116"/>
      <c r="L1741" s="170"/>
    </row>
    <row r="1742" spans="1:12" x14ac:dyDescent="0.25">
      <c r="A1742" s="170"/>
      <c r="B1742" s="116"/>
      <c r="C1742" s="116"/>
      <c r="D1742" s="116"/>
      <c r="E1742" s="116"/>
      <c r="F1742" s="116"/>
      <c r="H1742" s="116"/>
      <c r="I1742" s="116"/>
      <c r="L1742" s="170"/>
    </row>
    <row r="1743" spans="1:12" x14ac:dyDescent="0.25">
      <c r="A1743" s="170"/>
      <c r="B1743" s="116"/>
      <c r="C1743" s="116"/>
      <c r="D1743" s="116"/>
      <c r="E1743" s="116"/>
      <c r="F1743" s="116"/>
      <c r="H1743" s="116"/>
      <c r="I1743" s="116"/>
      <c r="L1743" s="170"/>
    </row>
    <row r="1744" spans="1:12" x14ac:dyDescent="0.25">
      <c r="A1744" s="170"/>
      <c r="B1744" s="116"/>
      <c r="C1744" s="116"/>
      <c r="D1744" s="116"/>
      <c r="E1744" s="116"/>
      <c r="F1744" s="116"/>
      <c r="H1744" s="116"/>
      <c r="I1744" s="116"/>
      <c r="L1744" s="170"/>
    </row>
    <row r="1745" spans="1:12" x14ac:dyDescent="0.25">
      <c r="A1745" s="170"/>
      <c r="B1745" s="116"/>
      <c r="C1745" s="116"/>
      <c r="D1745" s="116"/>
      <c r="E1745" s="116"/>
      <c r="F1745" s="116"/>
      <c r="H1745" s="116"/>
      <c r="I1745" s="116"/>
      <c r="L1745" s="170"/>
    </row>
    <row r="1746" spans="1:12" x14ac:dyDescent="0.25">
      <c r="A1746" s="170"/>
      <c r="B1746" s="116"/>
      <c r="C1746" s="116"/>
      <c r="D1746" s="116"/>
      <c r="E1746" s="116"/>
      <c r="F1746" s="116"/>
      <c r="H1746" s="116"/>
      <c r="I1746" s="116"/>
      <c r="L1746" s="170"/>
    </row>
    <row r="1747" spans="1:12" x14ac:dyDescent="0.25">
      <c r="A1747" s="170"/>
      <c r="B1747" s="116"/>
      <c r="C1747" s="116"/>
      <c r="D1747" s="116"/>
      <c r="E1747" s="116"/>
      <c r="F1747" s="116"/>
      <c r="H1747" s="116"/>
      <c r="I1747" s="116"/>
      <c r="L1747" s="170"/>
    </row>
    <row r="1748" spans="1:12" x14ac:dyDescent="0.25">
      <c r="A1748" s="170"/>
      <c r="B1748" s="116"/>
      <c r="C1748" s="116"/>
      <c r="D1748" s="116"/>
      <c r="E1748" s="116"/>
      <c r="F1748" s="116"/>
      <c r="H1748" s="116"/>
      <c r="I1748" s="116"/>
      <c r="L1748" s="170"/>
    </row>
    <row r="1749" spans="1:12" x14ac:dyDescent="0.25">
      <c r="A1749" s="170"/>
      <c r="B1749" s="116"/>
      <c r="C1749" s="116"/>
      <c r="D1749" s="116"/>
      <c r="E1749" s="116"/>
      <c r="F1749" s="116"/>
      <c r="H1749" s="116"/>
      <c r="I1749" s="116"/>
      <c r="L1749" s="170"/>
    </row>
    <row r="1750" spans="1:12" x14ac:dyDescent="0.25">
      <c r="A1750" s="170"/>
      <c r="B1750" s="116"/>
      <c r="C1750" s="116"/>
      <c r="D1750" s="116"/>
      <c r="E1750" s="116"/>
      <c r="F1750" s="116"/>
      <c r="H1750" s="116"/>
      <c r="I1750" s="116"/>
      <c r="L1750" s="170"/>
    </row>
    <row r="1751" spans="1:12" x14ac:dyDescent="0.25">
      <c r="A1751" s="170"/>
      <c r="B1751" s="116"/>
      <c r="C1751" s="116"/>
      <c r="D1751" s="116"/>
      <c r="E1751" s="116"/>
      <c r="F1751" s="116"/>
      <c r="H1751" s="116"/>
      <c r="I1751" s="116"/>
      <c r="L1751" s="170"/>
    </row>
    <row r="1752" spans="1:12" x14ac:dyDescent="0.25">
      <c r="A1752" s="170"/>
      <c r="B1752" s="116"/>
      <c r="C1752" s="116"/>
      <c r="D1752" s="116"/>
      <c r="E1752" s="116"/>
      <c r="F1752" s="116"/>
      <c r="H1752" s="116"/>
      <c r="I1752" s="116"/>
      <c r="L1752" s="170"/>
    </row>
    <row r="1753" spans="1:12" x14ac:dyDescent="0.25">
      <c r="A1753" s="170"/>
      <c r="B1753" s="116"/>
      <c r="C1753" s="116"/>
      <c r="D1753" s="116"/>
      <c r="E1753" s="116"/>
      <c r="F1753" s="116"/>
      <c r="H1753" s="116"/>
      <c r="I1753" s="116"/>
      <c r="L1753" s="170"/>
    </row>
    <row r="1754" spans="1:12" x14ac:dyDescent="0.25">
      <c r="A1754" s="170"/>
      <c r="B1754" s="116"/>
      <c r="C1754" s="116"/>
      <c r="D1754" s="116"/>
      <c r="E1754" s="116"/>
      <c r="F1754" s="116"/>
      <c r="H1754" s="116"/>
      <c r="I1754" s="116"/>
      <c r="L1754" s="170"/>
    </row>
    <row r="1755" spans="1:12" x14ac:dyDescent="0.25">
      <c r="A1755" s="170"/>
      <c r="B1755" s="116"/>
      <c r="C1755" s="116"/>
      <c r="D1755" s="116"/>
      <c r="E1755" s="116"/>
      <c r="F1755" s="116"/>
      <c r="H1755" s="116"/>
      <c r="I1755" s="116"/>
      <c r="L1755" s="170"/>
    </row>
    <row r="1756" spans="1:12" x14ac:dyDescent="0.25">
      <c r="A1756" s="170"/>
      <c r="B1756" s="116"/>
      <c r="C1756" s="116"/>
      <c r="D1756" s="116"/>
      <c r="E1756" s="116"/>
      <c r="F1756" s="116"/>
      <c r="H1756" s="116"/>
      <c r="I1756" s="116"/>
      <c r="L1756" s="170"/>
    </row>
    <row r="1757" spans="1:12" x14ac:dyDescent="0.25">
      <c r="A1757" s="170"/>
      <c r="B1757" s="116"/>
      <c r="C1757" s="116"/>
      <c r="D1757" s="116"/>
      <c r="E1757" s="116"/>
      <c r="F1757" s="116"/>
      <c r="H1757" s="116"/>
      <c r="I1757" s="116"/>
      <c r="L1757" s="170"/>
    </row>
    <row r="1758" spans="1:12" x14ac:dyDescent="0.25">
      <c r="A1758" s="170"/>
      <c r="B1758" s="116"/>
      <c r="C1758" s="116"/>
      <c r="D1758" s="116"/>
      <c r="E1758" s="116"/>
      <c r="F1758" s="116"/>
      <c r="H1758" s="116"/>
      <c r="I1758" s="116"/>
      <c r="L1758" s="170"/>
    </row>
    <row r="1759" spans="1:12" x14ac:dyDescent="0.25">
      <c r="A1759" s="170"/>
      <c r="B1759" s="116"/>
      <c r="C1759" s="116"/>
      <c r="D1759" s="116"/>
      <c r="E1759" s="116"/>
      <c r="F1759" s="116"/>
      <c r="H1759" s="116"/>
      <c r="I1759" s="116"/>
      <c r="L1759" s="170"/>
    </row>
    <row r="1760" spans="1:12" x14ac:dyDescent="0.25">
      <c r="A1760" s="170"/>
      <c r="B1760" s="116"/>
      <c r="C1760" s="116"/>
      <c r="D1760" s="116"/>
      <c r="E1760" s="116"/>
      <c r="F1760" s="116"/>
      <c r="H1760" s="116"/>
      <c r="I1760" s="116"/>
      <c r="L1760" s="170"/>
    </row>
    <row r="1761" spans="1:12" x14ac:dyDescent="0.25">
      <c r="A1761" s="170"/>
      <c r="B1761" s="116"/>
      <c r="C1761" s="116"/>
      <c r="D1761" s="116"/>
      <c r="E1761" s="116"/>
      <c r="F1761" s="116"/>
      <c r="H1761" s="116"/>
      <c r="I1761" s="116"/>
      <c r="L1761" s="170"/>
    </row>
    <row r="1762" spans="1:12" x14ac:dyDescent="0.25">
      <c r="A1762" s="170"/>
      <c r="B1762" s="116"/>
      <c r="C1762" s="116"/>
      <c r="D1762" s="116"/>
      <c r="E1762" s="116"/>
      <c r="F1762" s="116"/>
      <c r="H1762" s="116"/>
      <c r="I1762" s="116"/>
      <c r="L1762" s="170"/>
    </row>
    <row r="1763" spans="1:12" x14ac:dyDescent="0.25">
      <c r="A1763" s="170"/>
      <c r="B1763" s="116"/>
      <c r="C1763" s="116"/>
      <c r="D1763" s="116"/>
      <c r="E1763" s="116"/>
      <c r="F1763" s="116"/>
      <c r="H1763" s="116"/>
      <c r="I1763" s="116"/>
      <c r="L1763" s="170"/>
    </row>
    <row r="1764" spans="1:12" x14ac:dyDescent="0.25">
      <c r="A1764" s="170"/>
      <c r="B1764" s="116"/>
      <c r="C1764" s="116"/>
      <c r="D1764" s="116"/>
      <c r="E1764" s="116"/>
      <c r="F1764" s="116"/>
      <c r="H1764" s="116"/>
      <c r="I1764" s="116"/>
      <c r="L1764" s="170"/>
    </row>
    <row r="1765" spans="1:12" x14ac:dyDescent="0.25">
      <c r="A1765" s="170"/>
      <c r="B1765" s="116"/>
      <c r="C1765" s="116"/>
      <c r="D1765" s="116"/>
      <c r="E1765" s="116"/>
      <c r="F1765" s="116"/>
      <c r="H1765" s="116"/>
      <c r="I1765" s="116"/>
      <c r="L1765" s="170"/>
    </row>
    <row r="1766" spans="1:12" x14ac:dyDescent="0.25">
      <c r="A1766" s="170"/>
      <c r="B1766" s="116"/>
      <c r="C1766" s="116"/>
      <c r="D1766" s="116"/>
      <c r="E1766" s="116"/>
      <c r="F1766" s="116"/>
      <c r="H1766" s="116"/>
      <c r="I1766" s="116"/>
      <c r="L1766" s="170"/>
    </row>
    <row r="1767" spans="1:12" x14ac:dyDescent="0.25">
      <c r="A1767" s="170"/>
      <c r="B1767" s="116"/>
      <c r="C1767" s="116"/>
      <c r="D1767" s="116"/>
      <c r="E1767" s="116"/>
      <c r="F1767" s="116"/>
      <c r="H1767" s="116"/>
      <c r="I1767" s="116"/>
      <c r="L1767" s="170"/>
    </row>
    <row r="1768" spans="1:12" x14ac:dyDescent="0.25">
      <c r="A1768" s="170"/>
      <c r="B1768" s="116"/>
      <c r="C1768" s="116"/>
      <c r="D1768" s="116"/>
      <c r="E1768" s="116"/>
      <c r="F1768" s="116"/>
      <c r="H1768" s="116"/>
      <c r="I1768" s="116"/>
      <c r="L1768" s="170"/>
    </row>
    <row r="1769" spans="1:12" x14ac:dyDescent="0.25">
      <c r="A1769" s="170"/>
      <c r="B1769" s="116"/>
      <c r="C1769" s="116"/>
      <c r="D1769" s="116"/>
      <c r="E1769" s="116"/>
      <c r="F1769" s="116"/>
      <c r="H1769" s="116"/>
      <c r="I1769" s="116"/>
      <c r="L1769" s="170"/>
    </row>
    <row r="1770" spans="1:12" x14ac:dyDescent="0.25">
      <c r="A1770" s="170"/>
      <c r="B1770" s="116"/>
      <c r="C1770" s="116"/>
      <c r="D1770" s="116"/>
      <c r="E1770" s="116"/>
      <c r="F1770" s="116"/>
      <c r="H1770" s="116"/>
      <c r="I1770" s="116"/>
      <c r="L1770" s="170"/>
    </row>
    <row r="1771" spans="1:12" x14ac:dyDescent="0.25">
      <c r="A1771" s="170"/>
      <c r="B1771" s="116"/>
      <c r="C1771" s="116"/>
      <c r="D1771" s="116"/>
      <c r="E1771" s="116"/>
      <c r="F1771" s="116"/>
      <c r="H1771" s="116"/>
      <c r="I1771" s="116"/>
      <c r="L1771" s="170"/>
    </row>
    <row r="1772" spans="1:12" x14ac:dyDescent="0.25">
      <c r="A1772" s="170"/>
      <c r="B1772" s="116"/>
      <c r="C1772" s="116"/>
      <c r="D1772" s="116"/>
      <c r="E1772" s="116"/>
      <c r="F1772" s="116"/>
      <c r="H1772" s="116"/>
      <c r="I1772" s="116"/>
      <c r="L1772" s="170"/>
    </row>
    <row r="1773" spans="1:12" x14ac:dyDescent="0.25">
      <c r="A1773" s="170"/>
      <c r="B1773" s="116"/>
      <c r="C1773" s="116"/>
      <c r="D1773" s="116"/>
      <c r="E1773" s="116"/>
      <c r="F1773" s="116"/>
      <c r="H1773" s="116"/>
      <c r="I1773" s="116"/>
      <c r="L1773" s="170"/>
    </row>
    <row r="1774" spans="1:12" x14ac:dyDescent="0.25">
      <c r="A1774" s="170"/>
      <c r="B1774" s="116"/>
      <c r="C1774" s="116"/>
      <c r="D1774" s="116"/>
      <c r="E1774" s="116"/>
      <c r="F1774" s="116"/>
      <c r="H1774" s="116"/>
      <c r="I1774" s="116"/>
      <c r="L1774" s="170"/>
    </row>
    <row r="1775" spans="1:12" x14ac:dyDescent="0.25">
      <c r="A1775" s="170"/>
      <c r="B1775" s="116"/>
      <c r="C1775" s="116"/>
      <c r="D1775" s="116"/>
      <c r="E1775" s="116"/>
      <c r="F1775" s="116"/>
      <c r="H1775" s="116"/>
      <c r="I1775" s="116"/>
      <c r="L1775" s="170"/>
    </row>
    <row r="1776" spans="1:12" x14ac:dyDescent="0.25">
      <c r="A1776" s="170"/>
      <c r="B1776" s="116"/>
      <c r="C1776" s="116"/>
      <c r="D1776" s="116"/>
      <c r="E1776" s="116"/>
      <c r="F1776" s="116"/>
      <c r="H1776" s="116"/>
      <c r="I1776" s="116"/>
      <c r="L1776" s="170"/>
    </row>
    <row r="1777" spans="1:12" x14ac:dyDescent="0.25">
      <c r="A1777" s="170"/>
      <c r="B1777" s="116"/>
      <c r="C1777" s="116"/>
      <c r="D1777" s="116"/>
      <c r="E1777" s="116"/>
      <c r="F1777" s="116"/>
      <c r="H1777" s="116"/>
      <c r="I1777" s="116"/>
      <c r="L1777" s="170"/>
    </row>
    <row r="1778" spans="1:12" x14ac:dyDescent="0.25">
      <c r="A1778" s="170"/>
      <c r="B1778" s="116"/>
      <c r="C1778" s="116"/>
      <c r="D1778" s="116"/>
      <c r="E1778" s="116"/>
      <c r="F1778" s="116"/>
      <c r="H1778" s="116"/>
      <c r="I1778" s="116"/>
      <c r="L1778" s="170"/>
    </row>
    <row r="1779" spans="1:12" x14ac:dyDescent="0.25">
      <c r="A1779" s="170"/>
      <c r="B1779" s="116"/>
      <c r="C1779" s="116"/>
      <c r="D1779" s="116"/>
      <c r="E1779" s="116"/>
      <c r="F1779" s="116"/>
      <c r="H1779" s="116"/>
      <c r="I1779" s="116"/>
      <c r="L1779" s="170"/>
    </row>
    <row r="1780" spans="1:12" x14ac:dyDescent="0.25">
      <c r="A1780" s="170"/>
      <c r="B1780" s="116"/>
      <c r="C1780" s="116"/>
      <c r="D1780" s="116"/>
      <c r="E1780" s="116"/>
      <c r="F1780" s="116"/>
      <c r="H1780" s="116"/>
      <c r="I1780" s="116"/>
      <c r="L1780" s="170"/>
    </row>
    <row r="1781" spans="1:12" x14ac:dyDescent="0.25">
      <c r="A1781" s="170"/>
      <c r="B1781" s="116"/>
      <c r="C1781" s="116"/>
      <c r="D1781" s="116"/>
      <c r="E1781" s="116"/>
      <c r="F1781" s="116"/>
      <c r="H1781" s="116"/>
      <c r="I1781" s="116"/>
      <c r="L1781" s="170"/>
    </row>
    <row r="1782" spans="1:12" x14ac:dyDescent="0.25">
      <c r="A1782" s="170"/>
      <c r="B1782" s="116"/>
      <c r="C1782" s="116"/>
      <c r="D1782" s="116"/>
      <c r="E1782" s="116"/>
      <c r="F1782" s="116"/>
      <c r="H1782" s="116"/>
      <c r="I1782" s="116"/>
      <c r="L1782" s="170"/>
    </row>
    <row r="1783" spans="1:12" x14ac:dyDescent="0.25">
      <c r="A1783" s="170"/>
      <c r="B1783" s="116"/>
      <c r="C1783" s="116"/>
      <c r="D1783" s="116"/>
      <c r="E1783" s="116"/>
      <c r="F1783" s="116"/>
      <c r="H1783" s="116"/>
      <c r="I1783" s="116"/>
      <c r="L1783" s="170"/>
    </row>
    <row r="1784" spans="1:12" x14ac:dyDescent="0.25">
      <c r="A1784" s="170"/>
      <c r="B1784" s="116"/>
      <c r="C1784" s="116"/>
      <c r="D1784" s="116"/>
      <c r="E1784" s="116"/>
      <c r="F1784" s="116"/>
      <c r="H1784" s="116"/>
      <c r="I1784" s="116"/>
      <c r="L1784" s="170"/>
    </row>
    <row r="1785" spans="1:12" x14ac:dyDescent="0.25">
      <c r="A1785" s="170"/>
      <c r="B1785" s="116"/>
      <c r="C1785" s="116"/>
      <c r="D1785" s="116"/>
      <c r="E1785" s="116"/>
      <c r="F1785" s="116"/>
      <c r="H1785" s="116"/>
      <c r="I1785" s="116"/>
      <c r="L1785" s="170"/>
    </row>
    <row r="1786" spans="1:12" x14ac:dyDescent="0.25">
      <c r="A1786" s="170"/>
      <c r="B1786" s="116"/>
      <c r="C1786" s="116"/>
      <c r="D1786" s="116"/>
      <c r="E1786" s="116"/>
      <c r="F1786" s="116"/>
      <c r="H1786" s="116"/>
      <c r="I1786" s="116"/>
      <c r="L1786" s="170"/>
    </row>
    <row r="1787" spans="1:12" x14ac:dyDescent="0.25">
      <c r="A1787" s="170"/>
      <c r="B1787" s="116"/>
      <c r="C1787" s="116"/>
      <c r="D1787" s="116"/>
      <c r="E1787" s="116"/>
      <c r="F1787" s="116"/>
      <c r="H1787" s="116"/>
      <c r="I1787" s="116"/>
      <c r="L1787" s="170"/>
    </row>
    <row r="1788" spans="1:12" x14ac:dyDescent="0.25">
      <c r="A1788" s="170"/>
      <c r="B1788" s="116"/>
      <c r="C1788" s="116"/>
      <c r="D1788" s="116"/>
      <c r="E1788" s="116"/>
      <c r="F1788" s="116"/>
      <c r="H1788" s="116"/>
      <c r="I1788" s="116"/>
      <c r="L1788" s="170"/>
    </row>
    <row r="1789" spans="1:12" x14ac:dyDescent="0.25">
      <c r="A1789" s="170"/>
      <c r="B1789" s="116"/>
      <c r="C1789" s="116"/>
      <c r="D1789" s="116"/>
      <c r="E1789" s="116"/>
      <c r="F1789" s="116"/>
      <c r="H1789" s="116"/>
      <c r="I1789" s="116"/>
      <c r="L1789" s="170"/>
    </row>
    <row r="1790" spans="1:12" x14ac:dyDescent="0.25">
      <c r="A1790" s="170"/>
      <c r="B1790" s="116"/>
      <c r="C1790" s="116"/>
      <c r="D1790" s="116"/>
      <c r="E1790" s="116"/>
      <c r="F1790" s="116"/>
      <c r="H1790" s="116"/>
      <c r="I1790" s="116"/>
      <c r="L1790" s="170"/>
    </row>
    <row r="1791" spans="1:12" x14ac:dyDescent="0.25">
      <c r="A1791" s="170"/>
      <c r="B1791" s="116"/>
      <c r="C1791" s="116"/>
      <c r="D1791" s="116"/>
      <c r="E1791" s="116"/>
      <c r="F1791" s="116"/>
      <c r="H1791" s="116"/>
      <c r="I1791" s="116"/>
      <c r="L1791" s="170"/>
    </row>
    <row r="1792" spans="1:12" x14ac:dyDescent="0.25">
      <c r="A1792" s="170"/>
      <c r="B1792" s="116"/>
      <c r="C1792" s="116"/>
      <c r="D1792" s="116"/>
      <c r="E1792" s="116"/>
      <c r="F1792" s="116"/>
      <c r="H1792" s="116"/>
      <c r="I1792" s="116"/>
      <c r="L1792" s="170"/>
    </row>
    <row r="1793" spans="1:12" x14ac:dyDescent="0.25">
      <c r="A1793" s="170"/>
      <c r="B1793" s="116"/>
      <c r="C1793" s="116"/>
      <c r="D1793" s="116"/>
      <c r="E1793" s="116"/>
      <c r="F1793" s="116"/>
      <c r="H1793" s="116"/>
      <c r="I1793" s="116"/>
      <c r="L1793" s="170"/>
    </row>
    <row r="1794" spans="1:12" x14ac:dyDescent="0.25">
      <c r="A1794" s="170"/>
      <c r="B1794" s="116"/>
      <c r="C1794" s="116"/>
      <c r="D1794" s="116"/>
      <c r="E1794" s="116"/>
      <c r="F1794" s="116"/>
      <c r="H1794" s="116"/>
      <c r="I1794" s="116"/>
      <c r="L1794" s="170"/>
    </row>
    <row r="1795" spans="1:12" x14ac:dyDescent="0.25">
      <c r="A1795" s="170"/>
      <c r="B1795" s="116"/>
      <c r="C1795" s="116"/>
      <c r="D1795" s="116"/>
      <c r="E1795" s="116"/>
      <c r="F1795" s="116"/>
      <c r="H1795" s="116"/>
      <c r="I1795" s="116"/>
      <c r="L1795" s="170"/>
    </row>
    <row r="1796" spans="1:12" x14ac:dyDescent="0.25">
      <c r="A1796" s="170"/>
      <c r="B1796" s="116"/>
      <c r="C1796" s="116"/>
      <c r="D1796" s="116"/>
      <c r="E1796" s="116"/>
      <c r="F1796" s="116"/>
      <c r="H1796" s="116"/>
      <c r="I1796" s="116"/>
      <c r="L1796" s="170"/>
    </row>
    <row r="1797" spans="1:12" x14ac:dyDescent="0.25">
      <c r="A1797" s="170"/>
      <c r="B1797" s="116"/>
      <c r="C1797" s="116"/>
      <c r="D1797" s="116"/>
      <c r="E1797" s="116"/>
      <c r="F1797" s="116"/>
      <c r="H1797" s="116"/>
      <c r="I1797" s="116"/>
      <c r="L1797" s="170"/>
    </row>
    <row r="1798" spans="1:12" x14ac:dyDescent="0.25">
      <c r="A1798" s="170"/>
      <c r="B1798" s="116"/>
      <c r="C1798" s="116"/>
      <c r="D1798" s="116"/>
      <c r="E1798" s="116"/>
      <c r="F1798" s="116"/>
      <c r="H1798" s="116"/>
      <c r="I1798" s="116"/>
      <c r="L1798" s="170"/>
    </row>
    <row r="1799" spans="1:12" x14ac:dyDescent="0.25">
      <c r="A1799" s="170"/>
      <c r="B1799" s="116"/>
      <c r="C1799" s="116"/>
      <c r="D1799" s="116"/>
      <c r="E1799" s="116"/>
      <c r="F1799" s="116"/>
      <c r="H1799" s="116"/>
      <c r="I1799" s="116"/>
      <c r="L1799" s="170"/>
    </row>
    <row r="1800" spans="1:12" x14ac:dyDescent="0.25">
      <c r="A1800" s="170"/>
      <c r="B1800" s="116"/>
      <c r="C1800" s="116"/>
      <c r="D1800" s="116"/>
      <c r="E1800" s="116"/>
      <c r="F1800" s="116"/>
      <c r="H1800" s="116"/>
      <c r="I1800" s="116"/>
      <c r="L1800" s="170"/>
    </row>
    <row r="1801" spans="1:12" x14ac:dyDescent="0.25">
      <c r="A1801" s="170"/>
      <c r="B1801" s="116"/>
      <c r="C1801" s="116"/>
      <c r="D1801" s="116"/>
      <c r="E1801" s="116"/>
      <c r="F1801" s="116"/>
      <c r="H1801" s="116"/>
      <c r="I1801" s="116"/>
      <c r="L1801" s="170"/>
    </row>
    <row r="1802" spans="1:12" x14ac:dyDescent="0.25">
      <c r="A1802" s="170"/>
      <c r="B1802" s="116"/>
      <c r="C1802" s="116"/>
      <c r="D1802" s="116"/>
      <c r="E1802" s="116"/>
      <c r="F1802" s="116"/>
      <c r="H1802" s="116"/>
      <c r="I1802" s="116"/>
      <c r="L1802" s="170"/>
    </row>
    <row r="1803" spans="1:12" x14ac:dyDescent="0.25">
      <c r="A1803" s="170"/>
      <c r="B1803" s="116"/>
      <c r="C1803" s="116"/>
      <c r="D1803" s="116"/>
      <c r="E1803" s="116"/>
      <c r="F1803" s="116"/>
      <c r="H1803" s="116"/>
      <c r="I1803" s="116"/>
      <c r="L1803" s="170"/>
    </row>
    <row r="1804" spans="1:12" x14ac:dyDescent="0.25">
      <c r="A1804" s="170"/>
      <c r="B1804" s="116"/>
      <c r="C1804" s="116"/>
      <c r="D1804" s="116"/>
      <c r="E1804" s="116"/>
      <c r="F1804" s="116"/>
      <c r="H1804" s="116"/>
      <c r="I1804" s="116"/>
      <c r="L1804" s="170"/>
    </row>
    <row r="1805" spans="1:12" x14ac:dyDescent="0.25">
      <c r="A1805" s="170"/>
      <c r="B1805" s="116"/>
      <c r="C1805" s="116"/>
      <c r="D1805" s="116"/>
      <c r="E1805" s="116"/>
      <c r="F1805" s="116"/>
      <c r="H1805" s="116"/>
      <c r="I1805" s="116"/>
      <c r="L1805" s="170"/>
    </row>
    <row r="1806" spans="1:12" x14ac:dyDescent="0.25">
      <c r="A1806" s="170"/>
      <c r="B1806" s="116"/>
      <c r="C1806" s="116"/>
      <c r="D1806" s="116"/>
      <c r="E1806" s="116"/>
      <c r="F1806" s="116"/>
      <c r="H1806" s="116"/>
      <c r="I1806" s="116"/>
      <c r="L1806" s="170"/>
    </row>
    <row r="1807" spans="1:12" x14ac:dyDescent="0.25">
      <c r="A1807" s="170"/>
      <c r="B1807" s="116"/>
      <c r="C1807" s="116"/>
      <c r="D1807" s="116"/>
      <c r="E1807" s="116"/>
      <c r="F1807" s="116"/>
      <c r="H1807" s="116"/>
      <c r="I1807" s="116"/>
      <c r="L1807" s="170"/>
    </row>
    <row r="1808" spans="1:12" x14ac:dyDescent="0.25">
      <c r="A1808" s="170"/>
      <c r="B1808" s="116"/>
      <c r="C1808" s="116"/>
      <c r="D1808" s="116"/>
      <c r="E1808" s="116"/>
      <c r="F1808" s="116"/>
      <c r="H1808" s="116"/>
      <c r="I1808" s="116"/>
      <c r="L1808" s="170"/>
    </row>
    <row r="1809" spans="1:12" x14ac:dyDescent="0.25">
      <c r="A1809" s="170"/>
      <c r="B1809" s="116"/>
      <c r="C1809" s="116"/>
      <c r="D1809" s="116"/>
      <c r="E1809" s="116"/>
      <c r="F1809" s="116"/>
      <c r="H1809" s="116"/>
      <c r="I1809" s="116"/>
      <c r="L1809" s="170"/>
    </row>
    <row r="1810" spans="1:12" x14ac:dyDescent="0.25">
      <c r="A1810" s="170"/>
      <c r="B1810" s="116"/>
      <c r="C1810" s="116"/>
      <c r="D1810" s="116"/>
      <c r="E1810" s="116"/>
      <c r="F1810" s="116"/>
      <c r="H1810" s="116"/>
      <c r="I1810" s="116"/>
      <c r="L1810" s="170"/>
    </row>
    <row r="1811" spans="1:12" x14ac:dyDescent="0.25">
      <c r="A1811" s="170"/>
      <c r="B1811" s="116"/>
      <c r="C1811" s="116"/>
      <c r="D1811" s="116"/>
      <c r="E1811" s="116"/>
      <c r="F1811" s="116"/>
      <c r="H1811" s="116"/>
      <c r="I1811" s="116"/>
      <c r="L1811" s="170"/>
    </row>
    <row r="1812" spans="1:12" x14ac:dyDescent="0.25">
      <c r="A1812" s="170"/>
      <c r="B1812" s="116"/>
      <c r="C1812" s="116"/>
      <c r="D1812" s="116"/>
      <c r="E1812" s="116"/>
      <c r="F1812" s="116"/>
      <c r="H1812" s="116"/>
      <c r="I1812" s="116"/>
      <c r="L1812" s="170"/>
    </row>
    <row r="1813" spans="1:12" x14ac:dyDescent="0.25">
      <c r="A1813" s="170"/>
      <c r="B1813" s="116"/>
      <c r="C1813" s="116"/>
      <c r="D1813" s="116"/>
      <c r="E1813" s="116"/>
      <c r="F1813" s="116"/>
      <c r="H1813" s="116"/>
      <c r="I1813" s="116"/>
      <c r="L1813" s="170"/>
    </row>
    <row r="1814" spans="1:12" x14ac:dyDescent="0.25">
      <c r="A1814" s="170"/>
      <c r="B1814" s="116"/>
      <c r="C1814" s="116"/>
      <c r="D1814" s="116"/>
      <c r="E1814" s="116"/>
      <c r="F1814" s="116"/>
      <c r="H1814" s="116"/>
      <c r="I1814" s="116"/>
      <c r="L1814" s="170"/>
    </row>
    <row r="1815" spans="1:12" x14ac:dyDescent="0.25">
      <c r="A1815" s="170"/>
      <c r="B1815" s="116"/>
      <c r="C1815" s="116"/>
      <c r="D1815" s="116"/>
      <c r="E1815" s="116"/>
      <c r="F1815" s="116"/>
      <c r="H1815" s="116"/>
      <c r="I1815" s="116"/>
      <c r="L1815" s="170"/>
    </row>
    <row r="1816" spans="1:12" x14ac:dyDescent="0.25">
      <c r="A1816" s="170"/>
      <c r="B1816" s="116"/>
      <c r="C1816" s="116"/>
      <c r="D1816" s="116"/>
      <c r="E1816" s="116"/>
      <c r="F1816" s="116"/>
      <c r="H1816" s="116"/>
      <c r="I1816" s="116"/>
      <c r="L1816" s="170"/>
    </row>
    <row r="1817" spans="1:12" x14ac:dyDescent="0.25">
      <c r="A1817" s="170"/>
      <c r="B1817" s="116"/>
      <c r="C1817" s="116"/>
      <c r="D1817" s="116"/>
      <c r="E1817" s="116"/>
      <c r="F1817" s="116"/>
      <c r="H1817" s="116"/>
      <c r="I1817" s="116"/>
      <c r="L1817" s="170"/>
    </row>
    <row r="1818" spans="1:12" x14ac:dyDescent="0.25">
      <c r="A1818" s="170"/>
      <c r="B1818" s="116"/>
      <c r="C1818" s="116"/>
      <c r="D1818" s="116"/>
      <c r="E1818" s="116"/>
      <c r="F1818" s="116"/>
      <c r="H1818" s="116"/>
      <c r="I1818" s="116"/>
      <c r="L1818" s="170"/>
    </row>
    <row r="1819" spans="1:12" x14ac:dyDescent="0.25">
      <c r="A1819" s="170"/>
      <c r="B1819" s="116"/>
      <c r="C1819" s="116"/>
      <c r="D1819" s="116"/>
      <c r="E1819" s="116"/>
      <c r="F1819" s="116"/>
      <c r="H1819" s="116"/>
      <c r="I1819" s="116"/>
      <c r="L1819" s="170"/>
    </row>
    <row r="1820" spans="1:12" x14ac:dyDescent="0.25">
      <c r="A1820" s="170"/>
      <c r="B1820" s="116"/>
      <c r="C1820" s="116"/>
      <c r="D1820" s="116"/>
      <c r="E1820" s="116"/>
      <c r="F1820" s="116"/>
      <c r="H1820" s="116"/>
      <c r="I1820" s="116"/>
      <c r="L1820" s="170"/>
    </row>
    <row r="1821" spans="1:12" x14ac:dyDescent="0.25">
      <c r="A1821" s="170"/>
      <c r="B1821" s="116"/>
      <c r="C1821" s="116"/>
      <c r="D1821" s="116"/>
      <c r="E1821" s="116"/>
      <c r="F1821" s="116"/>
      <c r="H1821" s="116"/>
      <c r="I1821" s="116"/>
      <c r="L1821" s="170"/>
    </row>
    <row r="1822" spans="1:12" x14ac:dyDescent="0.25">
      <c r="A1822" s="170"/>
      <c r="B1822" s="116"/>
      <c r="C1822" s="116"/>
      <c r="D1822" s="116"/>
      <c r="E1822" s="116"/>
      <c r="F1822" s="116"/>
      <c r="H1822" s="116"/>
      <c r="I1822" s="116"/>
      <c r="L1822" s="170"/>
    </row>
    <row r="1823" spans="1:12" x14ac:dyDescent="0.25">
      <c r="A1823" s="170"/>
      <c r="B1823" s="116"/>
      <c r="C1823" s="116"/>
      <c r="D1823" s="116"/>
      <c r="E1823" s="116"/>
      <c r="F1823" s="116"/>
      <c r="H1823" s="116"/>
      <c r="I1823" s="116"/>
      <c r="L1823" s="170"/>
    </row>
    <row r="1824" spans="1:12" x14ac:dyDescent="0.25">
      <c r="A1824" s="170"/>
      <c r="B1824" s="116"/>
      <c r="C1824" s="116"/>
      <c r="D1824" s="116"/>
      <c r="E1824" s="116"/>
      <c r="F1824" s="116"/>
      <c r="H1824" s="116"/>
      <c r="I1824" s="116"/>
      <c r="L1824" s="170"/>
    </row>
    <row r="1825" spans="1:12" x14ac:dyDescent="0.25">
      <c r="A1825" s="170"/>
      <c r="B1825" s="116"/>
      <c r="C1825" s="116"/>
      <c r="D1825" s="116"/>
      <c r="E1825" s="116"/>
      <c r="F1825" s="116"/>
      <c r="H1825" s="116"/>
      <c r="I1825" s="116"/>
      <c r="L1825" s="170"/>
    </row>
    <row r="1826" spans="1:12" x14ac:dyDescent="0.25">
      <c r="A1826" s="170"/>
      <c r="B1826" s="116"/>
      <c r="C1826" s="116"/>
      <c r="D1826" s="116"/>
      <c r="E1826" s="116"/>
      <c r="F1826" s="116"/>
      <c r="H1826" s="116"/>
      <c r="I1826" s="116"/>
      <c r="L1826" s="170"/>
    </row>
    <row r="1827" spans="1:12" x14ac:dyDescent="0.25">
      <c r="A1827" s="170"/>
      <c r="B1827" s="116"/>
      <c r="C1827" s="116"/>
      <c r="D1827" s="116"/>
      <c r="E1827" s="116"/>
      <c r="F1827" s="116"/>
      <c r="H1827" s="116"/>
      <c r="I1827" s="116"/>
      <c r="L1827" s="170"/>
    </row>
    <row r="1828" spans="1:12" x14ac:dyDescent="0.25">
      <c r="A1828" s="170"/>
      <c r="B1828" s="116"/>
      <c r="C1828" s="116"/>
      <c r="D1828" s="116"/>
      <c r="E1828" s="116"/>
      <c r="F1828" s="116"/>
      <c r="H1828" s="116"/>
      <c r="I1828" s="116"/>
      <c r="L1828" s="170"/>
    </row>
    <row r="1829" spans="1:12" x14ac:dyDescent="0.25">
      <c r="A1829" s="170"/>
      <c r="B1829" s="116"/>
      <c r="C1829" s="116"/>
      <c r="D1829" s="116"/>
      <c r="E1829" s="116"/>
      <c r="F1829" s="116"/>
      <c r="H1829" s="116"/>
      <c r="I1829" s="116"/>
      <c r="L1829" s="170"/>
    </row>
    <row r="1830" spans="1:12" x14ac:dyDescent="0.25">
      <c r="A1830" s="170"/>
      <c r="B1830" s="116"/>
      <c r="C1830" s="116"/>
      <c r="D1830" s="116"/>
      <c r="E1830" s="116"/>
      <c r="F1830" s="116"/>
      <c r="H1830" s="116"/>
      <c r="I1830" s="116"/>
      <c r="L1830" s="170"/>
    </row>
    <row r="1831" spans="1:12" x14ac:dyDescent="0.25">
      <c r="A1831" s="170"/>
      <c r="B1831" s="116"/>
      <c r="C1831" s="116"/>
      <c r="D1831" s="116"/>
      <c r="E1831" s="116"/>
      <c r="F1831" s="116"/>
      <c r="H1831" s="116"/>
      <c r="I1831" s="116"/>
      <c r="L1831" s="170"/>
    </row>
    <row r="1832" spans="1:12" x14ac:dyDescent="0.25">
      <c r="A1832" s="170"/>
      <c r="B1832" s="116"/>
      <c r="C1832" s="116"/>
      <c r="D1832" s="116"/>
      <c r="E1832" s="116"/>
      <c r="F1832" s="116"/>
      <c r="H1832" s="116"/>
      <c r="I1832" s="116"/>
      <c r="L1832" s="170"/>
    </row>
    <row r="1833" spans="1:12" x14ac:dyDescent="0.25">
      <c r="A1833" s="170"/>
      <c r="B1833" s="116"/>
      <c r="C1833" s="116"/>
      <c r="D1833" s="116"/>
      <c r="E1833" s="116"/>
      <c r="F1833" s="116"/>
      <c r="H1833" s="116"/>
      <c r="I1833" s="116"/>
      <c r="L1833" s="170"/>
    </row>
    <row r="1834" spans="1:12" x14ac:dyDescent="0.25">
      <c r="A1834" s="170"/>
      <c r="B1834" s="116"/>
      <c r="C1834" s="116"/>
      <c r="D1834" s="116"/>
      <c r="E1834" s="116"/>
      <c r="F1834" s="116"/>
      <c r="H1834" s="116"/>
      <c r="I1834" s="116"/>
      <c r="L1834" s="170"/>
    </row>
    <row r="1835" spans="1:12" x14ac:dyDescent="0.25">
      <c r="A1835" s="170"/>
      <c r="B1835" s="116"/>
      <c r="C1835" s="116"/>
      <c r="D1835" s="116"/>
      <c r="E1835" s="116"/>
      <c r="F1835" s="116"/>
      <c r="H1835" s="116"/>
      <c r="I1835" s="116"/>
      <c r="L1835" s="170"/>
    </row>
    <row r="1836" spans="1:12" x14ac:dyDescent="0.25">
      <c r="A1836" s="170"/>
      <c r="B1836" s="116"/>
      <c r="C1836" s="116"/>
      <c r="D1836" s="116"/>
      <c r="E1836" s="116"/>
      <c r="F1836" s="116"/>
      <c r="H1836" s="116"/>
      <c r="I1836" s="116"/>
      <c r="L1836" s="170"/>
    </row>
    <row r="1837" spans="1:12" x14ac:dyDescent="0.25">
      <c r="A1837" s="170"/>
      <c r="B1837" s="116"/>
      <c r="C1837" s="116"/>
      <c r="D1837" s="116"/>
      <c r="E1837" s="116"/>
      <c r="F1837" s="116"/>
      <c r="H1837" s="116"/>
      <c r="I1837" s="116"/>
      <c r="L1837" s="170"/>
    </row>
    <row r="1838" spans="1:12" x14ac:dyDescent="0.25">
      <c r="A1838" s="170"/>
      <c r="B1838" s="116"/>
      <c r="C1838" s="116"/>
      <c r="D1838" s="116"/>
      <c r="E1838" s="116"/>
      <c r="F1838" s="116"/>
      <c r="H1838" s="116"/>
      <c r="I1838" s="116"/>
      <c r="L1838" s="170"/>
    </row>
    <row r="1839" spans="1:12" x14ac:dyDescent="0.25">
      <c r="A1839" s="170"/>
      <c r="B1839" s="116"/>
      <c r="C1839" s="116"/>
      <c r="D1839" s="116"/>
      <c r="E1839" s="116"/>
      <c r="F1839" s="116"/>
      <c r="H1839" s="116"/>
      <c r="I1839" s="116"/>
      <c r="L1839" s="170"/>
    </row>
    <row r="1840" spans="1:12" x14ac:dyDescent="0.25">
      <c r="A1840" s="170"/>
      <c r="B1840" s="116"/>
      <c r="C1840" s="116"/>
      <c r="D1840" s="116"/>
      <c r="E1840" s="116"/>
      <c r="F1840" s="116"/>
      <c r="H1840" s="116"/>
      <c r="I1840" s="116"/>
      <c r="L1840" s="170"/>
    </row>
    <row r="1841" spans="1:12" x14ac:dyDescent="0.25">
      <c r="A1841" s="170"/>
      <c r="B1841" s="116"/>
      <c r="C1841" s="116"/>
      <c r="D1841" s="116"/>
      <c r="E1841" s="116"/>
      <c r="F1841" s="116"/>
      <c r="H1841" s="116"/>
      <c r="I1841" s="116"/>
      <c r="L1841" s="170"/>
    </row>
    <row r="1842" spans="1:12" x14ac:dyDescent="0.25">
      <c r="A1842" s="170"/>
      <c r="B1842" s="116"/>
      <c r="C1842" s="116"/>
      <c r="D1842" s="116"/>
      <c r="E1842" s="116"/>
      <c r="F1842" s="116"/>
      <c r="H1842" s="116"/>
      <c r="I1842" s="116"/>
      <c r="L1842" s="170"/>
    </row>
    <row r="1843" spans="1:12" x14ac:dyDescent="0.25">
      <c r="A1843" s="170"/>
      <c r="B1843" s="116"/>
      <c r="C1843" s="116"/>
      <c r="D1843" s="116"/>
      <c r="E1843" s="116"/>
      <c r="F1843" s="116"/>
      <c r="H1843" s="116"/>
      <c r="I1843" s="116"/>
      <c r="L1843" s="170"/>
    </row>
    <row r="1844" spans="1:12" x14ac:dyDescent="0.25">
      <c r="A1844" s="170"/>
      <c r="B1844" s="116"/>
      <c r="C1844" s="116"/>
      <c r="D1844" s="116"/>
      <c r="E1844" s="116"/>
      <c r="F1844" s="116"/>
      <c r="H1844" s="116"/>
      <c r="I1844" s="116"/>
      <c r="L1844" s="170"/>
    </row>
    <row r="1845" spans="1:12" x14ac:dyDescent="0.25">
      <c r="A1845" s="170"/>
      <c r="B1845" s="116"/>
      <c r="C1845" s="116"/>
      <c r="D1845" s="116"/>
      <c r="E1845" s="116"/>
      <c r="F1845" s="116"/>
      <c r="H1845" s="116"/>
      <c r="I1845" s="116"/>
      <c r="L1845" s="170"/>
    </row>
    <row r="1846" spans="1:12" x14ac:dyDescent="0.25">
      <c r="A1846" s="170"/>
      <c r="B1846" s="116"/>
      <c r="C1846" s="116"/>
      <c r="D1846" s="116"/>
      <c r="E1846" s="116"/>
      <c r="F1846" s="116"/>
      <c r="H1846" s="116"/>
      <c r="I1846" s="116"/>
      <c r="L1846" s="170"/>
    </row>
    <row r="1847" spans="1:12" x14ac:dyDescent="0.25">
      <c r="A1847" s="170"/>
      <c r="B1847" s="116"/>
      <c r="C1847" s="116"/>
      <c r="D1847" s="116"/>
      <c r="E1847" s="116"/>
      <c r="F1847" s="116"/>
      <c r="H1847" s="116"/>
      <c r="I1847" s="116"/>
      <c r="L1847" s="170"/>
    </row>
    <row r="1848" spans="1:12" x14ac:dyDescent="0.25">
      <c r="A1848" s="170"/>
      <c r="B1848" s="116"/>
      <c r="C1848" s="116"/>
      <c r="D1848" s="116"/>
      <c r="E1848" s="116"/>
      <c r="F1848" s="116"/>
      <c r="H1848" s="116"/>
      <c r="I1848" s="116"/>
      <c r="L1848" s="170"/>
    </row>
    <row r="1849" spans="1:12" x14ac:dyDescent="0.25">
      <c r="A1849" s="170"/>
      <c r="B1849" s="116"/>
      <c r="C1849" s="116"/>
      <c r="D1849" s="116"/>
      <c r="E1849" s="116"/>
      <c r="F1849" s="116"/>
      <c r="H1849" s="116"/>
      <c r="I1849" s="116"/>
      <c r="L1849" s="170"/>
    </row>
    <row r="1850" spans="1:12" x14ac:dyDescent="0.25">
      <c r="A1850" s="170"/>
      <c r="B1850" s="116"/>
      <c r="C1850" s="116"/>
      <c r="D1850" s="116"/>
      <c r="E1850" s="116"/>
      <c r="F1850" s="116"/>
      <c r="H1850" s="116"/>
      <c r="I1850" s="116"/>
      <c r="L1850" s="170"/>
    </row>
    <row r="1851" spans="1:12" x14ac:dyDescent="0.25">
      <c r="A1851" s="170"/>
      <c r="B1851" s="116"/>
      <c r="C1851" s="116"/>
      <c r="D1851" s="116"/>
      <c r="E1851" s="116"/>
      <c r="F1851" s="116"/>
      <c r="H1851" s="116"/>
      <c r="I1851" s="116"/>
      <c r="L1851" s="170"/>
    </row>
    <row r="1852" spans="1:12" x14ac:dyDescent="0.25">
      <c r="A1852" s="170"/>
      <c r="B1852" s="116"/>
      <c r="C1852" s="116"/>
      <c r="D1852" s="116"/>
      <c r="E1852" s="116"/>
      <c r="F1852" s="116"/>
      <c r="H1852" s="116"/>
      <c r="I1852" s="116"/>
      <c r="L1852" s="170"/>
    </row>
    <row r="1853" spans="1:12" x14ac:dyDescent="0.25">
      <c r="A1853" s="170"/>
      <c r="B1853" s="116"/>
      <c r="C1853" s="116"/>
      <c r="D1853" s="116"/>
      <c r="E1853" s="116"/>
      <c r="F1853" s="116"/>
      <c r="H1853" s="116"/>
      <c r="I1853" s="116"/>
      <c r="L1853" s="170"/>
    </row>
    <row r="1854" spans="1:12" x14ac:dyDescent="0.25">
      <c r="A1854" s="170"/>
      <c r="B1854" s="116"/>
      <c r="C1854" s="116"/>
      <c r="D1854" s="116"/>
      <c r="E1854" s="116"/>
      <c r="F1854" s="116"/>
      <c r="H1854" s="116"/>
      <c r="I1854" s="116"/>
      <c r="L1854" s="170"/>
    </row>
    <row r="1855" spans="1:12" x14ac:dyDescent="0.25">
      <c r="A1855" s="170"/>
      <c r="B1855" s="116"/>
      <c r="C1855" s="116"/>
      <c r="D1855" s="116"/>
      <c r="E1855" s="116"/>
      <c r="F1855" s="116"/>
      <c r="H1855" s="116"/>
      <c r="I1855" s="116"/>
      <c r="L1855" s="170"/>
    </row>
    <row r="1856" spans="1:12" x14ac:dyDescent="0.25">
      <c r="A1856" s="170"/>
      <c r="B1856" s="116"/>
      <c r="C1856" s="116"/>
      <c r="D1856" s="116"/>
      <c r="E1856" s="116"/>
      <c r="F1856" s="116"/>
      <c r="H1856" s="116"/>
      <c r="I1856" s="116"/>
      <c r="L1856" s="170"/>
    </row>
    <row r="1857" spans="1:12" x14ac:dyDescent="0.25">
      <c r="A1857" s="170"/>
      <c r="B1857" s="116"/>
      <c r="C1857" s="116"/>
      <c r="D1857" s="116"/>
      <c r="E1857" s="116"/>
      <c r="F1857" s="116"/>
      <c r="H1857" s="116"/>
      <c r="I1857" s="116"/>
      <c r="L1857" s="170"/>
    </row>
    <row r="1858" spans="1:12" x14ac:dyDescent="0.25">
      <c r="A1858" s="170"/>
      <c r="B1858" s="116"/>
      <c r="C1858" s="116"/>
      <c r="D1858" s="116"/>
      <c r="E1858" s="116"/>
      <c r="F1858" s="116"/>
      <c r="H1858" s="116"/>
      <c r="I1858" s="116"/>
      <c r="L1858" s="170"/>
    </row>
    <row r="1859" spans="1:12" x14ac:dyDescent="0.25">
      <c r="A1859" s="170"/>
      <c r="B1859" s="116"/>
      <c r="C1859" s="116"/>
      <c r="D1859" s="116"/>
      <c r="E1859" s="116"/>
      <c r="F1859" s="116"/>
      <c r="H1859" s="116"/>
      <c r="I1859" s="116"/>
      <c r="L1859" s="170"/>
    </row>
    <row r="1860" spans="1:12" x14ac:dyDescent="0.25">
      <c r="A1860" s="170"/>
      <c r="B1860" s="116"/>
      <c r="C1860" s="116"/>
      <c r="D1860" s="116"/>
      <c r="E1860" s="116"/>
      <c r="F1860" s="116"/>
      <c r="H1860" s="116"/>
      <c r="I1860" s="116"/>
      <c r="L1860" s="170"/>
    </row>
    <row r="1861" spans="1:12" x14ac:dyDescent="0.25">
      <c r="A1861" s="170"/>
      <c r="B1861" s="116"/>
      <c r="C1861" s="116"/>
      <c r="D1861" s="116"/>
      <c r="E1861" s="116"/>
      <c r="F1861" s="116"/>
      <c r="H1861" s="116"/>
      <c r="I1861" s="116"/>
      <c r="L1861" s="170"/>
    </row>
    <row r="1862" spans="1:12" x14ac:dyDescent="0.25">
      <c r="A1862" s="170"/>
      <c r="B1862" s="116"/>
      <c r="C1862" s="116"/>
      <c r="D1862" s="116"/>
      <c r="E1862" s="116"/>
      <c r="F1862" s="116"/>
      <c r="H1862" s="116"/>
      <c r="I1862" s="116"/>
      <c r="L1862" s="170"/>
    </row>
    <row r="1863" spans="1:12" x14ac:dyDescent="0.25">
      <c r="A1863" s="170"/>
      <c r="B1863" s="116"/>
      <c r="C1863" s="116"/>
      <c r="D1863" s="116"/>
      <c r="E1863" s="116"/>
      <c r="F1863" s="116"/>
      <c r="H1863" s="116"/>
      <c r="I1863" s="116"/>
      <c r="L1863" s="170"/>
    </row>
    <row r="1864" spans="1:12" x14ac:dyDescent="0.25">
      <c r="A1864" s="170"/>
      <c r="B1864" s="116"/>
      <c r="C1864" s="116"/>
      <c r="D1864" s="116"/>
      <c r="E1864" s="116"/>
      <c r="F1864" s="116"/>
      <c r="H1864" s="116"/>
      <c r="I1864" s="116"/>
      <c r="L1864" s="170"/>
    </row>
    <row r="1865" spans="1:12" x14ac:dyDescent="0.25">
      <c r="A1865" s="170"/>
      <c r="B1865" s="116"/>
      <c r="C1865" s="116"/>
      <c r="D1865" s="116"/>
      <c r="E1865" s="116"/>
      <c r="F1865" s="116"/>
      <c r="H1865" s="116"/>
      <c r="I1865" s="116"/>
      <c r="L1865" s="170"/>
    </row>
    <row r="1866" spans="1:12" x14ac:dyDescent="0.25">
      <c r="A1866" s="170"/>
      <c r="B1866" s="116"/>
      <c r="C1866" s="116"/>
      <c r="D1866" s="116"/>
      <c r="E1866" s="116"/>
      <c r="F1866" s="116"/>
      <c r="H1866" s="116"/>
      <c r="I1866" s="116"/>
      <c r="L1866" s="170"/>
    </row>
    <row r="1867" spans="1:12" x14ac:dyDescent="0.25">
      <c r="A1867" s="170"/>
      <c r="B1867" s="116"/>
      <c r="C1867" s="116"/>
      <c r="D1867" s="116"/>
      <c r="E1867" s="116"/>
      <c r="F1867" s="116"/>
      <c r="H1867" s="116"/>
      <c r="I1867" s="116"/>
      <c r="L1867" s="170"/>
    </row>
    <row r="1868" spans="1:12" x14ac:dyDescent="0.25">
      <c r="A1868" s="170"/>
      <c r="B1868" s="116"/>
      <c r="C1868" s="116"/>
      <c r="D1868" s="116"/>
      <c r="E1868" s="116"/>
      <c r="F1868" s="116"/>
      <c r="H1868" s="116"/>
      <c r="I1868" s="116"/>
      <c r="L1868" s="170"/>
    </row>
    <row r="1869" spans="1:12" x14ac:dyDescent="0.25">
      <c r="A1869" s="170"/>
      <c r="B1869" s="116"/>
      <c r="C1869" s="116"/>
      <c r="D1869" s="116"/>
      <c r="E1869" s="116"/>
      <c r="F1869" s="116"/>
      <c r="H1869" s="116"/>
      <c r="I1869" s="116"/>
      <c r="L1869" s="170"/>
    </row>
    <row r="1870" spans="1:12" x14ac:dyDescent="0.25">
      <c r="A1870" s="170"/>
      <c r="B1870" s="116"/>
      <c r="C1870" s="116"/>
      <c r="D1870" s="116"/>
      <c r="E1870" s="116"/>
      <c r="F1870" s="116"/>
      <c r="H1870" s="116"/>
      <c r="I1870" s="116"/>
      <c r="L1870" s="170"/>
    </row>
    <row r="1871" spans="1:12" x14ac:dyDescent="0.25">
      <c r="A1871" s="170"/>
      <c r="B1871" s="116"/>
      <c r="C1871" s="116"/>
      <c r="D1871" s="116"/>
      <c r="E1871" s="116"/>
      <c r="F1871" s="116"/>
      <c r="H1871" s="116"/>
      <c r="I1871" s="116"/>
      <c r="L1871" s="170"/>
    </row>
    <row r="1872" spans="1:12" x14ac:dyDescent="0.25">
      <c r="A1872" s="170"/>
      <c r="B1872" s="116"/>
      <c r="C1872" s="116"/>
      <c r="D1872" s="116"/>
      <c r="E1872" s="116"/>
      <c r="F1872" s="116"/>
      <c r="H1872" s="116"/>
      <c r="I1872" s="116"/>
      <c r="L1872" s="170"/>
    </row>
    <row r="1873" spans="1:18" x14ac:dyDescent="0.25">
      <c r="A1873" s="170"/>
      <c r="B1873" s="116"/>
      <c r="C1873" s="116"/>
      <c r="D1873" s="116"/>
      <c r="E1873" s="116"/>
      <c r="F1873" s="116"/>
      <c r="H1873" s="116"/>
      <c r="I1873" s="116"/>
      <c r="L1873" s="170"/>
    </row>
    <row r="1874" spans="1:18" x14ac:dyDescent="0.25">
      <c r="A1874" s="170"/>
      <c r="B1874" s="116"/>
      <c r="C1874" s="116"/>
      <c r="D1874" s="116"/>
      <c r="E1874" s="116"/>
      <c r="F1874" s="116"/>
      <c r="H1874" s="116"/>
      <c r="I1874" s="116"/>
      <c r="L1874" s="170"/>
    </row>
    <row r="1875" spans="1:18" x14ac:dyDescent="0.25">
      <c r="A1875" s="170"/>
      <c r="B1875" s="116"/>
      <c r="C1875" s="116"/>
      <c r="D1875" s="116"/>
      <c r="E1875" s="116"/>
      <c r="F1875" s="116"/>
      <c r="H1875" s="116"/>
      <c r="I1875" s="116"/>
      <c r="L1875" s="170"/>
    </row>
    <row r="1876" spans="1:18" x14ac:dyDescent="0.25">
      <c r="A1876" s="170"/>
      <c r="B1876" s="116"/>
      <c r="C1876" s="116"/>
      <c r="D1876" s="116"/>
      <c r="E1876" s="116"/>
      <c r="F1876" s="116"/>
      <c r="H1876" s="116"/>
      <c r="I1876" s="116"/>
      <c r="L1876" s="170"/>
    </row>
    <row r="1877" spans="1:18" x14ac:dyDescent="0.25">
      <c r="A1877" s="170"/>
      <c r="B1877" s="116"/>
      <c r="C1877" s="116"/>
      <c r="D1877" s="116"/>
      <c r="E1877" s="116"/>
      <c r="F1877" s="116"/>
      <c r="H1877" s="116"/>
      <c r="I1877" s="116"/>
      <c r="L1877" s="170"/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2026-06-17T13:25:55Z</dcterms:modified>
  <cp:category/>
  <cp:contentStatus/>
</cp:coreProperties>
</file>